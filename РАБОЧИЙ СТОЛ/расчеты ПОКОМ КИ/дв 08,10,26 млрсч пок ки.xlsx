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8D1ABF7-163F-45BC-B1EE-2BA69C85B18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2" i="1" l="1"/>
  <c r="U25" i="1"/>
  <c r="AK25" i="1" s="1"/>
  <c r="U29" i="1"/>
  <c r="U31" i="1"/>
  <c r="AK31" i="1" s="1"/>
  <c r="U38" i="1"/>
  <c r="U43" i="1"/>
  <c r="U46" i="1"/>
  <c r="U49" i="1"/>
  <c r="AK49" i="1" s="1"/>
  <c r="U52" i="1"/>
  <c r="U55" i="1"/>
  <c r="U57" i="1"/>
  <c r="U60" i="1"/>
  <c r="AK60" i="1" s="1"/>
  <c r="U61" i="1"/>
  <c r="U62" i="1"/>
  <c r="AK62" i="1" s="1"/>
  <c r="U64" i="1"/>
  <c r="AK64" i="1" s="1"/>
  <c r="U65" i="1"/>
  <c r="AK65" i="1" s="1"/>
  <c r="U68" i="1"/>
  <c r="AK68" i="1" s="1"/>
  <c r="U69" i="1"/>
  <c r="U70" i="1"/>
  <c r="AK70" i="1" s="1"/>
  <c r="U72" i="1"/>
  <c r="AK72" i="1" s="1"/>
  <c r="U73" i="1"/>
  <c r="U74" i="1"/>
  <c r="AK74" i="1" s="1"/>
  <c r="U75" i="1"/>
  <c r="U76" i="1"/>
  <c r="AK76" i="1" s="1"/>
  <c r="U80" i="1"/>
  <c r="AK80" i="1" s="1"/>
  <c r="U81" i="1"/>
  <c r="AK81" i="1" s="1"/>
  <c r="U82" i="1"/>
  <c r="AK82" i="1" s="1"/>
  <c r="U83" i="1"/>
  <c r="U84" i="1"/>
  <c r="AK84" i="1" s="1"/>
  <c r="U85" i="1"/>
  <c r="AK85" i="1" s="1"/>
  <c r="U89" i="1"/>
  <c r="U93" i="1"/>
  <c r="U96" i="1"/>
  <c r="AK96" i="1" s="1"/>
  <c r="U97" i="1"/>
  <c r="U98" i="1"/>
  <c r="AK98" i="1" s="1"/>
  <c r="U101" i="1"/>
  <c r="U105" i="1"/>
  <c r="U106" i="1"/>
  <c r="AK106" i="1" s="1"/>
  <c r="U110" i="1"/>
  <c r="AK110" i="1" s="1"/>
  <c r="U111" i="1"/>
  <c r="U114" i="1"/>
  <c r="AK114" i="1" s="1"/>
  <c r="U119" i="1"/>
  <c r="U120" i="1"/>
  <c r="AK120" i="1" s="1"/>
  <c r="U121" i="1"/>
  <c r="U127" i="1"/>
  <c r="U128" i="1"/>
  <c r="AK128" i="1" s="1"/>
  <c r="AK29" i="1"/>
  <c r="AK43" i="1"/>
  <c r="AK55" i="1"/>
  <c r="AK57" i="1"/>
  <c r="AK61" i="1"/>
  <c r="AK69" i="1"/>
  <c r="AK73" i="1"/>
  <c r="AK75" i="1"/>
  <c r="AK83" i="1"/>
  <c r="AK89" i="1"/>
  <c r="AK93" i="1"/>
  <c r="AK97" i="1"/>
  <c r="AK101" i="1"/>
  <c r="AK105" i="1"/>
  <c r="AK111" i="1"/>
  <c r="AK119" i="1"/>
  <c r="AK121" i="1"/>
  <c r="AK127" i="1"/>
  <c r="AK52" i="1" l="1"/>
  <c r="AK46" i="1"/>
  <c r="AK38" i="1"/>
  <c r="AK12" i="1"/>
  <c r="W14" i="1"/>
  <c r="W16" i="1"/>
  <c r="W19" i="1"/>
  <c r="W23" i="1"/>
  <c r="W26" i="1"/>
  <c r="W32" i="1"/>
  <c r="W33" i="1"/>
  <c r="W40" i="1"/>
  <c r="W44" i="1"/>
  <c r="W47" i="1"/>
  <c r="W54" i="1"/>
  <c r="W66" i="1"/>
  <c r="W86" i="1"/>
  <c r="W90" i="1"/>
  <c r="W100" i="1"/>
  <c r="W102" i="1"/>
  <c r="W103" i="1"/>
  <c r="W104" i="1"/>
  <c r="W107" i="1"/>
  <c r="W108" i="1"/>
  <c r="W109" i="1"/>
  <c r="W122" i="1"/>
  <c r="W123" i="1"/>
  <c r="W125" i="1"/>
  <c r="V14" i="1"/>
  <c r="U14" i="1" s="1"/>
  <c r="V16" i="1"/>
  <c r="U16" i="1" s="1"/>
  <c r="V19" i="1"/>
  <c r="U19" i="1" s="1"/>
  <c r="V23" i="1"/>
  <c r="U23" i="1" s="1"/>
  <c r="V26" i="1"/>
  <c r="U26" i="1" s="1"/>
  <c r="AK26" i="1" s="1"/>
  <c r="V32" i="1"/>
  <c r="U32" i="1" s="1"/>
  <c r="AK32" i="1" s="1"/>
  <c r="V33" i="1"/>
  <c r="U33" i="1" s="1"/>
  <c r="V40" i="1"/>
  <c r="U40" i="1" s="1"/>
  <c r="AK40" i="1" s="1"/>
  <c r="V44" i="1"/>
  <c r="U44" i="1" s="1"/>
  <c r="AK44" i="1" s="1"/>
  <c r="V47" i="1"/>
  <c r="U47" i="1" s="1"/>
  <c r="V54" i="1"/>
  <c r="U54" i="1" s="1"/>
  <c r="V66" i="1"/>
  <c r="U66" i="1" s="1"/>
  <c r="V86" i="1"/>
  <c r="U86" i="1" s="1"/>
  <c r="V90" i="1"/>
  <c r="U90" i="1" s="1"/>
  <c r="AK90" i="1" s="1"/>
  <c r="V100" i="1"/>
  <c r="U100" i="1" s="1"/>
  <c r="V102" i="1"/>
  <c r="U102" i="1" s="1"/>
  <c r="V103" i="1"/>
  <c r="U103" i="1" s="1"/>
  <c r="AK103" i="1" s="1"/>
  <c r="V104" i="1"/>
  <c r="U104" i="1" s="1"/>
  <c r="AK104" i="1" s="1"/>
  <c r="V107" i="1"/>
  <c r="U107" i="1" s="1"/>
  <c r="V108" i="1"/>
  <c r="U108" i="1" s="1"/>
  <c r="AK108" i="1" s="1"/>
  <c r="V109" i="1"/>
  <c r="U109" i="1" s="1"/>
  <c r="AK109" i="1" s="1"/>
  <c r="V122" i="1"/>
  <c r="U122" i="1" s="1"/>
  <c r="AK122" i="1" s="1"/>
  <c r="V123" i="1"/>
  <c r="U123" i="1" s="1"/>
  <c r="AK123" i="1" s="1"/>
  <c r="V125" i="1"/>
  <c r="U125" i="1" s="1"/>
  <c r="AK125" i="1" s="1"/>
  <c r="V5" i="1" l="1"/>
  <c r="S128" i="1"/>
  <c r="X128" i="1" s="1"/>
  <c r="L128" i="1"/>
  <c r="S127" i="1"/>
  <c r="L127" i="1"/>
  <c r="S126" i="1"/>
  <c r="Y126" i="1" s="1"/>
  <c r="L126" i="1"/>
  <c r="S125" i="1"/>
  <c r="L125" i="1"/>
  <c r="S124" i="1"/>
  <c r="L124" i="1"/>
  <c r="S123" i="1"/>
  <c r="L123" i="1"/>
  <c r="S122" i="1"/>
  <c r="L122" i="1"/>
  <c r="S121" i="1"/>
  <c r="X121" i="1" s="1"/>
  <c r="L121" i="1"/>
  <c r="S120" i="1"/>
  <c r="L120" i="1"/>
  <c r="F120" i="1"/>
  <c r="X120" i="1" s="1"/>
  <c r="S119" i="1"/>
  <c r="L119" i="1"/>
  <c r="S118" i="1"/>
  <c r="Y118" i="1" s="1"/>
  <c r="L118" i="1"/>
  <c r="S117" i="1"/>
  <c r="T117" i="1" s="1"/>
  <c r="U117" i="1" s="1"/>
  <c r="L117" i="1"/>
  <c r="S116" i="1"/>
  <c r="T116" i="1" s="1"/>
  <c r="U116" i="1" s="1"/>
  <c r="L116" i="1"/>
  <c r="S115" i="1"/>
  <c r="Y115" i="1" s="1"/>
  <c r="L115" i="1"/>
  <c r="S114" i="1"/>
  <c r="L114" i="1"/>
  <c r="S113" i="1"/>
  <c r="Y113" i="1" s="1"/>
  <c r="L113" i="1"/>
  <c r="S112" i="1"/>
  <c r="Y112" i="1" s="1"/>
  <c r="L112" i="1"/>
  <c r="S111" i="1"/>
  <c r="L111" i="1"/>
  <c r="S110" i="1"/>
  <c r="L110" i="1"/>
  <c r="S109" i="1"/>
  <c r="L109" i="1"/>
  <c r="S108" i="1"/>
  <c r="L108" i="1"/>
  <c r="S107" i="1"/>
  <c r="Y107" i="1" s="1"/>
  <c r="L107" i="1"/>
  <c r="S106" i="1"/>
  <c r="L106" i="1"/>
  <c r="S105" i="1"/>
  <c r="L105" i="1"/>
  <c r="S104" i="1"/>
  <c r="X104" i="1" s="1"/>
  <c r="L104" i="1"/>
  <c r="S103" i="1"/>
  <c r="L103" i="1"/>
  <c r="S102" i="1"/>
  <c r="Y102" i="1" s="1"/>
  <c r="L102" i="1"/>
  <c r="S101" i="1"/>
  <c r="L101" i="1"/>
  <c r="S100" i="1"/>
  <c r="L100" i="1"/>
  <c r="S99" i="1"/>
  <c r="L99" i="1"/>
  <c r="S98" i="1"/>
  <c r="L98" i="1"/>
  <c r="S97" i="1"/>
  <c r="X97" i="1" s="1"/>
  <c r="L97" i="1"/>
  <c r="S96" i="1"/>
  <c r="X96" i="1" s="1"/>
  <c r="L96" i="1"/>
  <c r="S95" i="1"/>
  <c r="Y95" i="1" s="1"/>
  <c r="L95" i="1"/>
  <c r="S94" i="1"/>
  <c r="T94" i="1" s="1"/>
  <c r="U94" i="1" s="1"/>
  <c r="L94" i="1"/>
  <c r="S93" i="1"/>
  <c r="L93" i="1"/>
  <c r="S92" i="1"/>
  <c r="Y92" i="1" s="1"/>
  <c r="L92" i="1"/>
  <c r="S91" i="1"/>
  <c r="Y91" i="1" s="1"/>
  <c r="L91" i="1"/>
  <c r="S90" i="1"/>
  <c r="X90" i="1" s="1"/>
  <c r="L90" i="1"/>
  <c r="S89" i="1"/>
  <c r="X89" i="1" s="1"/>
  <c r="L89" i="1"/>
  <c r="S88" i="1"/>
  <c r="T88" i="1" s="1"/>
  <c r="U88" i="1" s="1"/>
  <c r="L88" i="1"/>
  <c r="S87" i="1"/>
  <c r="Y87" i="1" s="1"/>
  <c r="L87" i="1"/>
  <c r="S86" i="1"/>
  <c r="T86" i="1" s="1"/>
  <c r="L86" i="1"/>
  <c r="S85" i="1"/>
  <c r="L85" i="1"/>
  <c r="S84" i="1"/>
  <c r="L84" i="1"/>
  <c r="S83" i="1"/>
  <c r="L83" i="1"/>
  <c r="S82" i="1"/>
  <c r="L82" i="1"/>
  <c r="S81" i="1"/>
  <c r="L81" i="1"/>
  <c r="S80" i="1"/>
  <c r="X80" i="1" s="1"/>
  <c r="L80" i="1"/>
  <c r="S79" i="1"/>
  <c r="Y79" i="1" s="1"/>
  <c r="L79" i="1"/>
  <c r="S78" i="1"/>
  <c r="Y78" i="1" s="1"/>
  <c r="L78" i="1"/>
  <c r="S77" i="1"/>
  <c r="Y77" i="1" s="1"/>
  <c r="L77" i="1"/>
  <c r="S76" i="1"/>
  <c r="L76" i="1"/>
  <c r="S75" i="1"/>
  <c r="X75" i="1" s="1"/>
  <c r="L75" i="1"/>
  <c r="S74" i="1"/>
  <c r="L74" i="1"/>
  <c r="S73" i="1"/>
  <c r="X73" i="1" s="1"/>
  <c r="L73" i="1"/>
  <c r="S72" i="1"/>
  <c r="L72" i="1"/>
  <c r="S71" i="1"/>
  <c r="T71" i="1" s="1"/>
  <c r="U71" i="1" s="1"/>
  <c r="L71" i="1"/>
  <c r="S70" i="1"/>
  <c r="X70" i="1" s="1"/>
  <c r="L70" i="1"/>
  <c r="S69" i="1"/>
  <c r="L69" i="1"/>
  <c r="S68" i="1"/>
  <c r="X68" i="1" s="1"/>
  <c r="L68" i="1"/>
  <c r="S67" i="1"/>
  <c r="T67" i="1" s="1"/>
  <c r="U67" i="1" s="1"/>
  <c r="L67" i="1"/>
  <c r="S66" i="1"/>
  <c r="T66" i="1" s="1"/>
  <c r="L66" i="1"/>
  <c r="S65" i="1"/>
  <c r="L65" i="1"/>
  <c r="S64" i="1"/>
  <c r="X64" i="1" s="1"/>
  <c r="L64" i="1"/>
  <c r="S63" i="1"/>
  <c r="Y63" i="1" s="1"/>
  <c r="L63" i="1"/>
  <c r="S62" i="1"/>
  <c r="L62" i="1"/>
  <c r="S61" i="1"/>
  <c r="X61" i="1" s="1"/>
  <c r="L61" i="1"/>
  <c r="S60" i="1"/>
  <c r="L60" i="1"/>
  <c r="S59" i="1"/>
  <c r="L59" i="1"/>
  <c r="S58" i="1"/>
  <c r="T58" i="1" s="1"/>
  <c r="U58" i="1" s="1"/>
  <c r="L58" i="1"/>
  <c r="S57" i="1"/>
  <c r="X57" i="1" s="1"/>
  <c r="L57" i="1"/>
  <c r="S56" i="1"/>
  <c r="T56" i="1" s="1"/>
  <c r="U56" i="1" s="1"/>
  <c r="L56" i="1"/>
  <c r="F55" i="1"/>
  <c r="E55" i="1"/>
  <c r="S55" i="1" s="1"/>
  <c r="S54" i="1"/>
  <c r="Y54" i="1" s="1"/>
  <c r="L54" i="1"/>
  <c r="S53" i="1"/>
  <c r="Y53" i="1" s="1"/>
  <c r="L53" i="1"/>
  <c r="S52" i="1"/>
  <c r="X52" i="1" s="1"/>
  <c r="L52" i="1"/>
  <c r="S51" i="1"/>
  <c r="T51" i="1" s="1"/>
  <c r="U51" i="1" s="1"/>
  <c r="L51" i="1"/>
  <c r="S50" i="1"/>
  <c r="L50" i="1"/>
  <c r="S49" i="1"/>
  <c r="X49" i="1" s="1"/>
  <c r="L49" i="1"/>
  <c r="S48" i="1"/>
  <c r="L48" i="1"/>
  <c r="S47" i="1"/>
  <c r="Y47" i="1" s="1"/>
  <c r="L47" i="1"/>
  <c r="S46" i="1"/>
  <c r="X46" i="1" s="1"/>
  <c r="L46" i="1"/>
  <c r="S45" i="1"/>
  <c r="Y45" i="1" s="1"/>
  <c r="L45" i="1"/>
  <c r="S44" i="1"/>
  <c r="L44" i="1"/>
  <c r="S43" i="1"/>
  <c r="L43" i="1"/>
  <c r="S42" i="1"/>
  <c r="Y42" i="1" s="1"/>
  <c r="L42" i="1"/>
  <c r="S41" i="1"/>
  <c r="L41" i="1"/>
  <c r="S40" i="1"/>
  <c r="X40" i="1" s="1"/>
  <c r="L40" i="1"/>
  <c r="S39" i="1"/>
  <c r="T39" i="1" s="1"/>
  <c r="U39" i="1" s="1"/>
  <c r="L39" i="1"/>
  <c r="S38" i="1"/>
  <c r="L38" i="1"/>
  <c r="S37" i="1"/>
  <c r="Y37" i="1" s="1"/>
  <c r="L37" i="1"/>
  <c r="S36" i="1"/>
  <c r="T36" i="1" s="1"/>
  <c r="U36" i="1" s="1"/>
  <c r="L36" i="1"/>
  <c r="S35" i="1"/>
  <c r="Y35" i="1" s="1"/>
  <c r="L35" i="1"/>
  <c r="S34" i="1"/>
  <c r="L34" i="1"/>
  <c r="S33" i="1"/>
  <c r="T33" i="1" s="1"/>
  <c r="L33" i="1"/>
  <c r="S32" i="1"/>
  <c r="X32" i="1" s="1"/>
  <c r="L32" i="1"/>
  <c r="S31" i="1"/>
  <c r="L31" i="1"/>
  <c r="S30" i="1"/>
  <c r="Y30" i="1" s="1"/>
  <c r="L30" i="1"/>
  <c r="S29" i="1"/>
  <c r="L29" i="1"/>
  <c r="S28" i="1"/>
  <c r="Y28" i="1" s="1"/>
  <c r="L28" i="1"/>
  <c r="S27" i="1"/>
  <c r="Y27" i="1" s="1"/>
  <c r="L27" i="1"/>
  <c r="S26" i="1"/>
  <c r="L26" i="1"/>
  <c r="S25" i="1"/>
  <c r="X25" i="1" s="1"/>
  <c r="L25" i="1"/>
  <c r="S24" i="1"/>
  <c r="T24" i="1" s="1"/>
  <c r="U24" i="1" s="1"/>
  <c r="L24" i="1"/>
  <c r="S23" i="1"/>
  <c r="L23" i="1"/>
  <c r="S22" i="1"/>
  <c r="Y22" i="1" s="1"/>
  <c r="L22" i="1"/>
  <c r="S21" i="1"/>
  <c r="Y21" i="1" s="1"/>
  <c r="L21" i="1"/>
  <c r="S20" i="1"/>
  <c r="Y20" i="1" s="1"/>
  <c r="L20" i="1"/>
  <c r="S19" i="1"/>
  <c r="Y19" i="1" s="1"/>
  <c r="L19" i="1"/>
  <c r="S18" i="1"/>
  <c r="Y18" i="1" s="1"/>
  <c r="L18" i="1"/>
  <c r="S17" i="1"/>
  <c r="T17" i="1" s="1"/>
  <c r="U17" i="1" s="1"/>
  <c r="L17" i="1"/>
  <c r="S16" i="1"/>
  <c r="T16" i="1" s="1"/>
  <c r="L16" i="1"/>
  <c r="S15" i="1"/>
  <c r="Y15" i="1" s="1"/>
  <c r="L15" i="1"/>
  <c r="S14" i="1"/>
  <c r="T14" i="1" s="1"/>
  <c r="L14" i="1"/>
  <c r="S13" i="1"/>
  <c r="T13" i="1" s="1"/>
  <c r="U13" i="1" s="1"/>
  <c r="L13" i="1"/>
  <c r="S12" i="1"/>
  <c r="L12" i="1"/>
  <c r="S11" i="1"/>
  <c r="Y11" i="1" s="1"/>
  <c r="L11" i="1"/>
  <c r="S10" i="1"/>
  <c r="Y10" i="1" s="1"/>
  <c r="L10" i="1"/>
  <c r="S9" i="1"/>
  <c r="Y9" i="1" s="1"/>
  <c r="L9" i="1"/>
  <c r="S8" i="1"/>
  <c r="T8" i="1" s="1"/>
  <c r="U8" i="1" s="1"/>
  <c r="L8" i="1"/>
  <c r="S7" i="1"/>
  <c r="T7" i="1" s="1"/>
  <c r="U7" i="1" s="1"/>
  <c r="L7" i="1"/>
  <c r="S6" i="1"/>
  <c r="T6" i="1" s="1"/>
  <c r="U6" i="1" s="1"/>
  <c r="L6" i="1"/>
  <c r="AI5" i="1"/>
  <c r="AH5" i="1"/>
  <c r="AG5" i="1"/>
  <c r="AF5" i="1"/>
  <c r="AE5" i="1"/>
  <c r="AD5" i="1"/>
  <c r="AC5" i="1"/>
  <c r="AB5" i="1"/>
  <c r="AA5" i="1"/>
  <c r="Z5" i="1"/>
  <c r="R5" i="1"/>
  <c r="Q5" i="1"/>
  <c r="P5" i="1"/>
  <c r="O5" i="1"/>
  <c r="N5" i="1"/>
  <c r="M5" i="1"/>
  <c r="K5" i="1"/>
  <c r="Y122" i="1" l="1"/>
  <c r="X122" i="1"/>
  <c r="Y123" i="1"/>
  <c r="X123" i="1"/>
  <c r="Y125" i="1"/>
  <c r="X125" i="1"/>
  <c r="Y127" i="1"/>
  <c r="X127" i="1"/>
  <c r="AK6" i="1"/>
  <c r="X6" i="1"/>
  <c r="X7" i="1"/>
  <c r="AK7" i="1"/>
  <c r="X8" i="1"/>
  <c r="AK8" i="1"/>
  <c r="Y12" i="1"/>
  <c r="X12" i="1"/>
  <c r="AK13" i="1"/>
  <c r="X13" i="1"/>
  <c r="X14" i="1"/>
  <c r="AK14" i="1"/>
  <c r="X16" i="1"/>
  <c r="AK16" i="1"/>
  <c r="AK17" i="1"/>
  <c r="X17" i="1"/>
  <c r="X24" i="1"/>
  <c r="AK24" i="1"/>
  <c r="Y26" i="1"/>
  <c r="X26" i="1"/>
  <c r="Y29" i="1"/>
  <c r="X29" i="1"/>
  <c r="Y31" i="1"/>
  <c r="X31" i="1"/>
  <c r="AK33" i="1"/>
  <c r="X33" i="1"/>
  <c r="X36" i="1"/>
  <c r="AK36" i="1"/>
  <c r="Y38" i="1"/>
  <c r="X38" i="1"/>
  <c r="X39" i="1"/>
  <c r="AK39" i="1"/>
  <c r="Y43" i="1"/>
  <c r="X43" i="1"/>
  <c r="Y44" i="1"/>
  <c r="X44" i="1"/>
  <c r="X51" i="1"/>
  <c r="AK51" i="1"/>
  <c r="X55" i="1"/>
  <c r="AK56" i="1"/>
  <c r="X56" i="1"/>
  <c r="AK58" i="1"/>
  <c r="X58" i="1"/>
  <c r="Y60" i="1"/>
  <c r="X60" i="1"/>
  <c r="Y62" i="1"/>
  <c r="X62" i="1"/>
  <c r="Y65" i="1"/>
  <c r="X65" i="1"/>
  <c r="AK66" i="1"/>
  <c r="X66" i="1"/>
  <c r="X67" i="1"/>
  <c r="AK67" i="1"/>
  <c r="Y69" i="1"/>
  <c r="X69" i="1"/>
  <c r="X71" i="1"/>
  <c r="AK71" i="1"/>
  <c r="Y72" i="1"/>
  <c r="X72" i="1"/>
  <c r="Y74" i="1"/>
  <c r="X74" i="1"/>
  <c r="Y76" i="1"/>
  <c r="X76" i="1"/>
  <c r="Y81" i="1"/>
  <c r="X81" i="1"/>
  <c r="Y82" i="1"/>
  <c r="X82" i="1"/>
  <c r="Y83" i="1"/>
  <c r="X83" i="1"/>
  <c r="Y84" i="1"/>
  <c r="X84" i="1"/>
  <c r="Y85" i="1"/>
  <c r="X85" i="1"/>
  <c r="AK86" i="1"/>
  <c r="X86" i="1"/>
  <c r="AK88" i="1"/>
  <c r="X88" i="1"/>
  <c r="Y93" i="1"/>
  <c r="X93" i="1"/>
  <c r="AK94" i="1"/>
  <c r="X94" i="1"/>
  <c r="Y98" i="1"/>
  <c r="X98" i="1"/>
  <c r="Y101" i="1"/>
  <c r="X101" i="1"/>
  <c r="Y103" i="1"/>
  <c r="X103" i="1"/>
  <c r="Y105" i="1"/>
  <c r="X105" i="1"/>
  <c r="Y106" i="1"/>
  <c r="X106" i="1"/>
  <c r="Y108" i="1"/>
  <c r="X108" i="1"/>
  <c r="Y109" i="1"/>
  <c r="X109" i="1"/>
  <c r="Y110" i="1"/>
  <c r="X110" i="1"/>
  <c r="Y111" i="1"/>
  <c r="X111" i="1"/>
  <c r="Y114" i="1"/>
  <c r="X114" i="1"/>
  <c r="AK116" i="1"/>
  <c r="X116" i="1"/>
  <c r="AK117" i="1"/>
  <c r="X117" i="1"/>
  <c r="Y119" i="1"/>
  <c r="X119" i="1"/>
  <c r="T59" i="1"/>
  <c r="U59" i="1" s="1"/>
  <c r="T35" i="1"/>
  <c r="U35" i="1" s="1"/>
  <c r="E5" i="1"/>
  <c r="Y94" i="1"/>
  <c r="T107" i="1"/>
  <c r="Y13" i="1"/>
  <c r="Y61" i="1"/>
  <c r="Y24" i="1"/>
  <c r="Y33" i="1"/>
  <c r="T11" i="1"/>
  <c r="U11" i="1" s="1"/>
  <c r="T53" i="1"/>
  <c r="U53" i="1" s="1"/>
  <c r="Y16" i="1"/>
  <c r="F5" i="1"/>
  <c r="Y86" i="1"/>
  <c r="T27" i="1"/>
  <c r="U27" i="1" s="1"/>
  <c r="T45" i="1"/>
  <c r="U45" i="1" s="1"/>
  <c r="T78" i="1"/>
  <c r="U78" i="1" s="1"/>
  <c r="T34" i="1"/>
  <c r="U34" i="1" s="1"/>
  <c r="T54" i="1"/>
  <c r="Y124" i="1"/>
  <c r="T77" i="1"/>
  <c r="U77" i="1" s="1"/>
  <c r="T15" i="1"/>
  <c r="U15" i="1" s="1"/>
  <c r="T37" i="1"/>
  <c r="U37" i="1" s="1"/>
  <c r="T79" i="1"/>
  <c r="U79" i="1" s="1"/>
  <c r="T18" i="1"/>
  <c r="U18" i="1" s="1"/>
  <c r="T112" i="1"/>
  <c r="U112" i="1" s="1"/>
  <c r="Y49" i="1"/>
  <c r="T19" i="1"/>
  <c r="T113" i="1"/>
  <c r="U113" i="1" s="1"/>
  <c r="T20" i="1"/>
  <c r="U20" i="1" s="1"/>
  <c r="T41" i="1"/>
  <c r="U41" i="1" s="1"/>
  <c r="T115" i="1"/>
  <c r="U115" i="1" s="1"/>
  <c r="T21" i="1"/>
  <c r="U21" i="1" s="1"/>
  <c r="T42" i="1"/>
  <c r="U42" i="1" s="1"/>
  <c r="T87" i="1"/>
  <c r="U87" i="1" s="1"/>
  <c r="T22" i="1"/>
  <c r="U22" i="1" s="1"/>
  <c r="T63" i="1"/>
  <c r="U63" i="1" s="1"/>
  <c r="T23" i="1"/>
  <c r="T118" i="1"/>
  <c r="U118" i="1" s="1"/>
  <c r="T91" i="1"/>
  <c r="U91" i="1" s="1"/>
  <c r="T92" i="1"/>
  <c r="U92" i="1" s="1"/>
  <c r="T47" i="1"/>
  <c r="T28" i="1"/>
  <c r="U28" i="1" s="1"/>
  <c r="T48" i="1"/>
  <c r="U48" i="1" s="1"/>
  <c r="Y25" i="1"/>
  <c r="T95" i="1"/>
  <c r="U95" i="1" s="1"/>
  <c r="T30" i="1"/>
  <c r="U30" i="1" s="1"/>
  <c r="T50" i="1"/>
  <c r="U50" i="1" s="1"/>
  <c r="T99" i="1"/>
  <c r="U99" i="1" s="1"/>
  <c r="T124" i="1"/>
  <c r="U124" i="1" s="1"/>
  <c r="T9" i="1"/>
  <c r="U9" i="1" s="1"/>
  <c r="T100" i="1"/>
  <c r="T10" i="1"/>
  <c r="U10" i="1" s="1"/>
  <c r="T102" i="1"/>
  <c r="T126" i="1"/>
  <c r="U126" i="1" s="1"/>
  <c r="Y57" i="1"/>
  <c r="Y36" i="1"/>
  <c r="Y41" i="1"/>
  <c r="Y52" i="1"/>
  <c r="Y80" i="1"/>
  <c r="Y32" i="1"/>
  <c r="Y48" i="1"/>
  <c r="Y120" i="1"/>
  <c r="Y17" i="1"/>
  <c r="Y90" i="1"/>
  <c r="Y40" i="1"/>
  <c r="Y73" i="1"/>
  <c r="Y97" i="1"/>
  <c r="Y128" i="1"/>
  <c r="Y55" i="1"/>
  <c r="S5" i="1"/>
  <c r="Y34" i="1"/>
  <c r="Y50" i="1"/>
  <c r="Y66" i="1"/>
  <c r="Y100" i="1"/>
  <c r="Y99" i="1"/>
  <c r="Y116" i="1"/>
  <c r="Y104" i="1"/>
  <c r="Y117" i="1"/>
  <c r="Y121" i="1"/>
  <c r="Y23" i="1"/>
  <c r="Y71" i="1"/>
  <c r="Y75" i="1"/>
  <c r="Y96" i="1"/>
  <c r="Y7" i="1"/>
  <c r="Y59" i="1"/>
  <c r="Y88" i="1"/>
  <c r="Y46" i="1"/>
  <c r="L55" i="1"/>
  <c r="L5" i="1" s="1"/>
  <c r="Y39" i="1"/>
  <c r="Y51" i="1"/>
  <c r="Y67" i="1"/>
  <c r="Y6" i="1"/>
  <c r="Y70" i="1"/>
  <c r="Y14" i="1"/>
  <c r="Y58" i="1"/>
  <c r="Y8" i="1"/>
  <c r="Y56" i="1"/>
  <c r="Y64" i="1"/>
  <c r="Y68" i="1"/>
  <c r="Y89" i="1"/>
  <c r="AK126" i="1" l="1"/>
  <c r="X126" i="1"/>
  <c r="X10" i="1"/>
  <c r="AK10" i="1"/>
  <c r="AK9" i="1"/>
  <c r="X9" i="1"/>
  <c r="X99" i="1"/>
  <c r="AK99" i="1"/>
  <c r="X30" i="1"/>
  <c r="AK30" i="1"/>
  <c r="X28" i="1"/>
  <c r="AK28" i="1"/>
  <c r="AK92" i="1"/>
  <c r="X92" i="1"/>
  <c r="AK118" i="1"/>
  <c r="X118" i="1"/>
  <c r="X63" i="1"/>
  <c r="AK63" i="1"/>
  <c r="X87" i="1"/>
  <c r="AK87" i="1"/>
  <c r="AK21" i="1"/>
  <c r="X21" i="1"/>
  <c r="AK41" i="1"/>
  <c r="X41" i="1"/>
  <c r="AK113" i="1"/>
  <c r="X113" i="1"/>
  <c r="X18" i="1"/>
  <c r="AK18" i="1"/>
  <c r="AK37" i="1"/>
  <c r="X37" i="1"/>
  <c r="AK77" i="1"/>
  <c r="X77" i="1"/>
  <c r="X54" i="1"/>
  <c r="AK54" i="1"/>
  <c r="AK78" i="1"/>
  <c r="X78" i="1"/>
  <c r="X27" i="1"/>
  <c r="AK27" i="1"/>
  <c r="AK53" i="1"/>
  <c r="X53" i="1"/>
  <c r="X107" i="1"/>
  <c r="AK107" i="1"/>
  <c r="X59" i="1"/>
  <c r="AK59" i="1"/>
  <c r="U5" i="1"/>
  <c r="AK102" i="1"/>
  <c r="X102" i="1"/>
  <c r="AK100" i="1"/>
  <c r="X100" i="1"/>
  <c r="AK124" i="1"/>
  <c r="X124" i="1"/>
  <c r="X50" i="1"/>
  <c r="AK50" i="1"/>
  <c r="X95" i="1"/>
  <c r="AK95" i="1"/>
  <c r="X48" i="1"/>
  <c r="AK48" i="1"/>
  <c r="X47" i="1"/>
  <c r="AK47" i="1"/>
  <c r="X91" i="1"/>
  <c r="AK91" i="1"/>
  <c r="X23" i="1"/>
  <c r="AK23" i="1"/>
  <c r="X22" i="1"/>
  <c r="AK22" i="1"/>
  <c r="X42" i="1"/>
  <c r="AK42" i="1"/>
  <c r="AK115" i="1"/>
  <c r="X115" i="1"/>
  <c r="X20" i="1"/>
  <c r="AK20" i="1"/>
  <c r="X19" i="1"/>
  <c r="AK19" i="1"/>
  <c r="AK112" i="1"/>
  <c r="X112" i="1"/>
  <c r="X79" i="1"/>
  <c r="AK79" i="1"/>
  <c r="X15" i="1"/>
  <c r="AK15" i="1"/>
  <c r="X34" i="1"/>
  <c r="AK34" i="1"/>
  <c r="AK45" i="1"/>
  <c r="X45" i="1"/>
  <c r="X11" i="1"/>
  <c r="AK11" i="1"/>
  <c r="X35" i="1"/>
  <c r="AK35" i="1"/>
  <c r="T5" i="1"/>
  <c r="AK5" i="1" l="1"/>
</calcChain>
</file>

<file path=xl/sharedStrings.xml><?xml version="1.0" encoding="utf-8"?>
<sst xmlns="http://schemas.openxmlformats.org/spreadsheetml/2006/main" count="463" uniqueCount="183">
  <si>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</si>
  <si>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</si>
  <si>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</si>
  <si>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</si>
  <si>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</si>
  <si>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</si>
  <si>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</si>
  <si>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</si>
  <si>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</si>
  <si>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</si>
  <si>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</si>
  <si>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</si>
  <si>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</si>
  <si>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</si>
  <si>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</si>
  <si>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</si>
  <si>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</si>
  <si>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</si>
  <si>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</si>
  <si>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</si>
  <si>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</si>
  <si>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</si>
  <si>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</si>
  <si>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29,09,доз</t>
  </si>
  <si>
    <t>06,10,</t>
  </si>
  <si>
    <t>11,10,</t>
  </si>
  <si>
    <t>08,10,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</si>
  <si>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</si>
  <si>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</si>
  <si>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</si>
  <si>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</si>
  <si>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</si>
  <si>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</si>
  <si>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</si>
  <si>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</si>
  <si>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</si>
  <si>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</si>
  <si>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</si>
  <si>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</si>
  <si>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</si>
  <si>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</si>
  <si>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</si>
  <si>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</si>
  <si>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</si>
  <si>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</si>
  <si>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</si>
  <si>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</si>
  <si>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</si>
  <si>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</si>
  <si>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</si>
  <si>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</si>
  <si>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</si>
  <si>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</si>
  <si>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</si>
  <si>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</si>
  <si>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</si>
  <si>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</si>
  <si>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</si>
  <si>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</si>
  <si>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</si>
  <si>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</si>
  <si>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</si>
  <si>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</si>
  <si>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</si>
  <si>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</si>
  <si>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</si>
  <si>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</si>
  <si>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</si>
  <si>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</si>
  <si>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</si>
  <si>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</si>
  <si>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</si>
  <si>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</si>
  <si>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</si>
  <si>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</si>
  <si>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</si>
  <si>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</si>
  <si>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</si>
  <si>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</si>
  <si>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</si>
  <si>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</si>
  <si>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</si>
  <si>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</si>
  <si>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</si>
  <si>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</si>
  <si>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</si>
  <si>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</si>
  <si>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</si>
  <si>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</si>
  <si>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</si>
  <si>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</si>
  <si>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</si>
  <si>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</si>
  <si>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</si>
  <si>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</si>
  <si>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</si>
  <si>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</si>
  <si>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</si>
  <si>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</si>
  <si>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</si>
  <si>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</si>
  <si>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</si>
  <si>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</si>
  <si>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</si>
  <si>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</si>
  <si>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</si>
  <si>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</si>
  <si>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</si>
  <si>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</si>
  <si>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</si>
  <si>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</si>
  <si>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</si>
  <si>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</si>
  <si>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</si>
  <si>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</si>
  <si>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</si>
  <si>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</si>
  <si>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</si>
  <si>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</si>
  <si>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</si>
  <si>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</si>
  <si>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</si>
  <si>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</si>
  <si>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</si>
  <si>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</si>
  <si>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</si>
  <si>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</si>
  <si>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</si>
  <si>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</si>
  <si>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</si>
  <si>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</si>
  <si>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</si>
  <si>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</si>
  <si>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</si>
  <si>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</si>
  <si>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</si>
  <si>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</si>
  <si>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</si>
  <si>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</si>
  <si>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</si>
  <si>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</si>
  <si>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</si>
  <si>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</si>
  <si>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</si>
  <si>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</si>
  <si>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</si>
  <si>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</si>
  <si>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</si>
  <si>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</si>
  <si>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</si>
  <si>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</si>
  <si>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</si>
  <si>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</si>
  <si>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</si>
  <si>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</si>
  <si>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</si>
  <si>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</si>
  <si>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</si>
  <si>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</si>
  <si>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</si>
  <si>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</si>
  <si>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</si>
  <si>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</si>
  <si>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</si>
  <si>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</si>
  <si>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</si>
  <si>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</si>
  <si>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</si>
  <si>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</si>
  <si>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</si>
  <si>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</si>
  <si>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</si>
  <si>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</si>
  <si>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</si>
  <si>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</si>
  <si>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</si>
  <si>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</si>
  <si>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>вывод</t>
  </si>
  <si>
    <t>ТК</t>
  </si>
  <si>
    <t>Боярко</t>
  </si>
  <si>
    <t>ТК ком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</si>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</sst>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8_10_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29,09,</v>
          </cell>
          <cell r="P4" t="str">
            <v>29,09,доз</v>
          </cell>
          <cell r="Q4" t="str">
            <v>06,10,</v>
          </cell>
          <cell r="R4" t="str">
            <v>11,10,</v>
          </cell>
          <cell r="S4" t="str">
            <v>08,10,</v>
          </cell>
        </row>
        <row r="5">
          <cell r="E5">
            <v>22628.613000000005</v>
          </cell>
          <cell r="F5">
            <v>11569.099999999999</v>
          </cell>
          <cell r="K5">
            <v>25065.257999999998</v>
          </cell>
          <cell r="L5">
            <v>-2436.6449999999995</v>
          </cell>
          <cell r="M5">
            <v>0</v>
          </cell>
          <cell r="N5">
            <v>0</v>
          </cell>
          <cell r="O5">
            <v>19835.992707599999</v>
          </cell>
          <cell r="P5">
            <v>240</v>
          </cell>
          <cell r="Q5">
            <v>7252.3271375999993</v>
          </cell>
          <cell r="R5">
            <v>6918.7955520000005</v>
          </cell>
          <cell r="S5">
            <v>4525.7226000000001</v>
          </cell>
          <cell r="T5">
            <v>12990.738254800001</v>
          </cell>
          <cell r="U5">
            <v>3700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265.13</v>
          </cell>
          <cell r="D6">
            <v>247.12899999999999</v>
          </cell>
          <cell r="E6">
            <v>206.065</v>
          </cell>
          <cell r="F6">
            <v>196.392</v>
          </cell>
          <cell r="G6">
            <v>1</v>
          </cell>
          <cell r="H6">
            <v>50</v>
          </cell>
          <cell r="I6" t="str">
            <v>матрица</v>
          </cell>
          <cell r="K6">
            <v>206.85</v>
          </cell>
          <cell r="L6">
            <v>-0.78499999999999659</v>
          </cell>
          <cell r="O6">
            <v>45</v>
          </cell>
          <cell r="Q6">
            <v>103.27875999999981</v>
          </cell>
          <cell r="R6">
            <v>0</v>
          </cell>
          <cell r="S6">
            <v>41.213000000000001</v>
          </cell>
          <cell r="T6">
            <v>149.88524000000024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1106.2090000000001</v>
          </cell>
          <cell r="D7">
            <v>646.44500000000005</v>
          </cell>
          <cell r="E7">
            <v>529.55100000000004</v>
          </cell>
          <cell r="F7">
            <v>820.41499999999996</v>
          </cell>
          <cell r="G7">
            <v>1</v>
          </cell>
          <cell r="H7">
            <v>45</v>
          </cell>
          <cell r="I7" t="str">
            <v>матрица</v>
          </cell>
          <cell r="K7">
            <v>562.35</v>
          </cell>
          <cell r="L7">
            <v>-32.798999999999978</v>
          </cell>
          <cell r="O7">
            <v>0</v>
          </cell>
          <cell r="Q7">
            <v>210</v>
          </cell>
          <cell r="R7">
            <v>0</v>
          </cell>
          <cell r="S7">
            <v>105.9102</v>
          </cell>
          <cell r="T7">
            <v>240.50739999999996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854.17899999999997</v>
          </cell>
          <cell r="D8">
            <v>464.93299999999999</v>
          </cell>
          <cell r="E8">
            <v>571.74599999999998</v>
          </cell>
          <cell r="F8">
            <v>570.12599999999998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586.03800000000001</v>
          </cell>
          <cell r="L8">
            <v>-14.29200000000003</v>
          </cell>
          <cell r="O8">
            <v>140</v>
          </cell>
          <cell r="Q8">
            <v>0</v>
          </cell>
          <cell r="R8">
            <v>529.40658000000008</v>
          </cell>
          <cell r="S8">
            <v>114.3492</v>
          </cell>
          <cell r="T8">
            <v>132.6578199999999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29</v>
          </cell>
          <cell r="D9">
            <v>81</v>
          </cell>
          <cell r="E9">
            <v>53</v>
          </cell>
          <cell r="F9">
            <v>47</v>
          </cell>
          <cell r="G9">
            <v>0.4</v>
          </cell>
          <cell r="H9">
            <v>50</v>
          </cell>
          <cell r="I9" t="str">
            <v>матрица</v>
          </cell>
          <cell r="K9">
            <v>50</v>
          </cell>
          <cell r="L9">
            <v>3</v>
          </cell>
          <cell r="O9">
            <v>46.09</v>
          </cell>
          <cell r="Q9">
            <v>0</v>
          </cell>
          <cell r="R9">
            <v>0</v>
          </cell>
          <cell r="S9">
            <v>10.6</v>
          </cell>
          <cell r="T9">
            <v>34.109999999999985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433</v>
          </cell>
          <cell r="D10">
            <v>10</v>
          </cell>
          <cell r="E10">
            <v>329</v>
          </cell>
          <cell r="F10">
            <v>14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421</v>
          </cell>
          <cell r="L10">
            <v>-92</v>
          </cell>
          <cell r="O10">
            <v>637.44600000000014</v>
          </cell>
          <cell r="Q10">
            <v>0</v>
          </cell>
          <cell r="R10">
            <v>0</v>
          </cell>
          <cell r="S10">
            <v>65.8</v>
          </cell>
          <cell r="T10">
            <v>138.15399999999977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457</v>
          </cell>
          <cell r="D11">
            <v>26</v>
          </cell>
          <cell r="E11">
            <v>377</v>
          </cell>
          <cell r="F11">
            <v>-4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428</v>
          </cell>
          <cell r="L11">
            <v>-51</v>
          </cell>
          <cell r="O11">
            <v>635.96600000000012</v>
          </cell>
          <cell r="Q11">
            <v>0</v>
          </cell>
          <cell r="R11">
            <v>0</v>
          </cell>
          <cell r="S11">
            <v>75.400000000000006</v>
          </cell>
          <cell r="T11">
            <v>272.83399999999995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116</v>
          </cell>
          <cell r="D13">
            <v>53</v>
          </cell>
          <cell r="E13">
            <v>142</v>
          </cell>
          <cell r="F13">
            <v>2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141</v>
          </cell>
          <cell r="L13">
            <v>1</v>
          </cell>
          <cell r="O13">
            <v>0</v>
          </cell>
          <cell r="Q13">
            <v>0</v>
          </cell>
          <cell r="R13">
            <v>223.74</v>
          </cell>
          <cell r="S13">
            <v>28.4</v>
          </cell>
          <cell r="T13">
            <v>115.05999999999995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251</v>
          </cell>
          <cell r="D14">
            <v>3</v>
          </cell>
          <cell r="E14">
            <v>157</v>
          </cell>
          <cell r="F14">
            <v>44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164</v>
          </cell>
          <cell r="L14">
            <v>-7</v>
          </cell>
          <cell r="O14">
            <v>0</v>
          </cell>
          <cell r="Q14">
            <v>40</v>
          </cell>
          <cell r="R14">
            <v>223.4</v>
          </cell>
          <cell r="S14">
            <v>31.4</v>
          </cell>
          <cell r="T14">
            <v>69.399999999999949</v>
          </cell>
          <cell r="U14">
            <v>150</v>
          </cell>
          <cell r="V14" t="str">
            <v>Есть спрос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139.02500000000001</v>
          </cell>
          <cell r="D15">
            <v>649.73699999999997</v>
          </cell>
          <cell r="E15">
            <v>473.351</v>
          </cell>
          <cell r="F15">
            <v>190.31399999999999</v>
          </cell>
          <cell r="G15">
            <v>1</v>
          </cell>
          <cell r="H15">
            <v>70</v>
          </cell>
          <cell r="I15" t="str">
            <v>матрица</v>
          </cell>
          <cell r="K15">
            <v>452.6</v>
          </cell>
          <cell r="L15">
            <v>20.750999999999976</v>
          </cell>
          <cell r="O15">
            <v>0</v>
          </cell>
          <cell r="Q15">
            <v>795.17547999999977</v>
          </cell>
          <cell r="R15">
            <v>0</v>
          </cell>
          <cell r="S15">
            <v>94.670199999999994</v>
          </cell>
          <cell r="T15">
            <v>150.55292000000006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1176.296</v>
          </cell>
          <cell r="D16">
            <v>2021.8910000000001</v>
          </cell>
          <cell r="E16">
            <v>1815.8720000000001</v>
          </cell>
          <cell r="F16">
            <v>751.81600000000003</v>
          </cell>
          <cell r="G16">
            <v>1</v>
          </cell>
          <cell r="H16">
            <v>50</v>
          </cell>
          <cell r="I16" t="str">
            <v>матрица</v>
          </cell>
          <cell r="K16">
            <v>2017</v>
          </cell>
          <cell r="L16">
            <v>-201.12799999999993</v>
          </cell>
          <cell r="O16">
            <v>3367.4361520000011</v>
          </cell>
          <cell r="Q16">
            <v>0</v>
          </cell>
          <cell r="R16">
            <v>0</v>
          </cell>
          <cell r="S16">
            <v>363.17439999999999</v>
          </cell>
          <cell r="T16">
            <v>238.84064799999919</v>
          </cell>
          <cell r="U16">
            <v>100</v>
          </cell>
          <cell r="V16" t="str">
            <v>Есть товарный запас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133.30600000000001</v>
          </cell>
          <cell r="E17">
            <v>95.212000000000003</v>
          </cell>
          <cell r="F17">
            <v>15.028</v>
          </cell>
          <cell r="G17">
            <v>1</v>
          </cell>
          <cell r="H17">
            <v>60</v>
          </cell>
          <cell r="I17" t="str">
            <v>матрица</v>
          </cell>
          <cell r="K17">
            <v>98.18</v>
          </cell>
          <cell r="L17">
            <v>-2.9680000000000035</v>
          </cell>
          <cell r="O17">
            <v>15</v>
          </cell>
          <cell r="Q17">
            <v>27.020399999999999</v>
          </cell>
          <cell r="R17">
            <v>84.508719999999983</v>
          </cell>
          <cell r="S17">
            <v>19.042400000000001</v>
          </cell>
          <cell r="T17">
            <v>86.951680000000025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1.7410000000000001</v>
          </cell>
          <cell r="D18">
            <v>42.261000000000003</v>
          </cell>
          <cell r="E18">
            <v>40.472000000000001</v>
          </cell>
          <cell r="F18">
            <v>-1.7689999999999999</v>
          </cell>
          <cell r="G18">
            <v>1</v>
          </cell>
          <cell r="H18">
            <v>60</v>
          </cell>
          <cell r="I18" t="str">
            <v>матрица</v>
          </cell>
          <cell r="K18">
            <v>42.8</v>
          </cell>
          <cell r="L18">
            <v>-2.3279999999999959</v>
          </cell>
          <cell r="O18">
            <v>10</v>
          </cell>
          <cell r="Q18">
            <v>62.902220000000007</v>
          </cell>
          <cell r="R18">
            <v>0</v>
          </cell>
          <cell r="S18">
            <v>8.0944000000000003</v>
          </cell>
          <cell r="T18">
            <v>25.999579999999995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26.885999999999999</v>
          </cell>
          <cell r="E19">
            <v>23.326000000000001</v>
          </cell>
          <cell r="F19">
            <v>-6.2E-2</v>
          </cell>
          <cell r="G19">
            <v>1</v>
          </cell>
          <cell r="H19">
            <v>180</v>
          </cell>
          <cell r="I19" t="str">
            <v>матрица</v>
          </cell>
          <cell r="K19">
            <v>29.72</v>
          </cell>
          <cell r="L19">
            <v>-6.3939999999999984</v>
          </cell>
          <cell r="O19">
            <v>18.658359999999998</v>
          </cell>
          <cell r="Q19">
            <v>0</v>
          </cell>
          <cell r="R19">
            <v>4</v>
          </cell>
          <cell r="S19">
            <v>4.6652000000000005</v>
          </cell>
          <cell r="T19">
            <v>33.386040000000008</v>
          </cell>
          <cell r="U19">
            <v>80</v>
          </cell>
          <cell r="V19" t="str">
            <v>Есть спрос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275.37700000000001</v>
          </cell>
          <cell r="D20">
            <v>599.14499999999998</v>
          </cell>
          <cell r="E20">
            <v>533.51900000000001</v>
          </cell>
          <cell r="F20">
            <v>174.46899999999999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545.74</v>
          </cell>
          <cell r="L20">
            <v>-12.221000000000004</v>
          </cell>
          <cell r="O20">
            <v>228.23503999999971</v>
          </cell>
          <cell r="Q20">
            <v>318.96857760000017</v>
          </cell>
          <cell r="R20">
            <v>309.39875999999998</v>
          </cell>
          <cell r="S20">
            <v>106.7038</v>
          </cell>
          <cell r="T20">
            <v>249.37422240000018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332.40100000000001</v>
          </cell>
          <cell r="D21">
            <v>1.778</v>
          </cell>
          <cell r="E21">
            <v>111.911</v>
          </cell>
          <cell r="F21">
            <v>186.77500000000001</v>
          </cell>
          <cell r="G21">
            <v>1</v>
          </cell>
          <cell r="H21">
            <v>70</v>
          </cell>
          <cell r="I21" t="str">
            <v>матрица</v>
          </cell>
          <cell r="K21">
            <v>120.98</v>
          </cell>
          <cell r="L21">
            <v>-9.0690000000000026</v>
          </cell>
          <cell r="O21">
            <v>0</v>
          </cell>
          <cell r="Q21">
            <v>0</v>
          </cell>
          <cell r="R21">
            <v>0</v>
          </cell>
          <cell r="S21">
            <v>22.382200000000001</v>
          </cell>
          <cell r="T21">
            <v>81.81140000000002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294.52199999999999</v>
          </cell>
          <cell r="D22">
            <v>8.7840000000000007</v>
          </cell>
          <cell r="E22">
            <v>268.42099999999999</v>
          </cell>
          <cell r="F22">
            <v>0.621</v>
          </cell>
          <cell r="G22">
            <v>1</v>
          </cell>
          <cell r="H22">
            <v>70</v>
          </cell>
          <cell r="I22" t="str">
            <v>матрица</v>
          </cell>
          <cell r="K22">
            <v>282.10000000000002</v>
          </cell>
          <cell r="L22">
            <v>-13.67900000000003</v>
          </cell>
          <cell r="O22">
            <v>0</v>
          </cell>
          <cell r="Q22">
            <v>457.82459999999992</v>
          </cell>
          <cell r="R22">
            <v>0</v>
          </cell>
          <cell r="S22">
            <v>53.684199999999997</v>
          </cell>
          <cell r="T22">
            <v>185.76480000000001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79.025000000000006</v>
          </cell>
          <cell r="D23">
            <v>1.016</v>
          </cell>
          <cell r="E23">
            <v>28.815000000000001</v>
          </cell>
          <cell r="F23">
            <v>38.694000000000003</v>
          </cell>
          <cell r="G23">
            <v>1</v>
          </cell>
          <cell r="H23">
            <v>180</v>
          </cell>
          <cell r="I23" t="str">
            <v>матрица</v>
          </cell>
          <cell r="K23">
            <v>32.43</v>
          </cell>
          <cell r="L23">
            <v>-3.6149999999999984</v>
          </cell>
          <cell r="O23">
            <v>0</v>
          </cell>
          <cell r="Q23">
            <v>0</v>
          </cell>
          <cell r="R23">
            <v>0</v>
          </cell>
          <cell r="S23">
            <v>5.7629999999999999</v>
          </cell>
          <cell r="T23">
            <v>30.462000000000003</v>
          </cell>
          <cell r="U23">
            <v>60</v>
          </cell>
          <cell r="V23" t="str">
            <v>Есть спрос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191.941</v>
          </cell>
          <cell r="D24">
            <v>310.92500000000001</v>
          </cell>
          <cell r="E24">
            <v>298.89600000000002</v>
          </cell>
          <cell r="F24">
            <v>94.566999999999993</v>
          </cell>
          <cell r="G24">
            <v>1</v>
          </cell>
          <cell r="H24">
            <v>70</v>
          </cell>
          <cell r="I24" t="str">
            <v>матрица</v>
          </cell>
          <cell r="K24">
            <v>309.89999999999998</v>
          </cell>
          <cell r="L24">
            <v>-11.003999999999962</v>
          </cell>
          <cell r="O24">
            <v>0</v>
          </cell>
          <cell r="Q24">
            <v>0</v>
          </cell>
          <cell r="R24">
            <v>410.74574000000001</v>
          </cell>
          <cell r="S24">
            <v>59.779200000000003</v>
          </cell>
          <cell r="T24">
            <v>212.03766000000002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198.75</v>
          </cell>
          <cell r="D26">
            <v>374.64600000000002</v>
          </cell>
          <cell r="E26">
            <v>164.49199999999999</v>
          </cell>
          <cell r="F26">
            <v>261.08100000000002</v>
          </cell>
          <cell r="G26">
            <v>1</v>
          </cell>
          <cell r="H26">
            <v>30</v>
          </cell>
          <cell r="I26" t="str">
            <v>НЗвУЦ / матрица</v>
          </cell>
          <cell r="K26">
            <v>166.65</v>
          </cell>
          <cell r="L26">
            <v>-2.1580000000000155</v>
          </cell>
          <cell r="O26">
            <v>0</v>
          </cell>
          <cell r="Q26">
            <v>0</v>
          </cell>
          <cell r="R26">
            <v>0</v>
          </cell>
          <cell r="S26">
            <v>32.898399999999995</v>
          </cell>
          <cell r="T26">
            <v>50</v>
          </cell>
          <cell r="U26">
            <v>0</v>
          </cell>
          <cell r="V26" t="str">
            <v>Попали в уценку 80кг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-1.575</v>
          </cell>
          <cell r="D27">
            <v>93.572999999999993</v>
          </cell>
          <cell r="E27">
            <v>88.986999999999995</v>
          </cell>
          <cell r="F27">
            <v>-4.2999999999999997E-2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78.5</v>
          </cell>
          <cell r="L27">
            <v>10.486999999999995</v>
          </cell>
          <cell r="O27">
            <v>39</v>
          </cell>
          <cell r="Q27">
            <v>20</v>
          </cell>
          <cell r="R27">
            <v>0</v>
          </cell>
          <cell r="S27">
            <v>17.7974</v>
          </cell>
          <cell r="T27">
            <v>119.017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128.22499999999999</v>
          </cell>
          <cell r="D28">
            <v>436.53699999999998</v>
          </cell>
          <cell r="E28">
            <v>321.50799999999998</v>
          </cell>
          <cell r="F28">
            <v>132.21100000000001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343.45</v>
          </cell>
          <cell r="L28">
            <v>-21.942000000000007</v>
          </cell>
          <cell r="O28">
            <v>0</v>
          </cell>
          <cell r="Q28">
            <v>102.58199999999999</v>
          </cell>
          <cell r="R28">
            <v>457.77785999999992</v>
          </cell>
          <cell r="S28">
            <v>64.301599999999993</v>
          </cell>
          <cell r="T28">
            <v>79.048339999999939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1112.7619999999999</v>
          </cell>
          <cell r="D29">
            <v>21.443999999999999</v>
          </cell>
          <cell r="E29">
            <v>555.26400000000001</v>
          </cell>
          <cell r="F29">
            <v>400.84800000000001</v>
          </cell>
          <cell r="G29">
            <v>1</v>
          </cell>
          <cell r="H29">
            <v>40</v>
          </cell>
          <cell r="I29" t="str">
            <v>матрица</v>
          </cell>
          <cell r="K29">
            <v>559.4</v>
          </cell>
          <cell r="L29">
            <v>-4.1359999999999673</v>
          </cell>
          <cell r="O29">
            <v>1150</v>
          </cell>
          <cell r="Q29">
            <v>0</v>
          </cell>
          <cell r="R29">
            <v>0</v>
          </cell>
          <cell r="S29">
            <v>111.0528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0.14399999999999999</v>
          </cell>
          <cell r="D30">
            <v>34.81</v>
          </cell>
          <cell r="E30">
            <v>18.853999999999999</v>
          </cell>
          <cell r="F30">
            <v>14.64</v>
          </cell>
          <cell r="G30">
            <v>1</v>
          </cell>
          <cell r="H30">
            <v>40</v>
          </cell>
          <cell r="I30" t="str">
            <v>матрица</v>
          </cell>
          <cell r="K30">
            <v>18.8</v>
          </cell>
          <cell r="L30">
            <v>5.3999999999998494E-2</v>
          </cell>
          <cell r="O30">
            <v>26</v>
          </cell>
          <cell r="Q30">
            <v>0</v>
          </cell>
          <cell r="R30">
            <v>0</v>
          </cell>
          <cell r="S30">
            <v>3.7707999999999999</v>
          </cell>
          <cell r="T30">
            <v>4.6096000000000004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2.8010000000000002</v>
          </cell>
          <cell r="E31">
            <v>-3.76</v>
          </cell>
          <cell r="F31">
            <v>2.8010000000000002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15.4</v>
          </cell>
          <cell r="L31">
            <v>-19.16</v>
          </cell>
          <cell r="O31">
            <v>101.845</v>
          </cell>
          <cell r="Q31">
            <v>0</v>
          </cell>
          <cell r="R31">
            <v>30</v>
          </cell>
          <cell r="S31">
            <v>-0.752</v>
          </cell>
          <cell r="T31">
            <v>20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114.236</v>
          </cell>
          <cell r="D32">
            <v>12.696999999999999</v>
          </cell>
          <cell r="E32">
            <v>91.587999999999994</v>
          </cell>
          <cell r="F32">
            <v>11.75</v>
          </cell>
          <cell r="G32">
            <v>1</v>
          </cell>
          <cell r="H32">
            <v>50</v>
          </cell>
          <cell r="I32" t="str">
            <v>матрица</v>
          </cell>
          <cell r="K32">
            <v>94</v>
          </cell>
          <cell r="L32">
            <v>-2.4120000000000061</v>
          </cell>
          <cell r="O32">
            <v>0</v>
          </cell>
          <cell r="Q32">
            <v>250</v>
          </cell>
          <cell r="R32">
            <v>0</v>
          </cell>
          <cell r="S32">
            <v>18.317599999999999</v>
          </cell>
          <cell r="U32">
            <v>80</v>
          </cell>
          <cell r="V32" t="str">
            <v>Есть спрос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82.555000000000007</v>
          </cell>
          <cell r="D33">
            <v>7.3109999999999999</v>
          </cell>
          <cell r="E33">
            <v>69.72</v>
          </cell>
          <cell r="F33">
            <v>5.4880000000000004</v>
          </cell>
          <cell r="G33">
            <v>1</v>
          </cell>
          <cell r="H33">
            <v>50</v>
          </cell>
          <cell r="I33" t="str">
            <v>матрица</v>
          </cell>
          <cell r="K33">
            <v>71.099999999999994</v>
          </cell>
          <cell r="L33">
            <v>-1.3799999999999955</v>
          </cell>
          <cell r="O33">
            <v>0</v>
          </cell>
          <cell r="Q33">
            <v>0</v>
          </cell>
          <cell r="R33">
            <v>96.116279999999989</v>
          </cell>
          <cell r="S33">
            <v>13.943999999999999</v>
          </cell>
          <cell r="T33">
            <v>65.723719999999986</v>
          </cell>
          <cell r="U33">
            <v>100</v>
          </cell>
          <cell r="V33" t="str">
            <v>Есть спрос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37</v>
          </cell>
          <cell r="D34">
            <v>795</v>
          </cell>
          <cell r="E34">
            <v>665</v>
          </cell>
          <cell r="F34">
            <v>-23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805</v>
          </cell>
          <cell r="L34">
            <v>-140</v>
          </cell>
          <cell r="O34">
            <v>350</v>
          </cell>
          <cell r="Q34">
            <v>0</v>
          </cell>
          <cell r="R34">
            <v>318.13999999999987</v>
          </cell>
          <cell r="S34">
            <v>133</v>
          </cell>
          <cell r="T34">
            <v>950.86000000000013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238</v>
          </cell>
          <cell r="D35">
            <v>338</v>
          </cell>
          <cell r="E35">
            <v>263</v>
          </cell>
          <cell r="F35">
            <v>168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290</v>
          </cell>
          <cell r="L35">
            <v>-27</v>
          </cell>
          <cell r="O35">
            <v>0</v>
          </cell>
          <cell r="Q35">
            <v>0</v>
          </cell>
          <cell r="R35">
            <v>0</v>
          </cell>
          <cell r="S35">
            <v>52.6</v>
          </cell>
          <cell r="T35">
            <v>358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-29</v>
          </cell>
          <cell r="D36">
            <v>428</v>
          </cell>
          <cell r="E36">
            <v>271</v>
          </cell>
          <cell r="F36">
            <v>13</v>
          </cell>
          <cell r="G36">
            <v>0.4</v>
          </cell>
          <cell r="H36">
            <v>45</v>
          </cell>
          <cell r="I36" t="str">
            <v>матрица</v>
          </cell>
          <cell r="K36">
            <v>330</v>
          </cell>
          <cell r="L36">
            <v>-59</v>
          </cell>
          <cell r="O36">
            <v>370</v>
          </cell>
          <cell r="Q36">
            <v>0</v>
          </cell>
          <cell r="R36">
            <v>0</v>
          </cell>
          <cell r="S36">
            <v>54.2</v>
          </cell>
          <cell r="T36">
            <v>267.40000000000009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14</v>
          </cell>
          <cell r="D37">
            <v>36</v>
          </cell>
          <cell r="E37">
            <v>41</v>
          </cell>
          <cell r="G37">
            <v>0.4</v>
          </cell>
          <cell r="H37">
            <v>40</v>
          </cell>
          <cell r="I37" t="str">
            <v>матрица</v>
          </cell>
          <cell r="K37">
            <v>40</v>
          </cell>
          <cell r="L37">
            <v>1</v>
          </cell>
          <cell r="O37">
            <v>0</v>
          </cell>
          <cell r="Q37">
            <v>8</v>
          </cell>
          <cell r="R37">
            <v>47.599999999999987</v>
          </cell>
          <cell r="S37">
            <v>8.1999999999999993</v>
          </cell>
          <cell r="T37">
            <v>42.800000000000004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122.551</v>
          </cell>
          <cell r="E38">
            <v>27.507000000000001</v>
          </cell>
          <cell r="F38">
            <v>80.965000000000003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26</v>
          </cell>
          <cell r="L38">
            <v>1.5070000000000014</v>
          </cell>
          <cell r="O38">
            <v>0</v>
          </cell>
          <cell r="Q38">
            <v>0</v>
          </cell>
          <cell r="R38">
            <v>0</v>
          </cell>
          <cell r="S38">
            <v>5.5014000000000003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352</v>
          </cell>
          <cell r="D39">
            <v>862</v>
          </cell>
          <cell r="E39">
            <v>451</v>
          </cell>
          <cell r="F39">
            <v>621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471</v>
          </cell>
          <cell r="L39">
            <v>-20</v>
          </cell>
          <cell r="O39">
            <v>0</v>
          </cell>
          <cell r="Q39">
            <v>300</v>
          </cell>
          <cell r="R39">
            <v>0</v>
          </cell>
          <cell r="S39">
            <v>90.2</v>
          </cell>
          <cell r="T39">
            <v>161.40000000000009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-2</v>
          </cell>
          <cell r="E40">
            <v>-2</v>
          </cell>
          <cell r="F40">
            <v>-2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</v>
          </cell>
          <cell r="L40">
            <v>-4</v>
          </cell>
          <cell r="O40">
            <v>26</v>
          </cell>
          <cell r="Q40">
            <v>200</v>
          </cell>
          <cell r="R40">
            <v>0</v>
          </cell>
          <cell r="S40">
            <v>-0.4</v>
          </cell>
          <cell r="U40">
            <v>100</v>
          </cell>
          <cell r="V40" t="str">
            <v>Есть спрос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122.82599999999999</v>
          </cell>
          <cell r="D41">
            <v>264.358</v>
          </cell>
          <cell r="E41">
            <v>175.69300000000001</v>
          </cell>
          <cell r="F41">
            <v>143.89599999999999</v>
          </cell>
          <cell r="G41">
            <v>1</v>
          </cell>
          <cell r="H41">
            <v>40</v>
          </cell>
          <cell r="I41" t="str">
            <v>матрица</v>
          </cell>
          <cell r="K41">
            <v>202.8</v>
          </cell>
          <cell r="L41">
            <v>-27.106999999999999</v>
          </cell>
          <cell r="O41">
            <v>0</v>
          </cell>
          <cell r="Q41">
            <v>0</v>
          </cell>
          <cell r="R41">
            <v>140.06886</v>
          </cell>
          <cell r="S41">
            <v>35.138600000000004</v>
          </cell>
          <cell r="T41">
            <v>137.69834000000012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155</v>
          </cell>
          <cell r="E42">
            <v>100</v>
          </cell>
          <cell r="F42">
            <v>34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172</v>
          </cell>
          <cell r="L42">
            <v>-72</v>
          </cell>
          <cell r="O42">
            <v>70</v>
          </cell>
          <cell r="Q42">
            <v>0</v>
          </cell>
          <cell r="R42">
            <v>49.5</v>
          </cell>
          <cell r="S42">
            <v>20</v>
          </cell>
          <cell r="T42">
            <v>86.5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93</v>
          </cell>
          <cell r="E43">
            <v>86</v>
          </cell>
          <cell r="F43">
            <v>1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98</v>
          </cell>
          <cell r="L43">
            <v>-12</v>
          </cell>
          <cell r="O43">
            <v>0</v>
          </cell>
          <cell r="Q43">
            <v>80.200000000000017</v>
          </cell>
          <cell r="R43">
            <v>147.78</v>
          </cell>
          <cell r="S43">
            <v>17.2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-1.492</v>
          </cell>
          <cell r="D44">
            <v>139.56899999999999</v>
          </cell>
          <cell r="E44">
            <v>56.610999999999997</v>
          </cell>
          <cell r="F44">
            <v>34.137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76</v>
          </cell>
          <cell r="L44">
            <v>-19.389000000000003</v>
          </cell>
          <cell r="O44">
            <v>140</v>
          </cell>
          <cell r="Q44">
            <v>0</v>
          </cell>
          <cell r="R44">
            <v>0</v>
          </cell>
          <cell r="S44">
            <v>11.322199999999999</v>
          </cell>
          <cell r="U44">
            <v>100</v>
          </cell>
          <cell r="V44" t="str">
            <v>Есть спрос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-8</v>
          </cell>
          <cell r="D45">
            <v>264</v>
          </cell>
          <cell r="E45">
            <v>242</v>
          </cell>
          <cell r="F45">
            <v>-7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330</v>
          </cell>
          <cell r="L45">
            <v>-88</v>
          </cell>
          <cell r="O45">
            <v>195</v>
          </cell>
          <cell r="Q45">
            <v>0</v>
          </cell>
          <cell r="R45">
            <v>0</v>
          </cell>
          <cell r="S45">
            <v>48.4</v>
          </cell>
          <cell r="T45">
            <v>344.4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D46">
            <v>74</v>
          </cell>
          <cell r="E46">
            <v>69</v>
          </cell>
          <cell r="G46">
            <v>0.4</v>
          </cell>
          <cell r="H46">
            <v>40</v>
          </cell>
          <cell r="I46" t="str">
            <v>матрица</v>
          </cell>
          <cell r="K46">
            <v>83</v>
          </cell>
          <cell r="L46">
            <v>-14</v>
          </cell>
          <cell r="O46">
            <v>520</v>
          </cell>
          <cell r="Q46">
            <v>0</v>
          </cell>
          <cell r="R46">
            <v>0</v>
          </cell>
          <cell r="S46">
            <v>13.8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119.124</v>
          </cell>
          <cell r="D47">
            <v>18.829999999999998</v>
          </cell>
          <cell r="E47">
            <v>57.279000000000003</v>
          </cell>
          <cell r="F47">
            <v>58.274999999999999</v>
          </cell>
          <cell r="G47">
            <v>1</v>
          </cell>
          <cell r="H47">
            <v>50</v>
          </cell>
          <cell r="I47" t="str">
            <v>матрица</v>
          </cell>
          <cell r="K47">
            <v>57.8</v>
          </cell>
          <cell r="L47">
            <v>-0.52099999999999369</v>
          </cell>
          <cell r="O47">
            <v>0</v>
          </cell>
          <cell r="Q47">
            <v>0</v>
          </cell>
          <cell r="R47">
            <v>0</v>
          </cell>
          <cell r="S47">
            <v>11.4558</v>
          </cell>
          <cell r="T47">
            <v>79.194600000000008</v>
          </cell>
          <cell r="U47">
            <v>150</v>
          </cell>
          <cell r="V47" t="str">
            <v>Промо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258.43299999999999</v>
          </cell>
          <cell r="D48">
            <v>51.893999999999998</v>
          </cell>
          <cell r="E48">
            <v>164.1</v>
          </cell>
          <cell r="F48">
            <v>60.063000000000002</v>
          </cell>
          <cell r="G48">
            <v>1</v>
          </cell>
          <cell r="H48">
            <v>50</v>
          </cell>
          <cell r="I48" t="str">
            <v>матрица</v>
          </cell>
          <cell r="K48">
            <v>177.2</v>
          </cell>
          <cell r="L48">
            <v>-13.099999999999994</v>
          </cell>
          <cell r="O48">
            <v>0</v>
          </cell>
          <cell r="Q48">
            <v>0</v>
          </cell>
          <cell r="R48">
            <v>270.30741999999998</v>
          </cell>
          <cell r="S48">
            <v>32.82</v>
          </cell>
          <cell r="T48">
            <v>63.46958000000005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6.0949999999999998</v>
          </cell>
          <cell r="E49">
            <v>6.1180000000000003</v>
          </cell>
          <cell r="F49">
            <v>-2.3E-2</v>
          </cell>
          <cell r="G49">
            <v>1</v>
          </cell>
          <cell r="H49">
            <v>45</v>
          </cell>
          <cell r="I49" t="str">
            <v>НЕДОГРУЗ / матрица</v>
          </cell>
          <cell r="K49">
            <v>6.2</v>
          </cell>
          <cell r="L49">
            <v>-8.1999999999999851E-2</v>
          </cell>
          <cell r="O49">
            <v>0</v>
          </cell>
          <cell r="Q49">
            <v>40</v>
          </cell>
          <cell r="R49">
            <v>39.709199999999989</v>
          </cell>
          <cell r="S49">
            <v>1.2236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264</v>
          </cell>
          <cell r="D50">
            <v>149</v>
          </cell>
          <cell r="E50">
            <v>165</v>
          </cell>
          <cell r="F50">
            <v>173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177</v>
          </cell>
          <cell r="L50">
            <v>-12</v>
          </cell>
          <cell r="O50">
            <v>0</v>
          </cell>
          <cell r="Q50">
            <v>0</v>
          </cell>
          <cell r="R50">
            <v>0</v>
          </cell>
          <cell r="S50">
            <v>33</v>
          </cell>
          <cell r="T50">
            <v>223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291</v>
          </cell>
          <cell r="D51">
            <v>205</v>
          </cell>
          <cell r="E51">
            <v>243</v>
          </cell>
          <cell r="F51">
            <v>200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258</v>
          </cell>
          <cell r="L51">
            <v>-15</v>
          </cell>
          <cell r="O51">
            <v>0</v>
          </cell>
          <cell r="Q51">
            <v>0</v>
          </cell>
          <cell r="R51">
            <v>0</v>
          </cell>
          <cell r="S51">
            <v>48.6</v>
          </cell>
          <cell r="T51">
            <v>334.6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5</v>
          </cell>
          <cell r="E52">
            <v>4</v>
          </cell>
          <cell r="F52">
            <v>1</v>
          </cell>
          <cell r="G52">
            <v>0.4</v>
          </cell>
          <cell r="H52">
            <v>40</v>
          </cell>
          <cell r="I52" t="str">
            <v>матрица</v>
          </cell>
          <cell r="K52">
            <v>10</v>
          </cell>
          <cell r="L52">
            <v>-6</v>
          </cell>
          <cell r="O52">
            <v>130</v>
          </cell>
          <cell r="Q52">
            <v>0</v>
          </cell>
          <cell r="R52">
            <v>0</v>
          </cell>
          <cell r="S52">
            <v>0.8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90</v>
          </cell>
          <cell r="D53">
            <v>18</v>
          </cell>
          <cell r="E53">
            <v>83</v>
          </cell>
          <cell r="F53">
            <v>7</v>
          </cell>
          <cell r="G53">
            <v>0.4</v>
          </cell>
          <cell r="H53">
            <v>40</v>
          </cell>
          <cell r="I53" t="str">
            <v>матрица</v>
          </cell>
          <cell r="K53">
            <v>99</v>
          </cell>
          <cell r="L53">
            <v>-16</v>
          </cell>
          <cell r="O53">
            <v>178.88</v>
          </cell>
          <cell r="Q53">
            <v>0</v>
          </cell>
          <cell r="R53">
            <v>0</v>
          </cell>
          <cell r="S53">
            <v>16.600000000000001</v>
          </cell>
          <cell r="T53">
            <v>13.320000000000022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117.521</v>
          </cell>
          <cell r="D54">
            <v>5.9119999999999999</v>
          </cell>
          <cell r="E54">
            <v>101.422</v>
          </cell>
          <cell r="F54">
            <v>-2.9780000000000002</v>
          </cell>
          <cell r="G54">
            <v>1</v>
          </cell>
          <cell r="H54">
            <v>50</v>
          </cell>
          <cell r="I54" t="str">
            <v>матрица</v>
          </cell>
          <cell r="K54">
            <v>100.05</v>
          </cell>
          <cell r="L54">
            <v>1.3719999999999999</v>
          </cell>
          <cell r="O54">
            <v>0</v>
          </cell>
          <cell r="Q54">
            <v>62.210600000000021</v>
          </cell>
          <cell r="R54">
            <v>58.824959999999962</v>
          </cell>
          <cell r="S54">
            <v>20.284399999999998</v>
          </cell>
          <cell r="T54">
            <v>125.35523999999999</v>
          </cell>
          <cell r="U54">
            <v>150</v>
          </cell>
          <cell r="V54" t="str">
            <v>Промо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530</v>
          </cell>
          <cell r="D55">
            <v>442</v>
          </cell>
          <cell r="E55">
            <v>267</v>
          </cell>
          <cell r="F55">
            <v>783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211</v>
          </cell>
          <cell r="L55">
            <v>56</v>
          </cell>
          <cell r="O55">
            <v>0</v>
          </cell>
          <cell r="Q55">
            <v>0</v>
          </cell>
          <cell r="R55">
            <v>0</v>
          </cell>
          <cell r="S55">
            <v>53.4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132.66300000000001</v>
          </cell>
          <cell r="D56">
            <v>65.108000000000004</v>
          </cell>
          <cell r="E56">
            <v>127.503</v>
          </cell>
          <cell r="F56">
            <v>4.2489999999999997</v>
          </cell>
          <cell r="G56">
            <v>1</v>
          </cell>
          <cell r="H56">
            <v>50</v>
          </cell>
          <cell r="I56" t="str">
            <v>матрица</v>
          </cell>
          <cell r="K56">
            <v>131.94999999999999</v>
          </cell>
          <cell r="L56">
            <v>-4.4469999999999885</v>
          </cell>
          <cell r="O56">
            <v>82.069568000000018</v>
          </cell>
          <cell r="Q56">
            <v>0</v>
          </cell>
          <cell r="R56">
            <v>172.901072</v>
          </cell>
          <cell r="S56">
            <v>25.500599999999999</v>
          </cell>
          <cell r="T56">
            <v>46.787559999999992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83.046000000000006</v>
          </cell>
          <cell r="D57">
            <v>68.692999999999998</v>
          </cell>
          <cell r="E57">
            <v>35.344000000000001</v>
          </cell>
          <cell r="F57">
            <v>91.02</v>
          </cell>
          <cell r="G57">
            <v>1</v>
          </cell>
          <cell r="H57">
            <v>55</v>
          </cell>
          <cell r="I57" t="str">
            <v>матрица</v>
          </cell>
          <cell r="K57">
            <v>33</v>
          </cell>
          <cell r="L57">
            <v>2.3440000000000012</v>
          </cell>
          <cell r="O57">
            <v>0</v>
          </cell>
          <cell r="Q57">
            <v>0</v>
          </cell>
          <cell r="R57">
            <v>0</v>
          </cell>
          <cell r="S57">
            <v>7.0688000000000004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552</v>
          </cell>
          <cell r="D58">
            <v>262</v>
          </cell>
          <cell r="E58">
            <v>307</v>
          </cell>
          <cell r="F58">
            <v>429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274</v>
          </cell>
          <cell r="L58">
            <v>33</v>
          </cell>
          <cell r="O58">
            <v>0</v>
          </cell>
          <cell r="Q58">
            <v>0</v>
          </cell>
          <cell r="R58">
            <v>0</v>
          </cell>
          <cell r="S58">
            <v>61.4</v>
          </cell>
          <cell r="T58">
            <v>307.79999999999995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39</v>
          </cell>
          <cell r="D59">
            <v>10</v>
          </cell>
          <cell r="E59">
            <v>28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29</v>
          </cell>
          <cell r="L59">
            <v>-1</v>
          </cell>
          <cell r="O59">
            <v>0</v>
          </cell>
          <cell r="Q59">
            <v>12.6</v>
          </cell>
          <cell r="R59">
            <v>9.3999999999999986</v>
          </cell>
          <cell r="S59">
            <v>5.6</v>
          </cell>
          <cell r="T59">
            <v>39.599999999999994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98.56</v>
          </cell>
          <cell r="D60">
            <v>1.3879999999999999</v>
          </cell>
          <cell r="E60">
            <v>92.694000000000003</v>
          </cell>
          <cell r="F60">
            <v>4.4820000000000002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104.3</v>
          </cell>
          <cell r="L60">
            <v>-11.605999999999995</v>
          </cell>
          <cell r="O60">
            <v>60.469499999999996</v>
          </cell>
          <cell r="Q60">
            <v>168.3501</v>
          </cell>
          <cell r="R60">
            <v>0</v>
          </cell>
          <cell r="S60">
            <v>18.538800000000002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87.79</v>
          </cell>
          <cell r="D61">
            <v>42.988999999999997</v>
          </cell>
          <cell r="E61">
            <v>126.598</v>
          </cell>
          <cell r="F61">
            <v>3.9E-2</v>
          </cell>
          <cell r="G61">
            <v>1</v>
          </cell>
          <cell r="H61">
            <v>40</v>
          </cell>
          <cell r="I61" t="str">
            <v>матрица</v>
          </cell>
          <cell r="K61">
            <v>124.15</v>
          </cell>
          <cell r="L61">
            <v>2.4479999999999933</v>
          </cell>
          <cell r="O61">
            <v>130</v>
          </cell>
          <cell r="Q61">
            <v>151.20139999999989</v>
          </cell>
          <cell r="R61">
            <v>83.949359999999999</v>
          </cell>
          <cell r="S61">
            <v>25.319600000000001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444</v>
          </cell>
          <cell r="D62">
            <v>190</v>
          </cell>
          <cell r="E62">
            <v>328</v>
          </cell>
          <cell r="F62">
            <v>284</v>
          </cell>
          <cell r="G62">
            <v>0.4</v>
          </cell>
          <cell r="H62">
            <v>40</v>
          </cell>
          <cell r="I62" t="str">
            <v>матрица</v>
          </cell>
          <cell r="K62">
            <v>597</v>
          </cell>
          <cell r="L62">
            <v>-269</v>
          </cell>
          <cell r="O62">
            <v>65</v>
          </cell>
          <cell r="Q62">
            <v>90</v>
          </cell>
          <cell r="R62">
            <v>870.17999999999984</v>
          </cell>
          <cell r="S62">
            <v>65.599999999999994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179</v>
          </cell>
          <cell r="D63">
            <v>466</v>
          </cell>
          <cell r="E63">
            <v>433</v>
          </cell>
          <cell r="F63">
            <v>18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525</v>
          </cell>
          <cell r="L63">
            <v>-92</v>
          </cell>
          <cell r="O63">
            <v>333.97800000000012</v>
          </cell>
          <cell r="Q63">
            <v>0</v>
          </cell>
          <cell r="R63">
            <v>199.32</v>
          </cell>
          <cell r="S63">
            <v>86.6</v>
          </cell>
          <cell r="T63">
            <v>487.90199999999976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90.576999999999998</v>
          </cell>
          <cell r="E64">
            <v>87.08</v>
          </cell>
          <cell r="F64">
            <v>-0.114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101.7</v>
          </cell>
          <cell r="L64">
            <v>-14.620000000000005</v>
          </cell>
          <cell r="O64">
            <v>0</v>
          </cell>
          <cell r="Q64">
            <v>100</v>
          </cell>
          <cell r="R64">
            <v>247.54074</v>
          </cell>
          <cell r="S64">
            <v>17.416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12.608000000000001</v>
          </cell>
          <cell r="D65">
            <v>65.13</v>
          </cell>
          <cell r="E65">
            <v>76.798000000000002</v>
          </cell>
          <cell r="F65">
            <v>-0.88600000000000001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90.8</v>
          </cell>
          <cell r="L65">
            <v>-14.001999999999995</v>
          </cell>
          <cell r="O65">
            <v>0</v>
          </cell>
          <cell r="Q65">
            <v>100</v>
          </cell>
          <cell r="R65">
            <v>151.74987999999999</v>
          </cell>
          <cell r="S65">
            <v>15.3596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-5.3999999999999999E-2</v>
          </cell>
          <cell r="D66">
            <v>71.230999999999995</v>
          </cell>
          <cell r="E66">
            <v>66.694000000000003</v>
          </cell>
          <cell r="F66">
            <v>-5.1999999999999998E-2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145.69999999999999</v>
          </cell>
          <cell r="L66">
            <v>-79.005999999999986</v>
          </cell>
          <cell r="O66">
            <v>101.51804</v>
          </cell>
          <cell r="Q66">
            <v>0</v>
          </cell>
          <cell r="R66">
            <v>39.587200000000003</v>
          </cell>
          <cell r="S66">
            <v>13.338800000000001</v>
          </cell>
          <cell r="T66">
            <v>19.012360000000022</v>
          </cell>
          <cell r="U66">
            <v>100</v>
          </cell>
          <cell r="V66" t="str">
            <v>Промо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-0.89700000000000002</v>
          </cell>
          <cell r="D67">
            <v>103.783</v>
          </cell>
          <cell r="E67">
            <v>102.881</v>
          </cell>
          <cell r="F67">
            <v>-0.90300000000000002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93.8</v>
          </cell>
          <cell r="L67">
            <v>9.0810000000000031</v>
          </cell>
          <cell r="O67">
            <v>26</v>
          </cell>
          <cell r="Q67">
            <v>0</v>
          </cell>
          <cell r="R67">
            <v>0</v>
          </cell>
          <cell r="S67">
            <v>20.5762</v>
          </cell>
          <cell r="T67">
            <v>139.51259999999999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20</v>
          </cell>
          <cell r="D68">
            <v>2</v>
          </cell>
          <cell r="E68">
            <v>14</v>
          </cell>
          <cell r="F68">
            <v>3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11</v>
          </cell>
          <cell r="L68">
            <v>3</v>
          </cell>
          <cell r="O68">
            <v>43.787999999999997</v>
          </cell>
          <cell r="Q68">
            <v>0</v>
          </cell>
          <cell r="R68">
            <v>0</v>
          </cell>
          <cell r="S68">
            <v>2.8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623.06299999999999</v>
          </cell>
          <cell r="D69">
            <v>27.896000000000001</v>
          </cell>
          <cell r="E69">
            <v>101.128</v>
          </cell>
          <cell r="F69">
            <v>-4.3999999999999997E-2</v>
          </cell>
          <cell r="G69">
            <v>1</v>
          </cell>
          <cell r="H69">
            <v>30</v>
          </cell>
          <cell r="I69" t="str">
            <v>НЗвУЦ / матрица</v>
          </cell>
          <cell r="K69">
            <v>158.9</v>
          </cell>
          <cell r="L69">
            <v>-57.772000000000006</v>
          </cell>
          <cell r="O69">
            <v>65</v>
          </cell>
          <cell r="Q69">
            <v>0</v>
          </cell>
          <cell r="R69">
            <v>220</v>
          </cell>
          <cell r="S69">
            <v>20.2256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152</v>
          </cell>
          <cell r="E71">
            <v>98</v>
          </cell>
          <cell r="F71">
            <v>38</v>
          </cell>
          <cell r="G71">
            <v>0.6</v>
          </cell>
          <cell r="H71">
            <v>60</v>
          </cell>
          <cell r="I71" t="str">
            <v>матрица</v>
          </cell>
          <cell r="K71">
            <v>86</v>
          </cell>
          <cell r="L71">
            <v>12</v>
          </cell>
          <cell r="O71">
            <v>0</v>
          </cell>
          <cell r="Q71">
            <v>0</v>
          </cell>
          <cell r="R71">
            <v>0</v>
          </cell>
          <cell r="S71">
            <v>19.600000000000001</v>
          </cell>
          <cell r="T71">
            <v>99.200000000000017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163</v>
          </cell>
          <cell r="D72">
            <v>26</v>
          </cell>
          <cell r="E72">
            <v>62</v>
          </cell>
          <cell r="F72">
            <v>111</v>
          </cell>
          <cell r="G72">
            <v>0.4</v>
          </cell>
          <cell r="H72">
            <v>90</v>
          </cell>
          <cell r="I72" t="str">
            <v>матрица</v>
          </cell>
          <cell r="K72">
            <v>72</v>
          </cell>
          <cell r="L72">
            <v>-10</v>
          </cell>
          <cell r="O72">
            <v>59.447999999999972</v>
          </cell>
          <cell r="Q72">
            <v>0</v>
          </cell>
          <cell r="R72">
            <v>0</v>
          </cell>
          <cell r="S72">
            <v>12.4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297</v>
          </cell>
          <cell r="D73">
            <v>124</v>
          </cell>
          <cell r="E73">
            <v>153</v>
          </cell>
          <cell r="F73">
            <v>234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170</v>
          </cell>
          <cell r="L73">
            <v>-17</v>
          </cell>
          <cell r="O73">
            <v>0</v>
          </cell>
          <cell r="Q73">
            <v>0</v>
          </cell>
          <cell r="R73">
            <v>130.88</v>
          </cell>
          <cell r="S73">
            <v>30.6</v>
          </cell>
          <cell r="T73">
            <v>8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149</v>
          </cell>
          <cell r="D74">
            <v>46</v>
          </cell>
          <cell r="E74">
            <v>73</v>
          </cell>
          <cell r="F74">
            <v>103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83</v>
          </cell>
          <cell r="L74">
            <v>-10</v>
          </cell>
          <cell r="O74">
            <v>20</v>
          </cell>
          <cell r="Q74">
            <v>55.799999999999983</v>
          </cell>
          <cell r="R74">
            <v>0</v>
          </cell>
          <cell r="S74">
            <v>14.6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371</v>
          </cell>
          <cell r="D75">
            <v>2</v>
          </cell>
          <cell r="E75">
            <v>59</v>
          </cell>
          <cell r="G75">
            <v>0.37</v>
          </cell>
          <cell r="H75">
            <v>50</v>
          </cell>
          <cell r="I75" t="str">
            <v>НЗвУЦ / матрица</v>
          </cell>
          <cell r="K75">
            <v>67</v>
          </cell>
          <cell r="L75">
            <v>-8</v>
          </cell>
          <cell r="O75">
            <v>0</v>
          </cell>
          <cell r="Q75">
            <v>0</v>
          </cell>
          <cell r="R75">
            <v>148.32</v>
          </cell>
          <cell r="S75">
            <v>11.8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O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189</v>
          </cell>
          <cell r="D77">
            <v>2</v>
          </cell>
          <cell r="E77">
            <v>134</v>
          </cell>
          <cell r="F77">
            <v>25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136</v>
          </cell>
          <cell r="L77">
            <v>-2</v>
          </cell>
          <cell r="O77">
            <v>50.152000000000022</v>
          </cell>
          <cell r="Q77">
            <v>0</v>
          </cell>
          <cell r="R77">
            <v>89.528000000000006</v>
          </cell>
          <cell r="S77">
            <v>26.8</v>
          </cell>
          <cell r="T77">
            <v>156.91999999999999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127</v>
          </cell>
          <cell r="D78">
            <v>18</v>
          </cell>
          <cell r="E78">
            <v>125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153</v>
          </cell>
          <cell r="L78">
            <v>-28</v>
          </cell>
          <cell r="O78">
            <v>0</v>
          </cell>
          <cell r="Q78">
            <v>0</v>
          </cell>
          <cell r="R78">
            <v>6.4000000000000057</v>
          </cell>
          <cell r="S78">
            <v>25</v>
          </cell>
          <cell r="T78">
            <v>168.6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23</v>
          </cell>
          <cell r="D79">
            <v>21</v>
          </cell>
          <cell r="E79">
            <v>28</v>
          </cell>
          <cell r="F79">
            <v>6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34</v>
          </cell>
          <cell r="L79">
            <v>-6</v>
          </cell>
          <cell r="O79">
            <v>0</v>
          </cell>
          <cell r="Q79">
            <v>0</v>
          </cell>
          <cell r="R79">
            <v>42</v>
          </cell>
          <cell r="S79">
            <v>5.6</v>
          </cell>
          <cell r="T79">
            <v>19.199999999999989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9</v>
          </cell>
          <cell r="D80">
            <v>93</v>
          </cell>
          <cell r="E80">
            <v>26</v>
          </cell>
          <cell r="F80">
            <v>67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33</v>
          </cell>
          <cell r="L80">
            <v>-7</v>
          </cell>
          <cell r="O80">
            <v>13</v>
          </cell>
          <cell r="Q80">
            <v>0</v>
          </cell>
          <cell r="R80">
            <v>0</v>
          </cell>
          <cell r="S80">
            <v>5.2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50.357999999999997</v>
          </cell>
          <cell r="D83">
            <v>2.875</v>
          </cell>
          <cell r="E83">
            <v>14.412000000000001</v>
          </cell>
          <cell r="F83">
            <v>38.820999999999998</v>
          </cell>
          <cell r="G83">
            <v>1</v>
          </cell>
          <cell r="H83">
            <v>55</v>
          </cell>
          <cell r="I83" t="str">
            <v>матрица</v>
          </cell>
          <cell r="K83">
            <v>12.2</v>
          </cell>
          <cell r="L83">
            <v>2.2120000000000015</v>
          </cell>
          <cell r="O83">
            <v>0</v>
          </cell>
          <cell r="Q83">
            <v>0</v>
          </cell>
          <cell r="R83">
            <v>0</v>
          </cell>
          <cell r="S83">
            <v>2.8824000000000001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-3.1E-2</v>
          </cell>
          <cell r="D84">
            <v>450.86700000000002</v>
          </cell>
          <cell r="E84">
            <v>153.14400000000001</v>
          </cell>
          <cell r="F84">
            <v>237.26599999999999</v>
          </cell>
          <cell r="G84">
            <v>1</v>
          </cell>
          <cell r="H84">
            <v>60</v>
          </cell>
          <cell r="I84" t="str">
            <v>матрица</v>
          </cell>
          <cell r="K84">
            <v>170.32</v>
          </cell>
          <cell r="L84">
            <v>-17.175999999999988</v>
          </cell>
          <cell r="O84">
            <v>223.86785199999991</v>
          </cell>
          <cell r="Q84">
            <v>0</v>
          </cell>
          <cell r="R84">
            <v>0</v>
          </cell>
          <cell r="S84">
            <v>30.628800000000002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1696.1389999999999</v>
          </cell>
          <cell r="D86">
            <v>1969.4949999999999</v>
          </cell>
          <cell r="E86">
            <v>1695.9839999999999</v>
          </cell>
          <cell r="F86">
            <v>1402.961</v>
          </cell>
          <cell r="G86">
            <v>1</v>
          </cell>
          <cell r="H86">
            <v>60</v>
          </cell>
          <cell r="I86" t="str">
            <v>матрица</v>
          </cell>
          <cell r="K86">
            <v>1865.5</v>
          </cell>
          <cell r="L86">
            <v>-169.51600000000008</v>
          </cell>
          <cell r="O86">
            <v>1470.560449999999</v>
          </cell>
          <cell r="Q86">
            <v>0</v>
          </cell>
          <cell r="R86">
            <v>0</v>
          </cell>
          <cell r="S86">
            <v>339.1968</v>
          </cell>
          <cell r="T86">
            <v>1196.8401500000011</v>
          </cell>
          <cell r="U86">
            <v>800</v>
          </cell>
          <cell r="V86" t="str">
            <v>Есть товарный запас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1325.9280000000001</v>
          </cell>
          <cell r="D87">
            <v>822.16800000000001</v>
          </cell>
          <cell r="E87">
            <v>1766.704</v>
          </cell>
          <cell r="F87">
            <v>-149.32900000000001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1907</v>
          </cell>
          <cell r="L87">
            <v>-140.29600000000005</v>
          </cell>
          <cell r="O87">
            <v>2518.9122660000012</v>
          </cell>
          <cell r="P87">
            <v>240</v>
          </cell>
          <cell r="Q87">
            <v>500</v>
          </cell>
          <cell r="R87">
            <v>0</v>
          </cell>
          <cell r="S87">
            <v>353.3408</v>
          </cell>
          <cell r="T87">
            <v>1130.506333999999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1912.9770000000001</v>
          </cell>
          <cell r="D88">
            <v>1901.848</v>
          </cell>
          <cell r="E88">
            <v>2647.7130000000002</v>
          </cell>
          <cell r="F88">
            <v>341.30900000000003</v>
          </cell>
          <cell r="G88">
            <v>1</v>
          </cell>
          <cell r="H88">
            <v>60</v>
          </cell>
          <cell r="I88" t="str">
            <v>матрица</v>
          </cell>
          <cell r="K88">
            <v>2832</v>
          </cell>
          <cell r="L88">
            <v>-184.28699999999981</v>
          </cell>
          <cell r="O88">
            <v>2829.5209559999998</v>
          </cell>
          <cell r="Q88">
            <v>1500</v>
          </cell>
          <cell r="R88">
            <v>0</v>
          </cell>
          <cell r="S88">
            <v>529.54259999999999</v>
          </cell>
          <cell r="T88">
            <v>1683.6812440000001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G89">
            <v>0</v>
          </cell>
          <cell r="I89" t="str">
            <v>НЕДОГРУЗ / матрица</v>
          </cell>
          <cell r="L89">
            <v>0</v>
          </cell>
          <cell r="O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-3</v>
          </cell>
          <cell r="G90">
            <v>0.3</v>
          </cell>
          <cell r="H90">
            <v>40</v>
          </cell>
          <cell r="I90" t="str">
            <v>НЕДОГРУЗ / матрица</v>
          </cell>
          <cell r="L90">
            <v>-3</v>
          </cell>
          <cell r="O90">
            <v>13</v>
          </cell>
          <cell r="Q90">
            <v>60</v>
          </cell>
          <cell r="R90">
            <v>0</v>
          </cell>
          <cell r="S90">
            <v>-0.6</v>
          </cell>
          <cell r="U90">
            <v>100</v>
          </cell>
          <cell r="V90" t="str">
            <v>Есть спрос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121</v>
          </cell>
          <cell r="D91">
            <v>7</v>
          </cell>
          <cell r="E91">
            <v>97</v>
          </cell>
          <cell r="F91">
            <v>1</v>
          </cell>
          <cell r="G91">
            <v>0.3</v>
          </cell>
          <cell r="I91" t="str">
            <v>НЕДОГРУЗ / матрица</v>
          </cell>
          <cell r="K91">
            <v>108</v>
          </cell>
          <cell r="L91">
            <v>-11</v>
          </cell>
          <cell r="O91">
            <v>0</v>
          </cell>
          <cell r="Q91">
            <v>100</v>
          </cell>
          <cell r="R91">
            <v>88.4</v>
          </cell>
          <cell r="S91">
            <v>19.399999999999999</v>
          </cell>
          <cell r="T91">
            <v>43.399999999999977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65</v>
          </cell>
          <cell r="D92">
            <v>3</v>
          </cell>
          <cell r="E92">
            <v>59</v>
          </cell>
          <cell r="F92">
            <v>1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66</v>
          </cell>
          <cell r="L92">
            <v>-7</v>
          </cell>
          <cell r="O92">
            <v>103.48</v>
          </cell>
          <cell r="Q92">
            <v>0</v>
          </cell>
          <cell r="R92">
            <v>0</v>
          </cell>
          <cell r="S92">
            <v>11.8</v>
          </cell>
          <cell r="T92">
            <v>37.120000000000019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3</v>
          </cell>
          <cell r="L93">
            <v>-3</v>
          </cell>
          <cell r="O93">
            <v>39</v>
          </cell>
          <cell r="Q93">
            <v>80</v>
          </cell>
          <cell r="R93">
            <v>0</v>
          </cell>
          <cell r="S93">
            <v>0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52</v>
          </cell>
          <cell r="D94">
            <v>21</v>
          </cell>
          <cell r="E94">
            <v>72</v>
          </cell>
          <cell r="F94">
            <v>-2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76</v>
          </cell>
          <cell r="L94">
            <v>-4</v>
          </cell>
          <cell r="O94">
            <v>106.08</v>
          </cell>
          <cell r="Q94">
            <v>0</v>
          </cell>
          <cell r="R94">
            <v>52.52</v>
          </cell>
          <cell r="S94">
            <v>14.4</v>
          </cell>
          <cell r="T94">
            <v>16.200000000000003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132</v>
          </cell>
          <cell r="D95">
            <v>7</v>
          </cell>
          <cell r="E95">
            <v>84</v>
          </cell>
          <cell r="F95">
            <v>29</v>
          </cell>
          <cell r="G95">
            <v>0.3</v>
          </cell>
          <cell r="I95" t="str">
            <v>матрица</v>
          </cell>
          <cell r="K95">
            <v>96</v>
          </cell>
          <cell r="L95">
            <v>-12</v>
          </cell>
          <cell r="O95">
            <v>41.173999999999992</v>
          </cell>
          <cell r="Q95">
            <v>0</v>
          </cell>
          <cell r="R95">
            <v>42.566000000000017</v>
          </cell>
          <cell r="S95">
            <v>16.8</v>
          </cell>
          <cell r="T95">
            <v>88.86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G96">
            <v>0</v>
          </cell>
          <cell r="I96" t="str">
            <v>матрица</v>
          </cell>
          <cell r="L96">
            <v>0</v>
          </cell>
          <cell r="O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228</v>
          </cell>
          <cell r="D99">
            <v>3</v>
          </cell>
          <cell r="E99">
            <v>100</v>
          </cell>
          <cell r="F99">
            <v>99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112</v>
          </cell>
          <cell r="L99">
            <v>-12</v>
          </cell>
          <cell r="O99">
            <v>0</v>
          </cell>
          <cell r="Q99">
            <v>0</v>
          </cell>
          <cell r="R99">
            <v>58.220000000000013</v>
          </cell>
          <cell r="S99">
            <v>20</v>
          </cell>
          <cell r="T99">
            <v>82.779999999999973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143</v>
          </cell>
          <cell r="D100">
            <v>3</v>
          </cell>
          <cell r="E100">
            <v>122</v>
          </cell>
          <cell r="F100">
            <v>-12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139</v>
          </cell>
          <cell r="L100">
            <v>-17</v>
          </cell>
          <cell r="O100">
            <v>87.56200000000004</v>
          </cell>
          <cell r="Q100">
            <v>0</v>
          </cell>
          <cell r="R100">
            <v>135.71799999999999</v>
          </cell>
          <cell r="S100">
            <v>24.4</v>
          </cell>
          <cell r="T100">
            <v>81.519999999999925</v>
          </cell>
          <cell r="U100">
            <v>200</v>
          </cell>
          <cell r="V100" t="str">
            <v>Есть спрос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G101">
            <v>0</v>
          </cell>
          <cell r="I101" t="str">
            <v>НЕДОГРУЗ / матрица</v>
          </cell>
          <cell r="L101">
            <v>0</v>
          </cell>
          <cell r="O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-1.7000000000000001E-2</v>
          </cell>
          <cell r="D102">
            <v>177.21199999999999</v>
          </cell>
          <cell r="E102">
            <v>172.29499999999999</v>
          </cell>
          <cell r="F102">
            <v>-0.42099999999999999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225.7</v>
          </cell>
          <cell r="L102">
            <v>-53.405000000000001</v>
          </cell>
          <cell r="O102">
            <v>130</v>
          </cell>
          <cell r="Q102">
            <v>100</v>
          </cell>
          <cell r="R102">
            <v>0</v>
          </cell>
          <cell r="S102">
            <v>34.458999999999996</v>
          </cell>
          <cell r="T102">
            <v>183.92899999999992</v>
          </cell>
          <cell r="U102">
            <v>250</v>
          </cell>
          <cell r="V102" t="str">
            <v>Промо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2.1890000000000001</v>
          </cell>
          <cell r="E103">
            <v>1.409</v>
          </cell>
          <cell r="F103">
            <v>-1.409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6.3</v>
          </cell>
          <cell r="L103">
            <v>-4.891</v>
          </cell>
          <cell r="O103">
            <v>0</v>
          </cell>
          <cell r="Q103">
            <v>100</v>
          </cell>
          <cell r="R103">
            <v>102.2598</v>
          </cell>
          <cell r="S103">
            <v>0.28179999999999999</v>
          </cell>
          <cell r="U103">
            <v>150</v>
          </cell>
          <cell r="V103" t="str">
            <v>Промо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D104">
            <v>93.61</v>
          </cell>
          <cell r="E104">
            <v>85.001000000000005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117</v>
          </cell>
          <cell r="L104">
            <v>-31.998999999999995</v>
          </cell>
          <cell r="O104">
            <v>0</v>
          </cell>
          <cell r="Q104">
            <v>50</v>
          </cell>
          <cell r="R104">
            <v>204.63381999999999</v>
          </cell>
          <cell r="S104">
            <v>17.0002</v>
          </cell>
          <cell r="U104">
            <v>130</v>
          </cell>
          <cell r="V104" t="str">
            <v>Промо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шт</v>
          </cell>
          <cell r="G106">
            <v>0</v>
          </cell>
          <cell r="I106" t="str">
            <v>НЕДОГРУЗ / матрица</v>
          </cell>
          <cell r="L106">
            <v>0</v>
          </cell>
          <cell r="O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</v>
          </cell>
          <cell r="D107">
            <v>174</v>
          </cell>
          <cell r="E107">
            <v>172</v>
          </cell>
          <cell r="F107">
            <v>2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207</v>
          </cell>
          <cell r="L107">
            <v>-35</v>
          </cell>
          <cell r="O107">
            <v>195</v>
          </cell>
          <cell r="Q107">
            <v>150</v>
          </cell>
          <cell r="R107">
            <v>0</v>
          </cell>
          <cell r="S107">
            <v>34.4</v>
          </cell>
          <cell r="T107">
            <v>65.799999999999955</v>
          </cell>
          <cell r="U107">
            <v>200</v>
          </cell>
          <cell r="V107" t="str">
            <v>Промо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C108">
            <v>12</v>
          </cell>
          <cell r="E108">
            <v>5</v>
          </cell>
          <cell r="F108">
            <v>3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50</v>
          </cell>
          <cell r="L108">
            <v>-45</v>
          </cell>
          <cell r="O108">
            <v>130</v>
          </cell>
          <cell r="Q108">
            <v>300</v>
          </cell>
          <cell r="R108">
            <v>110.88</v>
          </cell>
          <cell r="S108">
            <v>1</v>
          </cell>
          <cell r="U108">
            <v>100</v>
          </cell>
          <cell r="V108" t="str">
            <v>Промо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3</v>
          </cell>
          <cell r="E109">
            <v>-1</v>
          </cell>
          <cell r="F109">
            <v>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30</v>
          </cell>
          <cell r="L109">
            <v>-31</v>
          </cell>
          <cell r="O109">
            <v>260</v>
          </cell>
          <cell r="Q109">
            <v>180</v>
          </cell>
          <cell r="R109">
            <v>0</v>
          </cell>
          <cell r="S109">
            <v>-0.2</v>
          </cell>
          <cell r="U109">
            <v>100</v>
          </cell>
          <cell r="V109" t="str">
            <v>Промо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G110">
            <v>0</v>
          </cell>
          <cell r="I110" t="str">
            <v>матрица</v>
          </cell>
          <cell r="L110">
            <v>0</v>
          </cell>
          <cell r="O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96.872</v>
          </cell>
          <cell r="D111">
            <v>59.918999999999997</v>
          </cell>
          <cell r="E111">
            <v>32.276000000000003</v>
          </cell>
          <cell r="F111">
            <v>122.08499999999999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32.5</v>
          </cell>
          <cell r="L111">
            <v>-0.22399999999999665</v>
          </cell>
          <cell r="O111">
            <v>0</v>
          </cell>
          <cell r="Q111">
            <v>0</v>
          </cell>
          <cell r="R111">
            <v>0</v>
          </cell>
          <cell r="S111">
            <v>6.4552000000000005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76.498000000000005</v>
          </cell>
          <cell r="D112">
            <v>29.91</v>
          </cell>
          <cell r="E112">
            <v>45.561999999999998</v>
          </cell>
          <cell r="F112">
            <v>58.311999999999998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42.5</v>
          </cell>
          <cell r="L112">
            <v>3.0619999999999976</v>
          </cell>
          <cell r="O112">
            <v>0</v>
          </cell>
          <cell r="Q112">
            <v>0</v>
          </cell>
          <cell r="R112">
            <v>0</v>
          </cell>
          <cell r="S112">
            <v>9.1123999999999992</v>
          </cell>
          <cell r="T112">
            <v>51.036799999999985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73</v>
          </cell>
          <cell r="E113">
            <v>58</v>
          </cell>
          <cell r="F113">
            <v>15</v>
          </cell>
          <cell r="G113">
            <v>0.09</v>
          </cell>
          <cell r="I113" t="str">
            <v>НЕДОГРУЗ / матрица</v>
          </cell>
          <cell r="K113">
            <v>55</v>
          </cell>
          <cell r="L113">
            <v>3</v>
          </cell>
          <cell r="O113">
            <v>0</v>
          </cell>
          <cell r="Q113">
            <v>31.399999999999991</v>
          </cell>
          <cell r="R113">
            <v>33.40000000000002</v>
          </cell>
          <cell r="S113">
            <v>11.6</v>
          </cell>
          <cell r="T113">
            <v>59.399999999999977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122.547</v>
          </cell>
          <cell r="D115">
            <v>190.55099999999999</v>
          </cell>
          <cell r="E115">
            <v>143.43</v>
          </cell>
          <cell r="F115">
            <v>131.32</v>
          </cell>
          <cell r="G115">
            <v>1</v>
          </cell>
          <cell r="H115">
            <v>60</v>
          </cell>
          <cell r="I115" t="str">
            <v>НЕДОГРУЗ / матрица</v>
          </cell>
          <cell r="K115">
            <v>150.1</v>
          </cell>
          <cell r="L115">
            <v>-6.6699999999999875</v>
          </cell>
          <cell r="O115">
            <v>0</v>
          </cell>
          <cell r="Q115">
            <v>45.275199999999998</v>
          </cell>
          <cell r="R115">
            <v>74.620919999999998</v>
          </cell>
          <cell r="S115">
            <v>28.686</v>
          </cell>
          <cell r="T115">
            <v>93.015879999999981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317.553</v>
          </cell>
          <cell r="D116">
            <v>2.726</v>
          </cell>
          <cell r="E116">
            <v>173.87</v>
          </cell>
          <cell r="F116">
            <v>79.281000000000006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170.7</v>
          </cell>
          <cell r="L116">
            <v>3.1700000000000159</v>
          </cell>
          <cell r="O116">
            <v>0</v>
          </cell>
          <cell r="Q116">
            <v>53.51380000000001</v>
          </cell>
          <cell r="R116">
            <v>83.254379999999998</v>
          </cell>
          <cell r="S116">
            <v>34.774000000000001</v>
          </cell>
          <cell r="T116">
            <v>201.23882000000003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102.929</v>
          </cell>
          <cell r="E117">
            <v>46.706000000000003</v>
          </cell>
          <cell r="F117">
            <v>50.720999999999997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43.6</v>
          </cell>
          <cell r="L117">
            <v>3.1060000000000016</v>
          </cell>
          <cell r="O117">
            <v>43.960665999999982</v>
          </cell>
          <cell r="Q117">
            <v>0</v>
          </cell>
          <cell r="R117">
            <v>0</v>
          </cell>
          <cell r="S117">
            <v>9.3412000000000006</v>
          </cell>
          <cell r="T117">
            <v>17.412734000000036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257.24700000000001</v>
          </cell>
          <cell r="D118">
            <v>935.08699999999999</v>
          </cell>
          <cell r="E118">
            <v>1033.7940000000001</v>
          </cell>
          <cell r="F118">
            <v>4.7510000000000003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1162</v>
          </cell>
          <cell r="L118">
            <v>-128.2059999999999</v>
          </cell>
          <cell r="O118">
            <v>2024.9748576</v>
          </cell>
          <cell r="Q118">
            <v>0</v>
          </cell>
          <cell r="R118">
            <v>0</v>
          </cell>
          <cell r="S118">
            <v>206.75880000000001</v>
          </cell>
          <cell r="T118">
            <v>451.37974239999994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400</v>
          </cell>
          <cell r="E119">
            <v>36</v>
          </cell>
          <cell r="F119">
            <v>359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29</v>
          </cell>
          <cell r="L119">
            <v>7</v>
          </cell>
          <cell r="O119">
            <v>0</v>
          </cell>
          <cell r="Q119">
            <v>0</v>
          </cell>
          <cell r="R119">
            <v>0</v>
          </cell>
          <cell r="S119">
            <v>7.2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384</v>
          </cell>
          <cell r="E120">
            <v>23</v>
          </cell>
          <cell r="F120">
            <v>406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28</v>
          </cell>
          <cell r="L120">
            <v>-5</v>
          </cell>
          <cell r="O120">
            <v>0</v>
          </cell>
          <cell r="Q120">
            <v>0</v>
          </cell>
          <cell r="R120">
            <v>0</v>
          </cell>
          <cell r="S120">
            <v>4.5999999999999996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534</v>
          </cell>
          <cell r="E121">
            <v>47</v>
          </cell>
          <cell r="F121">
            <v>468</v>
          </cell>
          <cell r="G121">
            <v>0.25</v>
          </cell>
          <cell r="H121">
            <v>1096</v>
          </cell>
          <cell r="I121" t="str">
            <v>НЕДОГРУЗ / матрица</v>
          </cell>
          <cell r="K121">
            <v>40</v>
          </cell>
          <cell r="L121">
            <v>7</v>
          </cell>
          <cell r="O121">
            <v>0</v>
          </cell>
          <cell r="Q121">
            <v>0</v>
          </cell>
          <cell r="R121">
            <v>0</v>
          </cell>
          <cell r="S121">
            <v>9.4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E122">
            <v>-3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L122">
            <v>-3</v>
          </cell>
          <cell r="O122">
            <v>13</v>
          </cell>
          <cell r="Q122">
            <v>80</v>
          </cell>
          <cell r="R122">
            <v>0</v>
          </cell>
          <cell r="S122">
            <v>-0.6</v>
          </cell>
          <cell r="U122">
            <v>150</v>
          </cell>
          <cell r="V122" t="str">
            <v>Есть спрос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L123">
            <v>0</v>
          </cell>
          <cell r="O123">
            <v>13</v>
          </cell>
          <cell r="Q123">
            <v>80</v>
          </cell>
          <cell r="R123">
            <v>0</v>
          </cell>
          <cell r="S123">
            <v>0</v>
          </cell>
          <cell r="U123">
            <v>150</v>
          </cell>
          <cell r="V123" t="str">
            <v>Есть спрос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41.162999999999997</v>
          </cell>
          <cell r="E124">
            <v>30.053000000000001</v>
          </cell>
          <cell r="F124">
            <v>4.1440000000000001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29.5</v>
          </cell>
          <cell r="L124">
            <v>0.55300000000000082</v>
          </cell>
          <cell r="O124">
            <v>0</v>
          </cell>
          <cell r="Q124">
            <v>6.024</v>
          </cell>
          <cell r="R124">
            <v>34.741999999999997</v>
          </cell>
          <cell r="S124">
            <v>6.0106000000000002</v>
          </cell>
          <cell r="T124">
            <v>27.217200000000005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L125">
            <v>0</v>
          </cell>
          <cell r="O125">
            <v>13</v>
          </cell>
          <cell r="Q125">
            <v>80</v>
          </cell>
          <cell r="R125">
            <v>0</v>
          </cell>
          <cell r="S125">
            <v>0</v>
          </cell>
          <cell r="U125">
            <v>200</v>
          </cell>
          <cell r="V125" t="str">
            <v>Есть спрос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31</v>
          </cell>
          <cell r="D126">
            <v>35</v>
          </cell>
          <cell r="E126">
            <v>61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67</v>
          </cell>
          <cell r="L126">
            <v>-6</v>
          </cell>
          <cell r="O126">
            <v>88.919999999999987</v>
          </cell>
          <cell r="Q126">
            <v>0</v>
          </cell>
          <cell r="R126">
            <v>44.800000000000018</v>
          </cell>
          <cell r="S126">
            <v>12.2</v>
          </cell>
          <cell r="T126">
            <v>12.679999999999978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191</v>
          </cell>
          <cell r="E127">
            <v>74</v>
          </cell>
          <cell r="F127">
            <v>99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78</v>
          </cell>
          <cell r="L127">
            <v>-4</v>
          </cell>
          <cell r="O127">
            <v>0</v>
          </cell>
          <cell r="Q127">
            <v>0</v>
          </cell>
          <cell r="R127">
            <v>0</v>
          </cell>
          <cell r="S127">
            <v>14.8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50</v>
          </cell>
          <cell r="F128">
            <v>50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L128">
            <v>0</v>
          </cell>
          <cell r="O128">
            <v>0</v>
          </cell>
          <cell r="Q128">
            <v>0</v>
          </cell>
          <cell r="R128">
            <v>0</v>
          </cell>
          <cell r="S12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" sqref="AJ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2" width="7" style="19" customWidth="1"/>
    <col min="23" max="23" width="10" style="19" customWidth="1"/>
    <col min="24" max="25" width="5" customWidth="1"/>
    <col min="26" max="35" width="6" customWidth="1"/>
    <col min="36" max="36" width="39.5703125" customWidth="1"/>
    <col min="37" max="37" width="7" customWidth="1"/>
    <col min="38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181</v>
      </c>
      <c r="V3" s="3" t="s">
        <v>178</v>
      </c>
      <c r="W3" s="3" t="s">
        <v>180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182</v>
      </c>
      <c r="V4" s="1" t="s">
        <v>179</v>
      </c>
      <c r="W4" s="1"/>
      <c r="X4" s="1"/>
      <c r="Y4" s="1"/>
      <c r="Z4" s="1" t="s">
        <v>24</v>
      </c>
      <c r="AA4" s="1" t="s">
        <v>27</v>
      </c>
      <c r="AB4" s="1" t="s">
        <v>22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22628.613000000005</v>
      </c>
      <c r="F5" s="4">
        <f>SUM(F6:F500)</f>
        <v>11569.099999999999</v>
      </c>
      <c r="G5" s="7"/>
      <c r="H5" s="1"/>
      <c r="I5" s="1"/>
      <c r="J5" s="1"/>
      <c r="K5" s="4">
        <f t="shared" ref="K5:V5" si="0">SUM(K6:K500)</f>
        <v>25065.257999999998</v>
      </c>
      <c r="L5" s="4">
        <f t="shared" si="0"/>
        <v>-2436.6449999999995</v>
      </c>
      <c r="M5" s="4">
        <f t="shared" si="0"/>
        <v>0</v>
      </c>
      <c r="N5" s="4">
        <f t="shared" si="0"/>
        <v>0</v>
      </c>
      <c r="O5" s="4">
        <f t="shared" si="0"/>
        <v>19835.992707599999</v>
      </c>
      <c r="P5" s="4">
        <f t="shared" si="0"/>
        <v>240</v>
      </c>
      <c r="Q5" s="4">
        <f t="shared" si="0"/>
        <v>7252.3271375999993</v>
      </c>
      <c r="R5" s="4">
        <f t="shared" si="0"/>
        <v>6918.7955520000005</v>
      </c>
      <c r="S5" s="4">
        <f t="shared" si="0"/>
        <v>4525.7226000000001</v>
      </c>
      <c r="T5" s="4">
        <f t="shared" si="0"/>
        <v>12990.738254800001</v>
      </c>
      <c r="U5" s="4">
        <f t="shared" si="0"/>
        <v>14451.274496800002</v>
      </c>
      <c r="V5" s="4">
        <f t="shared" si="0"/>
        <v>3700</v>
      </c>
      <c r="W5" s="4"/>
      <c r="X5" s="1"/>
      <c r="Y5" s="1"/>
      <c r="Z5" s="4">
        <f t="shared" ref="Z5:AI5" si="1">SUM(Z6:Z500)</f>
        <v>3707.9130000000014</v>
      </c>
      <c r="AA5" s="4">
        <f t="shared" si="1"/>
        <v>3031.0155999999997</v>
      </c>
      <c r="AB5" s="4">
        <f t="shared" si="1"/>
        <v>4350.671199999998</v>
      </c>
      <c r="AC5" s="4">
        <f t="shared" si="1"/>
        <v>4904.365200000002</v>
      </c>
      <c r="AD5" s="4">
        <f t="shared" si="1"/>
        <v>3851.2469999999998</v>
      </c>
      <c r="AE5" s="4">
        <f t="shared" si="1"/>
        <v>3544.3655999999996</v>
      </c>
      <c r="AF5" s="4">
        <f t="shared" si="1"/>
        <v>4366.5824000000002</v>
      </c>
      <c r="AG5" s="4">
        <f t="shared" si="1"/>
        <v>4690.1735999999992</v>
      </c>
      <c r="AH5" s="4">
        <f t="shared" si="1"/>
        <v>4509.0586000000021</v>
      </c>
      <c r="AI5" s="4">
        <f t="shared" si="1"/>
        <v>3139.5333999999993</v>
      </c>
      <c r="AJ5" s="1"/>
      <c r="AK5" s="4">
        <f>SUM(AK6:AK500)</f>
        <v>10218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265.13</v>
      </c>
      <c r="D6" s="1">
        <v>247.12899999999999</v>
      </c>
      <c r="E6" s="1">
        <v>206.065</v>
      </c>
      <c r="F6" s="1">
        <v>196.392</v>
      </c>
      <c r="G6" s="7">
        <v>1</v>
      </c>
      <c r="H6" s="1">
        <v>50</v>
      </c>
      <c r="I6" s="1" t="s">
        <v>37</v>
      </c>
      <c r="J6" s="1"/>
      <c r="K6" s="1">
        <v>206.85</v>
      </c>
      <c r="L6" s="1">
        <f t="shared" ref="L6:L37" si="2">E6-K6</f>
        <v>-0.78499999999999659</v>
      </c>
      <c r="M6" s="1"/>
      <c r="N6" s="1"/>
      <c r="O6" s="1">
        <v>45</v>
      </c>
      <c r="P6" s="1"/>
      <c r="Q6" s="1">
        <v>103.27875999999981</v>
      </c>
      <c r="R6" s="1">
        <v>0</v>
      </c>
      <c r="S6" s="1">
        <f t="shared" ref="S6:S37" si="3">E6/5</f>
        <v>41.213000000000001</v>
      </c>
      <c r="T6" s="5">
        <f>12*S6-R6-Q6-P6-O6-F6</f>
        <v>149.88524000000024</v>
      </c>
      <c r="U6" s="5">
        <f>T6</f>
        <v>149.88524000000024</v>
      </c>
      <c r="V6" s="18"/>
      <c r="W6" s="18"/>
      <c r="X6" s="1">
        <f>(F6+O6+P6+Q6+R6+U6)/S6</f>
        <v>12</v>
      </c>
      <c r="Y6" s="1">
        <f t="shared" ref="Y6:Y37" si="4">(F6+O6+P6+Q6+R6)/S6</f>
        <v>8.3631562856380217</v>
      </c>
      <c r="Z6" s="1">
        <v>33.127000000000002</v>
      </c>
      <c r="AA6" s="1">
        <v>41.628599999999999</v>
      </c>
      <c r="AB6" s="1">
        <v>51.911800000000007</v>
      </c>
      <c r="AC6" s="1">
        <v>45.526799999999987</v>
      </c>
      <c r="AD6" s="1">
        <v>48.9602</v>
      </c>
      <c r="AE6" s="1">
        <v>51.963999999999999</v>
      </c>
      <c r="AF6" s="1">
        <v>47.075599999999987</v>
      </c>
      <c r="AG6" s="1">
        <v>50.8294</v>
      </c>
      <c r="AH6" s="1">
        <v>44.6526</v>
      </c>
      <c r="AI6" s="1">
        <v>29.516400000000001</v>
      </c>
      <c r="AJ6" s="1"/>
      <c r="AK6" s="1">
        <f>ROUND(G6*U6,0)</f>
        <v>150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1106.2090000000001</v>
      </c>
      <c r="D7" s="1">
        <v>646.44500000000005</v>
      </c>
      <c r="E7" s="1">
        <v>529.55100000000004</v>
      </c>
      <c r="F7" s="1">
        <v>820.41499999999996</v>
      </c>
      <c r="G7" s="7">
        <v>1</v>
      </c>
      <c r="H7" s="1">
        <v>45</v>
      </c>
      <c r="I7" s="1" t="s">
        <v>37</v>
      </c>
      <c r="J7" s="1"/>
      <c r="K7" s="1">
        <v>562.35</v>
      </c>
      <c r="L7" s="1">
        <f t="shared" si="2"/>
        <v>-32.798999999999978</v>
      </c>
      <c r="M7" s="1"/>
      <c r="N7" s="1"/>
      <c r="O7" s="1">
        <v>0</v>
      </c>
      <c r="P7" s="1"/>
      <c r="Q7" s="1">
        <v>210</v>
      </c>
      <c r="R7" s="1">
        <v>0</v>
      </c>
      <c r="S7" s="1">
        <f t="shared" si="3"/>
        <v>105.9102</v>
      </c>
      <c r="T7" s="5">
        <f t="shared" ref="T7:T11" si="5">12*S7-R7-Q7-P7-O7-F7</f>
        <v>240.50739999999996</v>
      </c>
      <c r="U7" s="5">
        <f t="shared" ref="U7:U70" si="6">T7</f>
        <v>240.50739999999996</v>
      </c>
      <c r="V7" s="18"/>
      <c r="W7" s="18"/>
      <c r="X7" s="1">
        <f t="shared" ref="X7:X70" si="7">(F7+O7+P7+Q7+R7+U7)/S7</f>
        <v>11.999999999999998</v>
      </c>
      <c r="Y7" s="1">
        <f t="shared" si="4"/>
        <v>9.7291384588075545</v>
      </c>
      <c r="Z7" s="1">
        <v>100.71339999999999</v>
      </c>
      <c r="AA7" s="1">
        <v>105.5562</v>
      </c>
      <c r="AB7" s="1">
        <v>133.8338</v>
      </c>
      <c r="AC7" s="1">
        <v>135.83600000000001</v>
      </c>
      <c r="AD7" s="1">
        <v>156.815</v>
      </c>
      <c r="AE7" s="1">
        <v>166.25960000000001</v>
      </c>
      <c r="AF7" s="1">
        <v>139.351</v>
      </c>
      <c r="AG7" s="1">
        <v>154.07919999999999</v>
      </c>
      <c r="AH7" s="1">
        <v>164.6078</v>
      </c>
      <c r="AI7" s="1">
        <v>132.37119999999999</v>
      </c>
      <c r="AJ7" s="1"/>
      <c r="AK7" s="1">
        <f t="shared" ref="AK7:AK70" si="8">ROUND(G7*U7,0)</f>
        <v>241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36</v>
      </c>
      <c r="C8" s="1">
        <v>854.17899999999997</v>
      </c>
      <c r="D8" s="1">
        <v>464.93299999999999</v>
      </c>
      <c r="E8" s="1">
        <v>571.74599999999998</v>
      </c>
      <c r="F8" s="1">
        <v>570.12599999999998</v>
      </c>
      <c r="G8" s="7">
        <v>1</v>
      </c>
      <c r="H8" s="1">
        <v>45</v>
      </c>
      <c r="I8" s="9" t="s">
        <v>40</v>
      </c>
      <c r="J8" s="1"/>
      <c r="K8" s="1">
        <v>586.03800000000001</v>
      </c>
      <c r="L8" s="1">
        <f t="shared" si="2"/>
        <v>-14.29200000000003</v>
      </c>
      <c r="M8" s="1"/>
      <c r="N8" s="1"/>
      <c r="O8" s="1">
        <v>140</v>
      </c>
      <c r="P8" s="1"/>
      <c r="Q8" s="1">
        <v>0</v>
      </c>
      <c r="R8" s="1">
        <v>529.40658000000008</v>
      </c>
      <c r="S8" s="1">
        <f t="shared" si="3"/>
        <v>114.3492</v>
      </c>
      <c r="T8" s="5">
        <f t="shared" si="5"/>
        <v>132.6578199999999</v>
      </c>
      <c r="U8" s="5">
        <f t="shared" si="6"/>
        <v>132.6578199999999</v>
      </c>
      <c r="V8" s="18"/>
      <c r="W8" s="18"/>
      <c r="X8" s="1">
        <f t="shared" si="7"/>
        <v>12</v>
      </c>
      <c r="Y8" s="1">
        <f t="shared" si="4"/>
        <v>10.839888516928847</v>
      </c>
      <c r="Z8" s="1">
        <v>109.2606</v>
      </c>
      <c r="AA8" s="1">
        <v>102.4</v>
      </c>
      <c r="AB8" s="1">
        <v>131.2944</v>
      </c>
      <c r="AC8" s="1">
        <v>141.90940000000001</v>
      </c>
      <c r="AD8" s="1">
        <v>146.2636</v>
      </c>
      <c r="AE8" s="1">
        <v>144.55119999999999</v>
      </c>
      <c r="AF8" s="1">
        <v>137.82640000000001</v>
      </c>
      <c r="AG8" s="1">
        <v>161.33359999999999</v>
      </c>
      <c r="AH8" s="1">
        <v>169.9598</v>
      </c>
      <c r="AI8" s="1">
        <v>134.94839999999999</v>
      </c>
      <c r="AJ8" s="1"/>
      <c r="AK8" s="1">
        <f t="shared" si="8"/>
        <v>133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29</v>
      </c>
      <c r="D9" s="1">
        <v>81</v>
      </c>
      <c r="E9" s="1">
        <v>53</v>
      </c>
      <c r="F9" s="1">
        <v>47</v>
      </c>
      <c r="G9" s="7">
        <v>0.4</v>
      </c>
      <c r="H9" s="1">
        <v>50</v>
      </c>
      <c r="I9" s="1" t="s">
        <v>37</v>
      </c>
      <c r="J9" s="1"/>
      <c r="K9" s="1">
        <v>50</v>
      </c>
      <c r="L9" s="1">
        <f t="shared" si="2"/>
        <v>3</v>
      </c>
      <c r="M9" s="1"/>
      <c r="N9" s="1"/>
      <c r="O9" s="1">
        <v>46.09</v>
      </c>
      <c r="P9" s="1"/>
      <c r="Q9" s="1">
        <v>0</v>
      </c>
      <c r="R9" s="1">
        <v>0</v>
      </c>
      <c r="S9" s="1">
        <f t="shared" si="3"/>
        <v>10.6</v>
      </c>
      <c r="T9" s="5">
        <f t="shared" si="5"/>
        <v>34.109999999999985</v>
      </c>
      <c r="U9" s="5">
        <f t="shared" si="6"/>
        <v>34.109999999999985</v>
      </c>
      <c r="V9" s="18"/>
      <c r="W9" s="18"/>
      <c r="X9" s="1">
        <f t="shared" si="7"/>
        <v>12</v>
      </c>
      <c r="Y9" s="1">
        <f t="shared" si="4"/>
        <v>8.7820754716981142</v>
      </c>
      <c r="Z9" s="1">
        <v>9</v>
      </c>
      <c r="AA9" s="1">
        <v>2.4</v>
      </c>
      <c r="AB9" s="1">
        <v>4.8</v>
      </c>
      <c r="AC9" s="1">
        <v>11</v>
      </c>
      <c r="AD9" s="1">
        <v>12.4</v>
      </c>
      <c r="AE9" s="1">
        <v>6.8</v>
      </c>
      <c r="AF9" s="1">
        <v>2.4</v>
      </c>
      <c r="AG9" s="1">
        <v>1.6</v>
      </c>
      <c r="AH9" s="1">
        <v>8</v>
      </c>
      <c r="AI9" s="1">
        <v>6.8</v>
      </c>
      <c r="AJ9" s="1" t="s">
        <v>43</v>
      </c>
      <c r="AK9" s="1">
        <f t="shared" si="8"/>
        <v>14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433</v>
      </c>
      <c r="D10" s="1">
        <v>10</v>
      </c>
      <c r="E10" s="1">
        <v>329</v>
      </c>
      <c r="F10" s="1">
        <v>14</v>
      </c>
      <c r="G10" s="7">
        <v>0.45</v>
      </c>
      <c r="H10" s="1">
        <v>45</v>
      </c>
      <c r="I10" s="1" t="s">
        <v>37</v>
      </c>
      <c r="J10" s="1"/>
      <c r="K10" s="1">
        <v>421</v>
      </c>
      <c r="L10" s="1">
        <f t="shared" si="2"/>
        <v>-92</v>
      </c>
      <c r="M10" s="1"/>
      <c r="N10" s="1"/>
      <c r="O10" s="1">
        <v>637.44600000000014</v>
      </c>
      <c r="P10" s="1"/>
      <c r="Q10" s="1">
        <v>0</v>
      </c>
      <c r="R10" s="1">
        <v>0</v>
      </c>
      <c r="S10" s="1">
        <f t="shared" si="3"/>
        <v>65.8</v>
      </c>
      <c r="T10" s="5">
        <f t="shared" si="5"/>
        <v>138.15399999999977</v>
      </c>
      <c r="U10" s="5">
        <f t="shared" si="6"/>
        <v>138.15399999999977</v>
      </c>
      <c r="V10" s="18"/>
      <c r="W10" s="18"/>
      <c r="X10" s="1">
        <f t="shared" si="7"/>
        <v>12</v>
      </c>
      <c r="Y10" s="1">
        <f t="shared" si="4"/>
        <v>9.9003951367781173</v>
      </c>
      <c r="Z10" s="1">
        <v>36.799999999999997</v>
      </c>
      <c r="AA10" s="1">
        <v>32.4</v>
      </c>
      <c r="AB10" s="1">
        <v>56.8</v>
      </c>
      <c r="AC10" s="1">
        <v>83.4</v>
      </c>
      <c r="AD10" s="1">
        <v>47.4</v>
      </c>
      <c r="AE10" s="1">
        <v>37.4</v>
      </c>
      <c r="AF10" s="1">
        <v>73.8</v>
      </c>
      <c r="AG10" s="1">
        <v>77.599999999999994</v>
      </c>
      <c r="AH10" s="1">
        <v>67.2</v>
      </c>
      <c r="AI10" s="1">
        <v>41.6</v>
      </c>
      <c r="AJ10" s="1"/>
      <c r="AK10" s="1">
        <f t="shared" si="8"/>
        <v>62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457</v>
      </c>
      <c r="D11" s="1">
        <v>26</v>
      </c>
      <c r="E11" s="1">
        <v>377</v>
      </c>
      <c r="F11" s="1">
        <v>-4</v>
      </c>
      <c r="G11" s="7">
        <v>0.45</v>
      </c>
      <c r="H11" s="1">
        <v>45</v>
      </c>
      <c r="I11" s="1" t="s">
        <v>37</v>
      </c>
      <c r="J11" s="1"/>
      <c r="K11" s="1">
        <v>428</v>
      </c>
      <c r="L11" s="1">
        <f t="shared" si="2"/>
        <v>-51</v>
      </c>
      <c r="M11" s="1"/>
      <c r="N11" s="1"/>
      <c r="O11" s="1">
        <v>635.96600000000012</v>
      </c>
      <c r="P11" s="1"/>
      <c r="Q11" s="1">
        <v>0</v>
      </c>
      <c r="R11" s="1">
        <v>0</v>
      </c>
      <c r="S11" s="1">
        <f t="shared" si="3"/>
        <v>75.400000000000006</v>
      </c>
      <c r="T11" s="5">
        <f t="shared" si="5"/>
        <v>272.83399999999995</v>
      </c>
      <c r="U11" s="5">
        <f t="shared" si="6"/>
        <v>272.83399999999995</v>
      </c>
      <c r="V11" s="18"/>
      <c r="W11" s="18"/>
      <c r="X11" s="1">
        <f t="shared" si="7"/>
        <v>12</v>
      </c>
      <c r="Y11" s="1">
        <f t="shared" si="4"/>
        <v>8.381511936339523</v>
      </c>
      <c r="Z11" s="1">
        <v>50.2</v>
      </c>
      <c r="AA11" s="1">
        <v>48.6</v>
      </c>
      <c r="AB11" s="1">
        <v>72</v>
      </c>
      <c r="AC11" s="1">
        <v>91.4</v>
      </c>
      <c r="AD11" s="1">
        <v>49.8</v>
      </c>
      <c r="AE11" s="1">
        <v>6.8</v>
      </c>
      <c r="AF11" s="1">
        <v>54.6</v>
      </c>
      <c r="AG11" s="1">
        <v>99.6</v>
      </c>
      <c r="AH11" s="1">
        <v>87.8</v>
      </c>
      <c r="AI11" s="1">
        <v>37.6</v>
      </c>
      <c r="AJ11" s="1"/>
      <c r="AK11" s="1">
        <f t="shared" si="8"/>
        <v>123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0" t="s">
        <v>48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37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>
        <v>0</v>
      </c>
      <c r="S12" s="10">
        <f t="shared" si="3"/>
        <v>0</v>
      </c>
      <c r="T12" s="12"/>
      <c r="U12" s="5">
        <f t="shared" si="6"/>
        <v>0</v>
      </c>
      <c r="V12" s="18"/>
      <c r="W12" s="18"/>
      <c r="X12" s="1" t="e">
        <f t="shared" si="7"/>
        <v>#DIV/0!</v>
      </c>
      <c r="Y12" s="10" t="e">
        <f t="shared" si="4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49</v>
      </c>
      <c r="AK12" s="1">
        <f t="shared" si="8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42</v>
      </c>
      <c r="C13" s="1">
        <v>116</v>
      </c>
      <c r="D13" s="1">
        <v>53</v>
      </c>
      <c r="E13" s="1">
        <v>142</v>
      </c>
      <c r="F13" s="1">
        <v>2</v>
      </c>
      <c r="G13" s="7">
        <v>0.3</v>
      </c>
      <c r="H13" s="1">
        <v>40</v>
      </c>
      <c r="I13" s="1" t="s">
        <v>37</v>
      </c>
      <c r="J13" s="1"/>
      <c r="K13" s="1">
        <v>141</v>
      </c>
      <c r="L13" s="1">
        <f t="shared" si="2"/>
        <v>1</v>
      </c>
      <c r="M13" s="1"/>
      <c r="N13" s="1"/>
      <c r="O13" s="1">
        <v>0</v>
      </c>
      <c r="P13" s="1"/>
      <c r="Q13" s="1">
        <v>0</v>
      </c>
      <c r="R13" s="1">
        <v>223.74</v>
      </c>
      <c r="S13" s="1">
        <f t="shared" si="3"/>
        <v>28.4</v>
      </c>
      <c r="T13" s="5">
        <f t="shared" ref="T13:T24" si="9">12*S13-R13-Q13-P13-O13-F13</f>
        <v>115.05999999999995</v>
      </c>
      <c r="U13" s="5">
        <f t="shared" si="6"/>
        <v>115.05999999999995</v>
      </c>
      <c r="V13" s="18"/>
      <c r="W13" s="18"/>
      <c r="X13" s="1">
        <f t="shared" si="7"/>
        <v>11.999999999999998</v>
      </c>
      <c r="Y13" s="1">
        <f t="shared" si="4"/>
        <v>7.9485915492957755</v>
      </c>
      <c r="Z13" s="1">
        <v>23.8</v>
      </c>
      <c r="AA13" s="1">
        <v>10.4</v>
      </c>
      <c r="AB13" s="1">
        <v>6.6</v>
      </c>
      <c r="AC13" s="1">
        <v>9.4</v>
      </c>
      <c r="AD13" s="1">
        <v>18</v>
      </c>
      <c r="AE13" s="1">
        <v>15.8</v>
      </c>
      <c r="AF13" s="1">
        <v>12.4</v>
      </c>
      <c r="AG13" s="1">
        <v>10.8</v>
      </c>
      <c r="AH13" s="1">
        <v>13.4</v>
      </c>
      <c r="AI13" s="1">
        <v>10.6</v>
      </c>
      <c r="AJ13" s="1"/>
      <c r="AK13" s="1">
        <f t="shared" si="8"/>
        <v>35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42</v>
      </c>
      <c r="C14" s="1">
        <v>251</v>
      </c>
      <c r="D14" s="1">
        <v>3</v>
      </c>
      <c r="E14" s="1">
        <v>157</v>
      </c>
      <c r="F14" s="1">
        <v>44</v>
      </c>
      <c r="G14" s="7">
        <v>0.17</v>
      </c>
      <c r="H14" s="1">
        <v>180</v>
      </c>
      <c r="I14" s="1" t="s">
        <v>37</v>
      </c>
      <c r="J14" s="1"/>
      <c r="K14" s="1">
        <v>164</v>
      </c>
      <c r="L14" s="1">
        <f t="shared" si="2"/>
        <v>-7</v>
      </c>
      <c r="M14" s="1"/>
      <c r="N14" s="1"/>
      <c r="O14" s="1">
        <v>0</v>
      </c>
      <c r="P14" s="1"/>
      <c r="Q14" s="1">
        <v>40</v>
      </c>
      <c r="R14" s="1">
        <v>223.4</v>
      </c>
      <c r="S14" s="1">
        <f t="shared" si="3"/>
        <v>31.4</v>
      </c>
      <c r="T14" s="5">
        <f t="shared" si="9"/>
        <v>69.399999999999949</v>
      </c>
      <c r="U14" s="5">
        <f>V14</f>
        <v>150</v>
      </c>
      <c r="V14" s="18">
        <f>VLOOKUP(A14,[1]Sheet!$A:$V,21,0)</f>
        <v>150</v>
      </c>
      <c r="W14" s="18" t="str">
        <f>VLOOKUP(A14,[1]Sheet!$A:$V,22,0)</f>
        <v>Есть спрос</v>
      </c>
      <c r="X14" s="1">
        <f t="shared" si="7"/>
        <v>14.566878980891719</v>
      </c>
      <c r="Y14" s="1">
        <f t="shared" si="4"/>
        <v>9.7898089171974512</v>
      </c>
      <c r="Z14" s="1">
        <v>28</v>
      </c>
      <c r="AA14" s="1">
        <v>18.399999999999999</v>
      </c>
      <c r="AB14" s="1">
        <v>21.4</v>
      </c>
      <c r="AC14" s="1">
        <v>23.8</v>
      </c>
      <c r="AD14" s="1">
        <v>21.8</v>
      </c>
      <c r="AE14" s="1">
        <v>26.6</v>
      </c>
      <c r="AF14" s="1">
        <v>37.6</v>
      </c>
      <c r="AG14" s="1">
        <v>32</v>
      </c>
      <c r="AH14" s="1">
        <v>22</v>
      </c>
      <c r="AI14" s="1">
        <v>10</v>
      </c>
      <c r="AJ14" s="1"/>
      <c r="AK14" s="1">
        <f t="shared" si="8"/>
        <v>26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52</v>
      </c>
      <c r="B15" s="1" t="s">
        <v>36</v>
      </c>
      <c r="C15" s="1">
        <v>139.02500000000001</v>
      </c>
      <c r="D15" s="1">
        <v>649.73699999999997</v>
      </c>
      <c r="E15" s="1">
        <v>473.351</v>
      </c>
      <c r="F15" s="1">
        <v>190.31399999999999</v>
      </c>
      <c r="G15" s="7">
        <v>1</v>
      </c>
      <c r="H15" s="1">
        <v>70</v>
      </c>
      <c r="I15" s="1" t="s">
        <v>37</v>
      </c>
      <c r="J15" s="1"/>
      <c r="K15" s="1">
        <v>452.6</v>
      </c>
      <c r="L15" s="1">
        <f t="shared" si="2"/>
        <v>20.750999999999976</v>
      </c>
      <c r="M15" s="1"/>
      <c r="N15" s="1"/>
      <c r="O15" s="1">
        <v>0</v>
      </c>
      <c r="P15" s="1"/>
      <c r="Q15" s="1">
        <v>795.17547999999977</v>
      </c>
      <c r="R15" s="1">
        <v>0</v>
      </c>
      <c r="S15" s="1">
        <f t="shared" si="3"/>
        <v>94.670199999999994</v>
      </c>
      <c r="T15" s="5">
        <f t="shared" si="9"/>
        <v>150.55292000000006</v>
      </c>
      <c r="U15" s="5">
        <f t="shared" si="6"/>
        <v>150.55292000000006</v>
      </c>
      <c r="V15" s="18"/>
      <c r="W15" s="18"/>
      <c r="X15" s="1">
        <f t="shared" si="7"/>
        <v>11.999999999999998</v>
      </c>
      <c r="Y15" s="1">
        <f t="shared" si="4"/>
        <v>10.409711609355423</v>
      </c>
      <c r="Z15" s="1">
        <v>89.588999999999999</v>
      </c>
      <c r="AA15" s="1">
        <v>90.510599999999997</v>
      </c>
      <c r="AB15" s="1">
        <v>100.626</v>
      </c>
      <c r="AC15" s="1">
        <v>92.771199999999993</v>
      </c>
      <c r="AD15" s="1">
        <v>95.892600000000002</v>
      </c>
      <c r="AE15" s="1">
        <v>55.573</v>
      </c>
      <c r="AF15" s="1">
        <v>47.542000000000002</v>
      </c>
      <c r="AG15" s="1">
        <v>93.528999999999996</v>
      </c>
      <c r="AH15" s="1">
        <v>100.50239999999999</v>
      </c>
      <c r="AI15" s="1">
        <v>69.866600000000005</v>
      </c>
      <c r="AJ15" s="1"/>
      <c r="AK15" s="1">
        <f t="shared" si="8"/>
        <v>151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36</v>
      </c>
      <c r="C16" s="1">
        <v>1176.296</v>
      </c>
      <c r="D16" s="1">
        <v>2021.8910000000001</v>
      </c>
      <c r="E16" s="1">
        <v>1815.8720000000001</v>
      </c>
      <c r="F16" s="1">
        <v>751.81600000000003</v>
      </c>
      <c r="G16" s="7">
        <v>1</v>
      </c>
      <c r="H16" s="1">
        <v>50</v>
      </c>
      <c r="I16" s="1" t="s">
        <v>37</v>
      </c>
      <c r="J16" s="1"/>
      <c r="K16" s="1">
        <v>2017</v>
      </c>
      <c r="L16" s="1">
        <f t="shared" si="2"/>
        <v>-201.12799999999993</v>
      </c>
      <c r="M16" s="1"/>
      <c r="N16" s="1"/>
      <c r="O16" s="1">
        <v>3367.4361520000011</v>
      </c>
      <c r="P16" s="1"/>
      <c r="Q16" s="1">
        <v>0</v>
      </c>
      <c r="R16" s="1">
        <v>0</v>
      </c>
      <c r="S16" s="1">
        <f t="shared" si="3"/>
        <v>363.17439999999999</v>
      </c>
      <c r="T16" s="5">
        <f t="shared" si="9"/>
        <v>238.84064799999919</v>
      </c>
      <c r="U16" s="5">
        <f>V16</f>
        <v>100</v>
      </c>
      <c r="V16" s="18">
        <f>VLOOKUP(A16,[1]Sheet!$A:$V,21,0)</f>
        <v>100</v>
      </c>
      <c r="W16" s="18" t="str">
        <f>VLOOKUP(A16,[1]Sheet!$A:$V,22,0)</f>
        <v>Есть товарный запас</v>
      </c>
      <c r="X16" s="1">
        <f t="shared" si="7"/>
        <v>11.617702547316114</v>
      </c>
      <c r="Y16" s="1">
        <f t="shared" si="4"/>
        <v>11.342352742924614</v>
      </c>
      <c r="Z16" s="1">
        <v>291.7568</v>
      </c>
      <c r="AA16" s="1">
        <v>277.7518</v>
      </c>
      <c r="AB16" s="1">
        <v>456.89760000000001</v>
      </c>
      <c r="AC16" s="1">
        <v>478.92079999999999</v>
      </c>
      <c r="AD16" s="1">
        <v>258.6986</v>
      </c>
      <c r="AE16" s="1">
        <v>257.84679999999997</v>
      </c>
      <c r="AF16" s="1">
        <v>458.24740000000003</v>
      </c>
      <c r="AG16" s="1">
        <v>481.82459999999998</v>
      </c>
      <c r="AH16" s="1">
        <v>420.36439999999999</v>
      </c>
      <c r="AI16" s="1">
        <v>317.29700000000003</v>
      </c>
      <c r="AJ16" s="1"/>
      <c r="AK16" s="1">
        <f t="shared" si="8"/>
        <v>100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36</v>
      </c>
      <c r="C17" s="1">
        <v>133.30600000000001</v>
      </c>
      <c r="D17" s="1"/>
      <c r="E17" s="1">
        <v>95.212000000000003</v>
      </c>
      <c r="F17" s="1">
        <v>15.028</v>
      </c>
      <c r="G17" s="7">
        <v>1</v>
      </c>
      <c r="H17" s="1">
        <v>60</v>
      </c>
      <c r="I17" s="1" t="s">
        <v>37</v>
      </c>
      <c r="J17" s="1"/>
      <c r="K17" s="1">
        <v>98.18</v>
      </c>
      <c r="L17" s="1">
        <f t="shared" si="2"/>
        <v>-2.9680000000000035</v>
      </c>
      <c r="M17" s="1"/>
      <c r="N17" s="1"/>
      <c r="O17" s="1">
        <v>15</v>
      </c>
      <c r="P17" s="1"/>
      <c r="Q17" s="1">
        <v>27.020399999999999</v>
      </c>
      <c r="R17" s="1">
        <v>84.508719999999983</v>
      </c>
      <c r="S17" s="1">
        <f t="shared" si="3"/>
        <v>19.042400000000001</v>
      </c>
      <c r="T17" s="5">
        <f t="shared" si="9"/>
        <v>86.951680000000025</v>
      </c>
      <c r="U17" s="5">
        <f t="shared" si="6"/>
        <v>86.951680000000025</v>
      </c>
      <c r="V17" s="18"/>
      <c r="W17" s="18"/>
      <c r="X17" s="1">
        <f t="shared" si="7"/>
        <v>12</v>
      </c>
      <c r="Y17" s="1">
        <f t="shared" si="4"/>
        <v>7.433785657270092</v>
      </c>
      <c r="Z17" s="1">
        <v>14.878399999999999</v>
      </c>
      <c r="AA17" s="1">
        <v>11.510199999999999</v>
      </c>
      <c r="AB17" s="1">
        <v>12.4178</v>
      </c>
      <c r="AC17" s="1">
        <v>14.5106</v>
      </c>
      <c r="AD17" s="1">
        <v>12.775399999999999</v>
      </c>
      <c r="AE17" s="1">
        <v>14.9314</v>
      </c>
      <c r="AF17" s="1">
        <v>22.7486</v>
      </c>
      <c r="AG17" s="1">
        <v>17.5928</v>
      </c>
      <c r="AH17" s="1">
        <v>11.008599999999999</v>
      </c>
      <c r="AI17" s="1">
        <v>13.476000000000001</v>
      </c>
      <c r="AJ17" s="1"/>
      <c r="AK17" s="1">
        <f t="shared" si="8"/>
        <v>87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36</v>
      </c>
      <c r="C18" s="1">
        <v>1.7410000000000001</v>
      </c>
      <c r="D18" s="1">
        <v>42.261000000000003</v>
      </c>
      <c r="E18" s="1">
        <v>40.472000000000001</v>
      </c>
      <c r="F18" s="1">
        <v>-1.7689999999999999</v>
      </c>
      <c r="G18" s="7">
        <v>1</v>
      </c>
      <c r="H18" s="1">
        <v>60</v>
      </c>
      <c r="I18" s="1" t="s">
        <v>37</v>
      </c>
      <c r="J18" s="1"/>
      <c r="K18" s="1">
        <v>42.8</v>
      </c>
      <c r="L18" s="1">
        <f t="shared" si="2"/>
        <v>-2.3279999999999959</v>
      </c>
      <c r="M18" s="1"/>
      <c r="N18" s="1"/>
      <c r="O18" s="1">
        <v>10</v>
      </c>
      <c r="P18" s="1"/>
      <c r="Q18" s="1">
        <v>62.902220000000007</v>
      </c>
      <c r="R18" s="1">
        <v>0</v>
      </c>
      <c r="S18" s="1">
        <f t="shared" si="3"/>
        <v>8.0944000000000003</v>
      </c>
      <c r="T18" s="5">
        <f t="shared" si="9"/>
        <v>25.999579999999995</v>
      </c>
      <c r="U18" s="5">
        <f t="shared" si="6"/>
        <v>25.999579999999995</v>
      </c>
      <c r="V18" s="18"/>
      <c r="W18" s="18"/>
      <c r="X18" s="1">
        <f t="shared" si="7"/>
        <v>12</v>
      </c>
      <c r="Y18" s="1">
        <f t="shared" si="4"/>
        <v>8.7879546353034197</v>
      </c>
      <c r="Z18" s="1">
        <v>5.9447999999999999</v>
      </c>
      <c r="AA18" s="1">
        <v>8.2210000000000001</v>
      </c>
      <c r="AB18" s="1">
        <v>7.7796000000000003</v>
      </c>
      <c r="AC18" s="1">
        <v>6.7598000000000003</v>
      </c>
      <c r="AD18" s="1">
        <v>6.5474000000000014</v>
      </c>
      <c r="AE18" s="1">
        <v>4.7682000000000002</v>
      </c>
      <c r="AF18" s="1">
        <v>-0.16520000000000001</v>
      </c>
      <c r="AG18" s="1">
        <v>1.9505999999999999</v>
      </c>
      <c r="AH18" s="1">
        <v>8.992799999999999</v>
      </c>
      <c r="AI18" s="1">
        <v>11.2796</v>
      </c>
      <c r="AJ18" s="1"/>
      <c r="AK18" s="1">
        <f t="shared" si="8"/>
        <v>26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36</v>
      </c>
      <c r="C19" s="1">
        <v>26.885999999999999</v>
      </c>
      <c r="D19" s="1"/>
      <c r="E19" s="1">
        <v>23.326000000000001</v>
      </c>
      <c r="F19" s="1">
        <v>-6.2E-2</v>
      </c>
      <c r="G19" s="7">
        <v>1</v>
      </c>
      <c r="H19" s="1">
        <v>180</v>
      </c>
      <c r="I19" s="1" t="s">
        <v>37</v>
      </c>
      <c r="J19" s="1"/>
      <c r="K19" s="1">
        <v>29.72</v>
      </c>
      <c r="L19" s="1">
        <f t="shared" si="2"/>
        <v>-6.3939999999999984</v>
      </c>
      <c r="M19" s="1"/>
      <c r="N19" s="1"/>
      <c r="O19" s="1">
        <v>18.658359999999998</v>
      </c>
      <c r="P19" s="1"/>
      <c r="Q19" s="1">
        <v>0</v>
      </c>
      <c r="R19" s="1">
        <v>4</v>
      </c>
      <c r="S19" s="1">
        <f t="shared" si="3"/>
        <v>4.6652000000000005</v>
      </c>
      <c r="T19" s="5">
        <f t="shared" si="9"/>
        <v>33.386040000000008</v>
      </c>
      <c r="U19" s="5">
        <f>V19</f>
        <v>80</v>
      </c>
      <c r="V19" s="18">
        <f>VLOOKUP(A19,[1]Sheet!$A:$V,21,0)</f>
        <v>80</v>
      </c>
      <c r="W19" s="18" t="str">
        <f>VLOOKUP(A19,[1]Sheet!$A:$V,22,0)</f>
        <v>Есть спрос</v>
      </c>
      <c r="X19" s="1">
        <f t="shared" si="7"/>
        <v>21.991846008745604</v>
      </c>
      <c r="Y19" s="1">
        <f t="shared" si="4"/>
        <v>4.8435994169596146</v>
      </c>
      <c r="Z19" s="1">
        <v>3.0566</v>
      </c>
      <c r="AA19" s="1">
        <v>2.3746</v>
      </c>
      <c r="AB19" s="1">
        <v>4.1432000000000002</v>
      </c>
      <c r="AC19" s="1">
        <v>3.944</v>
      </c>
      <c r="AD19" s="1">
        <v>3.7222</v>
      </c>
      <c r="AE19" s="1">
        <v>3.6394000000000002</v>
      </c>
      <c r="AF19" s="1">
        <v>2.7559999999999998</v>
      </c>
      <c r="AG19" s="1">
        <v>4.7732000000000001</v>
      </c>
      <c r="AH19" s="1">
        <v>4.9626000000000001</v>
      </c>
      <c r="AI19" s="1">
        <v>3.0619999999999998</v>
      </c>
      <c r="AJ19" s="1"/>
      <c r="AK19" s="1">
        <f t="shared" si="8"/>
        <v>80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36</v>
      </c>
      <c r="C20" s="1">
        <v>275.37700000000001</v>
      </c>
      <c r="D20" s="1">
        <v>599.14499999999998</v>
      </c>
      <c r="E20" s="1">
        <v>533.51900000000001</v>
      </c>
      <c r="F20" s="1">
        <v>174.46899999999999</v>
      </c>
      <c r="G20" s="7">
        <v>1</v>
      </c>
      <c r="H20" s="1">
        <v>60</v>
      </c>
      <c r="I20" s="1" t="s">
        <v>37</v>
      </c>
      <c r="J20" s="1"/>
      <c r="K20" s="1">
        <v>545.74</v>
      </c>
      <c r="L20" s="1">
        <f t="shared" si="2"/>
        <v>-12.221000000000004</v>
      </c>
      <c r="M20" s="1"/>
      <c r="N20" s="1"/>
      <c r="O20" s="1">
        <v>228.23503999999971</v>
      </c>
      <c r="P20" s="1"/>
      <c r="Q20" s="1">
        <v>318.96857760000017</v>
      </c>
      <c r="R20" s="1">
        <v>309.39875999999998</v>
      </c>
      <c r="S20" s="1">
        <f t="shared" si="3"/>
        <v>106.7038</v>
      </c>
      <c r="T20" s="5">
        <f t="shared" si="9"/>
        <v>249.37422240000018</v>
      </c>
      <c r="U20" s="5">
        <f t="shared" si="6"/>
        <v>249.37422240000018</v>
      </c>
      <c r="V20" s="18"/>
      <c r="W20" s="18"/>
      <c r="X20" s="1">
        <f t="shared" si="7"/>
        <v>12.000000000000002</v>
      </c>
      <c r="Y20" s="1">
        <f t="shared" si="4"/>
        <v>9.6629302574041418</v>
      </c>
      <c r="Z20" s="1">
        <v>93.757199999999997</v>
      </c>
      <c r="AA20" s="1">
        <v>83.564999999999998</v>
      </c>
      <c r="AB20" s="1">
        <v>101.2552</v>
      </c>
      <c r="AC20" s="1">
        <v>100.88</v>
      </c>
      <c r="AD20" s="1">
        <v>96.459800000000001</v>
      </c>
      <c r="AE20" s="1">
        <v>91.898200000000003</v>
      </c>
      <c r="AF20" s="1">
        <v>89.878</v>
      </c>
      <c r="AG20" s="1">
        <v>93.350200000000001</v>
      </c>
      <c r="AH20" s="1">
        <v>93.1404</v>
      </c>
      <c r="AI20" s="1">
        <v>67.726399999999998</v>
      </c>
      <c r="AJ20" s="1"/>
      <c r="AK20" s="1">
        <f t="shared" si="8"/>
        <v>249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36</v>
      </c>
      <c r="C21" s="1">
        <v>332.40100000000001</v>
      </c>
      <c r="D21" s="1">
        <v>1.778</v>
      </c>
      <c r="E21" s="1">
        <v>111.911</v>
      </c>
      <c r="F21" s="1">
        <v>186.77500000000001</v>
      </c>
      <c r="G21" s="7">
        <v>1</v>
      </c>
      <c r="H21" s="1">
        <v>70</v>
      </c>
      <c r="I21" s="1" t="s">
        <v>37</v>
      </c>
      <c r="J21" s="1"/>
      <c r="K21" s="1">
        <v>120.98</v>
      </c>
      <c r="L21" s="1">
        <f t="shared" si="2"/>
        <v>-9.0690000000000026</v>
      </c>
      <c r="M21" s="1"/>
      <c r="N21" s="1"/>
      <c r="O21" s="1">
        <v>0</v>
      </c>
      <c r="P21" s="1"/>
      <c r="Q21" s="1">
        <v>0</v>
      </c>
      <c r="R21" s="1">
        <v>0</v>
      </c>
      <c r="S21" s="1">
        <f t="shared" si="3"/>
        <v>22.382200000000001</v>
      </c>
      <c r="T21" s="5">
        <f t="shared" si="9"/>
        <v>81.81140000000002</v>
      </c>
      <c r="U21" s="5">
        <f t="shared" si="6"/>
        <v>81.81140000000002</v>
      </c>
      <c r="V21" s="18"/>
      <c r="W21" s="18"/>
      <c r="X21" s="1">
        <f t="shared" si="7"/>
        <v>12</v>
      </c>
      <c r="Y21" s="1">
        <f t="shared" si="4"/>
        <v>8.3448007791906065</v>
      </c>
      <c r="Z21" s="1">
        <v>17.047799999999999</v>
      </c>
      <c r="AA21" s="1">
        <v>9.0492000000000008</v>
      </c>
      <c r="AB21" s="1">
        <v>3.8969999999999998</v>
      </c>
      <c r="AC21" s="1">
        <v>14.3156</v>
      </c>
      <c r="AD21" s="1">
        <v>26.117000000000001</v>
      </c>
      <c r="AE21" s="1">
        <v>34.8842</v>
      </c>
      <c r="AF21" s="1">
        <v>28.196200000000001</v>
      </c>
      <c r="AG21" s="1">
        <v>18.7288</v>
      </c>
      <c r="AH21" s="1">
        <v>23.340800000000002</v>
      </c>
      <c r="AI21" s="1">
        <v>25.481200000000001</v>
      </c>
      <c r="AJ21" s="1"/>
      <c r="AK21" s="1">
        <f t="shared" si="8"/>
        <v>82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36</v>
      </c>
      <c r="C22" s="1">
        <v>294.52199999999999</v>
      </c>
      <c r="D22" s="1">
        <v>8.7840000000000007</v>
      </c>
      <c r="E22" s="1">
        <v>268.42099999999999</v>
      </c>
      <c r="F22" s="1">
        <v>0.621</v>
      </c>
      <c r="G22" s="7">
        <v>1</v>
      </c>
      <c r="H22" s="1">
        <v>70</v>
      </c>
      <c r="I22" s="1" t="s">
        <v>37</v>
      </c>
      <c r="J22" s="1"/>
      <c r="K22" s="1">
        <v>282.10000000000002</v>
      </c>
      <c r="L22" s="1">
        <f t="shared" si="2"/>
        <v>-13.67900000000003</v>
      </c>
      <c r="M22" s="1"/>
      <c r="N22" s="1"/>
      <c r="O22" s="1">
        <v>0</v>
      </c>
      <c r="P22" s="1"/>
      <c r="Q22" s="1">
        <v>457.82459999999992</v>
      </c>
      <c r="R22" s="1">
        <v>0</v>
      </c>
      <c r="S22" s="1">
        <f t="shared" si="3"/>
        <v>53.684199999999997</v>
      </c>
      <c r="T22" s="5">
        <f t="shared" si="9"/>
        <v>185.76480000000001</v>
      </c>
      <c r="U22" s="5">
        <f t="shared" si="6"/>
        <v>185.76480000000001</v>
      </c>
      <c r="V22" s="18"/>
      <c r="W22" s="18"/>
      <c r="X22" s="1">
        <f t="shared" si="7"/>
        <v>12</v>
      </c>
      <c r="Y22" s="1">
        <f t="shared" si="4"/>
        <v>8.5396746156224719</v>
      </c>
      <c r="Z22" s="1">
        <v>41.608600000000003</v>
      </c>
      <c r="AA22" s="1">
        <v>49.029400000000003</v>
      </c>
      <c r="AB22" s="1">
        <v>62.423000000000002</v>
      </c>
      <c r="AC22" s="1">
        <v>34.194200000000002</v>
      </c>
      <c r="AD22" s="1">
        <v>23.361799999999999</v>
      </c>
      <c r="AE22" s="1">
        <v>40.968800000000002</v>
      </c>
      <c r="AF22" s="1">
        <v>54.458799999999997</v>
      </c>
      <c r="AG22" s="1">
        <v>38.1952</v>
      </c>
      <c r="AH22" s="1">
        <v>16.365600000000001</v>
      </c>
      <c r="AI22" s="1">
        <v>6.5044000000000004</v>
      </c>
      <c r="AJ22" s="1"/>
      <c r="AK22" s="1">
        <f t="shared" si="8"/>
        <v>186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60</v>
      </c>
      <c r="B23" s="1" t="s">
        <v>36</v>
      </c>
      <c r="C23" s="1">
        <v>79.025000000000006</v>
      </c>
      <c r="D23" s="1">
        <v>1.016</v>
      </c>
      <c r="E23" s="1">
        <v>28.815000000000001</v>
      </c>
      <c r="F23" s="1">
        <v>38.694000000000003</v>
      </c>
      <c r="G23" s="7">
        <v>1</v>
      </c>
      <c r="H23" s="1">
        <v>180</v>
      </c>
      <c r="I23" s="1" t="s">
        <v>37</v>
      </c>
      <c r="J23" s="1"/>
      <c r="K23" s="1">
        <v>32.43</v>
      </c>
      <c r="L23" s="1">
        <f t="shared" si="2"/>
        <v>-3.6149999999999984</v>
      </c>
      <c r="M23" s="1"/>
      <c r="N23" s="1"/>
      <c r="O23" s="1">
        <v>0</v>
      </c>
      <c r="P23" s="1"/>
      <c r="Q23" s="1">
        <v>0</v>
      </c>
      <c r="R23" s="1">
        <v>0</v>
      </c>
      <c r="S23" s="1">
        <f t="shared" si="3"/>
        <v>5.7629999999999999</v>
      </c>
      <c r="T23" s="5">
        <f t="shared" si="9"/>
        <v>30.462000000000003</v>
      </c>
      <c r="U23" s="5">
        <f>V23</f>
        <v>60</v>
      </c>
      <c r="V23" s="18">
        <f>VLOOKUP(A23,[1]Sheet!$A:$V,21,0)</f>
        <v>60</v>
      </c>
      <c r="W23" s="18" t="str">
        <f>VLOOKUP(A23,[1]Sheet!$A:$V,22,0)</f>
        <v>Есть спрос</v>
      </c>
      <c r="X23" s="1">
        <f t="shared" si="7"/>
        <v>17.125455491931287</v>
      </c>
      <c r="Y23" s="1">
        <f t="shared" si="4"/>
        <v>6.714211348256117</v>
      </c>
      <c r="Z23" s="1">
        <v>3.7181999999999999</v>
      </c>
      <c r="AA23" s="1">
        <v>3.5988000000000002</v>
      </c>
      <c r="AB23" s="1">
        <v>5.1424000000000003</v>
      </c>
      <c r="AC23" s="1">
        <v>4.5293999999999999</v>
      </c>
      <c r="AD23" s="1">
        <v>3.9744000000000002</v>
      </c>
      <c r="AE23" s="1">
        <v>3.9765999999999999</v>
      </c>
      <c r="AF23" s="1">
        <v>3.8353999999999999</v>
      </c>
      <c r="AG23" s="1">
        <v>5.0188000000000006</v>
      </c>
      <c r="AH23" s="1">
        <v>4.7473999999999998</v>
      </c>
      <c r="AI23" s="1">
        <v>1.9568000000000001</v>
      </c>
      <c r="AJ23" s="1"/>
      <c r="AK23" s="1">
        <f t="shared" si="8"/>
        <v>60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61</v>
      </c>
      <c r="B24" s="1" t="s">
        <v>36</v>
      </c>
      <c r="C24" s="1">
        <v>191.941</v>
      </c>
      <c r="D24" s="1">
        <v>310.92500000000001</v>
      </c>
      <c r="E24" s="1">
        <v>298.89600000000002</v>
      </c>
      <c r="F24" s="1">
        <v>94.566999999999993</v>
      </c>
      <c r="G24" s="7">
        <v>1</v>
      </c>
      <c r="H24" s="1">
        <v>70</v>
      </c>
      <c r="I24" s="1" t="s">
        <v>37</v>
      </c>
      <c r="J24" s="1"/>
      <c r="K24" s="1">
        <v>309.89999999999998</v>
      </c>
      <c r="L24" s="1">
        <f t="shared" si="2"/>
        <v>-11.003999999999962</v>
      </c>
      <c r="M24" s="1"/>
      <c r="N24" s="1"/>
      <c r="O24" s="1">
        <v>0</v>
      </c>
      <c r="P24" s="1"/>
      <c r="Q24" s="1">
        <v>0</v>
      </c>
      <c r="R24" s="1">
        <v>410.74574000000001</v>
      </c>
      <c r="S24" s="1">
        <f t="shared" si="3"/>
        <v>59.779200000000003</v>
      </c>
      <c r="T24" s="5">
        <f t="shared" si="9"/>
        <v>212.03766000000002</v>
      </c>
      <c r="U24" s="5">
        <f t="shared" si="6"/>
        <v>212.03766000000002</v>
      </c>
      <c r="V24" s="18"/>
      <c r="W24" s="18"/>
      <c r="X24" s="1">
        <f t="shared" si="7"/>
        <v>12</v>
      </c>
      <c r="Y24" s="1">
        <f t="shared" si="4"/>
        <v>8.4529859884374492</v>
      </c>
      <c r="Z24" s="1">
        <v>49.711799999999997</v>
      </c>
      <c r="AA24" s="1">
        <v>20.7958</v>
      </c>
      <c r="AB24" s="1">
        <v>15.2098</v>
      </c>
      <c r="AC24" s="1">
        <v>26.774000000000001</v>
      </c>
      <c r="AD24" s="1">
        <v>43.232399999999998</v>
      </c>
      <c r="AE24" s="1">
        <v>29.524999999999999</v>
      </c>
      <c r="AF24" s="1">
        <v>20.725000000000001</v>
      </c>
      <c r="AG24" s="1">
        <v>18.969799999999999</v>
      </c>
      <c r="AH24" s="1">
        <v>14.39</v>
      </c>
      <c r="AI24" s="1">
        <v>8.7706</v>
      </c>
      <c r="AJ24" s="1"/>
      <c r="AK24" s="1">
        <f t="shared" si="8"/>
        <v>212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0" t="s">
        <v>62</v>
      </c>
      <c r="B25" s="10" t="s">
        <v>36</v>
      </c>
      <c r="C25" s="10"/>
      <c r="D25" s="10"/>
      <c r="E25" s="10"/>
      <c r="F25" s="10"/>
      <c r="G25" s="11">
        <v>0</v>
      </c>
      <c r="H25" s="10"/>
      <c r="I25" s="10" t="s">
        <v>37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>
        <v>0</v>
      </c>
      <c r="S25" s="10">
        <f t="shared" si="3"/>
        <v>0</v>
      </c>
      <c r="T25" s="12"/>
      <c r="U25" s="5">
        <f t="shared" si="6"/>
        <v>0</v>
      </c>
      <c r="V25" s="18"/>
      <c r="W25" s="18"/>
      <c r="X25" s="1" t="e">
        <f t="shared" si="7"/>
        <v>#DIV/0!</v>
      </c>
      <c r="Y25" s="10" t="e">
        <f t="shared" si="4"/>
        <v>#DIV/0!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49</v>
      </c>
      <c r="AK25" s="1">
        <f t="shared" si="8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63</v>
      </c>
      <c r="B26" s="1" t="s">
        <v>36</v>
      </c>
      <c r="C26" s="1">
        <v>198.75</v>
      </c>
      <c r="D26" s="1">
        <v>374.64600000000002</v>
      </c>
      <c r="E26" s="1">
        <v>164.49199999999999</v>
      </c>
      <c r="F26" s="1">
        <v>261.08100000000002</v>
      </c>
      <c r="G26" s="7">
        <v>1</v>
      </c>
      <c r="H26" s="1">
        <v>30</v>
      </c>
      <c r="I26" s="1" t="s">
        <v>64</v>
      </c>
      <c r="J26" s="1"/>
      <c r="K26" s="1">
        <v>166.65</v>
      </c>
      <c r="L26" s="1">
        <f t="shared" si="2"/>
        <v>-2.1580000000000155</v>
      </c>
      <c r="M26" s="1"/>
      <c r="N26" s="1"/>
      <c r="O26" s="1">
        <v>0</v>
      </c>
      <c r="P26" s="1"/>
      <c r="Q26" s="1">
        <v>0</v>
      </c>
      <c r="R26" s="1">
        <v>0</v>
      </c>
      <c r="S26" s="1">
        <f t="shared" si="3"/>
        <v>32.898399999999995</v>
      </c>
      <c r="T26" s="5">
        <v>50</v>
      </c>
      <c r="U26" s="5">
        <f>V26</f>
        <v>0</v>
      </c>
      <c r="V26" s="18">
        <f>VLOOKUP(A26,[1]Sheet!$A:$V,21,0)</f>
        <v>0</v>
      </c>
      <c r="W26" s="18" t="str">
        <f>VLOOKUP(A26,[1]Sheet!$A:$V,22,0)</f>
        <v>Попали в уценку 80кг</v>
      </c>
      <c r="X26" s="1">
        <f t="shared" si="7"/>
        <v>7.9359786494176028</v>
      </c>
      <c r="Y26" s="1">
        <f t="shared" si="4"/>
        <v>7.9359786494176028</v>
      </c>
      <c r="Z26" s="1">
        <v>27.629000000000001</v>
      </c>
      <c r="AA26" s="1">
        <v>6.3411999999999997</v>
      </c>
      <c r="AB26" s="1">
        <v>10.604200000000001</v>
      </c>
      <c r="AC26" s="1">
        <v>23.606999999999999</v>
      </c>
      <c r="AD26" s="1">
        <v>42.3446</v>
      </c>
      <c r="AE26" s="1">
        <v>36.757199999999997</v>
      </c>
      <c r="AF26" s="1">
        <v>5.3428000000000004</v>
      </c>
      <c r="AG26" s="1">
        <v>1.6415999999999999</v>
      </c>
      <c r="AH26" s="1">
        <v>20.915800000000001</v>
      </c>
      <c r="AI26" s="1">
        <v>41.127400000000002</v>
      </c>
      <c r="AJ26" s="1" t="s">
        <v>65</v>
      </c>
      <c r="AK26" s="1">
        <f t="shared" si="8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36</v>
      </c>
      <c r="C27" s="1">
        <v>-1.575</v>
      </c>
      <c r="D27" s="1">
        <v>93.572999999999993</v>
      </c>
      <c r="E27" s="1">
        <v>88.986999999999995</v>
      </c>
      <c r="F27" s="1">
        <v>-4.2999999999999997E-2</v>
      </c>
      <c r="G27" s="7">
        <v>1</v>
      </c>
      <c r="H27" s="1">
        <v>40</v>
      </c>
      <c r="I27" s="9" t="s">
        <v>40</v>
      </c>
      <c r="J27" s="1"/>
      <c r="K27" s="1">
        <v>78.5</v>
      </c>
      <c r="L27" s="1">
        <f t="shared" si="2"/>
        <v>10.486999999999995</v>
      </c>
      <c r="M27" s="1"/>
      <c r="N27" s="1"/>
      <c r="O27" s="1">
        <v>39</v>
      </c>
      <c r="P27" s="1"/>
      <c r="Q27" s="1">
        <v>20</v>
      </c>
      <c r="R27" s="1">
        <v>0</v>
      </c>
      <c r="S27" s="1">
        <f t="shared" si="3"/>
        <v>17.7974</v>
      </c>
      <c r="T27" s="5">
        <f>10*S27-R27-Q27-P27-O27-F27</f>
        <v>119.017</v>
      </c>
      <c r="U27" s="5">
        <f t="shared" si="6"/>
        <v>119.017</v>
      </c>
      <c r="V27" s="18"/>
      <c r="W27" s="18"/>
      <c r="X27" s="1">
        <f t="shared" si="7"/>
        <v>10</v>
      </c>
      <c r="Y27" s="1">
        <f t="shared" si="4"/>
        <v>3.3126748850955758</v>
      </c>
      <c r="Z27" s="1">
        <v>8.8981999999999992</v>
      </c>
      <c r="AA27" s="1">
        <v>0</v>
      </c>
      <c r="AB27" s="1">
        <v>0</v>
      </c>
      <c r="AC27" s="1">
        <v>7.3483999999999998</v>
      </c>
      <c r="AD27" s="1">
        <v>12.615399999999999</v>
      </c>
      <c r="AE27" s="1">
        <v>10.5562</v>
      </c>
      <c r="AF27" s="1">
        <v>5.1772</v>
      </c>
      <c r="AG27" s="1">
        <v>-0.112</v>
      </c>
      <c r="AH27" s="1">
        <v>0</v>
      </c>
      <c r="AI27" s="1">
        <v>0</v>
      </c>
      <c r="AJ27" s="1"/>
      <c r="AK27" s="1">
        <f t="shared" si="8"/>
        <v>119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36</v>
      </c>
      <c r="C28" s="1">
        <v>128.22499999999999</v>
      </c>
      <c r="D28" s="1">
        <v>436.53699999999998</v>
      </c>
      <c r="E28" s="1">
        <v>321.50799999999998</v>
      </c>
      <c r="F28" s="1">
        <v>132.21100000000001</v>
      </c>
      <c r="G28" s="7">
        <v>1</v>
      </c>
      <c r="H28" s="1">
        <v>30</v>
      </c>
      <c r="I28" s="9" t="s">
        <v>40</v>
      </c>
      <c r="J28" s="1"/>
      <c r="K28" s="1">
        <v>343.45</v>
      </c>
      <c r="L28" s="1">
        <f t="shared" si="2"/>
        <v>-21.942000000000007</v>
      </c>
      <c r="M28" s="1"/>
      <c r="N28" s="1"/>
      <c r="O28" s="1">
        <v>0</v>
      </c>
      <c r="P28" s="1"/>
      <c r="Q28" s="1">
        <v>102.58199999999999</v>
      </c>
      <c r="R28" s="1">
        <v>457.77785999999992</v>
      </c>
      <c r="S28" s="1">
        <f t="shared" si="3"/>
        <v>64.301599999999993</v>
      </c>
      <c r="T28" s="5">
        <f t="shared" ref="T28:T66" si="10">12*S28-R28-Q28-P28-O28-F28</f>
        <v>79.048339999999939</v>
      </c>
      <c r="U28" s="5">
        <f t="shared" si="6"/>
        <v>79.048339999999939</v>
      </c>
      <c r="V28" s="18"/>
      <c r="W28" s="18"/>
      <c r="X28" s="1">
        <f t="shared" si="7"/>
        <v>12</v>
      </c>
      <c r="Y28" s="1">
        <f t="shared" si="4"/>
        <v>10.770662938402777</v>
      </c>
      <c r="Z28" s="1">
        <v>64.790199999999999</v>
      </c>
      <c r="AA28" s="1">
        <v>41.290999999999997</v>
      </c>
      <c r="AB28" s="1">
        <v>19.9512</v>
      </c>
      <c r="AC28" s="1">
        <v>38.483400000000003</v>
      </c>
      <c r="AD28" s="1">
        <v>61.430199999999999</v>
      </c>
      <c r="AE28" s="1">
        <v>40.460999999999999</v>
      </c>
      <c r="AF28" s="1">
        <v>34.136399999999988</v>
      </c>
      <c r="AG28" s="1">
        <v>28.6402</v>
      </c>
      <c r="AH28" s="1">
        <v>49.427</v>
      </c>
      <c r="AI28" s="1">
        <v>45.0518</v>
      </c>
      <c r="AJ28" s="1"/>
      <c r="AK28" s="1">
        <f t="shared" si="8"/>
        <v>79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36</v>
      </c>
      <c r="C29" s="1">
        <v>1112.7619999999999</v>
      </c>
      <c r="D29" s="1">
        <v>21.443999999999999</v>
      </c>
      <c r="E29" s="1">
        <v>555.26400000000001</v>
      </c>
      <c r="F29" s="1">
        <v>400.84800000000001</v>
      </c>
      <c r="G29" s="7">
        <v>1</v>
      </c>
      <c r="H29" s="1">
        <v>40</v>
      </c>
      <c r="I29" s="1" t="s">
        <v>37</v>
      </c>
      <c r="J29" s="1"/>
      <c r="K29" s="1">
        <v>559.4</v>
      </c>
      <c r="L29" s="1">
        <f t="shared" si="2"/>
        <v>-4.1359999999999673</v>
      </c>
      <c r="M29" s="1"/>
      <c r="N29" s="1"/>
      <c r="O29" s="1">
        <v>1150</v>
      </c>
      <c r="P29" s="1"/>
      <c r="Q29" s="1">
        <v>0</v>
      </c>
      <c r="R29" s="1">
        <v>0</v>
      </c>
      <c r="S29" s="1">
        <f t="shared" si="3"/>
        <v>111.0528</v>
      </c>
      <c r="T29" s="5"/>
      <c r="U29" s="5">
        <f t="shared" si="6"/>
        <v>0</v>
      </c>
      <c r="V29" s="18"/>
      <c r="W29" s="18"/>
      <c r="X29" s="1">
        <f t="shared" si="7"/>
        <v>13.964960811433839</v>
      </c>
      <c r="Y29" s="1">
        <f t="shared" si="4"/>
        <v>13.964960811433839</v>
      </c>
      <c r="Z29" s="1">
        <v>94.69</v>
      </c>
      <c r="AA29" s="1">
        <v>89.814400000000006</v>
      </c>
      <c r="AB29" s="1">
        <v>149.56479999999999</v>
      </c>
      <c r="AC29" s="1">
        <v>192.89240000000001</v>
      </c>
      <c r="AD29" s="1">
        <v>98.930399999999992</v>
      </c>
      <c r="AE29" s="1">
        <v>1.2E-2</v>
      </c>
      <c r="AF29" s="1">
        <v>79.461600000000004</v>
      </c>
      <c r="AG29" s="1">
        <v>183.1814</v>
      </c>
      <c r="AH29" s="1">
        <v>189.0034</v>
      </c>
      <c r="AI29" s="1">
        <v>89.290199999999999</v>
      </c>
      <c r="AJ29" s="17" t="s">
        <v>47</v>
      </c>
      <c r="AK29" s="1">
        <f t="shared" si="8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36</v>
      </c>
      <c r="C30" s="1">
        <v>0.14399999999999999</v>
      </c>
      <c r="D30" s="1">
        <v>34.81</v>
      </c>
      <c r="E30" s="1">
        <v>18.853999999999999</v>
      </c>
      <c r="F30" s="1">
        <v>14.64</v>
      </c>
      <c r="G30" s="7">
        <v>1</v>
      </c>
      <c r="H30" s="1">
        <v>40</v>
      </c>
      <c r="I30" s="1" t="s">
        <v>37</v>
      </c>
      <c r="J30" s="1"/>
      <c r="K30" s="1">
        <v>18.8</v>
      </c>
      <c r="L30" s="1">
        <f t="shared" si="2"/>
        <v>5.3999999999998494E-2</v>
      </c>
      <c r="M30" s="1"/>
      <c r="N30" s="1"/>
      <c r="O30" s="1">
        <v>26</v>
      </c>
      <c r="P30" s="1"/>
      <c r="Q30" s="1">
        <v>0</v>
      </c>
      <c r="R30" s="1">
        <v>0</v>
      </c>
      <c r="S30" s="1">
        <f t="shared" si="3"/>
        <v>3.7707999999999999</v>
      </c>
      <c r="T30" s="5">
        <f t="shared" si="10"/>
        <v>4.6096000000000004</v>
      </c>
      <c r="U30" s="5">
        <f t="shared" si="6"/>
        <v>4.6096000000000004</v>
      </c>
      <c r="V30" s="18"/>
      <c r="W30" s="18"/>
      <c r="X30" s="1">
        <f t="shared" si="7"/>
        <v>12</v>
      </c>
      <c r="Y30" s="1">
        <f t="shared" si="4"/>
        <v>10.777553834730032</v>
      </c>
      <c r="Z30" s="1">
        <v>0</v>
      </c>
      <c r="AA30" s="1">
        <v>-0.13400000000000001</v>
      </c>
      <c r="AB30" s="1">
        <v>3.38</v>
      </c>
      <c r="AC30" s="1">
        <v>3.5139999999999998</v>
      </c>
      <c r="AD30" s="1">
        <v>0.9071999999999999</v>
      </c>
      <c r="AE30" s="1">
        <v>5.9954000000000001</v>
      </c>
      <c r="AF30" s="1">
        <v>6.6069999999999993</v>
      </c>
      <c r="AG30" s="1">
        <v>2.9994000000000001</v>
      </c>
      <c r="AH30" s="1">
        <v>1.4805999999999999</v>
      </c>
      <c r="AI30" s="1">
        <v>0</v>
      </c>
      <c r="AJ30" s="1"/>
      <c r="AK30" s="1">
        <f t="shared" si="8"/>
        <v>5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36</v>
      </c>
      <c r="C31" s="1">
        <v>2.8010000000000002</v>
      </c>
      <c r="D31" s="1"/>
      <c r="E31" s="1">
        <v>-3.76</v>
      </c>
      <c r="F31" s="1">
        <v>2.8010000000000002</v>
      </c>
      <c r="G31" s="7">
        <v>1</v>
      </c>
      <c r="H31" s="1">
        <v>30</v>
      </c>
      <c r="I31" s="9" t="s">
        <v>40</v>
      </c>
      <c r="J31" s="1"/>
      <c r="K31" s="1">
        <v>15.4</v>
      </c>
      <c r="L31" s="1">
        <f t="shared" si="2"/>
        <v>-19.16</v>
      </c>
      <c r="M31" s="1"/>
      <c r="N31" s="1"/>
      <c r="O31" s="1">
        <v>101.845</v>
      </c>
      <c r="P31" s="1"/>
      <c r="Q31" s="1">
        <v>0</v>
      </c>
      <c r="R31" s="1">
        <v>30</v>
      </c>
      <c r="S31" s="1">
        <f t="shared" si="3"/>
        <v>-0.752</v>
      </c>
      <c r="T31" s="5">
        <v>20</v>
      </c>
      <c r="U31" s="5">
        <f t="shared" si="6"/>
        <v>20</v>
      </c>
      <c r="V31" s="18"/>
      <c r="W31" s="18"/>
      <c r="X31" s="1">
        <f t="shared" si="7"/>
        <v>-205.64627659574469</v>
      </c>
      <c r="Y31" s="1">
        <f t="shared" si="4"/>
        <v>-179.05053191489364</v>
      </c>
      <c r="Z31" s="1">
        <v>-0.97</v>
      </c>
      <c r="AA31" s="1">
        <v>-0.218</v>
      </c>
      <c r="AB31" s="1">
        <v>10.932600000000001</v>
      </c>
      <c r="AC31" s="1">
        <v>12.9648</v>
      </c>
      <c r="AD31" s="1">
        <v>-4.0000000000000002E-4</v>
      </c>
      <c r="AE31" s="1">
        <v>1.3251999999999999</v>
      </c>
      <c r="AF31" s="1">
        <v>13.872400000000001</v>
      </c>
      <c r="AG31" s="1">
        <v>20.366800000000001</v>
      </c>
      <c r="AH31" s="1">
        <v>14.660399999999999</v>
      </c>
      <c r="AI31" s="1">
        <v>3.9342000000000001</v>
      </c>
      <c r="AJ31" s="1"/>
      <c r="AK31" s="1">
        <f t="shared" si="8"/>
        <v>20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36</v>
      </c>
      <c r="C32" s="1">
        <v>114.236</v>
      </c>
      <c r="D32" s="1">
        <v>12.696999999999999</v>
      </c>
      <c r="E32" s="1">
        <v>91.587999999999994</v>
      </c>
      <c r="F32" s="1">
        <v>11.75</v>
      </c>
      <c r="G32" s="7">
        <v>1</v>
      </c>
      <c r="H32" s="1">
        <v>50</v>
      </c>
      <c r="I32" s="1" t="s">
        <v>37</v>
      </c>
      <c r="J32" s="1"/>
      <c r="K32" s="1">
        <v>94</v>
      </c>
      <c r="L32" s="1">
        <f t="shared" si="2"/>
        <v>-2.4120000000000061</v>
      </c>
      <c r="M32" s="1"/>
      <c r="N32" s="1"/>
      <c r="O32" s="1">
        <v>0</v>
      </c>
      <c r="P32" s="1"/>
      <c r="Q32" s="1">
        <v>250</v>
      </c>
      <c r="R32" s="1">
        <v>0</v>
      </c>
      <c r="S32" s="1">
        <f t="shared" si="3"/>
        <v>18.317599999999999</v>
      </c>
      <c r="T32" s="5"/>
      <c r="U32" s="5">
        <f t="shared" ref="U32:U33" si="11">V32</f>
        <v>80</v>
      </c>
      <c r="V32" s="18">
        <f>VLOOKUP(A32,[1]Sheet!$A:$V,21,0)</f>
        <v>80</v>
      </c>
      <c r="W32" s="18" t="str">
        <f>VLOOKUP(A32,[1]Sheet!$A:$V,22,0)</f>
        <v>Есть спрос</v>
      </c>
      <c r="X32" s="1">
        <f t="shared" si="7"/>
        <v>18.656920120539809</v>
      </c>
      <c r="Y32" s="1">
        <f t="shared" si="4"/>
        <v>14.289535747041098</v>
      </c>
      <c r="Z32" s="1">
        <v>15.9734</v>
      </c>
      <c r="AA32" s="1">
        <v>13.6462</v>
      </c>
      <c r="AB32" s="1">
        <v>19.478000000000002</v>
      </c>
      <c r="AC32" s="1">
        <v>10.740600000000001</v>
      </c>
      <c r="AD32" s="1">
        <v>3.1267999999999998</v>
      </c>
      <c r="AE32" s="1">
        <v>19.297999999999998</v>
      </c>
      <c r="AF32" s="1">
        <v>26.091999999999999</v>
      </c>
      <c r="AG32" s="1">
        <v>14.4978</v>
      </c>
      <c r="AH32" s="1">
        <v>7.5068000000000001</v>
      </c>
      <c r="AI32" s="1">
        <v>11.5124</v>
      </c>
      <c r="AJ32" s="1"/>
      <c r="AK32" s="1">
        <f t="shared" si="8"/>
        <v>80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36</v>
      </c>
      <c r="C33" s="1">
        <v>82.555000000000007</v>
      </c>
      <c r="D33" s="1">
        <v>7.3109999999999999</v>
      </c>
      <c r="E33" s="1">
        <v>69.72</v>
      </c>
      <c r="F33" s="1">
        <v>5.4880000000000004</v>
      </c>
      <c r="G33" s="7">
        <v>1</v>
      </c>
      <c r="H33" s="1">
        <v>50</v>
      </c>
      <c r="I33" s="1" t="s">
        <v>37</v>
      </c>
      <c r="J33" s="1"/>
      <c r="K33" s="1">
        <v>71.099999999999994</v>
      </c>
      <c r="L33" s="1">
        <f t="shared" si="2"/>
        <v>-1.3799999999999955</v>
      </c>
      <c r="M33" s="1"/>
      <c r="N33" s="1"/>
      <c r="O33" s="1">
        <v>0</v>
      </c>
      <c r="P33" s="1"/>
      <c r="Q33" s="1">
        <v>0</v>
      </c>
      <c r="R33" s="1">
        <v>96.116279999999989</v>
      </c>
      <c r="S33" s="1">
        <f t="shared" si="3"/>
        <v>13.943999999999999</v>
      </c>
      <c r="T33" s="5">
        <f t="shared" si="10"/>
        <v>65.723719999999986</v>
      </c>
      <c r="U33" s="5">
        <f t="shared" si="11"/>
        <v>100</v>
      </c>
      <c r="V33" s="18">
        <f>VLOOKUP(A33,[1]Sheet!$A:$V,21,0)</f>
        <v>100</v>
      </c>
      <c r="W33" s="18" t="str">
        <f>VLOOKUP(A33,[1]Sheet!$A:$V,22,0)</f>
        <v>Есть спрос</v>
      </c>
      <c r="X33" s="1">
        <f t="shared" si="7"/>
        <v>14.458138267355135</v>
      </c>
      <c r="Y33" s="1">
        <f t="shared" si="4"/>
        <v>7.2865949512335053</v>
      </c>
      <c r="Z33" s="1">
        <v>10.803599999999999</v>
      </c>
      <c r="AA33" s="1">
        <v>4.2084000000000001</v>
      </c>
      <c r="AB33" s="1">
        <v>2.0131999999999999</v>
      </c>
      <c r="AC33" s="1">
        <v>5.2670000000000003</v>
      </c>
      <c r="AD33" s="1">
        <v>7.9817999999999998</v>
      </c>
      <c r="AE33" s="1">
        <v>10.100199999999999</v>
      </c>
      <c r="AF33" s="1">
        <v>10.1</v>
      </c>
      <c r="AG33" s="1">
        <v>8.9084000000000003</v>
      </c>
      <c r="AH33" s="1">
        <v>7.8503999999999996</v>
      </c>
      <c r="AI33" s="1">
        <v>4.3845999999999998</v>
      </c>
      <c r="AJ33" s="1"/>
      <c r="AK33" s="1">
        <f t="shared" si="8"/>
        <v>100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42</v>
      </c>
      <c r="C34" s="1">
        <v>37</v>
      </c>
      <c r="D34" s="1">
        <v>795</v>
      </c>
      <c r="E34" s="1">
        <v>665</v>
      </c>
      <c r="F34" s="1">
        <v>-23</v>
      </c>
      <c r="G34" s="7">
        <v>0.4</v>
      </c>
      <c r="H34" s="1">
        <v>45</v>
      </c>
      <c r="I34" s="9" t="s">
        <v>40</v>
      </c>
      <c r="J34" s="1"/>
      <c r="K34" s="1">
        <v>805</v>
      </c>
      <c r="L34" s="1">
        <f t="shared" si="2"/>
        <v>-140</v>
      </c>
      <c r="M34" s="1"/>
      <c r="N34" s="1"/>
      <c r="O34" s="1">
        <v>350</v>
      </c>
      <c r="P34" s="1"/>
      <c r="Q34" s="1">
        <v>0</v>
      </c>
      <c r="R34" s="1">
        <v>318.13999999999987</v>
      </c>
      <c r="S34" s="1">
        <f t="shared" si="3"/>
        <v>133</v>
      </c>
      <c r="T34" s="5">
        <f t="shared" si="10"/>
        <v>950.86000000000013</v>
      </c>
      <c r="U34" s="5">
        <f t="shared" si="6"/>
        <v>950.86000000000013</v>
      </c>
      <c r="V34" s="18"/>
      <c r="W34" s="18"/>
      <c r="X34" s="1">
        <f t="shared" si="7"/>
        <v>12</v>
      </c>
      <c r="Y34" s="1">
        <f t="shared" si="4"/>
        <v>4.8506766917293227</v>
      </c>
      <c r="Z34" s="1">
        <v>89.8</v>
      </c>
      <c r="AA34" s="1">
        <v>51</v>
      </c>
      <c r="AB34" s="1">
        <v>40.799999999999997</v>
      </c>
      <c r="AC34" s="1">
        <v>105.6</v>
      </c>
      <c r="AD34" s="1">
        <v>80.8</v>
      </c>
      <c r="AE34" s="1">
        <v>39.799999999999997</v>
      </c>
      <c r="AF34" s="1">
        <v>23.4</v>
      </c>
      <c r="AG34" s="1">
        <v>-0.6</v>
      </c>
      <c r="AH34" s="1">
        <v>43</v>
      </c>
      <c r="AI34" s="1">
        <v>53.6</v>
      </c>
      <c r="AJ34" s="1"/>
      <c r="AK34" s="1">
        <f t="shared" si="8"/>
        <v>380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42</v>
      </c>
      <c r="C35" s="1">
        <v>238</v>
      </c>
      <c r="D35" s="1">
        <v>338</v>
      </c>
      <c r="E35" s="1">
        <v>263</v>
      </c>
      <c r="F35" s="1">
        <v>168</v>
      </c>
      <c r="G35" s="7">
        <v>0.45</v>
      </c>
      <c r="H35" s="1">
        <v>50</v>
      </c>
      <c r="I35" s="1" t="s">
        <v>37</v>
      </c>
      <c r="J35" s="1"/>
      <c r="K35" s="1">
        <v>290</v>
      </c>
      <c r="L35" s="1">
        <f t="shared" si="2"/>
        <v>-27</v>
      </c>
      <c r="M35" s="1"/>
      <c r="N35" s="1"/>
      <c r="O35" s="1">
        <v>0</v>
      </c>
      <c r="P35" s="1"/>
      <c r="Q35" s="1">
        <v>0</v>
      </c>
      <c r="R35" s="1">
        <v>0</v>
      </c>
      <c r="S35" s="1">
        <f t="shared" si="3"/>
        <v>52.6</v>
      </c>
      <c r="T35" s="5">
        <f>10*S35-R35-Q35-P35-O35-F35</f>
        <v>358</v>
      </c>
      <c r="U35" s="5">
        <f t="shared" si="6"/>
        <v>358</v>
      </c>
      <c r="V35" s="18"/>
      <c r="W35" s="18"/>
      <c r="X35" s="1">
        <f t="shared" si="7"/>
        <v>10</v>
      </c>
      <c r="Y35" s="1">
        <f t="shared" si="4"/>
        <v>3.1939163498098857</v>
      </c>
      <c r="Z35" s="1">
        <v>25.8</v>
      </c>
      <c r="AA35" s="1">
        <v>12.8</v>
      </c>
      <c r="AB35" s="1">
        <v>24</v>
      </c>
      <c r="AC35" s="1">
        <v>29.4</v>
      </c>
      <c r="AD35" s="1">
        <v>42.2</v>
      </c>
      <c r="AE35" s="1">
        <v>38.799999999999997</v>
      </c>
      <c r="AF35" s="1">
        <v>24.4</v>
      </c>
      <c r="AG35" s="1">
        <v>26.6</v>
      </c>
      <c r="AH35" s="1">
        <v>21.8</v>
      </c>
      <c r="AI35" s="1">
        <v>11.8</v>
      </c>
      <c r="AJ35" s="1"/>
      <c r="AK35" s="1">
        <f t="shared" si="8"/>
        <v>161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42</v>
      </c>
      <c r="C36" s="1">
        <v>-29</v>
      </c>
      <c r="D36" s="1">
        <v>428</v>
      </c>
      <c r="E36" s="1">
        <v>271</v>
      </c>
      <c r="F36" s="1">
        <v>13</v>
      </c>
      <c r="G36" s="7">
        <v>0.4</v>
      </c>
      <c r="H36" s="1">
        <v>45</v>
      </c>
      <c r="I36" s="1" t="s">
        <v>37</v>
      </c>
      <c r="J36" s="1"/>
      <c r="K36" s="1">
        <v>330</v>
      </c>
      <c r="L36" s="1">
        <f t="shared" si="2"/>
        <v>-59</v>
      </c>
      <c r="M36" s="1"/>
      <c r="N36" s="1"/>
      <c r="O36" s="1">
        <v>370</v>
      </c>
      <c r="P36" s="1"/>
      <c r="Q36" s="1">
        <v>0</v>
      </c>
      <c r="R36" s="1">
        <v>0</v>
      </c>
      <c r="S36" s="1">
        <f t="shared" si="3"/>
        <v>54.2</v>
      </c>
      <c r="T36" s="5">
        <f t="shared" si="10"/>
        <v>267.40000000000009</v>
      </c>
      <c r="U36" s="5">
        <f t="shared" si="6"/>
        <v>267.40000000000009</v>
      </c>
      <c r="V36" s="18"/>
      <c r="W36" s="18"/>
      <c r="X36" s="1">
        <f t="shared" si="7"/>
        <v>12.000000000000002</v>
      </c>
      <c r="Y36" s="1">
        <f t="shared" si="4"/>
        <v>7.0664206642066416</v>
      </c>
      <c r="Z36" s="1">
        <v>14.8</v>
      </c>
      <c r="AA36" s="1">
        <v>11.2</v>
      </c>
      <c r="AB36" s="1">
        <v>27.4</v>
      </c>
      <c r="AC36" s="1">
        <v>58.2</v>
      </c>
      <c r="AD36" s="1">
        <v>44.4</v>
      </c>
      <c r="AE36" s="1">
        <v>18</v>
      </c>
      <c r="AF36" s="1">
        <v>19.2</v>
      </c>
      <c r="AG36" s="1">
        <v>18</v>
      </c>
      <c r="AH36" s="1">
        <v>24.6</v>
      </c>
      <c r="AI36" s="1">
        <v>14.2</v>
      </c>
      <c r="AJ36" s="1"/>
      <c r="AK36" s="1">
        <f t="shared" si="8"/>
        <v>107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42</v>
      </c>
      <c r="C37" s="1">
        <v>14</v>
      </c>
      <c r="D37" s="1">
        <v>36</v>
      </c>
      <c r="E37" s="1">
        <v>41</v>
      </c>
      <c r="F37" s="1"/>
      <c r="G37" s="7">
        <v>0.4</v>
      </c>
      <c r="H37" s="1">
        <v>40</v>
      </c>
      <c r="I37" s="1" t="s">
        <v>37</v>
      </c>
      <c r="J37" s="1"/>
      <c r="K37" s="1">
        <v>40</v>
      </c>
      <c r="L37" s="1">
        <f t="shared" si="2"/>
        <v>1</v>
      </c>
      <c r="M37" s="1"/>
      <c r="N37" s="1"/>
      <c r="O37" s="1">
        <v>0</v>
      </c>
      <c r="P37" s="1"/>
      <c r="Q37" s="1">
        <v>8</v>
      </c>
      <c r="R37" s="1">
        <v>47.599999999999987</v>
      </c>
      <c r="S37" s="1">
        <f t="shared" si="3"/>
        <v>8.1999999999999993</v>
      </c>
      <c r="T37" s="5">
        <f t="shared" si="10"/>
        <v>42.800000000000004</v>
      </c>
      <c r="U37" s="5">
        <f t="shared" si="6"/>
        <v>42.800000000000004</v>
      </c>
      <c r="V37" s="18"/>
      <c r="W37" s="18"/>
      <c r="X37" s="1">
        <f t="shared" si="7"/>
        <v>12</v>
      </c>
      <c r="Y37" s="1">
        <f t="shared" si="4"/>
        <v>6.7804878048780477</v>
      </c>
      <c r="Z37" s="1">
        <v>8.1999999999999993</v>
      </c>
      <c r="AA37" s="1">
        <v>3.2</v>
      </c>
      <c r="AB37" s="1">
        <v>3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/>
      <c r="AK37" s="1">
        <f t="shared" si="8"/>
        <v>17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36</v>
      </c>
      <c r="C38" s="1">
        <v>122.551</v>
      </c>
      <c r="D38" s="1"/>
      <c r="E38" s="1">
        <v>27.507000000000001</v>
      </c>
      <c r="F38" s="1">
        <v>80.965000000000003</v>
      </c>
      <c r="G38" s="7">
        <v>1</v>
      </c>
      <c r="H38" s="1">
        <v>45</v>
      </c>
      <c r="I38" s="9" t="s">
        <v>40</v>
      </c>
      <c r="J38" s="1"/>
      <c r="K38" s="1">
        <v>26</v>
      </c>
      <c r="L38" s="1">
        <f t="shared" ref="L38:L69" si="12">E38-K38</f>
        <v>1.5070000000000014</v>
      </c>
      <c r="M38" s="1"/>
      <c r="N38" s="1"/>
      <c r="O38" s="1">
        <v>0</v>
      </c>
      <c r="P38" s="1"/>
      <c r="Q38" s="1">
        <v>0</v>
      </c>
      <c r="R38" s="1">
        <v>0</v>
      </c>
      <c r="S38" s="1">
        <f t="shared" ref="S38:S69" si="13">E38/5</f>
        <v>5.5014000000000003</v>
      </c>
      <c r="T38" s="5"/>
      <c r="U38" s="5">
        <f t="shared" si="6"/>
        <v>0</v>
      </c>
      <c r="V38" s="18"/>
      <c r="W38" s="18"/>
      <c r="X38" s="1">
        <f t="shared" si="7"/>
        <v>14.717162903988076</v>
      </c>
      <c r="Y38" s="1">
        <f t="shared" ref="Y38:Y69" si="14">(F38+O38+P38+Q38+R38)/S38</f>
        <v>14.717162903988076</v>
      </c>
      <c r="Z38" s="1">
        <v>5.5655999999999999</v>
      </c>
      <c r="AA38" s="1">
        <v>6.1146000000000003</v>
      </c>
      <c r="AB38" s="1">
        <v>8.9586000000000006</v>
      </c>
      <c r="AC38" s="1">
        <v>5.7417999999999996</v>
      </c>
      <c r="AD38" s="1">
        <v>7.9707999999999997</v>
      </c>
      <c r="AE38" s="1">
        <v>13.5688</v>
      </c>
      <c r="AF38" s="1">
        <v>10.417999999999999</v>
      </c>
      <c r="AG38" s="1">
        <v>9.3553999999999995</v>
      </c>
      <c r="AH38" s="1">
        <v>10.323</v>
      </c>
      <c r="AI38" s="1">
        <v>4.6484000000000014</v>
      </c>
      <c r="AJ38" s="1"/>
      <c r="AK38" s="1">
        <f t="shared" si="8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42</v>
      </c>
      <c r="C39" s="1">
        <v>352</v>
      </c>
      <c r="D39" s="1">
        <v>862</v>
      </c>
      <c r="E39" s="1">
        <v>451</v>
      </c>
      <c r="F39" s="1">
        <v>621</v>
      </c>
      <c r="G39" s="7">
        <v>0.1</v>
      </c>
      <c r="H39" s="1">
        <v>731</v>
      </c>
      <c r="I39" s="1" t="s">
        <v>37</v>
      </c>
      <c r="J39" s="1"/>
      <c r="K39" s="1">
        <v>471</v>
      </c>
      <c r="L39" s="1">
        <f t="shared" si="12"/>
        <v>-20</v>
      </c>
      <c r="M39" s="1"/>
      <c r="N39" s="1"/>
      <c r="O39" s="1">
        <v>0</v>
      </c>
      <c r="P39" s="1"/>
      <c r="Q39" s="1">
        <v>300</v>
      </c>
      <c r="R39" s="1">
        <v>0</v>
      </c>
      <c r="S39" s="1">
        <f t="shared" si="13"/>
        <v>90.2</v>
      </c>
      <c r="T39" s="5">
        <f t="shared" si="10"/>
        <v>161.40000000000009</v>
      </c>
      <c r="U39" s="5">
        <f t="shared" si="6"/>
        <v>161.40000000000009</v>
      </c>
      <c r="V39" s="18"/>
      <c r="W39" s="18"/>
      <c r="X39" s="1">
        <f t="shared" si="7"/>
        <v>12</v>
      </c>
      <c r="Y39" s="1">
        <f t="shared" si="14"/>
        <v>10.210643015521065</v>
      </c>
      <c r="Z39" s="1">
        <v>82.6</v>
      </c>
      <c r="AA39" s="1">
        <v>90.4</v>
      </c>
      <c r="AB39" s="1">
        <v>95.8</v>
      </c>
      <c r="AC39" s="1">
        <v>118.6</v>
      </c>
      <c r="AD39" s="1">
        <v>125.2</v>
      </c>
      <c r="AE39" s="1">
        <v>102.8</v>
      </c>
      <c r="AF39" s="1">
        <v>113.8</v>
      </c>
      <c r="AG39" s="1">
        <v>149.4</v>
      </c>
      <c r="AH39" s="1">
        <v>112</v>
      </c>
      <c r="AI39" s="1">
        <v>37</v>
      </c>
      <c r="AJ39" s="1" t="s">
        <v>79</v>
      </c>
      <c r="AK39" s="1">
        <f t="shared" si="8"/>
        <v>16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42</v>
      </c>
      <c r="C40" s="1">
        <v>-2</v>
      </c>
      <c r="D40" s="1"/>
      <c r="E40" s="1">
        <v>-2</v>
      </c>
      <c r="F40" s="1">
        <v>-2</v>
      </c>
      <c r="G40" s="7">
        <v>0.35</v>
      </c>
      <c r="H40" s="1">
        <v>40</v>
      </c>
      <c r="I40" s="9" t="s">
        <v>40</v>
      </c>
      <c r="J40" s="1"/>
      <c r="K40" s="1">
        <v>2</v>
      </c>
      <c r="L40" s="1">
        <f t="shared" si="12"/>
        <v>-4</v>
      </c>
      <c r="M40" s="1"/>
      <c r="N40" s="1"/>
      <c r="O40" s="1">
        <v>26</v>
      </c>
      <c r="P40" s="1"/>
      <c r="Q40" s="1">
        <v>200</v>
      </c>
      <c r="R40" s="1">
        <v>0</v>
      </c>
      <c r="S40" s="1">
        <f t="shared" si="13"/>
        <v>-0.4</v>
      </c>
      <c r="T40" s="5"/>
      <c r="U40" s="5">
        <f>V40</f>
        <v>100</v>
      </c>
      <c r="V40" s="18">
        <f>VLOOKUP(A40,[1]Sheet!$A:$V,21,0)</f>
        <v>100</v>
      </c>
      <c r="W40" s="18" t="str">
        <f>VLOOKUP(A40,[1]Sheet!$A:$V,22,0)</f>
        <v>Есть спрос</v>
      </c>
      <c r="X40" s="1">
        <f t="shared" si="7"/>
        <v>-810</v>
      </c>
      <c r="Y40" s="1">
        <f t="shared" si="14"/>
        <v>-560</v>
      </c>
      <c r="Z40" s="1">
        <v>-0.4</v>
      </c>
      <c r="AA40" s="1">
        <v>-0.2</v>
      </c>
      <c r="AB40" s="1">
        <v>-0.2</v>
      </c>
      <c r="AC40" s="1">
        <v>4.8</v>
      </c>
      <c r="AD40" s="1">
        <v>9.8000000000000007</v>
      </c>
      <c r="AE40" s="1">
        <v>10.8</v>
      </c>
      <c r="AF40" s="1">
        <v>5.6</v>
      </c>
      <c r="AG40" s="1">
        <v>-3.8</v>
      </c>
      <c r="AH40" s="1">
        <v>-3.6</v>
      </c>
      <c r="AI40" s="1">
        <v>0</v>
      </c>
      <c r="AJ40" s="1"/>
      <c r="AK40" s="1">
        <f t="shared" si="8"/>
        <v>35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36</v>
      </c>
      <c r="C41" s="1">
        <v>122.82599999999999</v>
      </c>
      <c r="D41" s="1">
        <v>264.358</v>
      </c>
      <c r="E41" s="1">
        <v>175.69300000000001</v>
      </c>
      <c r="F41" s="1">
        <v>143.89599999999999</v>
      </c>
      <c r="G41" s="7">
        <v>1</v>
      </c>
      <c r="H41" s="1">
        <v>40</v>
      </c>
      <c r="I41" s="1" t="s">
        <v>37</v>
      </c>
      <c r="J41" s="1"/>
      <c r="K41" s="1">
        <v>202.8</v>
      </c>
      <c r="L41" s="1">
        <f t="shared" si="12"/>
        <v>-27.106999999999999</v>
      </c>
      <c r="M41" s="1"/>
      <c r="N41" s="1"/>
      <c r="O41" s="1">
        <v>0</v>
      </c>
      <c r="P41" s="1"/>
      <c r="Q41" s="1">
        <v>0</v>
      </c>
      <c r="R41" s="1">
        <v>140.06886</v>
      </c>
      <c r="S41" s="1">
        <f t="shared" si="13"/>
        <v>35.138600000000004</v>
      </c>
      <c r="T41" s="5">
        <f t="shared" si="10"/>
        <v>137.69834000000012</v>
      </c>
      <c r="U41" s="5">
        <f t="shared" si="6"/>
        <v>137.69834000000012</v>
      </c>
      <c r="V41" s="18"/>
      <c r="W41" s="18"/>
      <c r="X41" s="1">
        <f t="shared" si="7"/>
        <v>12</v>
      </c>
      <c r="Y41" s="1">
        <f t="shared" si="14"/>
        <v>8.0812798460951765</v>
      </c>
      <c r="Z41" s="1">
        <v>27.880199999999999</v>
      </c>
      <c r="AA41" s="1">
        <v>5.6612</v>
      </c>
      <c r="AB41" s="1">
        <v>4.0103999999999997</v>
      </c>
      <c r="AC41" s="1">
        <v>14.308199999999999</v>
      </c>
      <c r="AD41" s="1">
        <v>28.140599999999999</v>
      </c>
      <c r="AE41" s="1">
        <v>19.882000000000001</v>
      </c>
      <c r="AF41" s="1">
        <v>1.5982000000000001</v>
      </c>
      <c r="AG41" s="1">
        <v>5.7080000000000002</v>
      </c>
      <c r="AH41" s="1">
        <v>8.1778000000000013</v>
      </c>
      <c r="AI41" s="1">
        <v>8.4413999999999998</v>
      </c>
      <c r="AJ41" s="1"/>
      <c r="AK41" s="1">
        <f t="shared" si="8"/>
        <v>138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42</v>
      </c>
      <c r="C42" s="1">
        <v>155</v>
      </c>
      <c r="D42" s="1"/>
      <c r="E42" s="1">
        <v>100</v>
      </c>
      <c r="F42" s="1">
        <v>34</v>
      </c>
      <c r="G42" s="7">
        <v>0.4</v>
      </c>
      <c r="H42" s="1">
        <v>40</v>
      </c>
      <c r="I42" s="9" t="s">
        <v>40</v>
      </c>
      <c r="J42" s="1"/>
      <c r="K42" s="1">
        <v>172</v>
      </c>
      <c r="L42" s="1">
        <f t="shared" si="12"/>
        <v>-72</v>
      </c>
      <c r="M42" s="1"/>
      <c r="N42" s="1"/>
      <c r="O42" s="1">
        <v>70</v>
      </c>
      <c r="P42" s="1"/>
      <c r="Q42" s="1">
        <v>0</v>
      </c>
      <c r="R42" s="1">
        <v>49.5</v>
      </c>
      <c r="S42" s="1">
        <f t="shared" si="13"/>
        <v>20</v>
      </c>
      <c r="T42" s="5">
        <f t="shared" si="10"/>
        <v>86.5</v>
      </c>
      <c r="U42" s="5">
        <f t="shared" si="6"/>
        <v>86.5</v>
      </c>
      <c r="V42" s="18"/>
      <c r="W42" s="18"/>
      <c r="X42" s="1">
        <f t="shared" si="7"/>
        <v>12</v>
      </c>
      <c r="Y42" s="1">
        <f t="shared" si="14"/>
        <v>7.6749999999999998</v>
      </c>
      <c r="Z42" s="1">
        <v>15</v>
      </c>
      <c r="AA42" s="1">
        <v>8.4</v>
      </c>
      <c r="AB42" s="1">
        <v>20.6</v>
      </c>
      <c r="AC42" s="1">
        <v>18.8</v>
      </c>
      <c r="AD42" s="1">
        <v>8</v>
      </c>
      <c r="AE42" s="1">
        <v>13.8</v>
      </c>
      <c r="AF42" s="1">
        <v>28.2</v>
      </c>
      <c r="AG42" s="1">
        <v>24.6</v>
      </c>
      <c r="AH42" s="1">
        <v>15.2</v>
      </c>
      <c r="AI42" s="1">
        <v>11.6</v>
      </c>
      <c r="AJ42" s="1"/>
      <c r="AK42" s="1">
        <f t="shared" si="8"/>
        <v>35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42</v>
      </c>
      <c r="C43" s="1">
        <v>93</v>
      </c>
      <c r="D43" s="1"/>
      <c r="E43" s="1">
        <v>86</v>
      </c>
      <c r="F43" s="1">
        <v>1</v>
      </c>
      <c r="G43" s="7">
        <v>0.4</v>
      </c>
      <c r="H43" s="1">
        <v>45</v>
      </c>
      <c r="I43" s="9" t="s">
        <v>40</v>
      </c>
      <c r="J43" s="1"/>
      <c r="K43" s="1">
        <v>98</v>
      </c>
      <c r="L43" s="1">
        <f t="shared" si="12"/>
        <v>-12</v>
      </c>
      <c r="M43" s="1"/>
      <c r="N43" s="1"/>
      <c r="O43" s="1">
        <v>0</v>
      </c>
      <c r="P43" s="1"/>
      <c r="Q43" s="1">
        <v>80.200000000000017</v>
      </c>
      <c r="R43" s="1">
        <v>147.78</v>
      </c>
      <c r="S43" s="1">
        <f t="shared" si="13"/>
        <v>17.2</v>
      </c>
      <c r="T43" s="5"/>
      <c r="U43" s="5">
        <f t="shared" si="6"/>
        <v>0</v>
      </c>
      <c r="V43" s="18"/>
      <c r="W43" s="18"/>
      <c r="X43" s="1">
        <f t="shared" si="7"/>
        <v>13.312790697674421</v>
      </c>
      <c r="Y43" s="1">
        <f t="shared" si="14"/>
        <v>13.312790697674421</v>
      </c>
      <c r="Z43" s="1">
        <v>18.600000000000001</v>
      </c>
      <c r="AA43" s="1">
        <v>11.8</v>
      </c>
      <c r="AB43" s="1">
        <v>21.6</v>
      </c>
      <c r="AC43" s="1">
        <v>17.399999999999999</v>
      </c>
      <c r="AD43" s="1">
        <v>19</v>
      </c>
      <c r="AE43" s="1">
        <v>32</v>
      </c>
      <c r="AF43" s="1">
        <v>33.4</v>
      </c>
      <c r="AG43" s="1">
        <v>27.6</v>
      </c>
      <c r="AH43" s="1">
        <v>19</v>
      </c>
      <c r="AI43" s="1">
        <v>11.4</v>
      </c>
      <c r="AJ43" s="1"/>
      <c r="AK43" s="1">
        <f t="shared" si="8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36</v>
      </c>
      <c r="C44" s="1">
        <v>-1.492</v>
      </c>
      <c r="D44" s="1">
        <v>139.56899999999999</v>
      </c>
      <c r="E44" s="1">
        <v>56.610999999999997</v>
      </c>
      <c r="F44" s="1">
        <v>34.137</v>
      </c>
      <c r="G44" s="7">
        <v>1</v>
      </c>
      <c r="H44" s="1">
        <v>40</v>
      </c>
      <c r="I44" s="9" t="s">
        <v>40</v>
      </c>
      <c r="J44" s="1"/>
      <c r="K44" s="1">
        <v>76</v>
      </c>
      <c r="L44" s="1">
        <f t="shared" si="12"/>
        <v>-19.389000000000003</v>
      </c>
      <c r="M44" s="1"/>
      <c r="N44" s="1"/>
      <c r="O44" s="1">
        <v>140</v>
      </c>
      <c r="P44" s="1"/>
      <c r="Q44" s="1">
        <v>0</v>
      </c>
      <c r="R44" s="1">
        <v>0</v>
      </c>
      <c r="S44" s="1">
        <f t="shared" si="13"/>
        <v>11.322199999999999</v>
      </c>
      <c r="T44" s="5"/>
      <c r="U44" s="5">
        <f>V44</f>
        <v>100</v>
      </c>
      <c r="V44" s="18">
        <f>VLOOKUP(A44,[1]Sheet!$A:$V,21,0)</f>
        <v>100</v>
      </c>
      <c r="W44" s="18" t="str">
        <f>VLOOKUP(A44,[1]Sheet!$A:$V,22,0)</f>
        <v>Есть спрос</v>
      </c>
      <c r="X44" s="1">
        <f t="shared" si="7"/>
        <v>24.212343890763282</v>
      </c>
      <c r="Y44" s="1">
        <f t="shared" si="14"/>
        <v>15.380138135698012</v>
      </c>
      <c r="Z44" s="1">
        <v>2.0312000000000001</v>
      </c>
      <c r="AA44" s="1">
        <v>-0.43519999999999998</v>
      </c>
      <c r="AB44" s="1">
        <v>8.0980000000000008</v>
      </c>
      <c r="AC44" s="1">
        <v>18.626799999999999</v>
      </c>
      <c r="AD44" s="1">
        <v>12.271599999999999</v>
      </c>
      <c r="AE44" s="1">
        <v>3.7730000000000001</v>
      </c>
      <c r="AF44" s="1">
        <v>0.57640000000000002</v>
      </c>
      <c r="AG44" s="1">
        <v>3.3826000000000001</v>
      </c>
      <c r="AH44" s="1">
        <v>8.9486000000000008</v>
      </c>
      <c r="AI44" s="1">
        <v>4.9824000000000002</v>
      </c>
      <c r="AJ44" s="1"/>
      <c r="AK44" s="1">
        <f t="shared" si="8"/>
        <v>100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42</v>
      </c>
      <c r="C45" s="1">
        <v>-8</v>
      </c>
      <c r="D45" s="1">
        <v>264</v>
      </c>
      <c r="E45" s="1">
        <v>242</v>
      </c>
      <c r="F45" s="1">
        <v>-7</v>
      </c>
      <c r="G45" s="7">
        <v>0.35</v>
      </c>
      <c r="H45" s="1">
        <v>40</v>
      </c>
      <c r="I45" s="9" t="s">
        <v>40</v>
      </c>
      <c r="J45" s="1"/>
      <c r="K45" s="1">
        <v>330</v>
      </c>
      <c r="L45" s="1">
        <f t="shared" si="12"/>
        <v>-88</v>
      </c>
      <c r="M45" s="1"/>
      <c r="N45" s="1"/>
      <c r="O45" s="1">
        <v>195</v>
      </c>
      <c r="P45" s="1"/>
      <c r="Q45" s="1">
        <v>0</v>
      </c>
      <c r="R45" s="1">
        <v>0</v>
      </c>
      <c r="S45" s="1">
        <f t="shared" si="13"/>
        <v>48.4</v>
      </c>
      <c r="T45" s="5">
        <f>11*S45-R45-Q45-P45-O45-F45</f>
        <v>344.4</v>
      </c>
      <c r="U45" s="5">
        <f t="shared" si="6"/>
        <v>344.4</v>
      </c>
      <c r="V45" s="18"/>
      <c r="W45" s="18"/>
      <c r="X45" s="1">
        <f t="shared" si="7"/>
        <v>11</v>
      </c>
      <c r="Y45" s="1">
        <f t="shared" si="14"/>
        <v>3.884297520661157</v>
      </c>
      <c r="Z45" s="1">
        <v>13.8</v>
      </c>
      <c r="AA45" s="1">
        <v>2</v>
      </c>
      <c r="AB45" s="1">
        <v>2</v>
      </c>
      <c r="AC45" s="1">
        <v>32</v>
      </c>
      <c r="AD45" s="1">
        <v>47.4</v>
      </c>
      <c r="AE45" s="1">
        <v>23.6</v>
      </c>
      <c r="AF45" s="1">
        <v>31.8</v>
      </c>
      <c r="AG45" s="1">
        <v>39</v>
      </c>
      <c r="AH45" s="1">
        <v>35.6</v>
      </c>
      <c r="AI45" s="1">
        <v>19.600000000000001</v>
      </c>
      <c r="AJ45" s="1"/>
      <c r="AK45" s="1">
        <f t="shared" si="8"/>
        <v>121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42</v>
      </c>
      <c r="C46" s="1"/>
      <c r="D46" s="1">
        <v>74</v>
      </c>
      <c r="E46" s="1">
        <v>69</v>
      </c>
      <c r="F46" s="1"/>
      <c r="G46" s="7">
        <v>0.4</v>
      </c>
      <c r="H46" s="1">
        <v>40</v>
      </c>
      <c r="I46" s="1" t="s">
        <v>37</v>
      </c>
      <c r="J46" s="1"/>
      <c r="K46" s="1">
        <v>83</v>
      </c>
      <c r="L46" s="1">
        <f t="shared" si="12"/>
        <v>-14</v>
      </c>
      <c r="M46" s="1"/>
      <c r="N46" s="1"/>
      <c r="O46" s="1">
        <v>520</v>
      </c>
      <c r="P46" s="1"/>
      <c r="Q46" s="1">
        <v>0</v>
      </c>
      <c r="R46" s="1">
        <v>0</v>
      </c>
      <c r="S46" s="1">
        <f t="shared" si="13"/>
        <v>13.8</v>
      </c>
      <c r="T46" s="5"/>
      <c r="U46" s="5">
        <f t="shared" si="6"/>
        <v>0</v>
      </c>
      <c r="V46" s="18"/>
      <c r="W46" s="18"/>
      <c r="X46" s="1">
        <f t="shared" si="7"/>
        <v>37.681159420289852</v>
      </c>
      <c r="Y46" s="1">
        <f t="shared" si="14"/>
        <v>37.681159420289852</v>
      </c>
      <c r="Z46" s="1">
        <v>7.6</v>
      </c>
      <c r="AA46" s="1">
        <v>21.8</v>
      </c>
      <c r="AB46" s="1">
        <v>56.4</v>
      </c>
      <c r="AC46" s="1">
        <v>58.2</v>
      </c>
      <c r="AD46" s="1">
        <v>23.2</v>
      </c>
      <c r="AE46" s="1">
        <v>2.4</v>
      </c>
      <c r="AF46" s="1">
        <v>34</v>
      </c>
      <c r="AG46" s="1">
        <v>51.6</v>
      </c>
      <c r="AH46" s="1">
        <v>49.6</v>
      </c>
      <c r="AI46" s="1">
        <v>31</v>
      </c>
      <c r="AJ46" s="1"/>
      <c r="AK46" s="1">
        <f t="shared" si="8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36</v>
      </c>
      <c r="C47" s="1">
        <v>119.124</v>
      </c>
      <c r="D47" s="1">
        <v>18.829999999999998</v>
      </c>
      <c r="E47" s="1">
        <v>57.279000000000003</v>
      </c>
      <c r="F47" s="1">
        <v>58.274999999999999</v>
      </c>
      <c r="G47" s="7">
        <v>1</v>
      </c>
      <c r="H47" s="1">
        <v>50</v>
      </c>
      <c r="I47" s="1" t="s">
        <v>37</v>
      </c>
      <c r="J47" s="1"/>
      <c r="K47" s="1">
        <v>57.8</v>
      </c>
      <c r="L47" s="1">
        <f t="shared" si="12"/>
        <v>-0.52099999999999369</v>
      </c>
      <c r="M47" s="1"/>
      <c r="N47" s="1"/>
      <c r="O47" s="1">
        <v>0</v>
      </c>
      <c r="P47" s="1"/>
      <c r="Q47" s="1">
        <v>0</v>
      </c>
      <c r="R47" s="1">
        <v>0</v>
      </c>
      <c r="S47" s="1">
        <f t="shared" si="13"/>
        <v>11.4558</v>
      </c>
      <c r="T47" s="5">
        <f t="shared" si="10"/>
        <v>79.194600000000008</v>
      </c>
      <c r="U47" s="5">
        <f>V47</f>
        <v>150</v>
      </c>
      <c r="V47" s="18">
        <f>VLOOKUP(A47,[1]Sheet!$A:$V,21,0)</f>
        <v>150</v>
      </c>
      <c r="W47" s="18" t="str">
        <f>VLOOKUP(A47,[1]Sheet!$A:$V,22,0)</f>
        <v>Промо</v>
      </c>
      <c r="X47" s="1">
        <f t="shared" si="7"/>
        <v>18.18074687058084</v>
      </c>
      <c r="Y47" s="1">
        <f t="shared" si="14"/>
        <v>5.0869428586392917</v>
      </c>
      <c r="Z47" s="1">
        <v>8.1006</v>
      </c>
      <c r="AA47" s="1">
        <v>5.1276000000000002</v>
      </c>
      <c r="AB47" s="1">
        <v>4.0519999999999996</v>
      </c>
      <c r="AC47" s="1">
        <v>8.6585999999999999</v>
      </c>
      <c r="AD47" s="1">
        <v>12.7052</v>
      </c>
      <c r="AE47" s="1">
        <v>13.9094</v>
      </c>
      <c r="AF47" s="1">
        <v>13.914</v>
      </c>
      <c r="AG47" s="1">
        <v>8.3748000000000005</v>
      </c>
      <c r="AH47" s="1">
        <v>5.9323999999999986</v>
      </c>
      <c r="AI47" s="1">
        <v>6.7408000000000001</v>
      </c>
      <c r="AJ47" s="1"/>
      <c r="AK47" s="1">
        <f t="shared" si="8"/>
        <v>150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36</v>
      </c>
      <c r="C48" s="1">
        <v>258.43299999999999</v>
      </c>
      <c r="D48" s="1">
        <v>51.893999999999998</v>
      </c>
      <c r="E48" s="1">
        <v>164.1</v>
      </c>
      <c r="F48" s="1">
        <v>60.063000000000002</v>
      </c>
      <c r="G48" s="7">
        <v>1</v>
      </c>
      <c r="H48" s="1">
        <v>50</v>
      </c>
      <c r="I48" s="1" t="s">
        <v>37</v>
      </c>
      <c r="J48" s="1"/>
      <c r="K48" s="1">
        <v>177.2</v>
      </c>
      <c r="L48" s="1">
        <f t="shared" si="12"/>
        <v>-13.099999999999994</v>
      </c>
      <c r="M48" s="1"/>
      <c r="N48" s="1"/>
      <c r="O48" s="1">
        <v>0</v>
      </c>
      <c r="P48" s="1"/>
      <c r="Q48" s="1">
        <v>0</v>
      </c>
      <c r="R48" s="1">
        <v>270.30741999999998</v>
      </c>
      <c r="S48" s="1">
        <f t="shared" si="13"/>
        <v>32.82</v>
      </c>
      <c r="T48" s="5">
        <f t="shared" si="10"/>
        <v>63.46958000000005</v>
      </c>
      <c r="U48" s="5">
        <f t="shared" si="6"/>
        <v>63.46958000000005</v>
      </c>
      <c r="V48" s="18"/>
      <c r="W48" s="18"/>
      <c r="X48" s="1">
        <f t="shared" si="7"/>
        <v>12</v>
      </c>
      <c r="Y48" s="1">
        <f t="shared" si="14"/>
        <v>10.06613101767215</v>
      </c>
      <c r="Z48" s="1">
        <v>28.619399999999999</v>
      </c>
      <c r="AA48" s="1">
        <v>16.1906</v>
      </c>
      <c r="AB48" s="1">
        <v>24.096800000000002</v>
      </c>
      <c r="AC48" s="1">
        <v>23.748799999999999</v>
      </c>
      <c r="AD48" s="1">
        <v>26.533999999999999</v>
      </c>
      <c r="AE48" s="1">
        <v>34.277000000000001</v>
      </c>
      <c r="AF48" s="1">
        <v>28.886399999999998</v>
      </c>
      <c r="AG48" s="1">
        <v>31.163599999999999</v>
      </c>
      <c r="AH48" s="1">
        <v>29.2424</v>
      </c>
      <c r="AI48" s="1">
        <v>13.016</v>
      </c>
      <c r="AJ48" s="1" t="s">
        <v>79</v>
      </c>
      <c r="AK48" s="1">
        <f t="shared" si="8"/>
        <v>63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89</v>
      </c>
      <c r="B49" s="1" t="s">
        <v>36</v>
      </c>
      <c r="C49" s="1">
        <v>6.0949999999999998</v>
      </c>
      <c r="D49" s="1"/>
      <c r="E49" s="1">
        <v>6.1180000000000003</v>
      </c>
      <c r="F49" s="1">
        <v>-2.3E-2</v>
      </c>
      <c r="G49" s="7">
        <v>1</v>
      </c>
      <c r="H49" s="1">
        <v>45</v>
      </c>
      <c r="I49" s="9" t="s">
        <v>40</v>
      </c>
      <c r="J49" s="1"/>
      <c r="K49" s="1">
        <v>6.2</v>
      </c>
      <c r="L49" s="1">
        <f t="shared" si="12"/>
        <v>-8.1999999999999851E-2</v>
      </c>
      <c r="M49" s="1"/>
      <c r="N49" s="1"/>
      <c r="O49" s="1">
        <v>0</v>
      </c>
      <c r="P49" s="1"/>
      <c r="Q49" s="1">
        <v>40</v>
      </c>
      <c r="R49" s="1">
        <v>39.709199999999989</v>
      </c>
      <c r="S49" s="1">
        <f t="shared" si="13"/>
        <v>1.2236</v>
      </c>
      <c r="T49" s="5"/>
      <c r="U49" s="5">
        <f t="shared" si="6"/>
        <v>0</v>
      </c>
      <c r="V49" s="18"/>
      <c r="W49" s="18"/>
      <c r="X49" s="1">
        <f t="shared" si="7"/>
        <v>65.124387054592987</v>
      </c>
      <c r="Y49" s="1">
        <f t="shared" si="14"/>
        <v>65.124387054592987</v>
      </c>
      <c r="Z49" s="1">
        <v>7.2441999999999993</v>
      </c>
      <c r="AA49" s="1">
        <v>6.0206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/>
      <c r="AK49" s="1">
        <f t="shared" si="8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90</v>
      </c>
      <c r="B50" s="1" t="s">
        <v>42</v>
      </c>
      <c r="C50" s="1">
        <v>264</v>
      </c>
      <c r="D50" s="1">
        <v>149</v>
      </c>
      <c r="E50" s="1">
        <v>165</v>
      </c>
      <c r="F50" s="1">
        <v>173</v>
      </c>
      <c r="G50" s="7">
        <v>0.45</v>
      </c>
      <c r="H50" s="1">
        <v>50</v>
      </c>
      <c r="I50" s="1" t="s">
        <v>37</v>
      </c>
      <c r="J50" s="1"/>
      <c r="K50" s="1">
        <v>177</v>
      </c>
      <c r="L50" s="1">
        <f t="shared" si="12"/>
        <v>-12</v>
      </c>
      <c r="M50" s="1"/>
      <c r="N50" s="1"/>
      <c r="O50" s="1">
        <v>0</v>
      </c>
      <c r="P50" s="1"/>
      <c r="Q50" s="1">
        <v>0</v>
      </c>
      <c r="R50" s="1">
        <v>0</v>
      </c>
      <c r="S50" s="1">
        <f t="shared" si="13"/>
        <v>33</v>
      </c>
      <c r="T50" s="5">
        <f t="shared" si="10"/>
        <v>223</v>
      </c>
      <c r="U50" s="5">
        <f t="shared" si="6"/>
        <v>223</v>
      </c>
      <c r="V50" s="18"/>
      <c r="W50" s="18"/>
      <c r="X50" s="1">
        <f t="shared" si="7"/>
        <v>12</v>
      </c>
      <c r="Y50" s="1">
        <f t="shared" si="14"/>
        <v>5.2424242424242422</v>
      </c>
      <c r="Z50" s="1">
        <v>16.2</v>
      </c>
      <c r="AA50" s="1">
        <v>12.4</v>
      </c>
      <c r="AB50" s="1">
        <v>16.399999999999999</v>
      </c>
      <c r="AC50" s="1">
        <v>16.8</v>
      </c>
      <c r="AD50" s="1">
        <v>30.2</v>
      </c>
      <c r="AE50" s="1">
        <v>32</v>
      </c>
      <c r="AF50" s="1">
        <v>21.6</v>
      </c>
      <c r="AG50" s="1">
        <v>21.4</v>
      </c>
      <c r="AH50" s="1">
        <v>19.399999999999999</v>
      </c>
      <c r="AI50" s="1">
        <v>21</v>
      </c>
      <c r="AJ50" s="1"/>
      <c r="AK50" s="1">
        <f t="shared" si="8"/>
        <v>100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42</v>
      </c>
      <c r="C51" s="1">
        <v>291</v>
      </c>
      <c r="D51" s="1">
        <v>205</v>
      </c>
      <c r="E51" s="1">
        <v>243</v>
      </c>
      <c r="F51" s="1">
        <v>200</v>
      </c>
      <c r="G51" s="7">
        <v>0.45</v>
      </c>
      <c r="H51" s="1">
        <v>50</v>
      </c>
      <c r="I51" s="1" t="s">
        <v>37</v>
      </c>
      <c r="J51" s="1"/>
      <c r="K51" s="1">
        <v>258</v>
      </c>
      <c r="L51" s="1">
        <f t="shared" si="12"/>
        <v>-15</v>
      </c>
      <c r="M51" s="1"/>
      <c r="N51" s="1"/>
      <c r="O51" s="1">
        <v>0</v>
      </c>
      <c r="P51" s="1"/>
      <c r="Q51" s="1">
        <v>0</v>
      </c>
      <c r="R51" s="1">
        <v>0</v>
      </c>
      <c r="S51" s="1">
        <f t="shared" si="13"/>
        <v>48.6</v>
      </c>
      <c r="T51" s="5">
        <f>11*S51-R51-Q51-P51-O51-F51</f>
        <v>334.6</v>
      </c>
      <c r="U51" s="5">
        <f t="shared" si="6"/>
        <v>334.6</v>
      </c>
      <c r="V51" s="18"/>
      <c r="W51" s="18"/>
      <c r="X51" s="1">
        <f t="shared" si="7"/>
        <v>11</v>
      </c>
      <c r="Y51" s="1">
        <f t="shared" si="14"/>
        <v>4.1152263374485596</v>
      </c>
      <c r="Z51" s="1">
        <v>21.8</v>
      </c>
      <c r="AA51" s="1">
        <v>18.600000000000001</v>
      </c>
      <c r="AB51" s="1">
        <v>27.6</v>
      </c>
      <c r="AC51" s="1">
        <v>28</v>
      </c>
      <c r="AD51" s="1">
        <v>43.8</v>
      </c>
      <c r="AE51" s="1">
        <v>41.6</v>
      </c>
      <c r="AF51" s="1">
        <v>24.2</v>
      </c>
      <c r="AG51" s="1">
        <v>21.6</v>
      </c>
      <c r="AH51" s="1">
        <v>16</v>
      </c>
      <c r="AI51" s="1">
        <v>26</v>
      </c>
      <c r="AJ51" s="1"/>
      <c r="AK51" s="1">
        <f t="shared" si="8"/>
        <v>151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92</v>
      </c>
      <c r="B52" s="1" t="s">
        <v>42</v>
      </c>
      <c r="C52" s="1">
        <v>5</v>
      </c>
      <c r="D52" s="1"/>
      <c r="E52" s="1">
        <v>4</v>
      </c>
      <c r="F52" s="1">
        <v>1</v>
      </c>
      <c r="G52" s="7">
        <v>0.4</v>
      </c>
      <c r="H52" s="1">
        <v>40</v>
      </c>
      <c r="I52" s="1" t="s">
        <v>37</v>
      </c>
      <c r="J52" s="1"/>
      <c r="K52" s="1">
        <v>10</v>
      </c>
      <c r="L52" s="1">
        <f t="shared" si="12"/>
        <v>-6</v>
      </c>
      <c r="M52" s="1"/>
      <c r="N52" s="1"/>
      <c r="O52" s="1">
        <v>130</v>
      </c>
      <c r="P52" s="1"/>
      <c r="Q52" s="1">
        <v>0</v>
      </c>
      <c r="R52" s="1">
        <v>0</v>
      </c>
      <c r="S52" s="1">
        <f t="shared" si="13"/>
        <v>0.8</v>
      </c>
      <c r="T52" s="5"/>
      <c r="U52" s="5">
        <f t="shared" si="6"/>
        <v>0</v>
      </c>
      <c r="V52" s="18"/>
      <c r="W52" s="18"/>
      <c r="X52" s="1">
        <f t="shared" si="7"/>
        <v>163.75</v>
      </c>
      <c r="Y52" s="1">
        <f t="shared" si="14"/>
        <v>163.75</v>
      </c>
      <c r="Z52" s="1">
        <v>2.6</v>
      </c>
      <c r="AA52" s="1">
        <v>2.6</v>
      </c>
      <c r="AB52" s="1">
        <v>13.6</v>
      </c>
      <c r="AC52" s="1">
        <v>18</v>
      </c>
      <c r="AD52" s="1">
        <v>5.2</v>
      </c>
      <c r="AE52" s="1">
        <v>0.6</v>
      </c>
      <c r="AF52" s="1">
        <v>0.6</v>
      </c>
      <c r="AG52" s="1">
        <v>0</v>
      </c>
      <c r="AH52" s="1">
        <v>0.6</v>
      </c>
      <c r="AI52" s="1">
        <v>0.4</v>
      </c>
      <c r="AJ52" s="1"/>
      <c r="AK52" s="1">
        <f t="shared" si="8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93</v>
      </c>
      <c r="B53" s="1" t="s">
        <v>42</v>
      </c>
      <c r="C53" s="1">
        <v>90</v>
      </c>
      <c r="D53" s="1">
        <v>18</v>
      </c>
      <c r="E53" s="1">
        <v>83</v>
      </c>
      <c r="F53" s="1">
        <v>7</v>
      </c>
      <c r="G53" s="7">
        <v>0.4</v>
      </c>
      <c r="H53" s="1">
        <v>40</v>
      </c>
      <c r="I53" s="1" t="s">
        <v>37</v>
      </c>
      <c r="J53" s="1"/>
      <c r="K53" s="1">
        <v>99</v>
      </c>
      <c r="L53" s="1">
        <f t="shared" si="12"/>
        <v>-16</v>
      </c>
      <c r="M53" s="1"/>
      <c r="N53" s="1"/>
      <c r="O53" s="1">
        <v>178.88</v>
      </c>
      <c r="P53" s="1"/>
      <c r="Q53" s="1">
        <v>0</v>
      </c>
      <c r="R53" s="1">
        <v>0</v>
      </c>
      <c r="S53" s="1">
        <f t="shared" si="13"/>
        <v>16.600000000000001</v>
      </c>
      <c r="T53" s="5">
        <f t="shared" si="10"/>
        <v>13.320000000000022</v>
      </c>
      <c r="U53" s="5">
        <f t="shared" si="6"/>
        <v>13.320000000000022</v>
      </c>
      <c r="V53" s="18"/>
      <c r="W53" s="18"/>
      <c r="X53" s="1">
        <f t="shared" si="7"/>
        <v>12</v>
      </c>
      <c r="Y53" s="1">
        <f t="shared" si="14"/>
        <v>11.197590361445782</v>
      </c>
      <c r="Z53" s="1">
        <v>10.199999999999999</v>
      </c>
      <c r="AA53" s="1">
        <v>5.8</v>
      </c>
      <c r="AB53" s="1">
        <v>21.8</v>
      </c>
      <c r="AC53" s="1">
        <v>21.6</v>
      </c>
      <c r="AD53" s="1">
        <v>10.199999999999999</v>
      </c>
      <c r="AE53" s="1">
        <v>13.4</v>
      </c>
      <c r="AF53" s="1">
        <v>20.6</v>
      </c>
      <c r="AG53" s="1">
        <v>22.6</v>
      </c>
      <c r="AH53" s="1">
        <v>16</v>
      </c>
      <c r="AI53" s="1">
        <v>9.1999999999999993</v>
      </c>
      <c r="AJ53" s="1"/>
      <c r="AK53" s="1">
        <f t="shared" si="8"/>
        <v>5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94</v>
      </c>
      <c r="B54" s="1" t="s">
        <v>36</v>
      </c>
      <c r="C54" s="1">
        <v>117.521</v>
      </c>
      <c r="D54" s="1">
        <v>5.9119999999999999</v>
      </c>
      <c r="E54" s="1">
        <v>101.422</v>
      </c>
      <c r="F54" s="1">
        <v>-2.9780000000000002</v>
      </c>
      <c r="G54" s="7">
        <v>1</v>
      </c>
      <c r="H54" s="1">
        <v>50</v>
      </c>
      <c r="I54" s="1" t="s">
        <v>37</v>
      </c>
      <c r="J54" s="1"/>
      <c r="K54" s="1">
        <v>100.05</v>
      </c>
      <c r="L54" s="1">
        <f t="shared" si="12"/>
        <v>1.3719999999999999</v>
      </c>
      <c r="M54" s="1"/>
      <c r="N54" s="1"/>
      <c r="O54" s="1">
        <v>0</v>
      </c>
      <c r="P54" s="1"/>
      <c r="Q54" s="1">
        <v>62.210600000000021</v>
      </c>
      <c r="R54" s="1">
        <v>58.824959999999962</v>
      </c>
      <c r="S54" s="1">
        <f t="shared" si="13"/>
        <v>20.284399999999998</v>
      </c>
      <c r="T54" s="5">
        <f t="shared" si="10"/>
        <v>125.35523999999999</v>
      </c>
      <c r="U54" s="5">
        <f>V54</f>
        <v>150</v>
      </c>
      <c r="V54" s="18">
        <f>VLOOKUP(A54,[1]Sheet!$A:$V,21,0)</f>
        <v>150</v>
      </c>
      <c r="W54" s="18" t="str">
        <f>VLOOKUP(A54,[1]Sheet!$A:$V,22,0)</f>
        <v>Промо</v>
      </c>
      <c r="X54" s="1">
        <f t="shared" si="7"/>
        <v>13.214961251010628</v>
      </c>
      <c r="Y54" s="1">
        <f t="shared" si="14"/>
        <v>5.8201159511743015</v>
      </c>
      <c r="Z54" s="1">
        <v>13.1692</v>
      </c>
      <c r="AA54" s="1">
        <v>12.071400000000001</v>
      </c>
      <c r="AB54" s="1">
        <v>14.194000000000001</v>
      </c>
      <c r="AC54" s="1">
        <v>12.063599999999999</v>
      </c>
      <c r="AD54" s="1">
        <v>14.1008</v>
      </c>
      <c r="AE54" s="1">
        <v>15.144</v>
      </c>
      <c r="AF54" s="1">
        <v>11.5428</v>
      </c>
      <c r="AG54" s="1">
        <v>14.5372</v>
      </c>
      <c r="AH54" s="1">
        <v>14.926600000000001</v>
      </c>
      <c r="AI54" s="1">
        <v>10.1182</v>
      </c>
      <c r="AJ54" s="1" t="s">
        <v>79</v>
      </c>
      <c r="AK54" s="1">
        <f t="shared" si="8"/>
        <v>150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95</v>
      </c>
      <c r="B55" s="1" t="s">
        <v>42</v>
      </c>
      <c r="C55" s="1">
        <v>530</v>
      </c>
      <c r="D55" s="1">
        <v>442</v>
      </c>
      <c r="E55" s="13">
        <f>193+E127</f>
        <v>267</v>
      </c>
      <c r="F55" s="13">
        <f>684+F127</f>
        <v>783</v>
      </c>
      <c r="G55" s="7">
        <v>0.1</v>
      </c>
      <c r="H55" s="1">
        <v>731</v>
      </c>
      <c r="I55" s="1" t="s">
        <v>37</v>
      </c>
      <c r="J55" s="1"/>
      <c r="K55" s="1">
        <v>211</v>
      </c>
      <c r="L55" s="1">
        <f t="shared" si="12"/>
        <v>56</v>
      </c>
      <c r="M55" s="1"/>
      <c r="N55" s="1"/>
      <c r="O55" s="1">
        <v>0</v>
      </c>
      <c r="P55" s="1"/>
      <c r="Q55" s="1">
        <v>0</v>
      </c>
      <c r="R55" s="1">
        <v>0</v>
      </c>
      <c r="S55" s="1">
        <f t="shared" si="13"/>
        <v>53.4</v>
      </c>
      <c r="T55" s="5"/>
      <c r="U55" s="5">
        <f t="shared" si="6"/>
        <v>0</v>
      </c>
      <c r="V55" s="18"/>
      <c r="W55" s="18"/>
      <c r="X55" s="1">
        <f t="shared" si="7"/>
        <v>14.662921348314606</v>
      </c>
      <c r="Y55" s="1">
        <f t="shared" si="14"/>
        <v>14.662921348314606</v>
      </c>
      <c r="Z55" s="1">
        <v>52.8</v>
      </c>
      <c r="AA55" s="1">
        <v>55.6</v>
      </c>
      <c r="AB55" s="1">
        <v>75.400000000000006</v>
      </c>
      <c r="AC55" s="1">
        <v>102</v>
      </c>
      <c r="AD55" s="1">
        <v>110.4</v>
      </c>
      <c r="AE55" s="1">
        <v>101.6</v>
      </c>
      <c r="AF55" s="1">
        <v>110.4</v>
      </c>
      <c r="AG55" s="1">
        <v>119.2</v>
      </c>
      <c r="AH55" s="1">
        <v>95.4</v>
      </c>
      <c r="AI55" s="1">
        <v>58.6</v>
      </c>
      <c r="AJ55" s="1" t="s">
        <v>79</v>
      </c>
      <c r="AK55" s="1">
        <f t="shared" si="8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96</v>
      </c>
      <c r="B56" s="1" t="s">
        <v>36</v>
      </c>
      <c r="C56" s="1">
        <v>132.66300000000001</v>
      </c>
      <c r="D56" s="1">
        <v>65.108000000000004</v>
      </c>
      <c r="E56" s="1">
        <v>127.503</v>
      </c>
      <c r="F56" s="1">
        <v>4.2489999999999997</v>
      </c>
      <c r="G56" s="7">
        <v>1</v>
      </c>
      <c r="H56" s="1">
        <v>50</v>
      </c>
      <c r="I56" s="1" t="s">
        <v>37</v>
      </c>
      <c r="J56" s="1"/>
      <c r="K56" s="1">
        <v>131.94999999999999</v>
      </c>
      <c r="L56" s="1">
        <f t="shared" si="12"/>
        <v>-4.4469999999999885</v>
      </c>
      <c r="M56" s="1"/>
      <c r="N56" s="1"/>
      <c r="O56" s="1">
        <v>82.069568000000018</v>
      </c>
      <c r="P56" s="1"/>
      <c r="Q56" s="1">
        <v>0</v>
      </c>
      <c r="R56" s="1">
        <v>172.901072</v>
      </c>
      <c r="S56" s="1">
        <f t="shared" si="13"/>
        <v>25.500599999999999</v>
      </c>
      <c r="T56" s="5">
        <f t="shared" si="10"/>
        <v>46.787559999999992</v>
      </c>
      <c r="U56" s="5">
        <f t="shared" si="6"/>
        <v>46.787559999999992</v>
      </c>
      <c r="V56" s="18"/>
      <c r="W56" s="18"/>
      <c r="X56" s="1">
        <f t="shared" si="7"/>
        <v>12.000000000000002</v>
      </c>
      <c r="Y56" s="1">
        <f t="shared" si="14"/>
        <v>10.165236896386753</v>
      </c>
      <c r="Z56" s="1">
        <v>22.254799999999999</v>
      </c>
      <c r="AA56" s="1">
        <v>15.750999999999999</v>
      </c>
      <c r="AB56" s="1">
        <v>20.5718</v>
      </c>
      <c r="AC56" s="1">
        <v>20.8672</v>
      </c>
      <c r="AD56" s="1">
        <v>22.484000000000002</v>
      </c>
      <c r="AE56" s="1">
        <v>23.589200000000002</v>
      </c>
      <c r="AF56" s="1">
        <v>20.336200000000002</v>
      </c>
      <c r="AG56" s="1">
        <v>22.462199999999999</v>
      </c>
      <c r="AH56" s="1">
        <v>19.364799999999999</v>
      </c>
      <c r="AI56" s="1">
        <v>7.6135999999999999</v>
      </c>
      <c r="AJ56" s="1" t="s">
        <v>79</v>
      </c>
      <c r="AK56" s="1">
        <f t="shared" si="8"/>
        <v>47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97</v>
      </c>
      <c r="B57" s="1" t="s">
        <v>36</v>
      </c>
      <c r="C57" s="1">
        <v>83.046000000000006</v>
      </c>
      <c r="D57" s="1">
        <v>68.692999999999998</v>
      </c>
      <c r="E57" s="1">
        <v>35.344000000000001</v>
      </c>
      <c r="F57" s="1">
        <v>91.02</v>
      </c>
      <c r="G57" s="7">
        <v>1</v>
      </c>
      <c r="H57" s="1">
        <v>55</v>
      </c>
      <c r="I57" s="1" t="s">
        <v>37</v>
      </c>
      <c r="J57" s="1"/>
      <c r="K57" s="1">
        <v>33</v>
      </c>
      <c r="L57" s="1">
        <f t="shared" si="12"/>
        <v>2.3440000000000012</v>
      </c>
      <c r="M57" s="1"/>
      <c r="N57" s="1"/>
      <c r="O57" s="1">
        <v>0</v>
      </c>
      <c r="P57" s="1"/>
      <c r="Q57" s="1">
        <v>0</v>
      </c>
      <c r="R57" s="1">
        <v>0</v>
      </c>
      <c r="S57" s="1">
        <f t="shared" si="13"/>
        <v>7.0688000000000004</v>
      </c>
      <c r="T57" s="5"/>
      <c r="U57" s="5">
        <f t="shared" si="6"/>
        <v>0</v>
      </c>
      <c r="V57" s="18"/>
      <c r="W57" s="18"/>
      <c r="X57" s="1">
        <f t="shared" si="7"/>
        <v>12.876301493888636</v>
      </c>
      <c r="Y57" s="1">
        <f t="shared" si="14"/>
        <v>12.876301493888636</v>
      </c>
      <c r="Z57" s="1">
        <v>6.5191999999999997</v>
      </c>
      <c r="AA57" s="1">
        <v>1.8912</v>
      </c>
      <c r="AB57" s="1">
        <v>1.9228000000000001</v>
      </c>
      <c r="AC57" s="1">
        <v>7.3528000000000002</v>
      </c>
      <c r="AD57" s="1">
        <v>10.632199999999999</v>
      </c>
      <c r="AE57" s="1">
        <v>8.7439999999999998</v>
      </c>
      <c r="AF57" s="1">
        <v>8.1340000000000003</v>
      </c>
      <c r="AG57" s="1">
        <v>6.6686000000000014</v>
      </c>
      <c r="AH57" s="1">
        <v>3.7136</v>
      </c>
      <c r="AI57" s="1">
        <v>4.3811999999999998</v>
      </c>
      <c r="AJ57" s="1"/>
      <c r="AK57" s="1">
        <f t="shared" si="8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98</v>
      </c>
      <c r="B58" s="1" t="s">
        <v>42</v>
      </c>
      <c r="C58" s="1">
        <v>552</v>
      </c>
      <c r="D58" s="1">
        <v>262</v>
      </c>
      <c r="E58" s="1">
        <v>307</v>
      </c>
      <c r="F58" s="1">
        <v>429</v>
      </c>
      <c r="G58" s="7">
        <v>0.1</v>
      </c>
      <c r="H58" s="1">
        <v>731</v>
      </c>
      <c r="I58" s="1" t="s">
        <v>37</v>
      </c>
      <c r="J58" s="1"/>
      <c r="K58" s="1">
        <v>274</v>
      </c>
      <c r="L58" s="1">
        <f t="shared" si="12"/>
        <v>33</v>
      </c>
      <c r="M58" s="1"/>
      <c r="N58" s="1"/>
      <c r="O58" s="1">
        <v>0</v>
      </c>
      <c r="P58" s="1"/>
      <c r="Q58" s="1">
        <v>0</v>
      </c>
      <c r="R58" s="1">
        <v>0</v>
      </c>
      <c r="S58" s="1">
        <f t="shared" si="13"/>
        <v>61.4</v>
      </c>
      <c r="T58" s="5">
        <f t="shared" si="10"/>
        <v>307.79999999999995</v>
      </c>
      <c r="U58" s="5">
        <f t="shared" si="6"/>
        <v>307.79999999999995</v>
      </c>
      <c r="V58" s="18"/>
      <c r="W58" s="18"/>
      <c r="X58" s="1">
        <f t="shared" si="7"/>
        <v>12</v>
      </c>
      <c r="Y58" s="1">
        <f t="shared" si="14"/>
        <v>6.9869706840390879</v>
      </c>
      <c r="Z58" s="1">
        <v>38.799999999999997</v>
      </c>
      <c r="AA58" s="1">
        <v>44.6</v>
      </c>
      <c r="AB58" s="1">
        <v>58</v>
      </c>
      <c r="AC58" s="1">
        <v>67.400000000000006</v>
      </c>
      <c r="AD58" s="1">
        <v>77.8</v>
      </c>
      <c r="AE58" s="1">
        <v>72.400000000000006</v>
      </c>
      <c r="AF58" s="1">
        <v>69.2</v>
      </c>
      <c r="AG58" s="1">
        <v>86.8</v>
      </c>
      <c r="AH58" s="1">
        <v>72.8</v>
      </c>
      <c r="AI58" s="1">
        <v>27.2</v>
      </c>
      <c r="AJ58" s="1" t="s">
        <v>79</v>
      </c>
      <c r="AK58" s="1">
        <f t="shared" si="8"/>
        <v>31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99</v>
      </c>
      <c r="B59" s="1" t="s">
        <v>42</v>
      </c>
      <c r="C59" s="1">
        <v>39</v>
      </c>
      <c r="D59" s="1">
        <v>10</v>
      </c>
      <c r="E59" s="1">
        <v>28</v>
      </c>
      <c r="F59" s="1"/>
      <c r="G59" s="7">
        <v>0.4</v>
      </c>
      <c r="H59" s="1">
        <v>50</v>
      </c>
      <c r="I59" s="1" t="s">
        <v>37</v>
      </c>
      <c r="J59" s="1"/>
      <c r="K59" s="1">
        <v>29</v>
      </c>
      <c r="L59" s="1">
        <f t="shared" si="12"/>
        <v>-1</v>
      </c>
      <c r="M59" s="1"/>
      <c r="N59" s="1"/>
      <c r="O59" s="1">
        <v>0</v>
      </c>
      <c r="P59" s="1"/>
      <c r="Q59" s="1">
        <v>12.6</v>
      </c>
      <c r="R59" s="1">
        <v>9.3999999999999986</v>
      </c>
      <c r="S59" s="1">
        <f t="shared" si="13"/>
        <v>5.6</v>
      </c>
      <c r="T59" s="5">
        <f>11*S59-R59-Q59-P59-O59-F59</f>
        <v>39.599999999999994</v>
      </c>
      <c r="U59" s="5">
        <f t="shared" si="6"/>
        <v>39.599999999999994</v>
      </c>
      <c r="V59" s="18"/>
      <c r="W59" s="18"/>
      <c r="X59" s="1">
        <f t="shared" si="7"/>
        <v>11</v>
      </c>
      <c r="Y59" s="1">
        <f t="shared" si="14"/>
        <v>3.9285714285714288</v>
      </c>
      <c r="Z59" s="1">
        <v>4</v>
      </c>
      <c r="AA59" s="1">
        <v>3.4</v>
      </c>
      <c r="AB59" s="1">
        <v>3.6</v>
      </c>
      <c r="AC59" s="1">
        <v>2.4</v>
      </c>
      <c r="AD59" s="1">
        <v>2.6</v>
      </c>
      <c r="AE59" s="1">
        <v>4.5999999999999996</v>
      </c>
      <c r="AF59" s="1">
        <v>6</v>
      </c>
      <c r="AG59" s="1">
        <v>7.6</v>
      </c>
      <c r="AH59" s="1">
        <v>7</v>
      </c>
      <c r="AI59" s="1">
        <v>4.4000000000000004</v>
      </c>
      <c r="AJ59" s="1"/>
      <c r="AK59" s="1">
        <f t="shared" si="8"/>
        <v>16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100</v>
      </c>
      <c r="B60" s="1" t="s">
        <v>36</v>
      </c>
      <c r="C60" s="1">
        <v>98.56</v>
      </c>
      <c r="D60" s="1">
        <v>1.3879999999999999</v>
      </c>
      <c r="E60" s="1">
        <v>92.694000000000003</v>
      </c>
      <c r="F60" s="1">
        <v>4.4820000000000002</v>
      </c>
      <c r="G60" s="7">
        <v>1</v>
      </c>
      <c r="H60" s="1">
        <v>40</v>
      </c>
      <c r="I60" s="9" t="s">
        <v>40</v>
      </c>
      <c r="J60" s="1"/>
      <c r="K60" s="1">
        <v>104.3</v>
      </c>
      <c r="L60" s="1">
        <f t="shared" si="12"/>
        <v>-11.605999999999995</v>
      </c>
      <c r="M60" s="1"/>
      <c r="N60" s="1"/>
      <c r="O60" s="1">
        <v>60.469499999999996</v>
      </c>
      <c r="P60" s="1"/>
      <c r="Q60" s="1">
        <v>168.3501</v>
      </c>
      <c r="R60" s="1">
        <v>0</v>
      </c>
      <c r="S60" s="1">
        <f t="shared" si="13"/>
        <v>18.538800000000002</v>
      </c>
      <c r="T60" s="5"/>
      <c r="U60" s="5">
        <f t="shared" si="6"/>
        <v>0</v>
      </c>
      <c r="V60" s="18"/>
      <c r="W60" s="18"/>
      <c r="X60" s="1">
        <f t="shared" si="7"/>
        <v>12.584503851381966</v>
      </c>
      <c r="Y60" s="1">
        <f t="shared" si="14"/>
        <v>12.584503851381966</v>
      </c>
      <c r="Z60" s="1">
        <v>17.831600000000002</v>
      </c>
      <c r="AA60" s="1">
        <v>21.148399999999999</v>
      </c>
      <c r="AB60" s="1">
        <v>25.391999999999999</v>
      </c>
      <c r="AC60" s="1">
        <v>18.513999999999999</v>
      </c>
      <c r="AD60" s="1">
        <v>18.356999999999999</v>
      </c>
      <c r="AE60" s="1">
        <v>11.759600000000001</v>
      </c>
      <c r="AF60" s="1">
        <v>9.4784000000000006</v>
      </c>
      <c r="AG60" s="1">
        <v>14.47</v>
      </c>
      <c r="AH60" s="1">
        <v>20.325600000000001</v>
      </c>
      <c r="AI60" s="1">
        <v>13.4848</v>
      </c>
      <c r="AJ60" s="1"/>
      <c r="AK60" s="1">
        <f t="shared" si="8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101</v>
      </c>
      <c r="B61" s="1" t="s">
        <v>36</v>
      </c>
      <c r="C61" s="1">
        <v>87.79</v>
      </c>
      <c r="D61" s="1">
        <v>42.988999999999997</v>
      </c>
      <c r="E61" s="1">
        <v>126.598</v>
      </c>
      <c r="F61" s="1">
        <v>3.9E-2</v>
      </c>
      <c r="G61" s="7">
        <v>1</v>
      </c>
      <c r="H61" s="1">
        <v>40</v>
      </c>
      <c r="I61" s="1" t="s">
        <v>37</v>
      </c>
      <c r="J61" s="1"/>
      <c r="K61" s="1">
        <v>124.15</v>
      </c>
      <c r="L61" s="1">
        <f t="shared" si="12"/>
        <v>2.4479999999999933</v>
      </c>
      <c r="M61" s="1"/>
      <c r="N61" s="1"/>
      <c r="O61" s="1">
        <v>130</v>
      </c>
      <c r="P61" s="1"/>
      <c r="Q61" s="1">
        <v>151.20139999999989</v>
      </c>
      <c r="R61" s="1">
        <v>83.949359999999999</v>
      </c>
      <c r="S61" s="1">
        <f t="shared" si="13"/>
        <v>25.319600000000001</v>
      </c>
      <c r="T61" s="5"/>
      <c r="U61" s="5">
        <f t="shared" si="6"/>
        <v>0</v>
      </c>
      <c r="V61" s="18"/>
      <c r="W61" s="18"/>
      <c r="X61" s="1">
        <f t="shared" si="7"/>
        <v>14.423204158043568</v>
      </c>
      <c r="Y61" s="1">
        <f t="shared" si="14"/>
        <v>14.423204158043568</v>
      </c>
      <c r="Z61" s="1">
        <v>25.4392</v>
      </c>
      <c r="AA61" s="1">
        <v>25.886600000000001</v>
      </c>
      <c r="AB61" s="1">
        <v>33.364400000000003</v>
      </c>
      <c r="AC61" s="1">
        <v>30.392399999999999</v>
      </c>
      <c r="AD61" s="1">
        <v>17.517199999999999</v>
      </c>
      <c r="AE61" s="1">
        <v>9.0928000000000004</v>
      </c>
      <c r="AF61" s="1">
        <v>26.732800000000001</v>
      </c>
      <c r="AG61" s="1">
        <v>50.743400000000001</v>
      </c>
      <c r="AH61" s="1">
        <v>44.511800000000001</v>
      </c>
      <c r="AI61" s="1">
        <v>13.555400000000001</v>
      </c>
      <c r="AJ61" s="1"/>
      <c r="AK61" s="1">
        <f t="shared" si="8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102</v>
      </c>
      <c r="B62" s="1" t="s">
        <v>42</v>
      </c>
      <c r="C62" s="1">
        <v>444</v>
      </c>
      <c r="D62" s="1">
        <v>190</v>
      </c>
      <c r="E62" s="1">
        <v>328</v>
      </c>
      <c r="F62" s="1">
        <v>284</v>
      </c>
      <c r="G62" s="7">
        <v>0.4</v>
      </c>
      <c r="H62" s="1">
        <v>40</v>
      </c>
      <c r="I62" s="1" t="s">
        <v>37</v>
      </c>
      <c r="J62" s="1"/>
      <c r="K62" s="1">
        <v>597</v>
      </c>
      <c r="L62" s="1">
        <f t="shared" si="12"/>
        <v>-269</v>
      </c>
      <c r="M62" s="1"/>
      <c r="N62" s="1"/>
      <c r="O62" s="1">
        <v>65</v>
      </c>
      <c r="P62" s="1"/>
      <c r="Q62" s="1">
        <v>90</v>
      </c>
      <c r="R62" s="1">
        <v>870.17999999999984</v>
      </c>
      <c r="S62" s="1">
        <f t="shared" si="13"/>
        <v>65.599999999999994</v>
      </c>
      <c r="T62" s="5"/>
      <c r="U62" s="5">
        <f t="shared" si="6"/>
        <v>0</v>
      </c>
      <c r="V62" s="18"/>
      <c r="W62" s="18"/>
      <c r="X62" s="1">
        <f t="shared" si="7"/>
        <v>19.957012195121951</v>
      </c>
      <c r="Y62" s="1">
        <f t="shared" si="14"/>
        <v>19.957012195121951</v>
      </c>
      <c r="Z62" s="1">
        <v>92.6</v>
      </c>
      <c r="AA62" s="1">
        <v>30.4</v>
      </c>
      <c r="AB62" s="1">
        <v>50.8</v>
      </c>
      <c r="AC62" s="1">
        <v>50.2</v>
      </c>
      <c r="AD62" s="1">
        <v>31.2</v>
      </c>
      <c r="AE62" s="1">
        <v>50.4</v>
      </c>
      <c r="AF62" s="1">
        <v>19.2</v>
      </c>
      <c r="AG62" s="1">
        <v>0</v>
      </c>
      <c r="AH62" s="1">
        <v>46.2</v>
      </c>
      <c r="AI62" s="1">
        <v>50.4</v>
      </c>
      <c r="AJ62" s="1"/>
      <c r="AK62" s="1">
        <f t="shared" si="8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103</v>
      </c>
      <c r="B63" s="1" t="s">
        <v>42</v>
      </c>
      <c r="C63" s="1">
        <v>179</v>
      </c>
      <c r="D63" s="1">
        <v>466</v>
      </c>
      <c r="E63" s="1">
        <v>433</v>
      </c>
      <c r="F63" s="1">
        <v>18</v>
      </c>
      <c r="G63" s="7">
        <v>0.4</v>
      </c>
      <c r="H63" s="1">
        <v>40</v>
      </c>
      <c r="I63" s="9" t="s">
        <v>40</v>
      </c>
      <c r="J63" s="1"/>
      <c r="K63" s="1">
        <v>525</v>
      </c>
      <c r="L63" s="1">
        <f t="shared" si="12"/>
        <v>-92</v>
      </c>
      <c r="M63" s="1"/>
      <c r="N63" s="1"/>
      <c r="O63" s="1">
        <v>333.97800000000012</v>
      </c>
      <c r="P63" s="1"/>
      <c r="Q63" s="1">
        <v>0</v>
      </c>
      <c r="R63" s="1">
        <v>199.32</v>
      </c>
      <c r="S63" s="1">
        <f t="shared" si="13"/>
        <v>86.6</v>
      </c>
      <c r="T63" s="5">
        <f t="shared" si="10"/>
        <v>487.90199999999976</v>
      </c>
      <c r="U63" s="5">
        <f t="shared" si="6"/>
        <v>487.90199999999976</v>
      </c>
      <c r="V63" s="18"/>
      <c r="W63" s="18"/>
      <c r="X63" s="1">
        <f t="shared" si="7"/>
        <v>11.999999999999998</v>
      </c>
      <c r="Y63" s="1">
        <f t="shared" si="14"/>
        <v>6.3660277136258676</v>
      </c>
      <c r="Z63" s="1">
        <v>60.4</v>
      </c>
      <c r="AA63" s="1">
        <v>48.4</v>
      </c>
      <c r="AB63" s="1">
        <v>73.400000000000006</v>
      </c>
      <c r="AC63" s="1">
        <v>82.2</v>
      </c>
      <c r="AD63" s="1">
        <v>73.2</v>
      </c>
      <c r="AE63" s="1">
        <v>43.6</v>
      </c>
      <c r="AF63" s="1">
        <v>59</v>
      </c>
      <c r="AG63" s="1">
        <v>88</v>
      </c>
      <c r="AH63" s="1">
        <v>78.8</v>
      </c>
      <c r="AI63" s="1">
        <v>41.4</v>
      </c>
      <c r="AJ63" s="1"/>
      <c r="AK63" s="1">
        <f t="shared" si="8"/>
        <v>195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104</v>
      </c>
      <c r="B64" s="1" t="s">
        <v>36</v>
      </c>
      <c r="C64" s="1">
        <v>90.576999999999998</v>
      </c>
      <c r="D64" s="1"/>
      <c r="E64" s="1">
        <v>87.08</v>
      </c>
      <c r="F64" s="1">
        <v>-0.114</v>
      </c>
      <c r="G64" s="7">
        <v>1</v>
      </c>
      <c r="H64" s="1">
        <v>40</v>
      </c>
      <c r="I64" s="9" t="s">
        <v>40</v>
      </c>
      <c r="J64" s="1"/>
      <c r="K64" s="1">
        <v>101.7</v>
      </c>
      <c r="L64" s="1">
        <f t="shared" si="12"/>
        <v>-14.620000000000005</v>
      </c>
      <c r="M64" s="1"/>
      <c r="N64" s="1"/>
      <c r="O64" s="1">
        <v>0</v>
      </c>
      <c r="P64" s="1"/>
      <c r="Q64" s="1">
        <v>100</v>
      </c>
      <c r="R64" s="1">
        <v>247.54074</v>
      </c>
      <c r="S64" s="1">
        <f t="shared" si="13"/>
        <v>17.416</v>
      </c>
      <c r="T64" s="5"/>
      <c r="U64" s="5">
        <f t="shared" si="6"/>
        <v>0</v>
      </c>
      <c r="V64" s="18"/>
      <c r="W64" s="18"/>
      <c r="X64" s="1">
        <f t="shared" si="7"/>
        <v>19.948710381258611</v>
      </c>
      <c r="Y64" s="1">
        <f t="shared" si="14"/>
        <v>19.948710381258611</v>
      </c>
      <c r="Z64" s="1">
        <v>29.5578</v>
      </c>
      <c r="AA64" s="1">
        <v>16.490200000000002</v>
      </c>
      <c r="AB64" s="1">
        <v>4.1694000000000004</v>
      </c>
      <c r="AC64" s="1">
        <v>-0.17899999999999999</v>
      </c>
      <c r="AD64" s="1">
        <v>9.9154</v>
      </c>
      <c r="AE64" s="1">
        <v>12.6272</v>
      </c>
      <c r="AF64" s="1">
        <v>2.1669999999999998</v>
      </c>
      <c r="AG64" s="1">
        <v>9.2682000000000002</v>
      </c>
      <c r="AH64" s="1">
        <v>13.442399999999999</v>
      </c>
      <c r="AI64" s="1">
        <v>3.0853999999999999</v>
      </c>
      <c r="AJ64" s="1"/>
      <c r="AK64" s="1">
        <f t="shared" si="8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105</v>
      </c>
      <c r="B65" s="1" t="s">
        <v>36</v>
      </c>
      <c r="C65" s="1">
        <v>12.608000000000001</v>
      </c>
      <c r="D65" s="1">
        <v>65.13</v>
      </c>
      <c r="E65" s="1">
        <v>76.798000000000002</v>
      </c>
      <c r="F65" s="1">
        <v>-0.88600000000000001</v>
      </c>
      <c r="G65" s="7">
        <v>1</v>
      </c>
      <c r="H65" s="1">
        <v>40</v>
      </c>
      <c r="I65" s="9" t="s">
        <v>40</v>
      </c>
      <c r="J65" s="1"/>
      <c r="K65" s="1">
        <v>90.8</v>
      </c>
      <c r="L65" s="1">
        <f t="shared" si="12"/>
        <v>-14.001999999999995</v>
      </c>
      <c r="M65" s="1"/>
      <c r="N65" s="1"/>
      <c r="O65" s="1">
        <v>0</v>
      </c>
      <c r="P65" s="1"/>
      <c r="Q65" s="1">
        <v>100</v>
      </c>
      <c r="R65" s="1">
        <v>151.74987999999999</v>
      </c>
      <c r="S65" s="1">
        <f t="shared" si="13"/>
        <v>15.3596</v>
      </c>
      <c r="T65" s="5"/>
      <c r="U65" s="5">
        <f t="shared" si="6"/>
        <v>0</v>
      </c>
      <c r="V65" s="18"/>
      <c r="W65" s="18"/>
      <c r="X65" s="1">
        <f t="shared" si="7"/>
        <v>16.33270918513503</v>
      </c>
      <c r="Y65" s="1">
        <f t="shared" si="14"/>
        <v>16.33270918513503</v>
      </c>
      <c r="Z65" s="1">
        <v>19.2516</v>
      </c>
      <c r="AA65" s="1">
        <v>15.604200000000001</v>
      </c>
      <c r="AB65" s="1">
        <v>5.9226000000000001</v>
      </c>
      <c r="AC65" s="1">
        <v>0</v>
      </c>
      <c r="AD65" s="1">
        <v>-0.1804</v>
      </c>
      <c r="AE65" s="1">
        <v>-0.1804</v>
      </c>
      <c r="AF65" s="1">
        <v>0</v>
      </c>
      <c r="AG65" s="1">
        <v>9.9068000000000005</v>
      </c>
      <c r="AH65" s="1">
        <v>13.321</v>
      </c>
      <c r="AI65" s="1">
        <v>3.2414000000000001</v>
      </c>
      <c r="AJ65" s="1"/>
      <c r="AK65" s="1">
        <f t="shared" si="8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106</v>
      </c>
      <c r="B66" s="1" t="s">
        <v>36</v>
      </c>
      <c r="C66" s="1">
        <v>-5.3999999999999999E-2</v>
      </c>
      <c r="D66" s="1">
        <v>71.230999999999995</v>
      </c>
      <c r="E66" s="1">
        <v>66.694000000000003</v>
      </c>
      <c r="F66" s="1">
        <v>-5.1999999999999998E-2</v>
      </c>
      <c r="G66" s="7">
        <v>1</v>
      </c>
      <c r="H66" s="1">
        <v>40</v>
      </c>
      <c r="I66" s="9" t="s">
        <v>40</v>
      </c>
      <c r="J66" s="1"/>
      <c r="K66" s="1">
        <v>145.69999999999999</v>
      </c>
      <c r="L66" s="1">
        <f t="shared" si="12"/>
        <v>-79.005999999999986</v>
      </c>
      <c r="M66" s="1"/>
      <c r="N66" s="1"/>
      <c r="O66" s="1">
        <v>101.51804</v>
      </c>
      <c r="P66" s="1"/>
      <c r="Q66" s="1">
        <v>0</v>
      </c>
      <c r="R66" s="1">
        <v>39.587200000000003</v>
      </c>
      <c r="S66" s="1">
        <f t="shared" si="13"/>
        <v>13.338800000000001</v>
      </c>
      <c r="T66" s="5">
        <f t="shared" si="10"/>
        <v>19.012360000000022</v>
      </c>
      <c r="U66" s="5">
        <f>V66</f>
        <v>100</v>
      </c>
      <c r="V66" s="18">
        <f>VLOOKUP(A66,[1]Sheet!$A:$V,21,0)</f>
        <v>100</v>
      </c>
      <c r="W66" s="18" t="str">
        <f>VLOOKUP(A66,[1]Sheet!$A:$V,22,0)</f>
        <v>Промо</v>
      </c>
      <c r="X66" s="1">
        <f t="shared" si="7"/>
        <v>18.071583650703211</v>
      </c>
      <c r="Y66" s="1">
        <f t="shared" si="14"/>
        <v>10.574657390469905</v>
      </c>
      <c r="Z66" s="1">
        <v>10.784000000000001</v>
      </c>
      <c r="AA66" s="1">
        <v>-0.50700000000000001</v>
      </c>
      <c r="AB66" s="1">
        <v>12.529400000000001</v>
      </c>
      <c r="AC66" s="1">
        <v>13.0364</v>
      </c>
      <c r="AD66" s="1">
        <v>-0.42159999999999997</v>
      </c>
      <c r="AE66" s="1">
        <v>-1.1474</v>
      </c>
      <c r="AF66" s="1">
        <v>-1.9256</v>
      </c>
      <c r="AG66" s="1">
        <v>12.2172</v>
      </c>
      <c r="AH66" s="1">
        <v>26.985199999999999</v>
      </c>
      <c r="AI66" s="1">
        <v>13.568199999999999</v>
      </c>
      <c r="AJ66" s="1"/>
      <c r="AK66" s="1">
        <f t="shared" si="8"/>
        <v>100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107</v>
      </c>
      <c r="B67" s="1" t="s">
        <v>36</v>
      </c>
      <c r="C67" s="1">
        <v>-0.89700000000000002</v>
      </c>
      <c r="D67" s="1">
        <v>103.783</v>
      </c>
      <c r="E67" s="1">
        <v>102.881</v>
      </c>
      <c r="F67" s="1">
        <v>-0.90300000000000002</v>
      </c>
      <c r="G67" s="7">
        <v>1</v>
      </c>
      <c r="H67" s="1">
        <v>40</v>
      </c>
      <c r="I67" s="9" t="s">
        <v>40</v>
      </c>
      <c r="J67" s="1"/>
      <c r="K67" s="1">
        <v>93.8</v>
      </c>
      <c r="L67" s="1">
        <f t="shared" si="12"/>
        <v>9.0810000000000031</v>
      </c>
      <c r="M67" s="1"/>
      <c r="N67" s="1"/>
      <c r="O67" s="1">
        <v>26</v>
      </c>
      <c r="P67" s="1"/>
      <c r="Q67" s="1">
        <v>0</v>
      </c>
      <c r="R67" s="1">
        <v>0</v>
      </c>
      <c r="S67" s="1">
        <f t="shared" si="13"/>
        <v>20.5762</v>
      </c>
      <c r="T67" s="5">
        <f>8*S67-R67-Q67-P67-O67-F67</f>
        <v>139.51259999999999</v>
      </c>
      <c r="U67" s="5">
        <f t="shared" si="6"/>
        <v>139.51259999999999</v>
      </c>
      <c r="V67" s="18"/>
      <c r="W67" s="18"/>
      <c r="X67" s="1">
        <f t="shared" si="7"/>
        <v>8</v>
      </c>
      <c r="Y67" s="1">
        <f t="shared" si="14"/>
        <v>1.2197101505623003</v>
      </c>
      <c r="Z67" s="1">
        <v>4.3620000000000001</v>
      </c>
      <c r="AA67" s="1">
        <v>0</v>
      </c>
      <c r="AB67" s="1">
        <v>-0.18459999999999999</v>
      </c>
      <c r="AC67" s="1">
        <v>-0.18459999999999999</v>
      </c>
      <c r="AD67" s="1">
        <v>9.6046000000000014</v>
      </c>
      <c r="AE67" s="1">
        <v>11.9552</v>
      </c>
      <c r="AF67" s="1">
        <v>1.9862</v>
      </c>
      <c r="AG67" s="1">
        <v>-0.36220000000000002</v>
      </c>
      <c r="AH67" s="1">
        <v>13.0686</v>
      </c>
      <c r="AI67" s="1">
        <v>12.698600000000001</v>
      </c>
      <c r="AJ67" s="1"/>
      <c r="AK67" s="1">
        <f t="shared" si="8"/>
        <v>140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108</v>
      </c>
      <c r="B68" s="1" t="s">
        <v>42</v>
      </c>
      <c r="C68" s="1">
        <v>20</v>
      </c>
      <c r="D68" s="1">
        <v>2</v>
      </c>
      <c r="E68" s="1">
        <v>14</v>
      </c>
      <c r="F68" s="1">
        <v>3</v>
      </c>
      <c r="G68" s="7">
        <v>0.6</v>
      </c>
      <c r="H68" s="1">
        <v>70</v>
      </c>
      <c r="I68" s="1" t="s">
        <v>37</v>
      </c>
      <c r="J68" s="1"/>
      <c r="K68" s="1">
        <v>11</v>
      </c>
      <c r="L68" s="1">
        <f t="shared" si="12"/>
        <v>3</v>
      </c>
      <c r="M68" s="1"/>
      <c r="N68" s="1"/>
      <c r="O68" s="1">
        <v>43.787999999999997</v>
      </c>
      <c r="P68" s="1"/>
      <c r="Q68" s="1">
        <v>0</v>
      </c>
      <c r="R68" s="1">
        <v>0</v>
      </c>
      <c r="S68" s="1">
        <f t="shared" si="13"/>
        <v>2.8</v>
      </c>
      <c r="T68" s="5"/>
      <c r="U68" s="5">
        <f t="shared" si="6"/>
        <v>0</v>
      </c>
      <c r="V68" s="18"/>
      <c r="W68" s="18"/>
      <c r="X68" s="1">
        <f t="shared" si="7"/>
        <v>16.71</v>
      </c>
      <c r="Y68" s="1">
        <f t="shared" si="14"/>
        <v>16.71</v>
      </c>
      <c r="Z68" s="1">
        <v>1.4</v>
      </c>
      <c r="AA68" s="1">
        <v>2</v>
      </c>
      <c r="AB68" s="1">
        <v>5.4</v>
      </c>
      <c r="AC68" s="1">
        <v>5.2</v>
      </c>
      <c r="AD68" s="1">
        <v>1.2</v>
      </c>
      <c r="AE68" s="1">
        <v>1.8</v>
      </c>
      <c r="AF68" s="1">
        <v>2.6</v>
      </c>
      <c r="AG68" s="1">
        <v>4.5999999999999996</v>
      </c>
      <c r="AH68" s="1">
        <v>3.8</v>
      </c>
      <c r="AI68" s="1">
        <v>0</v>
      </c>
      <c r="AJ68" s="1"/>
      <c r="AK68" s="1">
        <f t="shared" si="8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109</v>
      </c>
      <c r="B69" s="1" t="s">
        <v>36</v>
      </c>
      <c r="C69" s="1">
        <v>623.06299999999999</v>
      </c>
      <c r="D69" s="1">
        <v>27.896000000000001</v>
      </c>
      <c r="E69" s="1">
        <v>101.128</v>
      </c>
      <c r="F69" s="1">
        <v>-4.3999999999999997E-2</v>
      </c>
      <c r="G69" s="7">
        <v>1</v>
      </c>
      <c r="H69" s="1">
        <v>30</v>
      </c>
      <c r="I69" s="1" t="s">
        <v>64</v>
      </c>
      <c r="J69" s="1"/>
      <c r="K69" s="1">
        <v>158.9</v>
      </c>
      <c r="L69" s="1">
        <f t="shared" si="12"/>
        <v>-57.772000000000006</v>
      </c>
      <c r="M69" s="1"/>
      <c r="N69" s="1"/>
      <c r="O69" s="1">
        <v>65</v>
      </c>
      <c r="P69" s="1"/>
      <c r="Q69" s="1">
        <v>0</v>
      </c>
      <c r="R69" s="1">
        <v>220</v>
      </c>
      <c r="S69" s="1">
        <f t="shared" si="13"/>
        <v>20.2256</v>
      </c>
      <c r="T69" s="5"/>
      <c r="U69" s="5">
        <f t="shared" si="6"/>
        <v>0</v>
      </c>
      <c r="V69" s="18"/>
      <c r="W69" s="18"/>
      <c r="X69" s="1">
        <f t="shared" si="7"/>
        <v>14.08887746222609</v>
      </c>
      <c r="Y69" s="1">
        <f t="shared" si="14"/>
        <v>14.08887746222609</v>
      </c>
      <c r="Z69" s="1">
        <v>33.010000000000012</v>
      </c>
      <c r="AA69" s="1">
        <v>46.162199999999999</v>
      </c>
      <c r="AB69" s="1">
        <v>67.846599999999995</v>
      </c>
      <c r="AC69" s="1">
        <v>64.872</v>
      </c>
      <c r="AD69" s="1">
        <v>28.677600000000002</v>
      </c>
      <c r="AE69" s="1">
        <v>16.969799999999999</v>
      </c>
      <c r="AF69" s="1">
        <v>56.541999999999987</v>
      </c>
      <c r="AG69" s="1">
        <v>106.08499999999999</v>
      </c>
      <c r="AH69" s="1">
        <v>87.413399999999996</v>
      </c>
      <c r="AI69" s="1">
        <v>25.441199999999998</v>
      </c>
      <c r="AJ69" s="1" t="s">
        <v>110</v>
      </c>
      <c r="AK69" s="1">
        <f t="shared" si="8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0" t="s">
        <v>111</v>
      </c>
      <c r="B70" s="10" t="s">
        <v>42</v>
      </c>
      <c r="C70" s="10"/>
      <c r="D70" s="10"/>
      <c r="E70" s="10"/>
      <c r="F70" s="10"/>
      <c r="G70" s="11">
        <v>0</v>
      </c>
      <c r="H70" s="10"/>
      <c r="I70" s="10" t="s">
        <v>37</v>
      </c>
      <c r="J70" s="10"/>
      <c r="K70" s="10"/>
      <c r="L70" s="10">
        <f t="shared" ref="L70:L101" si="15">E70-K70</f>
        <v>0</v>
      </c>
      <c r="M70" s="10"/>
      <c r="N70" s="10"/>
      <c r="O70" s="10">
        <v>0</v>
      </c>
      <c r="P70" s="10"/>
      <c r="Q70" s="10">
        <v>0</v>
      </c>
      <c r="R70" s="10">
        <v>0</v>
      </c>
      <c r="S70" s="10">
        <f t="shared" ref="S70:S101" si="16">E70/5</f>
        <v>0</v>
      </c>
      <c r="T70" s="12"/>
      <c r="U70" s="5">
        <f t="shared" si="6"/>
        <v>0</v>
      </c>
      <c r="V70" s="18"/>
      <c r="W70" s="18"/>
      <c r="X70" s="1" t="e">
        <f t="shared" si="7"/>
        <v>#DIV/0!</v>
      </c>
      <c r="Y70" s="10" t="e">
        <f t="shared" ref="Y70:Y101" si="17">(F70+O70+P70+Q70+R70)/S70</f>
        <v>#DIV/0!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 t="s">
        <v>49</v>
      </c>
      <c r="AK70" s="1">
        <f t="shared" si="8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112</v>
      </c>
      <c r="B71" s="1" t="s">
        <v>42</v>
      </c>
      <c r="C71" s="1">
        <v>152</v>
      </c>
      <c r="D71" s="1"/>
      <c r="E71" s="1">
        <v>98</v>
      </c>
      <c r="F71" s="1">
        <v>38</v>
      </c>
      <c r="G71" s="7">
        <v>0.6</v>
      </c>
      <c r="H71" s="1">
        <v>60</v>
      </c>
      <c r="I71" s="1" t="s">
        <v>37</v>
      </c>
      <c r="J71" s="1"/>
      <c r="K71" s="1">
        <v>86</v>
      </c>
      <c r="L71" s="1">
        <f t="shared" si="15"/>
        <v>12</v>
      </c>
      <c r="M71" s="1"/>
      <c r="N71" s="1"/>
      <c r="O71" s="1">
        <v>0</v>
      </c>
      <c r="P71" s="1"/>
      <c r="Q71" s="1">
        <v>0</v>
      </c>
      <c r="R71" s="1">
        <v>0</v>
      </c>
      <c r="S71" s="1">
        <f t="shared" si="16"/>
        <v>19.600000000000001</v>
      </c>
      <c r="T71" s="5">
        <f>7*S71-R71-Q71-P71-O71-F71</f>
        <v>99.200000000000017</v>
      </c>
      <c r="U71" s="5">
        <f t="shared" ref="U71:U128" si="18">T71</f>
        <v>99.200000000000017</v>
      </c>
      <c r="V71" s="18"/>
      <c r="W71" s="18"/>
      <c r="X71" s="1">
        <f t="shared" ref="X71:X128" si="19">(F71+O71+P71+Q71+R71+U71)/S71</f>
        <v>7</v>
      </c>
      <c r="Y71" s="1">
        <f t="shared" si="17"/>
        <v>1.9387755102040816</v>
      </c>
      <c r="Z71" s="1">
        <v>4.8</v>
      </c>
      <c r="AA71" s="1">
        <v>2.6</v>
      </c>
      <c r="AB71" s="1">
        <v>6.4</v>
      </c>
      <c r="AC71" s="1">
        <v>4.4000000000000004</v>
      </c>
      <c r="AD71" s="1">
        <v>12.2</v>
      </c>
      <c r="AE71" s="1">
        <v>12.4</v>
      </c>
      <c r="AF71" s="1">
        <v>9.4</v>
      </c>
      <c r="AG71" s="1">
        <v>10.4</v>
      </c>
      <c r="AH71" s="1">
        <v>2.4</v>
      </c>
      <c r="AI71" s="1">
        <v>6.8</v>
      </c>
      <c r="AJ71" s="1"/>
      <c r="AK71" s="1">
        <f t="shared" ref="AK71:AK128" si="20">ROUND(G71*U71,0)</f>
        <v>60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113</v>
      </c>
      <c r="B72" s="1" t="s">
        <v>42</v>
      </c>
      <c r="C72" s="1">
        <v>163</v>
      </c>
      <c r="D72" s="1">
        <v>26</v>
      </c>
      <c r="E72" s="1">
        <v>62</v>
      </c>
      <c r="F72" s="1">
        <v>111</v>
      </c>
      <c r="G72" s="7">
        <v>0.4</v>
      </c>
      <c r="H72" s="1">
        <v>90</v>
      </c>
      <c r="I72" s="1" t="s">
        <v>37</v>
      </c>
      <c r="J72" s="1"/>
      <c r="K72" s="1">
        <v>72</v>
      </c>
      <c r="L72" s="1">
        <f t="shared" si="15"/>
        <v>-10</v>
      </c>
      <c r="M72" s="1"/>
      <c r="N72" s="1"/>
      <c r="O72" s="1">
        <v>59.447999999999972</v>
      </c>
      <c r="P72" s="1"/>
      <c r="Q72" s="1">
        <v>0</v>
      </c>
      <c r="R72" s="1">
        <v>0</v>
      </c>
      <c r="S72" s="1">
        <f t="shared" si="16"/>
        <v>12.4</v>
      </c>
      <c r="T72" s="5"/>
      <c r="U72" s="5">
        <f t="shared" si="18"/>
        <v>0</v>
      </c>
      <c r="V72" s="18"/>
      <c r="W72" s="18"/>
      <c r="X72" s="1">
        <f t="shared" si="19"/>
        <v>13.745806451612902</v>
      </c>
      <c r="Y72" s="1">
        <f t="shared" si="17"/>
        <v>13.745806451612902</v>
      </c>
      <c r="Z72" s="1">
        <v>11.4</v>
      </c>
      <c r="AA72" s="1">
        <v>7.4</v>
      </c>
      <c r="AB72" s="1">
        <v>9.6</v>
      </c>
      <c r="AC72" s="1">
        <v>19.2</v>
      </c>
      <c r="AD72" s="1">
        <v>22</v>
      </c>
      <c r="AE72" s="1">
        <v>22.8</v>
      </c>
      <c r="AF72" s="1">
        <v>20</v>
      </c>
      <c r="AG72" s="1">
        <v>17.600000000000001</v>
      </c>
      <c r="AH72" s="1">
        <v>21</v>
      </c>
      <c r="AI72" s="1">
        <v>10.4</v>
      </c>
      <c r="AJ72" s="1"/>
      <c r="AK72" s="1">
        <f t="shared" si="20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114</v>
      </c>
      <c r="B73" s="1" t="s">
        <v>42</v>
      </c>
      <c r="C73" s="1">
        <v>297</v>
      </c>
      <c r="D73" s="1">
        <v>124</v>
      </c>
      <c r="E73" s="1">
        <v>153</v>
      </c>
      <c r="F73" s="1">
        <v>234</v>
      </c>
      <c r="G73" s="7">
        <v>0.33</v>
      </c>
      <c r="H73" s="1">
        <v>60</v>
      </c>
      <c r="I73" s="9" t="s">
        <v>40</v>
      </c>
      <c r="J73" s="1"/>
      <c r="K73" s="1">
        <v>170</v>
      </c>
      <c r="L73" s="1">
        <f t="shared" si="15"/>
        <v>-17</v>
      </c>
      <c r="M73" s="1"/>
      <c r="N73" s="1"/>
      <c r="O73" s="1">
        <v>0</v>
      </c>
      <c r="P73" s="1"/>
      <c r="Q73" s="1">
        <v>0</v>
      </c>
      <c r="R73" s="1">
        <v>130.88</v>
      </c>
      <c r="S73" s="1">
        <f t="shared" si="16"/>
        <v>30.6</v>
      </c>
      <c r="T73" s="5">
        <v>8</v>
      </c>
      <c r="U73" s="5">
        <f t="shared" si="18"/>
        <v>8</v>
      </c>
      <c r="V73" s="18"/>
      <c r="W73" s="18"/>
      <c r="X73" s="1">
        <f t="shared" si="19"/>
        <v>12.185620915032679</v>
      </c>
      <c r="Y73" s="1">
        <f t="shared" si="17"/>
        <v>11.924183006535946</v>
      </c>
      <c r="Z73" s="1">
        <v>31.6</v>
      </c>
      <c r="AA73" s="1">
        <v>20.6</v>
      </c>
      <c r="AB73" s="1">
        <v>5.4</v>
      </c>
      <c r="AC73" s="1">
        <v>20.8</v>
      </c>
      <c r="AD73" s="1">
        <v>42.2</v>
      </c>
      <c r="AE73" s="1">
        <v>45</v>
      </c>
      <c r="AF73" s="1">
        <v>41.8</v>
      </c>
      <c r="AG73" s="1">
        <v>36</v>
      </c>
      <c r="AH73" s="1">
        <v>37.6</v>
      </c>
      <c r="AI73" s="1">
        <v>21.4</v>
      </c>
      <c r="AJ73" s="1"/>
      <c r="AK73" s="1">
        <f t="shared" si="20"/>
        <v>3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115</v>
      </c>
      <c r="B74" s="1" t="s">
        <v>42</v>
      </c>
      <c r="C74" s="1">
        <v>149</v>
      </c>
      <c r="D74" s="1">
        <v>46</v>
      </c>
      <c r="E74" s="1">
        <v>73</v>
      </c>
      <c r="F74" s="1">
        <v>103</v>
      </c>
      <c r="G74" s="7">
        <v>0.35</v>
      </c>
      <c r="H74" s="1">
        <v>90</v>
      </c>
      <c r="I74" s="1" t="s">
        <v>37</v>
      </c>
      <c r="J74" s="1"/>
      <c r="K74" s="1">
        <v>83</v>
      </c>
      <c r="L74" s="1">
        <f t="shared" si="15"/>
        <v>-10</v>
      </c>
      <c r="M74" s="1"/>
      <c r="N74" s="1"/>
      <c r="O74" s="1">
        <v>20</v>
      </c>
      <c r="P74" s="1"/>
      <c r="Q74" s="1">
        <v>55.799999999999983</v>
      </c>
      <c r="R74" s="1">
        <v>0</v>
      </c>
      <c r="S74" s="1">
        <f t="shared" si="16"/>
        <v>14.6</v>
      </c>
      <c r="T74" s="5"/>
      <c r="U74" s="5">
        <f t="shared" si="18"/>
        <v>0</v>
      </c>
      <c r="V74" s="18"/>
      <c r="W74" s="18"/>
      <c r="X74" s="1">
        <f t="shared" si="19"/>
        <v>12.246575342465752</v>
      </c>
      <c r="Y74" s="1">
        <f t="shared" si="17"/>
        <v>12.246575342465752</v>
      </c>
      <c r="Z74" s="1">
        <v>12</v>
      </c>
      <c r="AA74" s="1">
        <v>18.2</v>
      </c>
      <c r="AB74" s="1">
        <v>18</v>
      </c>
      <c r="AC74" s="1">
        <v>19.399999999999999</v>
      </c>
      <c r="AD74" s="1">
        <v>18.600000000000001</v>
      </c>
      <c r="AE74" s="1">
        <v>22.4</v>
      </c>
      <c r="AF74" s="1">
        <v>23.8</v>
      </c>
      <c r="AG74" s="1">
        <v>20.399999999999999</v>
      </c>
      <c r="AH74" s="1">
        <v>25.2</v>
      </c>
      <c r="AI74" s="1">
        <v>11.8</v>
      </c>
      <c r="AJ74" s="1"/>
      <c r="AK74" s="1">
        <f t="shared" si="20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116</v>
      </c>
      <c r="B75" s="1" t="s">
        <v>42</v>
      </c>
      <c r="C75" s="1">
        <v>371</v>
      </c>
      <c r="D75" s="1">
        <v>2</v>
      </c>
      <c r="E75" s="1">
        <v>59</v>
      </c>
      <c r="F75" s="1"/>
      <c r="G75" s="7">
        <v>0.37</v>
      </c>
      <c r="H75" s="1">
        <v>50</v>
      </c>
      <c r="I75" s="1" t="s">
        <v>64</v>
      </c>
      <c r="J75" s="1"/>
      <c r="K75" s="1">
        <v>67</v>
      </c>
      <c r="L75" s="1">
        <f t="shared" si="15"/>
        <v>-8</v>
      </c>
      <c r="M75" s="1"/>
      <c r="N75" s="1"/>
      <c r="O75" s="1">
        <v>0</v>
      </c>
      <c r="P75" s="1"/>
      <c r="Q75" s="1">
        <v>0</v>
      </c>
      <c r="R75" s="1">
        <v>148.32</v>
      </c>
      <c r="S75" s="1">
        <f t="shared" si="16"/>
        <v>11.8</v>
      </c>
      <c r="T75" s="5"/>
      <c r="U75" s="5">
        <f t="shared" si="18"/>
        <v>0</v>
      </c>
      <c r="V75" s="18"/>
      <c r="W75" s="18"/>
      <c r="X75" s="1">
        <f t="shared" si="19"/>
        <v>12.569491525423727</v>
      </c>
      <c r="Y75" s="1">
        <f t="shared" si="17"/>
        <v>12.569491525423727</v>
      </c>
      <c r="Z75" s="1">
        <v>14.4</v>
      </c>
      <c r="AA75" s="1">
        <v>9.8000000000000007</v>
      </c>
      <c r="AB75" s="1">
        <v>15.8</v>
      </c>
      <c r="AC75" s="1">
        <v>15</v>
      </c>
      <c r="AD75" s="1">
        <v>26</v>
      </c>
      <c r="AE75" s="1">
        <v>27.8</v>
      </c>
      <c r="AF75" s="1">
        <v>18.2</v>
      </c>
      <c r="AG75" s="1">
        <v>13</v>
      </c>
      <c r="AH75" s="1">
        <v>3.6</v>
      </c>
      <c r="AI75" s="1">
        <v>1</v>
      </c>
      <c r="AJ75" s="1" t="s">
        <v>117</v>
      </c>
      <c r="AK75" s="1">
        <f t="shared" si="20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0" t="s">
        <v>118</v>
      </c>
      <c r="B76" s="10" t="s">
        <v>42</v>
      </c>
      <c r="C76" s="10"/>
      <c r="D76" s="10"/>
      <c r="E76" s="10"/>
      <c r="F76" s="10"/>
      <c r="G76" s="11">
        <v>0</v>
      </c>
      <c r="H76" s="10"/>
      <c r="I76" s="10" t="s">
        <v>37</v>
      </c>
      <c r="J76" s="10"/>
      <c r="K76" s="10"/>
      <c r="L76" s="10">
        <f t="shared" si="15"/>
        <v>0</v>
      </c>
      <c r="M76" s="10"/>
      <c r="N76" s="10"/>
      <c r="O76" s="10">
        <v>0</v>
      </c>
      <c r="P76" s="10"/>
      <c r="Q76" s="10">
        <v>0</v>
      </c>
      <c r="R76" s="10">
        <v>0</v>
      </c>
      <c r="S76" s="10">
        <f t="shared" si="16"/>
        <v>0</v>
      </c>
      <c r="T76" s="12"/>
      <c r="U76" s="5">
        <f t="shared" si="18"/>
        <v>0</v>
      </c>
      <c r="V76" s="18"/>
      <c r="W76" s="18"/>
      <c r="X76" s="1" t="e">
        <f t="shared" si="19"/>
        <v>#DIV/0!</v>
      </c>
      <c r="Y76" s="10" t="e">
        <f t="shared" si="17"/>
        <v>#DIV/0!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 t="s">
        <v>49</v>
      </c>
      <c r="AK76" s="1">
        <f t="shared" si="20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119</v>
      </c>
      <c r="B77" s="1" t="s">
        <v>42</v>
      </c>
      <c r="C77" s="1">
        <v>189</v>
      </c>
      <c r="D77" s="1">
        <v>2</v>
      </c>
      <c r="E77" s="1">
        <v>134</v>
      </c>
      <c r="F77" s="1">
        <v>25</v>
      </c>
      <c r="G77" s="7">
        <v>0.33</v>
      </c>
      <c r="H77" s="1">
        <v>40</v>
      </c>
      <c r="I77" s="1" t="s">
        <v>37</v>
      </c>
      <c r="J77" s="1"/>
      <c r="K77" s="1">
        <v>136</v>
      </c>
      <c r="L77" s="1">
        <f t="shared" si="15"/>
        <v>-2</v>
      </c>
      <c r="M77" s="1"/>
      <c r="N77" s="1"/>
      <c r="O77" s="1">
        <v>50.152000000000022</v>
      </c>
      <c r="P77" s="1"/>
      <c r="Q77" s="1">
        <v>0</v>
      </c>
      <c r="R77" s="1">
        <v>89.528000000000006</v>
      </c>
      <c r="S77" s="1">
        <f t="shared" si="16"/>
        <v>26.8</v>
      </c>
      <c r="T77" s="5">
        <f t="shared" ref="T77:T79" si="21">12*S77-R77-Q77-P77-O77-F77</f>
        <v>156.91999999999999</v>
      </c>
      <c r="U77" s="5">
        <f t="shared" si="18"/>
        <v>156.91999999999999</v>
      </c>
      <c r="V77" s="18"/>
      <c r="W77" s="18"/>
      <c r="X77" s="1">
        <f t="shared" si="19"/>
        <v>12</v>
      </c>
      <c r="Y77" s="1">
        <f t="shared" si="17"/>
        <v>6.1447761194029855</v>
      </c>
      <c r="Z77" s="1">
        <v>17.600000000000001</v>
      </c>
      <c r="AA77" s="1">
        <v>13</v>
      </c>
      <c r="AB77" s="1">
        <v>15.2</v>
      </c>
      <c r="AC77" s="1">
        <v>20.8</v>
      </c>
      <c r="AD77" s="1">
        <v>14.8</v>
      </c>
      <c r="AE77" s="1">
        <v>0.2</v>
      </c>
      <c r="AF77" s="1">
        <v>11.2</v>
      </c>
      <c r="AG77" s="1">
        <v>29.2</v>
      </c>
      <c r="AH77" s="1">
        <v>26</v>
      </c>
      <c r="AI77" s="1">
        <v>7.6</v>
      </c>
      <c r="AJ77" s="1"/>
      <c r="AK77" s="1">
        <f t="shared" si="20"/>
        <v>52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6" t="s">
        <v>120</v>
      </c>
      <c r="B78" s="1" t="s">
        <v>42</v>
      </c>
      <c r="C78" s="1">
        <v>127</v>
      </c>
      <c r="D78" s="1">
        <v>18</v>
      </c>
      <c r="E78" s="1">
        <v>125</v>
      </c>
      <c r="F78" s="1"/>
      <c r="G78" s="7">
        <v>0.4</v>
      </c>
      <c r="H78" s="1">
        <v>55</v>
      </c>
      <c r="I78" s="9" t="s">
        <v>40</v>
      </c>
      <c r="J78" s="1"/>
      <c r="K78" s="1">
        <v>153</v>
      </c>
      <c r="L78" s="1">
        <f t="shared" si="15"/>
        <v>-28</v>
      </c>
      <c r="M78" s="1"/>
      <c r="N78" s="1"/>
      <c r="O78" s="1">
        <v>0</v>
      </c>
      <c r="P78" s="1"/>
      <c r="Q78" s="1">
        <v>0</v>
      </c>
      <c r="R78" s="1">
        <v>6.4000000000000057</v>
      </c>
      <c r="S78" s="1">
        <f t="shared" si="16"/>
        <v>25</v>
      </c>
      <c r="T78" s="5">
        <f>7*S78-R78-Q78-P78-O78-F78</f>
        <v>168.6</v>
      </c>
      <c r="U78" s="5">
        <f t="shared" si="18"/>
        <v>168.6</v>
      </c>
      <c r="V78" s="18"/>
      <c r="W78" s="18"/>
      <c r="X78" s="1">
        <f t="shared" si="19"/>
        <v>7</v>
      </c>
      <c r="Y78" s="1">
        <f t="shared" si="17"/>
        <v>0.25600000000000023</v>
      </c>
      <c r="Z78" s="1">
        <v>9.4</v>
      </c>
      <c r="AA78" s="1">
        <v>0.6</v>
      </c>
      <c r="AB78" s="1">
        <v>0.2</v>
      </c>
      <c r="AC78" s="1">
        <v>0.2</v>
      </c>
      <c r="AD78" s="1">
        <v>12.6</v>
      </c>
      <c r="AE78" s="1">
        <v>15.4</v>
      </c>
      <c r="AF78" s="1">
        <v>12.6</v>
      </c>
      <c r="AG78" s="1">
        <v>11.8</v>
      </c>
      <c r="AH78" s="1">
        <v>3.6</v>
      </c>
      <c r="AI78" s="1">
        <v>18.600000000000001</v>
      </c>
      <c r="AJ78" s="1" t="s">
        <v>121</v>
      </c>
      <c r="AK78" s="1">
        <f t="shared" si="20"/>
        <v>67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6" t="s">
        <v>122</v>
      </c>
      <c r="B79" s="1" t="s">
        <v>42</v>
      </c>
      <c r="C79" s="1">
        <v>23</v>
      </c>
      <c r="D79" s="1">
        <v>21</v>
      </c>
      <c r="E79" s="1">
        <v>28</v>
      </c>
      <c r="F79" s="1">
        <v>6</v>
      </c>
      <c r="G79" s="7">
        <v>0.35</v>
      </c>
      <c r="H79" s="1">
        <v>40</v>
      </c>
      <c r="I79" s="9" t="s">
        <v>40</v>
      </c>
      <c r="J79" s="1"/>
      <c r="K79" s="1">
        <v>34</v>
      </c>
      <c r="L79" s="1">
        <f t="shared" si="15"/>
        <v>-6</v>
      </c>
      <c r="M79" s="1"/>
      <c r="N79" s="1"/>
      <c r="O79" s="1">
        <v>0</v>
      </c>
      <c r="P79" s="1"/>
      <c r="Q79" s="1">
        <v>0</v>
      </c>
      <c r="R79" s="1">
        <v>42</v>
      </c>
      <c r="S79" s="1">
        <f t="shared" si="16"/>
        <v>5.6</v>
      </c>
      <c r="T79" s="5">
        <f t="shared" si="21"/>
        <v>19.199999999999989</v>
      </c>
      <c r="U79" s="5">
        <f t="shared" si="18"/>
        <v>19.199999999999989</v>
      </c>
      <c r="V79" s="18"/>
      <c r="W79" s="18"/>
      <c r="X79" s="1">
        <f t="shared" si="19"/>
        <v>11.999999999999998</v>
      </c>
      <c r="Y79" s="1">
        <f t="shared" si="17"/>
        <v>8.5714285714285712</v>
      </c>
      <c r="Z79" s="1">
        <v>6</v>
      </c>
      <c r="AA79" s="1">
        <v>2.6</v>
      </c>
      <c r="AB79" s="1">
        <v>0</v>
      </c>
      <c r="AC79" s="1">
        <v>0</v>
      </c>
      <c r="AD79" s="1">
        <v>-0.2</v>
      </c>
      <c r="AE79" s="1">
        <v>-0.2</v>
      </c>
      <c r="AF79" s="1">
        <v>0</v>
      </c>
      <c r="AG79" s="1">
        <v>0</v>
      </c>
      <c r="AH79" s="1">
        <v>0</v>
      </c>
      <c r="AI79" s="1">
        <v>0</v>
      </c>
      <c r="AJ79" s="1"/>
      <c r="AK79" s="1">
        <f t="shared" si="20"/>
        <v>7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6" t="s">
        <v>123</v>
      </c>
      <c r="B80" s="1" t="s">
        <v>42</v>
      </c>
      <c r="C80" s="1">
        <v>9</v>
      </c>
      <c r="D80" s="1">
        <v>93</v>
      </c>
      <c r="E80" s="1">
        <v>26</v>
      </c>
      <c r="F80" s="1">
        <v>67</v>
      </c>
      <c r="G80" s="7">
        <v>0.35</v>
      </c>
      <c r="H80" s="1">
        <v>45</v>
      </c>
      <c r="I80" s="9" t="s">
        <v>40</v>
      </c>
      <c r="J80" s="1"/>
      <c r="K80" s="1">
        <v>33</v>
      </c>
      <c r="L80" s="1">
        <f t="shared" si="15"/>
        <v>-7</v>
      </c>
      <c r="M80" s="1"/>
      <c r="N80" s="1"/>
      <c r="O80" s="1">
        <v>13</v>
      </c>
      <c r="P80" s="1"/>
      <c r="Q80" s="1">
        <v>0</v>
      </c>
      <c r="R80" s="1">
        <v>0</v>
      </c>
      <c r="S80" s="1">
        <f t="shared" si="16"/>
        <v>5.2</v>
      </c>
      <c r="T80" s="5"/>
      <c r="U80" s="5">
        <f t="shared" si="18"/>
        <v>0</v>
      </c>
      <c r="V80" s="18"/>
      <c r="W80" s="18"/>
      <c r="X80" s="1">
        <f t="shared" si="19"/>
        <v>15.384615384615383</v>
      </c>
      <c r="Y80" s="1">
        <f t="shared" si="17"/>
        <v>15.384615384615383</v>
      </c>
      <c r="Z80" s="1">
        <v>5.8</v>
      </c>
      <c r="AA80" s="1">
        <v>2.8</v>
      </c>
      <c r="AB80" s="1">
        <v>3.6</v>
      </c>
      <c r="AC80" s="1">
        <v>8</v>
      </c>
      <c r="AD80" s="1">
        <v>7.8</v>
      </c>
      <c r="AE80" s="1">
        <v>2.8</v>
      </c>
      <c r="AF80" s="1">
        <v>2.6</v>
      </c>
      <c r="AG80" s="1">
        <v>5.2</v>
      </c>
      <c r="AH80" s="1">
        <v>6.2</v>
      </c>
      <c r="AI80" s="1">
        <v>3.6</v>
      </c>
      <c r="AJ80" s="1"/>
      <c r="AK80" s="1">
        <f t="shared" si="20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0" t="s">
        <v>124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37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/>
      <c r="Q81" s="10">
        <v>0</v>
      </c>
      <c r="R81" s="10">
        <v>0</v>
      </c>
      <c r="S81" s="10">
        <f t="shared" si="16"/>
        <v>0</v>
      </c>
      <c r="T81" s="12"/>
      <c r="U81" s="5">
        <f t="shared" si="18"/>
        <v>0</v>
      </c>
      <c r="V81" s="18"/>
      <c r="W81" s="18"/>
      <c r="X81" s="1" t="e">
        <f t="shared" si="19"/>
        <v>#DIV/0!</v>
      </c>
      <c r="Y81" s="10" t="e">
        <f t="shared" si="17"/>
        <v>#DIV/0!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 t="s">
        <v>49</v>
      </c>
      <c r="AK81" s="1">
        <f t="shared" si="20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0" t="s">
        <v>125</v>
      </c>
      <c r="B82" s="10" t="s">
        <v>36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/>
      <c r="Q82" s="10">
        <v>0</v>
      </c>
      <c r="R82" s="10">
        <v>0</v>
      </c>
      <c r="S82" s="10">
        <f t="shared" si="16"/>
        <v>0</v>
      </c>
      <c r="T82" s="12"/>
      <c r="U82" s="5">
        <f t="shared" si="18"/>
        <v>0</v>
      </c>
      <c r="V82" s="18"/>
      <c r="W82" s="18"/>
      <c r="X82" s="1" t="e">
        <f t="shared" si="19"/>
        <v>#DIV/0!</v>
      </c>
      <c r="Y82" s="10" t="e">
        <f t="shared" si="17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49</v>
      </c>
      <c r="AK82" s="1">
        <f t="shared" si="20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126</v>
      </c>
      <c r="B83" s="1" t="s">
        <v>36</v>
      </c>
      <c r="C83" s="1">
        <v>50.357999999999997</v>
      </c>
      <c r="D83" s="1">
        <v>2.875</v>
      </c>
      <c r="E83" s="1">
        <v>14.412000000000001</v>
      </c>
      <c r="F83" s="1">
        <v>38.820999999999998</v>
      </c>
      <c r="G83" s="7">
        <v>1</v>
      </c>
      <c r="H83" s="1">
        <v>55</v>
      </c>
      <c r="I83" s="1" t="s">
        <v>37</v>
      </c>
      <c r="J83" s="1"/>
      <c r="K83" s="1">
        <v>12.2</v>
      </c>
      <c r="L83" s="1">
        <f t="shared" si="15"/>
        <v>2.2120000000000015</v>
      </c>
      <c r="M83" s="1"/>
      <c r="N83" s="1"/>
      <c r="O83" s="1">
        <v>0</v>
      </c>
      <c r="P83" s="1"/>
      <c r="Q83" s="1">
        <v>0</v>
      </c>
      <c r="R83" s="1">
        <v>0</v>
      </c>
      <c r="S83" s="1">
        <f t="shared" si="16"/>
        <v>2.8824000000000001</v>
      </c>
      <c r="T83" s="5"/>
      <c r="U83" s="5">
        <f t="shared" si="18"/>
        <v>0</v>
      </c>
      <c r="V83" s="18"/>
      <c r="W83" s="18"/>
      <c r="X83" s="1">
        <f t="shared" si="19"/>
        <v>13.468290313627531</v>
      </c>
      <c r="Y83" s="1">
        <f t="shared" si="17"/>
        <v>13.468290313627531</v>
      </c>
      <c r="Z83" s="1">
        <v>2.8820000000000001</v>
      </c>
      <c r="AA83" s="1">
        <v>1.3373999999999999</v>
      </c>
      <c r="AB83" s="1">
        <v>2.1970000000000001</v>
      </c>
      <c r="AC83" s="1">
        <v>2.008</v>
      </c>
      <c r="AD83" s="1">
        <v>1.1468</v>
      </c>
      <c r="AE83" s="1">
        <v>1.1457999999999999</v>
      </c>
      <c r="AF83" s="1">
        <v>4.5876000000000001</v>
      </c>
      <c r="AG83" s="1">
        <v>4.5953999999999997</v>
      </c>
      <c r="AH83" s="1">
        <v>4.0216000000000003</v>
      </c>
      <c r="AI83" s="1">
        <v>0.86240000000000006</v>
      </c>
      <c r="AJ83" s="1"/>
      <c r="AK83" s="1">
        <f t="shared" si="20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127</v>
      </c>
      <c r="B84" s="1" t="s">
        <v>36</v>
      </c>
      <c r="C84" s="1">
        <v>-3.1E-2</v>
      </c>
      <c r="D84" s="1">
        <v>450.86700000000002</v>
      </c>
      <c r="E84" s="1">
        <v>153.14400000000001</v>
      </c>
      <c r="F84" s="1">
        <v>237.26599999999999</v>
      </c>
      <c r="G84" s="7">
        <v>1</v>
      </c>
      <c r="H84" s="1">
        <v>60</v>
      </c>
      <c r="I84" s="1" t="s">
        <v>37</v>
      </c>
      <c r="J84" s="1"/>
      <c r="K84" s="1">
        <v>170.32</v>
      </c>
      <c r="L84" s="1">
        <f t="shared" si="15"/>
        <v>-17.175999999999988</v>
      </c>
      <c r="M84" s="1"/>
      <c r="N84" s="1"/>
      <c r="O84" s="1">
        <v>223.86785199999991</v>
      </c>
      <c r="P84" s="1"/>
      <c r="Q84" s="1">
        <v>0</v>
      </c>
      <c r="R84" s="1">
        <v>0</v>
      </c>
      <c r="S84" s="1">
        <f t="shared" si="16"/>
        <v>30.628800000000002</v>
      </c>
      <c r="T84" s="5"/>
      <c r="U84" s="5">
        <f t="shared" si="18"/>
        <v>0</v>
      </c>
      <c r="V84" s="18"/>
      <c r="W84" s="18"/>
      <c r="X84" s="1">
        <f t="shared" si="19"/>
        <v>15.055563783106093</v>
      </c>
      <c r="Y84" s="1">
        <f t="shared" si="17"/>
        <v>15.055563783106093</v>
      </c>
      <c r="Z84" s="1">
        <v>20.229199999999999</v>
      </c>
      <c r="AA84" s="1">
        <v>34.7806</v>
      </c>
      <c r="AB84" s="1">
        <v>52.466999999999999</v>
      </c>
      <c r="AC84" s="1">
        <v>56.910799999999988</v>
      </c>
      <c r="AD84" s="1">
        <v>48.402000000000001</v>
      </c>
      <c r="AE84" s="1">
        <v>24.439399999999999</v>
      </c>
      <c r="AF84" s="1">
        <v>27.4984</v>
      </c>
      <c r="AG84" s="1">
        <v>46.795000000000002</v>
      </c>
      <c r="AH84" s="1">
        <v>43.2684</v>
      </c>
      <c r="AI84" s="1">
        <v>40.822800000000001</v>
      </c>
      <c r="AJ84" s="1"/>
      <c r="AK84" s="1">
        <f t="shared" si="20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0" t="s">
        <v>128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/>
      <c r="Q85" s="10">
        <v>0</v>
      </c>
      <c r="R85" s="10">
        <v>0</v>
      </c>
      <c r="S85" s="10">
        <f t="shared" si="16"/>
        <v>0</v>
      </c>
      <c r="T85" s="12"/>
      <c r="U85" s="5">
        <f t="shared" si="18"/>
        <v>0</v>
      </c>
      <c r="V85" s="18"/>
      <c r="W85" s="18"/>
      <c r="X85" s="1" t="e">
        <f t="shared" si="19"/>
        <v>#DIV/0!</v>
      </c>
      <c r="Y85" s="10" t="e">
        <f t="shared" si="17"/>
        <v>#DIV/0!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49</v>
      </c>
      <c r="AK85" s="1">
        <f t="shared" si="20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129</v>
      </c>
      <c r="B86" s="1" t="s">
        <v>36</v>
      </c>
      <c r="C86" s="1">
        <v>1696.1389999999999</v>
      </c>
      <c r="D86" s="1">
        <v>1969.4949999999999</v>
      </c>
      <c r="E86" s="1">
        <v>1695.9839999999999</v>
      </c>
      <c r="F86" s="1">
        <v>1402.961</v>
      </c>
      <c r="G86" s="7">
        <v>1</v>
      </c>
      <c r="H86" s="1">
        <v>60</v>
      </c>
      <c r="I86" s="1" t="s">
        <v>37</v>
      </c>
      <c r="J86" s="1"/>
      <c r="K86" s="1">
        <v>1865.5</v>
      </c>
      <c r="L86" s="1">
        <f t="shared" si="15"/>
        <v>-169.51600000000008</v>
      </c>
      <c r="M86" s="1"/>
      <c r="N86" s="1"/>
      <c r="O86" s="1">
        <v>1470.560449999999</v>
      </c>
      <c r="P86" s="1"/>
      <c r="Q86" s="1">
        <v>0</v>
      </c>
      <c r="R86" s="1">
        <v>0</v>
      </c>
      <c r="S86" s="1">
        <f t="shared" si="16"/>
        <v>339.1968</v>
      </c>
      <c r="T86" s="5">
        <f t="shared" ref="T86:T88" si="22">12*S86-R86-Q86-P86-O86-F86</f>
        <v>1196.8401500000011</v>
      </c>
      <c r="U86" s="5">
        <f>V86</f>
        <v>800</v>
      </c>
      <c r="V86" s="18">
        <f>VLOOKUP(A86,[1]Sheet!$A:$V,21,0)</f>
        <v>800</v>
      </c>
      <c r="W86" s="18" t="str">
        <f>VLOOKUP(A86,[1]Sheet!$A:$V,22,0)</f>
        <v>Есть товарный запас</v>
      </c>
      <c r="X86" s="1">
        <f t="shared" si="19"/>
        <v>10.83005927532335</v>
      </c>
      <c r="Y86" s="1">
        <f t="shared" si="17"/>
        <v>8.4715464591647063</v>
      </c>
      <c r="Z86" s="1">
        <v>286.21859999999998</v>
      </c>
      <c r="AA86" s="1">
        <v>236.22059999999999</v>
      </c>
      <c r="AB86" s="1">
        <v>396.76139999999998</v>
      </c>
      <c r="AC86" s="1">
        <v>420.71499999999997</v>
      </c>
      <c r="AD86" s="1">
        <v>308.27960000000002</v>
      </c>
      <c r="AE86" s="1">
        <v>325.30099999999999</v>
      </c>
      <c r="AF86" s="1">
        <v>326.5376</v>
      </c>
      <c r="AG86" s="1">
        <v>312.88479999999998</v>
      </c>
      <c r="AH86" s="1">
        <v>368.565</v>
      </c>
      <c r="AI86" s="1">
        <v>303.18119999999999</v>
      </c>
      <c r="AJ86" s="1"/>
      <c r="AK86" s="1">
        <f t="shared" si="20"/>
        <v>800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130</v>
      </c>
      <c r="B87" s="1" t="s">
        <v>36</v>
      </c>
      <c r="C87" s="1">
        <v>1325.9280000000001</v>
      </c>
      <c r="D87" s="1">
        <v>822.16800000000001</v>
      </c>
      <c r="E87" s="1">
        <v>1766.704</v>
      </c>
      <c r="F87" s="1">
        <v>-149.32900000000001</v>
      </c>
      <c r="G87" s="7">
        <v>1</v>
      </c>
      <c r="H87" s="1">
        <v>60</v>
      </c>
      <c r="I87" s="1" t="s">
        <v>37</v>
      </c>
      <c r="J87" s="1"/>
      <c r="K87" s="1">
        <v>1907</v>
      </c>
      <c r="L87" s="1">
        <f t="shared" si="15"/>
        <v>-140.29600000000005</v>
      </c>
      <c r="M87" s="1"/>
      <c r="N87" s="1"/>
      <c r="O87" s="1">
        <v>2518.9122660000012</v>
      </c>
      <c r="P87" s="1">
        <v>240</v>
      </c>
      <c r="Q87" s="1">
        <v>500</v>
      </c>
      <c r="R87" s="1">
        <v>0</v>
      </c>
      <c r="S87" s="1">
        <f t="shared" si="16"/>
        <v>353.3408</v>
      </c>
      <c r="T87" s="5">
        <f t="shared" si="22"/>
        <v>1130.506333999999</v>
      </c>
      <c r="U87" s="5">
        <f t="shared" si="18"/>
        <v>1130.506333999999</v>
      </c>
      <c r="V87" s="18"/>
      <c r="W87" s="18"/>
      <c r="X87" s="1">
        <f t="shared" si="19"/>
        <v>12</v>
      </c>
      <c r="Y87" s="1">
        <f t="shared" si="17"/>
        <v>8.8005213833217137</v>
      </c>
      <c r="Z87" s="1">
        <v>302.86380000000003</v>
      </c>
      <c r="AA87" s="1">
        <v>260.61439999999999</v>
      </c>
      <c r="AB87" s="1">
        <v>367.82960000000003</v>
      </c>
      <c r="AC87" s="1">
        <v>400.35739999999998</v>
      </c>
      <c r="AD87" s="1">
        <v>226.09520000000001</v>
      </c>
      <c r="AE87" s="1">
        <v>213.601</v>
      </c>
      <c r="AF87" s="1">
        <v>424.48739999999998</v>
      </c>
      <c r="AG87" s="1">
        <v>393.61340000000001</v>
      </c>
      <c r="AH87" s="1">
        <v>331.94720000000001</v>
      </c>
      <c r="AI87" s="1">
        <v>257.45100000000002</v>
      </c>
      <c r="AJ87" s="1"/>
      <c r="AK87" s="1">
        <f t="shared" si="20"/>
        <v>1131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131</v>
      </c>
      <c r="B88" s="1" t="s">
        <v>36</v>
      </c>
      <c r="C88" s="1">
        <v>1912.9770000000001</v>
      </c>
      <c r="D88" s="1">
        <v>1901.848</v>
      </c>
      <c r="E88" s="1">
        <v>2647.7130000000002</v>
      </c>
      <c r="F88" s="1">
        <v>341.30900000000003</v>
      </c>
      <c r="G88" s="7">
        <v>1</v>
      </c>
      <c r="H88" s="1">
        <v>60</v>
      </c>
      <c r="I88" s="1" t="s">
        <v>37</v>
      </c>
      <c r="J88" s="1"/>
      <c r="K88" s="1">
        <v>2832</v>
      </c>
      <c r="L88" s="1">
        <f t="shared" si="15"/>
        <v>-184.28699999999981</v>
      </c>
      <c r="M88" s="1"/>
      <c r="N88" s="1"/>
      <c r="O88" s="1">
        <v>2829.5209559999998</v>
      </c>
      <c r="P88" s="1"/>
      <c r="Q88" s="1">
        <v>1500</v>
      </c>
      <c r="R88" s="1">
        <v>0</v>
      </c>
      <c r="S88" s="1">
        <f t="shared" si="16"/>
        <v>529.54259999999999</v>
      </c>
      <c r="T88" s="5">
        <f t="shared" si="22"/>
        <v>1683.6812440000001</v>
      </c>
      <c r="U88" s="5">
        <f t="shared" si="18"/>
        <v>1683.6812440000001</v>
      </c>
      <c r="V88" s="18"/>
      <c r="W88" s="18"/>
      <c r="X88" s="1">
        <f t="shared" si="19"/>
        <v>12</v>
      </c>
      <c r="Y88" s="1">
        <f t="shared" si="17"/>
        <v>8.8204989664665305</v>
      </c>
      <c r="Z88" s="1">
        <v>466.50040000000001</v>
      </c>
      <c r="AA88" s="1">
        <v>384.19439999999997</v>
      </c>
      <c r="AB88" s="1">
        <v>552.39200000000005</v>
      </c>
      <c r="AC88" s="1">
        <v>575.57240000000002</v>
      </c>
      <c r="AD88" s="1">
        <v>383.57479999999998</v>
      </c>
      <c r="AE88" s="1">
        <v>417.62419999999997</v>
      </c>
      <c r="AF88" s="1">
        <v>559.40539999999999</v>
      </c>
      <c r="AG88" s="1">
        <v>523.61300000000006</v>
      </c>
      <c r="AH88" s="1">
        <v>494.76659999999998</v>
      </c>
      <c r="AI88" s="1">
        <v>402.2328</v>
      </c>
      <c r="AJ88" s="1"/>
      <c r="AK88" s="1">
        <f t="shared" si="20"/>
        <v>1684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0" t="s">
        <v>132</v>
      </c>
      <c r="B89" s="10" t="s">
        <v>36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/>
      <c r="Q89" s="10">
        <v>0</v>
      </c>
      <c r="R89" s="10">
        <v>0</v>
      </c>
      <c r="S89" s="10">
        <f t="shared" si="16"/>
        <v>0</v>
      </c>
      <c r="T89" s="12"/>
      <c r="U89" s="5">
        <f t="shared" si="18"/>
        <v>0</v>
      </c>
      <c r="V89" s="18"/>
      <c r="W89" s="18"/>
      <c r="X89" s="1" t="e">
        <f t="shared" si="19"/>
        <v>#DIV/0!</v>
      </c>
      <c r="Y89" s="10" t="e">
        <f t="shared" si="17"/>
        <v>#DIV/0!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 t="s">
        <v>49</v>
      </c>
      <c r="AK89" s="1">
        <f t="shared" si="20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6" t="s">
        <v>133</v>
      </c>
      <c r="B90" s="1" t="s">
        <v>42</v>
      </c>
      <c r="C90" s="1"/>
      <c r="D90" s="1"/>
      <c r="E90" s="1">
        <v>-3</v>
      </c>
      <c r="F90" s="1"/>
      <c r="G90" s="7">
        <v>0.3</v>
      </c>
      <c r="H90" s="1">
        <v>40</v>
      </c>
      <c r="I90" s="9" t="s">
        <v>40</v>
      </c>
      <c r="J90" s="1"/>
      <c r="K90" s="1"/>
      <c r="L90" s="1">
        <f t="shared" si="15"/>
        <v>-3</v>
      </c>
      <c r="M90" s="1"/>
      <c r="N90" s="1"/>
      <c r="O90" s="1">
        <v>13</v>
      </c>
      <c r="P90" s="1"/>
      <c r="Q90" s="1">
        <v>60</v>
      </c>
      <c r="R90" s="1">
        <v>0</v>
      </c>
      <c r="S90" s="1">
        <f t="shared" si="16"/>
        <v>-0.6</v>
      </c>
      <c r="T90" s="5"/>
      <c r="U90" s="5">
        <f>V90</f>
        <v>100</v>
      </c>
      <c r="V90" s="18">
        <f>VLOOKUP(A90,[1]Sheet!$A:$V,21,0)</f>
        <v>100</v>
      </c>
      <c r="W90" s="18" t="str">
        <f>VLOOKUP(A90,[1]Sheet!$A:$V,22,0)</f>
        <v>Есть спрос</v>
      </c>
      <c r="X90" s="1">
        <f t="shared" si="19"/>
        <v>-288.33333333333337</v>
      </c>
      <c r="Y90" s="1">
        <f t="shared" si="17"/>
        <v>-121.66666666666667</v>
      </c>
      <c r="Z90" s="1">
        <v>-0.6</v>
      </c>
      <c r="AA90" s="1">
        <v>0</v>
      </c>
      <c r="AB90" s="1">
        <v>0</v>
      </c>
      <c r="AC90" s="1">
        <v>-0.2</v>
      </c>
      <c r="AD90" s="1">
        <v>-0.4</v>
      </c>
      <c r="AE90" s="1">
        <v>-0.2</v>
      </c>
      <c r="AF90" s="1">
        <v>0</v>
      </c>
      <c r="AG90" s="1">
        <v>-0.6</v>
      </c>
      <c r="AH90" s="1">
        <v>-1</v>
      </c>
      <c r="AI90" s="1">
        <v>-0.8</v>
      </c>
      <c r="AJ90" s="1"/>
      <c r="AK90" s="1">
        <f t="shared" si="20"/>
        <v>30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6" t="s">
        <v>134</v>
      </c>
      <c r="B91" s="1" t="s">
        <v>42</v>
      </c>
      <c r="C91" s="1">
        <v>121</v>
      </c>
      <c r="D91" s="1">
        <v>7</v>
      </c>
      <c r="E91" s="1">
        <v>97</v>
      </c>
      <c r="F91" s="1">
        <v>1</v>
      </c>
      <c r="G91" s="7">
        <v>0.3</v>
      </c>
      <c r="H91" s="1"/>
      <c r="I91" s="9" t="s">
        <v>40</v>
      </c>
      <c r="J91" s="1"/>
      <c r="K91" s="1">
        <v>108</v>
      </c>
      <c r="L91" s="1">
        <f t="shared" si="15"/>
        <v>-11</v>
      </c>
      <c r="M91" s="1"/>
      <c r="N91" s="1"/>
      <c r="O91" s="1">
        <v>0</v>
      </c>
      <c r="P91" s="1"/>
      <c r="Q91" s="1">
        <v>100</v>
      </c>
      <c r="R91" s="1">
        <v>88.4</v>
      </c>
      <c r="S91" s="1">
        <f t="shared" si="16"/>
        <v>19.399999999999999</v>
      </c>
      <c r="T91" s="5">
        <f t="shared" ref="T91:T95" si="23">12*S91-R91-Q91-P91-O91-F91</f>
        <v>43.399999999999977</v>
      </c>
      <c r="U91" s="5">
        <f t="shared" si="18"/>
        <v>43.399999999999977</v>
      </c>
      <c r="V91" s="18"/>
      <c r="W91" s="18"/>
      <c r="X91" s="1">
        <f t="shared" si="19"/>
        <v>12</v>
      </c>
      <c r="Y91" s="1">
        <f t="shared" si="17"/>
        <v>9.7628865979381452</v>
      </c>
      <c r="Z91" s="1">
        <v>18</v>
      </c>
      <c r="AA91" s="1">
        <v>14</v>
      </c>
      <c r="AB91" s="1">
        <v>16.600000000000001</v>
      </c>
      <c r="AC91" s="1">
        <v>10.8</v>
      </c>
      <c r="AD91" s="1">
        <v>0.6</v>
      </c>
      <c r="AE91" s="1">
        <v>0</v>
      </c>
      <c r="AF91" s="1">
        <v>15.4</v>
      </c>
      <c r="AG91" s="1">
        <v>16.600000000000001</v>
      </c>
      <c r="AH91" s="1">
        <v>1.2</v>
      </c>
      <c r="AI91" s="1">
        <v>0</v>
      </c>
      <c r="AJ91" s="1" t="s">
        <v>135</v>
      </c>
      <c r="AK91" s="1">
        <f t="shared" si="20"/>
        <v>13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6" t="s">
        <v>136</v>
      </c>
      <c r="B92" s="1" t="s">
        <v>42</v>
      </c>
      <c r="C92" s="1">
        <v>65</v>
      </c>
      <c r="D92" s="1">
        <v>3</v>
      </c>
      <c r="E92" s="1">
        <v>59</v>
      </c>
      <c r="F92" s="1">
        <v>1</v>
      </c>
      <c r="G92" s="7">
        <v>7.0000000000000007E-2</v>
      </c>
      <c r="H92" s="1">
        <v>90</v>
      </c>
      <c r="I92" s="9" t="s">
        <v>40</v>
      </c>
      <c r="J92" s="1"/>
      <c r="K92" s="1">
        <v>66</v>
      </c>
      <c r="L92" s="1">
        <f t="shared" si="15"/>
        <v>-7</v>
      </c>
      <c r="M92" s="1"/>
      <c r="N92" s="1"/>
      <c r="O92" s="1">
        <v>103.48</v>
      </c>
      <c r="P92" s="1"/>
      <c r="Q92" s="1">
        <v>0</v>
      </c>
      <c r="R92" s="1">
        <v>0</v>
      </c>
      <c r="S92" s="1">
        <f t="shared" si="16"/>
        <v>11.8</v>
      </c>
      <c r="T92" s="5">
        <f t="shared" si="23"/>
        <v>37.120000000000019</v>
      </c>
      <c r="U92" s="5">
        <f t="shared" si="18"/>
        <v>37.120000000000019</v>
      </c>
      <c r="V92" s="18"/>
      <c r="W92" s="18"/>
      <c r="X92" s="1">
        <f t="shared" si="19"/>
        <v>12.000000000000002</v>
      </c>
      <c r="Y92" s="1">
        <f t="shared" si="17"/>
        <v>8.8542372881355931</v>
      </c>
      <c r="Z92" s="1">
        <v>6.6</v>
      </c>
      <c r="AA92" s="1">
        <v>1.4</v>
      </c>
      <c r="AB92" s="1">
        <v>6.2</v>
      </c>
      <c r="AC92" s="1">
        <v>10.8</v>
      </c>
      <c r="AD92" s="1">
        <v>6</v>
      </c>
      <c r="AE92" s="1">
        <v>0</v>
      </c>
      <c r="AF92" s="1">
        <v>3.6</v>
      </c>
      <c r="AG92" s="1">
        <v>10</v>
      </c>
      <c r="AH92" s="1">
        <v>9.4</v>
      </c>
      <c r="AI92" s="1">
        <v>5.2</v>
      </c>
      <c r="AJ92" s="1"/>
      <c r="AK92" s="1">
        <f t="shared" si="20"/>
        <v>3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6" t="s">
        <v>137</v>
      </c>
      <c r="B93" s="1" t="s">
        <v>42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40</v>
      </c>
      <c r="J93" s="1"/>
      <c r="K93" s="1">
        <v>3</v>
      </c>
      <c r="L93" s="1">
        <f t="shared" si="15"/>
        <v>-3</v>
      </c>
      <c r="M93" s="1"/>
      <c r="N93" s="1"/>
      <c r="O93" s="1">
        <v>39</v>
      </c>
      <c r="P93" s="1"/>
      <c r="Q93" s="1">
        <v>80</v>
      </c>
      <c r="R93" s="1">
        <v>0</v>
      </c>
      <c r="S93" s="1">
        <f t="shared" si="16"/>
        <v>0</v>
      </c>
      <c r="T93" s="5"/>
      <c r="U93" s="5">
        <f t="shared" si="18"/>
        <v>0</v>
      </c>
      <c r="V93" s="18"/>
      <c r="W93" s="18"/>
      <c r="X93" s="1" t="e">
        <f t="shared" si="19"/>
        <v>#DIV/0!</v>
      </c>
      <c r="Y93" s="1" t="e">
        <f t="shared" si="17"/>
        <v>#DIV/0!</v>
      </c>
      <c r="Z93" s="1">
        <v>0</v>
      </c>
      <c r="AA93" s="1">
        <v>1.6</v>
      </c>
      <c r="AB93" s="1">
        <v>7.6</v>
      </c>
      <c r="AC93" s="1">
        <v>9.6</v>
      </c>
      <c r="AD93" s="1">
        <v>4.5999999999999996</v>
      </c>
      <c r="AE93" s="1">
        <v>4.5999999999999996</v>
      </c>
      <c r="AF93" s="1">
        <v>8.1999999999999993</v>
      </c>
      <c r="AG93" s="1">
        <v>9</v>
      </c>
      <c r="AH93" s="1">
        <v>8.6</v>
      </c>
      <c r="AI93" s="1">
        <v>4.2</v>
      </c>
      <c r="AJ93" s="1"/>
      <c r="AK93" s="1">
        <f t="shared" si="20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138</v>
      </c>
      <c r="B94" s="1" t="s">
        <v>42</v>
      </c>
      <c r="C94" s="1">
        <v>52</v>
      </c>
      <c r="D94" s="1">
        <v>21</v>
      </c>
      <c r="E94" s="1">
        <v>72</v>
      </c>
      <c r="F94" s="1">
        <v>-2</v>
      </c>
      <c r="G94" s="7">
        <v>7.0000000000000007E-2</v>
      </c>
      <c r="H94" s="1">
        <v>90</v>
      </c>
      <c r="I94" s="1" t="s">
        <v>37</v>
      </c>
      <c r="J94" s="1"/>
      <c r="K94" s="1">
        <v>76</v>
      </c>
      <c r="L94" s="1">
        <f t="shared" si="15"/>
        <v>-4</v>
      </c>
      <c r="M94" s="1"/>
      <c r="N94" s="1"/>
      <c r="O94" s="1">
        <v>106.08</v>
      </c>
      <c r="P94" s="1"/>
      <c r="Q94" s="1">
        <v>0</v>
      </c>
      <c r="R94" s="1">
        <v>52.52</v>
      </c>
      <c r="S94" s="1">
        <f t="shared" si="16"/>
        <v>14.4</v>
      </c>
      <c r="T94" s="5">
        <f t="shared" si="23"/>
        <v>16.200000000000003</v>
      </c>
      <c r="U94" s="5">
        <f t="shared" si="18"/>
        <v>16.200000000000003</v>
      </c>
      <c r="V94" s="18"/>
      <c r="W94" s="18"/>
      <c r="X94" s="1">
        <f t="shared" si="19"/>
        <v>12</v>
      </c>
      <c r="Y94" s="1">
        <f t="shared" si="17"/>
        <v>10.875</v>
      </c>
      <c r="Z94" s="1">
        <v>12</v>
      </c>
      <c r="AA94" s="1">
        <v>5.6</v>
      </c>
      <c r="AB94" s="1">
        <v>12.2</v>
      </c>
      <c r="AC94" s="1">
        <v>13.8</v>
      </c>
      <c r="AD94" s="1">
        <v>10</v>
      </c>
      <c r="AE94" s="1">
        <v>10.199999999999999</v>
      </c>
      <c r="AF94" s="1">
        <v>13.6</v>
      </c>
      <c r="AG94" s="1">
        <v>13.6</v>
      </c>
      <c r="AH94" s="1">
        <v>14.2</v>
      </c>
      <c r="AI94" s="1">
        <v>7</v>
      </c>
      <c r="AJ94" s="1"/>
      <c r="AK94" s="1">
        <f t="shared" si="20"/>
        <v>1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139</v>
      </c>
      <c r="B95" s="1" t="s">
        <v>42</v>
      </c>
      <c r="C95" s="1">
        <v>132</v>
      </c>
      <c r="D95" s="1">
        <v>7</v>
      </c>
      <c r="E95" s="1">
        <v>84</v>
      </c>
      <c r="F95" s="1">
        <v>29</v>
      </c>
      <c r="G95" s="7">
        <v>0.3</v>
      </c>
      <c r="H95" s="1"/>
      <c r="I95" s="1" t="s">
        <v>37</v>
      </c>
      <c r="J95" s="1"/>
      <c r="K95" s="1">
        <v>96</v>
      </c>
      <c r="L95" s="1">
        <f t="shared" si="15"/>
        <v>-12</v>
      </c>
      <c r="M95" s="1"/>
      <c r="N95" s="1"/>
      <c r="O95" s="1">
        <v>41.173999999999992</v>
      </c>
      <c r="P95" s="1"/>
      <c r="Q95" s="1">
        <v>0</v>
      </c>
      <c r="R95" s="1">
        <v>42.566000000000017</v>
      </c>
      <c r="S95" s="1">
        <f t="shared" si="16"/>
        <v>16.8</v>
      </c>
      <c r="T95" s="5">
        <f t="shared" si="23"/>
        <v>88.86</v>
      </c>
      <c r="U95" s="5">
        <f t="shared" si="18"/>
        <v>88.86</v>
      </c>
      <c r="V95" s="18"/>
      <c r="W95" s="18"/>
      <c r="X95" s="1">
        <f t="shared" si="19"/>
        <v>12</v>
      </c>
      <c r="Y95" s="1">
        <f t="shared" si="17"/>
        <v>6.7107142857142863</v>
      </c>
      <c r="Z95" s="1">
        <v>11.8</v>
      </c>
      <c r="AA95" s="1">
        <v>9</v>
      </c>
      <c r="AB95" s="1">
        <v>18.600000000000001</v>
      </c>
      <c r="AC95" s="1">
        <v>14.6</v>
      </c>
      <c r="AD95" s="1">
        <v>1.4</v>
      </c>
      <c r="AE95" s="1">
        <v>0</v>
      </c>
      <c r="AF95" s="1">
        <v>15.4</v>
      </c>
      <c r="AG95" s="1">
        <v>16.600000000000001</v>
      </c>
      <c r="AH95" s="1">
        <v>1.2</v>
      </c>
      <c r="AI95" s="1">
        <v>0</v>
      </c>
      <c r="AJ95" s="1"/>
      <c r="AK95" s="1">
        <f t="shared" si="20"/>
        <v>27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0" t="s">
        <v>140</v>
      </c>
      <c r="B96" s="10" t="s">
        <v>36</v>
      </c>
      <c r="C96" s="10"/>
      <c r="D96" s="10"/>
      <c r="E96" s="10"/>
      <c r="F96" s="10"/>
      <c r="G96" s="11">
        <v>0</v>
      </c>
      <c r="H96" s="10"/>
      <c r="I96" s="10" t="s">
        <v>177</v>
      </c>
      <c r="J96" s="10"/>
      <c r="K96" s="10"/>
      <c r="L96" s="10">
        <f t="shared" si="15"/>
        <v>0</v>
      </c>
      <c r="M96" s="10"/>
      <c r="N96" s="10"/>
      <c r="O96" s="10">
        <v>0</v>
      </c>
      <c r="P96" s="10"/>
      <c r="Q96" s="10">
        <v>0</v>
      </c>
      <c r="R96" s="10">
        <v>0</v>
      </c>
      <c r="S96" s="10">
        <f t="shared" si="16"/>
        <v>0</v>
      </c>
      <c r="T96" s="12"/>
      <c r="U96" s="5">
        <f t="shared" si="18"/>
        <v>0</v>
      </c>
      <c r="V96" s="18"/>
      <c r="W96" s="18"/>
      <c r="X96" s="1" t="e">
        <f t="shared" si="19"/>
        <v>#DIV/0!</v>
      </c>
      <c r="Y96" s="10" t="e">
        <f t="shared" si="17"/>
        <v>#DIV/0!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 t="s">
        <v>49</v>
      </c>
      <c r="AK96" s="1">
        <f t="shared" si="20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0" t="s">
        <v>141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5"/>
        <v>0</v>
      </c>
      <c r="M97" s="10"/>
      <c r="N97" s="10"/>
      <c r="O97" s="10">
        <v>0</v>
      </c>
      <c r="P97" s="10"/>
      <c r="Q97" s="10">
        <v>0</v>
      </c>
      <c r="R97" s="10">
        <v>0</v>
      </c>
      <c r="S97" s="10">
        <f t="shared" si="16"/>
        <v>0</v>
      </c>
      <c r="T97" s="12"/>
      <c r="U97" s="5">
        <f t="shared" si="18"/>
        <v>0</v>
      </c>
      <c r="V97" s="18"/>
      <c r="W97" s="18"/>
      <c r="X97" s="1" t="e">
        <f t="shared" si="19"/>
        <v>#DIV/0!</v>
      </c>
      <c r="Y97" s="10" t="e">
        <f t="shared" si="17"/>
        <v>#DIV/0!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 t="s">
        <v>49</v>
      </c>
      <c r="AK97" s="1">
        <f t="shared" si="20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0" t="s">
        <v>142</v>
      </c>
      <c r="B98" s="10" t="s">
        <v>42</v>
      </c>
      <c r="C98" s="10"/>
      <c r="D98" s="10"/>
      <c r="E98" s="10"/>
      <c r="F98" s="10"/>
      <c r="G98" s="11">
        <v>0</v>
      </c>
      <c r="H98" s="10"/>
      <c r="I98" s="10" t="s">
        <v>37</v>
      </c>
      <c r="J98" s="10"/>
      <c r="K98" s="10"/>
      <c r="L98" s="10">
        <f t="shared" si="15"/>
        <v>0</v>
      </c>
      <c r="M98" s="10"/>
      <c r="N98" s="10"/>
      <c r="O98" s="10">
        <v>0</v>
      </c>
      <c r="P98" s="10"/>
      <c r="Q98" s="10">
        <v>0</v>
      </c>
      <c r="R98" s="10">
        <v>0</v>
      </c>
      <c r="S98" s="10">
        <f t="shared" si="16"/>
        <v>0</v>
      </c>
      <c r="T98" s="12"/>
      <c r="U98" s="5">
        <f t="shared" si="18"/>
        <v>0</v>
      </c>
      <c r="V98" s="18"/>
      <c r="W98" s="18"/>
      <c r="X98" s="1" t="e">
        <f t="shared" si="19"/>
        <v>#DIV/0!</v>
      </c>
      <c r="Y98" s="10" t="e">
        <f t="shared" si="17"/>
        <v>#DIV/0!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 t="s">
        <v>143</v>
      </c>
      <c r="AK98" s="1">
        <f t="shared" si="20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144</v>
      </c>
      <c r="B99" s="1" t="s">
        <v>42</v>
      </c>
      <c r="C99" s="1">
        <v>228</v>
      </c>
      <c r="D99" s="1">
        <v>3</v>
      </c>
      <c r="E99" s="1">
        <v>100</v>
      </c>
      <c r="F99" s="1">
        <v>99</v>
      </c>
      <c r="G99" s="7">
        <v>0.08</v>
      </c>
      <c r="H99" s="1">
        <v>45</v>
      </c>
      <c r="I99" s="1" t="s">
        <v>37</v>
      </c>
      <c r="J99" s="1"/>
      <c r="K99" s="1">
        <v>112</v>
      </c>
      <c r="L99" s="1">
        <f t="shared" si="15"/>
        <v>-12</v>
      </c>
      <c r="M99" s="1"/>
      <c r="N99" s="1"/>
      <c r="O99" s="1">
        <v>0</v>
      </c>
      <c r="P99" s="1"/>
      <c r="Q99" s="1">
        <v>0</v>
      </c>
      <c r="R99" s="1">
        <v>58.220000000000013</v>
      </c>
      <c r="S99" s="1">
        <f t="shared" si="16"/>
        <v>20</v>
      </c>
      <c r="T99" s="5">
        <f t="shared" ref="T99:T100" si="24">12*S99-R99-Q99-P99-O99-F99</f>
        <v>82.779999999999973</v>
      </c>
      <c r="U99" s="5">
        <f t="shared" si="18"/>
        <v>82.779999999999973</v>
      </c>
      <c r="V99" s="18"/>
      <c r="W99" s="18"/>
      <c r="X99" s="1">
        <f t="shared" si="19"/>
        <v>12</v>
      </c>
      <c r="Y99" s="1">
        <f t="shared" si="17"/>
        <v>7.8610000000000015</v>
      </c>
      <c r="Z99" s="1">
        <v>15.4</v>
      </c>
      <c r="AA99" s="1">
        <v>10</v>
      </c>
      <c r="AB99" s="1">
        <v>16</v>
      </c>
      <c r="AC99" s="1">
        <v>14.8</v>
      </c>
      <c r="AD99" s="1">
        <v>10.4</v>
      </c>
      <c r="AE99" s="1">
        <v>12.6</v>
      </c>
      <c r="AF99" s="1">
        <v>23.2</v>
      </c>
      <c r="AG99" s="1">
        <v>25.6</v>
      </c>
      <c r="AH99" s="1">
        <v>25.2</v>
      </c>
      <c r="AI99" s="1">
        <v>14</v>
      </c>
      <c r="AJ99" s="1"/>
      <c r="AK99" s="1">
        <f t="shared" si="20"/>
        <v>7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145</v>
      </c>
      <c r="B100" s="1" t="s">
        <v>42</v>
      </c>
      <c r="C100" s="1">
        <v>143</v>
      </c>
      <c r="D100" s="1">
        <v>3</v>
      </c>
      <c r="E100" s="1">
        <v>122</v>
      </c>
      <c r="F100" s="1">
        <v>-12</v>
      </c>
      <c r="G100" s="7">
        <v>0.08</v>
      </c>
      <c r="H100" s="1">
        <v>45</v>
      </c>
      <c r="I100" s="1" t="s">
        <v>37</v>
      </c>
      <c r="J100" s="1"/>
      <c r="K100" s="1">
        <v>139</v>
      </c>
      <c r="L100" s="1">
        <f t="shared" si="15"/>
        <v>-17</v>
      </c>
      <c r="M100" s="1"/>
      <c r="N100" s="1"/>
      <c r="O100" s="1">
        <v>87.56200000000004</v>
      </c>
      <c r="P100" s="1"/>
      <c r="Q100" s="1">
        <v>0</v>
      </c>
      <c r="R100" s="1">
        <v>135.71799999999999</v>
      </c>
      <c r="S100" s="1">
        <f t="shared" si="16"/>
        <v>24.4</v>
      </c>
      <c r="T100" s="5">
        <f t="shared" si="24"/>
        <v>81.519999999999925</v>
      </c>
      <c r="U100" s="5">
        <f>V100</f>
        <v>200</v>
      </c>
      <c r="V100" s="18">
        <f>VLOOKUP(A100,[1]Sheet!$A:$V,21,0)</f>
        <v>200</v>
      </c>
      <c r="W100" s="18" t="str">
        <f>VLOOKUP(A100,[1]Sheet!$A:$V,22,0)</f>
        <v>Есть спрос</v>
      </c>
      <c r="X100" s="1">
        <f t="shared" si="19"/>
        <v>16.855737704918035</v>
      </c>
      <c r="Y100" s="1">
        <f t="shared" si="17"/>
        <v>8.6590163934426254</v>
      </c>
      <c r="Z100" s="1">
        <v>19.600000000000001</v>
      </c>
      <c r="AA100" s="1">
        <v>13.6</v>
      </c>
      <c r="AB100" s="1">
        <v>22.6</v>
      </c>
      <c r="AC100" s="1">
        <v>19.8</v>
      </c>
      <c r="AD100" s="1">
        <v>14.4</v>
      </c>
      <c r="AE100" s="1">
        <v>21.2</v>
      </c>
      <c r="AF100" s="1">
        <v>28</v>
      </c>
      <c r="AG100" s="1">
        <v>29.8</v>
      </c>
      <c r="AH100" s="1">
        <v>31</v>
      </c>
      <c r="AI100" s="1">
        <v>18.2</v>
      </c>
      <c r="AJ100" s="1" t="s">
        <v>79</v>
      </c>
      <c r="AK100" s="1">
        <f t="shared" si="20"/>
        <v>16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0" t="s">
        <v>146</v>
      </c>
      <c r="B101" s="10" t="s">
        <v>42</v>
      </c>
      <c r="C101" s="10"/>
      <c r="D101" s="10"/>
      <c r="E101" s="10"/>
      <c r="F101" s="10"/>
      <c r="G101" s="11">
        <v>0</v>
      </c>
      <c r="H101" s="10"/>
      <c r="I101" s="10" t="s">
        <v>40</v>
      </c>
      <c r="J101" s="10"/>
      <c r="K101" s="10"/>
      <c r="L101" s="10">
        <f t="shared" si="15"/>
        <v>0</v>
      </c>
      <c r="M101" s="10"/>
      <c r="N101" s="10"/>
      <c r="O101" s="10">
        <v>0</v>
      </c>
      <c r="P101" s="10"/>
      <c r="Q101" s="10">
        <v>0</v>
      </c>
      <c r="R101" s="10">
        <v>0</v>
      </c>
      <c r="S101" s="10">
        <f t="shared" si="16"/>
        <v>0</v>
      </c>
      <c r="T101" s="12"/>
      <c r="U101" s="5">
        <f t="shared" si="18"/>
        <v>0</v>
      </c>
      <c r="V101" s="18"/>
      <c r="W101" s="18"/>
      <c r="X101" s="1" t="e">
        <f t="shared" si="19"/>
        <v>#DIV/0!</v>
      </c>
      <c r="Y101" s="10" t="e">
        <f t="shared" si="17"/>
        <v>#DIV/0!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 t="s">
        <v>49</v>
      </c>
      <c r="AK101" s="1">
        <f t="shared" si="20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6" t="s">
        <v>147</v>
      </c>
      <c r="B102" s="1" t="s">
        <v>36</v>
      </c>
      <c r="C102" s="1">
        <v>-1.7000000000000001E-2</v>
      </c>
      <c r="D102" s="1">
        <v>177.21199999999999</v>
      </c>
      <c r="E102" s="1">
        <v>172.29499999999999</v>
      </c>
      <c r="F102" s="1">
        <v>-0.42099999999999999</v>
      </c>
      <c r="G102" s="7">
        <v>1</v>
      </c>
      <c r="H102" s="1">
        <v>40</v>
      </c>
      <c r="I102" s="9" t="s">
        <v>40</v>
      </c>
      <c r="J102" s="1"/>
      <c r="K102" s="1">
        <v>225.7</v>
      </c>
      <c r="L102" s="1">
        <f t="shared" ref="L102:L128" si="25">E102-K102</f>
        <v>-53.405000000000001</v>
      </c>
      <c r="M102" s="1"/>
      <c r="N102" s="1"/>
      <c r="O102" s="1">
        <v>130</v>
      </c>
      <c r="P102" s="1"/>
      <c r="Q102" s="1">
        <v>100</v>
      </c>
      <c r="R102" s="1">
        <v>0</v>
      </c>
      <c r="S102" s="1">
        <f t="shared" ref="S102:S128" si="26">E102/5</f>
        <v>34.458999999999996</v>
      </c>
      <c r="T102" s="5">
        <f t="shared" ref="T102" si="27">12*S102-R102-Q102-P102-O102-F102</f>
        <v>183.92899999999992</v>
      </c>
      <c r="U102" s="5">
        <f t="shared" ref="U102:U104" si="28">V102</f>
        <v>250</v>
      </c>
      <c r="V102" s="18">
        <f>VLOOKUP(A102,[1]Sheet!$A:$V,21,0)</f>
        <v>250</v>
      </c>
      <c r="W102" s="18" t="str">
        <f>VLOOKUP(A102,[1]Sheet!$A:$V,22,0)</f>
        <v>Промо</v>
      </c>
      <c r="X102" s="1">
        <f t="shared" si="19"/>
        <v>13.917380074871588</v>
      </c>
      <c r="Y102" s="1">
        <f t="shared" ref="Y102:Y128" si="29">(F102+O102+P102+Q102+R102)/S102</f>
        <v>6.6623813807713521</v>
      </c>
      <c r="Z102" s="1">
        <v>16.585999999999999</v>
      </c>
      <c r="AA102" s="1">
        <v>0</v>
      </c>
      <c r="AB102" s="1">
        <v>20.5106</v>
      </c>
      <c r="AC102" s="1">
        <v>20.366599999999998</v>
      </c>
      <c r="AD102" s="1">
        <v>-0.28820000000000001</v>
      </c>
      <c r="AE102" s="1">
        <v>0.71740000000000004</v>
      </c>
      <c r="AF102" s="1">
        <v>13.458399999999999</v>
      </c>
      <c r="AG102" s="1">
        <v>17.5322</v>
      </c>
      <c r="AH102" s="1">
        <v>21.331199999999999</v>
      </c>
      <c r="AI102" s="1">
        <v>16.2516</v>
      </c>
      <c r="AJ102" s="1"/>
      <c r="AK102" s="1">
        <f t="shared" si="20"/>
        <v>250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6" t="s">
        <v>148</v>
      </c>
      <c r="B103" s="1" t="s">
        <v>36</v>
      </c>
      <c r="C103" s="1">
        <v>2.1890000000000001</v>
      </c>
      <c r="D103" s="1"/>
      <c r="E103" s="1">
        <v>1.409</v>
      </c>
      <c r="F103" s="1">
        <v>-1.409</v>
      </c>
      <c r="G103" s="7">
        <v>1</v>
      </c>
      <c r="H103" s="1">
        <v>40</v>
      </c>
      <c r="I103" s="9" t="s">
        <v>40</v>
      </c>
      <c r="J103" s="1"/>
      <c r="K103" s="1">
        <v>6.3</v>
      </c>
      <c r="L103" s="1">
        <f t="shared" si="25"/>
        <v>-4.891</v>
      </c>
      <c r="M103" s="1"/>
      <c r="N103" s="1"/>
      <c r="O103" s="1">
        <v>0</v>
      </c>
      <c r="P103" s="1"/>
      <c r="Q103" s="1">
        <v>100</v>
      </c>
      <c r="R103" s="1">
        <v>102.2598</v>
      </c>
      <c r="S103" s="1">
        <f t="shared" si="26"/>
        <v>0.28179999999999999</v>
      </c>
      <c r="T103" s="5"/>
      <c r="U103" s="5">
        <f t="shared" si="28"/>
        <v>150</v>
      </c>
      <c r="V103" s="18">
        <f>VLOOKUP(A103,[1]Sheet!$A:$V,21,0)</f>
        <v>150</v>
      </c>
      <c r="W103" s="18" t="str">
        <f>VLOOKUP(A103,[1]Sheet!$A:$V,22,0)</f>
        <v>Промо</v>
      </c>
      <c r="X103" s="1">
        <f t="shared" si="19"/>
        <v>1245.0347764371895</v>
      </c>
      <c r="Y103" s="1">
        <f t="shared" si="29"/>
        <v>712.74237047551458</v>
      </c>
      <c r="Z103" s="1">
        <v>12.805999999999999</v>
      </c>
      <c r="AA103" s="1">
        <v>12.2332</v>
      </c>
      <c r="AB103" s="1">
        <v>15.862399999999999</v>
      </c>
      <c r="AC103" s="1">
        <v>15.4284</v>
      </c>
      <c r="AD103" s="1">
        <v>11.6716</v>
      </c>
      <c r="AE103" s="1">
        <v>31.165600000000001</v>
      </c>
      <c r="AF103" s="1">
        <v>32.430599999999998</v>
      </c>
      <c r="AG103" s="1">
        <v>18.595400000000001</v>
      </c>
      <c r="AH103" s="1">
        <v>14.566599999999999</v>
      </c>
      <c r="AI103" s="1">
        <v>10.164199999999999</v>
      </c>
      <c r="AJ103" s="1"/>
      <c r="AK103" s="1">
        <f t="shared" si="20"/>
        <v>150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6" t="s">
        <v>149</v>
      </c>
      <c r="B104" s="1" t="s">
        <v>36</v>
      </c>
      <c r="C104" s="1"/>
      <c r="D104" s="1">
        <v>93.61</v>
      </c>
      <c r="E104" s="1">
        <v>85.001000000000005</v>
      </c>
      <c r="F104" s="1"/>
      <c r="G104" s="7">
        <v>1</v>
      </c>
      <c r="H104" s="1">
        <v>40</v>
      </c>
      <c r="I104" s="9" t="s">
        <v>40</v>
      </c>
      <c r="J104" s="1"/>
      <c r="K104" s="1">
        <v>117</v>
      </c>
      <c r="L104" s="1">
        <f t="shared" si="25"/>
        <v>-31.998999999999995</v>
      </c>
      <c r="M104" s="1"/>
      <c r="N104" s="1"/>
      <c r="O104" s="1">
        <v>0</v>
      </c>
      <c r="P104" s="1"/>
      <c r="Q104" s="1">
        <v>50</v>
      </c>
      <c r="R104" s="1">
        <v>204.63381999999999</v>
      </c>
      <c r="S104" s="1">
        <f t="shared" si="26"/>
        <v>17.0002</v>
      </c>
      <c r="T104" s="5"/>
      <c r="U104" s="5">
        <f t="shared" si="28"/>
        <v>130</v>
      </c>
      <c r="V104" s="18">
        <f>VLOOKUP(A104,[1]Sheet!$A:$V,21,0)</f>
        <v>130</v>
      </c>
      <c r="W104" s="18" t="str">
        <f>VLOOKUP(A104,[1]Sheet!$A:$V,22,0)</f>
        <v>Промо</v>
      </c>
      <c r="X104" s="1">
        <f t="shared" si="19"/>
        <v>22.62525264408654</v>
      </c>
      <c r="Y104" s="1">
        <f t="shared" si="29"/>
        <v>14.978283784896648</v>
      </c>
      <c r="Z104" s="1">
        <v>17.857399999999998</v>
      </c>
      <c r="AA104" s="1">
        <v>0</v>
      </c>
      <c r="AB104" s="1">
        <v>0</v>
      </c>
      <c r="AC104" s="1">
        <v>-0.14299999999999999</v>
      </c>
      <c r="AD104" s="1">
        <v>-0.28339999999999999</v>
      </c>
      <c r="AE104" s="1">
        <v>-0.42299999999999999</v>
      </c>
      <c r="AF104" s="1">
        <v>-0.71120000000000005</v>
      </c>
      <c r="AG104" s="1">
        <v>-0.85540000000000005</v>
      </c>
      <c r="AH104" s="1">
        <v>-0.56600000000000006</v>
      </c>
      <c r="AI104" s="1">
        <v>-0.42</v>
      </c>
      <c r="AJ104" s="1"/>
      <c r="AK104" s="1">
        <f t="shared" si="20"/>
        <v>130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0" t="s">
        <v>150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5"/>
        <v>0</v>
      </c>
      <c r="M105" s="10"/>
      <c r="N105" s="10"/>
      <c r="O105" s="10">
        <v>0</v>
      </c>
      <c r="P105" s="10"/>
      <c r="Q105" s="10">
        <v>0</v>
      </c>
      <c r="R105" s="10">
        <v>0</v>
      </c>
      <c r="S105" s="10">
        <f t="shared" si="26"/>
        <v>0</v>
      </c>
      <c r="T105" s="12"/>
      <c r="U105" s="5">
        <f t="shared" si="18"/>
        <v>0</v>
      </c>
      <c r="V105" s="18"/>
      <c r="W105" s="18"/>
      <c r="X105" s="1" t="e">
        <f t="shared" si="19"/>
        <v>#DIV/0!</v>
      </c>
      <c r="Y105" s="10" t="e">
        <f t="shared" si="29"/>
        <v>#DIV/0!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 t="s">
        <v>143</v>
      </c>
      <c r="AK105" s="1">
        <f t="shared" si="20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0" t="s">
        <v>151</v>
      </c>
      <c r="B106" s="10" t="s">
        <v>42</v>
      </c>
      <c r="C106" s="10"/>
      <c r="D106" s="10"/>
      <c r="E106" s="10"/>
      <c r="F106" s="10"/>
      <c r="G106" s="11">
        <v>0</v>
      </c>
      <c r="H106" s="10"/>
      <c r="I106" s="10" t="s">
        <v>40</v>
      </c>
      <c r="J106" s="10"/>
      <c r="K106" s="10"/>
      <c r="L106" s="10">
        <f t="shared" si="25"/>
        <v>0</v>
      </c>
      <c r="M106" s="10"/>
      <c r="N106" s="10"/>
      <c r="O106" s="10">
        <v>0</v>
      </c>
      <c r="P106" s="10"/>
      <c r="Q106" s="10">
        <v>0</v>
      </c>
      <c r="R106" s="10">
        <v>0</v>
      </c>
      <c r="S106" s="10">
        <f t="shared" si="26"/>
        <v>0</v>
      </c>
      <c r="T106" s="12"/>
      <c r="U106" s="5">
        <f t="shared" si="18"/>
        <v>0</v>
      </c>
      <c r="V106" s="18"/>
      <c r="W106" s="18"/>
      <c r="X106" s="1" t="e">
        <f t="shared" si="19"/>
        <v>#DIV/0!</v>
      </c>
      <c r="Y106" s="10" t="e">
        <f t="shared" si="29"/>
        <v>#DIV/0!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 t="s">
        <v>49</v>
      </c>
      <c r="AK106" s="1">
        <f t="shared" si="20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6" t="s">
        <v>152</v>
      </c>
      <c r="B107" s="1" t="s">
        <v>42</v>
      </c>
      <c r="C107" s="1">
        <v>1</v>
      </c>
      <c r="D107" s="1">
        <v>174</v>
      </c>
      <c r="E107" s="1">
        <v>172</v>
      </c>
      <c r="F107" s="1">
        <v>2</v>
      </c>
      <c r="G107" s="7">
        <v>0.28000000000000003</v>
      </c>
      <c r="H107" s="1">
        <v>40</v>
      </c>
      <c r="I107" s="9" t="s">
        <v>40</v>
      </c>
      <c r="J107" s="1"/>
      <c r="K107" s="1">
        <v>207</v>
      </c>
      <c r="L107" s="1">
        <f t="shared" si="25"/>
        <v>-35</v>
      </c>
      <c r="M107" s="1"/>
      <c r="N107" s="1"/>
      <c r="O107" s="1">
        <v>195</v>
      </c>
      <c r="P107" s="1"/>
      <c r="Q107" s="1">
        <v>150</v>
      </c>
      <c r="R107" s="1">
        <v>0</v>
      </c>
      <c r="S107" s="1">
        <f t="shared" si="26"/>
        <v>34.4</v>
      </c>
      <c r="T107" s="5">
        <f t="shared" ref="T107" si="30">12*S107-R107-Q107-P107-O107-F107</f>
        <v>65.799999999999955</v>
      </c>
      <c r="U107" s="5">
        <f t="shared" ref="U107:U109" si="31">V107</f>
        <v>200</v>
      </c>
      <c r="V107" s="18">
        <f>VLOOKUP(A107,[1]Sheet!$A:$V,21,0)</f>
        <v>200</v>
      </c>
      <c r="W107" s="18" t="str">
        <f>VLOOKUP(A107,[1]Sheet!$A:$V,22,0)</f>
        <v>Промо</v>
      </c>
      <c r="X107" s="1">
        <f t="shared" si="19"/>
        <v>15.901162790697676</v>
      </c>
      <c r="Y107" s="1">
        <f t="shared" si="29"/>
        <v>10.087209302325581</v>
      </c>
      <c r="Z107" s="1">
        <v>17.399999999999999</v>
      </c>
      <c r="AA107" s="1">
        <v>-1</v>
      </c>
      <c r="AB107" s="1">
        <v>-0.6</v>
      </c>
      <c r="AC107" s="1">
        <v>28.2</v>
      </c>
      <c r="AD107" s="1">
        <v>28.6</v>
      </c>
      <c r="AE107" s="1">
        <v>0</v>
      </c>
      <c r="AF107" s="1">
        <v>7.6</v>
      </c>
      <c r="AG107" s="1">
        <v>22.8</v>
      </c>
      <c r="AH107" s="1">
        <v>33.799999999999997</v>
      </c>
      <c r="AI107" s="1">
        <v>17.8</v>
      </c>
      <c r="AJ107" s="1"/>
      <c r="AK107" s="1">
        <f t="shared" si="20"/>
        <v>56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6" t="s">
        <v>153</v>
      </c>
      <c r="B108" s="1" t="s">
        <v>42</v>
      </c>
      <c r="C108" s="1">
        <v>12</v>
      </c>
      <c r="D108" s="1"/>
      <c r="E108" s="1">
        <v>5</v>
      </c>
      <c r="F108" s="1">
        <v>3</v>
      </c>
      <c r="G108" s="7">
        <v>0.28000000000000003</v>
      </c>
      <c r="H108" s="1">
        <v>40</v>
      </c>
      <c r="I108" s="9" t="s">
        <v>40</v>
      </c>
      <c r="J108" s="1"/>
      <c r="K108" s="1">
        <v>50</v>
      </c>
      <c r="L108" s="1">
        <f t="shared" si="25"/>
        <v>-45</v>
      </c>
      <c r="M108" s="1"/>
      <c r="N108" s="1"/>
      <c r="O108" s="1">
        <v>130</v>
      </c>
      <c r="P108" s="1"/>
      <c r="Q108" s="1">
        <v>300</v>
      </c>
      <c r="R108" s="1">
        <v>110.88</v>
      </c>
      <c r="S108" s="1">
        <f t="shared" si="26"/>
        <v>1</v>
      </c>
      <c r="T108" s="5"/>
      <c r="U108" s="5">
        <f t="shared" si="31"/>
        <v>100</v>
      </c>
      <c r="V108" s="18">
        <f>VLOOKUP(A108,[1]Sheet!$A:$V,21,0)</f>
        <v>100</v>
      </c>
      <c r="W108" s="18" t="str">
        <f>VLOOKUP(A108,[1]Sheet!$A:$V,22,0)</f>
        <v>Промо</v>
      </c>
      <c r="X108" s="1">
        <f t="shared" si="19"/>
        <v>643.88</v>
      </c>
      <c r="Y108" s="1">
        <f t="shared" si="29"/>
        <v>543.88</v>
      </c>
      <c r="Z108" s="1">
        <v>33.6</v>
      </c>
      <c r="AA108" s="1">
        <v>47.8</v>
      </c>
      <c r="AB108" s="1">
        <v>45.6</v>
      </c>
      <c r="AC108" s="1">
        <v>29.2</v>
      </c>
      <c r="AD108" s="1">
        <v>-1</v>
      </c>
      <c r="AE108" s="1">
        <v>-0.6</v>
      </c>
      <c r="AF108" s="1">
        <v>12.2</v>
      </c>
      <c r="AG108" s="1">
        <v>19.2</v>
      </c>
      <c r="AH108" s="1">
        <v>21.2</v>
      </c>
      <c r="AI108" s="1">
        <v>13.8</v>
      </c>
      <c r="AJ108" s="1"/>
      <c r="AK108" s="1">
        <f t="shared" si="20"/>
        <v>28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6" t="s">
        <v>154</v>
      </c>
      <c r="B109" s="1" t="s">
        <v>42</v>
      </c>
      <c r="C109" s="1">
        <v>3</v>
      </c>
      <c r="D109" s="1"/>
      <c r="E109" s="1">
        <v>-1</v>
      </c>
      <c r="F109" s="1">
        <v>3</v>
      </c>
      <c r="G109" s="7">
        <v>0.28000000000000003</v>
      </c>
      <c r="H109" s="1">
        <v>40</v>
      </c>
      <c r="I109" s="9" t="s">
        <v>40</v>
      </c>
      <c r="J109" s="1"/>
      <c r="K109" s="1">
        <v>30</v>
      </c>
      <c r="L109" s="1">
        <f t="shared" si="25"/>
        <v>-31</v>
      </c>
      <c r="M109" s="1"/>
      <c r="N109" s="1"/>
      <c r="O109" s="1">
        <v>260</v>
      </c>
      <c r="P109" s="1"/>
      <c r="Q109" s="1">
        <v>180</v>
      </c>
      <c r="R109" s="1">
        <v>0</v>
      </c>
      <c r="S109" s="1">
        <f t="shared" si="26"/>
        <v>-0.2</v>
      </c>
      <c r="T109" s="5"/>
      <c r="U109" s="5">
        <f t="shared" si="31"/>
        <v>100</v>
      </c>
      <c r="V109" s="18">
        <f>VLOOKUP(A109,[1]Sheet!$A:$V,21,0)</f>
        <v>100</v>
      </c>
      <c r="W109" s="18" t="str">
        <f>VLOOKUP(A109,[1]Sheet!$A:$V,22,0)</f>
        <v>Промо</v>
      </c>
      <c r="X109" s="1">
        <f t="shared" si="19"/>
        <v>-2715</v>
      </c>
      <c r="Y109" s="1">
        <f t="shared" si="29"/>
        <v>-2215</v>
      </c>
      <c r="Z109" s="1">
        <v>-0.2</v>
      </c>
      <c r="AA109" s="1">
        <v>-0.2</v>
      </c>
      <c r="AB109" s="1">
        <v>19.600000000000001</v>
      </c>
      <c r="AC109" s="1">
        <v>49.2</v>
      </c>
      <c r="AD109" s="1">
        <v>29.4</v>
      </c>
      <c r="AE109" s="1">
        <v>0.4</v>
      </c>
      <c r="AF109" s="1">
        <v>10.6</v>
      </c>
      <c r="AG109" s="1">
        <v>15.2</v>
      </c>
      <c r="AH109" s="1">
        <v>19</v>
      </c>
      <c r="AI109" s="1">
        <v>13.2</v>
      </c>
      <c r="AJ109" s="1"/>
      <c r="AK109" s="1">
        <f t="shared" si="20"/>
        <v>28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0" t="s">
        <v>155</v>
      </c>
      <c r="B110" s="10" t="s">
        <v>42</v>
      </c>
      <c r="C110" s="10"/>
      <c r="D110" s="10"/>
      <c r="E110" s="10"/>
      <c r="F110" s="10"/>
      <c r="G110" s="11">
        <v>0</v>
      </c>
      <c r="H110" s="10"/>
      <c r="I110" s="10" t="s">
        <v>37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/>
      <c r="Q110" s="10">
        <v>0</v>
      </c>
      <c r="R110" s="10">
        <v>0</v>
      </c>
      <c r="S110" s="10">
        <f t="shared" si="26"/>
        <v>0</v>
      </c>
      <c r="T110" s="12"/>
      <c r="U110" s="5">
        <f t="shared" si="18"/>
        <v>0</v>
      </c>
      <c r="V110" s="18"/>
      <c r="W110" s="18"/>
      <c r="X110" s="1" t="e">
        <f t="shared" si="19"/>
        <v>#DIV/0!</v>
      </c>
      <c r="Y110" s="10" t="e">
        <f t="shared" si="29"/>
        <v>#DIV/0!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 t="s">
        <v>49</v>
      </c>
      <c r="AK110" s="1">
        <f t="shared" si="20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156</v>
      </c>
      <c r="B111" s="1" t="s">
        <v>36</v>
      </c>
      <c r="C111" s="1">
        <v>96.872</v>
      </c>
      <c r="D111" s="1">
        <v>59.918999999999997</v>
      </c>
      <c r="E111" s="1">
        <v>32.276000000000003</v>
      </c>
      <c r="F111" s="1">
        <v>122.08499999999999</v>
      </c>
      <c r="G111" s="7">
        <v>1</v>
      </c>
      <c r="H111" s="1">
        <v>60</v>
      </c>
      <c r="I111" s="1" t="s">
        <v>37</v>
      </c>
      <c r="J111" s="1"/>
      <c r="K111" s="1">
        <v>32.5</v>
      </c>
      <c r="L111" s="1">
        <f t="shared" si="25"/>
        <v>-0.22399999999999665</v>
      </c>
      <c r="M111" s="1"/>
      <c r="N111" s="1"/>
      <c r="O111" s="1">
        <v>0</v>
      </c>
      <c r="P111" s="1"/>
      <c r="Q111" s="1">
        <v>0</v>
      </c>
      <c r="R111" s="1">
        <v>0</v>
      </c>
      <c r="S111" s="1">
        <f t="shared" si="26"/>
        <v>6.4552000000000005</v>
      </c>
      <c r="T111" s="5"/>
      <c r="U111" s="5">
        <f t="shared" si="18"/>
        <v>0</v>
      </c>
      <c r="V111" s="18"/>
      <c r="W111" s="18"/>
      <c r="X111" s="1">
        <f t="shared" si="19"/>
        <v>18.912659561283924</v>
      </c>
      <c r="Y111" s="1">
        <f t="shared" si="29"/>
        <v>18.912659561283924</v>
      </c>
      <c r="Z111" s="1">
        <v>4.9847999999999999</v>
      </c>
      <c r="AA111" s="1">
        <v>1.3324</v>
      </c>
      <c r="AB111" s="1">
        <v>0.84160000000000001</v>
      </c>
      <c r="AC111" s="1">
        <v>5.0156000000000001</v>
      </c>
      <c r="AD111" s="1">
        <v>13.5182</v>
      </c>
      <c r="AE111" s="1">
        <v>13.540800000000001</v>
      </c>
      <c r="AF111" s="1">
        <v>6.0069999999999997</v>
      </c>
      <c r="AG111" s="1">
        <v>6.8293999999999997</v>
      </c>
      <c r="AH111" s="1">
        <v>5.8517999999999999</v>
      </c>
      <c r="AI111" s="1">
        <v>3.0104000000000002</v>
      </c>
      <c r="AJ111" s="14" t="s">
        <v>47</v>
      </c>
      <c r="AK111" s="1">
        <f t="shared" si="20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157</v>
      </c>
      <c r="B112" s="1" t="s">
        <v>36</v>
      </c>
      <c r="C112" s="1">
        <v>76.498000000000005</v>
      </c>
      <c r="D112" s="1">
        <v>29.91</v>
      </c>
      <c r="E112" s="1">
        <v>45.561999999999998</v>
      </c>
      <c r="F112" s="1">
        <v>58.311999999999998</v>
      </c>
      <c r="G112" s="7">
        <v>1</v>
      </c>
      <c r="H112" s="1">
        <v>50</v>
      </c>
      <c r="I112" s="1" t="s">
        <v>37</v>
      </c>
      <c r="J112" s="1"/>
      <c r="K112" s="1">
        <v>42.5</v>
      </c>
      <c r="L112" s="1">
        <f t="shared" si="25"/>
        <v>3.0619999999999976</v>
      </c>
      <c r="M112" s="1"/>
      <c r="N112" s="1"/>
      <c r="O112" s="1">
        <v>0</v>
      </c>
      <c r="P112" s="1"/>
      <c r="Q112" s="1">
        <v>0</v>
      </c>
      <c r="R112" s="1">
        <v>0</v>
      </c>
      <c r="S112" s="1">
        <f t="shared" si="26"/>
        <v>9.1123999999999992</v>
      </c>
      <c r="T112" s="5">
        <f t="shared" ref="T112:T113" si="32">12*S112-R112-Q112-P112-O112-F112</f>
        <v>51.036799999999985</v>
      </c>
      <c r="U112" s="5">
        <f t="shared" si="18"/>
        <v>51.036799999999985</v>
      </c>
      <c r="V112" s="18"/>
      <c r="W112" s="18"/>
      <c r="X112" s="1">
        <f t="shared" si="19"/>
        <v>12</v>
      </c>
      <c r="Y112" s="1">
        <f t="shared" si="29"/>
        <v>6.3991923093806244</v>
      </c>
      <c r="Z112" s="1">
        <v>6.056</v>
      </c>
      <c r="AA112" s="1">
        <v>3.4940000000000002</v>
      </c>
      <c r="AB112" s="1">
        <v>4.9979999999999993</v>
      </c>
      <c r="AC112" s="1">
        <v>5.8792</v>
      </c>
      <c r="AD112" s="1">
        <v>11.348599999999999</v>
      </c>
      <c r="AE112" s="1">
        <v>10.4556</v>
      </c>
      <c r="AF112" s="1">
        <v>3.9902000000000002</v>
      </c>
      <c r="AG112" s="1">
        <v>5.9682000000000004</v>
      </c>
      <c r="AH112" s="1">
        <v>6.4512</v>
      </c>
      <c r="AI112" s="1">
        <v>3.9742000000000002</v>
      </c>
      <c r="AJ112" s="1"/>
      <c r="AK112" s="1">
        <f t="shared" si="20"/>
        <v>51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6" t="s">
        <v>158</v>
      </c>
      <c r="B113" s="1" t="s">
        <v>42</v>
      </c>
      <c r="C113" s="1">
        <v>73</v>
      </c>
      <c r="D113" s="1"/>
      <c r="E113" s="1">
        <v>58</v>
      </c>
      <c r="F113" s="1">
        <v>15</v>
      </c>
      <c r="G113" s="7">
        <v>0.09</v>
      </c>
      <c r="H113" s="1"/>
      <c r="I113" s="9" t="s">
        <v>40</v>
      </c>
      <c r="J113" s="1"/>
      <c r="K113" s="1">
        <v>55</v>
      </c>
      <c r="L113" s="1">
        <f t="shared" si="25"/>
        <v>3</v>
      </c>
      <c r="M113" s="1"/>
      <c r="N113" s="1"/>
      <c r="O113" s="1">
        <v>0</v>
      </c>
      <c r="P113" s="1"/>
      <c r="Q113" s="1">
        <v>31.399999999999991</v>
      </c>
      <c r="R113" s="1">
        <v>33.40000000000002</v>
      </c>
      <c r="S113" s="1">
        <f t="shared" si="26"/>
        <v>11.6</v>
      </c>
      <c r="T113" s="5">
        <f t="shared" si="32"/>
        <v>59.399999999999977</v>
      </c>
      <c r="U113" s="5">
        <f t="shared" si="18"/>
        <v>59.399999999999977</v>
      </c>
      <c r="V113" s="18"/>
      <c r="W113" s="18"/>
      <c r="X113" s="1">
        <f t="shared" si="19"/>
        <v>12</v>
      </c>
      <c r="Y113" s="1">
        <f t="shared" si="29"/>
        <v>6.8793103448275872</v>
      </c>
      <c r="Z113" s="1">
        <v>9.8000000000000007</v>
      </c>
      <c r="AA113" s="1">
        <v>6.6</v>
      </c>
      <c r="AB113" s="1">
        <v>5</v>
      </c>
      <c r="AC113" s="1">
        <v>2.8</v>
      </c>
      <c r="AD113" s="1">
        <v>0.4</v>
      </c>
      <c r="AE113" s="1">
        <v>2.8</v>
      </c>
      <c r="AF113" s="1">
        <v>10.6</v>
      </c>
      <c r="AG113" s="1">
        <v>10.199999999999999</v>
      </c>
      <c r="AH113" s="1">
        <v>1</v>
      </c>
      <c r="AI113" s="1">
        <v>0</v>
      </c>
      <c r="AJ113" s="1" t="s">
        <v>135</v>
      </c>
      <c r="AK113" s="1">
        <f t="shared" si="20"/>
        <v>5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0" t="s">
        <v>159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25"/>
        <v>0</v>
      </c>
      <c r="M114" s="10"/>
      <c r="N114" s="10"/>
      <c r="O114" s="10">
        <v>0</v>
      </c>
      <c r="P114" s="10"/>
      <c r="Q114" s="10">
        <v>0</v>
      </c>
      <c r="R114" s="10">
        <v>0</v>
      </c>
      <c r="S114" s="10">
        <f t="shared" si="26"/>
        <v>0</v>
      </c>
      <c r="T114" s="12"/>
      <c r="U114" s="5">
        <f t="shared" si="18"/>
        <v>0</v>
      </c>
      <c r="V114" s="18"/>
      <c r="W114" s="18"/>
      <c r="X114" s="1" t="e">
        <f t="shared" si="19"/>
        <v>#DIV/0!</v>
      </c>
      <c r="Y114" s="10" t="e">
        <f t="shared" si="29"/>
        <v>#DIV/0!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 t="s">
        <v>49</v>
      </c>
      <c r="AK114" s="1">
        <f t="shared" si="20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6" t="s">
        <v>160</v>
      </c>
      <c r="B115" s="1" t="s">
        <v>36</v>
      </c>
      <c r="C115" s="1">
        <v>122.547</v>
      </c>
      <c r="D115" s="1">
        <v>190.55099999999999</v>
      </c>
      <c r="E115" s="1">
        <v>143.43</v>
      </c>
      <c r="F115" s="1">
        <v>131.32</v>
      </c>
      <c r="G115" s="7">
        <v>1</v>
      </c>
      <c r="H115" s="1">
        <v>60</v>
      </c>
      <c r="I115" s="9" t="s">
        <v>40</v>
      </c>
      <c r="J115" s="1"/>
      <c r="K115" s="1">
        <v>150.1</v>
      </c>
      <c r="L115" s="1">
        <f t="shared" si="25"/>
        <v>-6.6699999999999875</v>
      </c>
      <c r="M115" s="1"/>
      <c r="N115" s="1"/>
      <c r="O115" s="1">
        <v>0</v>
      </c>
      <c r="P115" s="1"/>
      <c r="Q115" s="1">
        <v>45.275199999999998</v>
      </c>
      <c r="R115" s="1">
        <v>74.620919999999998</v>
      </c>
      <c r="S115" s="1">
        <f t="shared" si="26"/>
        <v>28.686</v>
      </c>
      <c r="T115" s="5">
        <f t="shared" ref="T115:T126" si="33">12*S115-R115-Q115-P115-O115-F115</f>
        <v>93.015879999999981</v>
      </c>
      <c r="U115" s="5">
        <f t="shared" si="18"/>
        <v>93.015879999999981</v>
      </c>
      <c r="V115" s="18"/>
      <c r="W115" s="18"/>
      <c r="X115" s="1">
        <f t="shared" si="19"/>
        <v>11.999999999999998</v>
      </c>
      <c r="Y115" s="1">
        <f t="shared" si="29"/>
        <v>8.7574468381789021</v>
      </c>
      <c r="Z115" s="1">
        <v>22.612400000000001</v>
      </c>
      <c r="AA115" s="1">
        <v>22.637599999999999</v>
      </c>
      <c r="AB115" s="1">
        <v>27.105399999999999</v>
      </c>
      <c r="AC115" s="1">
        <v>27.293199999999999</v>
      </c>
      <c r="AD115" s="1">
        <v>31.0916</v>
      </c>
      <c r="AE115" s="1">
        <v>23.963999999999999</v>
      </c>
      <c r="AF115" s="1">
        <v>24.394400000000001</v>
      </c>
      <c r="AG115" s="1">
        <v>36.898000000000003</v>
      </c>
      <c r="AH115" s="1">
        <v>36.700200000000002</v>
      </c>
      <c r="AI115" s="1">
        <v>21.813800000000001</v>
      </c>
      <c r="AJ115" s="1" t="s">
        <v>79</v>
      </c>
      <c r="AK115" s="1">
        <f t="shared" si="20"/>
        <v>93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161</v>
      </c>
      <c r="B116" s="1" t="s">
        <v>36</v>
      </c>
      <c r="C116" s="1">
        <v>317.553</v>
      </c>
      <c r="D116" s="1">
        <v>2.726</v>
      </c>
      <c r="E116" s="1">
        <v>173.87</v>
      </c>
      <c r="F116" s="1">
        <v>79.281000000000006</v>
      </c>
      <c r="G116" s="7">
        <v>1</v>
      </c>
      <c r="H116" s="1">
        <v>60</v>
      </c>
      <c r="I116" s="1" t="s">
        <v>37</v>
      </c>
      <c r="J116" s="1"/>
      <c r="K116" s="1">
        <v>170.7</v>
      </c>
      <c r="L116" s="1">
        <f t="shared" si="25"/>
        <v>3.1700000000000159</v>
      </c>
      <c r="M116" s="1"/>
      <c r="N116" s="1"/>
      <c r="O116" s="1">
        <v>0</v>
      </c>
      <c r="P116" s="1"/>
      <c r="Q116" s="1">
        <v>53.51380000000001</v>
      </c>
      <c r="R116" s="1">
        <v>83.254379999999998</v>
      </c>
      <c r="S116" s="1">
        <f t="shared" si="26"/>
        <v>34.774000000000001</v>
      </c>
      <c r="T116" s="5">
        <f t="shared" si="33"/>
        <v>201.23882000000003</v>
      </c>
      <c r="U116" s="5">
        <f t="shared" si="18"/>
        <v>201.23882000000003</v>
      </c>
      <c r="V116" s="18"/>
      <c r="W116" s="18"/>
      <c r="X116" s="1">
        <f t="shared" si="19"/>
        <v>12</v>
      </c>
      <c r="Y116" s="1">
        <f t="shared" si="29"/>
        <v>6.2129516305285559</v>
      </c>
      <c r="Z116" s="1">
        <v>25.2286</v>
      </c>
      <c r="AA116" s="1">
        <v>23.5992</v>
      </c>
      <c r="AB116" s="1">
        <v>31.338799999999999</v>
      </c>
      <c r="AC116" s="1">
        <v>29.66</v>
      </c>
      <c r="AD116" s="1">
        <v>32.9238</v>
      </c>
      <c r="AE116" s="1">
        <v>39.220199999999998</v>
      </c>
      <c r="AF116" s="1">
        <v>45.087000000000003</v>
      </c>
      <c r="AG116" s="1">
        <v>46.735399999999998</v>
      </c>
      <c r="AH116" s="1">
        <v>35.391800000000003</v>
      </c>
      <c r="AI116" s="1">
        <v>16.724399999999999</v>
      </c>
      <c r="AJ116" s="1" t="s">
        <v>79</v>
      </c>
      <c r="AK116" s="1">
        <f t="shared" si="20"/>
        <v>201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6" t="s">
        <v>162</v>
      </c>
      <c r="B117" s="1" t="s">
        <v>36</v>
      </c>
      <c r="C117" s="1">
        <v>102.929</v>
      </c>
      <c r="D117" s="1"/>
      <c r="E117" s="1">
        <v>46.706000000000003</v>
      </c>
      <c r="F117" s="1">
        <v>50.720999999999997</v>
      </c>
      <c r="G117" s="7">
        <v>1</v>
      </c>
      <c r="H117" s="1">
        <v>60</v>
      </c>
      <c r="I117" s="9" t="s">
        <v>40</v>
      </c>
      <c r="J117" s="1"/>
      <c r="K117" s="1">
        <v>43.6</v>
      </c>
      <c r="L117" s="1">
        <f t="shared" si="25"/>
        <v>3.1060000000000016</v>
      </c>
      <c r="M117" s="1"/>
      <c r="N117" s="1"/>
      <c r="O117" s="1">
        <v>43.960665999999982</v>
      </c>
      <c r="P117" s="1"/>
      <c r="Q117" s="1">
        <v>0</v>
      </c>
      <c r="R117" s="1">
        <v>0</v>
      </c>
      <c r="S117" s="1">
        <f t="shared" si="26"/>
        <v>9.3412000000000006</v>
      </c>
      <c r="T117" s="5">
        <f t="shared" si="33"/>
        <v>17.412734000000036</v>
      </c>
      <c r="U117" s="5">
        <f t="shared" si="18"/>
        <v>17.412734000000036</v>
      </c>
      <c r="V117" s="18"/>
      <c r="W117" s="18"/>
      <c r="X117" s="1">
        <f t="shared" si="19"/>
        <v>12</v>
      </c>
      <c r="Y117" s="1">
        <f t="shared" si="29"/>
        <v>10.135921080803319</v>
      </c>
      <c r="Z117" s="1">
        <v>6.0305999999999997</v>
      </c>
      <c r="AA117" s="1">
        <v>2.9855999999999998</v>
      </c>
      <c r="AB117" s="1">
        <v>10.257199999999999</v>
      </c>
      <c r="AC117" s="1">
        <v>11.1214</v>
      </c>
      <c r="AD117" s="1">
        <v>6.5174000000000003</v>
      </c>
      <c r="AE117" s="1">
        <v>7.8681999999999999</v>
      </c>
      <c r="AF117" s="1">
        <v>14.795</v>
      </c>
      <c r="AG117" s="1">
        <v>14.6974</v>
      </c>
      <c r="AH117" s="1">
        <v>11.095000000000001</v>
      </c>
      <c r="AI117" s="1">
        <v>8.4111999999999991</v>
      </c>
      <c r="AJ117" s="1"/>
      <c r="AK117" s="1">
        <f t="shared" si="20"/>
        <v>17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163</v>
      </c>
      <c r="B118" s="1" t="s">
        <v>36</v>
      </c>
      <c r="C118" s="1">
        <v>257.24700000000001</v>
      </c>
      <c r="D118" s="1">
        <v>935.08699999999999</v>
      </c>
      <c r="E118" s="1">
        <v>1033.7940000000001</v>
      </c>
      <c r="F118" s="1">
        <v>4.7510000000000003</v>
      </c>
      <c r="G118" s="7">
        <v>1</v>
      </c>
      <c r="H118" s="1">
        <v>60</v>
      </c>
      <c r="I118" s="1" t="s">
        <v>37</v>
      </c>
      <c r="J118" s="1"/>
      <c r="K118" s="1">
        <v>1162</v>
      </c>
      <c r="L118" s="1">
        <f t="shared" si="25"/>
        <v>-128.2059999999999</v>
      </c>
      <c r="M118" s="1"/>
      <c r="N118" s="1"/>
      <c r="O118" s="1">
        <v>2024.9748576</v>
      </c>
      <c r="P118" s="1"/>
      <c r="Q118" s="1">
        <v>0</v>
      </c>
      <c r="R118" s="1">
        <v>0</v>
      </c>
      <c r="S118" s="1">
        <f t="shared" si="26"/>
        <v>206.75880000000001</v>
      </c>
      <c r="T118" s="5">
        <f t="shared" si="33"/>
        <v>451.37974239999994</v>
      </c>
      <c r="U118" s="5">
        <f t="shared" si="18"/>
        <v>451.37974239999994</v>
      </c>
      <c r="V118" s="18"/>
      <c r="W118" s="18"/>
      <c r="X118" s="1">
        <f t="shared" si="19"/>
        <v>11.999999999999998</v>
      </c>
      <c r="Y118" s="1">
        <f t="shared" si="29"/>
        <v>9.8168777222541426</v>
      </c>
      <c r="Z118" s="1">
        <v>144.517</v>
      </c>
      <c r="AA118" s="1">
        <v>123.8562</v>
      </c>
      <c r="AB118" s="1">
        <v>248.13579999999999</v>
      </c>
      <c r="AC118" s="1">
        <v>262.48399999999998</v>
      </c>
      <c r="AD118" s="1">
        <v>125.1674</v>
      </c>
      <c r="AE118" s="1">
        <v>148.19280000000001</v>
      </c>
      <c r="AF118" s="1">
        <v>178.65039999999999</v>
      </c>
      <c r="AG118" s="1">
        <v>173.5172</v>
      </c>
      <c r="AH118" s="1">
        <v>165.2568</v>
      </c>
      <c r="AI118" s="1">
        <v>112.7216</v>
      </c>
      <c r="AJ118" s="1"/>
      <c r="AK118" s="1">
        <f t="shared" si="20"/>
        <v>451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164</v>
      </c>
      <c r="B119" s="1" t="s">
        <v>42</v>
      </c>
      <c r="C119" s="1">
        <v>400</v>
      </c>
      <c r="D119" s="1"/>
      <c r="E119" s="1">
        <v>36</v>
      </c>
      <c r="F119" s="1">
        <v>359</v>
      </c>
      <c r="G119" s="7">
        <v>0.25</v>
      </c>
      <c r="H119" s="1">
        <v>1096</v>
      </c>
      <c r="I119" s="1" t="s">
        <v>37</v>
      </c>
      <c r="J119" s="1"/>
      <c r="K119" s="1">
        <v>29</v>
      </c>
      <c r="L119" s="1">
        <f t="shared" si="25"/>
        <v>7</v>
      </c>
      <c r="M119" s="1"/>
      <c r="N119" s="1"/>
      <c r="O119" s="1">
        <v>0</v>
      </c>
      <c r="P119" s="1"/>
      <c r="Q119" s="1">
        <v>0</v>
      </c>
      <c r="R119" s="1">
        <v>0</v>
      </c>
      <c r="S119" s="1">
        <f t="shared" si="26"/>
        <v>7.2</v>
      </c>
      <c r="T119" s="5"/>
      <c r="U119" s="5">
        <f t="shared" si="18"/>
        <v>0</v>
      </c>
      <c r="V119" s="18"/>
      <c r="W119" s="18"/>
      <c r="X119" s="1">
        <f t="shared" si="19"/>
        <v>49.861111111111107</v>
      </c>
      <c r="Y119" s="1">
        <f t="shared" si="29"/>
        <v>49.861111111111107</v>
      </c>
      <c r="Z119" s="1">
        <v>10.6</v>
      </c>
      <c r="AA119" s="1">
        <v>7.2</v>
      </c>
      <c r="AB119" s="1">
        <v>8</v>
      </c>
      <c r="AC119" s="1">
        <v>11</v>
      </c>
      <c r="AD119" s="1">
        <v>16.600000000000001</v>
      </c>
      <c r="AE119" s="1">
        <v>36.4</v>
      </c>
      <c r="AF119" s="1">
        <v>43.4</v>
      </c>
      <c r="AG119" s="1">
        <v>26.2</v>
      </c>
      <c r="AH119" s="1">
        <v>23</v>
      </c>
      <c r="AI119" s="1">
        <v>14.4</v>
      </c>
      <c r="AJ119" s="17" t="s">
        <v>176</v>
      </c>
      <c r="AK119" s="1">
        <f t="shared" si="20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165</v>
      </c>
      <c r="B120" s="1" t="s">
        <v>42</v>
      </c>
      <c r="C120" s="1">
        <v>384</v>
      </c>
      <c r="D120" s="1"/>
      <c r="E120" s="1">
        <v>23</v>
      </c>
      <c r="F120" s="13">
        <f>356+F128</f>
        <v>406</v>
      </c>
      <c r="G120" s="7">
        <v>0.32500000000000001</v>
      </c>
      <c r="H120" s="1">
        <v>1096</v>
      </c>
      <c r="I120" s="1" t="s">
        <v>37</v>
      </c>
      <c r="J120" s="1"/>
      <c r="K120" s="1">
        <v>28</v>
      </c>
      <c r="L120" s="1">
        <f t="shared" si="25"/>
        <v>-5</v>
      </c>
      <c r="M120" s="1"/>
      <c r="N120" s="1"/>
      <c r="O120" s="1">
        <v>0</v>
      </c>
      <c r="P120" s="1"/>
      <c r="Q120" s="1">
        <v>0</v>
      </c>
      <c r="R120" s="1">
        <v>0</v>
      </c>
      <c r="S120" s="1">
        <f t="shared" si="26"/>
        <v>4.5999999999999996</v>
      </c>
      <c r="T120" s="5"/>
      <c r="U120" s="5">
        <f t="shared" si="18"/>
        <v>0</v>
      </c>
      <c r="V120" s="18"/>
      <c r="W120" s="18"/>
      <c r="X120" s="1">
        <f t="shared" si="19"/>
        <v>88.260869565217405</v>
      </c>
      <c r="Y120" s="1">
        <f t="shared" si="29"/>
        <v>88.260869565217405</v>
      </c>
      <c r="Z120" s="1">
        <v>5.4</v>
      </c>
      <c r="AA120" s="1">
        <v>3.6</v>
      </c>
      <c r="AB120" s="1">
        <v>3.6</v>
      </c>
      <c r="AC120" s="1">
        <v>7</v>
      </c>
      <c r="AD120" s="1">
        <v>11.6</v>
      </c>
      <c r="AE120" s="1">
        <v>21</v>
      </c>
      <c r="AF120" s="1">
        <v>27.8</v>
      </c>
      <c r="AG120" s="1">
        <v>16.2</v>
      </c>
      <c r="AH120" s="1">
        <v>15.6</v>
      </c>
      <c r="AI120" s="1">
        <v>12</v>
      </c>
      <c r="AJ120" s="17" t="s">
        <v>176</v>
      </c>
      <c r="AK120" s="1">
        <f t="shared" si="20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6" t="s">
        <v>166</v>
      </c>
      <c r="B121" s="1" t="s">
        <v>42</v>
      </c>
      <c r="C121" s="1">
        <v>534</v>
      </c>
      <c r="D121" s="1"/>
      <c r="E121" s="1">
        <v>47</v>
      </c>
      <c r="F121" s="1">
        <v>468</v>
      </c>
      <c r="G121" s="7">
        <v>0.25</v>
      </c>
      <c r="H121" s="1">
        <v>1096</v>
      </c>
      <c r="I121" s="9" t="s">
        <v>40</v>
      </c>
      <c r="J121" s="1"/>
      <c r="K121" s="1">
        <v>40</v>
      </c>
      <c r="L121" s="1">
        <f t="shared" si="25"/>
        <v>7</v>
      </c>
      <c r="M121" s="1"/>
      <c r="N121" s="1"/>
      <c r="O121" s="1">
        <v>0</v>
      </c>
      <c r="P121" s="1"/>
      <c r="Q121" s="1">
        <v>0</v>
      </c>
      <c r="R121" s="1">
        <v>0</v>
      </c>
      <c r="S121" s="1">
        <f t="shared" si="26"/>
        <v>9.4</v>
      </c>
      <c r="T121" s="5"/>
      <c r="U121" s="5">
        <f t="shared" si="18"/>
        <v>0</v>
      </c>
      <c r="V121" s="18"/>
      <c r="W121" s="18"/>
      <c r="X121" s="1">
        <f t="shared" si="19"/>
        <v>49.787234042553187</v>
      </c>
      <c r="Y121" s="1">
        <f t="shared" si="29"/>
        <v>49.787234042553187</v>
      </c>
      <c r="Z121" s="1">
        <v>10.4</v>
      </c>
      <c r="AA121" s="1">
        <v>4.8</v>
      </c>
      <c r="AB121" s="1">
        <v>2.4</v>
      </c>
      <c r="AC121" s="1">
        <v>13</v>
      </c>
      <c r="AD121" s="1">
        <v>19.8</v>
      </c>
      <c r="AE121" s="1">
        <v>38</v>
      </c>
      <c r="AF121" s="1">
        <v>49.6</v>
      </c>
      <c r="AG121" s="1">
        <v>42.2</v>
      </c>
      <c r="AH121" s="1">
        <v>40</v>
      </c>
      <c r="AI121" s="1">
        <v>24.2</v>
      </c>
      <c r="AJ121" s="15" t="s">
        <v>45</v>
      </c>
      <c r="AK121" s="1">
        <f t="shared" si="20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6" t="s">
        <v>167</v>
      </c>
      <c r="B122" s="1" t="s">
        <v>42</v>
      </c>
      <c r="C122" s="1"/>
      <c r="D122" s="1"/>
      <c r="E122" s="1">
        <v>-3</v>
      </c>
      <c r="F122" s="1"/>
      <c r="G122" s="7">
        <v>0.3</v>
      </c>
      <c r="H122" s="1">
        <v>40</v>
      </c>
      <c r="I122" s="9" t="s">
        <v>40</v>
      </c>
      <c r="J122" s="1"/>
      <c r="K122" s="1"/>
      <c r="L122" s="1">
        <f t="shared" si="25"/>
        <v>-3</v>
      </c>
      <c r="M122" s="1"/>
      <c r="N122" s="1"/>
      <c r="O122" s="1">
        <v>13</v>
      </c>
      <c r="P122" s="1"/>
      <c r="Q122" s="1">
        <v>80</v>
      </c>
      <c r="R122" s="1">
        <v>0</v>
      </c>
      <c r="S122" s="1">
        <f t="shared" si="26"/>
        <v>-0.6</v>
      </c>
      <c r="T122" s="5"/>
      <c r="U122" s="5">
        <f t="shared" ref="U122:U123" si="34">V122</f>
        <v>150</v>
      </c>
      <c r="V122" s="18">
        <f>VLOOKUP(A122,[1]Sheet!$A:$V,21,0)</f>
        <v>150</v>
      </c>
      <c r="W122" s="18" t="str">
        <f>VLOOKUP(A122,[1]Sheet!$A:$V,22,0)</f>
        <v>Есть спрос</v>
      </c>
      <c r="X122" s="1">
        <f t="shared" si="19"/>
        <v>-405</v>
      </c>
      <c r="Y122" s="1">
        <f t="shared" si="29"/>
        <v>-155</v>
      </c>
      <c r="Z122" s="1">
        <v>-0.6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-0.8</v>
      </c>
      <c r="AH122" s="1">
        <v>-1.4</v>
      </c>
      <c r="AI122" s="1">
        <v>-0.6</v>
      </c>
      <c r="AJ122" s="1"/>
      <c r="AK122" s="1">
        <f t="shared" si="20"/>
        <v>45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6" t="s">
        <v>168</v>
      </c>
      <c r="B123" s="1" t="s">
        <v>42</v>
      </c>
      <c r="C123" s="1"/>
      <c r="D123" s="1"/>
      <c r="E123" s="1"/>
      <c r="F123" s="1"/>
      <c r="G123" s="7">
        <v>0.3</v>
      </c>
      <c r="H123" s="1">
        <v>40</v>
      </c>
      <c r="I123" s="9" t="s">
        <v>40</v>
      </c>
      <c r="J123" s="1"/>
      <c r="K123" s="1"/>
      <c r="L123" s="1">
        <f t="shared" si="25"/>
        <v>0</v>
      </c>
      <c r="M123" s="1"/>
      <c r="N123" s="1"/>
      <c r="O123" s="1">
        <v>13</v>
      </c>
      <c r="P123" s="1"/>
      <c r="Q123" s="1">
        <v>80</v>
      </c>
      <c r="R123" s="1">
        <v>0</v>
      </c>
      <c r="S123" s="1">
        <f t="shared" si="26"/>
        <v>0</v>
      </c>
      <c r="T123" s="5"/>
      <c r="U123" s="5">
        <f t="shared" si="34"/>
        <v>150</v>
      </c>
      <c r="V123" s="18">
        <f>VLOOKUP(A123,[1]Sheet!$A:$V,21,0)</f>
        <v>150</v>
      </c>
      <c r="W123" s="18" t="str">
        <f>VLOOKUP(A123,[1]Sheet!$A:$V,22,0)</f>
        <v>Есть спрос</v>
      </c>
      <c r="X123" s="1" t="e">
        <f t="shared" si="19"/>
        <v>#DIV/0!</v>
      </c>
      <c r="Y123" s="1" t="e">
        <f t="shared" si="29"/>
        <v>#DIV/0!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-0.2</v>
      </c>
      <c r="AH123" s="1">
        <v>-0.2</v>
      </c>
      <c r="AI123" s="1">
        <v>0</v>
      </c>
      <c r="AJ123" s="1" t="s">
        <v>169</v>
      </c>
      <c r="AK123" s="1">
        <f t="shared" si="20"/>
        <v>45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170</v>
      </c>
      <c r="B124" s="1" t="s">
        <v>36</v>
      </c>
      <c r="C124" s="1">
        <v>41.162999999999997</v>
      </c>
      <c r="D124" s="1"/>
      <c r="E124" s="1">
        <v>30.053000000000001</v>
      </c>
      <c r="F124" s="1">
        <v>4.1440000000000001</v>
      </c>
      <c r="G124" s="7">
        <v>1</v>
      </c>
      <c r="H124" s="1">
        <v>50</v>
      </c>
      <c r="I124" s="1" t="s">
        <v>37</v>
      </c>
      <c r="J124" s="1"/>
      <c r="K124" s="1">
        <v>29.5</v>
      </c>
      <c r="L124" s="1">
        <f t="shared" si="25"/>
        <v>0.55300000000000082</v>
      </c>
      <c r="M124" s="1"/>
      <c r="N124" s="1"/>
      <c r="O124" s="1">
        <v>0</v>
      </c>
      <c r="P124" s="1"/>
      <c r="Q124" s="1">
        <v>6.024</v>
      </c>
      <c r="R124" s="1">
        <v>34.741999999999997</v>
      </c>
      <c r="S124" s="1">
        <f t="shared" si="26"/>
        <v>6.0106000000000002</v>
      </c>
      <c r="T124" s="5">
        <f t="shared" si="33"/>
        <v>27.217200000000005</v>
      </c>
      <c r="U124" s="5">
        <f t="shared" si="18"/>
        <v>27.217200000000005</v>
      </c>
      <c r="V124" s="18"/>
      <c r="W124" s="18"/>
      <c r="X124" s="1">
        <f t="shared" si="19"/>
        <v>12</v>
      </c>
      <c r="Y124" s="1">
        <f t="shared" si="29"/>
        <v>7.4717998203174387</v>
      </c>
      <c r="Z124" s="1">
        <v>5.7350000000000003</v>
      </c>
      <c r="AA124" s="1">
        <v>3.012</v>
      </c>
      <c r="AB124" s="1">
        <v>2.4746000000000001</v>
      </c>
      <c r="AC124" s="1">
        <v>1.3877999999999999</v>
      </c>
      <c r="AD124" s="1">
        <v>2.2162000000000002</v>
      </c>
      <c r="AE124" s="1">
        <v>3.0968</v>
      </c>
      <c r="AF124" s="1">
        <v>4.5128000000000004</v>
      </c>
      <c r="AG124" s="1">
        <v>4.6745999999999999</v>
      </c>
      <c r="AH124" s="1">
        <v>3.2343999999999999</v>
      </c>
      <c r="AI124" s="1">
        <v>1.3575999999999999</v>
      </c>
      <c r="AJ124" s="1"/>
      <c r="AK124" s="1">
        <f t="shared" si="20"/>
        <v>27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6" t="s">
        <v>171</v>
      </c>
      <c r="B125" s="1" t="s">
        <v>42</v>
      </c>
      <c r="C125" s="1"/>
      <c r="D125" s="1"/>
      <c r="E125" s="1"/>
      <c r="F125" s="1"/>
      <c r="G125" s="7">
        <v>0.3</v>
      </c>
      <c r="H125" s="1">
        <v>40</v>
      </c>
      <c r="I125" s="9" t="s">
        <v>40</v>
      </c>
      <c r="J125" s="1"/>
      <c r="K125" s="1"/>
      <c r="L125" s="1">
        <f t="shared" si="25"/>
        <v>0</v>
      </c>
      <c r="M125" s="1"/>
      <c r="N125" s="1"/>
      <c r="O125" s="1">
        <v>13</v>
      </c>
      <c r="P125" s="1"/>
      <c r="Q125" s="1">
        <v>80</v>
      </c>
      <c r="R125" s="1">
        <v>0</v>
      </c>
      <c r="S125" s="1">
        <f t="shared" si="26"/>
        <v>0</v>
      </c>
      <c r="T125" s="5"/>
      <c r="U125" s="5">
        <f>V125</f>
        <v>200</v>
      </c>
      <c r="V125" s="18">
        <f>VLOOKUP(A125,[1]Sheet!$A:$V,21,0)</f>
        <v>200</v>
      </c>
      <c r="W125" s="18" t="str">
        <f>VLOOKUP(A125,[1]Sheet!$A:$V,22,0)</f>
        <v>Есть спрос</v>
      </c>
      <c r="X125" s="1" t="e">
        <f t="shared" si="19"/>
        <v>#DIV/0!</v>
      </c>
      <c r="Y125" s="1" t="e">
        <f t="shared" si="29"/>
        <v>#DIV/0!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-0.4</v>
      </c>
      <c r="AG125" s="1">
        <v>-0.8</v>
      </c>
      <c r="AH125" s="1">
        <v>-0.8</v>
      </c>
      <c r="AI125" s="1">
        <v>-0.4</v>
      </c>
      <c r="AJ125" s="1"/>
      <c r="AK125" s="1">
        <f t="shared" si="20"/>
        <v>60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6" t="s">
        <v>172</v>
      </c>
      <c r="B126" s="1" t="s">
        <v>42</v>
      </c>
      <c r="C126" s="1">
        <v>31</v>
      </c>
      <c r="D126" s="1">
        <v>35</v>
      </c>
      <c r="E126" s="1">
        <v>61</v>
      </c>
      <c r="F126" s="1"/>
      <c r="G126" s="7">
        <v>0.12</v>
      </c>
      <c r="H126" s="1">
        <v>45</v>
      </c>
      <c r="I126" s="9" t="s">
        <v>40</v>
      </c>
      <c r="J126" s="1"/>
      <c r="K126" s="1">
        <v>67</v>
      </c>
      <c r="L126" s="1">
        <f t="shared" si="25"/>
        <v>-6</v>
      </c>
      <c r="M126" s="1"/>
      <c r="N126" s="1"/>
      <c r="O126" s="1">
        <v>88.919999999999987</v>
      </c>
      <c r="P126" s="1"/>
      <c r="Q126" s="1">
        <v>0</v>
      </c>
      <c r="R126" s="1">
        <v>44.800000000000018</v>
      </c>
      <c r="S126" s="1">
        <f t="shared" si="26"/>
        <v>12.2</v>
      </c>
      <c r="T126" s="5">
        <f t="shared" si="33"/>
        <v>12.679999999999978</v>
      </c>
      <c r="U126" s="5">
        <f t="shared" si="18"/>
        <v>12.679999999999978</v>
      </c>
      <c r="V126" s="18"/>
      <c r="W126" s="18"/>
      <c r="X126" s="1">
        <f t="shared" si="19"/>
        <v>11.999999999999998</v>
      </c>
      <c r="Y126" s="1">
        <f t="shared" si="29"/>
        <v>10.960655737704919</v>
      </c>
      <c r="Z126" s="1">
        <v>10.4</v>
      </c>
      <c r="AA126" s="1">
        <v>4.4000000000000004</v>
      </c>
      <c r="AB126" s="1">
        <v>7.4</v>
      </c>
      <c r="AC126" s="1">
        <v>10.199999999999999</v>
      </c>
      <c r="AD126" s="1">
        <v>5.8</v>
      </c>
      <c r="AE126" s="1">
        <v>-0.2</v>
      </c>
      <c r="AF126" s="1">
        <v>-0.2</v>
      </c>
      <c r="AG126" s="1">
        <v>1.2</v>
      </c>
      <c r="AH126" s="1">
        <v>11</v>
      </c>
      <c r="AI126" s="1">
        <v>9</v>
      </c>
      <c r="AJ126" s="1"/>
      <c r="AK126" s="1">
        <f t="shared" si="20"/>
        <v>2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0" t="s">
        <v>173</v>
      </c>
      <c r="B127" s="10" t="s">
        <v>42</v>
      </c>
      <c r="C127" s="10">
        <v>191</v>
      </c>
      <c r="D127" s="10"/>
      <c r="E127" s="13">
        <v>74</v>
      </c>
      <c r="F127" s="13">
        <v>99</v>
      </c>
      <c r="G127" s="11">
        <v>0</v>
      </c>
      <c r="H127" s="10"/>
      <c r="I127" s="10" t="s">
        <v>174</v>
      </c>
      <c r="J127" s="10" t="s">
        <v>95</v>
      </c>
      <c r="K127" s="10">
        <v>78</v>
      </c>
      <c r="L127" s="10">
        <f t="shared" si="25"/>
        <v>-4</v>
      </c>
      <c r="M127" s="10"/>
      <c r="N127" s="10"/>
      <c r="O127" s="10">
        <v>0</v>
      </c>
      <c r="P127" s="10"/>
      <c r="Q127" s="10">
        <v>0</v>
      </c>
      <c r="R127" s="10">
        <v>0</v>
      </c>
      <c r="S127" s="10">
        <f t="shared" si="26"/>
        <v>14.8</v>
      </c>
      <c r="T127" s="12"/>
      <c r="U127" s="5">
        <f t="shared" si="18"/>
        <v>0</v>
      </c>
      <c r="V127" s="18"/>
      <c r="W127" s="18"/>
      <c r="X127" s="1">
        <f t="shared" si="19"/>
        <v>6.6891891891891886</v>
      </c>
      <c r="Y127" s="10">
        <f t="shared" si="29"/>
        <v>6.6891891891891886</v>
      </c>
      <c r="Z127" s="10">
        <v>12.2</v>
      </c>
      <c r="AA127" s="10">
        <v>12.2</v>
      </c>
      <c r="AB127" s="10">
        <v>15.8</v>
      </c>
      <c r="AC127" s="10">
        <v>28.6</v>
      </c>
      <c r="AD127" s="10">
        <v>32</v>
      </c>
      <c r="AE127" s="10">
        <v>33</v>
      </c>
      <c r="AF127" s="10">
        <v>41.6</v>
      </c>
      <c r="AG127" s="10">
        <v>38.4</v>
      </c>
      <c r="AH127" s="10">
        <v>29.4</v>
      </c>
      <c r="AI127" s="10">
        <v>9.6</v>
      </c>
      <c r="AJ127" s="10"/>
      <c r="AK127" s="1">
        <f t="shared" si="20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0" t="s">
        <v>175</v>
      </c>
      <c r="B128" s="10" t="s">
        <v>42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174</v>
      </c>
      <c r="J128" s="10" t="s">
        <v>165</v>
      </c>
      <c r="K128" s="10"/>
      <c r="L128" s="10">
        <f t="shared" si="25"/>
        <v>0</v>
      </c>
      <c r="M128" s="10"/>
      <c r="N128" s="10"/>
      <c r="O128" s="10">
        <v>0</v>
      </c>
      <c r="P128" s="10"/>
      <c r="Q128" s="10">
        <v>0</v>
      </c>
      <c r="R128" s="10">
        <v>0</v>
      </c>
      <c r="S128" s="10">
        <f t="shared" si="26"/>
        <v>0</v>
      </c>
      <c r="T128" s="12"/>
      <c r="U128" s="5">
        <f t="shared" si="18"/>
        <v>0</v>
      </c>
      <c r="V128" s="18"/>
      <c r="W128" s="18"/>
      <c r="X128" s="1" t="e">
        <f t="shared" si="19"/>
        <v>#DIV/0!</v>
      </c>
      <c r="Y128" s="10" t="e">
        <f t="shared" si="29"/>
        <v>#DIV/0!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1</v>
      </c>
      <c r="AI128" s="10">
        <v>1</v>
      </c>
      <c r="AJ128" s="10"/>
      <c r="AK128" s="1">
        <f t="shared" si="20"/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6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K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2026-10-08T16:29:05Z</dcterms:created>
  <dcterms:modified xsi:type="dcterms:W3CDTF">2026-10-09T09:27:54Z</dcterms:modified>
</cp:coreProperties>
</file>