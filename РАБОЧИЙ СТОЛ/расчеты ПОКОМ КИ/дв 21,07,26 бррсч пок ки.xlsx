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2DDE769-FF27-4772-A842-613F807DD7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7" i="1" l="1"/>
  <c r="V27" i="1"/>
  <c r="W131" i="1"/>
  <c r="W129" i="1"/>
  <c r="W130" i="1"/>
  <c r="V128" i="1" l="1"/>
  <c r="V129" i="1"/>
  <c r="V130" i="1"/>
  <c r="V131" i="1"/>
  <c r="AI130" i="1"/>
  <c r="AI131" i="1"/>
  <c r="AI129" i="1"/>
  <c r="T131" i="1"/>
  <c r="T130" i="1"/>
  <c r="T129" i="1"/>
  <c r="F68" i="1" l="1"/>
  <c r="E68" i="1"/>
  <c r="T128" i="1"/>
  <c r="W128" i="1" s="1"/>
  <c r="T127" i="1"/>
  <c r="V127" i="1" s="1"/>
  <c r="T126" i="1"/>
  <c r="V126" i="1" s="1"/>
  <c r="T125" i="1"/>
  <c r="V125" i="1" s="1"/>
  <c r="T124" i="1"/>
  <c r="T123" i="1"/>
  <c r="V123" i="1" s="1"/>
  <c r="T122" i="1"/>
  <c r="V122" i="1" s="1"/>
  <c r="T121" i="1"/>
  <c r="V121" i="1" s="1"/>
  <c r="T120" i="1"/>
  <c r="V120" i="1" s="1"/>
  <c r="T119" i="1"/>
  <c r="V119" i="1" s="1"/>
  <c r="T118" i="1"/>
  <c r="V118" i="1" s="1"/>
  <c r="T117" i="1"/>
  <c r="V117" i="1" s="1"/>
  <c r="T116" i="1"/>
  <c r="V116" i="1" s="1"/>
  <c r="T115" i="1"/>
  <c r="V115" i="1" s="1"/>
  <c r="T114" i="1"/>
  <c r="V114" i="1" s="1"/>
  <c r="V124" i="1" l="1"/>
  <c r="W124" i="1"/>
  <c r="W116" i="1"/>
  <c r="W120" i="1"/>
  <c r="W114" i="1"/>
  <c r="W118" i="1"/>
  <c r="W122" i="1"/>
  <c r="W126" i="1"/>
  <c r="W115" i="1"/>
  <c r="W117" i="1"/>
  <c r="W119" i="1"/>
  <c r="W121" i="1"/>
  <c r="W123" i="1"/>
  <c r="W125" i="1"/>
  <c r="W127" i="1"/>
  <c r="T7" i="1"/>
  <c r="V7" i="1" l="1"/>
  <c r="W7" i="1"/>
  <c r="T8" i="1"/>
  <c r="U8" i="1" s="1"/>
  <c r="T9" i="1"/>
  <c r="T10" i="1"/>
  <c r="T11" i="1"/>
  <c r="T12" i="1"/>
  <c r="T13" i="1"/>
  <c r="T14" i="1"/>
  <c r="T15" i="1"/>
  <c r="T16" i="1"/>
  <c r="T17" i="1"/>
  <c r="V17" i="1" s="1"/>
  <c r="T18" i="1"/>
  <c r="T19" i="1"/>
  <c r="T20" i="1"/>
  <c r="T21" i="1"/>
  <c r="V21" i="1" s="1"/>
  <c r="T22" i="1"/>
  <c r="T23" i="1"/>
  <c r="T24" i="1"/>
  <c r="T25" i="1"/>
  <c r="T26" i="1"/>
  <c r="T27" i="1"/>
  <c r="T28" i="1"/>
  <c r="T29" i="1"/>
  <c r="U29" i="1" s="1"/>
  <c r="T30" i="1"/>
  <c r="T31" i="1"/>
  <c r="T32" i="1"/>
  <c r="T33" i="1"/>
  <c r="T34" i="1"/>
  <c r="T35" i="1"/>
  <c r="T36" i="1"/>
  <c r="T37" i="1"/>
  <c r="T38" i="1"/>
  <c r="T39" i="1"/>
  <c r="T40" i="1"/>
  <c r="T41" i="1"/>
  <c r="V41" i="1" s="1"/>
  <c r="T42" i="1"/>
  <c r="T43" i="1"/>
  <c r="U43" i="1" s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U67" i="1" s="1"/>
  <c r="T68" i="1"/>
  <c r="T69" i="1"/>
  <c r="T70" i="1"/>
  <c r="T71" i="1"/>
  <c r="T72" i="1"/>
  <c r="T73" i="1"/>
  <c r="T74" i="1"/>
  <c r="T75" i="1"/>
  <c r="T76" i="1"/>
  <c r="U76" i="1" s="1"/>
  <c r="T77" i="1"/>
  <c r="T78" i="1"/>
  <c r="T79" i="1"/>
  <c r="T80" i="1"/>
  <c r="T81" i="1"/>
  <c r="T82" i="1"/>
  <c r="T83" i="1"/>
  <c r="T84" i="1"/>
  <c r="T85" i="1"/>
  <c r="T86" i="1"/>
  <c r="T87" i="1"/>
  <c r="V87" i="1" s="1"/>
  <c r="T88" i="1"/>
  <c r="V88" i="1" s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6" i="1"/>
  <c r="U6" i="1" l="1"/>
  <c r="V6" i="1" s="1"/>
  <c r="W112" i="1"/>
  <c r="W110" i="1"/>
  <c r="W108" i="1"/>
  <c r="U108" i="1"/>
  <c r="V108" i="1" s="1"/>
  <c r="W106" i="1"/>
  <c r="U106" i="1"/>
  <c r="V106" i="1" s="1"/>
  <c r="W104" i="1"/>
  <c r="W102" i="1"/>
  <c r="U102" i="1"/>
  <c r="AI102" i="1" s="1"/>
  <c r="W100" i="1"/>
  <c r="V100" i="1"/>
  <c r="W98" i="1"/>
  <c r="V98" i="1"/>
  <c r="W96" i="1"/>
  <c r="W94" i="1"/>
  <c r="W92" i="1"/>
  <c r="V92" i="1"/>
  <c r="V90" i="1"/>
  <c r="U86" i="1"/>
  <c r="V86" i="1" s="1"/>
  <c r="V84" i="1"/>
  <c r="U82" i="1"/>
  <c r="V82" i="1" s="1"/>
  <c r="U80" i="1"/>
  <c r="V80" i="1" s="1"/>
  <c r="U78" i="1"/>
  <c r="V78" i="1" s="1"/>
  <c r="V76" i="1"/>
  <c r="U74" i="1"/>
  <c r="V74" i="1" s="1"/>
  <c r="U72" i="1"/>
  <c r="V72" i="1" s="1"/>
  <c r="V70" i="1"/>
  <c r="U68" i="1"/>
  <c r="V68" i="1" s="1"/>
  <c r="V66" i="1"/>
  <c r="V64" i="1"/>
  <c r="V62" i="1"/>
  <c r="V60" i="1"/>
  <c r="V58" i="1"/>
  <c r="U56" i="1"/>
  <c r="V56" i="1" s="1"/>
  <c r="V54" i="1"/>
  <c r="U52" i="1"/>
  <c r="V52" i="1" s="1"/>
  <c r="V50" i="1"/>
  <c r="V48" i="1"/>
  <c r="V46" i="1"/>
  <c r="U44" i="1"/>
  <c r="V44" i="1" s="1"/>
  <c r="V42" i="1"/>
  <c r="V40" i="1"/>
  <c r="U38" i="1"/>
  <c r="V38" i="1" s="1"/>
  <c r="V36" i="1"/>
  <c r="U34" i="1"/>
  <c r="V34" i="1" s="1"/>
  <c r="V32" i="1"/>
  <c r="U30" i="1"/>
  <c r="V30" i="1" s="1"/>
  <c r="U28" i="1"/>
  <c r="V28" i="1" s="1"/>
  <c r="V26" i="1"/>
  <c r="V24" i="1"/>
  <c r="U22" i="1"/>
  <c r="V22" i="1" s="1"/>
  <c r="U20" i="1"/>
  <c r="V20" i="1" s="1"/>
  <c r="V18" i="1"/>
  <c r="V16" i="1"/>
  <c r="U14" i="1"/>
  <c r="V14" i="1" s="1"/>
  <c r="U12" i="1"/>
  <c r="V12" i="1" s="1"/>
  <c r="U10" i="1"/>
  <c r="V10" i="1" s="1"/>
  <c r="V8" i="1"/>
  <c r="W113" i="1"/>
  <c r="V113" i="1"/>
  <c r="W111" i="1"/>
  <c r="AI111" i="1"/>
  <c r="W109" i="1"/>
  <c r="V109" i="1"/>
  <c r="W107" i="1"/>
  <c r="W105" i="1"/>
  <c r="U105" i="1"/>
  <c r="V105" i="1" s="1"/>
  <c r="W103" i="1"/>
  <c r="W101" i="1"/>
  <c r="U101" i="1"/>
  <c r="V101" i="1" s="1"/>
  <c r="W99" i="1"/>
  <c r="U99" i="1"/>
  <c r="V99" i="1" s="1"/>
  <c r="W97" i="1"/>
  <c r="U97" i="1"/>
  <c r="V97" i="1" s="1"/>
  <c r="W95" i="1"/>
  <c r="U95" i="1"/>
  <c r="AI95" i="1" s="1"/>
  <c r="W93" i="1"/>
  <c r="V93" i="1"/>
  <c r="V91" i="1"/>
  <c r="V89" i="1"/>
  <c r="U85" i="1"/>
  <c r="V85" i="1" s="1"/>
  <c r="V83" i="1"/>
  <c r="U81" i="1"/>
  <c r="V81" i="1" s="1"/>
  <c r="U79" i="1"/>
  <c r="V79" i="1" s="1"/>
  <c r="V77" i="1"/>
  <c r="V75" i="1"/>
  <c r="U73" i="1"/>
  <c r="V73" i="1" s="1"/>
  <c r="V71" i="1"/>
  <c r="V69" i="1"/>
  <c r="V67" i="1"/>
  <c r="U65" i="1"/>
  <c r="V65" i="1" s="1"/>
  <c r="U63" i="1"/>
  <c r="V63" i="1" s="1"/>
  <c r="U61" i="1"/>
  <c r="V61" i="1" s="1"/>
  <c r="V59" i="1"/>
  <c r="V57" i="1"/>
  <c r="V55" i="1"/>
  <c r="V53" i="1"/>
  <c r="V51" i="1"/>
  <c r="U49" i="1"/>
  <c r="V49" i="1" s="1"/>
  <c r="V47" i="1"/>
  <c r="U45" i="1"/>
  <c r="V45" i="1" s="1"/>
  <c r="V43" i="1"/>
  <c r="V39" i="1"/>
  <c r="V37" i="1"/>
  <c r="U35" i="1"/>
  <c r="V35" i="1" s="1"/>
  <c r="U33" i="1"/>
  <c r="V33" i="1" s="1"/>
  <c r="U31" i="1"/>
  <c r="V31" i="1" s="1"/>
  <c r="V29" i="1"/>
  <c r="V25" i="1"/>
  <c r="U23" i="1"/>
  <c r="V23" i="1" s="1"/>
  <c r="V19" i="1"/>
  <c r="U15" i="1"/>
  <c r="V15" i="1" s="1"/>
  <c r="V13" i="1"/>
  <c r="V11" i="1"/>
  <c r="U9" i="1"/>
  <c r="V9" i="1" s="1"/>
  <c r="W6" i="1"/>
  <c r="V110" i="1"/>
  <c r="V102" i="1"/>
  <c r="V94" i="1"/>
  <c r="W90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3" i="1"/>
  <c r="W19" i="1"/>
  <c r="W15" i="1"/>
  <c r="W11" i="1"/>
  <c r="V112" i="1"/>
  <c r="V104" i="1"/>
  <c r="V96" i="1"/>
  <c r="W88" i="1"/>
  <c r="W85" i="1"/>
  <c r="W81" i="1"/>
  <c r="W77" i="1"/>
  <c r="W73" i="1"/>
  <c r="W69" i="1"/>
  <c r="W65" i="1"/>
  <c r="W61" i="1"/>
  <c r="W57" i="1"/>
  <c r="W53" i="1"/>
  <c r="W49" i="1"/>
  <c r="W45" i="1"/>
  <c r="W41" i="1"/>
  <c r="W37" i="1"/>
  <c r="W33" i="1"/>
  <c r="W29" i="1"/>
  <c r="W25" i="1"/>
  <c r="W21" i="1"/>
  <c r="W17" i="1"/>
  <c r="W13" i="1"/>
  <c r="W9" i="1"/>
  <c r="V111" i="1"/>
  <c r="V107" i="1"/>
  <c r="V103" i="1"/>
  <c r="W91" i="1"/>
  <c r="W89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AI113" i="1"/>
  <c r="L113" i="1"/>
  <c r="AI112" i="1"/>
  <c r="L112" i="1"/>
  <c r="L111" i="1"/>
  <c r="AI110" i="1"/>
  <c r="L110" i="1"/>
  <c r="AI109" i="1"/>
  <c r="L109" i="1"/>
  <c r="L108" i="1"/>
  <c r="AI107" i="1"/>
  <c r="L107" i="1"/>
  <c r="L106" i="1"/>
  <c r="L105" i="1"/>
  <c r="AI104" i="1"/>
  <c r="L104" i="1"/>
  <c r="AI103" i="1"/>
  <c r="L103" i="1"/>
  <c r="L102" i="1"/>
  <c r="L101" i="1"/>
  <c r="AI100" i="1"/>
  <c r="L100" i="1"/>
  <c r="L99" i="1"/>
  <c r="AI98" i="1"/>
  <c r="L98" i="1"/>
  <c r="L97" i="1"/>
  <c r="AI96" i="1"/>
  <c r="L96" i="1"/>
  <c r="L95" i="1"/>
  <c r="AI94" i="1"/>
  <c r="L94" i="1"/>
  <c r="AI93" i="1"/>
  <c r="L93" i="1"/>
  <c r="AI92" i="1"/>
  <c r="L92" i="1"/>
  <c r="AI91" i="1"/>
  <c r="L91" i="1"/>
  <c r="L90" i="1"/>
  <c r="AI89" i="1"/>
  <c r="L89" i="1"/>
  <c r="L88" i="1"/>
  <c r="L87" i="1"/>
  <c r="L86" i="1"/>
  <c r="L85" i="1"/>
  <c r="AI84" i="1"/>
  <c r="L84" i="1"/>
  <c r="AI83" i="1"/>
  <c r="L83" i="1"/>
  <c r="L82" i="1"/>
  <c r="L81" i="1"/>
  <c r="L80" i="1"/>
  <c r="L79" i="1"/>
  <c r="L78" i="1"/>
  <c r="AI77" i="1"/>
  <c r="L77" i="1"/>
  <c r="L76" i="1"/>
  <c r="AI75" i="1"/>
  <c r="L75" i="1"/>
  <c r="L74" i="1"/>
  <c r="L73" i="1"/>
  <c r="L72" i="1"/>
  <c r="L71" i="1"/>
  <c r="AI70" i="1"/>
  <c r="L70" i="1"/>
  <c r="AI69" i="1"/>
  <c r="L69" i="1"/>
  <c r="L68" i="1"/>
  <c r="L67" i="1"/>
  <c r="AI66" i="1"/>
  <c r="L66" i="1"/>
  <c r="L65" i="1"/>
  <c r="AI64" i="1"/>
  <c r="L64" i="1"/>
  <c r="L63" i="1"/>
  <c r="AI62" i="1"/>
  <c r="L62" i="1"/>
  <c r="L61" i="1"/>
  <c r="AI60" i="1"/>
  <c r="L60" i="1"/>
  <c r="AI59" i="1"/>
  <c r="L59" i="1"/>
  <c r="AI58" i="1"/>
  <c r="L58" i="1"/>
  <c r="AI57" i="1"/>
  <c r="L57" i="1"/>
  <c r="L56" i="1"/>
  <c r="AI55" i="1"/>
  <c r="L55" i="1"/>
  <c r="AI54" i="1"/>
  <c r="L54" i="1"/>
  <c r="AI53" i="1"/>
  <c r="L53" i="1"/>
  <c r="L52" i="1"/>
  <c r="AI51" i="1"/>
  <c r="L51" i="1"/>
  <c r="AI50" i="1"/>
  <c r="L50" i="1"/>
  <c r="L49" i="1"/>
  <c r="AI48" i="1"/>
  <c r="L48" i="1"/>
  <c r="AI47" i="1"/>
  <c r="L47" i="1"/>
  <c r="AI46" i="1"/>
  <c r="L46" i="1"/>
  <c r="L45" i="1"/>
  <c r="L44" i="1"/>
  <c r="L43" i="1"/>
  <c r="AI42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AI19" i="1"/>
  <c r="L19" i="1"/>
  <c r="AI18" i="1"/>
  <c r="L18" i="1"/>
  <c r="L17" i="1"/>
  <c r="L16" i="1"/>
  <c r="L15" i="1"/>
  <c r="L14" i="1"/>
  <c r="L13" i="1"/>
  <c r="L12" i="1"/>
  <c r="L11" i="1"/>
  <c r="L10" i="1"/>
  <c r="L9" i="1"/>
  <c r="L8" i="1"/>
  <c r="AI7" i="1"/>
  <c r="L7" i="1"/>
  <c r="L6" i="1"/>
  <c r="AG5" i="1"/>
  <c r="AF5" i="1"/>
  <c r="AE5" i="1"/>
  <c r="AD5" i="1"/>
  <c r="AC5" i="1"/>
  <c r="AB5" i="1"/>
  <c r="AA5" i="1"/>
  <c r="Z5" i="1"/>
  <c r="Y5" i="1"/>
  <c r="X5" i="1"/>
  <c r="T5" i="1"/>
  <c r="S5" i="1"/>
  <c r="R5" i="1"/>
  <c r="Q5" i="1"/>
  <c r="P5" i="1"/>
  <c r="O5" i="1"/>
  <c r="N5" i="1"/>
  <c r="M5" i="1"/>
  <c r="K5" i="1"/>
  <c r="F5" i="1"/>
  <c r="E5" i="1"/>
  <c r="AI105" i="1" l="1"/>
  <c r="AI20" i="1"/>
  <c r="V95" i="1"/>
  <c r="AI65" i="1"/>
  <c r="AI73" i="1"/>
  <c r="AI74" i="1"/>
  <c r="AI45" i="1"/>
  <c r="AI49" i="1"/>
  <c r="AI61" i="1"/>
  <c r="AI78" i="1"/>
  <c r="AI81" i="1"/>
  <c r="AI82" i="1"/>
  <c r="AI85" i="1"/>
  <c r="AI86" i="1"/>
  <c r="AI43" i="1"/>
  <c r="AI44" i="1"/>
  <c r="AI52" i="1"/>
  <c r="AI56" i="1"/>
  <c r="AI63" i="1"/>
  <c r="AI67" i="1"/>
  <c r="AI68" i="1"/>
  <c r="AI71" i="1"/>
  <c r="AI72" i="1"/>
  <c r="AI76" i="1"/>
  <c r="AI79" i="1"/>
  <c r="AI80" i="1"/>
  <c r="AI90" i="1"/>
  <c r="AI97" i="1"/>
  <c r="AI99" i="1"/>
  <c r="AI101" i="1"/>
  <c r="AI106" i="1"/>
  <c r="AI108" i="1"/>
  <c r="U5" i="1"/>
  <c r="AI6" i="1"/>
  <c r="AI8" i="1"/>
  <c r="AI9" i="1"/>
  <c r="AI10" i="1"/>
  <c r="AI11" i="1"/>
  <c r="AI12" i="1"/>
  <c r="AI13" i="1"/>
  <c r="AI14" i="1"/>
  <c r="AI15" i="1"/>
  <c r="AI16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L5" i="1"/>
  <c r="AI5" i="1" l="1"/>
</calcChain>
</file>

<file path=xl/sharedStrings.xml><?xml version="1.0" encoding="utf-8"?>
<sst xmlns="http://schemas.openxmlformats.org/spreadsheetml/2006/main" count="466" uniqueCount="176">
  <si>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</si>
  <si>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</si>
  <si>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</si>
  <si>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</si>
  <si>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</si>
  <si>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</si>
  <si>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</si>
  <si>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</si>
  <si>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</si>
  <si>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</si>
  <si>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</si>
  <si>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</si>
  <si>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</si>
  <si>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</si>
  <si>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</si>
  <si>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</si>
  <si>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</si>
  <si>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</si>
  <si>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</si>
  <si>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</si>
  <si>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</si>
  <si>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</si>
  <si>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</si>
  <si>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14,07,</t>
  </si>
  <si>
    <t>18,07,</t>
  </si>
  <si>
    <t>18,07,(дозаказ)</t>
  </si>
  <si>
    <t>20,07,</t>
  </si>
  <si>
    <t>21,07,</t>
  </si>
  <si>
    <t>16,07,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</si>
  <si>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</si>
  <si>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</si>
  <si>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</si>
  <si>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</si>
  <si>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</si>
  <si>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</si>
  <si>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</si>
  <si>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</si>
  <si>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 xml:space="preserve"> 005  Колбаса Докторская ГОСТ, Вязанка вектор,ВЕС. ПОКОМ</t>
  </si>
  <si>
    <t>кг</t>
  </si>
  <si>
    <t>нужно увеличить продажи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</si>
  <si>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</si>
  <si>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</si>
  <si>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</si>
  <si>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</si>
  <si>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</si>
  <si>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</si>
  <si>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</si>
  <si>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</si>
  <si>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</si>
  <si>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</si>
  <si>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</si>
  <si>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</si>
  <si>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</si>
  <si>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</si>
  <si>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</si>
  <si>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</si>
  <si>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</si>
  <si>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</si>
  <si>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</si>
  <si>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</si>
  <si>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</si>
  <si>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</si>
  <si>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</si>
  <si>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нужно увеличить продажи!!!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</si>
  <si>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</si>
  <si>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</si>
  <si>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</si>
  <si>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</si>
  <si>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</si>
  <si>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</si>
  <si>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</si>
  <si>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</si>
  <si>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</si>
  <si>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</si>
  <si>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</si>
  <si>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</si>
  <si>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</si>
  <si>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</si>
  <si>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</si>
  <si>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</si>
  <si>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</si>
  <si>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</si>
  <si>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</si>
  <si>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</si>
  <si>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</si>
  <si>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</si>
  <si>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</si>
  <si>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</si>
  <si>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</si>
  <si>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</si>
  <si>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</si>
  <si>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</si>
  <si>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</si>
  <si>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</si>
  <si>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</si>
  <si>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</si>
  <si>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</si>
  <si>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</si>
  <si>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</si>
  <si>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</si>
  <si>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</si>
  <si>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</si>
  <si>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</si>
  <si>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</si>
  <si>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</si>
  <si>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</si>
  <si>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</si>
  <si>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</si>
  <si>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</si>
  <si>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</si>
  <si>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</si>
  <si>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</si>
  <si>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</si>
  <si>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</si>
  <si>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</si>
  <si>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</si>
  <si>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</si>
  <si>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</si>
  <si>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</si>
  <si>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</si>
  <si>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</si>
  <si>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</si>
  <si>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</si>
  <si>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</si>
  <si>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</si>
  <si>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</si>
  <si>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>нет в бланке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</si>
  <si>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</si>
  <si>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</si>
  <si>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</si>
  <si>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</si>
  <si>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</si>
  <si>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</si>
  <si>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</si>
  <si>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</si>
  <si>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</si>
  <si>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</si>
  <si>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</si>
  <si>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</si>
  <si>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</si>
  <si>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новинка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</si>
  <si>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</si>
  <si>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</si>
  <si>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</si>
  <si>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</si>
  <si>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</si>
  <si>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</si>
  <si>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</si>
  <si>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</si>
  <si>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</si>
  <si>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</si>
  <si>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</si>
  <si>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</si>
  <si>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</si>
  <si>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не в матрице</t>
  </si>
  <si>
    <t xml:space="preserve"> 395  Колбаса Докторская ГОСТ ТМ Вязанка в оболочке полиамид 0,37 кг. ПОКОМ</t>
  </si>
  <si>
    <t xml:space="preserve"> 247  Сардельки Нежные, ВЕС.  ПОКОМ</t>
  </si>
  <si>
    <t>нет потребности</t>
  </si>
  <si>
    <t xml:space="preserve"> 436  Колбаса Молочная стародворская с молоком, ВЕС, ТМ Стародворье  ПОКОМ</t>
  </si>
  <si>
    <t xml:space="preserve"> 544  Сосиски Мясные для гриля ТС Ядрена копоть 0,3 кг  ПОКОМ</t>
  </si>
  <si>
    <t xml:space="preserve"> 517  Сосиски С сыром ТМ Ядрена копоть 0,3кг  ПОКОМ</t>
  </si>
  <si>
    <t xml:space="preserve"> 244  Колбаса Сервелат Кремлевский, ВЕС. ПОКОМ</t>
  </si>
  <si>
    <t xml:space="preserve"> 430  Колбаса Стародворская с окороком 0,4 кг. ТМ Стародворье в оболочке полиамид  ПОКОМ</t>
  </si>
  <si>
    <t xml:space="preserve"> 460  Колбаса Стародворская Традиционная ВЕС ТМ Стародворье в оболочке полиамид. ПОКОМ</t>
  </si>
  <si>
    <t xml:space="preserve"> 451 Сосиски Филейские ТМ Вязанка в оболочке целлофан 0,3 кг. ПОКОМ</t>
  </si>
  <si>
    <t xml:space="preserve"> 433 Колбаса Стародворская со шпиком  в оболочке полиамид. ТМ Стародворье ВЕС ПОКОМ</t>
  </si>
  <si>
    <t xml:space="preserve"> 355  Колбаса Сервелат запеченный ТМ Стародворье ТС Дугушка. 0,6 кг. ПОКОМ</t>
  </si>
  <si>
    <t xml:space="preserve"> 564  Сосиски Сочные 0,3 кг ТМ Вязанка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</si>
  <si>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</si>
  <si>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567 Колбаса Со шпиком Стародворская ТМ Стародворье в оболочке полиамид ВЕС  ПОКОМ</t>
  </si>
  <si>
    <t xml:space="preserve"> 023  Колбаса Докторская ГОСТ, Вязанка вектор, 0,4 кг, ПОКОМ</t>
  </si>
  <si>
    <t>матрица</t>
  </si>
  <si>
    <t>ошибка в реализации 21,07,26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</si>
  <si>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</si>
  <si>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</si>
  <si>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Консервы Буженина в пряном маринаде ТМ Стародворье банка металлическая ф/в 0,25 кг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</si>
</sst>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6"/>
  <sheetViews>
    <sheetView tabSelected="1" zoomScale="85" workbookViewId="0">
      <pane xSplit="2" ySplit="5" topLeftCell="C24" activePane="bottomRight" state="frozen"/>
      <selection pane="topRight"/>
      <selection pane="bottomLeft"/>
      <selection pane="bottomRight" activeCell="AH29" sqref="AH2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39.28515625" customWidth="1"/>
    <col min="35" max="35" width="7" customWidth="1"/>
    <col min="36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28</v>
      </c>
      <c r="Y4" s="1" t="s">
        <v>23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SUM(E6:E496)</f>
        <v>24252.432000000004</v>
      </c>
      <c r="F5" s="4">
        <f>SUM(F6:F496)</f>
        <v>18576.453999999998</v>
      </c>
      <c r="G5" s="7"/>
      <c r="H5" s="1"/>
      <c r="I5" s="1"/>
      <c r="J5" s="1"/>
      <c r="K5" s="4">
        <f t="shared" ref="K5:U5" si="0">SUM(K6:K496)</f>
        <v>27648.403000000002</v>
      </c>
      <c r="L5" s="4">
        <f t="shared" si="0"/>
        <v>-3395.971</v>
      </c>
      <c r="M5" s="4">
        <f t="shared" si="0"/>
        <v>0</v>
      </c>
      <c r="N5" s="4">
        <f t="shared" si="0"/>
        <v>0</v>
      </c>
      <c r="O5" s="4">
        <f t="shared" si="0"/>
        <v>-580</v>
      </c>
      <c r="P5" s="4">
        <f t="shared" si="0"/>
        <v>12738.224502000001</v>
      </c>
      <c r="Q5" s="4">
        <f t="shared" si="0"/>
        <v>7508.547959999999</v>
      </c>
      <c r="R5" s="4">
        <f t="shared" si="0"/>
        <v>700</v>
      </c>
      <c r="S5" s="4">
        <f t="shared" si="0"/>
        <v>10363.167410000005</v>
      </c>
      <c r="T5" s="4">
        <f t="shared" si="0"/>
        <v>4850.651399999997</v>
      </c>
      <c r="U5" s="4">
        <f t="shared" si="0"/>
        <v>10564.525819999997</v>
      </c>
      <c r="V5" s="1"/>
      <c r="W5" s="1"/>
      <c r="X5" s="4">
        <f t="shared" ref="X5:AG5" si="1">SUM(X6:X496)</f>
        <v>4686.2807999999959</v>
      </c>
      <c r="Y5" s="4">
        <f t="shared" si="1"/>
        <v>5305.5445999999984</v>
      </c>
      <c r="Z5" s="4">
        <f t="shared" si="1"/>
        <v>5251.1022000000012</v>
      </c>
      <c r="AA5" s="4">
        <f t="shared" si="1"/>
        <v>4882.8654000000024</v>
      </c>
      <c r="AB5" s="4">
        <f t="shared" si="1"/>
        <v>4610.0834000000004</v>
      </c>
      <c r="AC5" s="4">
        <f t="shared" si="1"/>
        <v>4379.4256000000005</v>
      </c>
      <c r="AD5" s="4">
        <f t="shared" si="1"/>
        <v>4795.4853999999996</v>
      </c>
      <c r="AE5" s="4">
        <f t="shared" si="1"/>
        <v>4742.218200000003</v>
      </c>
      <c r="AF5" s="4">
        <f t="shared" si="1"/>
        <v>3930.9021999999991</v>
      </c>
      <c r="AG5" s="4">
        <f t="shared" si="1"/>
        <v>4468.8339999999998</v>
      </c>
      <c r="AH5" s="1"/>
      <c r="AI5" s="4">
        <f>SUM(AI6:AI496)</f>
        <v>8097.1108700000004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37</v>
      </c>
      <c r="B6" s="1" t="s">
        <v>38</v>
      </c>
      <c r="C6" s="1">
        <v>726.64</v>
      </c>
      <c r="D6" s="1">
        <v>240.90600000000001</v>
      </c>
      <c r="E6" s="1">
        <v>255.542</v>
      </c>
      <c r="F6" s="1">
        <v>496.25099999999998</v>
      </c>
      <c r="G6" s="7">
        <v>1</v>
      </c>
      <c r="H6" s="1">
        <v>50</v>
      </c>
      <c r="I6" s="1" t="s">
        <v>171</v>
      </c>
      <c r="J6" s="1"/>
      <c r="K6" s="1">
        <v>276.44600000000003</v>
      </c>
      <c r="L6" s="1">
        <f t="shared" ref="L6:L37" si="2">E6-K6</f>
        <v>-20.904000000000025</v>
      </c>
      <c r="M6" s="1"/>
      <c r="N6" s="1"/>
      <c r="O6" s="1"/>
      <c r="P6" s="1"/>
      <c r="Q6" s="1">
        <v>0</v>
      </c>
      <c r="R6" s="1"/>
      <c r="S6" s="1">
        <v>50.014499999999998</v>
      </c>
      <c r="T6" s="1">
        <f>E6/5</f>
        <v>51.108400000000003</v>
      </c>
      <c r="U6" s="5">
        <f>11*T6-S6-R6-Q6-P6-O6-F6</f>
        <v>15.926900000000046</v>
      </c>
      <c r="V6" s="1">
        <f>(F6+P6+Q6+R6+S6+U6)/T6</f>
        <v>11</v>
      </c>
      <c r="W6" s="1">
        <f>(F6+P6+Q6+R6+S6)/T6</f>
        <v>10.6883702092024</v>
      </c>
      <c r="X6" s="1">
        <v>52.763399999999997</v>
      </c>
      <c r="Y6" s="1">
        <v>58.165599999999998</v>
      </c>
      <c r="Z6" s="1">
        <v>54.690600000000003</v>
      </c>
      <c r="AA6" s="1">
        <v>46.491</v>
      </c>
      <c r="AB6" s="1">
        <v>47.119399999999999</v>
      </c>
      <c r="AC6" s="1">
        <v>53.623600000000003</v>
      </c>
      <c r="AD6" s="1">
        <v>56.045000000000002</v>
      </c>
      <c r="AE6" s="1">
        <v>46.704799999999999</v>
      </c>
      <c r="AF6" s="1">
        <v>63.439599999999999</v>
      </c>
      <c r="AG6" s="1">
        <v>49.296799999999998</v>
      </c>
      <c r="AH6" s="1"/>
      <c r="AI6" s="1">
        <f t="shared" ref="AI6:AI16" si="3">G6*U6</f>
        <v>15.926900000000046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40</v>
      </c>
      <c r="B7" s="1" t="s">
        <v>38</v>
      </c>
      <c r="C7" s="1">
        <v>157.69900000000001</v>
      </c>
      <c r="D7" s="1">
        <v>207.04300000000001</v>
      </c>
      <c r="E7" s="1">
        <v>146.328</v>
      </c>
      <c r="F7" s="1">
        <v>15.09</v>
      </c>
      <c r="G7" s="7">
        <v>1</v>
      </c>
      <c r="H7" s="1">
        <v>45</v>
      </c>
      <c r="I7" s="1" t="s">
        <v>171</v>
      </c>
      <c r="J7" s="1"/>
      <c r="K7" s="1">
        <v>275.10000000000002</v>
      </c>
      <c r="L7" s="1">
        <f t="shared" si="2"/>
        <v>-128.77200000000002</v>
      </c>
      <c r="M7" s="1"/>
      <c r="N7" s="1"/>
      <c r="O7" s="1"/>
      <c r="P7" s="1">
        <v>18.94399999999996</v>
      </c>
      <c r="Q7" s="1">
        <v>454.38643999999999</v>
      </c>
      <c r="R7" s="1"/>
      <c r="S7" s="1">
        <v>581.10275000000013</v>
      </c>
      <c r="T7" s="1">
        <f t="shared" ref="T7:T70" si="4">E7/5</f>
        <v>29.265599999999999</v>
      </c>
      <c r="U7" s="5"/>
      <c r="V7" s="1">
        <f t="shared" ref="V7:V70" si="5">(F7+P7+Q7+R7+S7+U7)/T7</f>
        <v>36.545404502214211</v>
      </c>
      <c r="W7" s="1">
        <f t="shared" ref="W7:W70" si="6">(F7+P7+Q7+R7+S7)/T7</f>
        <v>36.545404502214211</v>
      </c>
      <c r="X7" s="1">
        <v>120.8122</v>
      </c>
      <c r="Y7" s="1">
        <v>121.6172</v>
      </c>
      <c r="Z7" s="1">
        <v>57.033000000000001</v>
      </c>
      <c r="AA7" s="1">
        <v>50.988399999999999</v>
      </c>
      <c r="AB7" s="1">
        <v>57.305199999999999</v>
      </c>
      <c r="AC7" s="1">
        <v>50.251199999999997</v>
      </c>
      <c r="AD7" s="1">
        <v>39.101599999999998</v>
      </c>
      <c r="AE7" s="1">
        <v>44.53</v>
      </c>
      <c r="AF7" s="1">
        <v>37.011600000000001</v>
      </c>
      <c r="AG7" s="1">
        <v>45.130600000000001</v>
      </c>
      <c r="AH7" s="1"/>
      <c r="AI7" s="1">
        <f t="shared" si="3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41</v>
      </c>
      <c r="B8" s="1" t="s">
        <v>38</v>
      </c>
      <c r="C8" s="1">
        <v>427.161</v>
      </c>
      <c r="D8" s="1">
        <v>89.018000000000001</v>
      </c>
      <c r="E8" s="1">
        <v>476.45299999999997</v>
      </c>
      <c r="F8" s="1">
        <v>19.058</v>
      </c>
      <c r="G8" s="7">
        <v>1</v>
      </c>
      <c r="H8" s="1">
        <v>45</v>
      </c>
      <c r="I8" s="1" t="s">
        <v>171</v>
      </c>
      <c r="J8" s="1"/>
      <c r="K8" s="1">
        <v>497.5</v>
      </c>
      <c r="L8" s="1">
        <f t="shared" si="2"/>
        <v>-21.047000000000025</v>
      </c>
      <c r="M8" s="1"/>
      <c r="N8" s="1"/>
      <c r="O8" s="1"/>
      <c r="P8" s="1">
        <v>79.832399999999893</v>
      </c>
      <c r="Q8" s="1">
        <v>262.44080000000002</v>
      </c>
      <c r="R8" s="1"/>
      <c r="S8" s="1">
        <v>483.66721999999987</v>
      </c>
      <c r="T8" s="1">
        <f t="shared" si="4"/>
        <v>95.290599999999998</v>
      </c>
      <c r="U8" s="5">
        <f>10*T8-S8-R8-Q8-P8-O8-F8</f>
        <v>107.90758000000017</v>
      </c>
      <c r="V8" s="1">
        <f t="shared" si="5"/>
        <v>10</v>
      </c>
      <c r="W8" s="1">
        <f t="shared" si="6"/>
        <v>8.8675947050391102</v>
      </c>
      <c r="X8" s="1">
        <v>107.0196</v>
      </c>
      <c r="Y8" s="1">
        <v>70.07419999999999</v>
      </c>
      <c r="Z8" s="1">
        <v>65.295199999999994</v>
      </c>
      <c r="AA8" s="1">
        <v>58.473199999999999</v>
      </c>
      <c r="AB8" s="1">
        <v>43.594799999999999</v>
      </c>
      <c r="AC8" s="1">
        <v>39.247</v>
      </c>
      <c r="AD8" s="1">
        <v>44.662799999999997</v>
      </c>
      <c r="AE8" s="1">
        <v>47.197400000000002</v>
      </c>
      <c r="AF8" s="1">
        <v>49.338799999999999</v>
      </c>
      <c r="AG8" s="1">
        <v>60.385000000000012</v>
      </c>
      <c r="AH8" s="1"/>
      <c r="AI8" s="1">
        <f t="shared" si="3"/>
        <v>107.90758000000017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42</v>
      </c>
      <c r="B9" s="1" t="s">
        <v>43</v>
      </c>
      <c r="C9" s="1">
        <v>574.60699999999997</v>
      </c>
      <c r="D9" s="1">
        <v>1353.393</v>
      </c>
      <c r="E9" s="1">
        <v>654</v>
      </c>
      <c r="F9" s="1">
        <v>472</v>
      </c>
      <c r="G9" s="7">
        <v>0.45</v>
      </c>
      <c r="H9" s="1">
        <v>45</v>
      </c>
      <c r="I9" s="1" t="s">
        <v>171</v>
      </c>
      <c r="J9" s="1"/>
      <c r="K9" s="1">
        <v>695</v>
      </c>
      <c r="L9" s="1">
        <f t="shared" si="2"/>
        <v>-41</v>
      </c>
      <c r="M9" s="1"/>
      <c r="N9" s="1"/>
      <c r="O9" s="1"/>
      <c r="P9" s="1">
        <v>215.59999999999991</v>
      </c>
      <c r="Q9" s="1">
        <v>0</v>
      </c>
      <c r="R9" s="1"/>
      <c r="S9" s="1">
        <v>257.77300000000008</v>
      </c>
      <c r="T9" s="1">
        <f t="shared" si="4"/>
        <v>130.80000000000001</v>
      </c>
      <c r="U9" s="5">
        <f t="shared" ref="U9:U15" si="7">11*T9-S9-R9-Q9-P9-O9-F9</f>
        <v>493.42700000000013</v>
      </c>
      <c r="V9" s="1">
        <f t="shared" si="5"/>
        <v>11</v>
      </c>
      <c r="W9" s="1">
        <f t="shared" si="6"/>
        <v>7.2276223241590207</v>
      </c>
      <c r="X9" s="1">
        <v>112.4</v>
      </c>
      <c r="Y9" s="1">
        <v>123</v>
      </c>
      <c r="Z9" s="1">
        <v>122</v>
      </c>
      <c r="AA9" s="1">
        <v>130.80000000000001</v>
      </c>
      <c r="AB9" s="1">
        <v>90.8</v>
      </c>
      <c r="AC9" s="1">
        <v>18.8</v>
      </c>
      <c r="AD9" s="1">
        <v>67</v>
      </c>
      <c r="AE9" s="1">
        <v>159.80000000000001</v>
      </c>
      <c r="AF9" s="1">
        <v>86.2</v>
      </c>
      <c r="AG9" s="1">
        <v>120.6</v>
      </c>
      <c r="AH9" s="1"/>
      <c r="AI9" s="1">
        <f t="shared" si="3"/>
        <v>222.04215000000008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44</v>
      </c>
      <c r="B10" s="1" t="s">
        <v>43</v>
      </c>
      <c r="C10" s="1">
        <v>382</v>
      </c>
      <c r="D10" s="1">
        <v>1245</v>
      </c>
      <c r="E10" s="1">
        <v>667</v>
      </c>
      <c r="F10" s="1">
        <v>57</v>
      </c>
      <c r="G10" s="7">
        <v>0.45</v>
      </c>
      <c r="H10" s="1">
        <v>45</v>
      </c>
      <c r="I10" s="1" t="s">
        <v>171</v>
      </c>
      <c r="J10" s="1"/>
      <c r="K10" s="1">
        <v>789</v>
      </c>
      <c r="L10" s="1">
        <f t="shared" si="2"/>
        <v>-122</v>
      </c>
      <c r="M10" s="1"/>
      <c r="N10" s="1"/>
      <c r="O10" s="1"/>
      <c r="P10" s="1">
        <v>842.59999999999991</v>
      </c>
      <c r="Q10" s="1">
        <v>69.439999999999912</v>
      </c>
      <c r="R10" s="1"/>
      <c r="S10" s="1">
        <v>397.06000000000029</v>
      </c>
      <c r="T10" s="1">
        <f t="shared" si="4"/>
        <v>133.4</v>
      </c>
      <c r="U10" s="5">
        <f t="shared" si="7"/>
        <v>101.29999999999984</v>
      </c>
      <c r="V10" s="1">
        <f t="shared" si="5"/>
        <v>11</v>
      </c>
      <c r="W10" s="1">
        <f t="shared" si="6"/>
        <v>10.240629685157423</v>
      </c>
      <c r="X10" s="1">
        <v>138</v>
      </c>
      <c r="Y10" s="1">
        <v>155.19999999999999</v>
      </c>
      <c r="Z10" s="1">
        <v>140.19999999999999</v>
      </c>
      <c r="AA10" s="1">
        <v>109</v>
      </c>
      <c r="AB10" s="1">
        <v>125</v>
      </c>
      <c r="AC10" s="1">
        <v>115.6</v>
      </c>
      <c r="AD10" s="1">
        <v>125.6</v>
      </c>
      <c r="AE10" s="1">
        <v>126</v>
      </c>
      <c r="AF10" s="1">
        <v>99.2</v>
      </c>
      <c r="AG10" s="1">
        <v>110.2</v>
      </c>
      <c r="AH10" s="1"/>
      <c r="AI10" s="1">
        <f t="shared" si="3"/>
        <v>45.58499999999993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45</v>
      </c>
      <c r="B11" s="1" t="s">
        <v>43</v>
      </c>
      <c r="C11" s="1">
        <v>233</v>
      </c>
      <c r="D11" s="1">
        <v>70</v>
      </c>
      <c r="E11" s="1">
        <v>101</v>
      </c>
      <c r="F11" s="1">
        <v>190</v>
      </c>
      <c r="G11" s="7">
        <v>0.17</v>
      </c>
      <c r="H11" s="1">
        <v>180</v>
      </c>
      <c r="I11" s="1" t="s">
        <v>171</v>
      </c>
      <c r="J11" s="1"/>
      <c r="K11" s="1">
        <v>113</v>
      </c>
      <c r="L11" s="1">
        <f t="shared" si="2"/>
        <v>-12</v>
      </c>
      <c r="M11" s="1"/>
      <c r="N11" s="1"/>
      <c r="O11" s="1"/>
      <c r="P11" s="1"/>
      <c r="Q11" s="1">
        <v>0</v>
      </c>
      <c r="R11" s="1"/>
      <c r="S11" s="1">
        <v>114.96</v>
      </c>
      <c r="T11" s="1">
        <f t="shared" si="4"/>
        <v>20.2</v>
      </c>
      <c r="U11" s="5"/>
      <c r="V11" s="1">
        <f t="shared" si="5"/>
        <v>15.097029702970296</v>
      </c>
      <c r="W11" s="1">
        <f t="shared" si="6"/>
        <v>15.097029702970296</v>
      </c>
      <c r="X11" s="1">
        <v>24.8</v>
      </c>
      <c r="Y11" s="1">
        <v>23.6</v>
      </c>
      <c r="Z11" s="1">
        <v>20.6</v>
      </c>
      <c r="AA11" s="1">
        <v>16.399999999999999</v>
      </c>
      <c r="AB11" s="1">
        <v>10.199999999999999</v>
      </c>
      <c r="AC11" s="1">
        <v>11</v>
      </c>
      <c r="AD11" s="1">
        <v>13.6</v>
      </c>
      <c r="AE11" s="1">
        <v>17.2</v>
      </c>
      <c r="AF11" s="1">
        <v>16</v>
      </c>
      <c r="AG11" s="1">
        <v>12.6</v>
      </c>
      <c r="AH11" s="1"/>
      <c r="AI11" s="1">
        <f t="shared" si="3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46</v>
      </c>
      <c r="B12" s="1" t="s">
        <v>43</v>
      </c>
      <c r="C12" s="1">
        <v>153</v>
      </c>
      <c r="D12" s="1">
        <v>113</v>
      </c>
      <c r="E12" s="1">
        <v>152</v>
      </c>
      <c r="F12" s="1">
        <v>7</v>
      </c>
      <c r="G12" s="7">
        <v>0.3</v>
      </c>
      <c r="H12" s="1">
        <v>40</v>
      </c>
      <c r="I12" s="1" t="s">
        <v>171</v>
      </c>
      <c r="J12" s="1"/>
      <c r="K12" s="1">
        <v>200</v>
      </c>
      <c r="L12" s="1">
        <f t="shared" si="2"/>
        <v>-48</v>
      </c>
      <c r="M12" s="1"/>
      <c r="N12" s="1"/>
      <c r="O12" s="1"/>
      <c r="P12" s="1">
        <v>180.6</v>
      </c>
      <c r="Q12" s="1">
        <v>0</v>
      </c>
      <c r="R12" s="1"/>
      <c r="S12" s="1">
        <v>106.16</v>
      </c>
      <c r="T12" s="1">
        <f t="shared" si="4"/>
        <v>30.4</v>
      </c>
      <c r="U12" s="5">
        <f t="shared" si="7"/>
        <v>40.639999999999986</v>
      </c>
      <c r="V12" s="1">
        <f t="shared" si="5"/>
        <v>11</v>
      </c>
      <c r="W12" s="1">
        <f t="shared" si="6"/>
        <v>9.6631578947368428</v>
      </c>
      <c r="X12" s="1">
        <v>28.8</v>
      </c>
      <c r="Y12" s="1">
        <v>27.8</v>
      </c>
      <c r="Z12" s="1">
        <v>31.8</v>
      </c>
      <c r="AA12" s="1">
        <v>25.6</v>
      </c>
      <c r="AB12" s="1">
        <v>14.2</v>
      </c>
      <c r="AC12" s="1">
        <v>10.199999999999999</v>
      </c>
      <c r="AD12" s="1">
        <v>20.8</v>
      </c>
      <c r="AE12" s="1">
        <v>31</v>
      </c>
      <c r="AF12" s="1">
        <v>16.600000000000001</v>
      </c>
      <c r="AG12" s="1">
        <v>28.8</v>
      </c>
      <c r="AH12" s="1"/>
      <c r="AI12" s="1">
        <f t="shared" si="3"/>
        <v>12.191999999999995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47</v>
      </c>
      <c r="B13" s="1" t="s">
        <v>43</v>
      </c>
      <c r="C13" s="1">
        <v>430</v>
      </c>
      <c r="D13" s="1">
        <v>104</v>
      </c>
      <c r="E13" s="1">
        <v>151</v>
      </c>
      <c r="F13" s="1">
        <v>251</v>
      </c>
      <c r="G13" s="7">
        <v>0.17</v>
      </c>
      <c r="H13" s="1">
        <v>180</v>
      </c>
      <c r="I13" s="1" t="s">
        <v>171</v>
      </c>
      <c r="J13" s="1"/>
      <c r="K13" s="1">
        <v>164</v>
      </c>
      <c r="L13" s="1">
        <f t="shared" si="2"/>
        <v>-13</v>
      </c>
      <c r="M13" s="1"/>
      <c r="N13" s="1"/>
      <c r="O13" s="1"/>
      <c r="P13" s="1"/>
      <c r="Q13" s="1">
        <v>0</v>
      </c>
      <c r="R13" s="1"/>
      <c r="S13" s="1">
        <v>129.29</v>
      </c>
      <c r="T13" s="1">
        <f t="shared" si="4"/>
        <v>30.2</v>
      </c>
      <c r="U13" s="5"/>
      <c r="V13" s="1">
        <f t="shared" si="5"/>
        <v>12.592384105960264</v>
      </c>
      <c r="W13" s="1">
        <f t="shared" si="6"/>
        <v>12.592384105960264</v>
      </c>
      <c r="X13" s="1">
        <v>40.200000000000003</v>
      </c>
      <c r="Y13" s="1">
        <v>31.4</v>
      </c>
      <c r="Z13" s="1">
        <v>25.6</v>
      </c>
      <c r="AA13" s="1">
        <v>24</v>
      </c>
      <c r="AB13" s="1">
        <v>16.2</v>
      </c>
      <c r="AC13" s="1">
        <v>15</v>
      </c>
      <c r="AD13" s="1">
        <v>12.2</v>
      </c>
      <c r="AE13" s="1">
        <v>19.600000000000001</v>
      </c>
      <c r="AF13" s="1">
        <v>22</v>
      </c>
      <c r="AG13" s="1">
        <v>19.8</v>
      </c>
      <c r="AH13" s="1"/>
      <c r="AI13" s="1">
        <f t="shared" si="3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48</v>
      </c>
      <c r="B14" s="1" t="s">
        <v>38</v>
      </c>
      <c r="C14" s="1">
        <v>1039.7090000000001</v>
      </c>
      <c r="D14" s="1">
        <v>424.68400000000003</v>
      </c>
      <c r="E14" s="1">
        <v>505.64100000000002</v>
      </c>
      <c r="F14" s="1">
        <v>584.76</v>
      </c>
      <c r="G14" s="7">
        <v>1</v>
      </c>
      <c r="H14" s="1">
        <v>70</v>
      </c>
      <c r="I14" s="1" t="s">
        <v>171</v>
      </c>
      <c r="J14" s="1"/>
      <c r="K14" s="1">
        <v>475.5</v>
      </c>
      <c r="L14" s="1">
        <f t="shared" si="2"/>
        <v>30.14100000000002</v>
      </c>
      <c r="M14" s="1"/>
      <c r="N14" s="1"/>
      <c r="O14" s="1"/>
      <c r="P14" s="1"/>
      <c r="Q14" s="1">
        <v>61.493679999999877</v>
      </c>
      <c r="R14" s="1"/>
      <c r="S14" s="1">
        <v>216.27308000000011</v>
      </c>
      <c r="T14" s="1">
        <f t="shared" si="4"/>
        <v>101.12820000000001</v>
      </c>
      <c r="U14" s="5">
        <f t="shared" si="7"/>
        <v>249.88343999999995</v>
      </c>
      <c r="V14" s="1">
        <f t="shared" si="5"/>
        <v>10.999999999999996</v>
      </c>
      <c r="W14" s="1">
        <f t="shared" si="6"/>
        <v>8.5290429375782413</v>
      </c>
      <c r="X14" s="1">
        <v>101.80880000000001</v>
      </c>
      <c r="Y14" s="1">
        <v>108.13339999999999</v>
      </c>
      <c r="Z14" s="1">
        <v>101.485</v>
      </c>
      <c r="AA14" s="1">
        <v>95.054000000000002</v>
      </c>
      <c r="AB14" s="1">
        <v>97.219200000000001</v>
      </c>
      <c r="AC14" s="1">
        <v>95.599800000000002</v>
      </c>
      <c r="AD14" s="1">
        <v>102.29300000000001</v>
      </c>
      <c r="AE14" s="1">
        <v>68.812399999999997</v>
      </c>
      <c r="AF14" s="1">
        <v>85.433599999999998</v>
      </c>
      <c r="AG14" s="1">
        <v>78.587000000000003</v>
      </c>
      <c r="AH14" s="1"/>
      <c r="AI14" s="1">
        <f t="shared" si="3"/>
        <v>249.88343999999995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49</v>
      </c>
      <c r="B15" s="1" t="s">
        <v>38</v>
      </c>
      <c r="C15" s="1">
        <v>3350.1570000000002</v>
      </c>
      <c r="D15" s="1">
        <v>1568.6949999999999</v>
      </c>
      <c r="E15" s="1">
        <v>2223.2199999999998</v>
      </c>
      <c r="F15" s="1">
        <v>1695.857</v>
      </c>
      <c r="G15" s="7">
        <v>1</v>
      </c>
      <c r="H15" s="1">
        <v>50</v>
      </c>
      <c r="I15" s="1" t="s">
        <v>171</v>
      </c>
      <c r="J15" s="1"/>
      <c r="K15" s="1">
        <v>2347</v>
      </c>
      <c r="L15" s="1">
        <f t="shared" si="2"/>
        <v>-123.7800000000002</v>
      </c>
      <c r="M15" s="1"/>
      <c r="N15" s="1"/>
      <c r="O15" s="1"/>
      <c r="P15" s="1">
        <v>1279.897199999999</v>
      </c>
      <c r="Q15" s="1">
        <v>0</v>
      </c>
      <c r="R15" s="1"/>
      <c r="S15" s="1">
        <v>483.81026000000128</v>
      </c>
      <c r="T15" s="1">
        <f t="shared" si="4"/>
        <v>444.64399999999995</v>
      </c>
      <c r="U15" s="5">
        <f t="shared" si="7"/>
        <v>1431.5195399999998</v>
      </c>
      <c r="V15" s="1">
        <f t="shared" si="5"/>
        <v>11.000000000000002</v>
      </c>
      <c r="W15" s="1">
        <f t="shared" si="6"/>
        <v>7.7805265785662252</v>
      </c>
      <c r="X15" s="1">
        <v>417.89479999999998</v>
      </c>
      <c r="Y15" s="1">
        <v>444.3236</v>
      </c>
      <c r="Z15" s="1">
        <v>493.88639999999998</v>
      </c>
      <c r="AA15" s="1">
        <v>433.84800000000001</v>
      </c>
      <c r="AB15" s="1">
        <v>434.37839999999989</v>
      </c>
      <c r="AC15" s="1">
        <v>429.15240000000011</v>
      </c>
      <c r="AD15" s="1">
        <v>496.16739999999999</v>
      </c>
      <c r="AE15" s="1">
        <v>412.55460000000011</v>
      </c>
      <c r="AF15" s="1">
        <v>402.76819999999998</v>
      </c>
      <c r="AG15" s="1">
        <v>385.99779999999998</v>
      </c>
      <c r="AH15" s="1"/>
      <c r="AI15" s="1">
        <f t="shared" si="3"/>
        <v>1431.5195399999998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50</v>
      </c>
      <c r="B16" s="1" t="s">
        <v>38</v>
      </c>
      <c r="C16" s="1">
        <v>28.806000000000001</v>
      </c>
      <c r="D16" s="1">
        <v>90.918999999999997</v>
      </c>
      <c r="E16" s="1">
        <v>53.317</v>
      </c>
      <c r="F16" s="1">
        <v>16.719000000000001</v>
      </c>
      <c r="G16" s="7">
        <v>1</v>
      </c>
      <c r="H16" s="1">
        <v>60</v>
      </c>
      <c r="I16" s="1" t="s">
        <v>171</v>
      </c>
      <c r="J16" s="1"/>
      <c r="K16" s="1">
        <v>76</v>
      </c>
      <c r="L16" s="1">
        <f t="shared" si="2"/>
        <v>-22.683</v>
      </c>
      <c r="M16" s="1"/>
      <c r="N16" s="1"/>
      <c r="O16" s="1"/>
      <c r="P16" s="1">
        <v>50.633395999999991</v>
      </c>
      <c r="Q16" s="1">
        <v>64.391599999999954</v>
      </c>
      <c r="R16" s="1"/>
      <c r="S16" s="1">
        <v>75.357700000000037</v>
      </c>
      <c r="T16" s="1">
        <f t="shared" si="4"/>
        <v>10.663399999999999</v>
      </c>
      <c r="U16" s="5"/>
      <c r="V16" s="1">
        <f t="shared" si="5"/>
        <v>19.42173190539603</v>
      </c>
      <c r="W16" s="1">
        <f t="shared" si="6"/>
        <v>19.42173190539603</v>
      </c>
      <c r="X16" s="1">
        <v>17.847000000000001</v>
      </c>
      <c r="Y16" s="1">
        <v>16.242799999999999</v>
      </c>
      <c r="Z16" s="1">
        <v>14.605600000000001</v>
      </c>
      <c r="AA16" s="1">
        <v>13.058199999999999</v>
      </c>
      <c r="AB16" s="1">
        <v>15.687200000000001</v>
      </c>
      <c r="AC16" s="1">
        <v>14.436199999999999</v>
      </c>
      <c r="AD16" s="1">
        <v>16.920999999999999</v>
      </c>
      <c r="AE16" s="1">
        <v>17.105399999999999</v>
      </c>
      <c r="AF16" s="1">
        <v>7.8916000000000004</v>
      </c>
      <c r="AG16" s="1">
        <v>13.2926</v>
      </c>
      <c r="AH16" s="1"/>
      <c r="AI16" s="1">
        <f t="shared" si="3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0" t="s">
        <v>51</v>
      </c>
      <c r="B17" s="10" t="s">
        <v>38</v>
      </c>
      <c r="C17" s="10">
        <v>-376.17599999999999</v>
      </c>
      <c r="D17" s="10">
        <v>416.33499999999998</v>
      </c>
      <c r="E17" s="10">
        <v>2.5459999999999998</v>
      </c>
      <c r="F17" s="10"/>
      <c r="G17" s="11">
        <v>0</v>
      </c>
      <c r="H17" s="10"/>
      <c r="I17" s="10" t="s">
        <v>154</v>
      </c>
      <c r="J17" s="10" t="s">
        <v>52</v>
      </c>
      <c r="K17" s="10">
        <v>2.5459999999999998</v>
      </c>
      <c r="L17" s="10">
        <f t="shared" si="2"/>
        <v>0</v>
      </c>
      <c r="M17" s="10"/>
      <c r="N17" s="10"/>
      <c r="O17" s="10"/>
      <c r="P17" s="10"/>
      <c r="Q17" s="10">
        <v>0</v>
      </c>
      <c r="R17" s="10"/>
      <c r="S17" s="10">
        <v>0</v>
      </c>
      <c r="T17" s="10">
        <f t="shared" si="4"/>
        <v>0.50919999999999999</v>
      </c>
      <c r="U17" s="12"/>
      <c r="V17" s="10">
        <f t="shared" si="5"/>
        <v>0</v>
      </c>
      <c r="W17" s="10">
        <f t="shared" si="6"/>
        <v>0</v>
      </c>
      <c r="X17" s="10">
        <v>-0.28999999999999998</v>
      </c>
      <c r="Y17" s="10">
        <v>2.3957999999999999</v>
      </c>
      <c r="Z17" s="10">
        <v>4.0928000000000022</v>
      </c>
      <c r="AA17" s="10">
        <v>38.834000000000003</v>
      </c>
      <c r="AB17" s="10">
        <v>76.428399999999996</v>
      </c>
      <c r="AC17" s="10">
        <v>138.869</v>
      </c>
      <c r="AD17" s="10">
        <v>202.4058</v>
      </c>
      <c r="AE17" s="10">
        <v>226.36940000000001</v>
      </c>
      <c r="AF17" s="10">
        <v>199.435</v>
      </c>
      <c r="AG17" s="10">
        <v>217.35759999999999</v>
      </c>
      <c r="AH17" s="10" t="s">
        <v>53</v>
      </c>
      <c r="AI17" s="10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54</v>
      </c>
      <c r="B18" s="1" t="s">
        <v>38</v>
      </c>
      <c r="C18" s="1">
        <v>50.475999999999999</v>
      </c>
      <c r="D18" s="1">
        <v>40.914000000000001</v>
      </c>
      <c r="E18" s="1">
        <v>18.62</v>
      </c>
      <c r="F18" s="1">
        <v>44.334000000000003</v>
      </c>
      <c r="G18" s="7">
        <v>1</v>
      </c>
      <c r="H18" s="1">
        <v>60</v>
      </c>
      <c r="I18" s="1" t="s">
        <v>171</v>
      </c>
      <c r="J18" s="1"/>
      <c r="K18" s="1">
        <v>21.68</v>
      </c>
      <c r="L18" s="1">
        <f t="shared" si="2"/>
        <v>-3.0599999999999987</v>
      </c>
      <c r="M18" s="1"/>
      <c r="N18" s="1"/>
      <c r="O18" s="1"/>
      <c r="P18" s="1">
        <v>34.360906</v>
      </c>
      <c r="Q18" s="1">
        <v>0</v>
      </c>
      <c r="R18" s="1"/>
      <c r="S18" s="1">
        <v>0</v>
      </c>
      <c r="T18" s="1">
        <f t="shared" si="4"/>
        <v>3.7240000000000002</v>
      </c>
      <c r="U18" s="5"/>
      <c r="V18" s="1">
        <f t="shared" si="5"/>
        <v>21.131822234156822</v>
      </c>
      <c r="W18" s="1">
        <f t="shared" si="6"/>
        <v>21.131822234156822</v>
      </c>
      <c r="X18" s="1">
        <v>4.6079999999999997</v>
      </c>
      <c r="Y18" s="1">
        <v>6.5492000000000008</v>
      </c>
      <c r="Z18" s="1">
        <v>9.0280000000000005</v>
      </c>
      <c r="AA18" s="1">
        <v>8.1191999999999993</v>
      </c>
      <c r="AB18" s="1">
        <v>9.7012</v>
      </c>
      <c r="AC18" s="1">
        <v>9.1652000000000005</v>
      </c>
      <c r="AD18" s="1">
        <v>10.414</v>
      </c>
      <c r="AE18" s="1">
        <v>8.4854000000000003</v>
      </c>
      <c r="AF18" s="1">
        <v>9.9833999999999996</v>
      </c>
      <c r="AG18" s="1">
        <v>6.6639999999999997</v>
      </c>
      <c r="AH18" s="14" t="s">
        <v>39</v>
      </c>
      <c r="AI18" s="1">
        <f>G18*U18</f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55</v>
      </c>
      <c r="B19" s="1" t="s">
        <v>38</v>
      </c>
      <c r="C19" s="1">
        <v>13.196</v>
      </c>
      <c r="D19" s="1">
        <v>16.597000000000001</v>
      </c>
      <c r="E19" s="1">
        <v>18.684000000000001</v>
      </c>
      <c r="F19" s="1">
        <v>7.101</v>
      </c>
      <c r="G19" s="7">
        <v>1</v>
      </c>
      <c r="H19" s="1">
        <v>180</v>
      </c>
      <c r="I19" s="1" t="s">
        <v>171</v>
      </c>
      <c r="J19" s="1"/>
      <c r="K19" s="1">
        <v>18.39</v>
      </c>
      <c r="L19" s="1">
        <f t="shared" si="2"/>
        <v>0.29400000000000048</v>
      </c>
      <c r="M19" s="1"/>
      <c r="N19" s="1"/>
      <c r="O19" s="1"/>
      <c r="P19" s="1">
        <v>14.129400000000009</v>
      </c>
      <c r="Q19" s="1">
        <v>14.2872</v>
      </c>
      <c r="R19" s="1"/>
      <c r="S19" s="1">
        <v>23.277399999999989</v>
      </c>
      <c r="T19" s="1">
        <f t="shared" si="4"/>
        <v>3.7368000000000001</v>
      </c>
      <c r="U19" s="5"/>
      <c r="V19" s="1">
        <f t="shared" si="5"/>
        <v>15.734050524512952</v>
      </c>
      <c r="W19" s="1">
        <f t="shared" si="6"/>
        <v>15.734050524512952</v>
      </c>
      <c r="X19" s="1">
        <v>4.8635999999999999</v>
      </c>
      <c r="Y19" s="1">
        <v>4.5688000000000004</v>
      </c>
      <c r="Z19" s="1">
        <v>4.2078000000000007</v>
      </c>
      <c r="AA19" s="1">
        <v>4.0621999999999998</v>
      </c>
      <c r="AB19" s="1">
        <v>2.8765999999999998</v>
      </c>
      <c r="AC19" s="1">
        <v>1.7242</v>
      </c>
      <c r="AD19" s="1">
        <v>1.1576</v>
      </c>
      <c r="AE19" s="1">
        <v>1.0666</v>
      </c>
      <c r="AF19" s="1">
        <v>1.5609999999999999</v>
      </c>
      <c r="AG19" s="1">
        <v>2.3315999999999999</v>
      </c>
      <c r="AH19" s="1"/>
      <c r="AI19" s="1">
        <f>G19*U19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56</v>
      </c>
      <c r="B20" s="1" t="s">
        <v>38</v>
      </c>
      <c r="C20" s="1">
        <v>858.07299999999998</v>
      </c>
      <c r="D20" s="1">
        <v>435.67700000000002</v>
      </c>
      <c r="E20" s="1">
        <v>443.488</v>
      </c>
      <c r="F20" s="1">
        <v>431.94200000000001</v>
      </c>
      <c r="G20" s="7">
        <v>1</v>
      </c>
      <c r="H20" s="1">
        <v>60</v>
      </c>
      <c r="I20" s="1" t="s">
        <v>171</v>
      </c>
      <c r="J20" s="1"/>
      <c r="K20" s="1">
        <v>427.98200000000003</v>
      </c>
      <c r="L20" s="1">
        <f t="shared" si="2"/>
        <v>15.505999999999972</v>
      </c>
      <c r="M20" s="1"/>
      <c r="N20" s="1"/>
      <c r="O20" s="1"/>
      <c r="P20" s="1"/>
      <c r="Q20" s="1">
        <v>38.023079999999979</v>
      </c>
      <c r="R20" s="1"/>
      <c r="S20" s="1">
        <v>307.01162000000011</v>
      </c>
      <c r="T20" s="1">
        <f t="shared" si="4"/>
        <v>88.697599999999994</v>
      </c>
      <c r="U20" s="5">
        <f t="shared" ref="U20" si="8">11*T20-S20-R20-Q20-P20-O20-F20</f>
        <v>198.69689999999991</v>
      </c>
      <c r="V20" s="1">
        <f t="shared" si="5"/>
        <v>11.000000000000002</v>
      </c>
      <c r="W20" s="1">
        <f t="shared" si="6"/>
        <v>8.7598390486326601</v>
      </c>
      <c r="X20" s="1">
        <v>89.646000000000001</v>
      </c>
      <c r="Y20" s="1">
        <v>88.110399999999998</v>
      </c>
      <c r="Z20" s="1">
        <v>82.381200000000007</v>
      </c>
      <c r="AA20" s="1">
        <v>76.139800000000008</v>
      </c>
      <c r="AB20" s="1">
        <v>91.680800000000005</v>
      </c>
      <c r="AC20" s="1">
        <v>92.388800000000003</v>
      </c>
      <c r="AD20" s="1">
        <v>96.874600000000001</v>
      </c>
      <c r="AE20" s="1">
        <v>72.781599999999997</v>
      </c>
      <c r="AF20" s="1">
        <v>77.642200000000003</v>
      </c>
      <c r="AG20" s="1">
        <v>62.739400000000003</v>
      </c>
      <c r="AH20" s="1"/>
      <c r="AI20" s="1">
        <f>G20*U20</f>
        <v>198.69689999999991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0" t="s">
        <v>57</v>
      </c>
      <c r="B21" s="10" t="s">
        <v>38</v>
      </c>
      <c r="C21" s="10">
        <v>-30.382000000000001</v>
      </c>
      <c r="D21" s="10">
        <v>30.382000000000001</v>
      </c>
      <c r="E21" s="10"/>
      <c r="F21" s="10"/>
      <c r="G21" s="11">
        <v>0</v>
      </c>
      <c r="H21" s="10"/>
      <c r="I21" s="10" t="s">
        <v>154</v>
      </c>
      <c r="J21" s="10" t="s">
        <v>58</v>
      </c>
      <c r="K21" s="10"/>
      <c r="L21" s="10">
        <f t="shared" si="2"/>
        <v>0</v>
      </c>
      <c r="M21" s="10"/>
      <c r="N21" s="10"/>
      <c r="O21" s="10"/>
      <c r="P21" s="10"/>
      <c r="Q21" s="10">
        <v>0</v>
      </c>
      <c r="R21" s="10"/>
      <c r="S21" s="10">
        <v>0</v>
      </c>
      <c r="T21" s="10">
        <f t="shared" si="4"/>
        <v>0</v>
      </c>
      <c r="U21" s="12"/>
      <c r="V21" s="10" t="e">
        <f t="shared" si="5"/>
        <v>#DIV/0!</v>
      </c>
      <c r="W21" s="10" t="e">
        <f t="shared" si="6"/>
        <v>#DIV/0!</v>
      </c>
      <c r="X21" s="10">
        <v>0</v>
      </c>
      <c r="Y21" s="10">
        <v>0</v>
      </c>
      <c r="Z21" s="10">
        <v>0</v>
      </c>
      <c r="AA21" s="10">
        <v>0</v>
      </c>
      <c r="AB21" s="10">
        <v>6.0763999999999996</v>
      </c>
      <c r="AC21" s="10">
        <v>6.0763999999999996</v>
      </c>
      <c r="AD21" s="10">
        <v>0</v>
      </c>
      <c r="AE21" s="10">
        <v>0</v>
      </c>
      <c r="AF21" s="10">
        <v>0</v>
      </c>
      <c r="AG21" s="10">
        <v>0</v>
      </c>
      <c r="AH21" s="10"/>
      <c r="AI21" s="1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59</v>
      </c>
      <c r="B22" s="1" t="s">
        <v>38</v>
      </c>
      <c r="C22" s="1">
        <v>31.623000000000001</v>
      </c>
      <c r="D22" s="1">
        <v>296.95</v>
      </c>
      <c r="E22" s="1">
        <v>118.72199999999999</v>
      </c>
      <c r="F22" s="1">
        <v>44.853000000000002</v>
      </c>
      <c r="G22" s="7">
        <v>1</v>
      </c>
      <c r="H22" s="1">
        <v>70</v>
      </c>
      <c r="I22" s="1" t="s">
        <v>171</v>
      </c>
      <c r="J22" s="1"/>
      <c r="K22" s="1">
        <v>118</v>
      </c>
      <c r="L22" s="1">
        <f t="shared" si="2"/>
        <v>0.7219999999999942</v>
      </c>
      <c r="M22" s="1"/>
      <c r="N22" s="1"/>
      <c r="O22" s="1"/>
      <c r="P22" s="1">
        <v>116.7803999999999</v>
      </c>
      <c r="Q22" s="1">
        <v>24.678000000000068</v>
      </c>
      <c r="R22" s="1"/>
      <c r="S22" s="1">
        <v>26.236400000000032</v>
      </c>
      <c r="T22" s="1">
        <f t="shared" si="4"/>
        <v>23.744399999999999</v>
      </c>
      <c r="U22" s="5">
        <f t="shared" ref="U22:U38" si="9">11*T22-S22-R22-Q22-P22-O22-F22</f>
        <v>48.640599999999985</v>
      </c>
      <c r="V22" s="1">
        <f t="shared" si="5"/>
        <v>11</v>
      </c>
      <c r="W22" s="1">
        <f t="shared" si="6"/>
        <v>8.9514917201529638</v>
      </c>
      <c r="X22" s="1">
        <v>22.281199999999998</v>
      </c>
      <c r="Y22" s="1">
        <v>26.270199999999999</v>
      </c>
      <c r="Z22" s="1">
        <v>28.505600000000001</v>
      </c>
      <c r="AA22" s="1">
        <v>26.021799999999999</v>
      </c>
      <c r="AB22" s="1">
        <v>23.624600000000001</v>
      </c>
      <c r="AC22" s="1">
        <v>19.945599999999999</v>
      </c>
      <c r="AD22" s="1">
        <v>26.001000000000001</v>
      </c>
      <c r="AE22" s="1">
        <v>23.799199999999999</v>
      </c>
      <c r="AF22" s="1">
        <v>17.553000000000001</v>
      </c>
      <c r="AG22" s="1">
        <v>20.255400000000002</v>
      </c>
      <c r="AH22" s="1"/>
      <c r="AI22" s="1">
        <f t="shared" ref="AI22:AI40" si="10">G22*U22</f>
        <v>48.640599999999985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60</v>
      </c>
      <c r="B23" s="1" t="s">
        <v>38</v>
      </c>
      <c r="C23" s="1">
        <v>534.70299999999997</v>
      </c>
      <c r="D23" s="1">
        <v>174.09200000000001</v>
      </c>
      <c r="E23" s="1">
        <v>213.74799999999999</v>
      </c>
      <c r="F23" s="1">
        <v>318.88400000000001</v>
      </c>
      <c r="G23" s="7">
        <v>1</v>
      </c>
      <c r="H23" s="1">
        <v>70</v>
      </c>
      <c r="I23" s="1" t="s">
        <v>171</v>
      </c>
      <c r="J23" s="1"/>
      <c r="K23" s="1">
        <v>215.98099999999999</v>
      </c>
      <c r="L23" s="1">
        <f t="shared" si="2"/>
        <v>-2.2330000000000041</v>
      </c>
      <c r="M23" s="1"/>
      <c r="N23" s="1"/>
      <c r="O23" s="1"/>
      <c r="P23" s="1"/>
      <c r="Q23" s="1">
        <v>0</v>
      </c>
      <c r="R23" s="1"/>
      <c r="S23" s="1">
        <v>75.784149999999954</v>
      </c>
      <c r="T23" s="1">
        <f t="shared" si="4"/>
        <v>42.749600000000001</v>
      </c>
      <c r="U23" s="5">
        <f t="shared" si="9"/>
        <v>75.577450000000056</v>
      </c>
      <c r="V23" s="1">
        <f t="shared" si="5"/>
        <v>11</v>
      </c>
      <c r="W23" s="1">
        <f t="shared" si="6"/>
        <v>9.2320898908995623</v>
      </c>
      <c r="X23" s="1">
        <v>46.347000000000001</v>
      </c>
      <c r="Y23" s="1">
        <v>45.730200000000004</v>
      </c>
      <c r="Z23" s="1">
        <v>49.275599999999997</v>
      </c>
      <c r="AA23" s="1">
        <v>48.636000000000003</v>
      </c>
      <c r="AB23" s="1">
        <v>32.852600000000002</v>
      </c>
      <c r="AC23" s="1">
        <v>19.3628</v>
      </c>
      <c r="AD23" s="1">
        <v>28.8674</v>
      </c>
      <c r="AE23" s="1">
        <v>34.682400000000001</v>
      </c>
      <c r="AF23" s="1">
        <v>32.679199999999987</v>
      </c>
      <c r="AG23" s="1">
        <v>30.837599999999998</v>
      </c>
      <c r="AH23" s="1"/>
      <c r="AI23" s="1">
        <f t="shared" si="10"/>
        <v>75.577450000000056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61</v>
      </c>
      <c r="B24" s="1" t="s">
        <v>38</v>
      </c>
      <c r="C24" s="1">
        <v>0.90700000000000003</v>
      </c>
      <c r="D24" s="1">
        <v>33.386000000000003</v>
      </c>
      <c r="E24" s="1">
        <v>15.22</v>
      </c>
      <c r="F24" s="1">
        <v>18.788</v>
      </c>
      <c r="G24" s="7">
        <v>1</v>
      </c>
      <c r="H24" s="1">
        <v>180</v>
      </c>
      <c r="I24" s="1" t="s">
        <v>171</v>
      </c>
      <c r="J24" s="1"/>
      <c r="K24" s="1">
        <v>14.53</v>
      </c>
      <c r="L24" s="1">
        <f t="shared" si="2"/>
        <v>0.69000000000000128</v>
      </c>
      <c r="M24" s="1"/>
      <c r="N24" s="1"/>
      <c r="O24" s="1"/>
      <c r="P24" s="1">
        <v>12.30840000000001</v>
      </c>
      <c r="Q24" s="1">
        <v>7.7257999999999853</v>
      </c>
      <c r="R24" s="1"/>
      <c r="S24" s="1">
        <v>0</v>
      </c>
      <c r="T24" s="1">
        <f t="shared" si="4"/>
        <v>3.044</v>
      </c>
      <c r="U24" s="5"/>
      <c r="V24" s="1">
        <f t="shared" si="5"/>
        <v>12.753679369250984</v>
      </c>
      <c r="W24" s="1">
        <f t="shared" si="6"/>
        <v>12.753679369250984</v>
      </c>
      <c r="X24" s="1">
        <v>3.5346000000000002</v>
      </c>
      <c r="Y24" s="1">
        <v>4.4659999999999993</v>
      </c>
      <c r="Z24" s="1">
        <v>4.6436000000000002</v>
      </c>
      <c r="AA24" s="1">
        <v>4.6448</v>
      </c>
      <c r="AB24" s="1">
        <v>2.6063999999999998</v>
      </c>
      <c r="AC24" s="1">
        <v>2.6286</v>
      </c>
      <c r="AD24" s="1">
        <v>2.681</v>
      </c>
      <c r="AE24" s="1">
        <v>4.7835999999999999</v>
      </c>
      <c r="AF24" s="1">
        <v>1.4914000000000001</v>
      </c>
      <c r="AG24" s="1">
        <v>2.7326000000000001</v>
      </c>
      <c r="AH24" s="1"/>
      <c r="AI24" s="1">
        <f t="shared" si="10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62</v>
      </c>
      <c r="B25" s="1" t="s">
        <v>38</v>
      </c>
      <c r="C25" s="1">
        <v>939.97299999999996</v>
      </c>
      <c r="D25" s="1">
        <v>189.74100000000001</v>
      </c>
      <c r="E25" s="1">
        <v>229.661</v>
      </c>
      <c r="F25" s="1">
        <v>726.19500000000005</v>
      </c>
      <c r="G25" s="7">
        <v>1</v>
      </c>
      <c r="H25" s="1">
        <v>70</v>
      </c>
      <c r="I25" s="1" t="s">
        <v>171</v>
      </c>
      <c r="J25" s="1"/>
      <c r="K25" s="1">
        <v>224.45</v>
      </c>
      <c r="L25" s="1">
        <f t="shared" si="2"/>
        <v>5.2110000000000127</v>
      </c>
      <c r="M25" s="1"/>
      <c r="N25" s="1"/>
      <c r="O25" s="1"/>
      <c r="P25" s="1"/>
      <c r="Q25" s="1">
        <v>0</v>
      </c>
      <c r="R25" s="1"/>
      <c r="S25" s="1">
        <v>0</v>
      </c>
      <c r="T25" s="1">
        <f t="shared" si="4"/>
        <v>45.932200000000002</v>
      </c>
      <c r="U25" s="5"/>
      <c r="V25" s="1">
        <f t="shared" si="5"/>
        <v>15.810150613295249</v>
      </c>
      <c r="W25" s="1">
        <f t="shared" si="6"/>
        <v>15.810150613295249</v>
      </c>
      <c r="X25" s="1">
        <v>42.074399999999997</v>
      </c>
      <c r="Y25" s="1">
        <v>40.281599999999997</v>
      </c>
      <c r="Z25" s="1">
        <v>49.956400000000002</v>
      </c>
      <c r="AA25" s="1">
        <v>44.857199999999999</v>
      </c>
      <c r="AB25" s="1">
        <v>48.375</v>
      </c>
      <c r="AC25" s="1">
        <v>48.767600000000002</v>
      </c>
      <c r="AD25" s="1">
        <v>49.643599999999999</v>
      </c>
      <c r="AE25" s="1">
        <v>36.218200000000003</v>
      </c>
      <c r="AF25" s="1">
        <v>44.4452</v>
      </c>
      <c r="AG25" s="1">
        <v>36.724200000000003</v>
      </c>
      <c r="AH25" s="15" t="s">
        <v>63</v>
      </c>
      <c r="AI25" s="1">
        <f t="shared" si="10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64</v>
      </c>
      <c r="B26" s="1" t="s">
        <v>38</v>
      </c>
      <c r="C26" s="1">
        <v>-3.6589999999999998</v>
      </c>
      <c r="D26" s="1">
        <v>312.16899999999998</v>
      </c>
      <c r="E26" s="1">
        <v>164.88900000000001</v>
      </c>
      <c r="F26" s="1">
        <v>4.4740000000000002</v>
      </c>
      <c r="G26" s="7">
        <v>1</v>
      </c>
      <c r="H26" s="1">
        <v>40</v>
      </c>
      <c r="I26" s="1" t="s">
        <v>171</v>
      </c>
      <c r="J26" s="1"/>
      <c r="K26" s="1">
        <v>197.3</v>
      </c>
      <c r="L26" s="1">
        <f t="shared" si="2"/>
        <v>-32.411000000000001</v>
      </c>
      <c r="M26" s="1"/>
      <c r="N26" s="1"/>
      <c r="O26" s="1"/>
      <c r="P26" s="1">
        <v>358.27760000000012</v>
      </c>
      <c r="Q26" s="1">
        <v>0</v>
      </c>
      <c r="R26" s="1"/>
      <c r="S26" s="1">
        <v>0</v>
      </c>
      <c r="T26" s="1">
        <f t="shared" si="4"/>
        <v>32.977800000000002</v>
      </c>
      <c r="U26" s="5"/>
      <c r="V26" s="1">
        <f t="shared" si="5"/>
        <v>10.999872641595257</v>
      </c>
      <c r="W26" s="1">
        <f t="shared" si="6"/>
        <v>10.999872641595257</v>
      </c>
      <c r="X26" s="1">
        <v>14.902200000000001</v>
      </c>
      <c r="Y26" s="1">
        <v>40.676000000000002</v>
      </c>
      <c r="Z26" s="1">
        <v>54.751800000000003</v>
      </c>
      <c r="AA26" s="1">
        <v>34.035200000000003</v>
      </c>
      <c r="AB26" s="1">
        <v>15.829800000000001</v>
      </c>
      <c r="AC26" s="1">
        <v>24.122599999999998</v>
      </c>
      <c r="AD26" s="1">
        <v>49.462800000000001</v>
      </c>
      <c r="AE26" s="1">
        <v>52.084400000000002</v>
      </c>
      <c r="AF26" s="1">
        <v>43.297199999999997</v>
      </c>
      <c r="AG26" s="1">
        <v>57.178800000000003</v>
      </c>
      <c r="AH26" s="1"/>
      <c r="AI26" s="1">
        <f t="shared" si="10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65</v>
      </c>
      <c r="B27" s="1" t="s">
        <v>38</v>
      </c>
      <c r="C27" s="1">
        <v>610.36400000000003</v>
      </c>
      <c r="D27" s="1">
        <v>340.16699999999997</v>
      </c>
      <c r="E27" s="1">
        <v>73.114999999999995</v>
      </c>
      <c r="F27" s="1">
        <v>588.81600000000003</v>
      </c>
      <c r="G27" s="7">
        <v>1</v>
      </c>
      <c r="H27" s="1">
        <v>30</v>
      </c>
      <c r="I27" s="1" t="s">
        <v>171</v>
      </c>
      <c r="J27" s="1"/>
      <c r="K27" s="1">
        <v>372</v>
      </c>
      <c r="L27" s="1">
        <f t="shared" si="2"/>
        <v>-298.88499999999999</v>
      </c>
      <c r="M27" s="1"/>
      <c r="N27" s="1"/>
      <c r="O27" s="1">
        <v>-580</v>
      </c>
      <c r="P27" s="1">
        <v>180</v>
      </c>
      <c r="Q27" s="1">
        <v>590.49324000000001</v>
      </c>
      <c r="R27" s="1"/>
      <c r="S27" s="1">
        <v>0</v>
      </c>
      <c r="T27" s="1">
        <f t="shared" si="4"/>
        <v>14.622999999999999</v>
      </c>
      <c r="U27" s="5"/>
      <c r="V27" s="1">
        <f>(F27+P27+Q27+R27+S27+U27+O27)/T27</f>
        <v>53.29338986528073</v>
      </c>
      <c r="W27" s="1">
        <f>(F27+P27+Q27+R27+S27+O27)/T27</f>
        <v>53.29338986528073</v>
      </c>
      <c r="X27" s="1">
        <v>57.747199999999999</v>
      </c>
      <c r="Y27" s="1">
        <v>92.522199999999998</v>
      </c>
      <c r="Z27" s="1">
        <v>52.175400000000003</v>
      </c>
      <c r="AA27" s="1">
        <v>48.465800000000002</v>
      </c>
      <c r="AB27" s="1">
        <v>53.796000000000006</v>
      </c>
      <c r="AC27" s="1">
        <v>36.897000000000013</v>
      </c>
      <c r="AD27" s="1">
        <v>13.9148</v>
      </c>
      <c r="AE27" s="1">
        <v>17.303599999999999</v>
      </c>
      <c r="AF27" s="1">
        <v>-2.7688000000000001</v>
      </c>
      <c r="AG27" s="1">
        <v>-1.2552000000000001</v>
      </c>
      <c r="AH27" s="1" t="s">
        <v>66</v>
      </c>
      <c r="AI27" s="1">
        <f t="shared" si="10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67</v>
      </c>
      <c r="B28" s="1" t="s">
        <v>38</v>
      </c>
      <c r="C28" s="1">
        <v>33.286999999999999</v>
      </c>
      <c r="D28" s="1">
        <v>2828.683</v>
      </c>
      <c r="E28" s="1">
        <v>1106.037</v>
      </c>
      <c r="F28" s="1">
        <v>750.053</v>
      </c>
      <c r="G28" s="7">
        <v>1</v>
      </c>
      <c r="H28" s="1">
        <v>40</v>
      </c>
      <c r="I28" s="1" t="s">
        <v>171</v>
      </c>
      <c r="J28" s="1"/>
      <c r="K28" s="1">
        <v>1219.4860000000001</v>
      </c>
      <c r="L28" s="1">
        <f t="shared" si="2"/>
        <v>-113.44900000000007</v>
      </c>
      <c r="M28" s="1"/>
      <c r="N28" s="1"/>
      <c r="O28" s="1"/>
      <c r="P28" s="1">
        <v>732.01140000000055</v>
      </c>
      <c r="Q28" s="1">
        <v>0</v>
      </c>
      <c r="R28" s="1"/>
      <c r="S28" s="1">
        <v>0</v>
      </c>
      <c r="T28" s="1">
        <f t="shared" si="4"/>
        <v>221.20740000000001</v>
      </c>
      <c r="U28" s="5">
        <f t="shared" si="9"/>
        <v>951.2169999999993</v>
      </c>
      <c r="V28" s="1">
        <f t="shared" si="5"/>
        <v>10.999999999999998</v>
      </c>
      <c r="W28" s="1">
        <f t="shared" si="6"/>
        <v>6.6998861701733334</v>
      </c>
      <c r="X28" s="1">
        <v>21.023</v>
      </c>
      <c r="Y28" s="1">
        <v>97.070799999999991</v>
      </c>
      <c r="Z28" s="1">
        <v>200.02199999999999</v>
      </c>
      <c r="AA28" s="1">
        <v>174.52520000000001</v>
      </c>
      <c r="AB28" s="1">
        <v>208.46619999999999</v>
      </c>
      <c r="AC28" s="1">
        <v>206.2114</v>
      </c>
      <c r="AD28" s="1">
        <v>208.54480000000001</v>
      </c>
      <c r="AE28" s="1">
        <v>217.6456</v>
      </c>
      <c r="AF28" s="1">
        <v>0</v>
      </c>
      <c r="AG28" s="1">
        <v>181.95480000000001</v>
      </c>
      <c r="AH28" s="1"/>
      <c r="AI28" s="1">
        <f t="shared" si="10"/>
        <v>951.2169999999993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68</v>
      </c>
      <c r="B29" s="1" t="s">
        <v>38</v>
      </c>
      <c r="C29" s="1">
        <v>-7.9000000000000001E-2</v>
      </c>
      <c r="D29" s="1">
        <v>30.280999999999999</v>
      </c>
      <c r="E29" s="1">
        <v>21.853999999999999</v>
      </c>
      <c r="F29" s="1">
        <v>4.3899999999999997</v>
      </c>
      <c r="G29" s="7">
        <v>1</v>
      </c>
      <c r="H29" s="1">
        <v>40</v>
      </c>
      <c r="I29" s="1" t="s">
        <v>171</v>
      </c>
      <c r="J29" s="1"/>
      <c r="K29" s="1">
        <v>27.9</v>
      </c>
      <c r="L29" s="1">
        <f t="shared" si="2"/>
        <v>-6.0459999999999994</v>
      </c>
      <c r="M29" s="1"/>
      <c r="N29" s="1"/>
      <c r="O29" s="1"/>
      <c r="P29" s="1"/>
      <c r="Q29" s="1">
        <v>0</v>
      </c>
      <c r="R29" s="1"/>
      <c r="S29" s="1">
        <v>0</v>
      </c>
      <c r="T29" s="1">
        <f t="shared" si="4"/>
        <v>4.3708</v>
      </c>
      <c r="U29" s="5">
        <f>9*T29-S29-R29-Q29-P29-O29-F29</f>
        <v>34.947200000000002</v>
      </c>
      <c r="V29" s="1">
        <f t="shared" si="5"/>
        <v>9</v>
      </c>
      <c r="W29" s="1">
        <f t="shared" si="6"/>
        <v>1.0043927885055366</v>
      </c>
      <c r="X29" s="1">
        <v>-0.6048</v>
      </c>
      <c r="Y29" s="1">
        <v>-0.6048</v>
      </c>
      <c r="Z29" s="1">
        <v>0</v>
      </c>
      <c r="AA29" s="1">
        <v>0</v>
      </c>
      <c r="AB29" s="1">
        <v>0</v>
      </c>
      <c r="AC29" s="1">
        <v>0</v>
      </c>
      <c r="AD29" s="1">
        <v>-1.0800000000000001E-2</v>
      </c>
      <c r="AE29" s="1">
        <v>1.5007999999999999</v>
      </c>
      <c r="AF29" s="1">
        <v>1.5975999999999999</v>
      </c>
      <c r="AG29" s="1">
        <v>1.4674</v>
      </c>
      <c r="AH29" s="1"/>
      <c r="AI29" s="1">
        <f t="shared" si="10"/>
        <v>34.947200000000002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69</v>
      </c>
      <c r="B30" s="1" t="s">
        <v>38</v>
      </c>
      <c r="C30" s="1">
        <v>31.658999999999999</v>
      </c>
      <c r="D30" s="1">
        <v>174.59399999999999</v>
      </c>
      <c r="E30" s="1">
        <v>51.213999999999999</v>
      </c>
      <c r="F30" s="1">
        <v>57.94</v>
      </c>
      <c r="G30" s="7">
        <v>1</v>
      </c>
      <c r="H30" s="1">
        <v>30</v>
      </c>
      <c r="I30" s="1" t="s">
        <v>171</v>
      </c>
      <c r="J30" s="1"/>
      <c r="K30" s="1">
        <v>98.6</v>
      </c>
      <c r="L30" s="1">
        <f t="shared" si="2"/>
        <v>-47.385999999999996</v>
      </c>
      <c r="M30" s="1"/>
      <c r="N30" s="1"/>
      <c r="O30" s="1"/>
      <c r="P30" s="1"/>
      <c r="Q30" s="1">
        <v>33.410800000000002</v>
      </c>
      <c r="R30" s="1"/>
      <c r="S30" s="1">
        <v>0</v>
      </c>
      <c r="T30" s="1">
        <f t="shared" si="4"/>
        <v>10.242799999999999</v>
      </c>
      <c r="U30" s="5">
        <f t="shared" si="9"/>
        <v>21.319999999999993</v>
      </c>
      <c r="V30" s="1">
        <f t="shared" si="5"/>
        <v>11</v>
      </c>
      <c r="W30" s="1">
        <f t="shared" si="6"/>
        <v>8.9185378997930247</v>
      </c>
      <c r="X30" s="1">
        <v>10.489800000000001</v>
      </c>
      <c r="Y30" s="1">
        <v>15.446199999999999</v>
      </c>
      <c r="Z30" s="1">
        <v>15.259600000000001</v>
      </c>
      <c r="AA30" s="1">
        <v>18.017800000000001</v>
      </c>
      <c r="AB30" s="1">
        <v>21.190799999999999</v>
      </c>
      <c r="AC30" s="1">
        <v>19.9696</v>
      </c>
      <c r="AD30" s="1">
        <v>15.2096</v>
      </c>
      <c r="AE30" s="1">
        <v>8.0359999999999996</v>
      </c>
      <c r="AF30" s="1">
        <v>14.986000000000001</v>
      </c>
      <c r="AG30" s="1">
        <v>13.0144</v>
      </c>
      <c r="AH30" s="1"/>
      <c r="AI30" s="1">
        <f t="shared" si="10"/>
        <v>21.319999999999993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70</v>
      </c>
      <c r="B31" s="1" t="s">
        <v>38</v>
      </c>
      <c r="C31" s="1">
        <v>112.086</v>
      </c>
      <c r="D31" s="1">
        <v>201.27699999999999</v>
      </c>
      <c r="E31" s="1">
        <v>163.822</v>
      </c>
      <c r="F31" s="1">
        <v>8.1259999999999994</v>
      </c>
      <c r="G31" s="7">
        <v>1</v>
      </c>
      <c r="H31" s="1">
        <v>50</v>
      </c>
      <c r="I31" s="1" t="s">
        <v>171</v>
      </c>
      <c r="J31" s="1"/>
      <c r="K31" s="1">
        <v>182.62899999999999</v>
      </c>
      <c r="L31" s="1">
        <f t="shared" si="2"/>
        <v>-18.806999999999988</v>
      </c>
      <c r="M31" s="1"/>
      <c r="N31" s="1"/>
      <c r="O31" s="1"/>
      <c r="P31" s="1"/>
      <c r="Q31" s="1">
        <v>83.356800000000007</v>
      </c>
      <c r="R31" s="1"/>
      <c r="S31" s="1">
        <v>167.90934999999999</v>
      </c>
      <c r="T31" s="1">
        <f t="shared" si="4"/>
        <v>32.764400000000002</v>
      </c>
      <c r="U31" s="5">
        <f t="shared" si="9"/>
        <v>101.01625000000003</v>
      </c>
      <c r="V31" s="1">
        <f t="shared" si="5"/>
        <v>11</v>
      </c>
      <c r="W31" s="1">
        <f t="shared" si="6"/>
        <v>7.9168899781470135</v>
      </c>
      <c r="X31" s="1">
        <v>27.847000000000001</v>
      </c>
      <c r="Y31" s="1">
        <v>21.542999999999999</v>
      </c>
      <c r="Z31" s="1">
        <v>17.402000000000001</v>
      </c>
      <c r="AA31" s="1">
        <v>24.775200000000002</v>
      </c>
      <c r="AB31" s="1">
        <v>14.6998</v>
      </c>
      <c r="AC31" s="1">
        <v>18.186</v>
      </c>
      <c r="AD31" s="1">
        <v>27.366599999999998</v>
      </c>
      <c r="AE31" s="1">
        <v>31.243400000000001</v>
      </c>
      <c r="AF31" s="1">
        <v>24.976199999999999</v>
      </c>
      <c r="AG31" s="1">
        <v>22.632000000000001</v>
      </c>
      <c r="AH31" s="1"/>
      <c r="AI31" s="1">
        <f t="shared" si="10"/>
        <v>101.01625000000003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71</v>
      </c>
      <c r="B32" s="1" t="s">
        <v>38</v>
      </c>
      <c r="C32" s="1">
        <v>59.960999999999999</v>
      </c>
      <c r="D32" s="1">
        <v>37.271999999999998</v>
      </c>
      <c r="E32" s="1">
        <v>61.116</v>
      </c>
      <c r="F32" s="1">
        <v>3.6379999999999999</v>
      </c>
      <c r="G32" s="7">
        <v>1</v>
      </c>
      <c r="H32" s="1">
        <v>50</v>
      </c>
      <c r="I32" s="1" t="s">
        <v>171</v>
      </c>
      <c r="J32" s="1"/>
      <c r="K32" s="1">
        <v>104.4</v>
      </c>
      <c r="L32" s="1">
        <f t="shared" si="2"/>
        <v>-43.284000000000006</v>
      </c>
      <c r="M32" s="1"/>
      <c r="N32" s="1"/>
      <c r="O32" s="1"/>
      <c r="P32" s="1">
        <v>52.03</v>
      </c>
      <c r="Q32" s="1">
        <v>95.291000000000011</v>
      </c>
      <c r="R32" s="1"/>
      <c r="S32" s="1">
        <v>99.594000000000008</v>
      </c>
      <c r="T32" s="1">
        <f t="shared" si="4"/>
        <v>12.2232</v>
      </c>
      <c r="U32" s="5"/>
      <c r="V32" s="1">
        <f t="shared" si="5"/>
        <v>20.498151057006346</v>
      </c>
      <c r="W32" s="1">
        <f t="shared" si="6"/>
        <v>20.498151057006346</v>
      </c>
      <c r="X32" s="1">
        <v>20.489599999999999</v>
      </c>
      <c r="Y32" s="1">
        <v>20.728200000000001</v>
      </c>
      <c r="Z32" s="1">
        <v>15.374000000000001</v>
      </c>
      <c r="AA32" s="1">
        <v>15.021800000000001</v>
      </c>
      <c r="AB32" s="1">
        <v>11.911799999999999</v>
      </c>
      <c r="AC32" s="1">
        <v>5.1412000000000004</v>
      </c>
      <c r="AD32" s="1">
        <v>10.9086</v>
      </c>
      <c r="AE32" s="1">
        <v>18.507999999999999</v>
      </c>
      <c r="AF32" s="1">
        <v>10.6882</v>
      </c>
      <c r="AG32" s="1">
        <v>11.6236</v>
      </c>
      <c r="AH32" s="1"/>
      <c r="AI32" s="1">
        <f t="shared" si="10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72</v>
      </c>
      <c r="B33" s="1" t="s">
        <v>43</v>
      </c>
      <c r="C33" s="1">
        <v>1752.4849999999999</v>
      </c>
      <c r="D33" s="1">
        <v>1828</v>
      </c>
      <c r="E33" s="1">
        <v>1778</v>
      </c>
      <c r="F33" s="1">
        <v>570</v>
      </c>
      <c r="G33" s="7">
        <v>0.4</v>
      </c>
      <c r="H33" s="1">
        <v>45</v>
      </c>
      <c r="I33" s="1" t="s">
        <v>171</v>
      </c>
      <c r="J33" s="1"/>
      <c r="K33" s="1">
        <v>1819</v>
      </c>
      <c r="L33" s="1">
        <f t="shared" si="2"/>
        <v>-41</v>
      </c>
      <c r="M33" s="1"/>
      <c r="N33" s="1"/>
      <c r="O33" s="1"/>
      <c r="P33" s="1">
        <v>1626.2539999999999</v>
      </c>
      <c r="Q33" s="1">
        <v>97.99160000000029</v>
      </c>
      <c r="R33" s="1"/>
      <c r="S33" s="1">
        <v>924.07939999999985</v>
      </c>
      <c r="T33" s="1">
        <f t="shared" si="4"/>
        <v>355.6</v>
      </c>
      <c r="U33" s="5">
        <f t="shared" si="9"/>
        <v>693.27500000000055</v>
      </c>
      <c r="V33" s="1">
        <f t="shared" si="5"/>
        <v>11</v>
      </c>
      <c r="W33" s="1">
        <f t="shared" si="6"/>
        <v>9.050407761529808</v>
      </c>
      <c r="X33" s="1">
        <v>357.8</v>
      </c>
      <c r="Y33" s="1">
        <v>387.50299999999999</v>
      </c>
      <c r="Z33" s="1">
        <v>375.50299999999999</v>
      </c>
      <c r="AA33" s="1">
        <v>320.60000000000002</v>
      </c>
      <c r="AB33" s="1">
        <v>255</v>
      </c>
      <c r="AC33" s="1">
        <v>249.2</v>
      </c>
      <c r="AD33" s="1">
        <v>344.4</v>
      </c>
      <c r="AE33" s="1">
        <v>336.6</v>
      </c>
      <c r="AF33" s="1">
        <v>287.2</v>
      </c>
      <c r="AG33" s="1">
        <v>319.39999999999998</v>
      </c>
      <c r="AH33" s="1"/>
      <c r="AI33" s="1">
        <f t="shared" si="10"/>
        <v>277.31000000000023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73</v>
      </c>
      <c r="B34" s="1" t="s">
        <v>43</v>
      </c>
      <c r="C34" s="1">
        <v>233</v>
      </c>
      <c r="D34" s="1">
        <v>662</v>
      </c>
      <c r="E34" s="1">
        <v>405</v>
      </c>
      <c r="F34" s="1">
        <v>128</v>
      </c>
      <c r="G34" s="7">
        <v>0.45</v>
      </c>
      <c r="H34" s="1">
        <v>50</v>
      </c>
      <c r="I34" s="1" t="s">
        <v>171</v>
      </c>
      <c r="J34" s="1"/>
      <c r="K34" s="1">
        <v>420</v>
      </c>
      <c r="L34" s="1">
        <f t="shared" si="2"/>
        <v>-15</v>
      </c>
      <c r="M34" s="1"/>
      <c r="N34" s="1"/>
      <c r="O34" s="1"/>
      <c r="P34" s="1">
        <v>102.8</v>
      </c>
      <c r="Q34" s="1">
        <v>225.6</v>
      </c>
      <c r="R34" s="1"/>
      <c r="S34" s="1">
        <v>98.410000000000025</v>
      </c>
      <c r="T34" s="1">
        <f t="shared" si="4"/>
        <v>81</v>
      </c>
      <c r="U34" s="5">
        <f t="shared" si="9"/>
        <v>336.18999999999988</v>
      </c>
      <c r="V34" s="1">
        <f t="shared" si="5"/>
        <v>10.999999999999996</v>
      </c>
      <c r="W34" s="1">
        <f t="shared" si="6"/>
        <v>6.8495061728395052</v>
      </c>
      <c r="X34" s="1">
        <v>67.8</v>
      </c>
      <c r="Y34" s="1">
        <v>74.8</v>
      </c>
      <c r="Z34" s="1">
        <v>65.599999999999994</v>
      </c>
      <c r="AA34" s="1">
        <v>63.8</v>
      </c>
      <c r="AB34" s="1">
        <v>64.2</v>
      </c>
      <c r="AC34" s="1">
        <v>55</v>
      </c>
      <c r="AD34" s="1">
        <v>60.2</v>
      </c>
      <c r="AE34" s="1">
        <v>45.4</v>
      </c>
      <c r="AF34" s="1">
        <v>26.6</v>
      </c>
      <c r="AG34" s="1">
        <v>55.2</v>
      </c>
      <c r="AH34" s="1"/>
      <c r="AI34" s="1">
        <f t="shared" si="10"/>
        <v>151.28549999999996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74</v>
      </c>
      <c r="B35" s="1" t="s">
        <v>43</v>
      </c>
      <c r="C35" s="1">
        <v>752</v>
      </c>
      <c r="D35" s="1">
        <v>899</v>
      </c>
      <c r="E35" s="1">
        <v>619</v>
      </c>
      <c r="F35" s="1">
        <v>353</v>
      </c>
      <c r="G35" s="7">
        <v>0.4</v>
      </c>
      <c r="H35" s="1">
        <v>45</v>
      </c>
      <c r="I35" s="1" t="s">
        <v>171</v>
      </c>
      <c r="J35" s="1"/>
      <c r="K35" s="1">
        <v>648</v>
      </c>
      <c r="L35" s="1">
        <f t="shared" si="2"/>
        <v>-29</v>
      </c>
      <c r="M35" s="1"/>
      <c r="N35" s="1"/>
      <c r="O35" s="1"/>
      <c r="P35" s="1">
        <v>804.00000000000023</v>
      </c>
      <c r="Q35" s="1">
        <v>0</v>
      </c>
      <c r="R35" s="1"/>
      <c r="S35" s="1">
        <v>0</v>
      </c>
      <c r="T35" s="1">
        <f t="shared" si="4"/>
        <v>123.8</v>
      </c>
      <c r="U35" s="5">
        <f t="shared" si="9"/>
        <v>204.79999999999973</v>
      </c>
      <c r="V35" s="1">
        <f t="shared" si="5"/>
        <v>11</v>
      </c>
      <c r="W35" s="1">
        <f t="shared" si="6"/>
        <v>9.3457189014539601</v>
      </c>
      <c r="X35" s="1">
        <v>108.4</v>
      </c>
      <c r="Y35" s="1">
        <v>141.80000000000001</v>
      </c>
      <c r="Z35" s="1">
        <v>155.80000000000001</v>
      </c>
      <c r="AA35" s="1">
        <v>127.8</v>
      </c>
      <c r="AB35" s="1">
        <v>123</v>
      </c>
      <c r="AC35" s="1">
        <v>109.2</v>
      </c>
      <c r="AD35" s="1">
        <v>150.6</v>
      </c>
      <c r="AE35" s="1">
        <v>138</v>
      </c>
      <c r="AF35" s="1">
        <v>93.8</v>
      </c>
      <c r="AG35" s="1">
        <v>118.6</v>
      </c>
      <c r="AH35" s="1"/>
      <c r="AI35" s="1">
        <f t="shared" si="10"/>
        <v>81.919999999999902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75</v>
      </c>
      <c r="B36" s="1" t="s">
        <v>43</v>
      </c>
      <c r="C36" s="1">
        <v>5</v>
      </c>
      <c r="D36" s="1">
        <v>171</v>
      </c>
      <c r="E36" s="1">
        <v>55</v>
      </c>
      <c r="F36" s="1">
        <v>48</v>
      </c>
      <c r="G36" s="7">
        <v>0.4</v>
      </c>
      <c r="H36" s="1">
        <v>40</v>
      </c>
      <c r="I36" s="1" t="s">
        <v>171</v>
      </c>
      <c r="J36" s="1"/>
      <c r="K36" s="1">
        <v>99</v>
      </c>
      <c r="L36" s="1">
        <f t="shared" si="2"/>
        <v>-44</v>
      </c>
      <c r="M36" s="1"/>
      <c r="N36" s="1"/>
      <c r="O36" s="1"/>
      <c r="P36" s="1">
        <v>198.2</v>
      </c>
      <c r="Q36" s="1">
        <v>45.200000000000053</v>
      </c>
      <c r="R36" s="1"/>
      <c r="S36" s="1">
        <v>0</v>
      </c>
      <c r="T36" s="1">
        <f t="shared" si="4"/>
        <v>11</v>
      </c>
      <c r="U36" s="5"/>
      <c r="V36" s="1">
        <f t="shared" si="5"/>
        <v>26.490909090909096</v>
      </c>
      <c r="W36" s="1">
        <f t="shared" si="6"/>
        <v>26.490909090909096</v>
      </c>
      <c r="X36" s="1">
        <v>9</v>
      </c>
      <c r="Y36" s="1">
        <v>29.8</v>
      </c>
      <c r="Z36" s="1">
        <v>28.6</v>
      </c>
      <c r="AA36" s="1">
        <v>21.4</v>
      </c>
      <c r="AB36" s="1">
        <v>16.8</v>
      </c>
      <c r="AC36" s="1">
        <v>-0.2</v>
      </c>
      <c r="AD36" s="1">
        <v>8</v>
      </c>
      <c r="AE36" s="1">
        <v>23</v>
      </c>
      <c r="AF36" s="1">
        <v>3</v>
      </c>
      <c r="AG36" s="1">
        <v>14.8</v>
      </c>
      <c r="AH36" s="1"/>
      <c r="AI36" s="1">
        <f t="shared" si="10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76</v>
      </c>
      <c r="B37" s="1" t="s">
        <v>38</v>
      </c>
      <c r="C37" s="1">
        <v>14.471</v>
      </c>
      <c r="D37" s="1">
        <v>8.5920000000000005</v>
      </c>
      <c r="E37" s="1">
        <v>11.241</v>
      </c>
      <c r="F37" s="1">
        <v>4.33</v>
      </c>
      <c r="G37" s="7">
        <v>1</v>
      </c>
      <c r="H37" s="1">
        <v>45</v>
      </c>
      <c r="I37" s="1" t="s">
        <v>171</v>
      </c>
      <c r="J37" s="1"/>
      <c r="K37" s="1">
        <v>15.2</v>
      </c>
      <c r="L37" s="1">
        <f t="shared" si="2"/>
        <v>-3.9589999999999996</v>
      </c>
      <c r="M37" s="1"/>
      <c r="N37" s="1"/>
      <c r="O37" s="1"/>
      <c r="P37" s="1">
        <v>10.1784</v>
      </c>
      <c r="Q37" s="1">
        <v>29.962599999999998</v>
      </c>
      <c r="R37" s="1"/>
      <c r="S37" s="1">
        <v>32.084500000000013</v>
      </c>
      <c r="T37" s="1">
        <f t="shared" si="4"/>
        <v>2.2481999999999998</v>
      </c>
      <c r="U37" s="5"/>
      <c r="V37" s="1">
        <f t="shared" si="5"/>
        <v>34.051908193221252</v>
      </c>
      <c r="W37" s="1">
        <f t="shared" si="6"/>
        <v>34.051908193221252</v>
      </c>
      <c r="X37" s="1">
        <v>5.7770000000000001</v>
      </c>
      <c r="Y37" s="1">
        <v>6.0679999999999996</v>
      </c>
      <c r="Z37" s="1">
        <v>3.7372000000000001</v>
      </c>
      <c r="AA37" s="1">
        <v>2.1223999999999998</v>
      </c>
      <c r="AB37" s="1">
        <v>1.2802</v>
      </c>
      <c r="AC37" s="1">
        <v>5.2165999999999997</v>
      </c>
      <c r="AD37" s="1">
        <v>5.4985999999999997</v>
      </c>
      <c r="AE37" s="1">
        <v>1.4361999999999999</v>
      </c>
      <c r="AF37" s="1">
        <v>1.7312000000000001</v>
      </c>
      <c r="AG37" s="1">
        <v>2.1154000000000002</v>
      </c>
      <c r="AH37" s="14" t="s">
        <v>39</v>
      </c>
      <c r="AI37" s="1">
        <f t="shared" si="10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77</v>
      </c>
      <c r="B38" s="1" t="s">
        <v>43</v>
      </c>
      <c r="C38" s="1">
        <v>249</v>
      </c>
      <c r="D38" s="1">
        <v>23</v>
      </c>
      <c r="E38" s="1">
        <v>137</v>
      </c>
      <c r="F38" s="1">
        <v>114</v>
      </c>
      <c r="G38" s="7">
        <v>0.1</v>
      </c>
      <c r="H38" s="1">
        <v>731</v>
      </c>
      <c r="I38" s="1" t="s">
        <v>171</v>
      </c>
      <c r="J38" s="1"/>
      <c r="K38" s="1">
        <v>141</v>
      </c>
      <c r="L38" s="1">
        <f t="shared" ref="L38:L69" si="11">E38-K38</f>
        <v>-4</v>
      </c>
      <c r="M38" s="1"/>
      <c r="N38" s="1"/>
      <c r="O38" s="1"/>
      <c r="P38" s="1"/>
      <c r="Q38" s="1">
        <v>0</v>
      </c>
      <c r="R38" s="1"/>
      <c r="S38" s="1">
        <v>64</v>
      </c>
      <c r="T38" s="1">
        <f t="shared" si="4"/>
        <v>27.4</v>
      </c>
      <c r="U38" s="5">
        <f t="shared" si="9"/>
        <v>123.39999999999998</v>
      </c>
      <c r="V38" s="1">
        <f t="shared" si="5"/>
        <v>11</v>
      </c>
      <c r="W38" s="1">
        <f t="shared" si="6"/>
        <v>6.4963503649635044</v>
      </c>
      <c r="X38" s="1">
        <v>21.2</v>
      </c>
      <c r="Y38" s="1">
        <v>16</v>
      </c>
      <c r="Z38" s="1">
        <v>12.8</v>
      </c>
      <c r="AA38" s="1">
        <v>11.6</v>
      </c>
      <c r="AB38" s="1">
        <v>6.8</v>
      </c>
      <c r="AC38" s="1">
        <v>6.8</v>
      </c>
      <c r="AD38" s="1">
        <v>12</v>
      </c>
      <c r="AE38" s="1">
        <v>9.1999999999999993</v>
      </c>
      <c r="AF38" s="1">
        <v>10.8</v>
      </c>
      <c r="AG38" s="1">
        <v>14</v>
      </c>
      <c r="AH38" s="1"/>
      <c r="AI38" s="1">
        <f t="shared" si="10"/>
        <v>12.339999999999998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78</v>
      </c>
      <c r="B39" s="1" t="s">
        <v>43</v>
      </c>
      <c r="C39" s="1">
        <v>-2</v>
      </c>
      <c r="D39" s="1">
        <v>339</v>
      </c>
      <c r="E39" s="1">
        <v>98</v>
      </c>
      <c r="F39" s="1">
        <v>180</v>
      </c>
      <c r="G39" s="7">
        <v>0.35</v>
      </c>
      <c r="H39" s="1">
        <v>40</v>
      </c>
      <c r="I39" s="1" t="s">
        <v>171</v>
      </c>
      <c r="J39" s="1"/>
      <c r="K39" s="1">
        <v>106</v>
      </c>
      <c r="L39" s="1">
        <f t="shared" si="11"/>
        <v>-8</v>
      </c>
      <c r="M39" s="1"/>
      <c r="N39" s="1"/>
      <c r="O39" s="1"/>
      <c r="P39" s="1">
        <v>52.399999999999949</v>
      </c>
      <c r="Q39" s="1">
        <v>0</v>
      </c>
      <c r="R39" s="1"/>
      <c r="S39" s="1">
        <v>0</v>
      </c>
      <c r="T39" s="1">
        <f t="shared" si="4"/>
        <v>19.600000000000001</v>
      </c>
      <c r="U39" s="5"/>
      <c r="V39" s="1">
        <f t="shared" si="5"/>
        <v>11.857142857142854</v>
      </c>
      <c r="W39" s="1">
        <f t="shared" si="6"/>
        <v>11.857142857142854</v>
      </c>
      <c r="X39" s="1">
        <v>-0.4</v>
      </c>
      <c r="Y39" s="1">
        <v>12.2</v>
      </c>
      <c r="Z39" s="1">
        <v>26.4</v>
      </c>
      <c r="AA39" s="1">
        <v>27.4</v>
      </c>
      <c r="AB39" s="1">
        <v>18</v>
      </c>
      <c r="AC39" s="1">
        <v>8</v>
      </c>
      <c r="AD39" s="1">
        <v>5</v>
      </c>
      <c r="AE39" s="1">
        <v>13.2</v>
      </c>
      <c r="AF39" s="1">
        <v>13.2</v>
      </c>
      <c r="AG39" s="1">
        <v>15.8</v>
      </c>
      <c r="AH39" s="1"/>
      <c r="AI39" s="1">
        <f t="shared" si="10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79</v>
      </c>
      <c r="B40" s="1" t="s">
        <v>38</v>
      </c>
      <c r="C40" s="1">
        <v>5.742</v>
      </c>
      <c r="D40" s="1">
        <v>18.245000000000001</v>
      </c>
      <c r="E40" s="1">
        <v>8.7420000000000009</v>
      </c>
      <c r="F40" s="1"/>
      <c r="G40" s="7">
        <v>1</v>
      </c>
      <c r="H40" s="1">
        <v>40</v>
      </c>
      <c r="I40" s="1" t="s">
        <v>171</v>
      </c>
      <c r="J40" s="1"/>
      <c r="K40" s="1">
        <v>15.9</v>
      </c>
      <c r="L40" s="1">
        <f t="shared" si="11"/>
        <v>-7.1579999999999995</v>
      </c>
      <c r="M40" s="1"/>
      <c r="N40" s="1"/>
      <c r="O40" s="1"/>
      <c r="P40" s="1"/>
      <c r="Q40" s="1">
        <v>59.983199999999997</v>
      </c>
      <c r="R40" s="1"/>
      <c r="S40" s="1">
        <v>50.801800000000007</v>
      </c>
      <c r="T40" s="1">
        <f t="shared" si="4"/>
        <v>1.7484000000000002</v>
      </c>
      <c r="U40" s="5"/>
      <c r="V40" s="1">
        <f t="shared" si="5"/>
        <v>63.363646762754513</v>
      </c>
      <c r="W40" s="1">
        <f t="shared" si="6"/>
        <v>63.363646762754513</v>
      </c>
      <c r="X40" s="1">
        <v>8.5668000000000006</v>
      </c>
      <c r="Y40" s="1">
        <v>10.9542</v>
      </c>
      <c r="Z40" s="1">
        <v>3.12</v>
      </c>
      <c r="AA40" s="1">
        <v>-2.3201999999999998</v>
      </c>
      <c r="AB40" s="1">
        <v>4.6399999999999997</v>
      </c>
      <c r="AC40" s="1">
        <v>12.0344</v>
      </c>
      <c r="AD40" s="1">
        <v>8.6964000000000006</v>
      </c>
      <c r="AE40" s="1">
        <v>-0.28560000000000002</v>
      </c>
      <c r="AF40" s="1">
        <v>12.2912</v>
      </c>
      <c r="AG40" s="1">
        <v>15.029199999999999</v>
      </c>
      <c r="AH40" s="1"/>
      <c r="AI40" s="1">
        <f t="shared" si="10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0" t="s">
        <v>80</v>
      </c>
      <c r="B41" s="10" t="s">
        <v>43</v>
      </c>
      <c r="C41" s="10">
        <v>47</v>
      </c>
      <c r="D41" s="10">
        <v>33</v>
      </c>
      <c r="E41" s="10">
        <v>23</v>
      </c>
      <c r="F41" s="10">
        <v>36</v>
      </c>
      <c r="G41" s="11">
        <v>0</v>
      </c>
      <c r="H41" s="10">
        <v>50</v>
      </c>
      <c r="I41" s="10" t="s">
        <v>154</v>
      </c>
      <c r="J41" s="10"/>
      <c r="K41" s="10">
        <v>34</v>
      </c>
      <c r="L41" s="10">
        <f t="shared" si="11"/>
        <v>-11</v>
      </c>
      <c r="M41" s="10"/>
      <c r="N41" s="10"/>
      <c r="O41" s="10"/>
      <c r="P41" s="10">
        <v>34</v>
      </c>
      <c r="Q41" s="10">
        <v>0</v>
      </c>
      <c r="R41" s="10"/>
      <c r="S41" s="10">
        <v>6</v>
      </c>
      <c r="T41" s="10">
        <f t="shared" si="4"/>
        <v>4.5999999999999996</v>
      </c>
      <c r="U41" s="12"/>
      <c r="V41" s="10">
        <f t="shared" si="5"/>
        <v>16.521739130434785</v>
      </c>
      <c r="W41" s="10">
        <f t="shared" si="6"/>
        <v>16.521739130434785</v>
      </c>
      <c r="X41" s="10">
        <v>6.6</v>
      </c>
      <c r="Y41" s="10">
        <v>8.1999999999999993</v>
      </c>
      <c r="Z41" s="10">
        <v>9.6</v>
      </c>
      <c r="AA41" s="10">
        <v>7.4</v>
      </c>
      <c r="AB41" s="10">
        <v>10</v>
      </c>
      <c r="AC41" s="10">
        <v>9.8000000000000007</v>
      </c>
      <c r="AD41" s="10">
        <v>11.4</v>
      </c>
      <c r="AE41" s="10">
        <v>7.8</v>
      </c>
      <c r="AF41" s="10">
        <v>0</v>
      </c>
      <c r="AG41" s="10">
        <v>0</v>
      </c>
      <c r="AH41" s="10"/>
      <c r="AI41" s="10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81</v>
      </c>
      <c r="B42" s="1" t="s">
        <v>43</v>
      </c>
      <c r="C42" s="1">
        <v>187</v>
      </c>
      <c r="D42" s="1">
        <v>190</v>
      </c>
      <c r="E42" s="1">
        <v>128</v>
      </c>
      <c r="F42" s="1">
        <v>73</v>
      </c>
      <c r="G42" s="7">
        <v>0.4</v>
      </c>
      <c r="H42" s="1">
        <v>40</v>
      </c>
      <c r="I42" s="1" t="s">
        <v>171</v>
      </c>
      <c r="J42" s="1"/>
      <c r="K42" s="1">
        <v>310</v>
      </c>
      <c r="L42" s="1">
        <f t="shared" si="11"/>
        <v>-182</v>
      </c>
      <c r="M42" s="1"/>
      <c r="N42" s="1"/>
      <c r="O42" s="1"/>
      <c r="P42" s="1"/>
      <c r="Q42" s="1">
        <v>245</v>
      </c>
      <c r="R42" s="1"/>
      <c r="S42" s="1">
        <v>237.85</v>
      </c>
      <c r="T42" s="1">
        <f t="shared" si="4"/>
        <v>25.6</v>
      </c>
      <c r="U42" s="5"/>
      <c r="V42" s="1">
        <f t="shared" si="5"/>
        <v>21.712890625</v>
      </c>
      <c r="W42" s="1">
        <f t="shared" si="6"/>
        <v>21.712890625</v>
      </c>
      <c r="X42" s="1">
        <v>53</v>
      </c>
      <c r="Y42" s="1">
        <v>54</v>
      </c>
      <c r="Z42" s="1">
        <v>22.6</v>
      </c>
      <c r="AA42" s="1">
        <v>23.4</v>
      </c>
      <c r="AB42" s="1">
        <v>28.8</v>
      </c>
      <c r="AC42" s="1">
        <v>24</v>
      </c>
      <c r="AD42" s="1">
        <v>37.799999999999997</v>
      </c>
      <c r="AE42" s="1">
        <v>30.8</v>
      </c>
      <c r="AF42" s="1">
        <v>14.4</v>
      </c>
      <c r="AG42" s="1">
        <v>9</v>
      </c>
      <c r="AH42" s="1"/>
      <c r="AI42" s="1">
        <f t="shared" ref="AI42:AI86" si="12">G42*U42</f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82</v>
      </c>
      <c r="B43" s="1" t="s">
        <v>43</v>
      </c>
      <c r="C43" s="1">
        <v>50</v>
      </c>
      <c r="D43" s="1">
        <v>330</v>
      </c>
      <c r="E43" s="1">
        <v>241</v>
      </c>
      <c r="F43" s="1">
        <v>31</v>
      </c>
      <c r="G43" s="7">
        <v>0.4</v>
      </c>
      <c r="H43" s="1">
        <v>45</v>
      </c>
      <c r="I43" s="1" t="s">
        <v>171</v>
      </c>
      <c r="J43" s="1"/>
      <c r="K43" s="1">
        <v>299</v>
      </c>
      <c r="L43" s="1">
        <f t="shared" si="11"/>
        <v>-58</v>
      </c>
      <c r="M43" s="1"/>
      <c r="N43" s="1"/>
      <c r="O43" s="1"/>
      <c r="P43" s="1">
        <v>93.999999999999886</v>
      </c>
      <c r="Q43" s="1">
        <v>81.80000000000004</v>
      </c>
      <c r="R43" s="1"/>
      <c r="S43" s="1">
        <v>0</v>
      </c>
      <c r="T43" s="1">
        <f t="shared" si="4"/>
        <v>48.2</v>
      </c>
      <c r="U43" s="5">
        <f>10*T43-S43-R43-Q43-P43-O43-F43</f>
        <v>275.20000000000005</v>
      </c>
      <c r="V43" s="1">
        <f t="shared" si="5"/>
        <v>10</v>
      </c>
      <c r="W43" s="1">
        <f t="shared" si="6"/>
        <v>4.2904564315352678</v>
      </c>
      <c r="X43" s="1">
        <v>27.4</v>
      </c>
      <c r="Y43" s="1">
        <v>39.4</v>
      </c>
      <c r="Z43" s="1">
        <v>37.799999999999997</v>
      </c>
      <c r="AA43" s="1">
        <v>38.6</v>
      </c>
      <c r="AB43" s="1">
        <v>36.4</v>
      </c>
      <c r="AC43" s="1">
        <v>23.2</v>
      </c>
      <c r="AD43" s="1">
        <v>13.8</v>
      </c>
      <c r="AE43" s="1">
        <v>26.4</v>
      </c>
      <c r="AF43" s="1">
        <v>27</v>
      </c>
      <c r="AG43" s="1">
        <v>40.4</v>
      </c>
      <c r="AH43" s="1"/>
      <c r="AI43" s="1">
        <f t="shared" si="12"/>
        <v>110.08000000000003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83</v>
      </c>
      <c r="B44" s="1" t="s">
        <v>38</v>
      </c>
      <c r="C44" s="1">
        <v>133.352</v>
      </c>
      <c r="D44" s="1">
        <v>84.938999999999993</v>
      </c>
      <c r="E44" s="1">
        <v>125.1</v>
      </c>
      <c r="F44" s="1">
        <v>17.788</v>
      </c>
      <c r="G44" s="7">
        <v>1</v>
      </c>
      <c r="H44" s="1">
        <v>40</v>
      </c>
      <c r="I44" s="1" t="s">
        <v>171</v>
      </c>
      <c r="J44" s="1"/>
      <c r="K44" s="1">
        <v>160</v>
      </c>
      <c r="L44" s="1">
        <f t="shared" si="11"/>
        <v>-34.900000000000006</v>
      </c>
      <c r="M44" s="1"/>
      <c r="N44" s="1"/>
      <c r="O44" s="1"/>
      <c r="P44" s="1"/>
      <c r="Q44" s="1">
        <v>120.7744</v>
      </c>
      <c r="R44" s="1"/>
      <c r="S44" s="1">
        <v>79.336599999999976</v>
      </c>
      <c r="T44" s="1">
        <f t="shared" si="4"/>
        <v>25.02</v>
      </c>
      <c r="U44" s="5">
        <f t="shared" ref="U44:U86" si="13">11*T44-S44-R44-Q44-P44-O44-F44</f>
        <v>57.320999999999998</v>
      </c>
      <c r="V44" s="1">
        <f t="shared" si="5"/>
        <v>10.999999999999998</v>
      </c>
      <c r="W44" s="1">
        <f t="shared" si="6"/>
        <v>8.7089928057553951</v>
      </c>
      <c r="X44" s="1">
        <v>23.82</v>
      </c>
      <c r="Y44" s="1">
        <v>23.102399999999999</v>
      </c>
      <c r="Z44" s="1">
        <v>16.805800000000001</v>
      </c>
      <c r="AA44" s="1">
        <v>22.568000000000001</v>
      </c>
      <c r="AB44" s="1">
        <v>21.9788</v>
      </c>
      <c r="AC44" s="1">
        <v>8.1810000000000009</v>
      </c>
      <c r="AD44" s="1">
        <v>9.0269999999999992</v>
      </c>
      <c r="AE44" s="1">
        <v>22.357800000000001</v>
      </c>
      <c r="AF44" s="1">
        <v>19.128399999999999</v>
      </c>
      <c r="AG44" s="1">
        <v>19.760200000000001</v>
      </c>
      <c r="AH44" s="1"/>
      <c r="AI44" s="1">
        <f t="shared" si="12"/>
        <v>57.320999999999998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84</v>
      </c>
      <c r="B45" s="1" t="s">
        <v>43</v>
      </c>
      <c r="C45" s="1">
        <v>11</v>
      </c>
      <c r="D45" s="1">
        <v>573</v>
      </c>
      <c r="E45" s="1">
        <v>231</v>
      </c>
      <c r="F45" s="1">
        <v>154</v>
      </c>
      <c r="G45" s="7">
        <v>0.35</v>
      </c>
      <c r="H45" s="1">
        <v>40</v>
      </c>
      <c r="I45" s="1" t="s">
        <v>171</v>
      </c>
      <c r="J45" s="1"/>
      <c r="K45" s="1">
        <v>304</v>
      </c>
      <c r="L45" s="1">
        <f t="shared" si="11"/>
        <v>-73</v>
      </c>
      <c r="M45" s="1"/>
      <c r="N45" s="1"/>
      <c r="O45" s="1"/>
      <c r="P45" s="1">
        <v>229.8000000000001</v>
      </c>
      <c r="Q45" s="1">
        <v>20.799999999999951</v>
      </c>
      <c r="R45" s="1"/>
      <c r="S45" s="1">
        <v>0</v>
      </c>
      <c r="T45" s="1">
        <f t="shared" si="4"/>
        <v>46.2</v>
      </c>
      <c r="U45" s="5">
        <f t="shared" si="13"/>
        <v>103.60000000000002</v>
      </c>
      <c r="V45" s="1">
        <f t="shared" si="5"/>
        <v>11</v>
      </c>
      <c r="W45" s="1">
        <f t="shared" si="6"/>
        <v>8.7575757575757578</v>
      </c>
      <c r="X45" s="1">
        <v>30.6</v>
      </c>
      <c r="Y45" s="1">
        <v>58.6</v>
      </c>
      <c r="Z45" s="1">
        <v>64.400000000000006</v>
      </c>
      <c r="AA45" s="1">
        <v>53</v>
      </c>
      <c r="AB45" s="1">
        <v>37.6</v>
      </c>
      <c r="AC45" s="1">
        <v>35.799999999999997</v>
      </c>
      <c r="AD45" s="1">
        <v>36</v>
      </c>
      <c r="AE45" s="1">
        <v>47.6</v>
      </c>
      <c r="AF45" s="1">
        <v>68.2</v>
      </c>
      <c r="AG45" s="1">
        <v>61.2</v>
      </c>
      <c r="AH45" s="1"/>
      <c r="AI45" s="1">
        <f t="shared" si="12"/>
        <v>36.260000000000005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85</v>
      </c>
      <c r="B46" s="1" t="s">
        <v>43</v>
      </c>
      <c r="C46" s="1">
        <v>10.486000000000001</v>
      </c>
      <c r="D46" s="1">
        <v>140.51400000000001</v>
      </c>
      <c r="E46" s="1">
        <v>5</v>
      </c>
      <c r="F46" s="1"/>
      <c r="G46" s="7">
        <v>0.4</v>
      </c>
      <c r="H46" s="1">
        <v>40</v>
      </c>
      <c r="I46" s="1" t="s">
        <v>171</v>
      </c>
      <c r="J46" s="1"/>
      <c r="K46" s="1">
        <v>297</v>
      </c>
      <c r="L46" s="1">
        <f t="shared" si="11"/>
        <v>-292</v>
      </c>
      <c r="M46" s="1"/>
      <c r="N46" s="1"/>
      <c r="O46" s="1"/>
      <c r="P46" s="1">
        <v>195.79999999999981</v>
      </c>
      <c r="Q46" s="1">
        <v>154.96000000000009</v>
      </c>
      <c r="R46" s="1"/>
      <c r="S46" s="1">
        <v>152.0064000000001</v>
      </c>
      <c r="T46" s="1">
        <f t="shared" si="4"/>
        <v>1</v>
      </c>
      <c r="U46" s="5"/>
      <c r="V46" s="1">
        <f t="shared" si="5"/>
        <v>502.76639999999998</v>
      </c>
      <c r="W46" s="1">
        <f t="shared" si="6"/>
        <v>502.76639999999998</v>
      </c>
      <c r="X46" s="1">
        <v>56</v>
      </c>
      <c r="Y46" s="1">
        <v>90.8</v>
      </c>
      <c r="Z46" s="1">
        <v>85.6</v>
      </c>
      <c r="AA46" s="1">
        <v>77.8</v>
      </c>
      <c r="AB46" s="1">
        <v>66.702799999999996</v>
      </c>
      <c r="AC46" s="1">
        <v>56.702800000000003</v>
      </c>
      <c r="AD46" s="1">
        <v>71</v>
      </c>
      <c r="AE46" s="1">
        <v>69.599999999999994</v>
      </c>
      <c r="AF46" s="1">
        <v>58.8</v>
      </c>
      <c r="AG46" s="1">
        <v>74.599999999999994</v>
      </c>
      <c r="AH46" s="1"/>
      <c r="AI46" s="1">
        <f t="shared" si="12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86</v>
      </c>
      <c r="B47" s="1" t="s">
        <v>38</v>
      </c>
      <c r="C47" s="1">
        <v>104.96</v>
      </c>
      <c r="D47" s="1">
        <v>85.376999999999995</v>
      </c>
      <c r="E47" s="1">
        <v>93.792000000000002</v>
      </c>
      <c r="F47" s="1">
        <v>4.0780000000000003</v>
      </c>
      <c r="G47" s="7">
        <v>1</v>
      </c>
      <c r="H47" s="1">
        <v>50</v>
      </c>
      <c r="I47" s="1" t="s">
        <v>171</v>
      </c>
      <c r="J47" s="1"/>
      <c r="K47" s="1">
        <v>111.6</v>
      </c>
      <c r="L47" s="1">
        <f t="shared" si="11"/>
        <v>-17.807999999999993</v>
      </c>
      <c r="M47" s="1"/>
      <c r="N47" s="1"/>
      <c r="O47" s="1"/>
      <c r="P47" s="1">
        <v>53.077800000000018</v>
      </c>
      <c r="Q47" s="1">
        <v>101.65900000000001</v>
      </c>
      <c r="R47" s="1"/>
      <c r="S47" s="1">
        <v>64.346700000000027</v>
      </c>
      <c r="T47" s="1">
        <f t="shared" si="4"/>
        <v>18.758400000000002</v>
      </c>
      <c r="U47" s="5"/>
      <c r="V47" s="1">
        <f t="shared" si="5"/>
        <v>11.896616982258616</v>
      </c>
      <c r="W47" s="1">
        <f t="shared" si="6"/>
        <v>11.896616982258616</v>
      </c>
      <c r="X47" s="1">
        <v>21.601400000000002</v>
      </c>
      <c r="Y47" s="1">
        <v>23.608799999999999</v>
      </c>
      <c r="Z47" s="1">
        <v>18.345400000000001</v>
      </c>
      <c r="AA47" s="1">
        <v>14.846399999999999</v>
      </c>
      <c r="AB47" s="1">
        <v>11.8916</v>
      </c>
      <c r="AC47" s="1">
        <v>9.4711999999999996</v>
      </c>
      <c r="AD47" s="1">
        <v>16.225200000000001</v>
      </c>
      <c r="AE47" s="1">
        <v>19.845600000000001</v>
      </c>
      <c r="AF47" s="1">
        <v>22.029</v>
      </c>
      <c r="AG47" s="1">
        <v>15.5932</v>
      </c>
      <c r="AH47" s="1"/>
      <c r="AI47" s="1">
        <f t="shared" si="12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87</v>
      </c>
      <c r="B48" s="1" t="s">
        <v>38</v>
      </c>
      <c r="C48" s="1">
        <v>641.58600000000001</v>
      </c>
      <c r="D48" s="1">
        <v>137.905</v>
      </c>
      <c r="E48" s="1">
        <v>136.98699999999999</v>
      </c>
      <c r="F48" s="1">
        <v>510.05399999999997</v>
      </c>
      <c r="G48" s="7">
        <v>1</v>
      </c>
      <c r="H48" s="1">
        <v>50</v>
      </c>
      <c r="I48" s="1" t="s">
        <v>171</v>
      </c>
      <c r="J48" s="1"/>
      <c r="K48" s="1">
        <v>168.6</v>
      </c>
      <c r="L48" s="1">
        <f t="shared" si="11"/>
        <v>-31.613</v>
      </c>
      <c r="M48" s="1"/>
      <c r="N48" s="1"/>
      <c r="O48" s="1"/>
      <c r="P48" s="1"/>
      <c r="Q48" s="1">
        <v>0</v>
      </c>
      <c r="R48" s="1"/>
      <c r="S48" s="1">
        <v>0</v>
      </c>
      <c r="T48" s="1">
        <f t="shared" si="4"/>
        <v>27.397399999999998</v>
      </c>
      <c r="U48" s="5"/>
      <c r="V48" s="1">
        <f t="shared" si="5"/>
        <v>18.616876053932124</v>
      </c>
      <c r="W48" s="1">
        <f t="shared" si="6"/>
        <v>18.616876053932124</v>
      </c>
      <c r="X48" s="1">
        <v>30.834</v>
      </c>
      <c r="Y48" s="1">
        <v>34.377200000000002</v>
      </c>
      <c r="Z48" s="1">
        <v>30.298400000000001</v>
      </c>
      <c r="AA48" s="1">
        <v>23.753599999999999</v>
      </c>
      <c r="AB48" s="1">
        <v>27.530799999999999</v>
      </c>
      <c r="AC48" s="1">
        <v>25.306999999999999</v>
      </c>
      <c r="AD48" s="1">
        <v>31.5168</v>
      </c>
      <c r="AE48" s="1">
        <v>27.968</v>
      </c>
      <c r="AF48" s="1">
        <v>28.571000000000002</v>
      </c>
      <c r="AG48" s="1">
        <v>29.1296</v>
      </c>
      <c r="AH48" s="15" t="s">
        <v>63</v>
      </c>
      <c r="AI48" s="1">
        <f t="shared" si="12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88</v>
      </c>
      <c r="B49" s="1" t="s">
        <v>38</v>
      </c>
      <c r="C49" s="1">
        <v>-5.9820000000000002</v>
      </c>
      <c r="D49" s="1">
        <v>322.77999999999997</v>
      </c>
      <c r="E49" s="1">
        <v>169.77699999999999</v>
      </c>
      <c r="F49" s="1">
        <v>40.750999999999998</v>
      </c>
      <c r="G49" s="7">
        <v>1</v>
      </c>
      <c r="H49" s="1">
        <v>45</v>
      </c>
      <c r="I49" s="1" t="s">
        <v>171</v>
      </c>
      <c r="J49" s="1"/>
      <c r="K49" s="1">
        <v>175.61500000000001</v>
      </c>
      <c r="L49" s="1">
        <f t="shared" si="11"/>
        <v>-5.8380000000000223</v>
      </c>
      <c r="M49" s="1"/>
      <c r="N49" s="1"/>
      <c r="O49" s="1"/>
      <c r="P49" s="1">
        <v>124.04039999999991</v>
      </c>
      <c r="Q49" s="1">
        <v>0</v>
      </c>
      <c r="R49" s="1"/>
      <c r="S49" s="1">
        <v>0</v>
      </c>
      <c r="T49" s="1">
        <f t="shared" si="4"/>
        <v>33.955399999999997</v>
      </c>
      <c r="U49" s="5">
        <f t="shared" si="13"/>
        <v>208.71800000000005</v>
      </c>
      <c r="V49" s="1">
        <f t="shared" si="5"/>
        <v>10.999999999999998</v>
      </c>
      <c r="W49" s="1">
        <f t="shared" si="6"/>
        <v>4.8531721022282142</v>
      </c>
      <c r="X49" s="1">
        <v>1.6262000000000001</v>
      </c>
      <c r="Y49" s="1">
        <v>13.767799999999999</v>
      </c>
      <c r="Z49" s="1">
        <v>26.409400000000002</v>
      </c>
      <c r="AA49" s="1">
        <v>23.374400000000001</v>
      </c>
      <c r="AB49" s="1">
        <v>24.1386</v>
      </c>
      <c r="AC49" s="1">
        <v>22.309200000000001</v>
      </c>
      <c r="AD49" s="1">
        <v>27.3674</v>
      </c>
      <c r="AE49" s="1">
        <v>27.667200000000001</v>
      </c>
      <c r="AF49" s="1">
        <v>13.4558</v>
      </c>
      <c r="AG49" s="1">
        <v>20.5946</v>
      </c>
      <c r="AH49" s="1"/>
      <c r="AI49" s="1">
        <f t="shared" si="12"/>
        <v>208.71800000000005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89</v>
      </c>
      <c r="B50" s="1" t="s">
        <v>43</v>
      </c>
      <c r="C50" s="1">
        <v>82</v>
      </c>
      <c r="D50" s="1">
        <v>226</v>
      </c>
      <c r="E50" s="1">
        <v>177</v>
      </c>
      <c r="F50" s="1">
        <v>28</v>
      </c>
      <c r="G50" s="7">
        <v>0.45</v>
      </c>
      <c r="H50" s="1">
        <v>50</v>
      </c>
      <c r="I50" s="1" t="s">
        <v>171</v>
      </c>
      <c r="J50" s="1"/>
      <c r="K50" s="1">
        <v>192</v>
      </c>
      <c r="L50" s="1">
        <f t="shared" si="11"/>
        <v>-15</v>
      </c>
      <c r="M50" s="1"/>
      <c r="N50" s="1"/>
      <c r="O50" s="1"/>
      <c r="P50" s="1">
        <v>92</v>
      </c>
      <c r="Q50" s="1">
        <v>118.4</v>
      </c>
      <c r="R50" s="1"/>
      <c r="S50" s="1">
        <v>213.68</v>
      </c>
      <c r="T50" s="1">
        <f t="shared" si="4"/>
        <v>35.4</v>
      </c>
      <c r="U50" s="5"/>
      <c r="V50" s="1">
        <f t="shared" si="5"/>
        <v>12.770621468926555</v>
      </c>
      <c r="W50" s="1">
        <f t="shared" si="6"/>
        <v>12.770621468926555</v>
      </c>
      <c r="X50" s="1">
        <v>42.4</v>
      </c>
      <c r="Y50" s="1">
        <v>34.4</v>
      </c>
      <c r="Z50" s="1">
        <v>31</v>
      </c>
      <c r="AA50" s="1">
        <v>32</v>
      </c>
      <c r="AB50" s="1">
        <v>33.200000000000003</v>
      </c>
      <c r="AC50" s="1">
        <v>23.6</v>
      </c>
      <c r="AD50" s="1">
        <v>26.4</v>
      </c>
      <c r="AE50" s="1">
        <v>28.2</v>
      </c>
      <c r="AF50" s="1">
        <v>24.6</v>
      </c>
      <c r="AG50" s="1">
        <v>30.8</v>
      </c>
      <c r="AH50" s="1"/>
      <c r="AI50" s="1">
        <f t="shared" si="12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90</v>
      </c>
      <c r="B51" s="1" t="s">
        <v>43</v>
      </c>
      <c r="C51" s="1">
        <v>269</v>
      </c>
      <c r="D51" s="1">
        <v>318</v>
      </c>
      <c r="E51" s="1">
        <v>236</v>
      </c>
      <c r="F51" s="1">
        <v>14</v>
      </c>
      <c r="G51" s="7">
        <v>0.45</v>
      </c>
      <c r="H51" s="1">
        <v>50</v>
      </c>
      <c r="I51" s="1" t="s">
        <v>171</v>
      </c>
      <c r="J51" s="1"/>
      <c r="K51" s="1">
        <v>300</v>
      </c>
      <c r="L51" s="1">
        <f t="shared" si="11"/>
        <v>-64</v>
      </c>
      <c r="M51" s="1"/>
      <c r="N51" s="1"/>
      <c r="O51" s="1"/>
      <c r="P51" s="1">
        <v>202.8</v>
      </c>
      <c r="Q51" s="1">
        <v>291.8</v>
      </c>
      <c r="R51" s="1"/>
      <c r="S51" s="1">
        <v>87.619999999999976</v>
      </c>
      <c r="T51" s="1">
        <f t="shared" si="4"/>
        <v>47.2</v>
      </c>
      <c r="U51" s="5"/>
      <c r="V51" s="1">
        <f t="shared" si="5"/>
        <v>12.631779661016949</v>
      </c>
      <c r="W51" s="1">
        <f t="shared" si="6"/>
        <v>12.631779661016949</v>
      </c>
      <c r="X51" s="1">
        <v>63.6</v>
      </c>
      <c r="Y51" s="1">
        <v>69.599999999999994</v>
      </c>
      <c r="Z51" s="1">
        <v>55.4</v>
      </c>
      <c r="AA51" s="1">
        <v>41</v>
      </c>
      <c r="AB51" s="1">
        <v>59</v>
      </c>
      <c r="AC51" s="1">
        <v>55.2</v>
      </c>
      <c r="AD51" s="1">
        <v>53</v>
      </c>
      <c r="AE51" s="1">
        <v>54.4</v>
      </c>
      <c r="AF51" s="1">
        <v>45.8</v>
      </c>
      <c r="AG51" s="1">
        <v>50.6</v>
      </c>
      <c r="AH51" s="1"/>
      <c r="AI51" s="1">
        <f t="shared" si="12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91</v>
      </c>
      <c r="B52" s="1" t="s">
        <v>43</v>
      </c>
      <c r="C52" s="1">
        <v>-1</v>
      </c>
      <c r="D52" s="1">
        <v>67</v>
      </c>
      <c r="E52" s="1">
        <v>31</v>
      </c>
      <c r="F52" s="1">
        <v>6</v>
      </c>
      <c r="G52" s="7">
        <v>0.4</v>
      </c>
      <c r="H52" s="1">
        <v>40</v>
      </c>
      <c r="I52" s="1" t="s">
        <v>171</v>
      </c>
      <c r="J52" s="1"/>
      <c r="K52" s="1">
        <v>41</v>
      </c>
      <c r="L52" s="1">
        <f t="shared" si="11"/>
        <v>-10</v>
      </c>
      <c r="M52" s="1"/>
      <c r="N52" s="1"/>
      <c r="O52" s="1"/>
      <c r="P52" s="1">
        <v>31.79999999999999</v>
      </c>
      <c r="Q52" s="1">
        <v>0</v>
      </c>
      <c r="R52" s="1"/>
      <c r="S52" s="1">
        <v>0</v>
      </c>
      <c r="T52" s="1">
        <f t="shared" si="4"/>
        <v>6.2</v>
      </c>
      <c r="U52" s="5">
        <f t="shared" si="13"/>
        <v>30.400000000000013</v>
      </c>
      <c r="V52" s="1">
        <f t="shared" si="5"/>
        <v>11</v>
      </c>
      <c r="W52" s="1">
        <f t="shared" si="6"/>
        <v>6.0967741935483852</v>
      </c>
      <c r="X52" s="1">
        <v>0.6</v>
      </c>
      <c r="Y52" s="1">
        <v>1</v>
      </c>
      <c r="Z52" s="1">
        <v>7.6</v>
      </c>
      <c r="AA52" s="1">
        <v>7.8</v>
      </c>
      <c r="AB52" s="1">
        <v>0.4</v>
      </c>
      <c r="AC52" s="1">
        <v>-0.2</v>
      </c>
      <c r="AD52" s="1">
        <v>0</v>
      </c>
      <c r="AE52" s="1">
        <v>0</v>
      </c>
      <c r="AF52" s="1">
        <v>0</v>
      </c>
      <c r="AG52" s="1">
        <v>0</v>
      </c>
      <c r="AH52" s="1"/>
      <c r="AI52" s="1">
        <f t="shared" si="12"/>
        <v>12.160000000000005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92</v>
      </c>
      <c r="B53" s="1" t="s">
        <v>43</v>
      </c>
      <c r="C53" s="1">
        <v>29</v>
      </c>
      <c r="D53" s="1">
        <v>117</v>
      </c>
      <c r="E53" s="1">
        <v>31</v>
      </c>
      <c r="F53" s="1">
        <v>46</v>
      </c>
      <c r="G53" s="7">
        <v>0.4</v>
      </c>
      <c r="H53" s="1">
        <v>40</v>
      </c>
      <c r="I53" s="1" t="s">
        <v>171</v>
      </c>
      <c r="J53" s="1"/>
      <c r="K53" s="1">
        <v>40</v>
      </c>
      <c r="L53" s="1">
        <f t="shared" si="11"/>
        <v>-9</v>
      </c>
      <c r="M53" s="1"/>
      <c r="N53" s="1"/>
      <c r="O53" s="1"/>
      <c r="P53" s="1">
        <v>46</v>
      </c>
      <c r="Q53" s="1">
        <v>36.199999999999989</v>
      </c>
      <c r="R53" s="1"/>
      <c r="S53" s="1">
        <v>6</v>
      </c>
      <c r="T53" s="1">
        <f t="shared" si="4"/>
        <v>6.2</v>
      </c>
      <c r="U53" s="5"/>
      <c r="V53" s="1">
        <f t="shared" si="5"/>
        <v>21.645161290322577</v>
      </c>
      <c r="W53" s="1">
        <f t="shared" si="6"/>
        <v>21.645161290322577</v>
      </c>
      <c r="X53" s="1">
        <v>10.199999999999999</v>
      </c>
      <c r="Y53" s="1">
        <v>12</v>
      </c>
      <c r="Z53" s="1">
        <v>12.4</v>
      </c>
      <c r="AA53" s="1">
        <v>10.8</v>
      </c>
      <c r="AB53" s="1">
        <v>1.4</v>
      </c>
      <c r="AC53" s="1">
        <v>4.5999999999999996</v>
      </c>
      <c r="AD53" s="1">
        <v>11.8</v>
      </c>
      <c r="AE53" s="1">
        <v>11</v>
      </c>
      <c r="AF53" s="1">
        <v>10.6</v>
      </c>
      <c r="AG53" s="1">
        <v>12.6</v>
      </c>
      <c r="AH53" s="1"/>
      <c r="AI53" s="1">
        <f t="shared" si="12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93</v>
      </c>
      <c r="B54" s="1" t="s">
        <v>38</v>
      </c>
      <c r="C54" s="1">
        <v>274.983</v>
      </c>
      <c r="D54" s="1">
        <v>35.984999999999999</v>
      </c>
      <c r="E54" s="1">
        <v>54.591999999999999</v>
      </c>
      <c r="F54" s="1">
        <v>223.21</v>
      </c>
      <c r="G54" s="7">
        <v>1</v>
      </c>
      <c r="H54" s="1">
        <v>50</v>
      </c>
      <c r="I54" s="1" t="s">
        <v>171</v>
      </c>
      <c r="J54" s="1"/>
      <c r="K54" s="1">
        <v>71.2</v>
      </c>
      <c r="L54" s="1">
        <f t="shared" si="11"/>
        <v>-16.608000000000004</v>
      </c>
      <c r="M54" s="1"/>
      <c r="N54" s="1"/>
      <c r="O54" s="1"/>
      <c r="P54" s="1"/>
      <c r="Q54" s="1">
        <v>0</v>
      </c>
      <c r="R54" s="1"/>
      <c r="S54" s="1">
        <v>0</v>
      </c>
      <c r="T54" s="1">
        <f t="shared" si="4"/>
        <v>10.9184</v>
      </c>
      <c r="U54" s="5"/>
      <c r="V54" s="1">
        <f t="shared" si="5"/>
        <v>20.443471570926143</v>
      </c>
      <c r="W54" s="1">
        <f t="shared" si="6"/>
        <v>20.443471570926143</v>
      </c>
      <c r="X54" s="1">
        <v>9.3290000000000006</v>
      </c>
      <c r="Y54" s="1">
        <v>14.9518</v>
      </c>
      <c r="Z54" s="1">
        <v>16.250800000000002</v>
      </c>
      <c r="AA54" s="1">
        <v>13.851000000000001</v>
      </c>
      <c r="AB54" s="1">
        <v>12.593400000000001</v>
      </c>
      <c r="AC54" s="1">
        <v>9.694799999999999</v>
      </c>
      <c r="AD54" s="1">
        <v>12.5252</v>
      </c>
      <c r="AE54" s="1">
        <v>10.475199999999999</v>
      </c>
      <c r="AF54" s="1">
        <v>16.552399999999999</v>
      </c>
      <c r="AG54" s="1">
        <v>14.782</v>
      </c>
      <c r="AH54" s="15" t="s">
        <v>63</v>
      </c>
      <c r="AI54" s="1">
        <f t="shared" si="12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94</v>
      </c>
      <c r="B55" s="1" t="s">
        <v>43</v>
      </c>
      <c r="C55" s="1">
        <v>299</v>
      </c>
      <c r="D55" s="1">
        <v>27</v>
      </c>
      <c r="E55" s="1">
        <v>55</v>
      </c>
      <c r="F55" s="1">
        <v>248</v>
      </c>
      <c r="G55" s="7">
        <v>0.1</v>
      </c>
      <c r="H55" s="1">
        <v>731</v>
      </c>
      <c r="I55" s="1" t="s">
        <v>171</v>
      </c>
      <c r="J55" s="1"/>
      <c r="K55" s="1">
        <v>59</v>
      </c>
      <c r="L55" s="1">
        <f t="shared" si="11"/>
        <v>-4</v>
      </c>
      <c r="M55" s="1"/>
      <c r="N55" s="1"/>
      <c r="O55" s="1"/>
      <c r="P55" s="1"/>
      <c r="Q55" s="1">
        <v>0</v>
      </c>
      <c r="R55" s="1"/>
      <c r="S55" s="1">
        <v>0</v>
      </c>
      <c r="T55" s="1">
        <f t="shared" si="4"/>
        <v>11</v>
      </c>
      <c r="U55" s="5"/>
      <c r="V55" s="1">
        <f t="shared" si="5"/>
        <v>22.545454545454547</v>
      </c>
      <c r="W55" s="1">
        <f t="shared" si="6"/>
        <v>22.545454545454547</v>
      </c>
      <c r="X55" s="1">
        <v>13.6</v>
      </c>
      <c r="Y55" s="1">
        <v>13.2</v>
      </c>
      <c r="Z55" s="1">
        <v>11.6</v>
      </c>
      <c r="AA55" s="1">
        <v>10.4</v>
      </c>
      <c r="AB55" s="1">
        <v>12.4</v>
      </c>
      <c r="AC55" s="1">
        <v>11.8</v>
      </c>
      <c r="AD55" s="1">
        <v>9.6</v>
      </c>
      <c r="AE55" s="1">
        <v>10</v>
      </c>
      <c r="AF55" s="1">
        <v>10.4</v>
      </c>
      <c r="AG55" s="1">
        <v>12.6</v>
      </c>
      <c r="AH55" s="15" t="s">
        <v>63</v>
      </c>
      <c r="AI55" s="1">
        <f t="shared" si="12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95</v>
      </c>
      <c r="B56" s="1" t="s">
        <v>38</v>
      </c>
      <c r="C56" s="1">
        <v>431.45400000000001</v>
      </c>
      <c r="D56" s="1">
        <v>86.144000000000005</v>
      </c>
      <c r="E56" s="1">
        <v>177.47399999999999</v>
      </c>
      <c r="F56" s="1">
        <v>253.749</v>
      </c>
      <c r="G56" s="7">
        <v>1</v>
      </c>
      <c r="H56" s="1">
        <v>50</v>
      </c>
      <c r="I56" s="1" t="s">
        <v>171</v>
      </c>
      <c r="J56" s="1"/>
      <c r="K56" s="1">
        <v>180.62200000000001</v>
      </c>
      <c r="L56" s="1">
        <f t="shared" si="11"/>
        <v>-3.1480000000000246</v>
      </c>
      <c r="M56" s="1"/>
      <c r="N56" s="1"/>
      <c r="O56" s="1"/>
      <c r="P56" s="1"/>
      <c r="Q56" s="1">
        <v>3.811599999999999</v>
      </c>
      <c r="R56" s="1"/>
      <c r="S56" s="1">
        <v>18.06190000000004</v>
      </c>
      <c r="T56" s="1">
        <f t="shared" si="4"/>
        <v>35.494799999999998</v>
      </c>
      <c r="U56" s="5">
        <f t="shared" si="13"/>
        <v>114.82029999999995</v>
      </c>
      <c r="V56" s="1">
        <f t="shared" si="5"/>
        <v>11.000000000000002</v>
      </c>
      <c r="W56" s="1">
        <f t="shared" si="6"/>
        <v>7.7651515151515174</v>
      </c>
      <c r="X56" s="1">
        <v>30.4786</v>
      </c>
      <c r="Y56" s="1">
        <v>39.569600000000001</v>
      </c>
      <c r="Z56" s="1">
        <v>35.916200000000003</v>
      </c>
      <c r="AA56" s="1">
        <v>27.1142</v>
      </c>
      <c r="AB56" s="1">
        <v>24.8506</v>
      </c>
      <c r="AC56" s="1">
        <v>27.480799999999999</v>
      </c>
      <c r="AD56" s="1">
        <v>35.6648</v>
      </c>
      <c r="AE56" s="1">
        <v>31.4526</v>
      </c>
      <c r="AF56" s="1">
        <v>25.026800000000001</v>
      </c>
      <c r="AG56" s="1">
        <v>33.039400000000001</v>
      </c>
      <c r="AH56" s="1"/>
      <c r="AI56" s="1">
        <f t="shared" si="12"/>
        <v>114.82029999999995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96</v>
      </c>
      <c r="B57" s="1" t="s">
        <v>38</v>
      </c>
      <c r="C57" s="1">
        <v>26.029</v>
      </c>
      <c r="D57" s="1">
        <v>54.88</v>
      </c>
      <c r="E57" s="1">
        <v>31.437999999999999</v>
      </c>
      <c r="F57" s="1">
        <v>28.899000000000001</v>
      </c>
      <c r="G57" s="7">
        <v>1</v>
      </c>
      <c r="H57" s="1">
        <v>55</v>
      </c>
      <c r="I57" s="1" t="s">
        <v>171</v>
      </c>
      <c r="J57" s="1"/>
      <c r="K57" s="1">
        <v>28.3</v>
      </c>
      <c r="L57" s="1">
        <f t="shared" si="11"/>
        <v>3.1379999999999981</v>
      </c>
      <c r="M57" s="1"/>
      <c r="N57" s="1"/>
      <c r="O57" s="1"/>
      <c r="P57" s="1"/>
      <c r="Q57" s="1">
        <v>43.627400000000009</v>
      </c>
      <c r="R57" s="1"/>
      <c r="S57" s="1">
        <v>4</v>
      </c>
      <c r="T57" s="1">
        <f t="shared" si="4"/>
        <v>6.2875999999999994</v>
      </c>
      <c r="U57" s="5"/>
      <c r="V57" s="1">
        <f t="shared" si="5"/>
        <v>12.171003244481204</v>
      </c>
      <c r="W57" s="1">
        <f t="shared" si="6"/>
        <v>12.171003244481204</v>
      </c>
      <c r="X57" s="1">
        <v>7.8018000000000001</v>
      </c>
      <c r="Y57" s="1">
        <v>9.2653999999999996</v>
      </c>
      <c r="Z57" s="1">
        <v>6.8365999999999998</v>
      </c>
      <c r="AA57" s="1">
        <v>8.6145999999999994</v>
      </c>
      <c r="AB57" s="1">
        <v>6.7657999999999996</v>
      </c>
      <c r="AC57" s="1">
        <v>3.2637999999999998</v>
      </c>
      <c r="AD57" s="1">
        <v>3.5434000000000001</v>
      </c>
      <c r="AE57" s="1">
        <v>4.3601999999999999</v>
      </c>
      <c r="AF57" s="1">
        <v>8.9471999999999987</v>
      </c>
      <c r="AG57" s="1">
        <v>4.6289999999999996</v>
      </c>
      <c r="AH57" s="1"/>
      <c r="AI57" s="1">
        <f t="shared" si="12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97</v>
      </c>
      <c r="B58" s="1" t="s">
        <v>43</v>
      </c>
      <c r="C58" s="1">
        <v>242</v>
      </c>
      <c r="D58" s="1">
        <v>11</v>
      </c>
      <c r="E58" s="1">
        <v>64</v>
      </c>
      <c r="F58" s="1">
        <v>182</v>
      </c>
      <c r="G58" s="7">
        <v>0.1</v>
      </c>
      <c r="H58" s="1">
        <v>731</v>
      </c>
      <c r="I58" s="1" t="s">
        <v>171</v>
      </c>
      <c r="J58" s="1"/>
      <c r="K58" s="1">
        <v>70</v>
      </c>
      <c r="L58" s="1">
        <f t="shared" si="11"/>
        <v>-6</v>
      </c>
      <c r="M58" s="1"/>
      <c r="N58" s="1"/>
      <c r="O58" s="1"/>
      <c r="P58" s="1"/>
      <c r="Q58" s="1">
        <v>0</v>
      </c>
      <c r="R58" s="1"/>
      <c r="S58" s="1">
        <v>0</v>
      </c>
      <c r="T58" s="1">
        <f t="shared" si="4"/>
        <v>12.8</v>
      </c>
      <c r="U58" s="5"/>
      <c r="V58" s="1">
        <f t="shared" si="5"/>
        <v>14.21875</v>
      </c>
      <c r="W58" s="1">
        <f t="shared" si="6"/>
        <v>14.21875</v>
      </c>
      <c r="X58" s="1">
        <v>10.199999999999999</v>
      </c>
      <c r="Y58" s="1">
        <v>12.6</v>
      </c>
      <c r="Z58" s="1">
        <v>14.6</v>
      </c>
      <c r="AA58" s="1">
        <v>10.4</v>
      </c>
      <c r="AB58" s="1">
        <v>2.6</v>
      </c>
      <c r="AC58" s="1">
        <v>2.2000000000000002</v>
      </c>
      <c r="AD58" s="1">
        <v>6.6</v>
      </c>
      <c r="AE58" s="1">
        <v>12</v>
      </c>
      <c r="AF58" s="1">
        <v>9.8000000000000007</v>
      </c>
      <c r="AG58" s="1">
        <v>14.8</v>
      </c>
      <c r="AH58" s="14" t="s">
        <v>39</v>
      </c>
      <c r="AI58" s="1">
        <f t="shared" si="12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98</v>
      </c>
      <c r="B59" s="1" t="s">
        <v>43</v>
      </c>
      <c r="C59" s="1">
        <v>21</v>
      </c>
      <c r="D59" s="1">
        <v>4</v>
      </c>
      <c r="E59" s="1">
        <v>4</v>
      </c>
      <c r="F59" s="1">
        <v>-3</v>
      </c>
      <c r="G59" s="7">
        <v>0.4</v>
      </c>
      <c r="H59" s="1">
        <v>50</v>
      </c>
      <c r="I59" s="1" t="s">
        <v>171</v>
      </c>
      <c r="J59" s="1"/>
      <c r="K59" s="1">
        <v>21</v>
      </c>
      <c r="L59" s="1">
        <f t="shared" si="11"/>
        <v>-17</v>
      </c>
      <c r="M59" s="1"/>
      <c r="N59" s="1"/>
      <c r="O59" s="1"/>
      <c r="P59" s="1"/>
      <c r="Q59" s="1">
        <v>14.2</v>
      </c>
      <c r="R59" s="1"/>
      <c r="S59" s="1">
        <v>0</v>
      </c>
      <c r="T59" s="1">
        <f t="shared" si="4"/>
        <v>0.8</v>
      </c>
      <c r="U59" s="5"/>
      <c r="V59" s="1">
        <f t="shared" si="5"/>
        <v>13.999999999999998</v>
      </c>
      <c r="W59" s="1">
        <f t="shared" si="6"/>
        <v>13.999999999999998</v>
      </c>
      <c r="X59" s="1">
        <v>1.6</v>
      </c>
      <c r="Y59" s="1">
        <v>3.2</v>
      </c>
      <c r="Z59" s="1">
        <v>2.4</v>
      </c>
      <c r="AA59" s="1">
        <v>1.8</v>
      </c>
      <c r="AB59" s="1">
        <v>3.2</v>
      </c>
      <c r="AC59" s="1">
        <v>2.8</v>
      </c>
      <c r="AD59" s="1">
        <v>2.2000000000000002</v>
      </c>
      <c r="AE59" s="1">
        <v>2.2000000000000002</v>
      </c>
      <c r="AF59" s="1">
        <v>3.6</v>
      </c>
      <c r="AG59" s="1">
        <v>2.8</v>
      </c>
      <c r="AH59" s="1"/>
      <c r="AI59" s="1">
        <f t="shared" si="12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99</v>
      </c>
      <c r="B60" s="1" t="s">
        <v>38</v>
      </c>
      <c r="C60" s="1">
        <v>7.7930000000000001</v>
      </c>
      <c r="D60" s="1">
        <v>42.103000000000002</v>
      </c>
      <c r="E60" s="1">
        <v>21.207000000000001</v>
      </c>
      <c r="F60" s="1">
        <v>9.5220000000000002</v>
      </c>
      <c r="G60" s="7">
        <v>1</v>
      </c>
      <c r="H60" s="1">
        <v>40</v>
      </c>
      <c r="I60" s="1" t="s">
        <v>171</v>
      </c>
      <c r="J60" s="1"/>
      <c r="K60" s="1">
        <v>37.5</v>
      </c>
      <c r="L60" s="1">
        <f t="shared" si="11"/>
        <v>-16.292999999999999</v>
      </c>
      <c r="M60" s="1"/>
      <c r="N60" s="1"/>
      <c r="O60" s="1"/>
      <c r="P60" s="1">
        <v>119.8292</v>
      </c>
      <c r="Q60" s="1">
        <v>88.80619999999999</v>
      </c>
      <c r="R60" s="1"/>
      <c r="S60" s="1">
        <v>0</v>
      </c>
      <c r="T60" s="1">
        <f t="shared" si="4"/>
        <v>4.2414000000000005</v>
      </c>
      <c r="U60" s="5"/>
      <c r="V60" s="1">
        <f t="shared" si="5"/>
        <v>51.435233649266742</v>
      </c>
      <c r="W60" s="1">
        <f t="shared" si="6"/>
        <v>51.435233649266742</v>
      </c>
      <c r="X60" s="1">
        <v>8.469199999999999</v>
      </c>
      <c r="Y60" s="1">
        <v>20.630199999999999</v>
      </c>
      <c r="Z60" s="1">
        <v>17.4864</v>
      </c>
      <c r="AA60" s="1">
        <v>11.520799999999999</v>
      </c>
      <c r="AB60" s="1">
        <v>10.605399999999999</v>
      </c>
      <c r="AC60" s="1">
        <v>7.9319999999999986</v>
      </c>
      <c r="AD60" s="1">
        <v>11.8162</v>
      </c>
      <c r="AE60" s="1">
        <v>10.5372</v>
      </c>
      <c r="AF60" s="1">
        <v>12.450200000000001</v>
      </c>
      <c r="AG60" s="1">
        <v>4.6276000000000002</v>
      </c>
      <c r="AH60" s="1"/>
      <c r="AI60" s="1">
        <f t="shared" si="12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100</v>
      </c>
      <c r="B61" s="1" t="s">
        <v>38</v>
      </c>
      <c r="C61" s="1">
        <v>32.116999999999997</v>
      </c>
      <c r="D61" s="1">
        <v>45.067</v>
      </c>
      <c r="E61" s="1">
        <v>42.481999999999999</v>
      </c>
      <c r="F61" s="1">
        <v>2.7240000000000002</v>
      </c>
      <c r="G61" s="7">
        <v>1</v>
      </c>
      <c r="H61" s="1">
        <v>40</v>
      </c>
      <c r="I61" s="1" t="s">
        <v>171</v>
      </c>
      <c r="J61" s="1"/>
      <c r="K61" s="1">
        <v>68.927999999999997</v>
      </c>
      <c r="L61" s="1">
        <f t="shared" si="11"/>
        <v>-26.445999999999998</v>
      </c>
      <c r="M61" s="1"/>
      <c r="N61" s="1"/>
      <c r="O61" s="1"/>
      <c r="P61" s="1">
        <v>19.499399999999991</v>
      </c>
      <c r="Q61" s="1">
        <v>0</v>
      </c>
      <c r="R61" s="1"/>
      <c r="S61" s="1">
        <v>31.391100000000002</v>
      </c>
      <c r="T61" s="1">
        <f t="shared" si="4"/>
        <v>8.4963999999999995</v>
      </c>
      <c r="U61" s="5">
        <f t="shared" si="13"/>
        <v>39.8459</v>
      </c>
      <c r="V61" s="1">
        <f t="shared" si="5"/>
        <v>11</v>
      </c>
      <c r="W61" s="1">
        <f t="shared" si="6"/>
        <v>6.3102608163457461</v>
      </c>
      <c r="X61" s="1">
        <v>5.2677999999999994</v>
      </c>
      <c r="Y61" s="1">
        <v>2.68</v>
      </c>
      <c r="Z61" s="1">
        <v>5.5876000000000001</v>
      </c>
      <c r="AA61" s="1">
        <v>5.6307999999999998</v>
      </c>
      <c r="AB61" s="1">
        <v>3.1223999999999998</v>
      </c>
      <c r="AC61" s="1">
        <v>1.8411999999999999</v>
      </c>
      <c r="AD61" s="1">
        <v>2.9407999999999999</v>
      </c>
      <c r="AE61" s="1">
        <v>1.5386</v>
      </c>
      <c r="AF61" s="1">
        <v>3.5327999999999999</v>
      </c>
      <c r="AG61" s="1">
        <v>2.7397999999999998</v>
      </c>
      <c r="AH61" s="1"/>
      <c r="AI61" s="1">
        <f t="shared" si="12"/>
        <v>39.8459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101</v>
      </c>
      <c r="B62" s="1" t="s">
        <v>43</v>
      </c>
      <c r="C62" s="1">
        <v>-9</v>
      </c>
      <c r="D62" s="1">
        <v>883</v>
      </c>
      <c r="E62" s="1">
        <v>329</v>
      </c>
      <c r="F62" s="1">
        <v>382</v>
      </c>
      <c r="G62" s="7">
        <v>0.4</v>
      </c>
      <c r="H62" s="1">
        <v>40</v>
      </c>
      <c r="I62" s="1" t="s">
        <v>171</v>
      </c>
      <c r="J62" s="1"/>
      <c r="K62" s="1">
        <v>352</v>
      </c>
      <c r="L62" s="1">
        <f t="shared" si="11"/>
        <v>-23</v>
      </c>
      <c r="M62" s="1"/>
      <c r="N62" s="1"/>
      <c r="O62" s="1"/>
      <c r="P62" s="1">
        <v>726.80000000000007</v>
      </c>
      <c r="Q62" s="1">
        <v>0</v>
      </c>
      <c r="R62" s="1"/>
      <c r="S62" s="1">
        <v>0</v>
      </c>
      <c r="T62" s="1">
        <f t="shared" si="4"/>
        <v>65.8</v>
      </c>
      <c r="U62" s="5"/>
      <c r="V62" s="1">
        <f t="shared" si="5"/>
        <v>16.851063829787236</v>
      </c>
      <c r="W62" s="1">
        <f t="shared" si="6"/>
        <v>16.851063829787236</v>
      </c>
      <c r="X62" s="1">
        <v>9.1999999999999993</v>
      </c>
      <c r="Y62" s="1">
        <v>52.6</v>
      </c>
      <c r="Z62" s="1">
        <v>111.4</v>
      </c>
      <c r="AA62" s="1">
        <v>104.6</v>
      </c>
      <c r="AB62" s="1">
        <v>52.2</v>
      </c>
      <c r="AC62" s="1">
        <v>16</v>
      </c>
      <c r="AD62" s="1">
        <v>33.6</v>
      </c>
      <c r="AE62" s="1">
        <v>61.2</v>
      </c>
      <c r="AF62" s="1">
        <v>61.2</v>
      </c>
      <c r="AG62" s="1">
        <v>83</v>
      </c>
      <c r="AH62" s="1"/>
      <c r="AI62" s="1">
        <f t="shared" si="12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102</v>
      </c>
      <c r="B63" s="1" t="s">
        <v>43</v>
      </c>
      <c r="C63" s="1">
        <v>92</v>
      </c>
      <c r="D63" s="1">
        <v>776</v>
      </c>
      <c r="E63" s="1">
        <v>304</v>
      </c>
      <c r="F63" s="1">
        <v>233</v>
      </c>
      <c r="G63" s="7">
        <v>0.4</v>
      </c>
      <c r="H63" s="1">
        <v>40</v>
      </c>
      <c r="I63" s="1" t="s">
        <v>171</v>
      </c>
      <c r="J63" s="1"/>
      <c r="K63" s="1">
        <v>363</v>
      </c>
      <c r="L63" s="1">
        <f t="shared" si="11"/>
        <v>-59</v>
      </c>
      <c r="M63" s="1"/>
      <c r="N63" s="1"/>
      <c r="O63" s="1"/>
      <c r="P63" s="1">
        <v>150.99999999999989</v>
      </c>
      <c r="Q63" s="1">
        <v>159.80000000000021</v>
      </c>
      <c r="R63" s="1"/>
      <c r="S63" s="1">
        <v>20.699999999999928</v>
      </c>
      <c r="T63" s="1">
        <f t="shared" si="4"/>
        <v>60.8</v>
      </c>
      <c r="U63" s="5">
        <f t="shared" si="13"/>
        <v>104.29999999999995</v>
      </c>
      <c r="V63" s="1">
        <f t="shared" si="5"/>
        <v>11</v>
      </c>
      <c r="W63" s="1">
        <f t="shared" si="6"/>
        <v>9.2845394736842106</v>
      </c>
      <c r="X63" s="1">
        <v>62.2</v>
      </c>
      <c r="Y63" s="1">
        <v>77.400000000000006</v>
      </c>
      <c r="Z63" s="1">
        <v>76.8</v>
      </c>
      <c r="AA63" s="1">
        <v>71.2</v>
      </c>
      <c r="AB63" s="1">
        <v>36.200000000000003</v>
      </c>
      <c r="AC63" s="1">
        <v>29</v>
      </c>
      <c r="AD63" s="1">
        <v>73.2</v>
      </c>
      <c r="AE63" s="1">
        <v>78.2</v>
      </c>
      <c r="AF63" s="1">
        <v>63</v>
      </c>
      <c r="AG63" s="1">
        <v>71.8</v>
      </c>
      <c r="AH63" s="1"/>
      <c r="AI63" s="1">
        <f t="shared" si="12"/>
        <v>41.719999999999985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103</v>
      </c>
      <c r="B64" s="1" t="s">
        <v>38</v>
      </c>
      <c r="C64" s="1">
        <v>172.58199999999999</v>
      </c>
      <c r="D64" s="1">
        <v>115.13800000000001</v>
      </c>
      <c r="E64" s="1">
        <v>162.00899999999999</v>
      </c>
      <c r="F64" s="1">
        <v>19.266999999999999</v>
      </c>
      <c r="G64" s="7">
        <v>1</v>
      </c>
      <c r="H64" s="1">
        <v>40</v>
      </c>
      <c r="I64" s="1" t="s">
        <v>171</v>
      </c>
      <c r="J64" s="1"/>
      <c r="K64" s="1">
        <v>181.1</v>
      </c>
      <c r="L64" s="1">
        <f t="shared" si="11"/>
        <v>-19.091000000000008</v>
      </c>
      <c r="M64" s="1"/>
      <c r="N64" s="1"/>
      <c r="O64" s="1"/>
      <c r="P64" s="1">
        <v>131.29179999999999</v>
      </c>
      <c r="Q64" s="1">
        <v>65.607400000000013</v>
      </c>
      <c r="R64" s="1"/>
      <c r="S64" s="1">
        <v>161.25539000000009</v>
      </c>
      <c r="T64" s="1">
        <f t="shared" si="4"/>
        <v>32.401799999999994</v>
      </c>
      <c r="U64" s="5"/>
      <c r="V64" s="1">
        <f t="shared" si="5"/>
        <v>11.648167385762525</v>
      </c>
      <c r="W64" s="1">
        <f t="shared" si="6"/>
        <v>11.648167385762525</v>
      </c>
      <c r="X64" s="1">
        <v>36.8142</v>
      </c>
      <c r="Y64" s="1">
        <v>33.589199999999998</v>
      </c>
      <c r="Z64" s="1">
        <v>33.845399999999998</v>
      </c>
      <c r="AA64" s="1">
        <v>30.9146</v>
      </c>
      <c r="AB64" s="1">
        <v>30.956199999999999</v>
      </c>
      <c r="AC64" s="1">
        <v>29.2182</v>
      </c>
      <c r="AD64" s="1">
        <v>22.8276</v>
      </c>
      <c r="AE64" s="1">
        <v>21.452000000000002</v>
      </c>
      <c r="AF64" s="1">
        <v>25.005199999999999</v>
      </c>
      <c r="AG64" s="1">
        <v>29.2378</v>
      </c>
      <c r="AH64" s="1"/>
      <c r="AI64" s="1">
        <f t="shared" si="12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104</v>
      </c>
      <c r="B65" s="1" t="s">
        <v>38</v>
      </c>
      <c r="C65" s="1">
        <v>43.704000000000001</v>
      </c>
      <c r="D65" s="1">
        <v>317.71699999999998</v>
      </c>
      <c r="E65" s="1">
        <v>137.887</v>
      </c>
      <c r="F65" s="1">
        <v>106.873</v>
      </c>
      <c r="G65" s="7">
        <v>1</v>
      </c>
      <c r="H65" s="1">
        <v>40</v>
      </c>
      <c r="I65" s="1" t="s">
        <v>171</v>
      </c>
      <c r="J65" s="1"/>
      <c r="K65" s="1">
        <v>148.08799999999999</v>
      </c>
      <c r="L65" s="1">
        <f t="shared" si="11"/>
        <v>-10.200999999999993</v>
      </c>
      <c r="M65" s="1"/>
      <c r="N65" s="1"/>
      <c r="O65" s="1"/>
      <c r="P65" s="1">
        <v>48.692399999999992</v>
      </c>
      <c r="Q65" s="1">
        <v>44.777999999999942</v>
      </c>
      <c r="R65" s="1"/>
      <c r="S65" s="1">
        <v>27.917600000000022</v>
      </c>
      <c r="T65" s="1">
        <f t="shared" si="4"/>
        <v>27.577400000000001</v>
      </c>
      <c r="U65" s="5">
        <f t="shared" si="13"/>
        <v>75.090400000000088</v>
      </c>
      <c r="V65" s="1">
        <f t="shared" si="5"/>
        <v>11.000000000000002</v>
      </c>
      <c r="W65" s="1">
        <f t="shared" si="6"/>
        <v>8.2771037153611271</v>
      </c>
      <c r="X65" s="1">
        <v>23.778400000000001</v>
      </c>
      <c r="Y65" s="1">
        <v>29.741199999999999</v>
      </c>
      <c r="Z65" s="1">
        <v>31.115600000000001</v>
      </c>
      <c r="AA65" s="1">
        <v>35.332799999999999</v>
      </c>
      <c r="AB65" s="1">
        <v>22.806999999999999</v>
      </c>
      <c r="AC65" s="1">
        <v>21.435199999999998</v>
      </c>
      <c r="AD65" s="1">
        <v>32.426400000000001</v>
      </c>
      <c r="AE65" s="1">
        <v>32.516800000000003</v>
      </c>
      <c r="AF65" s="1">
        <v>26.103999999999999</v>
      </c>
      <c r="AG65" s="1">
        <v>26.245200000000001</v>
      </c>
      <c r="AH65" s="1"/>
      <c r="AI65" s="1">
        <f t="shared" si="12"/>
        <v>75.090400000000088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105</v>
      </c>
      <c r="B66" s="1" t="s">
        <v>38</v>
      </c>
      <c r="C66" s="1">
        <v>0.433</v>
      </c>
      <c r="D66" s="1">
        <v>711.14700000000005</v>
      </c>
      <c r="E66" s="1">
        <v>222.084</v>
      </c>
      <c r="F66" s="1">
        <v>201.15100000000001</v>
      </c>
      <c r="G66" s="7">
        <v>1</v>
      </c>
      <c r="H66" s="1">
        <v>40</v>
      </c>
      <c r="I66" s="1" t="s">
        <v>171</v>
      </c>
      <c r="J66" s="1"/>
      <c r="K66" s="1">
        <v>255.4</v>
      </c>
      <c r="L66" s="1">
        <f t="shared" si="11"/>
        <v>-33.316000000000003</v>
      </c>
      <c r="M66" s="1"/>
      <c r="N66" s="1"/>
      <c r="O66" s="1"/>
      <c r="P66" s="1">
        <v>112.1066</v>
      </c>
      <c r="Q66" s="1">
        <v>423.84335999999979</v>
      </c>
      <c r="R66" s="1"/>
      <c r="S66" s="1">
        <v>57.44384000000025</v>
      </c>
      <c r="T66" s="1">
        <f t="shared" si="4"/>
        <v>44.416800000000002</v>
      </c>
      <c r="U66" s="5"/>
      <c r="V66" s="1">
        <f t="shared" si="5"/>
        <v>17.888384575205777</v>
      </c>
      <c r="W66" s="1">
        <f t="shared" si="6"/>
        <v>17.888384575205777</v>
      </c>
      <c r="X66" s="1">
        <v>80.647599999999997</v>
      </c>
      <c r="Y66" s="1">
        <v>104.0168</v>
      </c>
      <c r="Z66" s="1">
        <v>79.371600000000001</v>
      </c>
      <c r="AA66" s="1">
        <v>74.468199999999996</v>
      </c>
      <c r="AB66" s="1">
        <v>94.776600000000002</v>
      </c>
      <c r="AC66" s="1">
        <v>87.792000000000002</v>
      </c>
      <c r="AD66" s="1">
        <v>47.000999999999998</v>
      </c>
      <c r="AE66" s="1">
        <v>84.773400000000009</v>
      </c>
      <c r="AF66" s="1">
        <v>65.369</v>
      </c>
      <c r="AG66" s="1">
        <v>79.146000000000001</v>
      </c>
      <c r="AH66" s="1"/>
      <c r="AI66" s="1">
        <f t="shared" si="12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106</v>
      </c>
      <c r="B67" s="1" t="s">
        <v>38</v>
      </c>
      <c r="C67" s="1">
        <v>290.61500000000001</v>
      </c>
      <c r="D67" s="1">
        <v>151.62200000000001</v>
      </c>
      <c r="E67" s="1">
        <v>294.49099999999999</v>
      </c>
      <c r="F67" s="1">
        <v>8.1120000000000001</v>
      </c>
      <c r="G67" s="7">
        <v>1</v>
      </c>
      <c r="H67" s="1">
        <v>40</v>
      </c>
      <c r="I67" s="1" t="s">
        <v>171</v>
      </c>
      <c r="J67" s="1"/>
      <c r="K67" s="1">
        <v>357.53100000000001</v>
      </c>
      <c r="L67" s="1">
        <f t="shared" si="11"/>
        <v>-63.04000000000002</v>
      </c>
      <c r="M67" s="1"/>
      <c r="N67" s="1"/>
      <c r="O67" s="1"/>
      <c r="P67" s="1"/>
      <c r="Q67" s="1">
        <v>70.847199999999987</v>
      </c>
      <c r="R67" s="1"/>
      <c r="S67" s="1">
        <v>303.19637999999998</v>
      </c>
      <c r="T67" s="1">
        <f t="shared" si="4"/>
        <v>58.898199999999996</v>
      </c>
      <c r="U67" s="5">
        <f>10*T67-S67-R67-Q67-P67-O67-F67</f>
        <v>206.82642000000001</v>
      </c>
      <c r="V67" s="1">
        <f t="shared" si="5"/>
        <v>10</v>
      </c>
      <c r="W67" s="1">
        <f t="shared" si="6"/>
        <v>6.4884084742827461</v>
      </c>
      <c r="X67" s="1">
        <v>45.1404</v>
      </c>
      <c r="Y67" s="1">
        <v>32.860199999999999</v>
      </c>
      <c r="Z67" s="1">
        <v>31.357600000000001</v>
      </c>
      <c r="AA67" s="1">
        <v>34.3932</v>
      </c>
      <c r="AB67" s="1">
        <v>31.567399999999999</v>
      </c>
      <c r="AC67" s="1">
        <v>32.791800000000002</v>
      </c>
      <c r="AD67" s="1">
        <v>35.088000000000001</v>
      </c>
      <c r="AE67" s="1">
        <v>35.678199999999997</v>
      </c>
      <c r="AF67" s="1">
        <v>37.672800000000002</v>
      </c>
      <c r="AG67" s="1">
        <v>34.772599999999997</v>
      </c>
      <c r="AH67" s="1"/>
      <c r="AI67" s="1">
        <f t="shared" si="12"/>
        <v>206.82642000000001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107</v>
      </c>
      <c r="B68" s="1" t="s">
        <v>38</v>
      </c>
      <c r="C68" s="1">
        <v>234.017</v>
      </c>
      <c r="D68" s="1">
        <v>190.566</v>
      </c>
      <c r="E68" s="1">
        <f>1517.62-1316</f>
        <v>201.61999999999989</v>
      </c>
      <c r="F68" s="1">
        <f>-1225.26+1316</f>
        <v>90.740000000000009</v>
      </c>
      <c r="G68" s="7">
        <v>1</v>
      </c>
      <c r="H68" s="1">
        <v>30</v>
      </c>
      <c r="I68" s="1" t="s">
        <v>171</v>
      </c>
      <c r="J68" s="1"/>
      <c r="K68" s="1">
        <v>238.1</v>
      </c>
      <c r="L68" s="1">
        <f t="shared" si="11"/>
        <v>-36.480000000000103</v>
      </c>
      <c r="M68" s="1"/>
      <c r="N68" s="1"/>
      <c r="O68" s="1"/>
      <c r="P68" s="1">
        <v>24.196399999999869</v>
      </c>
      <c r="Q68" s="1">
        <v>59.799799999999998</v>
      </c>
      <c r="R68" s="1"/>
      <c r="S68" s="1">
        <v>131.72369000000009</v>
      </c>
      <c r="T68" s="1">
        <f t="shared" si="4"/>
        <v>40.323999999999977</v>
      </c>
      <c r="U68" s="5">
        <f t="shared" si="13"/>
        <v>137.10410999999976</v>
      </c>
      <c r="V68" s="1">
        <f t="shared" si="5"/>
        <v>11</v>
      </c>
      <c r="W68" s="1">
        <f t="shared" si="6"/>
        <v>7.599937754191056</v>
      </c>
      <c r="X68" s="1">
        <v>35.8322</v>
      </c>
      <c r="Y68" s="1">
        <v>35.826999999999998</v>
      </c>
      <c r="Z68" s="1">
        <v>37.896599999999999</v>
      </c>
      <c r="AA68" s="1">
        <v>39.866</v>
      </c>
      <c r="AB68" s="1">
        <v>52.215400000000002</v>
      </c>
      <c r="AC68" s="1">
        <v>54.083199999999998</v>
      </c>
      <c r="AD68" s="1">
        <v>43.1066</v>
      </c>
      <c r="AE68" s="1">
        <v>38.0274</v>
      </c>
      <c r="AF68" s="1">
        <v>31.822600000000001</v>
      </c>
      <c r="AG68" s="1">
        <v>59.592200000000012</v>
      </c>
      <c r="AH68" s="9" t="s">
        <v>172</v>
      </c>
      <c r="AI68" s="1">
        <f t="shared" si="12"/>
        <v>137.10410999999976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108</v>
      </c>
      <c r="B69" s="1" t="s">
        <v>43</v>
      </c>
      <c r="C69" s="1">
        <v>76</v>
      </c>
      <c r="D69" s="1">
        <v>166</v>
      </c>
      <c r="E69" s="1">
        <v>102</v>
      </c>
      <c r="F69" s="1">
        <v>13</v>
      </c>
      <c r="G69" s="7">
        <v>0.6</v>
      </c>
      <c r="H69" s="1">
        <v>60</v>
      </c>
      <c r="I69" s="1" t="s">
        <v>171</v>
      </c>
      <c r="J69" s="1"/>
      <c r="K69" s="1">
        <v>113</v>
      </c>
      <c r="L69" s="1">
        <f t="shared" si="11"/>
        <v>-11</v>
      </c>
      <c r="M69" s="1"/>
      <c r="N69" s="1"/>
      <c r="O69" s="1"/>
      <c r="P69" s="1">
        <v>154.6</v>
      </c>
      <c r="Q69" s="1">
        <v>0</v>
      </c>
      <c r="R69" s="1"/>
      <c r="S69" s="1">
        <v>73.900000000000006</v>
      </c>
      <c r="T69" s="1">
        <f t="shared" si="4"/>
        <v>20.399999999999999</v>
      </c>
      <c r="U69" s="5"/>
      <c r="V69" s="1">
        <f t="shared" si="5"/>
        <v>11.838235294117649</v>
      </c>
      <c r="W69" s="1">
        <f t="shared" si="6"/>
        <v>11.838235294117649</v>
      </c>
      <c r="X69" s="1">
        <v>20.2</v>
      </c>
      <c r="Y69" s="1">
        <v>18.8</v>
      </c>
      <c r="Z69" s="1">
        <v>23.4</v>
      </c>
      <c r="AA69" s="1">
        <v>19.2</v>
      </c>
      <c r="AB69" s="1">
        <v>16</v>
      </c>
      <c r="AC69" s="1">
        <v>11.6</v>
      </c>
      <c r="AD69" s="1">
        <v>19.2</v>
      </c>
      <c r="AE69" s="1">
        <v>27.4</v>
      </c>
      <c r="AF69" s="1">
        <v>10.6</v>
      </c>
      <c r="AG69" s="1">
        <v>23.6</v>
      </c>
      <c r="AH69" s="1"/>
      <c r="AI69" s="1">
        <f t="shared" si="12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109</v>
      </c>
      <c r="B70" s="1" t="s">
        <v>43</v>
      </c>
      <c r="C70" s="1">
        <v>110.244</v>
      </c>
      <c r="D70" s="1">
        <v>315.75599999999997</v>
      </c>
      <c r="E70" s="1">
        <v>186</v>
      </c>
      <c r="F70" s="1">
        <v>131</v>
      </c>
      <c r="G70" s="7">
        <v>0.6</v>
      </c>
      <c r="H70" s="1">
        <v>60</v>
      </c>
      <c r="I70" s="1" t="s">
        <v>171</v>
      </c>
      <c r="J70" s="1"/>
      <c r="K70" s="1">
        <v>198</v>
      </c>
      <c r="L70" s="1">
        <f t="shared" ref="L70:L100" si="14">E70-K70</f>
        <v>-12</v>
      </c>
      <c r="M70" s="1"/>
      <c r="N70" s="1"/>
      <c r="O70" s="1"/>
      <c r="P70" s="1">
        <v>56.756000000000029</v>
      </c>
      <c r="Q70" s="1">
        <v>0</v>
      </c>
      <c r="R70" s="1"/>
      <c r="S70" s="1">
        <v>223.89</v>
      </c>
      <c r="T70" s="1">
        <f t="shared" si="4"/>
        <v>37.200000000000003</v>
      </c>
      <c r="U70" s="5"/>
      <c r="V70" s="1">
        <f t="shared" si="5"/>
        <v>11.065752688172042</v>
      </c>
      <c r="W70" s="1">
        <f t="shared" si="6"/>
        <v>11.065752688172042</v>
      </c>
      <c r="X70" s="1">
        <v>36.200000000000003</v>
      </c>
      <c r="Y70" s="1">
        <v>28.2</v>
      </c>
      <c r="Z70" s="1">
        <v>30.8</v>
      </c>
      <c r="AA70" s="1">
        <v>32</v>
      </c>
      <c r="AB70" s="1">
        <v>38.799999999999997</v>
      </c>
      <c r="AC70" s="1">
        <v>28.8</v>
      </c>
      <c r="AD70" s="1">
        <v>29.2</v>
      </c>
      <c r="AE70" s="1">
        <v>30.8</v>
      </c>
      <c r="AF70" s="1">
        <v>30.8</v>
      </c>
      <c r="AG70" s="1">
        <v>29</v>
      </c>
      <c r="AH70" s="1"/>
      <c r="AI70" s="1">
        <f t="shared" si="12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110</v>
      </c>
      <c r="B71" s="1" t="s">
        <v>43</v>
      </c>
      <c r="C71" s="1">
        <v>40</v>
      </c>
      <c r="D71" s="1">
        <v>203</v>
      </c>
      <c r="E71" s="1">
        <v>89</v>
      </c>
      <c r="F71" s="1">
        <v>71</v>
      </c>
      <c r="G71" s="7">
        <v>0.4</v>
      </c>
      <c r="H71" s="1">
        <v>90</v>
      </c>
      <c r="I71" s="1" t="s">
        <v>171</v>
      </c>
      <c r="J71" s="1"/>
      <c r="K71" s="1">
        <v>116</v>
      </c>
      <c r="L71" s="1">
        <f t="shared" si="14"/>
        <v>-27</v>
      </c>
      <c r="M71" s="1"/>
      <c r="N71" s="1"/>
      <c r="O71" s="1"/>
      <c r="P71" s="1">
        <v>121.6</v>
      </c>
      <c r="Q71" s="1">
        <v>0</v>
      </c>
      <c r="R71" s="1"/>
      <c r="S71" s="1">
        <v>0</v>
      </c>
      <c r="T71" s="1">
        <f t="shared" ref="T71:T113" si="15">E71/5</f>
        <v>17.8</v>
      </c>
      <c r="U71" s="5">
        <v>6</v>
      </c>
      <c r="V71" s="1">
        <f t="shared" ref="V71:V113" si="16">(F71+P71+Q71+R71+S71+U71)/T71</f>
        <v>11.157303370786517</v>
      </c>
      <c r="W71" s="1">
        <f t="shared" ref="W71:W113" si="17">(F71+P71+Q71+R71+S71)/T71</f>
        <v>10.820224719101123</v>
      </c>
      <c r="X71" s="1">
        <v>17.2</v>
      </c>
      <c r="Y71" s="1">
        <v>23.2</v>
      </c>
      <c r="Z71" s="1">
        <v>27</v>
      </c>
      <c r="AA71" s="1">
        <v>24.4</v>
      </c>
      <c r="AB71" s="1">
        <v>24.8</v>
      </c>
      <c r="AC71" s="1">
        <v>25</v>
      </c>
      <c r="AD71" s="1">
        <v>18.2</v>
      </c>
      <c r="AE71" s="1">
        <v>14.8</v>
      </c>
      <c r="AF71" s="1">
        <v>24.4</v>
      </c>
      <c r="AG71" s="1">
        <v>18.2</v>
      </c>
      <c r="AH71" s="1"/>
      <c r="AI71" s="1">
        <f t="shared" si="12"/>
        <v>2.4000000000000004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111</v>
      </c>
      <c r="B72" s="1" t="s">
        <v>43</v>
      </c>
      <c r="C72" s="1">
        <v>70</v>
      </c>
      <c r="D72" s="1">
        <v>280</v>
      </c>
      <c r="E72" s="1">
        <v>151</v>
      </c>
      <c r="F72" s="1">
        <v>39</v>
      </c>
      <c r="G72" s="7">
        <v>0.33</v>
      </c>
      <c r="H72" s="1">
        <v>60</v>
      </c>
      <c r="I72" s="1" t="s">
        <v>171</v>
      </c>
      <c r="J72" s="1"/>
      <c r="K72" s="1">
        <v>174</v>
      </c>
      <c r="L72" s="1">
        <f t="shared" si="14"/>
        <v>-23</v>
      </c>
      <c r="M72" s="1"/>
      <c r="N72" s="1"/>
      <c r="O72" s="1"/>
      <c r="P72" s="1">
        <v>62.19999999999996</v>
      </c>
      <c r="Q72" s="1">
        <v>78.800000000000068</v>
      </c>
      <c r="R72" s="1"/>
      <c r="S72" s="1">
        <v>70.560000000000059</v>
      </c>
      <c r="T72" s="1">
        <f t="shared" si="15"/>
        <v>30.2</v>
      </c>
      <c r="U72" s="5">
        <f t="shared" si="13"/>
        <v>81.639999999999901</v>
      </c>
      <c r="V72" s="1">
        <f t="shared" si="16"/>
        <v>11</v>
      </c>
      <c r="W72" s="1">
        <f t="shared" si="17"/>
        <v>8.2966887417218569</v>
      </c>
      <c r="X72" s="1">
        <v>28.8</v>
      </c>
      <c r="Y72" s="1">
        <v>29.6</v>
      </c>
      <c r="Z72" s="1">
        <v>27.4</v>
      </c>
      <c r="AA72" s="1">
        <v>29.6</v>
      </c>
      <c r="AB72" s="1">
        <v>32.4</v>
      </c>
      <c r="AC72" s="1">
        <v>26.2</v>
      </c>
      <c r="AD72" s="1">
        <v>26.8</v>
      </c>
      <c r="AE72" s="1">
        <v>23.4</v>
      </c>
      <c r="AF72" s="1">
        <v>22</v>
      </c>
      <c r="AG72" s="1">
        <v>21.8</v>
      </c>
      <c r="AH72" s="1"/>
      <c r="AI72" s="1">
        <f t="shared" si="12"/>
        <v>26.94119999999997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112</v>
      </c>
      <c r="B73" s="1" t="s">
        <v>43</v>
      </c>
      <c r="C73" s="1">
        <v>53</v>
      </c>
      <c r="D73" s="1">
        <v>359</v>
      </c>
      <c r="E73" s="1">
        <v>155</v>
      </c>
      <c r="F73" s="1">
        <v>146</v>
      </c>
      <c r="G73" s="7">
        <v>0.35</v>
      </c>
      <c r="H73" s="1">
        <v>90</v>
      </c>
      <c r="I73" s="1" t="s">
        <v>171</v>
      </c>
      <c r="J73" s="1"/>
      <c r="K73" s="1">
        <v>163</v>
      </c>
      <c r="L73" s="1">
        <f t="shared" si="14"/>
        <v>-8</v>
      </c>
      <c r="M73" s="1"/>
      <c r="N73" s="1"/>
      <c r="O73" s="1"/>
      <c r="P73" s="1">
        <v>155.6</v>
      </c>
      <c r="Q73" s="1">
        <v>0</v>
      </c>
      <c r="R73" s="1"/>
      <c r="S73" s="1">
        <v>0</v>
      </c>
      <c r="T73" s="1">
        <f t="shared" si="15"/>
        <v>31</v>
      </c>
      <c r="U73" s="5">
        <f t="shared" si="13"/>
        <v>39.400000000000006</v>
      </c>
      <c r="V73" s="1">
        <f t="shared" si="16"/>
        <v>11</v>
      </c>
      <c r="W73" s="1">
        <f t="shared" si="17"/>
        <v>9.7290322580645174</v>
      </c>
      <c r="X73" s="1">
        <v>18.600000000000001</v>
      </c>
      <c r="Y73" s="1">
        <v>26.4</v>
      </c>
      <c r="Z73" s="1">
        <v>40</v>
      </c>
      <c r="AA73" s="1">
        <v>36.4</v>
      </c>
      <c r="AB73" s="1">
        <v>27.2</v>
      </c>
      <c r="AC73" s="1">
        <v>28.4</v>
      </c>
      <c r="AD73" s="1">
        <v>22.2</v>
      </c>
      <c r="AE73" s="1">
        <v>19.8</v>
      </c>
      <c r="AF73" s="1">
        <v>26.4</v>
      </c>
      <c r="AG73" s="1">
        <v>20.399999999999999</v>
      </c>
      <c r="AH73" s="1"/>
      <c r="AI73" s="1">
        <f t="shared" si="12"/>
        <v>13.790000000000001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113</v>
      </c>
      <c r="B74" s="1" t="s">
        <v>43</v>
      </c>
      <c r="C74" s="1">
        <v>4</v>
      </c>
      <c r="D74" s="1">
        <v>220</v>
      </c>
      <c r="E74" s="1">
        <v>58</v>
      </c>
      <c r="F74" s="1">
        <v>69</v>
      </c>
      <c r="G74" s="7">
        <v>0.6</v>
      </c>
      <c r="H74" s="1">
        <v>70</v>
      </c>
      <c r="I74" s="1" t="s">
        <v>171</v>
      </c>
      <c r="J74" s="1"/>
      <c r="K74" s="1">
        <v>105</v>
      </c>
      <c r="L74" s="1">
        <f t="shared" si="14"/>
        <v>-47</v>
      </c>
      <c r="M74" s="1"/>
      <c r="N74" s="1"/>
      <c r="O74" s="1"/>
      <c r="P74" s="1">
        <v>26.399999999999991</v>
      </c>
      <c r="Q74" s="1">
        <v>0</v>
      </c>
      <c r="R74" s="1"/>
      <c r="S74" s="1">
        <v>0</v>
      </c>
      <c r="T74" s="1">
        <f t="shared" si="15"/>
        <v>11.6</v>
      </c>
      <c r="U74" s="5">
        <f t="shared" si="13"/>
        <v>32.200000000000003</v>
      </c>
      <c r="V74" s="1">
        <f t="shared" si="16"/>
        <v>11</v>
      </c>
      <c r="W74" s="1">
        <f t="shared" si="17"/>
        <v>8.2241379310344822</v>
      </c>
      <c r="X74" s="1">
        <v>2</v>
      </c>
      <c r="Y74" s="1">
        <v>8.6</v>
      </c>
      <c r="Z74" s="1">
        <v>13.6</v>
      </c>
      <c r="AA74" s="1">
        <v>13.8</v>
      </c>
      <c r="AB74" s="1">
        <v>18.2</v>
      </c>
      <c r="AC74" s="1">
        <v>16.399999999999999</v>
      </c>
      <c r="AD74" s="1">
        <v>12.2</v>
      </c>
      <c r="AE74" s="1">
        <v>10.8</v>
      </c>
      <c r="AF74" s="1">
        <v>7.4</v>
      </c>
      <c r="AG74" s="1">
        <v>14</v>
      </c>
      <c r="AH74" s="1"/>
      <c r="AI74" s="1">
        <f t="shared" si="12"/>
        <v>19.32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114</v>
      </c>
      <c r="B75" s="1" t="s">
        <v>43</v>
      </c>
      <c r="C75" s="1">
        <v>-6</v>
      </c>
      <c r="D75" s="1">
        <v>58</v>
      </c>
      <c r="E75" s="1">
        <v>58</v>
      </c>
      <c r="F75" s="1">
        <v>-10</v>
      </c>
      <c r="G75" s="7">
        <v>0.33</v>
      </c>
      <c r="H75" s="1">
        <v>40</v>
      </c>
      <c r="I75" s="1" t="s">
        <v>171</v>
      </c>
      <c r="J75" s="1"/>
      <c r="K75" s="1">
        <v>48</v>
      </c>
      <c r="L75" s="1">
        <f t="shared" si="14"/>
        <v>10</v>
      </c>
      <c r="M75" s="1"/>
      <c r="N75" s="1"/>
      <c r="O75" s="1"/>
      <c r="P75" s="1">
        <v>79.800000000000011</v>
      </c>
      <c r="Q75" s="1">
        <v>70.399999999999977</v>
      </c>
      <c r="R75" s="1"/>
      <c r="S75" s="1">
        <v>0</v>
      </c>
      <c r="T75" s="1">
        <f t="shared" si="15"/>
        <v>11.6</v>
      </c>
      <c r="U75" s="5"/>
      <c r="V75" s="1">
        <f t="shared" si="16"/>
        <v>12.086206896551724</v>
      </c>
      <c r="W75" s="1">
        <f t="shared" si="17"/>
        <v>12.086206896551724</v>
      </c>
      <c r="X75" s="1">
        <v>9</v>
      </c>
      <c r="Y75" s="1">
        <v>16.2</v>
      </c>
      <c r="Z75" s="1">
        <v>13.4</v>
      </c>
      <c r="AA75" s="1">
        <v>10</v>
      </c>
      <c r="AB75" s="1">
        <v>8.4</v>
      </c>
      <c r="AC75" s="1">
        <v>9.8000000000000007</v>
      </c>
      <c r="AD75" s="1">
        <v>5</v>
      </c>
      <c r="AE75" s="1">
        <v>-0.2</v>
      </c>
      <c r="AF75" s="1">
        <v>4.5999999999999996</v>
      </c>
      <c r="AG75" s="1">
        <v>5.8</v>
      </c>
      <c r="AH75" s="1"/>
      <c r="AI75" s="1">
        <f t="shared" si="12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115</v>
      </c>
      <c r="B76" s="1" t="s">
        <v>43</v>
      </c>
      <c r="C76" s="1">
        <v>60.643999999999998</v>
      </c>
      <c r="D76" s="1">
        <v>19.356000000000002</v>
      </c>
      <c r="E76" s="1">
        <v>61</v>
      </c>
      <c r="F76" s="1">
        <v>2</v>
      </c>
      <c r="G76" s="7">
        <v>0.4</v>
      </c>
      <c r="H76" s="1">
        <v>55</v>
      </c>
      <c r="I76" s="1" t="s">
        <v>171</v>
      </c>
      <c r="J76" s="1"/>
      <c r="K76" s="1">
        <v>68</v>
      </c>
      <c r="L76" s="1">
        <f t="shared" si="14"/>
        <v>-7</v>
      </c>
      <c r="M76" s="1"/>
      <c r="N76" s="1"/>
      <c r="O76" s="1"/>
      <c r="P76" s="1">
        <v>24.156000000000009</v>
      </c>
      <c r="Q76" s="1">
        <v>0</v>
      </c>
      <c r="R76" s="1"/>
      <c r="S76" s="1">
        <v>17.2</v>
      </c>
      <c r="T76" s="1">
        <f t="shared" si="15"/>
        <v>12.2</v>
      </c>
      <c r="U76" s="5">
        <f>10*T76-S76-R76-Q76-P76-O76-F76</f>
        <v>78.643999999999991</v>
      </c>
      <c r="V76" s="1">
        <f t="shared" si="16"/>
        <v>10</v>
      </c>
      <c r="W76" s="1">
        <f t="shared" si="17"/>
        <v>3.5537704918032795</v>
      </c>
      <c r="X76" s="1">
        <v>7.2</v>
      </c>
      <c r="Y76" s="1">
        <v>7.2</v>
      </c>
      <c r="Z76" s="1">
        <v>9.4</v>
      </c>
      <c r="AA76" s="1">
        <v>9</v>
      </c>
      <c r="AB76" s="1">
        <v>4.2</v>
      </c>
      <c r="AC76" s="1">
        <v>2.8</v>
      </c>
      <c r="AD76" s="1">
        <v>4.8</v>
      </c>
      <c r="AE76" s="1">
        <v>6.8</v>
      </c>
      <c r="AF76" s="1">
        <v>6.2</v>
      </c>
      <c r="AG76" s="1">
        <v>6.4</v>
      </c>
      <c r="AH76" s="1"/>
      <c r="AI76" s="1">
        <f t="shared" si="12"/>
        <v>31.457599999999999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116</v>
      </c>
      <c r="B77" s="1" t="s">
        <v>43</v>
      </c>
      <c r="C77" s="1">
        <v>71</v>
      </c>
      <c r="D77" s="1">
        <v>12</v>
      </c>
      <c r="E77" s="1">
        <v>19</v>
      </c>
      <c r="F77" s="1">
        <v>61</v>
      </c>
      <c r="G77" s="7">
        <v>0.35</v>
      </c>
      <c r="H77" s="1">
        <v>40</v>
      </c>
      <c r="I77" s="1" t="s">
        <v>171</v>
      </c>
      <c r="J77" s="1"/>
      <c r="K77" s="1">
        <v>22</v>
      </c>
      <c r="L77" s="1">
        <f t="shared" si="14"/>
        <v>-3</v>
      </c>
      <c r="M77" s="1"/>
      <c r="N77" s="1"/>
      <c r="O77" s="1"/>
      <c r="P77" s="1"/>
      <c r="Q77" s="1">
        <v>0</v>
      </c>
      <c r="R77" s="1"/>
      <c r="S77" s="1">
        <v>6</v>
      </c>
      <c r="T77" s="1">
        <f t="shared" si="15"/>
        <v>3.8</v>
      </c>
      <c r="U77" s="5"/>
      <c r="V77" s="1">
        <f t="shared" si="16"/>
        <v>17.631578947368421</v>
      </c>
      <c r="W77" s="1">
        <f t="shared" si="17"/>
        <v>17.631578947368421</v>
      </c>
      <c r="X77" s="1">
        <v>4.8</v>
      </c>
      <c r="Y77" s="1">
        <v>5</v>
      </c>
      <c r="Z77" s="1">
        <v>5.8</v>
      </c>
      <c r="AA77" s="1">
        <v>6.6</v>
      </c>
      <c r="AB77" s="1">
        <v>7.4</v>
      </c>
      <c r="AC77" s="1">
        <v>5.6</v>
      </c>
      <c r="AD77" s="1">
        <v>9.6</v>
      </c>
      <c r="AE77" s="1">
        <v>9.4</v>
      </c>
      <c r="AF77" s="1">
        <v>3.6</v>
      </c>
      <c r="AG77" s="1">
        <v>9.1999999999999993</v>
      </c>
      <c r="AH77" s="14" t="s">
        <v>39</v>
      </c>
      <c r="AI77" s="1">
        <f t="shared" si="12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117</v>
      </c>
      <c r="B78" s="1" t="s">
        <v>43</v>
      </c>
      <c r="C78" s="1">
        <v>58</v>
      </c>
      <c r="D78" s="1">
        <v>362</v>
      </c>
      <c r="E78" s="1">
        <v>167</v>
      </c>
      <c r="F78" s="1">
        <v>213</v>
      </c>
      <c r="G78" s="7">
        <v>0.35</v>
      </c>
      <c r="H78" s="1">
        <v>45</v>
      </c>
      <c r="I78" s="1" t="s">
        <v>171</v>
      </c>
      <c r="J78" s="1"/>
      <c r="K78" s="1">
        <v>161</v>
      </c>
      <c r="L78" s="1">
        <f t="shared" si="14"/>
        <v>6</v>
      </c>
      <c r="M78" s="1"/>
      <c r="N78" s="1"/>
      <c r="O78" s="1"/>
      <c r="P78" s="1"/>
      <c r="Q78" s="1">
        <v>0</v>
      </c>
      <c r="R78" s="1"/>
      <c r="S78" s="1">
        <v>0</v>
      </c>
      <c r="T78" s="1">
        <f t="shared" si="15"/>
        <v>33.4</v>
      </c>
      <c r="U78" s="5">
        <f t="shared" si="13"/>
        <v>154.39999999999998</v>
      </c>
      <c r="V78" s="1">
        <f t="shared" si="16"/>
        <v>11</v>
      </c>
      <c r="W78" s="1">
        <f t="shared" si="17"/>
        <v>6.3772455089820363</v>
      </c>
      <c r="X78" s="1">
        <v>18.8</v>
      </c>
      <c r="Y78" s="1">
        <v>31.2</v>
      </c>
      <c r="Z78" s="1">
        <v>21.6</v>
      </c>
      <c r="AA78" s="1">
        <v>22.6</v>
      </c>
      <c r="AB78" s="1">
        <v>44.8</v>
      </c>
      <c r="AC78" s="1">
        <v>37.6</v>
      </c>
      <c r="AD78" s="1">
        <v>27.4</v>
      </c>
      <c r="AE78" s="1">
        <v>20.399999999999999</v>
      </c>
      <c r="AF78" s="1">
        <v>20.399999999999999</v>
      </c>
      <c r="AG78" s="1">
        <v>22</v>
      </c>
      <c r="AH78" s="1"/>
      <c r="AI78" s="1">
        <f t="shared" si="12"/>
        <v>54.039999999999992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118</v>
      </c>
      <c r="B79" s="1" t="s">
        <v>38</v>
      </c>
      <c r="C79" s="1">
        <v>697.79399999999998</v>
      </c>
      <c r="D79" s="1">
        <v>159.22</v>
      </c>
      <c r="E79" s="1">
        <v>249.452</v>
      </c>
      <c r="F79" s="1">
        <v>456.08699999999999</v>
      </c>
      <c r="G79" s="7">
        <v>1</v>
      </c>
      <c r="H79" s="1">
        <v>60</v>
      </c>
      <c r="I79" s="1" t="s">
        <v>171</v>
      </c>
      <c r="J79" s="1"/>
      <c r="K79" s="1">
        <v>247.3</v>
      </c>
      <c r="L79" s="1">
        <f t="shared" si="14"/>
        <v>2.1519999999999868</v>
      </c>
      <c r="M79" s="1"/>
      <c r="N79" s="1"/>
      <c r="O79" s="1"/>
      <c r="P79" s="1"/>
      <c r="Q79" s="1">
        <v>0</v>
      </c>
      <c r="R79" s="1"/>
      <c r="S79" s="1">
        <v>0</v>
      </c>
      <c r="T79" s="1">
        <f t="shared" si="15"/>
        <v>49.8904</v>
      </c>
      <c r="U79" s="5">
        <f t="shared" si="13"/>
        <v>92.707400000000007</v>
      </c>
      <c r="V79" s="1">
        <f t="shared" si="16"/>
        <v>11</v>
      </c>
      <c r="W79" s="1">
        <f t="shared" si="17"/>
        <v>9.1417787790837508</v>
      </c>
      <c r="X79" s="1">
        <v>45.323</v>
      </c>
      <c r="Y79" s="1">
        <v>52.400599999999997</v>
      </c>
      <c r="Z79" s="1">
        <v>49.375999999999998</v>
      </c>
      <c r="AA79" s="1">
        <v>39.700599999999987</v>
      </c>
      <c r="AB79" s="1">
        <v>34.451799999999999</v>
      </c>
      <c r="AC79" s="1">
        <v>36.162599999999998</v>
      </c>
      <c r="AD79" s="1">
        <v>42.768999999999998</v>
      </c>
      <c r="AE79" s="1">
        <v>39.879199999999997</v>
      </c>
      <c r="AF79" s="1">
        <v>30.56</v>
      </c>
      <c r="AG79" s="1">
        <v>34.906199999999998</v>
      </c>
      <c r="AH79" s="1"/>
      <c r="AI79" s="1">
        <f t="shared" si="12"/>
        <v>92.707400000000007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119</v>
      </c>
      <c r="B80" s="1" t="s">
        <v>38</v>
      </c>
      <c r="C80" s="1">
        <v>1905.123</v>
      </c>
      <c r="D80" s="1">
        <v>2081.46</v>
      </c>
      <c r="E80" s="1">
        <v>1527.421</v>
      </c>
      <c r="F80" s="1">
        <v>1139.3599999999999</v>
      </c>
      <c r="G80" s="7">
        <v>1</v>
      </c>
      <c r="H80" s="1">
        <v>60</v>
      </c>
      <c r="I80" s="1" t="s">
        <v>171</v>
      </c>
      <c r="J80" s="1"/>
      <c r="K80" s="1">
        <v>1622.8</v>
      </c>
      <c r="L80" s="1">
        <f t="shared" si="14"/>
        <v>-95.378999999999905</v>
      </c>
      <c r="M80" s="1"/>
      <c r="N80" s="1"/>
      <c r="O80" s="1"/>
      <c r="P80" s="1">
        <v>466.35840000000007</v>
      </c>
      <c r="Q80" s="1">
        <v>0</v>
      </c>
      <c r="R80" s="1"/>
      <c r="S80" s="1">
        <v>720.45333000000005</v>
      </c>
      <c r="T80" s="1">
        <f t="shared" si="15"/>
        <v>305.48419999999999</v>
      </c>
      <c r="U80" s="5">
        <f t="shared" si="13"/>
        <v>1034.1544700000002</v>
      </c>
      <c r="V80" s="1">
        <f t="shared" si="16"/>
        <v>11.000000000000002</v>
      </c>
      <c r="W80" s="1">
        <f t="shared" si="17"/>
        <v>7.6147039028532415</v>
      </c>
      <c r="X80" s="1">
        <v>286.5274</v>
      </c>
      <c r="Y80" s="1">
        <v>307.87279999999998</v>
      </c>
      <c r="Z80" s="1">
        <v>311.91879999999998</v>
      </c>
      <c r="AA80" s="1">
        <v>320.28199999999998</v>
      </c>
      <c r="AB80" s="1">
        <v>299.32</v>
      </c>
      <c r="AC80" s="1">
        <v>306.98520000000002</v>
      </c>
      <c r="AD80" s="1">
        <v>341.51620000000003</v>
      </c>
      <c r="AE80" s="1">
        <v>320.39839999999998</v>
      </c>
      <c r="AF80" s="1">
        <v>272.88400000000001</v>
      </c>
      <c r="AG80" s="1">
        <v>285.44979999999998</v>
      </c>
      <c r="AH80" s="1"/>
      <c r="AI80" s="1">
        <f t="shared" si="12"/>
        <v>1034.1544700000002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120</v>
      </c>
      <c r="B81" s="1" t="s">
        <v>38</v>
      </c>
      <c r="C81" s="1">
        <v>2083.9169999999999</v>
      </c>
      <c r="D81" s="1">
        <v>1717.2950000000001</v>
      </c>
      <c r="E81" s="1">
        <v>1067.1210000000001</v>
      </c>
      <c r="F81" s="1">
        <v>1381.182</v>
      </c>
      <c r="G81" s="7">
        <v>1</v>
      </c>
      <c r="H81" s="1">
        <v>60</v>
      </c>
      <c r="I81" s="1" t="s">
        <v>171</v>
      </c>
      <c r="J81" s="1"/>
      <c r="K81" s="1">
        <v>1099.5</v>
      </c>
      <c r="L81" s="1">
        <f t="shared" si="14"/>
        <v>-32.378999999999905</v>
      </c>
      <c r="M81" s="1"/>
      <c r="N81" s="1"/>
      <c r="O81" s="1"/>
      <c r="P81" s="1"/>
      <c r="Q81" s="1">
        <v>0</v>
      </c>
      <c r="R81" s="1">
        <v>200</v>
      </c>
      <c r="S81" s="1">
        <v>112.6092699999998</v>
      </c>
      <c r="T81" s="1">
        <f t="shared" si="15"/>
        <v>213.42420000000001</v>
      </c>
      <c r="U81" s="5">
        <f t="shared" si="13"/>
        <v>653.87493000000018</v>
      </c>
      <c r="V81" s="1">
        <f t="shared" si="16"/>
        <v>10.999999999999998</v>
      </c>
      <c r="W81" s="1">
        <f t="shared" si="17"/>
        <v>7.9362662247299021</v>
      </c>
      <c r="X81" s="1">
        <v>191.51259999999999</v>
      </c>
      <c r="Y81" s="1">
        <v>214.91640000000001</v>
      </c>
      <c r="Z81" s="1">
        <v>247.22239999999999</v>
      </c>
      <c r="AA81" s="1">
        <v>266.541</v>
      </c>
      <c r="AB81" s="1">
        <v>299.10000000000002</v>
      </c>
      <c r="AC81" s="1">
        <v>281.0856</v>
      </c>
      <c r="AD81" s="1">
        <v>239.624</v>
      </c>
      <c r="AE81" s="1">
        <v>205.08500000000001</v>
      </c>
      <c r="AF81" s="1">
        <v>212.28399999999999</v>
      </c>
      <c r="AG81" s="1">
        <v>179.25659999999999</v>
      </c>
      <c r="AH81" s="1"/>
      <c r="AI81" s="1">
        <f t="shared" si="12"/>
        <v>653.87493000000018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58</v>
      </c>
      <c r="B82" s="1" t="s">
        <v>38</v>
      </c>
      <c r="C82" s="1">
        <v>1785.761</v>
      </c>
      <c r="D82" s="1">
        <v>2898.299</v>
      </c>
      <c r="E82" s="1">
        <v>2055.9769999999999</v>
      </c>
      <c r="F82" s="1">
        <v>616.78800000000001</v>
      </c>
      <c r="G82" s="7">
        <v>1</v>
      </c>
      <c r="H82" s="1">
        <v>60</v>
      </c>
      <c r="I82" s="1" t="s">
        <v>171</v>
      </c>
      <c r="J82" s="1"/>
      <c r="K82" s="1">
        <v>2165.3290000000002</v>
      </c>
      <c r="L82" s="1">
        <f t="shared" si="14"/>
        <v>-109.35200000000032</v>
      </c>
      <c r="M82" s="1"/>
      <c r="N82" s="1"/>
      <c r="O82" s="1"/>
      <c r="P82" s="1">
        <v>1093.3610000000001</v>
      </c>
      <c r="Q82" s="1">
        <v>1108.6711600000001</v>
      </c>
      <c r="R82" s="1">
        <v>400</v>
      </c>
      <c r="S82" s="1">
        <v>1201.882600000001</v>
      </c>
      <c r="T82" s="1">
        <f t="shared" si="15"/>
        <v>411.19539999999995</v>
      </c>
      <c r="U82" s="5">
        <f t="shared" si="13"/>
        <v>102.4466399999983</v>
      </c>
      <c r="V82" s="1">
        <f t="shared" si="16"/>
        <v>11</v>
      </c>
      <c r="W82" s="1">
        <f t="shared" si="17"/>
        <v>10.750856551410841</v>
      </c>
      <c r="X82" s="1">
        <v>457.66879999999998</v>
      </c>
      <c r="Y82" s="1">
        <v>475.00880000000001</v>
      </c>
      <c r="Z82" s="1">
        <v>401.34320000000002</v>
      </c>
      <c r="AA82" s="1">
        <v>381.37920000000003</v>
      </c>
      <c r="AB82" s="1">
        <v>392.51780000000002</v>
      </c>
      <c r="AC82" s="1">
        <v>396.423</v>
      </c>
      <c r="AD82" s="1">
        <v>430.05099999999999</v>
      </c>
      <c r="AE82" s="1">
        <v>470.26299999999998</v>
      </c>
      <c r="AF82" s="1">
        <v>363.51339999999999</v>
      </c>
      <c r="AG82" s="1">
        <v>416.97</v>
      </c>
      <c r="AH82" s="1"/>
      <c r="AI82" s="1">
        <f t="shared" si="12"/>
        <v>102.4466399999983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121</v>
      </c>
      <c r="B83" s="1" t="s">
        <v>43</v>
      </c>
      <c r="C83" s="1">
        <v>-2</v>
      </c>
      <c r="D83" s="1">
        <v>293</v>
      </c>
      <c r="E83" s="1">
        <v>85</v>
      </c>
      <c r="F83" s="1">
        <v>96</v>
      </c>
      <c r="G83" s="7">
        <v>0.3</v>
      </c>
      <c r="H83" s="1">
        <v>40</v>
      </c>
      <c r="I83" s="1" t="s">
        <v>171</v>
      </c>
      <c r="J83" s="1"/>
      <c r="K83" s="1">
        <v>94</v>
      </c>
      <c r="L83" s="1">
        <f t="shared" si="14"/>
        <v>-9</v>
      </c>
      <c r="M83" s="1"/>
      <c r="N83" s="1"/>
      <c r="O83" s="1"/>
      <c r="P83" s="1">
        <v>133.4</v>
      </c>
      <c r="Q83" s="1">
        <v>0</v>
      </c>
      <c r="R83" s="1"/>
      <c r="S83" s="1">
        <v>0</v>
      </c>
      <c r="T83" s="1">
        <f t="shared" si="15"/>
        <v>17</v>
      </c>
      <c r="U83" s="5"/>
      <c r="V83" s="1">
        <f t="shared" si="16"/>
        <v>13.494117647058824</v>
      </c>
      <c r="W83" s="1">
        <f t="shared" si="17"/>
        <v>13.494117647058824</v>
      </c>
      <c r="X83" s="1">
        <v>10.199999999999999</v>
      </c>
      <c r="Y83" s="1">
        <v>23.4</v>
      </c>
      <c r="Z83" s="1">
        <v>31.2</v>
      </c>
      <c r="AA83" s="1">
        <v>28</v>
      </c>
      <c r="AB83" s="1">
        <v>15.6</v>
      </c>
      <c r="AC83" s="1">
        <v>9.6</v>
      </c>
      <c r="AD83" s="1">
        <v>18.399999999999999</v>
      </c>
      <c r="AE83" s="1">
        <v>21</v>
      </c>
      <c r="AF83" s="1">
        <v>21.2</v>
      </c>
      <c r="AG83" s="1">
        <v>21.2</v>
      </c>
      <c r="AH83" s="1"/>
      <c r="AI83" s="1">
        <f t="shared" si="12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122</v>
      </c>
      <c r="B84" s="1" t="s">
        <v>43</v>
      </c>
      <c r="C84" s="1">
        <v>114</v>
      </c>
      <c r="D84" s="1">
        <v>20</v>
      </c>
      <c r="E84" s="1">
        <v>55</v>
      </c>
      <c r="F84" s="1">
        <v>70</v>
      </c>
      <c r="G84" s="7">
        <v>7.0000000000000007E-2</v>
      </c>
      <c r="H84" s="1">
        <v>90</v>
      </c>
      <c r="I84" s="1" t="s">
        <v>171</v>
      </c>
      <c r="J84" s="1"/>
      <c r="K84" s="1">
        <v>63</v>
      </c>
      <c r="L84" s="1">
        <f t="shared" si="14"/>
        <v>-8</v>
      </c>
      <c r="M84" s="1"/>
      <c r="N84" s="1"/>
      <c r="O84" s="1"/>
      <c r="P84" s="1">
        <v>48.399999999999977</v>
      </c>
      <c r="Q84" s="1">
        <v>18</v>
      </c>
      <c r="R84" s="1"/>
      <c r="S84" s="1">
        <v>9.6000000000000227</v>
      </c>
      <c r="T84" s="1">
        <f t="shared" si="15"/>
        <v>11</v>
      </c>
      <c r="U84" s="5"/>
      <c r="V84" s="1">
        <f t="shared" si="16"/>
        <v>13.272727272727273</v>
      </c>
      <c r="W84" s="1">
        <f t="shared" si="17"/>
        <v>13.272727272727273</v>
      </c>
      <c r="X84" s="1">
        <v>13.2</v>
      </c>
      <c r="Y84" s="1">
        <v>16.399999999999999</v>
      </c>
      <c r="Z84" s="1">
        <v>17.2</v>
      </c>
      <c r="AA84" s="1">
        <v>14.8</v>
      </c>
      <c r="AB84" s="1">
        <v>11.8</v>
      </c>
      <c r="AC84" s="1">
        <v>10.8</v>
      </c>
      <c r="AD84" s="1">
        <v>11.8</v>
      </c>
      <c r="AE84" s="1">
        <v>12.4</v>
      </c>
      <c r="AF84" s="1">
        <v>10</v>
      </c>
      <c r="AG84" s="1">
        <v>12.8</v>
      </c>
      <c r="AH84" s="1"/>
      <c r="AI84" s="1">
        <f t="shared" si="12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123</v>
      </c>
      <c r="B85" s="1" t="s">
        <v>43</v>
      </c>
      <c r="C85" s="1">
        <v>41</v>
      </c>
      <c r="D85" s="1">
        <v>86</v>
      </c>
      <c r="E85" s="1">
        <v>104</v>
      </c>
      <c r="F85" s="1">
        <v>1</v>
      </c>
      <c r="G85" s="7">
        <v>7.0000000000000007E-2</v>
      </c>
      <c r="H85" s="1">
        <v>90</v>
      </c>
      <c r="I85" s="1" t="s">
        <v>171</v>
      </c>
      <c r="J85" s="1"/>
      <c r="K85" s="1">
        <v>125</v>
      </c>
      <c r="L85" s="1">
        <f t="shared" si="14"/>
        <v>-21</v>
      </c>
      <c r="M85" s="1"/>
      <c r="N85" s="1"/>
      <c r="O85" s="1"/>
      <c r="P85" s="1">
        <v>82</v>
      </c>
      <c r="Q85" s="1">
        <v>51.199999999999989</v>
      </c>
      <c r="R85" s="1"/>
      <c r="S85" s="1">
        <v>24.800000000000011</v>
      </c>
      <c r="T85" s="1">
        <f t="shared" si="15"/>
        <v>20.8</v>
      </c>
      <c r="U85" s="5">
        <f t="shared" si="13"/>
        <v>69.800000000000011</v>
      </c>
      <c r="V85" s="1">
        <f t="shared" si="16"/>
        <v>11</v>
      </c>
      <c r="W85" s="1">
        <f t="shared" si="17"/>
        <v>7.6442307692307692</v>
      </c>
      <c r="X85" s="1">
        <v>16.8</v>
      </c>
      <c r="Y85" s="1">
        <v>19.2</v>
      </c>
      <c r="Z85" s="1">
        <v>18</v>
      </c>
      <c r="AA85" s="1">
        <v>16</v>
      </c>
      <c r="AB85" s="1">
        <v>13</v>
      </c>
      <c r="AC85" s="1">
        <v>9.1999999999999993</v>
      </c>
      <c r="AD85" s="1">
        <v>4</v>
      </c>
      <c r="AE85" s="1">
        <v>7</v>
      </c>
      <c r="AF85" s="1">
        <v>16</v>
      </c>
      <c r="AG85" s="1">
        <v>12.4</v>
      </c>
      <c r="AH85" s="1"/>
      <c r="AI85" s="1">
        <f t="shared" si="12"/>
        <v>4.886000000000001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124</v>
      </c>
      <c r="B86" s="1" t="s">
        <v>43</v>
      </c>
      <c r="C86" s="1">
        <v>110</v>
      </c>
      <c r="D86" s="1">
        <v>19</v>
      </c>
      <c r="E86" s="1">
        <v>60</v>
      </c>
      <c r="F86" s="1">
        <v>57</v>
      </c>
      <c r="G86" s="7">
        <v>7.0000000000000007E-2</v>
      </c>
      <c r="H86" s="1">
        <v>90</v>
      </c>
      <c r="I86" s="1" t="s">
        <v>171</v>
      </c>
      <c r="J86" s="1"/>
      <c r="K86" s="1">
        <v>64</v>
      </c>
      <c r="L86" s="1">
        <f t="shared" si="14"/>
        <v>-4</v>
      </c>
      <c r="M86" s="1"/>
      <c r="N86" s="1"/>
      <c r="O86" s="1"/>
      <c r="P86" s="1">
        <v>45.199999999999989</v>
      </c>
      <c r="Q86" s="1">
        <v>0</v>
      </c>
      <c r="R86" s="1"/>
      <c r="S86" s="1">
        <v>6</v>
      </c>
      <c r="T86" s="1">
        <f t="shared" si="15"/>
        <v>12</v>
      </c>
      <c r="U86" s="5">
        <f t="shared" si="13"/>
        <v>23.800000000000011</v>
      </c>
      <c r="V86" s="1">
        <f t="shared" si="16"/>
        <v>11</v>
      </c>
      <c r="W86" s="1">
        <f t="shared" si="17"/>
        <v>9.0166666666666657</v>
      </c>
      <c r="X86" s="1">
        <v>10.6</v>
      </c>
      <c r="Y86" s="1">
        <v>11.6</v>
      </c>
      <c r="Z86" s="1">
        <v>15.6</v>
      </c>
      <c r="AA86" s="1">
        <v>13.8</v>
      </c>
      <c r="AB86" s="1">
        <v>10</v>
      </c>
      <c r="AC86" s="1">
        <v>7.8</v>
      </c>
      <c r="AD86" s="1">
        <v>0.6</v>
      </c>
      <c r="AE86" s="1">
        <v>2.6</v>
      </c>
      <c r="AF86" s="1">
        <v>7.4</v>
      </c>
      <c r="AG86" s="1">
        <v>7.2</v>
      </c>
      <c r="AH86" s="1"/>
      <c r="AI86" s="1">
        <f t="shared" si="12"/>
        <v>1.666000000000001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0" t="s">
        <v>125</v>
      </c>
      <c r="B87" s="10" t="s">
        <v>43</v>
      </c>
      <c r="C87" s="10">
        <v>34</v>
      </c>
      <c r="D87" s="10">
        <v>144</v>
      </c>
      <c r="E87" s="10">
        <v>69</v>
      </c>
      <c r="F87" s="10">
        <v>94</v>
      </c>
      <c r="G87" s="11">
        <v>0</v>
      </c>
      <c r="H87" s="10">
        <v>90</v>
      </c>
      <c r="I87" s="10" t="s">
        <v>154</v>
      </c>
      <c r="J87" s="10"/>
      <c r="K87" s="10">
        <v>84</v>
      </c>
      <c r="L87" s="10">
        <f t="shared" si="14"/>
        <v>-15</v>
      </c>
      <c r="M87" s="10"/>
      <c r="N87" s="10"/>
      <c r="O87" s="10"/>
      <c r="P87" s="10">
        <v>73.400000000000006</v>
      </c>
      <c r="Q87" s="10">
        <v>24.199999999999989</v>
      </c>
      <c r="R87" s="10"/>
      <c r="S87" s="10">
        <v>9.5999999999999943</v>
      </c>
      <c r="T87" s="10">
        <f t="shared" si="15"/>
        <v>13.8</v>
      </c>
      <c r="U87" s="12"/>
      <c r="V87" s="10">
        <f t="shared" si="16"/>
        <v>14.579710144927535</v>
      </c>
      <c r="W87" s="10">
        <f t="shared" si="17"/>
        <v>14.579710144927535</v>
      </c>
      <c r="X87" s="10">
        <v>14.8</v>
      </c>
      <c r="Y87" s="10">
        <v>16.2</v>
      </c>
      <c r="Z87" s="10">
        <v>17</v>
      </c>
      <c r="AA87" s="10">
        <v>15.6</v>
      </c>
      <c r="AB87" s="10">
        <v>15.4</v>
      </c>
      <c r="AC87" s="10">
        <v>12.8</v>
      </c>
      <c r="AD87" s="10">
        <v>10.8</v>
      </c>
      <c r="AE87" s="10">
        <v>9.1999999999999993</v>
      </c>
      <c r="AF87" s="10">
        <v>8.1999999999999993</v>
      </c>
      <c r="AG87" s="10">
        <v>10.199999999999999</v>
      </c>
      <c r="AH87" s="10"/>
      <c r="AI87" s="10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0" t="s">
        <v>127</v>
      </c>
      <c r="B88" s="10" t="s">
        <v>43</v>
      </c>
      <c r="C88" s="10">
        <v>17</v>
      </c>
      <c r="D88" s="10">
        <v>14</v>
      </c>
      <c r="E88" s="10">
        <v>17</v>
      </c>
      <c r="F88" s="10">
        <v>2</v>
      </c>
      <c r="G88" s="11">
        <v>0</v>
      </c>
      <c r="H88" s="10"/>
      <c r="I88" s="10" t="s">
        <v>154</v>
      </c>
      <c r="J88" s="10"/>
      <c r="K88" s="10">
        <v>30</v>
      </c>
      <c r="L88" s="10">
        <f t="shared" si="14"/>
        <v>-13</v>
      </c>
      <c r="M88" s="10"/>
      <c r="N88" s="10"/>
      <c r="O88" s="10"/>
      <c r="P88" s="10"/>
      <c r="Q88" s="10">
        <v>0</v>
      </c>
      <c r="R88" s="10"/>
      <c r="S88" s="10">
        <v>0</v>
      </c>
      <c r="T88" s="10">
        <f t="shared" si="15"/>
        <v>3.4</v>
      </c>
      <c r="U88" s="12"/>
      <c r="V88" s="10">
        <f t="shared" si="16"/>
        <v>0.58823529411764708</v>
      </c>
      <c r="W88" s="10">
        <f t="shared" si="17"/>
        <v>0.58823529411764708</v>
      </c>
      <c r="X88" s="10">
        <v>9.1999999999999993</v>
      </c>
      <c r="Y88" s="10">
        <v>10.199999999999999</v>
      </c>
      <c r="Z88" s="10">
        <v>10.199999999999999</v>
      </c>
      <c r="AA88" s="10">
        <v>11.2</v>
      </c>
      <c r="AB88" s="10">
        <v>13.8</v>
      </c>
      <c r="AC88" s="10">
        <v>12.4</v>
      </c>
      <c r="AD88" s="10">
        <v>11</v>
      </c>
      <c r="AE88" s="10">
        <v>10</v>
      </c>
      <c r="AF88" s="10">
        <v>8.1999999999999993</v>
      </c>
      <c r="AG88" s="10">
        <v>10.6</v>
      </c>
      <c r="AH88" s="10" t="s">
        <v>126</v>
      </c>
      <c r="AI88" s="10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128</v>
      </c>
      <c r="B89" s="1" t="s">
        <v>38</v>
      </c>
      <c r="C89" s="1">
        <v>109.462</v>
      </c>
      <c r="D89" s="1">
        <v>7.5839999999999996</v>
      </c>
      <c r="E89" s="1">
        <v>15.797000000000001</v>
      </c>
      <c r="F89" s="1">
        <v>94.513000000000005</v>
      </c>
      <c r="G89" s="7">
        <v>1</v>
      </c>
      <c r="H89" s="1">
        <v>55</v>
      </c>
      <c r="I89" s="1" t="s">
        <v>171</v>
      </c>
      <c r="J89" s="1"/>
      <c r="K89" s="1">
        <v>14.5</v>
      </c>
      <c r="L89" s="1">
        <f t="shared" si="14"/>
        <v>1.2970000000000006</v>
      </c>
      <c r="M89" s="1"/>
      <c r="N89" s="1"/>
      <c r="O89" s="1"/>
      <c r="P89" s="1"/>
      <c r="Q89" s="1">
        <v>0</v>
      </c>
      <c r="R89" s="1"/>
      <c r="S89" s="1">
        <v>0</v>
      </c>
      <c r="T89" s="1">
        <f t="shared" si="15"/>
        <v>3.1594000000000002</v>
      </c>
      <c r="U89" s="5"/>
      <c r="V89" s="1">
        <f t="shared" si="16"/>
        <v>29.914857251376844</v>
      </c>
      <c r="W89" s="1">
        <f t="shared" si="17"/>
        <v>29.914857251376844</v>
      </c>
      <c r="X89" s="1">
        <v>4.0695999999999994</v>
      </c>
      <c r="Y89" s="1">
        <v>3.1516000000000002</v>
      </c>
      <c r="Z89" s="1">
        <v>3.5156000000000001</v>
      </c>
      <c r="AA89" s="1">
        <v>4.7962000000000007</v>
      </c>
      <c r="AB89" s="1">
        <v>8.3277999999999999</v>
      </c>
      <c r="AC89" s="1">
        <v>89.048400000000001</v>
      </c>
      <c r="AD89" s="1">
        <v>86.158199999999994</v>
      </c>
      <c r="AE89" s="1">
        <v>6.9647999999999994</v>
      </c>
      <c r="AF89" s="1">
        <v>1.6108</v>
      </c>
      <c r="AG89" s="1">
        <v>3.8397999999999999</v>
      </c>
      <c r="AH89" s="15" t="s">
        <v>63</v>
      </c>
      <c r="AI89" s="1">
        <f t="shared" ref="AI89:AI113" si="18">G89*U89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129</v>
      </c>
      <c r="B90" s="1" t="s">
        <v>43</v>
      </c>
      <c r="C90" s="1">
        <v>2</v>
      </c>
      <c r="D90" s="1"/>
      <c r="E90" s="1"/>
      <c r="F90" s="1"/>
      <c r="G90" s="7">
        <v>0.11</v>
      </c>
      <c r="H90" s="1">
        <v>30</v>
      </c>
      <c r="I90" s="1" t="s">
        <v>171</v>
      </c>
      <c r="J90" s="1"/>
      <c r="K90" s="1">
        <v>23</v>
      </c>
      <c r="L90" s="1">
        <f t="shared" si="14"/>
        <v>-23</v>
      </c>
      <c r="M90" s="1"/>
      <c r="N90" s="1"/>
      <c r="O90" s="1"/>
      <c r="P90" s="1"/>
      <c r="Q90" s="1">
        <v>0</v>
      </c>
      <c r="R90" s="1"/>
      <c r="S90" s="1">
        <v>0</v>
      </c>
      <c r="T90" s="1">
        <f t="shared" si="15"/>
        <v>0</v>
      </c>
      <c r="U90" s="5">
        <v>20</v>
      </c>
      <c r="V90" s="1" t="e">
        <f t="shared" si="16"/>
        <v>#DIV/0!</v>
      </c>
      <c r="W90" s="1" t="e">
        <f t="shared" si="17"/>
        <v>#DIV/0!</v>
      </c>
      <c r="X90" s="1">
        <v>0</v>
      </c>
      <c r="Y90" s="1">
        <v>0</v>
      </c>
      <c r="Z90" s="1">
        <v>0</v>
      </c>
      <c r="AA90" s="1">
        <v>-0.2</v>
      </c>
      <c r="AB90" s="1">
        <v>-0.4</v>
      </c>
      <c r="AC90" s="1">
        <v>-0.6</v>
      </c>
      <c r="AD90" s="1">
        <v>-0.8</v>
      </c>
      <c r="AE90" s="1">
        <v>-0.4</v>
      </c>
      <c r="AF90" s="1">
        <v>0.6</v>
      </c>
      <c r="AG90" s="1">
        <v>1.8</v>
      </c>
      <c r="AH90" s="1"/>
      <c r="AI90" s="1">
        <f t="shared" si="18"/>
        <v>2.2000000000000002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130</v>
      </c>
      <c r="B91" s="1" t="s">
        <v>43</v>
      </c>
      <c r="C91" s="1">
        <v>-1</v>
      </c>
      <c r="D91" s="1">
        <v>228</v>
      </c>
      <c r="E91" s="1">
        <v>49</v>
      </c>
      <c r="F91" s="1">
        <v>136</v>
      </c>
      <c r="G91" s="7">
        <v>0.08</v>
      </c>
      <c r="H91" s="1">
        <v>45</v>
      </c>
      <c r="I91" s="1" t="s">
        <v>171</v>
      </c>
      <c r="J91" s="1"/>
      <c r="K91" s="1">
        <v>84</v>
      </c>
      <c r="L91" s="1">
        <f t="shared" si="14"/>
        <v>-35</v>
      </c>
      <c r="M91" s="1"/>
      <c r="N91" s="1"/>
      <c r="O91" s="1"/>
      <c r="P91" s="1">
        <v>69.399999999999977</v>
      </c>
      <c r="Q91" s="1">
        <v>0</v>
      </c>
      <c r="R91" s="1"/>
      <c r="S91" s="1">
        <v>0</v>
      </c>
      <c r="T91" s="1">
        <f t="shared" si="15"/>
        <v>9.8000000000000007</v>
      </c>
      <c r="U91" s="5"/>
      <c r="V91" s="1">
        <f t="shared" si="16"/>
        <v>20.959183673469383</v>
      </c>
      <c r="W91" s="1">
        <f t="shared" si="17"/>
        <v>20.959183673469383</v>
      </c>
      <c r="X91" s="1">
        <v>10.6</v>
      </c>
      <c r="Y91" s="1">
        <v>19</v>
      </c>
      <c r="Z91" s="1">
        <v>23.2</v>
      </c>
      <c r="AA91" s="1">
        <v>23</v>
      </c>
      <c r="AB91" s="1">
        <v>23.8</v>
      </c>
      <c r="AC91" s="1">
        <v>20.2</v>
      </c>
      <c r="AD91" s="1">
        <v>19.8</v>
      </c>
      <c r="AE91" s="1">
        <v>17.399999999999999</v>
      </c>
      <c r="AF91" s="1">
        <v>20</v>
      </c>
      <c r="AG91" s="1">
        <v>18</v>
      </c>
      <c r="AH91" s="1"/>
      <c r="AI91" s="1">
        <f t="shared" si="18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131</v>
      </c>
      <c r="B92" s="1" t="s">
        <v>43</v>
      </c>
      <c r="C92" s="1">
        <v>41</v>
      </c>
      <c r="D92" s="1">
        <v>134</v>
      </c>
      <c r="E92" s="1">
        <v>87</v>
      </c>
      <c r="F92" s="1">
        <v>70</v>
      </c>
      <c r="G92" s="7">
        <v>0.08</v>
      </c>
      <c r="H92" s="1">
        <v>45</v>
      </c>
      <c r="I92" s="1" t="s">
        <v>171</v>
      </c>
      <c r="J92" s="1"/>
      <c r="K92" s="1">
        <v>84</v>
      </c>
      <c r="L92" s="1">
        <f t="shared" si="14"/>
        <v>3</v>
      </c>
      <c r="M92" s="1"/>
      <c r="N92" s="1"/>
      <c r="O92" s="1"/>
      <c r="P92" s="1"/>
      <c r="Q92" s="1">
        <v>8</v>
      </c>
      <c r="R92" s="1"/>
      <c r="S92" s="1">
        <v>111.652</v>
      </c>
      <c r="T92" s="1">
        <f t="shared" si="15"/>
        <v>17.399999999999999</v>
      </c>
      <c r="U92" s="5">
        <v>6</v>
      </c>
      <c r="V92" s="1">
        <f t="shared" si="16"/>
        <v>11.244367816091954</v>
      </c>
      <c r="W92" s="1">
        <f t="shared" si="17"/>
        <v>10.899540229885057</v>
      </c>
      <c r="X92" s="1">
        <v>17</v>
      </c>
      <c r="Y92" s="1">
        <v>11</v>
      </c>
      <c r="Z92" s="1">
        <v>13</v>
      </c>
      <c r="AA92" s="1">
        <v>16.2</v>
      </c>
      <c r="AB92" s="1">
        <v>19.399999999999999</v>
      </c>
      <c r="AC92" s="1">
        <v>16.8</v>
      </c>
      <c r="AD92" s="1">
        <v>17.399999999999999</v>
      </c>
      <c r="AE92" s="1">
        <v>15.8</v>
      </c>
      <c r="AF92" s="1">
        <v>17.2</v>
      </c>
      <c r="AG92" s="1">
        <v>11.4</v>
      </c>
      <c r="AH92" s="1"/>
      <c r="AI92" s="1">
        <f t="shared" si="18"/>
        <v>0.48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132</v>
      </c>
      <c r="B93" s="1" t="s">
        <v>43</v>
      </c>
      <c r="C93" s="1">
        <v>3</v>
      </c>
      <c r="D93" s="1">
        <v>20</v>
      </c>
      <c r="E93" s="1">
        <v>1</v>
      </c>
      <c r="F93" s="1">
        <v>19</v>
      </c>
      <c r="G93" s="7">
        <v>0.17</v>
      </c>
      <c r="H93" s="1">
        <v>30</v>
      </c>
      <c r="I93" s="1" t="s">
        <v>171</v>
      </c>
      <c r="J93" s="1"/>
      <c r="K93" s="1">
        <v>25</v>
      </c>
      <c r="L93" s="1">
        <f t="shared" si="14"/>
        <v>-24</v>
      </c>
      <c r="M93" s="1"/>
      <c r="N93" s="1"/>
      <c r="O93" s="1"/>
      <c r="P93" s="1"/>
      <c r="Q93" s="1">
        <v>0</v>
      </c>
      <c r="R93" s="1"/>
      <c r="S93" s="1">
        <v>0</v>
      </c>
      <c r="T93" s="1">
        <f t="shared" si="15"/>
        <v>0.2</v>
      </c>
      <c r="U93" s="5"/>
      <c r="V93" s="1">
        <f t="shared" si="16"/>
        <v>95</v>
      </c>
      <c r="W93" s="1">
        <f t="shared" si="17"/>
        <v>95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-0.2</v>
      </c>
      <c r="AE93" s="1">
        <v>-0.2</v>
      </c>
      <c r="AF93" s="1">
        <v>0</v>
      </c>
      <c r="AG93" s="1">
        <v>0.2</v>
      </c>
      <c r="AH93" s="1"/>
      <c r="AI93" s="1">
        <f t="shared" si="18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133</v>
      </c>
      <c r="B94" s="1" t="s">
        <v>38</v>
      </c>
      <c r="C94" s="1">
        <v>52.643000000000001</v>
      </c>
      <c r="D94" s="1">
        <v>235.15799999999999</v>
      </c>
      <c r="E94" s="1">
        <v>131.18600000000001</v>
      </c>
      <c r="F94" s="1">
        <v>93.207999999999998</v>
      </c>
      <c r="G94" s="7">
        <v>1</v>
      </c>
      <c r="H94" s="1">
        <v>40</v>
      </c>
      <c r="I94" s="1" t="s">
        <v>171</v>
      </c>
      <c r="J94" s="1"/>
      <c r="K94" s="1">
        <v>145.66999999999999</v>
      </c>
      <c r="L94" s="1">
        <f t="shared" si="14"/>
        <v>-14.48399999999998</v>
      </c>
      <c r="M94" s="1"/>
      <c r="N94" s="1"/>
      <c r="O94" s="1"/>
      <c r="P94" s="1">
        <v>54.698199999999993</v>
      </c>
      <c r="Q94" s="1">
        <v>110.68219999999999</v>
      </c>
      <c r="R94" s="1"/>
      <c r="S94" s="1">
        <v>52.006800000000062</v>
      </c>
      <c r="T94" s="1">
        <f t="shared" si="15"/>
        <v>26.237200000000001</v>
      </c>
      <c r="U94" s="5"/>
      <c r="V94" s="1">
        <f t="shared" si="16"/>
        <v>11.837970515146434</v>
      </c>
      <c r="W94" s="1">
        <f t="shared" si="17"/>
        <v>11.837970515146434</v>
      </c>
      <c r="X94" s="1">
        <v>30.513999999999999</v>
      </c>
      <c r="Y94" s="1">
        <v>35.223799999999997</v>
      </c>
      <c r="Z94" s="1">
        <v>32.168799999999997</v>
      </c>
      <c r="AA94" s="1">
        <v>34.5154</v>
      </c>
      <c r="AB94" s="1">
        <v>32.029400000000003</v>
      </c>
      <c r="AC94" s="1">
        <v>31.279399999999999</v>
      </c>
      <c r="AD94" s="1">
        <v>34.792999999999999</v>
      </c>
      <c r="AE94" s="1">
        <v>30.675999999999998</v>
      </c>
      <c r="AF94" s="1">
        <v>25.351800000000001</v>
      </c>
      <c r="AG94" s="1">
        <v>31.613</v>
      </c>
      <c r="AH94" s="1"/>
      <c r="AI94" s="1">
        <f t="shared" si="18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134</v>
      </c>
      <c r="B95" s="1" t="s">
        <v>38</v>
      </c>
      <c r="C95" s="1">
        <v>285.01799999999997</v>
      </c>
      <c r="D95" s="1">
        <v>69.016999999999996</v>
      </c>
      <c r="E95" s="1">
        <v>131.04</v>
      </c>
      <c r="F95" s="1">
        <v>145.27199999999999</v>
      </c>
      <c r="G95" s="7">
        <v>1</v>
      </c>
      <c r="H95" s="1">
        <v>40</v>
      </c>
      <c r="I95" s="1" t="s">
        <v>171</v>
      </c>
      <c r="J95" s="1"/>
      <c r="K95" s="1">
        <v>137.69999999999999</v>
      </c>
      <c r="L95" s="1">
        <f t="shared" si="14"/>
        <v>-6.6599999999999966</v>
      </c>
      <c r="M95" s="1"/>
      <c r="N95" s="1"/>
      <c r="O95" s="1"/>
      <c r="P95" s="1"/>
      <c r="Q95" s="1">
        <v>0</v>
      </c>
      <c r="R95" s="1"/>
      <c r="S95" s="1">
        <v>131.96779000000001</v>
      </c>
      <c r="T95" s="1">
        <f t="shared" si="15"/>
        <v>26.207999999999998</v>
      </c>
      <c r="U95" s="5">
        <f t="shared" ref="U95:U108" si="19">11*T95-S95-R95-Q95-P95-O95-F95</f>
        <v>11.048210000000012</v>
      </c>
      <c r="V95" s="1">
        <f t="shared" si="16"/>
        <v>11.000000000000002</v>
      </c>
      <c r="W95" s="1">
        <f t="shared" si="17"/>
        <v>10.578441315628815</v>
      </c>
      <c r="X95" s="1">
        <v>30.0702</v>
      </c>
      <c r="Y95" s="1">
        <v>27.5472</v>
      </c>
      <c r="Z95" s="1">
        <v>24.343599999999999</v>
      </c>
      <c r="AA95" s="1">
        <v>23.461200000000002</v>
      </c>
      <c r="AB95" s="1">
        <v>22.640799999999999</v>
      </c>
      <c r="AC95" s="1">
        <v>21.380199999999999</v>
      </c>
      <c r="AD95" s="1">
        <v>19.637799999999999</v>
      </c>
      <c r="AE95" s="1">
        <v>19.757400000000001</v>
      </c>
      <c r="AF95" s="1">
        <v>0</v>
      </c>
      <c r="AG95" s="1">
        <v>27.5456</v>
      </c>
      <c r="AH95" s="1"/>
      <c r="AI95" s="1">
        <f t="shared" si="18"/>
        <v>11.048210000000012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135</v>
      </c>
      <c r="B96" s="1" t="s">
        <v>38</v>
      </c>
      <c r="C96" s="1">
        <v>45.512999999999998</v>
      </c>
      <c r="D96" s="1">
        <v>6.5359999999999996</v>
      </c>
      <c r="E96" s="1">
        <v>49.067</v>
      </c>
      <c r="F96" s="1">
        <v>1.462</v>
      </c>
      <c r="G96" s="7">
        <v>1</v>
      </c>
      <c r="H96" s="1">
        <v>40</v>
      </c>
      <c r="I96" s="1" t="s">
        <v>171</v>
      </c>
      <c r="J96" s="1"/>
      <c r="K96" s="1">
        <v>62.6</v>
      </c>
      <c r="L96" s="1">
        <f t="shared" si="14"/>
        <v>-13.533000000000001</v>
      </c>
      <c r="M96" s="1"/>
      <c r="N96" s="1"/>
      <c r="O96" s="1"/>
      <c r="P96" s="1">
        <v>61.723399999999998</v>
      </c>
      <c r="Q96" s="1">
        <v>156.1652</v>
      </c>
      <c r="R96" s="1"/>
      <c r="S96" s="1">
        <v>139.23636999999999</v>
      </c>
      <c r="T96" s="1">
        <f t="shared" si="15"/>
        <v>9.8133999999999997</v>
      </c>
      <c r="U96" s="5"/>
      <c r="V96" s="1">
        <f t="shared" si="16"/>
        <v>36.540543542503102</v>
      </c>
      <c r="W96" s="1">
        <f t="shared" si="17"/>
        <v>36.540543542503102</v>
      </c>
      <c r="X96" s="1">
        <v>30.8186</v>
      </c>
      <c r="Y96" s="1">
        <v>32.925199999999997</v>
      </c>
      <c r="Z96" s="1">
        <v>17.869199999999999</v>
      </c>
      <c r="AA96" s="1">
        <v>6.8346</v>
      </c>
      <c r="AB96" s="1">
        <v>-0.71160000000000001</v>
      </c>
      <c r="AC96" s="1">
        <v>-0.70979999999999999</v>
      </c>
      <c r="AD96" s="1">
        <v>-0.70679999999999998</v>
      </c>
      <c r="AE96" s="1">
        <v>-0.86</v>
      </c>
      <c r="AF96" s="1">
        <v>20.687799999999999</v>
      </c>
      <c r="AG96" s="1">
        <v>-0.28639999999999999</v>
      </c>
      <c r="AH96" s="1"/>
      <c r="AI96" s="1">
        <f t="shared" si="18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136</v>
      </c>
      <c r="B97" s="1" t="s">
        <v>43</v>
      </c>
      <c r="C97" s="1">
        <v>722</v>
      </c>
      <c r="D97" s="1">
        <v>113</v>
      </c>
      <c r="E97" s="1">
        <v>286</v>
      </c>
      <c r="F97" s="1">
        <v>422</v>
      </c>
      <c r="G97" s="7">
        <v>0.28000000000000003</v>
      </c>
      <c r="H97" s="1">
        <v>40</v>
      </c>
      <c r="I97" s="1" t="s">
        <v>171</v>
      </c>
      <c r="J97" s="1"/>
      <c r="K97" s="1">
        <v>332</v>
      </c>
      <c r="L97" s="1">
        <f t="shared" si="14"/>
        <v>-46</v>
      </c>
      <c r="M97" s="1"/>
      <c r="N97" s="1"/>
      <c r="O97" s="1"/>
      <c r="P97" s="1"/>
      <c r="Q97" s="1">
        <v>0</v>
      </c>
      <c r="R97" s="1"/>
      <c r="S97" s="1">
        <v>75.5</v>
      </c>
      <c r="T97" s="1">
        <f t="shared" si="15"/>
        <v>57.2</v>
      </c>
      <c r="U97" s="5">
        <f t="shared" si="19"/>
        <v>131.70000000000005</v>
      </c>
      <c r="V97" s="1">
        <f t="shared" si="16"/>
        <v>11</v>
      </c>
      <c r="W97" s="1">
        <f t="shared" si="17"/>
        <v>8.6975524475524466</v>
      </c>
      <c r="X97" s="1">
        <v>51.4</v>
      </c>
      <c r="Y97" s="1">
        <v>46.4</v>
      </c>
      <c r="Z97" s="1">
        <v>51</v>
      </c>
      <c r="AA97" s="1">
        <v>48.8</v>
      </c>
      <c r="AB97" s="1">
        <v>37.4</v>
      </c>
      <c r="AC97" s="1">
        <v>39</v>
      </c>
      <c r="AD97" s="1">
        <v>65</v>
      </c>
      <c r="AE97" s="1">
        <v>52.8</v>
      </c>
      <c r="AF97" s="1">
        <v>12.2</v>
      </c>
      <c r="AG97" s="1">
        <v>49</v>
      </c>
      <c r="AH97" s="1"/>
      <c r="AI97" s="1">
        <f t="shared" si="18"/>
        <v>36.876000000000019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137</v>
      </c>
      <c r="B98" s="1" t="s">
        <v>43</v>
      </c>
      <c r="C98" s="1">
        <v>9</v>
      </c>
      <c r="D98" s="1">
        <v>435</v>
      </c>
      <c r="E98" s="1">
        <v>120</v>
      </c>
      <c r="F98" s="1">
        <v>296</v>
      </c>
      <c r="G98" s="7">
        <v>0.28000000000000003</v>
      </c>
      <c r="H98" s="1">
        <v>40</v>
      </c>
      <c r="I98" s="1" t="s">
        <v>171</v>
      </c>
      <c r="J98" s="1"/>
      <c r="K98" s="1">
        <v>211</v>
      </c>
      <c r="L98" s="1">
        <f t="shared" si="14"/>
        <v>-91</v>
      </c>
      <c r="M98" s="1"/>
      <c r="N98" s="1"/>
      <c r="O98" s="1"/>
      <c r="P98" s="1"/>
      <c r="Q98" s="1">
        <v>0</v>
      </c>
      <c r="R98" s="1"/>
      <c r="S98" s="1">
        <v>0</v>
      </c>
      <c r="T98" s="1">
        <f t="shared" si="15"/>
        <v>24</v>
      </c>
      <c r="U98" s="5"/>
      <c r="V98" s="1">
        <f t="shared" si="16"/>
        <v>12.333333333333334</v>
      </c>
      <c r="W98" s="1">
        <f t="shared" si="17"/>
        <v>12.333333333333334</v>
      </c>
      <c r="X98" s="1">
        <v>-0.2</v>
      </c>
      <c r="Y98" s="1">
        <v>1.8</v>
      </c>
      <c r="Z98" s="1">
        <v>19.2</v>
      </c>
      <c r="AA98" s="1">
        <v>39.200000000000003</v>
      </c>
      <c r="AB98" s="1">
        <v>28.2</v>
      </c>
      <c r="AC98" s="1">
        <v>7.8</v>
      </c>
      <c r="AD98" s="1">
        <v>0</v>
      </c>
      <c r="AE98" s="1">
        <v>0</v>
      </c>
      <c r="AF98" s="1">
        <v>0</v>
      </c>
      <c r="AG98" s="1">
        <v>0</v>
      </c>
      <c r="AH98" s="1"/>
      <c r="AI98" s="1">
        <f t="shared" si="18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138</v>
      </c>
      <c r="B99" s="1" t="s">
        <v>43</v>
      </c>
      <c r="C99" s="1">
        <v>561</v>
      </c>
      <c r="D99" s="1">
        <v>86</v>
      </c>
      <c r="E99" s="1">
        <v>230</v>
      </c>
      <c r="F99" s="1">
        <v>314</v>
      </c>
      <c r="G99" s="7">
        <v>0.28000000000000003</v>
      </c>
      <c r="H99" s="1">
        <v>40</v>
      </c>
      <c r="I99" s="1" t="s">
        <v>171</v>
      </c>
      <c r="J99" s="1"/>
      <c r="K99" s="1">
        <v>309</v>
      </c>
      <c r="L99" s="1">
        <f t="shared" si="14"/>
        <v>-79</v>
      </c>
      <c r="M99" s="1"/>
      <c r="N99" s="1"/>
      <c r="O99" s="1"/>
      <c r="P99" s="1"/>
      <c r="Q99" s="1">
        <v>0</v>
      </c>
      <c r="R99" s="1"/>
      <c r="S99" s="1">
        <v>81.93</v>
      </c>
      <c r="T99" s="1">
        <f t="shared" si="15"/>
        <v>46</v>
      </c>
      <c r="U99" s="5">
        <f t="shared" si="19"/>
        <v>110.07</v>
      </c>
      <c r="V99" s="1">
        <f t="shared" si="16"/>
        <v>11</v>
      </c>
      <c r="W99" s="1">
        <f t="shared" si="17"/>
        <v>8.6071739130434786</v>
      </c>
      <c r="X99" s="1">
        <v>43.4</v>
      </c>
      <c r="Y99" s="1">
        <v>45.8</v>
      </c>
      <c r="Z99" s="1">
        <v>41</v>
      </c>
      <c r="AA99" s="1">
        <v>35.799999999999997</v>
      </c>
      <c r="AB99" s="1">
        <v>46</v>
      </c>
      <c r="AC99" s="1">
        <v>40.6</v>
      </c>
      <c r="AD99" s="1">
        <v>56.2</v>
      </c>
      <c r="AE99" s="1">
        <v>48.6</v>
      </c>
      <c r="AF99" s="1">
        <v>13</v>
      </c>
      <c r="AG99" s="1">
        <v>34.200000000000003</v>
      </c>
      <c r="AH99" s="1"/>
      <c r="AI99" s="1">
        <f t="shared" si="18"/>
        <v>30.819600000000001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139</v>
      </c>
      <c r="B100" s="1" t="s">
        <v>43</v>
      </c>
      <c r="C100" s="1">
        <v>-3</v>
      </c>
      <c r="D100" s="1">
        <v>63</v>
      </c>
      <c r="E100" s="1">
        <v>14</v>
      </c>
      <c r="F100" s="1">
        <v>36</v>
      </c>
      <c r="G100" s="7">
        <v>0.09</v>
      </c>
      <c r="H100" s="1">
        <v>45</v>
      </c>
      <c r="I100" s="1" t="s">
        <v>171</v>
      </c>
      <c r="J100" s="1"/>
      <c r="K100" s="1">
        <v>52</v>
      </c>
      <c r="L100" s="1">
        <f t="shared" si="14"/>
        <v>-38</v>
      </c>
      <c r="M100" s="1"/>
      <c r="N100" s="1"/>
      <c r="O100" s="1"/>
      <c r="P100" s="1"/>
      <c r="Q100" s="1">
        <v>20.199999999999989</v>
      </c>
      <c r="R100" s="1"/>
      <c r="S100" s="1">
        <v>0</v>
      </c>
      <c r="T100" s="1">
        <f t="shared" si="15"/>
        <v>2.8</v>
      </c>
      <c r="U100" s="5"/>
      <c r="V100" s="1">
        <f t="shared" si="16"/>
        <v>20.071428571428569</v>
      </c>
      <c r="W100" s="1">
        <f t="shared" si="17"/>
        <v>20.071428571428569</v>
      </c>
      <c r="X100" s="1">
        <v>4.2</v>
      </c>
      <c r="Y100" s="1">
        <v>6</v>
      </c>
      <c r="Z100" s="1">
        <v>1.8</v>
      </c>
      <c r="AA100" s="1">
        <v>5.6</v>
      </c>
      <c r="AB100" s="1">
        <v>6.4</v>
      </c>
      <c r="AC100" s="1">
        <v>2</v>
      </c>
      <c r="AD100" s="1">
        <v>0</v>
      </c>
      <c r="AE100" s="1">
        <v>0</v>
      </c>
      <c r="AF100" s="1">
        <v>0</v>
      </c>
      <c r="AG100" s="1">
        <v>0</v>
      </c>
      <c r="AH100" s="1" t="s">
        <v>140</v>
      </c>
      <c r="AI100" s="1">
        <f t="shared" si="18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141</v>
      </c>
      <c r="B101" s="1" t="s">
        <v>38</v>
      </c>
      <c r="C101" s="1">
        <v>178.43700000000001</v>
      </c>
      <c r="D101" s="1">
        <v>106.741</v>
      </c>
      <c r="E101" s="1">
        <v>108.07299999999999</v>
      </c>
      <c r="F101" s="1">
        <v>83.498000000000005</v>
      </c>
      <c r="G101" s="7">
        <v>1</v>
      </c>
      <c r="H101" s="1">
        <v>60</v>
      </c>
      <c r="I101" s="1" t="s">
        <v>171</v>
      </c>
      <c r="J101" s="1"/>
      <c r="K101" s="1">
        <v>115</v>
      </c>
      <c r="L101" s="1">
        <f t="shared" ref="L101:L113" si="20">E101-K101</f>
        <v>-6.9270000000000067</v>
      </c>
      <c r="M101" s="1"/>
      <c r="N101" s="1"/>
      <c r="O101" s="1"/>
      <c r="P101" s="1">
        <v>6</v>
      </c>
      <c r="Q101" s="1">
        <v>0</v>
      </c>
      <c r="R101" s="1"/>
      <c r="S101" s="1">
        <v>16.332999999999998</v>
      </c>
      <c r="T101" s="1">
        <f t="shared" si="15"/>
        <v>21.614599999999999</v>
      </c>
      <c r="U101" s="5">
        <f t="shared" si="19"/>
        <v>131.92959999999999</v>
      </c>
      <c r="V101" s="1">
        <f t="shared" si="16"/>
        <v>11</v>
      </c>
      <c r="W101" s="1">
        <f t="shared" si="17"/>
        <v>4.896273814921396</v>
      </c>
      <c r="X101" s="1">
        <v>13.019600000000001</v>
      </c>
      <c r="Y101" s="1">
        <v>9.3587999999999987</v>
      </c>
      <c r="Z101" s="1">
        <v>18.064599999999999</v>
      </c>
      <c r="AA101" s="1">
        <v>21.049600000000002</v>
      </c>
      <c r="AB101" s="1">
        <v>5.7427999999999999</v>
      </c>
      <c r="AC101" s="1">
        <v>-0.13300000000000001</v>
      </c>
      <c r="AD101" s="1">
        <v>1.3198000000000001</v>
      </c>
      <c r="AE101" s="1">
        <v>14.398400000000001</v>
      </c>
      <c r="AF101" s="1">
        <v>17.016999999999999</v>
      </c>
      <c r="AG101" s="1">
        <v>18.36</v>
      </c>
      <c r="AH101" s="1"/>
      <c r="AI101" s="1">
        <f t="shared" si="18"/>
        <v>131.92959999999999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142</v>
      </c>
      <c r="B102" s="1" t="s">
        <v>38</v>
      </c>
      <c r="C102" s="1">
        <v>242.58699999999999</v>
      </c>
      <c r="D102" s="1">
        <v>36.81</v>
      </c>
      <c r="E102" s="1">
        <v>129.464</v>
      </c>
      <c r="F102" s="1">
        <v>92.409000000000006</v>
      </c>
      <c r="G102" s="7">
        <v>1</v>
      </c>
      <c r="H102" s="1">
        <v>50</v>
      </c>
      <c r="I102" s="1" t="s">
        <v>171</v>
      </c>
      <c r="J102" s="1"/>
      <c r="K102" s="1">
        <v>137.5</v>
      </c>
      <c r="L102" s="1">
        <f t="shared" si="20"/>
        <v>-8.0360000000000014</v>
      </c>
      <c r="M102" s="1"/>
      <c r="N102" s="1"/>
      <c r="O102" s="1"/>
      <c r="P102" s="1"/>
      <c r="Q102" s="1">
        <v>0</v>
      </c>
      <c r="R102" s="1"/>
      <c r="S102" s="1">
        <v>94.99249999999995</v>
      </c>
      <c r="T102" s="1">
        <f t="shared" si="15"/>
        <v>25.892800000000001</v>
      </c>
      <c r="U102" s="5">
        <f t="shared" si="19"/>
        <v>97.419300000000064</v>
      </c>
      <c r="V102" s="1">
        <f t="shared" si="16"/>
        <v>11</v>
      </c>
      <c r="W102" s="1">
        <f t="shared" si="17"/>
        <v>7.2375911450287314</v>
      </c>
      <c r="X102" s="1">
        <v>21.508199999999999</v>
      </c>
      <c r="Y102" s="1">
        <v>16.107800000000001</v>
      </c>
      <c r="Z102" s="1">
        <v>20.5518</v>
      </c>
      <c r="AA102" s="1">
        <v>23.8172</v>
      </c>
      <c r="AB102" s="1">
        <v>10.0442</v>
      </c>
      <c r="AC102" s="1">
        <v>4.9964000000000004</v>
      </c>
      <c r="AD102" s="1">
        <v>21.4312</v>
      </c>
      <c r="AE102" s="1">
        <v>33.929199999999987</v>
      </c>
      <c r="AF102" s="1">
        <v>14.873799999999999</v>
      </c>
      <c r="AG102" s="1">
        <v>17.5974</v>
      </c>
      <c r="AH102" s="1"/>
      <c r="AI102" s="1">
        <f t="shared" si="18"/>
        <v>97.419300000000064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143</v>
      </c>
      <c r="B103" s="1" t="s">
        <v>43</v>
      </c>
      <c r="C103" s="1">
        <v>7</v>
      </c>
      <c r="D103" s="1">
        <v>24</v>
      </c>
      <c r="E103" s="1">
        <v>26</v>
      </c>
      <c r="F103" s="1">
        <v>2</v>
      </c>
      <c r="G103" s="7">
        <v>0.09</v>
      </c>
      <c r="H103" s="1">
        <v>45</v>
      </c>
      <c r="I103" s="1" t="s">
        <v>171</v>
      </c>
      <c r="J103" s="1"/>
      <c r="K103" s="1">
        <v>49</v>
      </c>
      <c r="L103" s="1">
        <f t="shared" si="20"/>
        <v>-23</v>
      </c>
      <c r="M103" s="1"/>
      <c r="N103" s="1"/>
      <c r="O103" s="1"/>
      <c r="P103" s="1"/>
      <c r="Q103" s="1">
        <v>29.8</v>
      </c>
      <c r="R103" s="1"/>
      <c r="S103" s="1">
        <v>33.200000000000003</v>
      </c>
      <c r="T103" s="1">
        <f t="shared" si="15"/>
        <v>5.2</v>
      </c>
      <c r="U103" s="5"/>
      <c r="V103" s="1">
        <f t="shared" si="16"/>
        <v>12.5</v>
      </c>
      <c r="W103" s="1">
        <f t="shared" si="17"/>
        <v>12.5</v>
      </c>
      <c r="X103" s="1">
        <v>5.6</v>
      </c>
      <c r="Y103" s="1">
        <v>6.4</v>
      </c>
      <c r="Z103" s="1">
        <v>2.4</v>
      </c>
      <c r="AA103" s="1">
        <v>3.2</v>
      </c>
      <c r="AB103" s="1">
        <v>4</v>
      </c>
      <c r="AC103" s="1">
        <v>2</v>
      </c>
      <c r="AD103" s="1">
        <v>0</v>
      </c>
      <c r="AE103" s="1">
        <v>0</v>
      </c>
      <c r="AF103" s="1">
        <v>0</v>
      </c>
      <c r="AG103" s="1">
        <v>0</v>
      </c>
      <c r="AH103" s="1" t="s">
        <v>140</v>
      </c>
      <c r="AI103" s="1">
        <f t="shared" si="18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144</v>
      </c>
      <c r="B104" s="1" t="s">
        <v>43</v>
      </c>
      <c r="C104" s="1">
        <v>-2</v>
      </c>
      <c r="D104" s="1">
        <v>24</v>
      </c>
      <c r="E104" s="1">
        <v>19</v>
      </c>
      <c r="F104" s="1">
        <v>9</v>
      </c>
      <c r="G104" s="7">
        <v>0.09</v>
      </c>
      <c r="H104" s="1">
        <v>45</v>
      </c>
      <c r="I104" s="1" t="s">
        <v>171</v>
      </c>
      <c r="J104" s="1"/>
      <c r="K104" s="1">
        <v>13</v>
      </c>
      <c r="L104" s="1">
        <f t="shared" si="20"/>
        <v>6</v>
      </c>
      <c r="M104" s="1"/>
      <c r="N104" s="1"/>
      <c r="O104" s="1"/>
      <c r="P104" s="1"/>
      <c r="Q104" s="1">
        <v>31.2</v>
      </c>
      <c r="R104" s="1"/>
      <c r="S104" s="1">
        <v>40.299999999999997</v>
      </c>
      <c r="T104" s="1">
        <f t="shared" si="15"/>
        <v>3.8</v>
      </c>
      <c r="U104" s="5"/>
      <c r="V104" s="1">
        <f t="shared" si="16"/>
        <v>21.184210526315791</v>
      </c>
      <c r="W104" s="1">
        <f t="shared" si="17"/>
        <v>21.184210526315791</v>
      </c>
      <c r="X104" s="1">
        <v>6.2</v>
      </c>
      <c r="Y104" s="1">
        <v>6.2</v>
      </c>
      <c r="Z104" s="1">
        <v>2</v>
      </c>
      <c r="AA104" s="1">
        <v>3.4</v>
      </c>
      <c r="AB104" s="1">
        <v>4</v>
      </c>
      <c r="AC104" s="1">
        <v>2</v>
      </c>
      <c r="AD104" s="1">
        <v>0</v>
      </c>
      <c r="AE104" s="1">
        <v>0</v>
      </c>
      <c r="AF104" s="1">
        <v>0</v>
      </c>
      <c r="AG104" s="1">
        <v>0</v>
      </c>
      <c r="AH104" s="1" t="s">
        <v>140</v>
      </c>
      <c r="AI104" s="1">
        <f t="shared" si="18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145</v>
      </c>
      <c r="B105" s="1" t="s">
        <v>38</v>
      </c>
      <c r="C105" s="1">
        <v>168.36600000000001</v>
      </c>
      <c r="D105" s="1">
        <v>34.087000000000003</v>
      </c>
      <c r="E105" s="1">
        <v>73.656999999999996</v>
      </c>
      <c r="F105" s="1">
        <v>102.143</v>
      </c>
      <c r="G105" s="7">
        <v>1</v>
      </c>
      <c r="H105" s="1">
        <v>60</v>
      </c>
      <c r="I105" s="1" t="s">
        <v>171</v>
      </c>
      <c r="J105" s="1"/>
      <c r="K105" s="1">
        <v>76.2</v>
      </c>
      <c r="L105" s="1">
        <f t="shared" si="20"/>
        <v>-2.5430000000000064</v>
      </c>
      <c r="M105" s="1"/>
      <c r="N105" s="1"/>
      <c r="O105" s="1"/>
      <c r="P105" s="1"/>
      <c r="Q105" s="1">
        <v>0</v>
      </c>
      <c r="R105" s="1"/>
      <c r="S105" s="1">
        <v>3.909500000000008</v>
      </c>
      <c r="T105" s="1">
        <f t="shared" si="15"/>
        <v>14.731399999999999</v>
      </c>
      <c r="U105" s="5">
        <f t="shared" si="19"/>
        <v>55.992899999999992</v>
      </c>
      <c r="V105" s="1">
        <f t="shared" si="16"/>
        <v>11</v>
      </c>
      <c r="W105" s="1">
        <f t="shared" si="17"/>
        <v>7.1990781595775024</v>
      </c>
      <c r="X105" s="1">
        <v>11.702199999999999</v>
      </c>
      <c r="Y105" s="1">
        <v>16.356999999999999</v>
      </c>
      <c r="Z105" s="1">
        <v>14.2948</v>
      </c>
      <c r="AA105" s="1">
        <v>16.265000000000001</v>
      </c>
      <c r="AB105" s="1">
        <v>16.506799999999998</v>
      </c>
      <c r="AC105" s="1">
        <v>13.19</v>
      </c>
      <c r="AD105" s="1">
        <v>15.274800000000001</v>
      </c>
      <c r="AE105" s="1">
        <v>9.7639999999999993</v>
      </c>
      <c r="AF105" s="1">
        <v>16.150400000000001</v>
      </c>
      <c r="AG105" s="1">
        <v>9.27</v>
      </c>
      <c r="AH105" s="1"/>
      <c r="AI105" s="1">
        <f t="shared" si="18"/>
        <v>55.992899999999992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146</v>
      </c>
      <c r="B106" s="1" t="s">
        <v>38</v>
      </c>
      <c r="C106" s="1">
        <v>309.69099999999997</v>
      </c>
      <c r="D106" s="1">
        <v>107.922</v>
      </c>
      <c r="E106" s="1">
        <v>162.45500000000001</v>
      </c>
      <c r="F106" s="1">
        <v>154.60900000000001</v>
      </c>
      <c r="G106" s="7">
        <v>1</v>
      </c>
      <c r="H106" s="1">
        <v>60</v>
      </c>
      <c r="I106" s="1" t="s">
        <v>171</v>
      </c>
      <c r="J106" s="1"/>
      <c r="K106" s="1">
        <v>171.2</v>
      </c>
      <c r="L106" s="1">
        <f t="shared" si="20"/>
        <v>-8.7449999999999761</v>
      </c>
      <c r="M106" s="1"/>
      <c r="N106" s="1"/>
      <c r="O106" s="1"/>
      <c r="P106" s="1"/>
      <c r="Q106" s="1">
        <v>108.7853999999999</v>
      </c>
      <c r="R106" s="1"/>
      <c r="S106" s="1">
        <v>71.257600000000139</v>
      </c>
      <c r="T106" s="1">
        <f t="shared" si="15"/>
        <v>32.491</v>
      </c>
      <c r="U106" s="5">
        <f t="shared" si="19"/>
        <v>22.748999999999967</v>
      </c>
      <c r="V106" s="1">
        <f t="shared" si="16"/>
        <v>11</v>
      </c>
      <c r="W106" s="1">
        <f t="shared" si="17"/>
        <v>10.299836877904651</v>
      </c>
      <c r="X106" s="1">
        <v>33.539200000000001</v>
      </c>
      <c r="Y106" s="1">
        <v>38.166400000000003</v>
      </c>
      <c r="Z106" s="1">
        <v>33.573999999999998</v>
      </c>
      <c r="AA106" s="1">
        <v>28.9922</v>
      </c>
      <c r="AB106" s="1">
        <v>22.5944</v>
      </c>
      <c r="AC106" s="1">
        <v>18.268999999999998</v>
      </c>
      <c r="AD106" s="1">
        <v>24.500800000000002</v>
      </c>
      <c r="AE106" s="1">
        <v>25.675599999999999</v>
      </c>
      <c r="AF106" s="1">
        <v>26.9436</v>
      </c>
      <c r="AG106" s="1">
        <v>25.497399999999999</v>
      </c>
      <c r="AH106" s="1"/>
      <c r="AI106" s="1">
        <f t="shared" si="18"/>
        <v>22.748999999999967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147</v>
      </c>
      <c r="B107" s="1" t="s">
        <v>38</v>
      </c>
      <c r="C107" s="1">
        <v>101.304</v>
      </c>
      <c r="D107" s="1">
        <v>48.317999999999998</v>
      </c>
      <c r="E107" s="1">
        <v>41.868000000000002</v>
      </c>
      <c r="F107" s="1">
        <v>93.381</v>
      </c>
      <c r="G107" s="7">
        <v>1</v>
      </c>
      <c r="H107" s="1">
        <v>60</v>
      </c>
      <c r="I107" s="1" t="s">
        <v>171</v>
      </c>
      <c r="J107" s="1"/>
      <c r="K107" s="1">
        <v>40.799999999999997</v>
      </c>
      <c r="L107" s="1">
        <f t="shared" si="20"/>
        <v>1.0680000000000049</v>
      </c>
      <c r="M107" s="1"/>
      <c r="N107" s="1"/>
      <c r="O107" s="1"/>
      <c r="P107" s="1"/>
      <c r="Q107" s="1">
        <v>0</v>
      </c>
      <c r="R107" s="1"/>
      <c r="S107" s="1">
        <v>15.81600000000002</v>
      </c>
      <c r="T107" s="1">
        <f t="shared" si="15"/>
        <v>8.3735999999999997</v>
      </c>
      <c r="U107" s="5"/>
      <c r="V107" s="1">
        <f t="shared" si="16"/>
        <v>13.04062768701634</v>
      </c>
      <c r="W107" s="1">
        <f t="shared" si="17"/>
        <v>13.04062768701634</v>
      </c>
      <c r="X107" s="1">
        <v>6.7864000000000004</v>
      </c>
      <c r="Y107" s="1">
        <v>2.7437999999999998</v>
      </c>
      <c r="Z107" s="1">
        <v>5.9551999999999996</v>
      </c>
      <c r="AA107" s="1">
        <v>7.2919999999999998</v>
      </c>
      <c r="AB107" s="1">
        <v>3.9214000000000002</v>
      </c>
      <c r="AC107" s="1">
        <v>1.7742</v>
      </c>
      <c r="AD107" s="1">
        <v>3.3816000000000002</v>
      </c>
      <c r="AE107" s="1">
        <v>7.7671999999999999</v>
      </c>
      <c r="AF107" s="1">
        <v>5.9408000000000003</v>
      </c>
      <c r="AG107" s="1">
        <v>3.2612000000000001</v>
      </c>
      <c r="AH107" s="1"/>
      <c r="AI107" s="1">
        <f t="shared" si="18"/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52</v>
      </c>
      <c r="B108" s="1" t="s">
        <v>38</v>
      </c>
      <c r="C108" s="1">
        <v>1720.4590000000001</v>
      </c>
      <c r="D108" s="1">
        <v>112.291</v>
      </c>
      <c r="E108" s="1">
        <v>994.22299999999996</v>
      </c>
      <c r="F108" s="1">
        <v>400.63900000000001</v>
      </c>
      <c r="G108" s="7">
        <v>1</v>
      </c>
      <c r="H108" s="1">
        <v>60</v>
      </c>
      <c r="I108" s="1" t="s">
        <v>171</v>
      </c>
      <c r="J108" s="1"/>
      <c r="K108" s="1">
        <v>1057.5</v>
      </c>
      <c r="L108" s="1">
        <f t="shared" si="20"/>
        <v>-63.277000000000044</v>
      </c>
      <c r="M108" s="1"/>
      <c r="N108" s="1"/>
      <c r="O108" s="1"/>
      <c r="P108" s="1"/>
      <c r="Q108" s="1">
        <v>798.37379999999962</v>
      </c>
      <c r="R108" s="1">
        <v>100</v>
      </c>
      <c r="S108" s="1">
        <v>466.63941999999997</v>
      </c>
      <c r="T108" s="1">
        <f t="shared" si="15"/>
        <v>198.84459999999999</v>
      </c>
      <c r="U108" s="5">
        <f t="shared" si="19"/>
        <v>421.63838000000021</v>
      </c>
      <c r="V108" s="1">
        <f t="shared" si="16"/>
        <v>11</v>
      </c>
      <c r="W108" s="1">
        <f t="shared" si="17"/>
        <v>8.8795583083473204</v>
      </c>
      <c r="X108" s="1">
        <v>196.62360000000001</v>
      </c>
      <c r="Y108" s="1">
        <v>210.56399999999999</v>
      </c>
      <c r="Z108" s="1">
        <v>163.96199999999999</v>
      </c>
      <c r="AA108" s="1">
        <v>143.77440000000001</v>
      </c>
      <c r="AB108" s="1">
        <v>106.32680000000001</v>
      </c>
      <c r="AC108" s="1">
        <v>144.953</v>
      </c>
      <c r="AD108" s="1">
        <v>0</v>
      </c>
      <c r="AE108" s="1">
        <v>0</v>
      </c>
      <c r="AF108" s="1">
        <v>0</v>
      </c>
      <c r="AG108" s="1">
        <v>0</v>
      </c>
      <c r="AH108" s="1" t="s">
        <v>148</v>
      </c>
      <c r="AI108" s="1">
        <f t="shared" si="18"/>
        <v>421.63838000000021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149</v>
      </c>
      <c r="B109" s="1" t="s">
        <v>43</v>
      </c>
      <c r="C109" s="1">
        <v>159</v>
      </c>
      <c r="D109" s="1">
        <v>156</v>
      </c>
      <c r="E109" s="1">
        <v>145</v>
      </c>
      <c r="F109" s="1">
        <v>13</v>
      </c>
      <c r="G109" s="7">
        <v>0.3</v>
      </c>
      <c r="H109" s="1">
        <v>40</v>
      </c>
      <c r="I109" s="1" t="s">
        <v>171</v>
      </c>
      <c r="J109" s="1"/>
      <c r="K109" s="1">
        <v>208</v>
      </c>
      <c r="L109" s="1">
        <f t="shared" si="20"/>
        <v>-63</v>
      </c>
      <c r="M109" s="1"/>
      <c r="N109" s="1"/>
      <c r="O109" s="1"/>
      <c r="P109" s="1">
        <v>168.4</v>
      </c>
      <c r="Q109" s="1">
        <v>216</v>
      </c>
      <c r="R109" s="1"/>
      <c r="S109" s="1">
        <v>88.46</v>
      </c>
      <c r="T109" s="1">
        <f t="shared" si="15"/>
        <v>29</v>
      </c>
      <c r="U109" s="5"/>
      <c r="V109" s="1">
        <f t="shared" si="16"/>
        <v>16.753793103448274</v>
      </c>
      <c r="W109" s="1">
        <f t="shared" si="17"/>
        <v>16.753793103448274</v>
      </c>
      <c r="X109" s="1">
        <v>46.8</v>
      </c>
      <c r="Y109" s="1">
        <v>49.4</v>
      </c>
      <c r="Z109" s="1">
        <v>40.200000000000003</v>
      </c>
      <c r="AA109" s="1">
        <v>31.4</v>
      </c>
      <c r="AB109" s="1">
        <v>26.8</v>
      </c>
      <c r="AC109" s="1">
        <v>26.2</v>
      </c>
      <c r="AD109" s="1">
        <v>43.2</v>
      </c>
      <c r="AE109" s="1">
        <v>43</v>
      </c>
      <c r="AF109" s="1">
        <v>39.6</v>
      </c>
      <c r="AG109" s="1">
        <v>39.200000000000003</v>
      </c>
      <c r="AH109" s="1"/>
      <c r="AI109" s="1">
        <f t="shared" si="18"/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150</v>
      </c>
      <c r="B110" s="1" t="s">
        <v>43</v>
      </c>
      <c r="C110" s="1">
        <v>77</v>
      </c>
      <c r="D110" s="1">
        <v>127</v>
      </c>
      <c r="E110" s="1">
        <v>66</v>
      </c>
      <c r="F110" s="1">
        <v>11</v>
      </c>
      <c r="G110" s="7">
        <v>0.3</v>
      </c>
      <c r="H110" s="1">
        <v>40</v>
      </c>
      <c r="I110" s="1" t="s">
        <v>171</v>
      </c>
      <c r="J110" s="1"/>
      <c r="K110" s="1">
        <v>112</v>
      </c>
      <c r="L110" s="1">
        <f t="shared" si="20"/>
        <v>-46</v>
      </c>
      <c r="M110" s="1"/>
      <c r="N110" s="1"/>
      <c r="O110" s="1"/>
      <c r="P110" s="1">
        <v>178.8</v>
      </c>
      <c r="Q110" s="1">
        <v>212.8</v>
      </c>
      <c r="R110" s="1"/>
      <c r="S110" s="1">
        <v>89.400000000000034</v>
      </c>
      <c r="T110" s="1">
        <f t="shared" si="15"/>
        <v>13.2</v>
      </c>
      <c r="U110" s="5"/>
      <c r="V110" s="1">
        <f t="shared" si="16"/>
        <v>37.27272727272728</v>
      </c>
      <c r="W110" s="1">
        <f t="shared" si="17"/>
        <v>37.27272727272728</v>
      </c>
      <c r="X110" s="1">
        <v>39.200000000000003</v>
      </c>
      <c r="Y110" s="1">
        <v>42.6</v>
      </c>
      <c r="Z110" s="1">
        <v>33.4</v>
      </c>
      <c r="AA110" s="1">
        <v>20.399999999999999</v>
      </c>
      <c r="AB110" s="1">
        <v>10.4</v>
      </c>
      <c r="AC110" s="1">
        <v>17</v>
      </c>
      <c r="AD110" s="1">
        <v>35.200000000000003</v>
      </c>
      <c r="AE110" s="1">
        <v>25.2</v>
      </c>
      <c r="AF110" s="1">
        <v>23.4</v>
      </c>
      <c r="AG110" s="1">
        <v>17.399999999999999</v>
      </c>
      <c r="AH110" s="1"/>
      <c r="AI110" s="1">
        <f t="shared" si="18"/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151</v>
      </c>
      <c r="B111" s="1" t="s">
        <v>38</v>
      </c>
      <c r="C111" s="1">
        <v>42.747</v>
      </c>
      <c r="D111" s="1">
        <v>3.9119999999999999</v>
      </c>
      <c r="E111" s="1">
        <v>16.471</v>
      </c>
      <c r="F111" s="1">
        <v>27.385999999999999</v>
      </c>
      <c r="G111" s="7">
        <v>1</v>
      </c>
      <c r="H111" s="1">
        <v>50</v>
      </c>
      <c r="I111" s="1" t="s">
        <v>171</v>
      </c>
      <c r="J111" s="1"/>
      <c r="K111" s="1">
        <v>15.7</v>
      </c>
      <c r="L111" s="1">
        <f t="shared" si="20"/>
        <v>0.7710000000000008</v>
      </c>
      <c r="M111" s="1"/>
      <c r="N111" s="1"/>
      <c r="O111" s="1"/>
      <c r="P111" s="1"/>
      <c r="Q111" s="1">
        <v>0</v>
      </c>
      <c r="R111" s="1"/>
      <c r="S111" s="1">
        <v>6.8845000000000027</v>
      </c>
      <c r="T111" s="1">
        <f t="shared" si="15"/>
        <v>3.2942</v>
      </c>
      <c r="U111" s="5">
        <v>4</v>
      </c>
      <c r="V111" s="1">
        <f t="shared" si="16"/>
        <v>11.617539918644891</v>
      </c>
      <c r="W111" s="1">
        <f t="shared" si="17"/>
        <v>10.403284560743124</v>
      </c>
      <c r="X111" s="1">
        <v>3.3081999999999998</v>
      </c>
      <c r="Y111" s="1">
        <v>3.577</v>
      </c>
      <c r="Z111" s="1">
        <v>3.5870000000000002</v>
      </c>
      <c r="AA111" s="1">
        <v>3.0451999999999999</v>
      </c>
      <c r="AB111" s="1">
        <v>0.82739999999999991</v>
      </c>
      <c r="AC111" s="1">
        <v>0</v>
      </c>
      <c r="AD111" s="1">
        <v>1.0311999999999999</v>
      </c>
      <c r="AE111" s="1">
        <v>1.3064</v>
      </c>
      <c r="AF111" s="1">
        <v>4.3450000000000006</v>
      </c>
      <c r="AG111" s="1">
        <v>1.3715999999999999</v>
      </c>
      <c r="AH111" s="1"/>
      <c r="AI111" s="1">
        <f t="shared" si="18"/>
        <v>4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152</v>
      </c>
      <c r="B112" s="1" t="s">
        <v>43</v>
      </c>
      <c r="C112" s="1">
        <v>4</v>
      </c>
      <c r="D112" s="1">
        <v>252</v>
      </c>
      <c r="E112" s="1">
        <v>67</v>
      </c>
      <c r="F112" s="1">
        <v>122</v>
      </c>
      <c r="G112" s="7">
        <v>0.3</v>
      </c>
      <c r="H112" s="1">
        <v>40</v>
      </c>
      <c r="I112" s="1" t="s">
        <v>171</v>
      </c>
      <c r="J112" s="1"/>
      <c r="K112" s="1">
        <v>93</v>
      </c>
      <c r="L112" s="1">
        <f t="shared" si="20"/>
        <v>-26</v>
      </c>
      <c r="M112" s="1"/>
      <c r="N112" s="1"/>
      <c r="O112" s="1"/>
      <c r="P112" s="1">
        <v>144.6</v>
      </c>
      <c r="Q112" s="1">
        <v>0</v>
      </c>
      <c r="R112" s="1"/>
      <c r="S112" s="1">
        <v>0</v>
      </c>
      <c r="T112" s="1">
        <f t="shared" si="15"/>
        <v>13.4</v>
      </c>
      <c r="U112" s="5"/>
      <c r="V112" s="1">
        <f t="shared" si="16"/>
        <v>19.895522388059703</v>
      </c>
      <c r="W112" s="1">
        <f t="shared" si="17"/>
        <v>19.895522388059703</v>
      </c>
      <c r="X112" s="1">
        <v>-0.8</v>
      </c>
      <c r="Y112" s="1">
        <v>11.6</v>
      </c>
      <c r="Z112" s="1">
        <v>28.8</v>
      </c>
      <c r="AA112" s="1">
        <v>24</v>
      </c>
      <c r="AB112" s="1">
        <v>22.4</v>
      </c>
      <c r="AC112" s="1">
        <v>18.600000000000001</v>
      </c>
      <c r="AD112" s="1">
        <v>9.1999999999999993</v>
      </c>
      <c r="AE112" s="1">
        <v>1</v>
      </c>
      <c r="AF112" s="1">
        <v>16.600000000000001</v>
      </c>
      <c r="AG112" s="1">
        <v>4.8</v>
      </c>
      <c r="AH112" s="1"/>
      <c r="AI112" s="1">
        <f t="shared" si="18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153</v>
      </c>
      <c r="B113" s="1" t="s">
        <v>43</v>
      </c>
      <c r="C113" s="1"/>
      <c r="D113" s="1">
        <v>64</v>
      </c>
      <c r="E113" s="1">
        <v>23</v>
      </c>
      <c r="F113" s="1">
        <v>31</v>
      </c>
      <c r="G113" s="7">
        <v>0.12</v>
      </c>
      <c r="H113" s="1">
        <v>45</v>
      </c>
      <c r="I113" s="1" t="s">
        <v>171</v>
      </c>
      <c r="J113" s="1"/>
      <c r="K113" s="1">
        <v>33</v>
      </c>
      <c r="L113" s="1">
        <f t="shared" si="20"/>
        <v>-10</v>
      </c>
      <c r="M113" s="1"/>
      <c r="N113" s="1"/>
      <c r="O113" s="1"/>
      <c r="P113" s="1">
        <v>32.799999999999983</v>
      </c>
      <c r="Q113" s="1">
        <v>60.600000000000009</v>
      </c>
      <c r="R113" s="1"/>
      <c r="S113" s="1">
        <v>0</v>
      </c>
      <c r="T113" s="1">
        <f t="shared" si="15"/>
        <v>4.5999999999999996</v>
      </c>
      <c r="U113" s="5"/>
      <c r="V113" s="1">
        <f t="shared" si="16"/>
        <v>27.043478260869566</v>
      </c>
      <c r="W113" s="1">
        <f t="shared" si="17"/>
        <v>27.043478260869566</v>
      </c>
      <c r="X113" s="1">
        <v>8.1999999999999993</v>
      </c>
      <c r="Y113" s="1">
        <v>12.6</v>
      </c>
      <c r="Z113" s="1">
        <v>9.1999999999999993</v>
      </c>
      <c r="AA113" s="1">
        <v>8.6</v>
      </c>
      <c r="AB113" s="1">
        <v>8.8000000000000007</v>
      </c>
      <c r="AC113" s="1">
        <v>5.4</v>
      </c>
      <c r="AD113" s="1">
        <v>8.8000000000000007</v>
      </c>
      <c r="AE113" s="1">
        <v>8.8000000000000007</v>
      </c>
      <c r="AF113" s="1">
        <v>3.6</v>
      </c>
      <c r="AG113" s="1">
        <v>9.4</v>
      </c>
      <c r="AH113" s="1"/>
      <c r="AI113" s="1">
        <f t="shared" si="18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0" t="s">
        <v>155</v>
      </c>
      <c r="B114" s="10" t="s">
        <v>43</v>
      </c>
      <c r="C114" s="10"/>
      <c r="D114" s="10"/>
      <c r="E114" s="10"/>
      <c r="F114" s="10"/>
      <c r="G114" s="11">
        <v>0</v>
      </c>
      <c r="H114" s="10"/>
      <c r="I114" s="10" t="s">
        <v>171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f t="shared" ref="T114" si="21">E114/5</f>
        <v>0</v>
      </c>
      <c r="U114" s="12"/>
      <c r="V114" s="10" t="e">
        <f t="shared" ref="V114" si="22">(F114+P114+Q114+R114+S114+U114)/T114</f>
        <v>#DIV/0!</v>
      </c>
      <c r="W114" s="10" t="e">
        <f t="shared" ref="W114" si="23">(F114+P114+Q114+R114+S114)/T114</f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3" t="s">
        <v>157</v>
      </c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0" t="s">
        <v>156</v>
      </c>
      <c r="B115" s="13" t="s">
        <v>38</v>
      </c>
      <c r="C115" s="10"/>
      <c r="D115" s="10"/>
      <c r="E115" s="10"/>
      <c r="F115" s="10"/>
      <c r="G115" s="11">
        <v>0</v>
      </c>
      <c r="H115" s="10"/>
      <c r="I115" s="10" t="s">
        <v>171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f t="shared" ref="T115" si="24">E115/5</f>
        <v>0</v>
      </c>
      <c r="U115" s="12"/>
      <c r="V115" s="10" t="e">
        <f t="shared" ref="V115" si="25">(F115+P115+Q115+R115+S115+U115)/T115</f>
        <v>#DIV/0!</v>
      </c>
      <c r="W115" s="10" t="e">
        <f t="shared" ref="W115" si="26">(F115+P115+Q115+R115+S115)/T115</f>
        <v>#DIV/0!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3" t="s">
        <v>157</v>
      </c>
      <c r="AI115" s="10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0" t="s">
        <v>158</v>
      </c>
      <c r="B116" s="13" t="s">
        <v>38</v>
      </c>
      <c r="C116" s="10"/>
      <c r="D116" s="10"/>
      <c r="E116" s="10"/>
      <c r="F116" s="10"/>
      <c r="G116" s="11">
        <v>0</v>
      </c>
      <c r="H116" s="10"/>
      <c r="I116" s="10" t="s">
        <v>171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f t="shared" ref="T116" si="27">E116/5</f>
        <v>0</v>
      </c>
      <c r="U116" s="12"/>
      <c r="V116" s="10" t="e">
        <f t="shared" ref="V116" si="28">(F116+P116+Q116+R116+S116+U116)/T116</f>
        <v>#DIV/0!</v>
      </c>
      <c r="W116" s="10" t="e">
        <f t="shared" ref="W116" si="29">(F116+P116+Q116+R116+S116)/T116</f>
        <v>#DIV/0!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3" t="s">
        <v>157</v>
      </c>
      <c r="AI116" s="10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0" t="s">
        <v>159</v>
      </c>
      <c r="B117" s="13" t="s">
        <v>43</v>
      </c>
      <c r="C117" s="10"/>
      <c r="D117" s="10"/>
      <c r="E117" s="10"/>
      <c r="F117" s="10"/>
      <c r="G117" s="11">
        <v>0</v>
      </c>
      <c r="H117" s="10"/>
      <c r="I117" s="10" t="s">
        <v>171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f t="shared" ref="T117" si="30">E117/5</f>
        <v>0</v>
      </c>
      <c r="U117" s="12"/>
      <c r="V117" s="10" t="e">
        <f t="shared" ref="V117" si="31">(F117+P117+Q117+R117+S117+U117)/T117</f>
        <v>#DIV/0!</v>
      </c>
      <c r="W117" s="10" t="e">
        <f t="shared" ref="W117" si="32">(F117+P117+Q117+R117+S117)/T117</f>
        <v>#DIV/0!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3" t="s">
        <v>157</v>
      </c>
      <c r="AI117" s="10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0" t="s">
        <v>160</v>
      </c>
      <c r="B118" s="13" t="s">
        <v>43</v>
      </c>
      <c r="C118" s="10"/>
      <c r="D118" s="10"/>
      <c r="E118" s="10"/>
      <c r="F118" s="10"/>
      <c r="G118" s="11">
        <v>0</v>
      </c>
      <c r="H118" s="10"/>
      <c r="I118" s="10" t="s">
        <v>171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f t="shared" ref="T118" si="33">E118/5</f>
        <v>0</v>
      </c>
      <c r="U118" s="12"/>
      <c r="V118" s="10" t="e">
        <f t="shared" ref="V118" si="34">(F118+P118+Q118+R118+S118+U118)/T118</f>
        <v>#DIV/0!</v>
      </c>
      <c r="W118" s="10" t="e">
        <f t="shared" ref="W118" si="35">(F118+P118+Q118+R118+S118)/T118</f>
        <v>#DIV/0!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3" t="s">
        <v>157</v>
      </c>
      <c r="AI118" s="10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0" t="s">
        <v>161</v>
      </c>
      <c r="B119" s="13" t="s">
        <v>38</v>
      </c>
      <c r="C119" s="10"/>
      <c r="D119" s="10"/>
      <c r="E119" s="10"/>
      <c r="F119" s="10"/>
      <c r="G119" s="11">
        <v>0</v>
      </c>
      <c r="H119" s="10"/>
      <c r="I119" s="10" t="s">
        <v>171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f t="shared" ref="T119" si="36">E119/5</f>
        <v>0</v>
      </c>
      <c r="U119" s="12"/>
      <c r="V119" s="10" t="e">
        <f t="shared" ref="V119" si="37">(F119+P119+Q119+R119+S119+U119)/T119</f>
        <v>#DIV/0!</v>
      </c>
      <c r="W119" s="10" t="e">
        <f t="shared" ref="W119" si="38">(F119+P119+Q119+R119+S119)/T119</f>
        <v>#DIV/0!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3" t="s">
        <v>157</v>
      </c>
      <c r="AI119" s="10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0" t="s">
        <v>162</v>
      </c>
      <c r="B120" s="13" t="s">
        <v>43</v>
      </c>
      <c r="C120" s="10"/>
      <c r="D120" s="10"/>
      <c r="E120" s="10"/>
      <c r="F120" s="10"/>
      <c r="G120" s="11">
        <v>0</v>
      </c>
      <c r="H120" s="10"/>
      <c r="I120" s="10" t="s">
        <v>171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f t="shared" ref="T120" si="39">E120/5</f>
        <v>0</v>
      </c>
      <c r="U120" s="12"/>
      <c r="V120" s="10" t="e">
        <f t="shared" ref="V120" si="40">(F120+P120+Q120+R120+S120+U120)/T120</f>
        <v>#DIV/0!</v>
      </c>
      <c r="W120" s="10" t="e">
        <f t="shared" ref="W120" si="41">(F120+P120+Q120+R120+S120)/T120</f>
        <v>#DIV/0!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3" t="s">
        <v>157</v>
      </c>
      <c r="AI120" s="10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0" t="s">
        <v>163</v>
      </c>
      <c r="B121" s="13" t="s">
        <v>38</v>
      </c>
      <c r="C121" s="10"/>
      <c r="D121" s="10"/>
      <c r="E121" s="10"/>
      <c r="F121" s="10"/>
      <c r="G121" s="11">
        <v>0</v>
      </c>
      <c r="H121" s="10"/>
      <c r="I121" s="10" t="s">
        <v>171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f t="shared" ref="T121" si="42">E121/5</f>
        <v>0</v>
      </c>
      <c r="U121" s="12"/>
      <c r="V121" s="10" t="e">
        <f t="shared" ref="V121" si="43">(F121+P121+Q121+R121+S121+U121)/T121</f>
        <v>#DIV/0!</v>
      </c>
      <c r="W121" s="10" t="e">
        <f t="shared" ref="W121" si="44">(F121+P121+Q121+R121+S121)/T121</f>
        <v>#DIV/0!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3" t="s">
        <v>157</v>
      </c>
      <c r="AI121" s="10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0" t="s">
        <v>164</v>
      </c>
      <c r="B122" s="13" t="s">
        <v>43</v>
      </c>
      <c r="C122" s="10"/>
      <c r="D122" s="10"/>
      <c r="E122" s="10"/>
      <c r="F122" s="10"/>
      <c r="G122" s="11">
        <v>0</v>
      </c>
      <c r="H122" s="10"/>
      <c r="I122" s="10" t="s">
        <v>171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f t="shared" ref="T122" si="45">E122/5</f>
        <v>0</v>
      </c>
      <c r="U122" s="12"/>
      <c r="V122" s="10" t="e">
        <f t="shared" ref="V122" si="46">(F122+P122+Q122+R122+S122+U122)/T122</f>
        <v>#DIV/0!</v>
      </c>
      <c r="W122" s="10" t="e">
        <f t="shared" ref="W122" si="47">(F122+P122+Q122+R122+S122)/T122</f>
        <v>#DIV/0!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3" t="s">
        <v>157</v>
      </c>
      <c r="AI122" s="10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0" t="s">
        <v>165</v>
      </c>
      <c r="B123" s="13" t="s">
        <v>38</v>
      </c>
      <c r="C123" s="10"/>
      <c r="D123" s="10"/>
      <c r="E123" s="10"/>
      <c r="F123" s="10"/>
      <c r="G123" s="11">
        <v>0</v>
      </c>
      <c r="H123" s="10"/>
      <c r="I123" s="10" t="s">
        <v>171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f t="shared" ref="T123" si="48">E123/5</f>
        <v>0</v>
      </c>
      <c r="U123" s="12"/>
      <c r="V123" s="10" t="e">
        <f t="shared" ref="V123" si="49">(F123+P123+Q123+R123+S123+U123)/T123</f>
        <v>#DIV/0!</v>
      </c>
      <c r="W123" s="10" t="e">
        <f t="shared" ref="W123" si="50">(F123+P123+Q123+R123+S123)/T123</f>
        <v>#DIV/0!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3" t="s">
        <v>157</v>
      </c>
      <c r="AI123" s="1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0" t="s">
        <v>166</v>
      </c>
      <c r="B124" s="13" t="s">
        <v>43</v>
      </c>
      <c r="C124" s="10"/>
      <c r="D124" s="10"/>
      <c r="E124" s="10"/>
      <c r="F124" s="10"/>
      <c r="G124" s="11">
        <v>0</v>
      </c>
      <c r="H124" s="10"/>
      <c r="I124" s="10" t="s">
        <v>171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f t="shared" ref="T124" si="51">E124/5</f>
        <v>0</v>
      </c>
      <c r="U124" s="12"/>
      <c r="V124" s="10" t="e">
        <f t="shared" ref="V124" si="52">(F124+P124+Q124+R124+S124+U124)/T124</f>
        <v>#DIV/0!</v>
      </c>
      <c r="W124" s="10" t="e">
        <f t="shared" ref="W124" si="53">(F124+P124+Q124+R124+S124)/T124</f>
        <v>#DIV/0!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3" t="s">
        <v>157</v>
      </c>
      <c r="AI124" s="10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0" t="s">
        <v>167</v>
      </c>
      <c r="B125" s="13" t="s">
        <v>43</v>
      </c>
      <c r="C125" s="10"/>
      <c r="D125" s="10"/>
      <c r="E125" s="10"/>
      <c r="F125" s="10"/>
      <c r="G125" s="11">
        <v>0</v>
      </c>
      <c r="H125" s="10"/>
      <c r="I125" s="10" t="s">
        <v>171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f t="shared" ref="T125" si="54">E125/5</f>
        <v>0</v>
      </c>
      <c r="U125" s="12"/>
      <c r="V125" s="10" t="e">
        <f t="shared" ref="V125" si="55">(F125+P125+Q125+R125+S125+U125)/T125</f>
        <v>#DIV/0!</v>
      </c>
      <c r="W125" s="10" t="e">
        <f t="shared" ref="W125" si="56">(F125+P125+Q125+R125+S125)/T125</f>
        <v>#DIV/0!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3" t="s">
        <v>157</v>
      </c>
      <c r="AI125" s="10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3" t="s">
        <v>168</v>
      </c>
      <c r="B126" s="13" t="s">
        <v>43</v>
      </c>
      <c r="C126" s="10"/>
      <c r="D126" s="10"/>
      <c r="E126" s="10"/>
      <c r="F126" s="10"/>
      <c r="G126" s="11">
        <v>0</v>
      </c>
      <c r="H126" s="10"/>
      <c r="I126" s="10" t="s">
        <v>171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f t="shared" ref="T126" si="57">E126/5</f>
        <v>0</v>
      </c>
      <c r="U126" s="12"/>
      <c r="V126" s="10" t="e">
        <f t="shared" ref="V126" si="58">(F126+P126+Q126+R126+S126+U126)/T126</f>
        <v>#DIV/0!</v>
      </c>
      <c r="W126" s="10" t="e">
        <f t="shared" ref="W126" si="59">(F126+P126+Q126+R126+S126)/T126</f>
        <v>#DIV/0!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3" t="s">
        <v>157</v>
      </c>
      <c r="AI126" s="10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0" t="s">
        <v>169</v>
      </c>
      <c r="B127" s="13" t="s">
        <v>38</v>
      </c>
      <c r="C127" s="10"/>
      <c r="D127" s="10"/>
      <c r="E127" s="10"/>
      <c r="F127" s="10"/>
      <c r="G127" s="11">
        <v>0</v>
      </c>
      <c r="H127" s="10"/>
      <c r="I127" s="10" t="s">
        <v>171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f t="shared" ref="T127" si="60">E127/5</f>
        <v>0</v>
      </c>
      <c r="U127" s="12"/>
      <c r="V127" s="10" t="e">
        <f t="shared" ref="V127" si="61">(F127+P127+Q127+R127+S127+U127)/T127</f>
        <v>#DIV/0!</v>
      </c>
      <c r="W127" s="10" t="e">
        <f t="shared" ref="W127" si="62">(F127+P127+Q127+R127+S127)/T127</f>
        <v>#DIV/0!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3" t="s">
        <v>157</v>
      </c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0" t="s">
        <v>170</v>
      </c>
      <c r="B128" s="13" t="s">
        <v>43</v>
      </c>
      <c r="C128" s="10"/>
      <c r="D128" s="10"/>
      <c r="E128" s="10"/>
      <c r="F128" s="10"/>
      <c r="G128" s="11">
        <v>0</v>
      </c>
      <c r="H128" s="10"/>
      <c r="I128" s="10" t="s">
        <v>171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f t="shared" ref="T128" si="63">E128/5</f>
        <v>0</v>
      </c>
      <c r="U128" s="12"/>
      <c r="V128" s="10" t="e">
        <f>(F128+P128+Q128+R128+S128+U128)/T128</f>
        <v>#DIV/0!</v>
      </c>
      <c r="W128" s="10" t="e">
        <f t="shared" ref="W128:W131" si="64">(F128+P128+Q128+R128+S128)/T128</f>
        <v>#DIV/0!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3" t="s">
        <v>157</v>
      </c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6" t="s">
        <v>173</v>
      </c>
      <c r="B129" s="16" t="s">
        <v>43</v>
      </c>
      <c r="C129" s="17"/>
      <c r="D129" s="17"/>
      <c r="E129" s="17"/>
      <c r="F129" s="17"/>
      <c r="G129" s="18">
        <v>0.32500000000000001</v>
      </c>
      <c r="H129" s="17"/>
      <c r="I129" s="16" t="s">
        <v>171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>
        <f t="shared" ref="T129:T131" si="65">G129/5</f>
        <v>6.5000000000000002E-2</v>
      </c>
      <c r="U129" s="19">
        <v>200</v>
      </c>
      <c r="V129" s="17">
        <f t="shared" ref="V129:V131" si="66">(F129+P129+Q129+R129+S129+U129)/T129</f>
        <v>3076.9230769230767</v>
      </c>
      <c r="W129" s="17">
        <f t="shared" si="64"/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6" t="s">
        <v>140</v>
      </c>
      <c r="AI129" s="17">
        <f>U129*G129</f>
        <v>65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6" t="s">
        <v>174</v>
      </c>
      <c r="B130" s="16" t="s">
        <v>43</v>
      </c>
      <c r="C130" s="17"/>
      <c r="D130" s="17"/>
      <c r="E130" s="17"/>
      <c r="F130" s="17"/>
      <c r="G130" s="18">
        <v>0.25</v>
      </c>
      <c r="H130" s="17"/>
      <c r="I130" s="16" t="s">
        <v>171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>
        <f t="shared" si="65"/>
        <v>0.05</v>
      </c>
      <c r="U130" s="19">
        <v>200</v>
      </c>
      <c r="V130" s="17">
        <f t="shared" si="66"/>
        <v>4000</v>
      </c>
      <c r="W130" s="17">
        <f t="shared" si="64"/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6" t="s">
        <v>140</v>
      </c>
      <c r="AI130" s="17">
        <f t="shared" ref="AI130:AI131" si="67">U130*G130</f>
        <v>50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6" t="s">
        <v>175</v>
      </c>
      <c r="B131" s="16" t="s">
        <v>43</v>
      </c>
      <c r="C131" s="17"/>
      <c r="D131" s="17"/>
      <c r="E131" s="17"/>
      <c r="F131" s="17"/>
      <c r="G131" s="18">
        <v>0.25</v>
      </c>
      <c r="H131" s="17"/>
      <c r="I131" s="16" t="s">
        <v>171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>
        <f t="shared" si="65"/>
        <v>0.05</v>
      </c>
      <c r="U131" s="19">
        <v>200</v>
      </c>
      <c r="V131" s="17">
        <f t="shared" si="66"/>
        <v>4000</v>
      </c>
      <c r="W131" s="17">
        <f>(F131+P131+Q131+R131+S131)/T131</f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6" t="s">
        <v>140</v>
      </c>
      <c r="AI131" s="17">
        <f t="shared" si="67"/>
        <v>50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</sheetData>
  <autoFilter ref="A3:AI128" xr:uid="{66D108A7-AFAF-4B29-A01B-9F9ABDFCDE8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2026-07-21T10:58:19Z</dcterms:created>
  <dcterms:modified xsi:type="dcterms:W3CDTF">2026-07-21T13:23:20Z</dcterms:modified>
</cp:coreProperties>
</file>