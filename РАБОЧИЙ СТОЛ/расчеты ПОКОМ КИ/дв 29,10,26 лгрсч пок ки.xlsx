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"/>
    </mc:Choice>
  </mc:AlternateContent>
  <xr:revisionPtr revIDLastSave="0" documentId="13_ncr:1_{CA3E6D9D-33A6-4B48-AEED-F2DC29B387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Sheet!$A$3:$AE$133</definedName>
  </definedNames>
  <calcPr calcId="191029"/>
</workbook>
</file>

<file path=xl/calcChain.xml><?xml version="1.0" encoding="utf-8"?>
<calcChain xmlns="http://schemas.openxmlformats.org/spreadsheetml/2006/main">
  <c r="AE121" i="1" l="1"/>
  <c r="AE93" i="1"/>
  <c r="AE72" i="1"/>
  <c r="AE61" i="1"/>
  <c r="AE56" i="1"/>
  <c r="AE51" i="1"/>
  <c r="AE30" i="1"/>
  <c r="P133" i="1"/>
  <c r="S133" i="1" s="1"/>
  <c r="L133" i="1"/>
  <c r="P132" i="1"/>
  <c r="S132" i="1" s="1"/>
  <c r="L132" i="1"/>
  <c r="P131" i="1"/>
  <c r="S131" i="1" s="1"/>
  <c r="L131" i="1"/>
  <c r="P130" i="1"/>
  <c r="S130" i="1" s="1"/>
  <c r="L130" i="1"/>
  <c r="P129" i="1"/>
  <c r="S129" i="1" s="1"/>
  <c r="L129" i="1"/>
  <c r="P128" i="1"/>
  <c r="S128" i="1" s="1"/>
  <c r="L128" i="1"/>
  <c r="P127" i="1"/>
  <c r="L127" i="1"/>
  <c r="P126" i="1"/>
  <c r="S126" i="1" s="1"/>
  <c r="L126" i="1"/>
  <c r="P125" i="1"/>
  <c r="R125" i="1" s="1"/>
  <c r="L125" i="1"/>
  <c r="P124" i="1"/>
  <c r="R124" i="1" s="1"/>
  <c r="L124" i="1"/>
  <c r="P123" i="1"/>
  <c r="S123" i="1" s="1"/>
  <c r="L123" i="1"/>
  <c r="AE122" i="1"/>
  <c r="P122" i="1"/>
  <c r="S122" i="1" s="1"/>
  <c r="L122" i="1"/>
  <c r="P121" i="1"/>
  <c r="S121" i="1" s="1"/>
  <c r="L121" i="1"/>
  <c r="P120" i="1"/>
  <c r="S120" i="1" s="1"/>
  <c r="L120" i="1"/>
  <c r="P119" i="1"/>
  <c r="S119" i="1" s="1"/>
  <c r="L119" i="1"/>
  <c r="P118" i="1"/>
  <c r="L118" i="1"/>
  <c r="P117" i="1"/>
  <c r="S117" i="1" s="1"/>
  <c r="L117" i="1"/>
  <c r="P116" i="1"/>
  <c r="S116" i="1" s="1"/>
  <c r="L116" i="1"/>
  <c r="P115" i="1"/>
  <c r="Q115" i="1" s="1"/>
  <c r="AE115" i="1" s="1"/>
  <c r="L115" i="1"/>
  <c r="P114" i="1"/>
  <c r="S114" i="1" s="1"/>
  <c r="L114" i="1"/>
  <c r="P113" i="1"/>
  <c r="S113" i="1" s="1"/>
  <c r="L113" i="1"/>
  <c r="P112" i="1"/>
  <c r="S112" i="1" s="1"/>
  <c r="L112" i="1"/>
  <c r="P111" i="1"/>
  <c r="L111" i="1"/>
  <c r="P110" i="1"/>
  <c r="S110" i="1" s="1"/>
  <c r="L110" i="1"/>
  <c r="P109" i="1"/>
  <c r="AE109" i="1" s="1"/>
  <c r="L109" i="1"/>
  <c r="P108" i="1"/>
  <c r="S108" i="1" s="1"/>
  <c r="L108" i="1"/>
  <c r="P107" i="1"/>
  <c r="S107" i="1" s="1"/>
  <c r="L107" i="1"/>
  <c r="P106" i="1"/>
  <c r="S106" i="1" s="1"/>
  <c r="L106" i="1"/>
  <c r="P105" i="1"/>
  <c r="L105" i="1"/>
  <c r="P104" i="1"/>
  <c r="L104" i="1"/>
  <c r="P103" i="1"/>
  <c r="S103" i="1" s="1"/>
  <c r="L103" i="1"/>
  <c r="P102" i="1"/>
  <c r="S102" i="1" s="1"/>
  <c r="L102" i="1"/>
  <c r="P101" i="1"/>
  <c r="S101" i="1" s="1"/>
  <c r="L101" i="1"/>
  <c r="P100" i="1"/>
  <c r="S100" i="1" s="1"/>
  <c r="L100" i="1"/>
  <c r="P99" i="1"/>
  <c r="S99" i="1" s="1"/>
  <c r="L99" i="1"/>
  <c r="E98" i="1"/>
  <c r="L98" i="1" s="1"/>
  <c r="AE97" i="1"/>
  <c r="P97" i="1"/>
  <c r="S97" i="1" s="1"/>
  <c r="L97" i="1"/>
  <c r="P96" i="1"/>
  <c r="S96" i="1" s="1"/>
  <c r="L96" i="1"/>
  <c r="P95" i="1"/>
  <c r="S95" i="1" s="1"/>
  <c r="L95" i="1"/>
  <c r="P94" i="1"/>
  <c r="R94" i="1" s="1"/>
  <c r="L94" i="1"/>
  <c r="P93" i="1"/>
  <c r="L93" i="1"/>
  <c r="P92" i="1"/>
  <c r="Q92" i="1" s="1"/>
  <c r="AE92" i="1" s="1"/>
  <c r="L92" i="1"/>
  <c r="P91" i="1"/>
  <c r="S91" i="1" s="1"/>
  <c r="L91" i="1"/>
  <c r="P90" i="1"/>
  <c r="Q90" i="1" s="1"/>
  <c r="AE90" i="1" s="1"/>
  <c r="L90" i="1"/>
  <c r="P89" i="1"/>
  <c r="S89" i="1" s="1"/>
  <c r="L89" i="1"/>
  <c r="P88" i="1"/>
  <c r="L88" i="1"/>
  <c r="P87" i="1"/>
  <c r="S87" i="1" s="1"/>
  <c r="L87" i="1"/>
  <c r="P86" i="1"/>
  <c r="S86" i="1" s="1"/>
  <c r="L86" i="1"/>
  <c r="P85" i="1"/>
  <c r="Q85" i="1" s="1"/>
  <c r="AE85" i="1" s="1"/>
  <c r="L85" i="1"/>
  <c r="P84" i="1"/>
  <c r="S84" i="1" s="1"/>
  <c r="L84" i="1"/>
  <c r="P83" i="1"/>
  <c r="S83" i="1" s="1"/>
  <c r="L83" i="1"/>
  <c r="P82" i="1"/>
  <c r="S82" i="1" s="1"/>
  <c r="L82" i="1"/>
  <c r="P81" i="1"/>
  <c r="L81" i="1"/>
  <c r="P80" i="1"/>
  <c r="S80" i="1" s="1"/>
  <c r="L80" i="1"/>
  <c r="P79" i="1"/>
  <c r="S79" i="1" s="1"/>
  <c r="L79" i="1"/>
  <c r="P78" i="1"/>
  <c r="Q78" i="1" s="1"/>
  <c r="L78" i="1"/>
  <c r="P77" i="1"/>
  <c r="S77" i="1" s="1"/>
  <c r="L77" i="1"/>
  <c r="P76" i="1"/>
  <c r="S76" i="1" s="1"/>
  <c r="L76" i="1"/>
  <c r="P75" i="1"/>
  <c r="S75" i="1" s="1"/>
  <c r="L75" i="1"/>
  <c r="P74" i="1"/>
  <c r="S74" i="1" s="1"/>
  <c r="L74" i="1"/>
  <c r="P73" i="1"/>
  <c r="AE73" i="1" s="1"/>
  <c r="L73" i="1"/>
  <c r="P72" i="1"/>
  <c r="S72" i="1" s="1"/>
  <c r="L72" i="1"/>
  <c r="P71" i="1"/>
  <c r="S71" i="1" s="1"/>
  <c r="L71" i="1"/>
  <c r="P70" i="1"/>
  <c r="S70" i="1" s="1"/>
  <c r="L70" i="1"/>
  <c r="P69" i="1"/>
  <c r="S69" i="1" s="1"/>
  <c r="L69" i="1"/>
  <c r="P68" i="1"/>
  <c r="S68" i="1" s="1"/>
  <c r="L68" i="1"/>
  <c r="P67" i="1"/>
  <c r="L67" i="1"/>
  <c r="AE66" i="1"/>
  <c r="P66" i="1"/>
  <c r="S66" i="1" s="1"/>
  <c r="L66" i="1"/>
  <c r="P65" i="1"/>
  <c r="S65" i="1" s="1"/>
  <c r="L65" i="1"/>
  <c r="P64" i="1"/>
  <c r="S64" i="1" s="1"/>
  <c r="L64" i="1"/>
  <c r="P63" i="1"/>
  <c r="AE63" i="1" s="1"/>
  <c r="L63" i="1"/>
  <c r="P62" i="1"/>
  <c r="S62" i="1" s="1"/>
  <c r="L62" i="1"/>
  <c r="P61" i="1"/>
  <c r="S61" i="1" s="1"/>
  <c r="L61" i="1"/>
  <c r="P60" i="1"/>
  <c r="S60" i="1" s="1"/>
  <c r="L60" i="1"/>
  <c r="P59" i="1"/>
  <c r="Q59" i="1" s="1"/>
  <c r="AE59" i="1" s="1"/>
  <c r="L59" i="1"/>
  <c r="P58" i="1"/>
  <c r="L58" i="1"/>
  <c r="F57" i="1"/>
  <c r="F5" i="1" s="1"/>
  <c r="E57" i="1"/>
  <c r="P56" i="1"/>
  <c r="L56" i="1"/>
  <c r="P55" i="1"/>
  <c r="S55" i="1" s="1"/>
  <c r="L55" i="1"/>
  <c r="P54" i="1"/>
  <c r="L54" i="1"/>
  <c r="P53" i="1"/>
  <c r="S53" i="1" s="1"/>
  <c r="L53" i="1"/>
  <c r="P52" i="1"/>
  <c r="Q52" i="1" s="1"/>
  <c r="AE52" i="1" s="1"/>
  <c r="L52" i="1"/>
  <c r="P51" i="1"/>
  <c r="S51" i="1" s="1"/>
  <c r="L51" i="1"/>
  <c r="P50" i="1"/>
  <c r="Q50" i="1" s="1"/>
  <c r="AE50" i="1" s="1"/>
  <c r="L50" i="1"/>
  <c r="P49" i="1"/>
  <c r="S49" i="1" s="1"/>
  <c r="L49" i="1"/>
  <c r="P48" i="1"/>
  <c r="L48" i="1"/>
  <c r="P47" i="1"/>
  <c r="S47" i="1" s="1"/>
  <c r="L47" i="1"/>
  <c r="P46" i="1"/>
  <c r="L46" i="1"/>
  <c r="P45" i="1"/>
  <c r="Q45" i="1" s="1"/>
  <c r="AE45" i="1" s="1"/>
  <c r="L45" i="1"/>
  <c r="P44" i="1"/>
  <c r="S44" i="1" s="1"/>
  <c r="L44" i="1"/>
  <c r="P43" i="1"/>
  <c r="S43" i="1" s="1"/>
  <c r="L43" i="1"/>
  <c r="P42" i="1"/>
  <c r="Q42" i="1" s="1"/>
  <c r="AE42" i="1" s="1"/>
  <c r="L42" i="1"/>
  <c r="P41" i="1"/>
  <c r="S41" i="1" s="1"/>
  <c r="L41" i="1"/>
  <c r="P40" i="1"/>
  <c r="L40" i="1"/>
  <c r="P39" i="1"/>
  <c r="S39" i="1" s="1"/>
  <c r="L39" i="1"/>
  <c r="P38" i="1"/>
  <c r="Q38" i="1" s="1"/>
  <c r="AE38" i="1" s="1"/>
  <c r="L38" i="1"/>
  <c r="P37" i="1"/>
  <c r="L37" i="1"/>
  <c r="P36" i="1"/>
  <c r="S36" i="1" s="1"/>
  <c r="L36" i="1"/>
  <c r="P35" i="1"/>
  <c r="S35" i="1" s="1"/>
  <c r="L35" i="1"/>
  <c r="P34" i="1"/>
  <c r="S34" i="1" s="1"/>
  <c r="L34" i="1"/>
  <c r="P33" i="1"/>
  <c r="S33" i="1" s="1"/>
  <c r="L33" i="1"/>
  <c r="P32" i="1"/>
  <c r="S32" i="1" s="1"/>
  <c r="L32" i="1"/>
  <c r="P31" i="1"/>
  <c r="S31" i="1" s="1"/>
  <c r="L31" i="1"/>
  <c r="P30" i="1"/>
  <c r="S30" i="1" s="1"/>
  <c r="L30" i="1"/>
  <c r="P29" i="1"/>
  <c r="Q29" i="1" s="1"/>
  <c r="AE29" i="1" s="1"/>
  <c r="L29" i="1"/>
  <c r="P28" i="1"/>
  <c r="S28" i="1" s="1"/>
  <c r="L28" i="1"/>
  <c r="P27" i="1"/>
  <c r="S27" i="1" s="1"/>
  <c r="L27" i="1"/>
  <c r="P26" i="1"/>
  <c r="S26" i="1" s="1"/>
  <c r="L26" i="1"/>
  <c r="P25" i="1"/>
  <c r="L25" i="1"/>
  <c r="P24" i="1"/>
  <c r="S24" i="1" s="1"/>
  <c r="L24" i="1"/>
  <c r="P23" i="1"/>
  <c r="S23" i="1" s="1"/>
  <c r="L23" i="1"/>
  <c r="P22" i="1"/>
  <c r="S22" i="1" s="1"/>
  <c r="L22" i="1"/>
  <c r="P21" i="1"/>
  <c r="S21" i="1" s="1"/>
  <c r="L21" i="1"/>
  <c r="P20" i="1"/>
  <c r="S20" i="1" s="1"/>
  <c r="L20" i="1"/>
  <c r="P19" i="1"/>
  <c r="S19" i="1" s="1"/>
  <c r="L19" i="1"/>
  <c r="P18" i="1"/>
  <c r="S18" i="1" s="1"/>
  <c r="L18" i="1"/>
  <c r="E17" i="1"/>
  <c r="L17" i="1" s="1"/>
  <c r="P16" i="1"/>
  <c r="S16" i="1" s="1"/>
  <c r="L16" i="1"/>
  <c r="P15" i="1"/>
  <c r="L15" i="1"/>
  <c r="P14" i="1"/>
  <c r="S14" i="1" s="1"/>
  <c r="L14" i="1"/>
  <c r="P13" i="1"/>
  <c r="S13" i="1" s="1"/>
  <c r="L13" i="1"/>
  <c r="P12" i="1"/>
  <c r="S12" i="1" s="1"/>
  <c r="L12" i="1"/>
  <c r="P11" i="1"/>
  <c r="S11" i="1" s="1"/>
  <c r="L11" i="1"/>
  <c r="AE10" i="1"/>
  <c r="P10" i="1"/>
  <c r="S10" i="1" s="1"/>
  <c r="L10" i="1"/>
  <c r="P9" i="1"/>
  <c r="R9" i="1" s="1"/>
  <c r="L9" i="1"/>
  <c r="P8" i="1"/>
  <c r="S8" i="1" s="1"/>
  <c r="L8" i="1"/>
  <c r="P7" i="1"/>
  <c r="Q7" i="1" s="1"/>
  <c r="AE7" i="1" s="1"/>
  <c r="L7" i="1"/>
  <c r="P6" i="1"/>
  <c r="S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S59" i="1" l="1"/>
  <c r="Q68" i="1"/>
  <c r="AE68" i="1" s="1"/>
  <c r="Q69" i="1"/>
  <c r="AE69" i="1" s="1"/>
  <c r="Q128" i="1"/>
  <c r="R128" i="1" s="1"/>
  <c r="Q111" i="1"/>
  <c r="AE111" i="1" s="1"/>
  <c r="R121" i="1"/>
  <c r="S42" i="1"/>
  <c r="Q31" i="1"/>
  <c r="AE31" i="1" s="1"/>
  <c r="Q41" i="1"/>
  <c r="AE41" i="1" s="1"/>
  <c r="S50" i="1"/>
  <c r="Q75" i="1"/>
  <c r="AE75" i="1" s="1"/>
  <c r="Q77" i="1"/>
  <c r="AE77" i="1" s="1"/>
  <c r="Q82" i="1"/>
  <c r="R82" i="1" s="1"/>
  <c r="Q86" i="1"/>
  <c r="AE86" i="1" s="1"/>
  <c r="Q96" i="1"/>
  <c r="AE96" i="1" s="1"/>
  <c r="Q101" i="1"/>
  <c r="AE101" i="1" s="1"/>
  <c r="Q112" i="1"/>
  <c r="AE112" i="1" s="1"/>
  <c r="Q16" i="1"/>
  <c r="R16" i="1" s="1"/>
  <c r="AE128" i="1"/>
  <c r="AE78" i="1"/>
  <c r="R78" i="1"/>
  <c r="Q62" i="1"/>
  <c r="AE62" i="1" s="1"/>
  <c r="AE83" i="1"/>
  <c r="AE43" i="1"/>
  <c r="AE84" i="1"/>
  <c r="AE20" i="1"/>
  <c r="AE44" i="1"/>
  <c r="Q64" i="1"/>
  <c r="AE64" i="1" s="1"/>
  <c r="AE113" i="1"/>
  <c r="Q21" i="1"/>
  <c r="Q65" i="1"/>
  <c r="AE65" i="1" s="1"/>
  <c r="AE114" i="1"/>
  <c r="R54" i="1"/>
  <c r="AE22" i="1"/>
  <c r="AE46" i="1"/>
  <c r="Q88" i="1"/>
  <c r="AE88" i="1" s="1"/>
  <c r="R96" i="1"/>
  <c r="S124" i="1"/>
  <c r="Q23" i="1"/>
  <c r="AE23" i="1" s="1"/>
  <c r="Q47" i="1"/>
  <c r="AE47" i="1" s="1"/>
  <c r="Q67" i="1"/>
  <c r="AE67" i="1" s="1"/>
  <c r="Q89" i="1"/>
  <c r="AE89" i="1" s="1"/>
  <c r="Q117" i="1"/>
  <c r="AE117" i="1" s="1"/>
  <c r="Q25" i="1"/>
  <c r="AE25" i="1" s="1"/>
  <c r="Q48" i="1"/>
  <c r="AE48" i="1" s="1"/>
  <c r="Q118" i="1"/>
  <c r="AE118" i="1" s="1"/>
  <c r="S104" i="1"/>
  <c r="Q26" i="1"/>
  <c r="AE26" i="1" s="1"/>
  <c r="Q49" i="1"/>
  <c r="AE49" i="1" s="1"/>
  <c r="AE91" i="1"/>
  <c r="Q119" i="1"/>
  <c r="AE119" i="1" s="1"/>
  <c r="R90" i="1"/>
  <c r="Q27" i="1"/>
  <c r="AE27" i="1" s="1"/>
  <c r="AE71" i="1"/>
  <c r="Q120" i="1"/>
  <c r="R63" i="1"/>
  <c r="Q28" i="1"/>
  <c r="AE28" i="1" s="1"/>
  <c r="R56" i="1"/>
  <c r="S63" i="1"/>
  <c r="Q6" i="1"/>
  <c r="AE6" i="1" s="1"/>
  <c r="Q95" i="1"/>
  <c r="AE95" i="1" s="1"/>
  <c r="Q53" i="1"/>
  <c r="AE53" i="1" s="1"/>
  <c r="Q74" i="1"/>
  <c r="AE74" i="1" s="1"/>
  <c r="AE123" i="1"/>
  <c r="R29" i="1"/>
  <c r="Q8" i="1"/>
  <c r="AE8" i="1" s="1"/>
  <c r="AE54" i="1"/>
  <c r="AE126" i="1"/>
  <c r="Q33" i="1"/>
  <c r="AE33" i="1" s="1"/>
  <c r="AE55" i="1"/>
  <c r="Q76" i="1"/>
  <c r="AE76" i="1" s="1"/>
  <c r="Q127" i="1"/>
  <c r="AE127" i="1" s="1"/>
  <c r="R92" i="1"/>
  <c r="Q11" i="1"/>
  <c r="AE11" i="1" s="1"/>
  <c r="Q36" i="1"/>
  <c r="AE36" i="1" s="1"/>
  <c r="Q102" i="1"/>
  <c r="AE102" i="1" s="1"/>
  <c r="S9" i="1"/>
  <c r="S78" i="1"/>
  <c r="R85" i="1"/>
  <c r="R100" i="1"/>
  <c r="R115" i="1"/>
  <c r="Q12" i="1"/>
  <c r="AE12" i="1" s="1"/>
  <c r="Q37" i="1"/>
  <c r="AE37" i="1" s="1"/>
  <c r="AE103" i="1"/>
  <c r="Q129" i="1"/>
  <c r="AE129" i="1" s="1"/>
  <c r="S115" i="1"/>
  <c r="Q58" i="1"/>
  <c r="AE58" i="1" s="1"/>
  <c r="AE79" i="1"/>
  <c r="Q104" i="1"/>
  <c r="AE104" i="1" s="1"/>
  <c r="Q130" i="1"/>
  <c r="AE130" i="1" s="1"/>
  <c r="R38" i="1"/>
  <c r="R45" i="1"/>
  <c r="R93" i="1"/>
  <c r="Q14" i="1"/>
  <c r="AE14" i="1" s="1"/>
  <c r="AE39" i="1"/>
  <c r="Q80" i="1"/>
  <c r="AE80" i="1" s="1"/>
  <c r="AE105" i="1"/>
  <c r="Q131" i="1"/>
  <c r="AE131" i="1" s="1"/>
  <c r="R52" i="1"/>
  <c r="R59" i="1"/>
  <c r="R73" i="1"/>
  <c r="Q15" i="1"/>
  <c r="AE15" i="1" s="1"/>
  <c r="Q40" i="1"/>
  <c r="AE40" i="1" s="1"/>
  <c r="AE60" i="1"/>
  <c r="AE81" i="1"/>
  <c r="Q106" i="1"/>
  <c r="AE106" i="1" s="1"/>
  <c r="AE133" i="1"/>
  <c r="AE82" i="1"/>
  <c r="R7" i="1"/>
  <c r="R42" i="1"/>
  <c r="R109" i="1"/>
  <c r="R50" i="1"/>
  <c r="P17" i="1"/>
  <c r="Q17" i="1" s="1"/>
  <c r="AE17" i="1" s="1"/>
  <c r="S90" i="1"/>
  <c r="S54" i="1"/>
  <c r="S111" i="1"/>
  <c r="S29" i="1"/>
  <c r="S67" i="1"/>
  <c r="P98" i="1"/>
  <c r="S25" i="1"/>
  <c r="S38" i="1"/>
  <c r="E5" i="1"/>
  <c r="R113" i="1"/>
  <c r="S94" i="1"/>
  <c r="S125" i="1"/>
  <c r="S46" i="1"/>
  <c r="S40" i="1"/>
  <c r="S52" i="1"/>
  <c r="R72" i="1"/>
  <c r="S88" i="1"/>
  <c r="S92" i="1"/>
  <c r="S109" i="1"/>
  <c r="R126" i="1"/>
  <c r="S15" i="1"/>
  <c r="S7" i="1"/>
  <c r="S48" i="1"/>
  <c r="R32" i="1"/>
  <c r="S105" i="1"/>
  <c r="R122" i="1"/>
  <c r="R60" i="1"/>
  <c r="R68" i="1"/>
  <c r="R24" i="1"/>
  <c r="R97" i="1"/>
  <c r="S118" i="1"/>
  <c r="R41" i="1"/>
  <c r="R49" i="1"/>
  <c r="L57" i="1"/>
  <c r="L5" i="1" s="1"/>
  <c r="R110" i="1"/>
  <c r="S37" i="1"/>
  <c r="S45" i="1"/>
  <c r="P57" i="1"/>
  <c r="R77" i="1"/>
  <c r="S93" i="1"/>
  <c r="R61" i="1"/>
  <c r="R65" i="1"/>
  <c r="R69" i="1"/>
  <c r="S73" i="1"/>
  <c r="S81" i="1"/>
  <c r="S85" i="1"/>
  <c r="S127" i="1"/>
  <c r="R20" i="1"/>
  <c r="R89" i="1"/>
  <c r="R119" i="1"/>
  <c r="S56" i="1"/>
  <c r="R132" i="1"/>
  <c r="R44" i="1"/>
  <c r="R34" i="1"/>
  <c r="R70" i="1"/>
  <c r="R103" i="1"/>
  <c r="R26" i="1"/>
  <c r="S58" i="1"/>
  <c r="R66" i="1"/>
  <c r="R107" i="1"/>
  <c r="R30" i="1"/>
  <c r="R10" i="1"/>
  <c r="R22" i="1"/>
  <c r="R99" i="1"/>
  <c r="R116" i="1"/>
  <c r="R18" i="1"/>
  <c r="R39" i="1"/>
  <c r="R43" i="1"/>
  <c r="R51" i="1"/>
  <c r="R55" i="1"/>
  <c r="R35" i="1"/>
  <c r="R75" i="1"/>
  <c r="R83" i="1"/>
  <c r="R87" i="1"/>
  <c r="R108" i="1"/>
  <c r="R129" i="1"/>
  <c r="R11" i="1" l="1"/>
  <c r="R37" i="1"/>
  <c r="R27" i="1"/>
  <c r="R112" i="1"/>
  <c r="R86" i="1"/>
  <c r="R64" i="1"/>
  <c r="R8" i="1"/>
  <c r="AE16" i="1"/>
  <c r="R111" i="1"/>
  <c r="R12" i="1"/>
  <c r="R31" i="1"/>
  <c r="R47" i="1"/>
  <c r="R23" i="1"/>
  <c r="R104" i="1"/>
  <c r="R58" i="1"/>
  <c r="R6" i="1"/>
  <c r="R33" i="1"/>
  <c r="R101" i="1"/>
  <c r="R88" i="1"/>
  <c r="R40" i="1"/>
  <c r="R62" i="1"/>
  <c r="R130" i="1"/>
  <c r="AE21" i="1"/>
  <c r="R21" i="1"/>
  <c r="R105" i="1"/>
  <c r="R131" i="1"/>
  <c r="P5" i="1"/>
  <c r="Q57" i="1"/>
  <c r="R67" i="1"/>
  <c r="R95" i="1"/>
  <c r="AE120" i="1"/>
  <c r="R120" i="1"/>
  <c r="AE19" i="1"/>
  <c r="R19" i="1"/>
  <c r="AE13" i="1"/>
  <c r="R13" i="1"/>
  <c r="R48" i="1"/>
  <c r="R46" i="1"/>
  <c r="R79" i="1"/>
  <c r="R28" i="1"/>
  <c r="R74" i="1"/>
  <c r="R15" i="1"/>
  <c r="R123" i="1"/>
  <c r="R14" i="1"/>
  <c r="R36" i="1"/>
  <c r="R133" i="1"/>
  <c r="R25" i="1"/>
  <c r="R53" i="1"/>
  <c r="R71" i="1"/>
  <c r="R84" i="1"/>
  <c r="R80" i="1"/>
  <c r="R118" i="1"/>
  <c r="R106" i="1"/>
  <c r="R117" i="1"/>
  <c r="R91" i="1"/>
  <c r="R102" i="1"/>
  <c r="R114" i="1"/>
  <c r="R76" i="1"/>
  <c r="R127" i="1"/>
  <c r="R81" i="1"/>
  <c r="S57" i="1"/>
  <c r="R98" i="1"/>
  <c r="S98" i="1"/>
  <c r="R17" i="1"/>
  <c r="S17" i="1"/>
  <c r="AE57" i="1" l="1"/>
  <c r="AE5" i="1" s="1"/>
  <c r="R57" i="1"/>
  <c r="Q5" i="1"/>
</calcChain>
</file>

<file path=xl/sharedStrings.xml><?xml version="1.0" encoding="utf-8"?>
<sst xmlns="http://schemas.openxmlformats.org/spreadsheetml/2006/main" count="464" uniqueCount="187">
  <si>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</si>
  <si>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</si>
  <si>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</si>
  <si>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</si>
  <si>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</si>
  <si>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</si>
  <si>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</si>
  <si>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</si>
  <si>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</si>
  <si>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</si>
  <si>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</si>
  <si>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</si>
  <si>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</si>
  <si>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</si>
  <si>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</si>
  <si>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</si>
  <si>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</si>
  <si>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</si>
  <si>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</si>
  <si>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</si>
  <si>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</si>
  <si>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</si>
  <si>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31,10,</t>
  </si>
  <si>
    <t>29,10,</t>
  </si>
  <si>
    <t>27,10,</t>
  </si>
  <si>
    <t>22,10,</t>
  </si>
  <si>
    <t>20,10,</t>
  </si>
  <si>
    <t>15,10,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</si>
  <si>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</si>
  <si>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</si>
  <si>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</si>
  <si>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</si>
  <si>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</si>
  <si>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</si>
  <si>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</si>
  <si>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</si>
  <si>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</si>
  <si>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</si>
  <si>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</si>
  <si>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</si>
  <si>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</si>
  <si>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</si>
  <si>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</si>
  <si>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</si>
  <si>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</si>
  <si>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</si>
  <si>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</si>
  <si>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</si>
  <si>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</si>
  <si>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</si>
  <si>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</si>
  <si>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</si>
  <si>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</si>
  <si>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</si>
  <si>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</si>
  <si>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</si>
  <si>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</si>
  <si>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</si>
  <si>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</si>
  <si>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</si>
  <si>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</si>
  <si>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</si>
  <si>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</si>
  <si>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</si>
  <si>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</si>
  <si>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>новинка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</si>
  <si>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</si>
  <si>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</si>
  <si>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</si>
  <si>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</si>
  <si>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</si>
  <si>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</si>
  <si>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</si>
  <si>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</si>
  <si>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</si>
  <si>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</si>
  <si>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</si>
  <si>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</si>
  <si>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</si>
  <si>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</si>
  <si>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</si>
  <si>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</si>
  <si>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</si>
  <si>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</si>
  <si>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</si>
  <si>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</si>
  <si>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</si>
  <si>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</si>
  <si>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</si>
  <si>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 / матрица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</si>
  <si>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</si>
  <si>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</si>
  <si>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</si>
  <si>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</si>
  <si>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</si>
  <si>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</si>
  <si>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</si>
  <si>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</si>
  <si>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</si>
  <si>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</si>
  <si>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</si>
  <si>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</si>
  <si>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</si>
  <si>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</si>
  <si>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</si>
  <si>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</si>
  <si>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</si>
  <si>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</si>
  <si>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</si>
  <si>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</si>
  <si>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>вывод</t>
  </si>
  <si>
    <t>нужно увеличить продажи!!!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</si>
  <si>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</si>
  <si>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</si>
  <si>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</si>
  <si>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</si>
  <si>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</si>
  <si>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</si>
  <si>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</si>
  <si>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</si>
  <si>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</si>
  <si>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</si>
  <si>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</si>
  <si>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</si>
  <si>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</si>
  <si>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</si>
  <si>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</si>
  <si>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</si>
  <si>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</si>
  <si>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</si>
  <si>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</si>
  <si>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</si>
  <si>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</si>
  <si>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</si>
  <si>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</si>
  <si>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</si>
  <si>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</si>
  <si>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</si>
  <si>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</si>
  <si>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</si>
  <si>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</si>
  <si>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</si>
  <si>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</si>
  <si>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</si>
  <si>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</si>
  <si>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</si>
  <si>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</si>
  <si>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</si>
  <si>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</si>
  <si>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</si>
  <si>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</si>
  <si>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</si>
  <si>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</si>
  <si>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</si>
  <si>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</si>
  <si>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</si>
  <si>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</si>
  <si>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</si>
  <si>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</si>
  <si>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</si>
  <si>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</si>
  <si>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</si>
  <si>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</si>
  <si>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</si>
  <si>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</si>
  <si>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</si>
  <si>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</si>
  <si>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</si>
  <si>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</si>
  <si>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</si>
  <si>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</si>
  <si>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 xml:space="preserve"> 640  Шпикачки Зареченские ТС Зареченские продукты в оболочке полиамид в мод.газ.среде НД2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</si>
  <si>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</si>
  <si>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</si>
  <si>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</si>
  <si>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</si>
  <si>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</si>
  <si>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</si>
  <si>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</si>
  <si>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 xml:space="preserve"> 635  Колбаса Сервелат Европейский ТМ Вязанка ВЕС  ПОКОМ</t>
  </si>
  <si>
    <t>SU004314 / 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</si>
  <si>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57кг в уценку (30,06,26)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</si>
  <si>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60 заказ под спар (07,10,26) / 33кг списаны (29,08,26)</t>
    </r>
  </si>
  <si>
    <t>нужно увеличить продажи</t>
  </si>
  <si>
    <t>нужно увеличить продажи / 234шт в уценке (15,10,26)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</si>
  <si>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150 заказ под спар (07,10,26)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</si>
  <si>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200 заказ под спар (07,10,26)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</si>
</sst>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4" borderId="1" xfId="1" applyNumberFormat="1" applyFont="1" applyFill="1"/>
    <xf numFmtId="164" fontId="5" fillId="4" borderId="1" xfId="1" applyNumberFormat="1" applyFont="1" applyFill="1"/>
    <xf numFmtId="164" fontId="6" fillId="8" borderId="1" xfId="1" applyNumberFormat="1" applyFont="1" applyFill="1"/>
    <xf numFmtId="164" fontId="1" fillId="4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7" sqref="AD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5" width="6.7109375" customWidth="1"/>
    <col min="26" max="27" width="6" customWidth="1"/>
    <col min="28" max="29" width="6.7109375" customWidth="1"/>
    <col min="30" max="30" width="47.5703125" customWidth="1"/>
    <col min="31" max="31" width="7" customWidth="1"/>
    <col min="32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SUM(E6:E495)</f>
        <v>53899.358000000007</v>
      </c>
      <c r="F5" s="4">
        <f>SUM(F6:F495)</f>
        <v>76605.065999999992</v>
      </c>
      <c r="G5" s="7"/>
      <c r="H5" s="1"/>
      <c r="I5" s="1"/>
      <c r="J5" s="1"/>
      <c r="K5" s="4">
        <f t="shared" ref="K5:Q5" si="0">SUM(K6:K495)</f>
        <v>57604.050999999999</v>
      </c>
      <c r="L5" s="4">
        <f t="shared" si="0"/>
        <v>-3704.6929999999993</v>
      </c>
      <c r="M5" s="4">
        <f t="shared" si="0"/>
        <v>0</v>
      </c>
      <c r="N5" s="4">
        <f t="shared" si="0"/>
        <v>0</v>
      </c>
      <c r="O5" s="4">
        <f t="shared" si="0"/>
        <v>14250.277762365504</v>
      </c>
      <c r="P5" s="4">
        <f t="shared" si="0"/>
        <v>10779.871600000002</v>
      </c>
      <c r="Q5" s="4">
        <f t="shared" si="0"/>
        <v>37107.603537634495</v>
      </c>
      <c r="R5" s="1"/>
      <c r="S5" s="1"/>
      <c r="T5" s="4">
        <f t="shared" ref="T5:AC5" si="1">SUM(T6:T495)</f>
        <v>10489.944</v>
      </c>
      <c r="U5" s="4">
        <f t="shared" si="1"/>
        <v>10842.380399999995</v>
      </c>
      <c r="V5" s="4">
        <f t="shared" si="1"/>
        <v>11463.564199999999</v>
      </c>
      <c r="W5" s="4">
        <f t="shared" si="1"/>
        <v>10957.742599999998</v>
      </c>
      <c r="X5" s="4">
        <f t="shared" si="1"/>
        <v>10202.354599999997</v>
      </c>
      <c r="Y5" s="4">
        <f t="shared" si="1"/>
        <v>10071.470799999997</v>
      </c>
      <c r="Z5" s="4">
        <f t="shared" si="1"/>
        <v>9816.4820000000018</v>
      </c>
      <c r="AA5" s="4">
        <f t="shared" si="1"/>
        <v>9688.2588000000014</v>
      </c>
      <c r="AB5" s="4">
        <f t="shared" si="1"/>
        <v>10274.174200000009</v>
      </c>
      <c r="AC5" s="4">
        <f t="shared" si="1"/>
        <v>10906.315000000001</v>
      </c>
      <c r="AD5" s="1"/>
      <c r="AE5" s="4">
        <f>SUM(AE6:AE495)</f>
        <v>29060.522427634496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664.56200000000001</v>
      </c>
      <c r="D6" s="1">
        <v>6807.8459999999995</v>
      </c>
      <c r="E6" s="1">
        <v>2599.9989999999998</v>
      </c>
      <c r="F6" s="1">
        <v>3303.1370000000002</v>
      </c>
      <c r="G6" s="7">
        <v>1</v>
      </c>
      <c r="H6" s="1">
        <v>50</v>
      </c>
      <c r="I6" s="1" t="s">
        <v>36</v>
      </c>
      <c r="J6" s="1"/>
      <c r="K6" s="1">
        <v>2825.2629999999999</v>
      </c>
      <c r="L6" s="1">
        <f t="shared" ref="L6:L37" si="2">E6-K6</f>
        <v>-225.26400000000012</v>
      </c>
      <c r="M6" s="1"/>
      <c r="N6" s="1"/>
      <c r="O6" s="1">
        <v>554.88811500000145</v>
      </c>
      <c r="P6" s="1">
        <f t="shared" ref="P6:P37" si="3">E6/5</f>
        <v>519.99979999999994</v>
      </c>
      <c r="Q6" s="5">
        <f>11.5*P6-O6-F6</f>
        <v>2121.9725849999973</v>
      </c>
      <c r="R6" s="1">
        <f t="shared" ref="R6:R37" si="4">(F6+O6+Q6)/P6</f>
        <v>11.5</v>
      </c>
      <c r="S6" s="1">
        <f t="shared" ref="S6:S37" si="5">(F6+O6)/P6</f>
        <v>7.4192819208776664</v>
      </c>
      <c r="T6" s="1">
        <v>511.40499999999997</v>
      </c>
      <c r="U6" s="1">
        <v>531.0018</v>
      </c>
      <c r="V6" s="1">
        <v>552.64499999999998</v>
      </c>
      <c r="W6" s="1">
        <v>598.48400000000004</v>
      </c>
      <c r="X6" s="1">
        <v>595.89340000000004</v>
      </c>
      <c r="Y6" s="1">
        <v>466.50080000000003</v>
      </c>
      <c r="Z6" s="1">
        <v>492.22899999999998</v>
      </c>
      <c r="AA6" s="1">
        <v>529.75339999999994</v>
      </c>
      <c r="AB6" s="1">
        <v>513.3356</v>
      </c>
      <c r="AC6" s="1">
        <v>551.42700000000002</v>
      </c>
      <c r="AD6" s="1"/>
      <c r="AE6" s="1">
        <f>G6*Q6</f>
        <v>2121.9725849999973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158.91399999999999</v>
      </c>
      <c r="D7" s="1">
        <v>3216.8130000000001</v>
      </c>
      <c r="E7" s="1">
        <v>1014.676</v>
      </c>
      <c r="F7" s="1">
        <v>1802.914</v>
      </c>
      <c r="G7" s="7">
        <v>1</v>
      </c>
      <c r="H7" s="1">
        <v>45</v>
      </c>
      <c r="I7" s="1" t="s">
        <v>36</v>
      </c>
      <c r="J7" s="1"/>
      <c r="K7" s="1">
        <v>1144.05</v>
      </c>
      <c r="L7" s="1">
        <f t="shared" si="2"/>
        <v>-129.37399999999991</v>
      </c>
      <c r="M7" s="1"/>
      <c r="N7" s="1"/>
      <c r="O7" s="1">
        <v>0</v>
      </c>
      <c r="P7" s="1">
        <f t="shared" si="3"/>
        <v>202.93520000000001</v>
      </c>
      <c r="Q7" s="5">
        <f t="shared" ref="Q7:Q8" si="6">11.5*P7-O7-F7</f>
        <v>530.84080000000017</v>
      </c>
      <c r="R7" s="1">
        <f t="shared" si="4"/>
        <v>11.5</v>
      </c>
      <c r="S7" s="1">
        <f t="shared" si="5"/>
        <v>8.8841856908017931</v>
      </c>
      <c r="T7" s="1">
        <v>207.7252</v>
      </c>
      <c r="U7" s="1">
        <v>239.62180000000001</v>
      </c>
      <c r="V7" s="1">
        <v>250.958</v>
      </c>
      <c r="W7" s="1">
        <v>212.81659999999999</v>
      </c>
      <c r="X7" s="1">
        <v>200.62620000000001</v>
      </c>
      <c r="Y7" s="1">
        <v>184.89920000000001</v>
      </c>
      <c r="Z7" s="1">
        <v>182.24600000000001</v>
      </c>
      <c r="AA7" s="1">
        <v>212.876</v>
      </c>
      <c r="AB7" s="1">
        <v>220.70779999999999</v>
      </c>
      <c r="AC7" s="1">
        <v>207.75020000000001</v>
      </c>
      <c r="AD7" s="1"/>
      <c r="AE7" s="1">
        <f>G7*Q7</f>
        <v>530.84080000000017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354.43400000000003</v>
      </c>
      <c r="D8" s="1">
        <v>2532.6439999999998</v>
      </c>
      <c r="E8" s="1">
        <v>1124.1320000000001</v>
      </c>
      <c r="F8" s="1">
        <v>1139.915</v>
      </c>
      <c r="G8" s="7">
        <v>1</v>
      </c>
      <c r="H8" s="1">
        <v>45</v>
      </c>
      <c r="I8" s="1" t="s">
        <v>36</v>
      </c>
      <c r="J8" s="1"/>
      <c r="K8" s="1">
        <v>1168.3499999999999</v>
      </c>
      <c r="L8" s="1">
        <f t="shared" si="2"/>
        <v>-44.217999999999847</v>
      </c>
      <c r="M8" s="1"/>
      <c r="N8" s="1"/>
      <c r="O8" s="1">
        <v>640.89945900000009</v>
      </c>
      <c r="P8" s="1">
        <f t="shared" si="3"/>
        <v>224.82640000000001</v>
      </c>
      <c r="Q8" s="5">
        <f t="shared" si="6"/>
        <v>804.68914099999984</v>
      </c>
      <c r="R8" s="1">
        <f t="shared" si="4"/>
        <v>11.5</v>
      </c>
      <c r="S8" s="1">
        <f t="shared" si="5"/>
        <v>7.920842298769184</v>
      </c>
      <c r="T8" s="1">
        <v>228.0284</v>
      </c>
      <c r="U8" s="1">
        <v>202.13220000000001</v>
      </c>
      <c r="V8" s="1">
        <v>212.893</v>
      </c>
      <c r="W8" s="1">
        <v>217.8492</v>
      </c>
      <c r="X8" s="1">
        <v>205.40940000000001</v>
      </c>
      <c r="Y8" s="1">
        <v>190.92339999999999</v>
      </c>
      <c r="Z8" s="1">
        <v>198.07759999999999</v>
      </c>
      <c r="AA8" s="1">
        <v>222.83099999999999</v>
      </c>
      <c r="AB8" s="1">
        <v>217.4478</v>
      </c>
      <c r="AC8" s="1">
        <v>214.1678</v>
      </c>
      <c r="AD8" s="1"/>
      <c r="AE8" s="1">
        <f>G8*Q8</f>
        <v>804.68914099999984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1" t="s">
        <v>39</v>
      </c>
      <c r="B9" s="11" t="s">
        <v>40</v>
      </c>
      <c r="C9" s="11"/>
      <c r="D9" s="11"/>
      <c r="E9" s="11"/>
      <c r="F9" s="11"/>
      <c r="G9" s="12">
        <v>0</v>
      </c>
      <c r="H9" s="11"/>
      <c r="I9" s="11" t="s">
        <v>36</v>
      </c>
      <c r="J9" s="11"/>
      <c r="K9" s="11"/>
      <c r="L9" s="11">
        <f t="shared" si="2"/>
        <v>0</v>
      </c>
      <c r="M9" s="11"/>
      <c r="N9" s="11"/>
      <c r="O9" s="11">
        <v>0</v>
      </c>
      <c r="P9" s="11">
        <f t="shared" si="3"/>
        <v>0</v>
      </c>
      <c r="Q9" s="13"/>
      <c r="R9" s="11" t="e">
        <f t="shared" si="4"/>
        <v>#DIV/0!</v>
      </c>
      <c r="S9" s="11" t="e">
        <f t="shared" si="5"/>
        <v>#DIV/0!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 t="s">
        <v>41</v>
      </c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40</v>
      </c>
      <c r="C10" s="1">
        <v>77</v>
      </c>
      <c r="D10" s="1">
        <v>2190</v>
      </c>
      <c r="E10" s="1">
        <v>523</v>
      </c>
      <c r="F10" s="1">
        <v>1255</v>
      </c>
      <c r="G10" s="7">
        <v>0.45</v>
      </c>
      <c r="H10" s="1">
        <v>45</v>
      </c>
      <c r="I10" s="1" t="s">
        <v>36</v>
      </c>
      <c r="J10" s="1"/>
      <c r="K10" s="1">
        <v>614</v>
      </c>
      <c r="L10" s="1">
        <f t="shared" si="2"/>
        <v>-91</v>
      </c>
      <c r="M10" s="1"/>
      <c r="N10" s="1"/>
      <c r="O10" s="1">
        <v>0</v>
      </c>
      <c r="P10" s="1">
        <f t="shared" si="3"/>
        <v>104.6</v>
      </c>
      <c r="Q10" s="5"/>
      <c r="R10" s="1">
        <f t="shared" si="4"/>
        <v>11.998087954110899</v>
      </c>
      <c r="S10" s="1">
        <f t="shared" si="5"/>
        <v>11.998087954110899</v>
      </c>
      <c r="T10" s="1">
        <v>131.80000000000001</v>
      </c>
      <c r="U10" s="1">
        <v>169.6</v>
      </c>
      <c r="V10" s="1">
        <v>163</v>
      </c>
      <c r="W10" s="1">
        <v>150</v>
      </c>
      <c r="X10" s="1">
        <v>131.80000000000001</v>
      </c>
      <c r="Y10" s="1">
        <v>135.6</v>
      </c>
      <c r="Z10" s="1">
        <v>150.19999999999999</v>
      </c>
      <c r="AA10" s="1">
        <v>141.80000000000001</v>
      </c>
      <c r="AB10" s="1">
        <v>138.80000000000001</v>
      </c>
      <c r="AC10" s="1">
        <v>146</v>
      </c>
      <c r="AD10" s="1"/>
      <c r="AE10" s="1">
        <f t="shared" ref="AE10:AE17" si="7"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43</v>
      </c>
      <c r="B11" s="1" t="s">
        <v>40</v>
      </c>
      <c r="C11" s="1">
        <v>185</v>
      </c>
      <c r="D11" s="1">
        <v>3798</v>
      </c>
      <c r="E11" s="1">
        <v>942</v>
      </c>
      <c r="F11" s="1">
        <v>1712</v>
      </c>
      <c r="G11" s="7">
        <v>0.45</v>
      </c>
      <c r="H11" s="1">
        <v>45</v>
      </c>
      <c r="I11" s="1" t="s">
        <v>36</v>
      </c>
      <c r="J11" s="1"/>
      <c r="K11" s="1">
        <v>993</v>
      </c>
      <c r="L11" s="1">
        <f t="shared" si="2"/>
        <v>-51</v>
      </c>
      <c r="M11" s="1"/>
      <c r="N11" s="1"/>
      <c r="O11" s="1">
        <v>0</v>
      </c>
      <c r="P11" s="1">
        <f t="shared" si="3"/>
        <v>188.4</v>
      </c>
      <c r="Q11" s="5">
        <f t="shared" ref="Q10:Q17" si="8">11.5*P11-O11-F11</f>
        <v>454.59999999999991</v>
      </c>
      <c r="R11" s="1">
        <f t="shared" si="4"/>
        <v>11.5</v>
      </c>
      <c r="S11" s="1">
        <f t="shared" si="5"/>
        <v>9.087048832271762</v>
      </c>
      <c r="T11" s="1">
        <v>202.8</v>
      </c>
      <c r="U11" s="1">
        <v>242</v>
      </c>
      <c r="V11" s="1">
        <v>220.4</v>
      </c>
      <c r="W11" s="1">
        <v>181.8</v>
      </c>
      <c r="X11" s="1">
        <v>175</v>
      </c>
      <c r="Y11" s="1">
        <v>184.4</v>
      </c>
      <c r="Z11" s="1">
        <v>201.2</v>
      </c>
      <c r="AA11" s="1">
        <v>207.4</v>
      </c>
      <c r="AB11" s="1">
        <v>199.2</v>
      </c>
      <c r="AC11" s="1">
        <v>198.6</v>
      </c>
      <c r="AD11" s="1"/>
      <c r="AE11" s="1">
        <f t="shared" si="7"/>
        <v>204.56999999999996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44</v>
      </c>
      <c r="B12" s="1" t="s">
        <v>40</v>
      </c>
      <c r="C12" s="1">
        <v>25</v>
      </c>
      <c r="D12" s="1">
        <v>293</v>
      </c>
      <c r="E12" s="1">
        <v>104</v>
      </c>
      <c r="F12" s="1">
        <v>193</v>
      </c>
      <c r="G12" s="7">
        <v>0.17</v>
      </c>
      <c r="H12" s="1">
        <v>180</v>
      </c>
      <c r="I12" s="1" t="s">
        <v>36</v>
      </c>
      <c r="J12" s="1"/>
      <c r="K12" s="1">
        <v>109</v>
      </c>
      <c r="L12" s="1">
        <f t="shared" si="2"/>
        <v>-5</v>
      </c>
      <c r="M12" s="1"/>
      <c r="N12" s="1"/>
      <c r="O12" s="1">
        <v>40.69999999999996</v>
      </c>
      <c r="P12" s="1">
        <f t="shared" si="3"/>
        <v>20.8</v>
      </c>
      <c r="Q12" s="5">
        <f t="shared" si="8"/>
        <v>5.5000000000000568</v>
      </c>
      <c r="R12" s="1">
        <f t="shared" si="4"/>
        <v>11.5</v>
      </c>
      <c r="S12" s="1">
        <f t="shared" si="5"/>
        <v>11.235576923076922</v>
      </c>
      <c r="T12" s="1">
        <v>25.2</v>
      </c>
      <c r="U12" s="1">
        <v>19.8</v>
      </c>
      <c r="V12" s="1">
        <v>17.600000000000001</v>
      </c>
      <c r="W12" s="1">
        <v>16.399999999999999</v>
      </c>
      <c r="X12" s="1">
        <v>14.6</v>
      </c>
      <c r="Y12" s="1">
        <v>13.6</v>
      </c>
      <c r="Z12" s="1">
        <v>13</v>
      </c>
      <c r="AA12" s="1">
        <v>14.4</v>
      </c>
      <c r="AB12" s="1">
        <v>14.8</v>
      </c>
      <c r="AC12" s="1">
        <v>11.8</v>
      </c>
      <c r="AD12" s="1"/>
      <c r="AE12" s="1">
        <f t="shared" si="7"/>
        <v>0.93500000000000971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45</v>
      </c>
      <c r="B13" s="1" t="s">
        <v>40</v>
      </c>
      <c r="C13" s="1">
        <v>1</v>
      </c>
      <c r="D13" s="1">
        <v>82</v>
      </c>
      <c r="E13" s="1">
        <v>8</v>
      </c>
      <c r="F13" s="1">
        <v>25</v>
      </c>
      <c r="G13" s="7">
        <v>0.3</v>
      </c>
      <c r="H13" s="1">
        <v>40</v>
      </c>
      <c r="I13" s="9" t="s">
        <v>46</v>
      </c>
      <c r="J13" s="1"/>
      <c r="K13" s="1">
        <v>30</v>
      </c>
      <c r="L13" s="1">
        <f t="shared" si="2"/>
        <v>-22</v>
      </c>
      <c r="M13" s="1"/>
      <c r="N13" s="1"/>
      <c r="O13" s="1">
        <v>0</v>
      </c>
      <c r="P13" s="1">
        <f t="shared" si="3"/>
        <v>1.6</v>
      </c>
      <c r="Q13" s="5">
        <v>90</v>
      </c>
      <c r="R13" s="1">
        <f t="shared" si="4"/>
        <v>71.875</v>
      </c>
      <c r="S13" s="1">
        <f t="shared" si="5"/>
        <v>15.625</v>
      </c>
      <c r="T13" s="1">
        <v>-0.2</v>
      </c>
      <c r="U13" s="1">
        <v>8.1999999999999993</v>
      </c>
      <c r="V13" s="1">
        <v>14</v>
      </c>
      <c r="W13" s="1">
        <v>26</v>
      </c>
      <c r="X13" s="1">
        <v>26.8</v>
      </c>
      <c r="Y13" s="1">
        <v>28.8</v>
      </c>
      <c r="Z13" s="1">
        <v>34.799999999999997</v>
      </c>
      <c r="AA13" s="1">
        <v>24.4</v>
      </c>
      <c r="AB13" s="1">
        <v>28.4</v>
      </c>
      <c r="AC13" s="1">
        <v>36</v>
      </c>
      <c r="AD13" s="1"/>
      <c r="AE13" s="1">
        <f t="shared" si="7"/>
        <v>27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47</v>
      </c>
      <c r="B14" s="1" t="s">
        <v>40</v>
      </c>
      <c r="C14" s="1">
        <v>263</v>
      </c>
      <c r="D14" s="1">
        <v>443</v>
      </c>
      <c r="E14" s="1">
        <v>275</v>
      </c>
      <c r="F14" s="1">
        <v>350</v>
      </c>
      <c r="G14" s="7">
        <v>0.17</v>
      </c>
      <c r="H14" s="1">
        <v>180</v>
      </c>
      <c r="I14" s="1" t="s">
        <v>36</v>
      </c>
      <c r="J14" s="1"/>
      <c r="K14" s="1">
        <v>277</v>
      </c>
      <c r="L14" s="1">
        <f t="shared" si="2"/>
        <v>-2</v>
      </c>
      <c r="M14" s="1"/>
      <c r="N14" s="1"/>
      <c r="O14" s="1">
        <v>140.58499999999989</v>
      </c>
      <c r="P14" s="1">
        <f t="shared" si="3"/>
        <v>55</v>
      </c>
      <c r="Q14" s="5">
        <f t="shared" si="8"/>
        <v>141.91500000000008</v>
      </c>
      <c r="R14" s="1">
        <f t="shared" si="4"/>
        <v>11.5</v>
      </c>
      <c r="S14" s="1">
        <f t="shared" si="5"/>
        <v>8.9197272727272718</v>
      </c>
      <c r="T14" s="1">
        <v>56.6</v>
      </c>
      <c r="U14" s="1">
        <v>50.2</v>
      </c>
      <c r="V14" s="1">
        <v>51.4</v>
      </c>
      <c r="W14" s="1">
        <v>41.4</v>
      </c>
      <c r="X14" s="1">
        <v>38.799999999999997</v>
      </c>
      <c r="Y14" s="1">
        <v>53.8</v>
      </c>
      <c r="Z14" s="1">
        <v>51</v>
      </c>
      <c r="AA14" s="1">
        <v>41</v>
      </c>
      <c r="AB14" s="1">
        <v>42.6</v>
      </c>
      <c r="AC14" s="1">
        <v>45.8</v>
      </c>
      <c r="AD14" s="1"/>
      <c r="AE14" s="1">
        <f t="shared" si="7"/>
        <v>24.125550000000015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48</v>
      </c>
      <c r="B15" s="1" t="s">
        <v>35</v>
      </c>
      <c r="C15" s="1">
        <v>725.875</v>
      </c>
      <c r="D15" s="1">
        <v>2488.0819999999999</v>
      </c>
      <c r="E15" s="1">
        <v>1223.972</v>
      </c>
      <c r="F15" s="1">
        <v>1467.451</v>
      </c>
      <c r="G15" s="7">
        <v>1</v>
      </c>
      <c r="H15" s="1">
        <v>70</v>
      </c>
      <c r="I15" s="1" t="s">
        <v>36</v>
      </c>
      <c r="J15" s="1"/>
      <c r="K15" s="1">
        <v>1192.57</v>
      </c>
      <c r="L15" s="1">
        <f t="shared" si="2"/>
        <v>31.402000000000044</v>
      </c>
      <c r="M15" s="1"/>
      <c r="N15" s="1"/>
      <c r="O15" s="1">
        <v>398.81814200000008</v>
      </c>
      <c r="P15" s="1">
        <f t="shared" si="3"/>
        <v>244.7944</v>
      </c>
      <c r="Q15" s="5">
        <f t="shared" si="8"/>
        <v>948.86645799999997</v>
      </c>
      <c r="R15" s="1">
        <f t="shared" si="4"/>
        <v>11.5</v>
      </c>
      <c r="S15" s="1">
        <f t="shared" si="5"/>
        <v>7.6238228570588218</v>
      </c>
      <c r="T15" s="1">
        <v>244.1814</v>
      </c>
      <c r="U15" s="1">
        <v>241.3004</v>
      </c>
      <c r="V15" s="1">
        <v>251.9812</v>
      </c>
      <c r="W15" s="1">
        <v>212.7294</v>
      </c>
      <c r="X15" s="1">
        <v>208.01599999999999</v>
      </c>
      <c r="Y15" s="1">
        <v>228.04939999999999</v>
      </c>
      <c r="Z15" s="1">
        <v>224.29179999999999</v>
      </c>
      <c r="AA15" s="1">
        <v>230.38239999999999</v>
      </c>
      <c r="AB15" s="1">
        <v>239.61060000000001</v>
      </c>
      <c r="AC15" s="1">
        <v>266.99099999999999</v>
      </c>
      <c r="AD15" s="1"/>
      <c r="AE15" s="1">
        <f t="shared" si="7"/>
        <v>948.86645799999997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49</v>
      </c>
      <c r="B16" s="1" t="s">
        <v>35</v>
      </c>
      <c r="C16" s="1">
        <v>1935.2660000000001</v>
      </c>
      <c r="D16" s="1">
        <v>9098.9580000000005</v>
      </c>
      <c r="E16" s="1">
        <v>3788.636</v>
      </c>
      <c r="F16" s="1">
        <v>5296.7610000000004</v>
      </c>
      <c r="G16" s="7">
        <v>1</v>
      </c>
      <c r="H16" s="1">
        <v>50</v>
      </c>
      <c r="I16" s="1" t="s">
        <v>36</v>
      </c>
      <c r="J16" s="1"/>
      <c r="K16" s="1">
        <v>3811.4029999999998</v>
      </c>
      <c r="L16" s="1">
        <f t="shared" si="2"/>
        <v>-22.766999999999825</v>
      </c>
      <c r="M16" s="1"/>
      <c r="N16" s="1"/>
      <c r="O16" s="1">
        <v>999.67438100000061</v>
      </c>
      <c r="P16" s="1">
        <f t="shared" si="3"/>
        <v>757.72720000000004</v>
      </c>
      <c r="Q16" s="5">
        <f t="shared" si="8"/>
        <v>2417.4274189999996</v>
      </c>
      <c r="R16" s="1">
        <f t="shared" si="4"/>
        <v>11.5</v>
      </c>
      <c r="S16" s="1">
        <f t="shared" si="5"/>
        <v>8.3096335739300375</v>
      </c>
      <c r="T16" s="1">
        <v>801.84960000000001</v>
      </c>
      <c r="U16" s="1">
        <v>820.39419999999996</v>
      </c>
      <c r="V16" s="1">
        <v>843.31100000000004</v>
      </c>
      <c r="W16" s="1">
        <v>795.35839999999996</v>
      </c>
      <c r="X16" s="1">
        <v>775.00980000000004</v>
      </c>
      <c r="Y16" s="1">
        <v>780.07339999999999</v>
      </c>
      <c r="Z16" s="1">
        <v>675.8442</v>
      </c>
      <c r="AA16" s="1">
        <v>640.81600000000003</v>
      </c>
      <c r="AB16" s="1">
        <v>767.41360000000009</v>
      </c>
      <c r="AC16" s="1">
        <v>828.15359999999998</v>
      </c>
      <c r="AD16" s="1"/>
      <c r="AE16" s="1">
        <f t="shared" si="7"/>
        <v>2417.4274189999996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50</v>
      </c>
      <c r="B17" s="1" t="s">
        <v>35</v>
      </c>
      <c r="C17" s="1">
        <v>30.702999999999999</v>
      </c>
      <c r="D17" s="1">
        <v>198.12899999999999</v>
      </c>
      <c r="E17" s="16">
        <f>88.795+E18</f>
        <v>104.80500000000001</v>
      </c>
      <c r="F17" s="1">
        <v>93.326999999999998</v>
      </c>
      <c r="G17" s="7">
        <v>1</v>
      </c>
      <c r="H17" s="1">
        <v>60</v>
      </c>
      <c r="I17" s="1" t="s">
        <v>36</v>
      </c>
      <c r="J17" s="1"/>
      <c r="K17" s="1">
        <v>99.45</v>
      </c>
      <c r="L17" s="1">
        <f t="shared" si="2"/>
        <v>5.355000000000004</v>
      </c>
      <c r="M17" s="1"/>
      <c r="N17" s="1"/>
      <c r="O17" s="1">
        <v>44.157000000000053</v>
      </c>
      <c r="P17" s="1">
        <f t="shared" si="3"/>
        <v>20.961000000000002</v>
      </c>
      <c r="Q17" s="5">
        <f t="shared" si="8"/>
        <v>103.5675</v>
      </c>
      <c r="R17" s="1">
        <f t="shared" si="4"/>
        <v>11.5</v>
      </c>
      <c r="S17" s="1">
        <f t="shared" si="5"/>
        <v>6.5590382138256773</v>
      </c>
      <c r="T17" s="1">
        <v>17.339400000000001</v>
      </c>
      <c r="U17" s="1">
        <v>14.6488</v>
      </c>
      <c r="V17" s="1">
        <v>13.383800000000001</v>
      </c>
      <c r="W17" s="1">
        <v>14.3032</v>
      </c>
      <c r="X17" s="1">
        <v>16.235800000000001</v>
      </c>
      <c r="Y17" s="1">
        <v>14.9642</v>
      </c>
      <c r="Z17" s="1">
        <v>13.9262</v>
      </c>
      <c r="AA17" s="1">
        <v>16.6556</v>
      </c>
      <c r="AB17" s="1">
        <v>20.724799999999998</v>
      </c>
      <c r="AC17" s="1">
        <v>23.348199999999999</v>
      </c>
      <c r="AD17" s="1"/>
      <c r="AE17" s="1">
        <f t="shared" si="7"/>
        <v>103.5675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1" t="s">
        <v>51</v>
      </c>
      <c r="B18" s="11" t="s">
        <v>35</v>
      </c>
      <c r="C18" s="11"/>
      <c r="D18" s="11">
        <v>16.010000000000002</v>
      </c>
      <c r="E18" s="16">
        <v>16.010000000000002</v>
      </c>
      <c r="F18" s="11"/>
      <c r="G18" s="12">
        <v>0</v>
      </c>
      <c r="H18" s="11"/>
      <c r="I18" s="11" t="s">
        <v>52</v>
      </c>
      <c r="J18" s="11" t="s">
        <v>50</v>
      </c>
      <c r="K18" s="11">
        <v>15.3</v>
      </c>
      <c r="L18" s="11">
        <f t="shared" si="2"/>
        <v>0.71000000000000085</v>
      </c>
      <c r="M18" s="11"/>
      <c r="N18" s="11"/>
      <c r="O18" s="11">
        <v>0</v>
      </c>
      <c r="P18" s="11">
        <f t="shared" si="3"/>
        <v>3.2020000000000004</v>
      </c>
      <c r="Q18" s="13"/>
      <c r="R18" s="11">
        <f t="shared" si="4"/>
        <v>0</v>
      </c>
      <c r="S18" s="11">
        <f t="shared" si="5"/>
        <v>0</v>
      </c>
      <c r="T18" s="11">
        <v>3.202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0</v>
      </c>
      <c r="AA18" s="11">
        <v>0</v>
      </c>
      <c r="AB18" s="11">
        <v>0</v>
      </c>
      <c r="AC18" s="11">
        <v>0</v>
      </c>
      <c r="AD18" s="11"/>
      <c r="AE18" s="1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53</v>
      </c>
      <c r="B19" s="1" t="s">
        <v>35</v>
      </c>
      <c r="C19" s="1">
        <v>-1.204</v>
      </c>
      <c r="D19" s="1">
        <v>228.69</v>
      </c>
      <c r="E19" s="1">
        <v>56.311</v>
      </c>
      <c r="F19" s="1">
        <v>153.904</v>
      </c>
      <c r="G19" s="7">
        <v>1</v>
      </c>
      <c r="H19" s="1">
        <v>60</v>
      </c>
      <c r="I19" s="1" t="s">
        <v>36</v>
      </c>
      <c r="J19" s="1"/>
      <c r="K19" s="1">
        <v>62.6</v>
      </c>
      <c r="L19" s="1">
        <f t="shared" si="2"/>
        <v>-6.2890000000000015</v>
      </c>
      <c r="M19" s="1"/>
      <c r="N19" s="1"/>
      <c r="O19" s="1">
        <v>0</v>
      </c>
      <c r="P19" s="1">
        <f t="shared" si="3"/>
        <v>11.2622</v>
      </c>
      <c r="Q19" s="5"/>
      <c r="R19" s="1">
        <f t="shared" si="4"/>
        <v>13.665536040915629</v>
      </c>
      <c r="S19" s="1">
        <f t="shared" si="5"/>
        <v>13.665536040915629</v>
      </c>
      <c r="T19" s="1">
        <v>10.882999999999999</v>
      </c>
      <c r="U19" s="1">
        <v>17.569600000000001</v>
      </c>
      <c r="V19" s="1">
        <v>22.449200000000001</v>
      </c>
      <c r="W19" s="1">
        <v>16.527799999999999</v>
      </c>
      <c r="X19" s="1">
        <v>9.158199999999999</v>
      </c>
      <c r="Y19" s="1">
        <v>12.9864</v>
      </c>
      <c r="Z19" s="1">
        <v>14.903</v>
      </c>
      <c r="AA19" s="1">
        <v>10.818</v>
      </c>
      <c r="AB19" s="1">
        <v>13.6614</v>
      </c>
      <c r="AC19" s="1">
        <v>18.693000000000001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54</v>
      </c>
      <c r="B20" s="1" t="s">
        <v>35</v>
      </c>
      <c r="C20" s="1">
        <v>32.802999999999997</v>
      </c>
      <c r="D20" s="1">
        <v>4.5940000000000003</v>
      </c>
      <c r="E20" s="1">
        <v>9.5850000000000009</v>
      </c>
      <c r="F20" s="1">
        <v>25.077999999999999</v>
      </c>
      <c r="G20" s="7">
        <v>1</v>
      </c>
      <c r="H20" s="1">
        <v>180</v>
      </c>
      <c r="I20" s="1" t="s">
        <v>36</v>
      </c>
      <c r="J20" s="1"/>
      <c r="K20" s="1">
        <v>10.06</v>
      </c>
      <c r="L20" s="1">
        <f t="shared" si="2"/>
        <v>-0.47499999999999964</v>
      </c>
      <c r="M20" s="1"/>
      <c r="N20" s="1"/>
      <c r="O20" s="1">
        <v>0</v>
      </c>
      <c r="P20" s="1">
        <f t="shared" si="3"/>
        <v>1.9170000000000003</v>
      </c>
      <c r="Q20" s="5"/>
      <c r="R20" s="1">
        <f t="shared" si="4"/>
        <v>13.081898800208657</v>
      </c>
      <c r="S20" s="1">
        <f t="shared" si="5"/>
        <v>13.081898800208657</v>
      </c>
      <c r="T20" s="1">
        <v>1.8046</v>
      </c>
      <c r="U20" s="1">
        <v>2.0731999999999999</v>
      </c>
      <c r="V20" s="1">
        <v>2.1372</v>
      </c>
      <c r="W20" s="1">
        <v>2.093</v>
      </c>
      <c r="X20" s="1">
        <v>2.0362</v>
      </c>
      <c r="Y20" s="1">
        <v>3.6604000000000001</v>
      </c>
      <c r="Z20" s="1">
        <v>3.3679999999999999</v>
      </c>
      <c r="AA20" s="1">
        <v>1.5246</v>
      </c>
      <c r="AB20" s="1">
        <v>1.8056000000000001</v>
      </c>
      <c r="AC20" s="1">
        <v>1.9366000000000001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55</v>
      </c>
      <c r="B21" s="1" t="s">
        <v>35</v>
      </c>
      <c r="C21" s="1">
        <v>672.08100000000002</v>
      </c>
      <c r="D21" s="1">
        <v>2861.625</v>
      </c>
      <c r="E21" s="1">
        <v>1488.896</v>
      </c>
      <c r="F21" s="1">
        <v>1281.991</v>
      </c>
      <c r="G21" s="7">
        <v>1</v>
      </c>
      <c r="H21" s="1">
        <v>60</v>
      </c>
      <c r="I21" s="1" t="s">
        <v>36</v>
      </c>
      <c r="J21" s="1"/>
      <c r="K21" s="1">
        <v>1462.3</v>
      </c>
      <c r="L21" s="1">
        <f t="shared" si="2"/>
        <v>26.596000000000004</v>
      </c>
      <c r="M21" s="1"/>
      <c r="N21" s="1"/>
      <c r="O21" s="1">
        <v>756.60209036549634</v>
      </c>
      <c r="P21" s="1">
        <f t="shared" si="3"/>
        <v>297.7792</v>
      </c>
      <c r="Q21" s="5">
        <f t="shared" ref="Q19:Q23" si="9">11.5*P21-O21-F21</f>
        <v>1385.8677096345036</v>
      </c>
      <c r="R21" s="1">
        <f t="shared" si="4"/>
        <v>11.5</v>
      </c>
      <c r="S21" s="1">
        <f t="shared" si="5"/>
        <v>6.8459888748626367</v>
      </c>
      <c r="T21" s="1">
        <v>279.01100000000002</v>
      </c>
      <c r="U21" s="1">
        <v>254.7244</v>
      </c>
      <c r="V21" s="1">
        <v>268.49160000000001</v>
      </c>
      <c r="W21" s="1">
        <v>269.43599999999998</v>
      </c>
      <c r="X21" s="1">
        <v>262.96539999999999</v>
      </c>
      <c r="Y21" s="1">
        <v>261.03739999999999</v>
      </c>
      <c r="Z21" s="1">
        <v>231.03299999999999</v>
      </c>
      <c r="AA21" s="1">
        <v>231.0196</v>
      </c>
      <c r="AB21" s="1">
        <v>266.68880000000001</v>
      </c>
      <c r="AC21" s="1">
        <v>289.93419999999998</v>
      </c>
      <c r="AD21" s="1"/>
      <c r="AE21" s="1">
        <f>G21*Q21</f>
        <v>1385.8677096345036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56</v>
      </c>
      <c r="B22" s="1" t="s">
        <v>35</v>
      </c>
      <c r="C22" s="1">
        <v>15.851000000000001</v>
      </c>
      <c r="D22" s="1">
        <v>748.63599999999997</v>
      </c>
      <c r="E22" s="1">
        <v>183.35</v>
      </c>
      <c r="F22" s="1">
        <v>515.03300000000002</v>
      </c>
      <c r="G22" s="7">
        <v>1</v>
      </c>
      <c r="H22" s="1">
        <v>70</v>
      </c>
      <c r="I22" s="1" t="s">
        <v>36</v>
      </c>
      <c r="J22" s="1"/>
      <c r="K22" s="1">
        <v>181.72499999999999</v>
      </c>
      <c r="L22" s="1">
        <f t="shared" si="2"/>
        <v>1.625</v>
      </c>
      <c r="M22" s="1"/>
      <c r="N22" s="1"/>
      <c r="O22" s="1">
        <v>0</v>
      </c>
      <c r="P22" s="1">
        <f t="shared" si="3"/>
        <v>36.67</v>
      </c>
      <c r="Q22" s="5"/>
      <c r="R22" s="1">
        <f t="shared" si="4"/>
        <v>14.045077720207253</v>
      </c>
      <c r="S22" s="1">
        <f t="shared" si="5"/>
        <v>14.045077720207253</v>
      </c>
      <c r="T22" s="1">
        <v>33.644399999999997</v>
      </c>
      <c r="U22" s="1">
        <v>58.666999999999987</v>
      </c>
      <c r="V22" s="1">
        <v>58.697000000000003</v>
      </c>
      <c r="W22" s="1">
        <v>36.935400000000001</v>
      </c>
      <c r="X22" s="1">
        <v>36.135199999999998</v>
      </c>
      <c r="Y22" s="1">
        <v>38.785600000000002</v>
      </c>
      <c r="Z22" s="1">
        <v>36.6614</v>
      </c>
      <c r="AA22" s="1">
        <v>41.685199999999988</v>
      </c>
      <c r="AB22" s="1">
        <v>47.904600000000002</v>
      </c>
      <c r="AC22" s="1">
        <v>59.2864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57</v>
      </c>
      <c r="B23" s="1" t="s">
        <v>35</v>
      </c>
      <c r="C23" s="1">
        <v>273.45</v>
      </c>
      <c r="D23" s="1">
        <v>1111.2180000000001</v>
      </c>
      <c r="E23" s="1">
        <v>450.86900000000003</v>
      </c>
      <c r="F23" s="1">
        <v>767.60599999999999</v>
      </c>
      <c r="G23" s="7">
        <v>1</v>
      </c>
      <c r="H23" s="1">
        <v>70</v>
      </c>
      <c r="I23" s="1" t="s">
        <v>36</v>
      </c>
      <c r="J23" s="1"/>
      <c r="K23" s="1">
        <v>437.05</v>
      </c>
      <c r="L23" s="1">
        <f t="shared" si="2"/>
        <v>13.819000000000017</v>
      </c>
      <c r="M23" s="1"/>
      <c r="N23" s="1"/>
      <c r="O23" s="1">
        <v>0</v>
      </c>
      <c r="P23" s="1">
        <f t="shared" si="3"/>
        <v>90.1738</v>
      </c>
      <c r="Q23" s="5">
        <f t="shared" si="9"/>
        <v>269.3927000000001</v>
      </c>
      <c r="R23" s="1">
        <f t="shared" si="4"/>
        <v>11.500000000000002</v>
      </c>
      <c r="S23" s="1">
        <f t="shared" si="5"/>
        <v>8.5125169395101459</v>
      </c>
      <c r="T23" s="1">
        <v>86.095600000000005</v>
      </c>
      <c r="U23" s="1">
        <v>90.975800000000007</v>
      </c>
      <c r="V23" s="1">
        <v>96.378799999999998</v>
      </c>
      <c r="W23" s="1">
        <v>86.611599999999996</v>
      </c>
      <c r="X23" s="1">
        <v>92.844200000000001</v>
      </c>
      <c r="Y23" s="1">
        <v>90.825400000000002</v>
      </c>
      <c r="Z23" s="1">
        <v>80.068399999999997</v>
      </c>
      <c r="AA23" s="1">
        <v>83.840599999999995</v>
      </c>
      <c r="AB23" s="1">
        <v>97.186000000000007</v>
      </c>
      <c r="AC23" s="1">
        <v>100.78400000000001</v>
      </c>
      <c r="AD23" s="1"/>
      <c r="AE23" s="1">
        <f>G23*Q23</f>
        <v>269.3927000000001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1" t="s">
        <v>58</v>
      </c>
      <c r="B24" s="11" t="s">
        <v>35</v>
      </c>
      <c r="C24" s="11"/>
      <c r="D24" s="11"/>
      <c r="E24" s="11"/>
      <c r="F24" s="11"/>
      <c r="G24" s="12">
        <v>0</v>
      </c>
      <c r="H24" s="11"/>
      <c r="I24" s="11" t="s">
        <v>36</v>
      </c>
      <c r="J24" s="11"/>
      <c r="K24" s="11"/>
      <c r="L24" s="11">
        <f t="shared" si="2"/>
        <v>0</v>
      </c>
      <c r="M24" s="11"/>
      <c r="N24" s="11"/>
      <c r="O24" s="11">
        <v>0</v>
      </c>
      <c r="P24" s="11">
        <f t="shared" si="3"/>
        <v>0</v>
      </c>
      <c r="Q24" s="13"/>
      <c r="R24" s="11" t="e">
        <f t="shared" si="4"/>
        <v>#DIV/0!</v>
      </c>
      <c r="S24" s="11" t="e">
        <f t="shared" si="5"/>
        <v>#DIV/0!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  <c r="Y24" s="11">
        <v>0</v>
      </c>
      <c r="Z24" s="11">
        <v>0</v>
      </c>
      <c r="AA24" s="11">
        <v>0</v>
      </c>
      <c r="AB24" s="11">
        <v>0</v>
      </c>
      <c r="AC24" s="11">
        <v>0</v>
      </c>
      <c r="AD24" s="11" t="s">
        <v>41</v>
      </c>
      <c r="AE24" s="1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" t="s">
        <v>59</v>
      </c>
      <c r="B25" s="1" t="s">
        <v>35</v>
      </c>
      <c r="C25" s="1">
        <v>336.26299999999998</v>
      </c>
      <c r="D25" s="1">
        <v>1751.2190000000001</v>
      </c>
      <c r="E25" s="1">
        <v>678.89499999999998</v>
      </c>
      <c r="F25" s="1">
        <v>1115.9580000000001</v>
      </c>
      <c r="G25" s="7">
        <v>1</v>
      </c>
      <c r="H25" s="1">
        <v>70</v>
      </c>
      <c r="I25" s="1" t="s">
        <v>36</v>
      </c>
      <c r="J25" s="1"/>
      <c r="K25" s="1">
        <v>659.22</v>
      </c>
      <c r="L25" s="1">
        <f t="shared" si="2"/>
        <v>19.674999999999955</v>
      </c>
      <c r="M25" s="1"/>
      <c r="N25" s="1"/>
      <c r="O25" s="1">
        <v>0</v>
      </c>
      <c r="P25" s="1">
        <f t="shared" si="3"/>
        <v>135.779</v>
      </c>
      <c r="Q25" s="5">
        <f t="shared" ref="Q25:Q31" si="10">11.5*P25-O25-F25</f>
        <v>445.50049999999987</v>
      </c>
      <c r="R25" s="1">
        <f t="shared" si="4"/>
        <v>11.5</v>
      </c>
      <c r="S25" s="1">
        <f t="shared" si="5"/>
        <v>8.2189292895072139</v>
      </c>
      <c r="T25" s="1">
        <v>123.34820000000001</v>
      </c>
      <c r="U25" s="1">
        <v>135.40880000000001</v>
      </c>
      <c r="V25" s="1">
        <v>142.03540000000001</v>
      </c>
      <c r="W25" s="1">
        <v>141.16919999999999</v>
      </c>
      <c r="X25" s="1">
        <v>138.0496</v>
      </c>
      <c r="Y25" s="1">
        <v>134.48500000000001</v>
      </c>
      <c r="Z25" s="1">
        <v>114.6332</v>
      </c>
      <c r="AA25" s="1">
        <v>122.8556</v>
      </c>
      <c r="AB25" s="1">
        <v>154.4462</v>
      </c>
      <c r="AC25" s="1">
        <v>156.86439999999999</v>
      </c>
      <c r="AD25" s="1"/>
      <c r="AE25" s="1">
        <f t="shared" ref="AE25:AE31" si="11">G25*Q25</f>
        <v>445.50049999999987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60</v>
      </c>
      <c r="B26" s="1" t="s">
        <v>35</v>
      </c>
      <c r="C26" s="1">
        <v>141.81899999999999</v>
      </c>
      <c r="D26" s="1">
        <v>139.43899999999999</v>
      </c>
      <c r="E26" s="1">
        <v>107.045</v>
      </c>
      <c r="F26" s="1">
        <v>145.654</v>
      </c>
      <c r="G26" s="7">
        <v>1</v>
      </c>
      <c r="H26" s="1">
        <v>40</v>
      </c>
      <c r="I26" s="1" t="s">
        <v>36</v>
      </c>
      <c r="J26" s="1"/>
      <c r="K26" s="1">
        <v>109.15</v>
      </c>
      <c r="L26" s="1">
        <f t="shared" si="2"/>
        <v>-2.105000000000004</v>
      </c>
      <c r="M26" s="1"/>
      <c r="N26" s="1"/>
      <c r="O26" s="1">
        <v>79.120999999999981</v>
      </c>
      <c r="P26" s="1">
        <f t="shared" si="3"/>
        <v>21.408999999999999</v>
      </c>
      <c r="Q26" s="5">
        <f t="shared" si="10"/>
        <v>21.428500000000014</v>
      </c>
      <c r="R26" s="1">
        <f t="shared" si="4"/>
        <v>11.5</v>
      </c>
      <c r="S26" s="1">
        <f t="shared" si="5"/>
        <v>10.49908916810687</v>
      </c>
      <c r="T26" s="1">
        <v>22.277999999999999</v>
      </c>
      <c r="U26" s="1">
        <v>11.269600000000001</v>
      </c>
      <c r="V26" s="1">
        <v>12.119400000000001</v>
      </c>
      <c r="W26" s="1">
        <v>22.339200000000002</v>
      </c>
      <c r="X26" s="1">
        <v>22.230799999999999</v>
      </c>
      <c r="Y26" s="1">
        <v>20.890999999999998</v>
      </c>
      <c r="Z26" s="1">
        <v>21.743400000000001</v>
      </c>
      <c r="AA26" s="1">
        <v>31.498799999999999</v>
      </c>
      <c r="AB26" s="1">
        <v>36.451999999999998</v>
      </c>
      <c r="AC26" s="1">
        <v>28.552800000000001</v>
      </c>
      <c r="AD26" s="1"/>
      <c r="AE26" s="1">
        <f t="shared" si="11"/>
        <v>21.428500000000014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61</v>
      </c>
      <c r="B27" s="1" t="s">
        <v>35</v>
      </c>
      <c r="C27" s="1">
        <v>158.28</v>
      </c>
      <c r="D27" s="1">
        <v>586.85</v>
      </c>
      <c r="E27" s="1">
        <v>303.87799999999999</v>
      </c>
      <c r="F27" s="1">
        <v>290.90800000000002</v>
      </c>
      <c r="G27" s="7">
        <v>1</v>
      </c>
      <c r="H27" s="1">
        <v>30</v>
      </c>
      <c r="I27" s="1" t="s">
        <v>36</v>
      </c>
      <c r="J27" s="1"/>
      <c r="K27" s="1">
        <v>308.95</v>
      </c>
      <c r="L27" s="1">
        <f t="shared" si="2"/>
        <v>-5.0720000000000027</v>
      </c>
      <c r="M27" s="1"/>
      <c r="N27" s="1"/>
      <c r="O27" s="1">
        <v>146.155305</v>
      </c>
      <c r="P27" s="1">
        <f t="shared" si="3"/>
        <v>60.775599999999997</v>
      </c>
      <c r="Q27" s="5">
        <f t="shared" si="10"/>
        <v>261.85609499999998</v>
      </c>
      <c r="R27" s="1">
        <f t="shared" si="4"/>
        <v>11.5</v>
      </c>
      <c r="S27" s="1">
        <f t="shared" si="5"/>
        <v>7.191427233955733</v>
      </c>
      <c r="T27" s="1">
        <v>56.317799999999998</v>
      </c>
      <c r="U27" s="1">
        <v>55.660600000000002</v>
      </c>
      <c r="V27" s="1">
        <v>55.000800000000012</v>
      </c>
      <c r="W27" s="1">
        <v>47.564</v>
      </c>
      <c r="X27" s="1">
        <v>47.768799999999999</v>
      </c>
      <c r="Y27" s="1">
        <v>53.683399999999992</v>
      </c>
      <c r="Z27" s="1">
        <v>55.056600000000003</v>
      </c>
      <c r="AA27" s="1">
        <v>34.062199999999997</v>
      </c>
      <c r="AB27" s="1">
        <v>31.221399999999999</v>
      </c>
      <c r="AC27" s="1">
        <v>46.425600000000003</v>
      </c>
      <c r="AD27" s="1"/>
      <c r="AE27" s="1">
        <f t="shared" si="11"/>
        <v>261.85609499999998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62</v>
      </c>
      <c r="B28" s="1" t="s">
        <v>35</v>
      </c>
      <c r="C28" s="1">
        <v>81.960999999999999</v>
      </c>
      <c r="D28" s="1">
        <v>276.57900000000001</v>
      </c>
      <c r="E28" s="1">
        <v>165.072</v>
      </c>
      <c r="F28" s="1">
        <v>116.395</v>
      </c>
      <c r="G28" s="7">
        <v>1</v>
      </c>
      <c r="H28" s="1">
        <v>40</v>
      </c>
      <c r="I28" s="9" t="s">
        <v>46</v>
      </c>
      <c r="J28" s="1"/>
      <c r="K28" s="1">
        <v>156.1</v>
      </c>
      <c r="L28" s="1">
        <f t="shared" si="2"/>
        <v>8.9720000000000084</v>
      </c>
      <c r="M28" s="1"/>
      <c r="N28" s="1"/>
      <c r="O28" s="1">
        <v>48.037800000000168</v>
      </c>
      <c r="P28" s="1">
        <f t="shared" si="3"/>
        <v>33.014400000000002</v>
      </c>
      <c r="Q28" s="5">
        <f t="shared" si="10"/>
        <v>215.23279999999988</v>
      </c>
      <c r="R28" s="1">
        <f t="shared" si="4"/>
        <v>11.5</v>
      </c>
      <c r="S28" s="1">
        <f t="shared" si="5"/>
        <v>4.980638751575075</v>
      </c>
      <c r="T28" s="1">
        <v>36.189800000000012</v>
      </c>
      <c r="U28" s="1">
        <v>40.753799999999998</v>
      </c>
      <c r="V28" s="1">
        <v>40.241199999999999</v>
      </c>
      <c r="W28" s="1">
        <v>43.129600000000003</v>
      </c>
      <c r="X28" s="1">
        <v>39.3996</v>
      </c>
      <c r="Y28" s="1">
        <v>39.060400000000001</v>
      </c>
      <c r="Z28" s="1">
        <v>40.458199999999998</v>
      </c>
      <c r="AA28" s="1">
        <v>28.9742</v>
      </c>
      <c r="AB28" s="1">
        <v>29.550999999999998</v>
      </c>
      <c r="AC28" s="1">
        <v>35.141000000000012</v>
      </c>
      <c r="AD28" s="1"/>
      <c r="AE28" s="1">
        <f t="shared" si="11"/>
        <v>215.23279999999988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63</v>
      </c>
      <c r="B29" s="1" t="s">
        <v>35</v>
      </c>
      <c r="C29" s="1">
        <v>562.03899999999999</v>
      </c>
      <c r="D29" s="1">
        <v>2691.9050000000002</v>
      </c>
      <c r="E29" s="1">
        <v>1395.6659999999999</v>
      </c>
      <c r="F29" s="1">
        <v>1266.7049999999999</v>
      </c>
      <c r="G29" s="7">
        <v>1</v>
      </c>
      <c r="H29" s="1">
        <v>30</v>
      </c>
      <c r="I29" s="1" t="s">
        <v>36</v>
      </c>
      <c r="J29" s="1"/>
      <c r="K29" s="1">
        <v>1433.75</v>
      </c>
      <c r="L29" s="1">
        <f t="shared" si="2"/>
        <v>-38.08400000000006</v>
      </c>
      <c r="M29" s="1"/>
      <c r="N29" s="1"/>
      <c r="O29" s="1">
        <v>834.65929600000015</v>
      </c>
      <c r="P29" s="1">
        <f t="shared" si="3"/>
        <v>279.13319999999999</v>
      </c>
      <c r="Q29" s="5">
        <f t="shared" si="10"/>
        <v>1108.6675039999996</v>
      </c>
      <c r="R29" s="1">
        <f t="shared" si="4"/>
        <v>11.5</v>
      </c>
      <c r="S29" s="1">
        <f t="shared" si="5"/>
        <v>7.5281775725710887</v>
      </c>
      <c r="T29" s="1">
        <v>272.46480000000003</v>
      </c>
      <c r="U29" s="1">
        <v>238.2176</v>
      </c>
      <c r="V29" s="1">
        <v>250.89920000000001</v>
      </c>
      <c r="W29" s="1">
        <v>256.14980000000003</v>
      </c>
      <c r="X29" s="1">
        <v>243.46600000000001</v>
      </c>
      <c r="Y29" s="1">
        <v>244.32079999999999</v>
      </c>
      <c r="Z29" s="1">
        <v>256.52339999999998</v>
      </c>
      <c r="AA29" s="1">
        <v>270.452</v>
      </c>
      <c r="AB29" s="1">
        <v>280.71120000000002</v>
      </c>
      <c r="AC29" s="1">
        <v>310.25920000000002</v>
      </c>
      <c r="AD29" s="1"/>
      <c r="AE29" s="1">
        <f t="shared" si="11"/>
        <v>1108.6675039999996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64</v>
      </c>
      <c r="B30" s="1" t="s">
        <v>35</v>
      </c>
      <c r="C30" s="1"/>
      <c r="D30" s="1">
        <v>162.28700000000001</v>
      </c>
      <c r="E30" s="1">
        <v>12.292</v>
      </c>
      <c r="F30" s="1">
        <v>148.62799999999999</v>
      </c>
      <c r="G30" s="7">
        <v>1</v>
      </c>
      <c r="H30" s="1"/>
      <c r="I30" s="1" t="s">
        <v>36</v>
      </c>
      <c r="J30" s="1"/>
      <c r="K30" s="1">
        <v>12.2</v>
      </c>
      <c r="L30" s="1">
        <f t="shared" si="2"/>
        <v>9.2000000000000526E-2</v>
      </c>
      <c r="M30" s="1"/>
      <c r="N30" s="1"/>
      <c r="O30" s="1">
        <v>0</v>
      </c>
      <c r="P30" s="1">
        <f t="shared" si="3"/>
        <v>2.4584000000000001</v>
      </c>
      <c r="Q30" s="5"/>
      <c r="R30" s="1">
        <f t="shared" si="4"/>
        <v>60.457207940123645</v>
      </c>
      <c r="S30" s="1">
        <f t="shared" si="5"/>
        <v>60.457207940123645</v>
      </c>
      <c r="T30" s="1">
        <v>2.1861999999999999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 t="s">
        <v>65</v>
      </c>
      <c r="AE30" s="1">
        <f t="shared" si="11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66</v>
      </c>
      <c r="B31" s="1" t="s">
        <v>35</v>
      </c>
      <c r="C31" s="1">
        <v>819.46299999999997</v>
      </c>
      <c r="D31" s="1">
        <v>4149.8519999999999</v>
      </c>
      <c r="E31" s="1">
        <v>2060.5819999999999</v>
      </c>
      <c r="F31" s="1">
        <v>2087.7800000000002</v>
      </c>
      <c r="G31" s="7">
        <v>1</v>
      </c>
      <c r="H31" s="1">
        <v>40</v>
      </c>
      <c r="I31" s="1" t="s">
        <v>36</v>
      </c>
      <c r="J31" s="1"/>
      <c r="K31" s="1">
        <v>1950.11</v>
      </c>
      <c r="L31" s="1">
        <f t="shared" si="2"/>
        <v>110.47199999999998</v>
      </c>
      <c r="M31" s="1"/>
      <c r="N31" s="1"/>
      <c r="O31" s="1">
        <v>1124.2952419999999</v>
      </c>
      <c r="P31" s="1">
        <f t="shared" si="3"/>
        <v>412.1164</v>
      </c>
      <c r="Q31" s="5">
        <f t="shared" si="10"/>
        <v>1527.2633579999997</v>
      </c>
      <c r="R31" s="1">
        <f t="shared" si="4"/>
        <v>11.499999999999998</v>
      </c>
      <c r="S31" s="1">
        <f t="shared" si="5"/>
        <v>7.7940971094574252</v>
      </c>
      <c r="T31" s="1">
        <v>413.91719999999998</v>
      </c>
      <c r="U31" s="1">
        <v>376.00360000000001</v>
      </c>
      <c r="V31" s="1">
        <v>381.28300000000002</v>
      </c>
      <c r="W31" s="1">
        <v>367.99079999999998</v>
      </c>
      <c r="X31" s="1">
        <v>334.6694</v>
      </c>
      <c r="Y31" s="1">
        <v>360.96960000000001</v>
      </c>
      <c r="Z31" s="1">
        <v>349.10199999999998</v>
      </c>
      <c r="AA31" s="1">
        <v>355.59320000000002</v>
      </c>
      <c r="AB31" s="1">
        <v>382.23180000000002</v>
      </c>
      <c r="AC31" s="1">
        <v>388.74599999999998</v>
      </c>
      <c r="AD31" s="1"/>
      <c r="AE31" s="1">
        <f t="shared" si="11"/>
        <v>1527.2633579999997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1" t="s">
        <v>67</v>
      </c>
      <c r="B32" s="11" t="s">
        <v>35</v>
      </c>
      <c r="C32" s="11"/>
      <c r="D32" s="11"/>
      <c r="E32" s="11"/>
      <c r="F32" s="11"/>
      <c r="G32" s="12">
        <v>0</v>
      </c>
      <c r="H32" s="11"/>
      <c r="I32" s="11" t="s">
        <v>36</v>
      </c>
      <c r="J32" s="11"/>
      <c r="K32" s="11"/>
      <c r="L32" s="11">
        <f t="shared" si="2"/>
        <v>0</v>
      </c>
      <c r="M32" s="11"/>
      <c r="N32" s="11"/>
      <c r="O32" s="11">
        <v>0</v>
      </c>
      <c r="P32" s="11">
        <f t="shared" si="3"/>
        <v>0</v>
      </c>
      <c r="Q32" s="13"/>
      <c r="R32" s="11" t="e">
        <f t="shared" si="4"/>
        <v>#DIV/0!</v>
      </c>
      <c r="S32" s="11" t="e">
        <f t="shared" si="5"/>
        <v>#DIV/0!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 t="s">
        <v>41</v>
      </c>
      <c r="AE32" s="1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68</v>
      </c>
      <c r="B33" s="1" t="s">
        <v>35</v>
      </c>
      <c r="C33" s="1">
        <v>38.948</v>
      </c>
      <c r="D33" s="1">
        <v>550.98800000000006</v>
      </c>
      <c r="E33" s="1">
        <v>184.17500000000001</v>
      </c>
      <c r="F33" s="1">
        <v>317.84699999999998</v>
      </c>
      <c r="G33" s="7">
        <v>1</v>
      </c>
      <c r="H33" s="1">
        <v>30</v>
      </c>
      <c r="I33" s="1" t="s">
        <v>36</v>
      </c>
      <c r="J33" s="1"/>
      <c r="K33" s="1">
        <v>212.5</v>
      </c>
      <c r="L33" s="1">
        <f t="shared" si="2"/>
        <v>-28.324999999999989</v>
      </c>
      <c r="M33" s="1"/>
      <c r="N33" s="1"/>
      <c r="O33" s="1">
        <v>0</v>
      </c>
      <c r="P33" s="1">
        <f t="shared" si="3"/>
        <v>36.835000000000001</v>
      </c>
      <c r="Q33" s="5">
        <f>11.5*P33-O33-F33</f>
        <v>105.75550000000004</v>
      </c>
      <c r="R33" s="1">
        <f t="shared" si="4"/>
        <v>11.5</v>
      </c>
      <c r="S33" s="1">
        <f t="shared" si="5"/>
        <v>8.6289398669743438</v>
      </c>
      <c r="T33" s="1">
        <v>37.078600000000002</v>
      </c>
      <c r="U33" s="1">
        <v>42.246400000000001</v>
      </c>
      <c r="V33" s="1">
        <v>44.314</v>
      </c>
      <c r="W33" s="1">
        <v>49.142000000000003</v>
      </c>
      <c r="X33" s="1">
        <v>42.608800000000002</v>
      </c>
      <c r="Y33" s="1">
        <v>39.976999999999997</v>
      </c>
      <c r="Z33" s="1">
        <v>38.119399999999999</v>
      </c>
      <c r="AA33" s="1">
        <v>30.584399999999999</v>
      </c>
      <c r="AB33" s="1">
        <v>31.743400000000001</v>
      </c>
      <c r="AC33" s="1">
        <v>43.1676</v>
      </c>
      <c r="AD33" s="1"/>
      <c r="AE33" s="1">
        <f>G33*Q33</f>
        <v>105.75550000000004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1" t="s">
        <v>69</v>
      </c>
      <c r="B34" s="11" t="s">
        <v>35</v>
      </c>
      <c r="C34" s="11"/>
      <c r="D34" s="11"/>
      <c r="E34" s="11"/>
      <c r="F34" s="11"/>
      <c r="G34" s="12">
        <v>0</v>
      </c>
      <c r="H34" s="11"/>
      <c r="I34" s="11" t="s">
        <v>36</v>
      </c>
      <c r="J34" s="11"/>
      <c r="K34" s="11"/>
      <c r="L34" s="11">
        <f t="shared" si="2"/>
        <v>0</v>
      </c>
      <c r="M34" s="11"/>
      <c r="N34" s="11"/>
      <c r="O34" s="11">
        <v>0</v>
      </c>
      <c r="P34" s="11">
        <f t="shared" si="3"/>
        <v>0</v>
      </c>
      <c r="Q34" s="13"/>
      <c r="R34" s="11" t="e">
        <f t="shared" si="4"/>
        <v>#DIV/0!</v>
      </c>
      <c r="S34" s="11" t="e">
        <f t="shared" si="5"/>
        <v>#DIV/0!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 t="s">
        <v>41</v>
      </c>
      <c r="AE34" s="1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1" t="s">
        <v>70</v>
      </c>
      <c r="B35" s="11" t="s">
        <v>35</v>
      </c>
      <c r="C35" s="11"/>
      <c r="D35" s="11"/>
      <c r="E35" s="11"/>
      <c r="F35" s="11"/>
      <c r="G35" s="12">
        <v>0</v>
      </c>
      <c r="H35" s="11"/>
      <c r="I35" s="11" t="s">
        <v>36</v>
      </c>
      <c r="J35" s="11"/>
      <c r="K35" s="11"/>
      <c r="L35" s="11">
        <f t="shared" si="2"/>
        <v>0</v>
      </c>
      <c r="M35" s="11"/>
      <c r="N35" s="11"/>
      <c r="O35" s="11">
        <v>0</v>
      </c>
      <c r="P35" s="11">
        <f t="shared" si="3"/>
        <v>0</v>
      </c>
      <c r="Q35" s="13"/>
      <c r="R35" s="11" t="e">
        <f t="shared" si="4"/>
        <v>#DIV/0!</v>
      </c>
      <c r="S35" s="11" t="e">
        <f t="shared" si="5"/>
        <v>#DIV/0!</v>
      </c>
      <c r="T35" s="11">
        <v>0</v>
      </c>
      <c r="U35" s="11">
        <v>0</v>
      </c>
      <c r="V35" s="11">
        <v>0</v>
      </c>
      <c r="W35" s="11">
        <v>0</v>
      </c>
      <c r="X35" s="11">
        <v>0</v>
      </c>
      <c r="Y35" s="11">
        <v>0</v>
      </c>
      <c r="Z35" s="11">
        <v>0</v>
      </c>
      <c r="AA35" s="11">
        <v>0</v>
      </c>
      <c r="AB35" s="11">
        <v>0</v>
      </c>
      <c r="AC35" s="11">
        <v>0</v>
      </c>
      <c r="AD35" s="11" t="s">
        <v>41</v>
      </c>
      <c r="AE35" s="1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40</v>
      </c>
      <c r="C36" s="1">
        <v>1656</v>
      </c>
      <c r="D36" s="1">
        <v>11748</v>
      </c>
      <c r="E36" s="1">
        <v>4937</v>
      </c>
      <c r="F36" s="1">
        <v>6178</v>
      </c>
      <c r="G36" s="7">
        <v>0.4</v>
      </c>
      <c r="H36" s="1">
        <v>45</v>
      </c>
      <c r="I36" s="1" t="s">
        <v>36</v>
      </c>
      <c r="J36" s="1"/>
      <c r="K36" s="1">
        <v>5189</v>
      </c>
      <c r="L36" s="1">
        <f t="shared" si="2"/>
        <v>-252</v>
      </c>
      <c r="M36" s="1"/>
      <c r="N36" s="1"/>
      <c r="O36" s="1">
        <v>1031.162000000003</v>
      </c>
      <c r="P36" s="1">
        <f t="shared" si="3"/>
        <v>987.4</v>
      </c>
      <c r="Q36" s="5">
        <f t="shared" ref="Q36:Q69" si="12">11.5*P36-O36-F36</f>
        <v>4145.9379999999983</v>
      </c>
      <c r="R36" s="1">
        <f t="shared" si="4"/>
        <v>11.500000000000002</v>
      </c>
      <c r="S36" s="1">
        <f t="shared" si="5"/>
        <v>7.3011565728175034</v>
      </c>
      <c r="T36" s="1">
        <v>985</v>
      </c>
      <c r="U36" s="1">
        <v>1014.8</v>
      </c>
      <c r="V36" s="1">
        <v>1044.8</v>
      </c>
      <c r="W36" s="1">
        <v>1015.6</v>
      </c>
      <c r="X36" s="1">
        <v>977.8</v>
      </c>
      <c r="Y36" s="1">
        <v>931.4</v>
      </c>
      <c r="Z36" s="1">
        <v>904.4</v>
      </c>
      <c r="AA36" s="1">
        <v>986.06000000000006</v>
      </c>
      <c r="AB36" s="1">
        <v>1036.6600000000001</v>
      </c>
      <c r="AC36" s="1">
        <v>1083.5999999999999</v>
      </c>
      <c r="AD36" s="1"/>
      <c r="AE36" s="1">
        <f t="shared" ref="AE36:AE69" si="13">G36*Q36</f>
        <v>1658.3751999999995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72</v>
      </c>
      <c r="B37" s="1" t="s">
        <v>40</v>
      </c>
      <c r="C37" s="1">
        <v>2</v>
      </c>
      <c r="D37" s="1">
        <v>1609</v>
      </c>
      <c r="E37" s="1">
        <v>374</v>
      </c>
      <c r="F37" s="1">
        <v>631</v>
      </c>
      <c r="G37" s="7">
        <v>0.45</v>
      </c>
      <c r="H37" s="1">
        <v>50</v>
      </c>
      <c r="I37" s="1" t="s">
        <v>36</v>
      </c>
      <c r="J37" s="1"/>
      <c r="K37" s="1">
        <v>519</v>
      </c>
      <c r="L37" s="1">
        <f t="shared" si="2"/>
        <v>-145</v>
      </c>
      <c r="M37" s="1"/>
      <c r="N37" s="1"/>
      <c r="O37" s="1">
        <v>0</v>
      </c>
      <c r="P37" s="1">
        <f t="shared" si="3"/>
        <v>74.8</v>
      </c>
      <c r="Q37" s="5">
        <f t="shared" si="12"/>
        <v>229.19999999999993</v>
      </c>
      <c r="R37" s="1">
        <f t="shared" si="4"/>
        <v>11.5</v>
      </c>
      <c r="S37" s="1">
        <f t="shared" si="5"/>
        <v>8.4358288770053473</v>
      </c>
      <c r="T37" s="1">
        <v>72.2</v>
      </c>
      <c r="U37" s="1">
        <v>106.8</v>
      </c>
      <c r="V37" s="1">
        <v>106.4</v>
      </c>
      <c r="W37" s="1">
        <v>99.6</v>
      </c>
      <c r="X37" s="1">
        <v>93.4</v>
      </c>
      <c r="Y37" s="1">
        <v>77.2</v>
      </c>
      <c r="Z37" s="1">
        <v>88.4</v>
      </c>
      <c r="AA37" s="1">
        <v>113.2</v>
      </c>
      <c r="AB37" s="1">
        <v>104.8</v>
      </c>
      <c r="AC37" s="1">
        <v>113.8</v>
      </c>
      <c r="AD37" s="1"/>
      <c r="AE37" s="1">
        <f t="shared" si="13"/>
        <v>103.13999999999997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73</v>
      </c>
      <c r="B38" s="1" t="s">
        <v>40</v>
      </c>
      <c r="C38" s="1">
        <v>266</v>
      </c>
      <c r="D38" s="1">
        <v>2536</v>
      </c>
      <c r="E38" s="1">
        <v>998</v>
      </c>
      <c r="F38" s="1">
        <v>848</v>
      </c>
      <c r="G38" s="7">
        <v>0.4</v>
      </c>
      <c r="H38" s="1">
        <v>45</v>
      </c>
      <c r="I38" s="9" t="s">
        <v>46</v>
      </c>
      <c r="J38" s="1"/>
      <c r="K38" s="1">
        <v>1161</v>
      </c>
      <c r="L38" s="1">
        <f t="shared" ref="L38:L69" si="14">E38-K38</f>
        <v>-163</v>
      </c>
      <c r="M38" s="1"/>
      <c r="N38" s="1"/>
      <c r="O38" s="1">
        <v>327.89999999999969</v>
      </c>
      <c r="P38" s="1">
        <f t="shared" ref="P38:P69" si="15">E38/5</f>
        <v>199.6</v>
      </c>
      <c r="Q38" s="5">
        <f t="shared" si="12"/>
        <v>1119.5000000000005</v>
      </c>
      <c r="R38" s="1">
        <f t="shared" ref="R38:R69" si="16">(F38+O38+Q38)/P38</f>
        <v>11.5</v>
      </c>
      <c r="S38" s="1">
        <f t="shared" ref="S38:S69" si="17">(F38+O38)/P38</f>
        <v>5.8912825651302585</v>
      </c>
      <c r="T38" s="1">
        <v>181</v>
      </c>
      <c r="U38" s="1">
        <v>182.4</v>
      </c>
      <c r="V38" s="1">
        <v>198</v>
      </c>
      <c r="W38" s="1">
        <v>182</v>
      </c>
      <c r="X38" s="1">
        <v>176.4</v>
      </c>
      <c r="Y38" s="1">
        <v>177.2</v>
      </c>
      <c r="Z38" s="1">
        <v>188</v>
      </c>
      <c r="AA38" s="1">
        <v>197.4</v>
      </c>
      <c r="AB38" s="1">
        <v>174.8</v>
      </c>
      <c r="AC38" s="1">
        <v>159.4</v>
      </c>
      <c r="AD38" s="1"/>
      <c r="AE38" s="1">
        <f t="shared" si="13"/>
        <v>447.80000000000018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74</v>
      </c>
      <c r="B39" s="1" t="s">
        <v>40</v>
      </c>
      <c r="C39" s="1">
        <v>3</v>
      </c>
      <c r="D39" s="1">
        <v>62</v>
      </c>
      <c r="E39" s="1">
        <v>10</v>
      </c>
      <c r="F39" s="1">
        <v>48</v>
      </c>
      <c r="G39" s="7">
        <v>0.4</v>
      </c>
      <c r="H39" s="1">
        <v>40</v>
      </c>
      <c r="I39" s="1" t="s">
        <v>36</v>
      </c>
      <c r="J39" s="1"/>
      <c r="K39" s="1">
        <v>17</v>
      </c>
      <c r="L39" s="1">
        <f t="shared" si="14"/>
        <v>-7</v>
      </c>
      <c r="M39" s="1"/>
      <c r="N39" s="1"/>
      <c r="O39" s="1">
        <v>0</v>
      </c>
      <c r="P39" s="1">
        <f t="shared" si="15"/>
        <v>2</v>
      </c>
      <c r="Q39" s="5"/>
      <c r="R39" s="1">
        <f t="shared" si="16"/>
        <v>24</v>
      </c>
      <c r="S39" s="1">
        <f t="shared" si="17"/>
        <v>24</v>
      </c>
      <c r="T39" s="1">
        <v>3</v>
      </c>
      <c r="U39" s="1">
        <v>4.8</v>
      </c>
      <c r="V39" s="1">
        <v>3.6</v>
      </c>
      <c r="W39" s="1">
        <v>3.4</v>
      </c>
      <c r="X39" s="1">
        <v>3.6</v>
      </c>
      <c r="Y39" s="1">
        <v>2.8</v>
      </c>
      <c r="Z39" s="1">
        <v>3.4</v>
      </c>
      <c r="AA39" s="1">
        <v>3.6</v>
      </c>
      <c r="AB39" s="1">
        <v>2.6</v>
      </c>
      <c r="AC39" s="1">
        <v>1.6</v>
      </c>
      <c r="AD39" s="1"/>
      <c r="AE39" s="1">
        <f t="shared" si="13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75</v>
      </c>
      <c r="B40" s="1" t="s">
        <v>35</v>
      </c>
      <c r="C40" s="1">
        <v>42.015000000000001</v>
      </c>
      <c r="D40" s="1">
        <v>344.78199999999998</v>
      </c>
      <c r="E40" s="1">
        <v>126.896</v>
      </c>
      <c r="F40" s="1">
        <v>194.15600000000001</v>
      </c>
      <c r="G40" s="7">
        <v>1</v>
      </c>
      <c r="H40" s="1">
        <v>45</v>
      </c>
      <c r="I40" s="1" t="s">
        <v>36</v>
      </c>
      <c r="J40" s="1"/>
      <c r="K40" s="1">
        <v>130.56</v>
      </c>
      <c r="L40" s="1">
        <f t="shared" si="14"/>
        <v>-3.6640000000000015</v>
      </c>
      <c r="M40" s="1"/>
      <c r="N40" s="1"/>
      <c r="O40" s="1">
        <v>0</v>
      </c>
      <c r="P40" s="1">
        <f t="shared" si="15"/>
        <v>25.379200000000001</v>
      </c>
      <c r="Q40" s="5">
        <f t="shared" si="12"/>
        <v>97.704799999999977</v>
      </c>
      <c r="R40" s="1">
        <f t="shared" si="16"/>
        <v>11.499999999999998</v>
      </c>
      <c r="S40" s="1">
        <f t="shared" si="17"/>
        <v>7.6502017400075655</v>
      </c>
      <c r="T40" s="1">
        <v>22.952999999999999</v>
      </c>
      <c r="U40" s="1">
        <v>27.289400000000001</v>
      </c>
      <c r="V40" s="1">
        <v>28.3154</v>
      </c>
      <c r="W40" s="1">
        <v>25.433800000000002</v>
      </c>
      <c r="X40" s="1">
        <v>17.929600000000001</v>
      </c>
      <c r="Y40" s="1">
        <v>24.651</v>
      </c>
      <c r="Z40" s="1">
        <v>30.5916</v>
      </c>
      <c r="AA40" s="1">
        <v>23.4132</v>
      </c>
      <c r="AB40" s="1">
        <v>27.113600000000002</v>
      </c>
      <c r="AC40" s="1">
        <v>26.136800000000001</v>
      </c>
      <c r="AD40" s="1"/>
      <c r="AE40" s="1">
        <f t="shared" si="13"/>
        <v>97.704799999999977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76</v>
      </c>
      <c r="B41" s="1" t="s">
        <v>40</v>
      </c>
      <c r="C41" s="1">
        <v>228</v>
      </c>
      <c r="D41" s="1">
        <v>766</v>
      </c>
      <c r="E41" s="1">
        <v>271</v>
      </c>
      <c r="F41" s="1">
        <v>514</v>
      </c>
      <c r="G41" s="7">
        <v>0.1</v>
      </c>
      <c r="H41" s="1">
        <v>731</v>
      </c>
      <c r="I41" s="1" t="s">
        <v>36</v>
      </c>
      <c r="J41" s="1"/>
      <c r="K41" s="1">
        <v>272</v>
      </c>
      <c r="L41" s="1">
        <f t="shared" si="14"/>
        <v>-1</v>
      </c>
      <c r="M41" s="1"/>
      <c r="N41" s="1"/>
      <c r="O41" s="1">
        <v>0</v>
      </c>
      <c r="P41" s="1">
        <f t="shared" si="15"/>
        <v>54.2</v>
      </c>
      <c r="Q41" s="5">
        <f t="shared" si="12"/>
        <v>109.30000000000007</v>
      </c>
      <c r="R41" s="1">
        <f t="shared" si="16"/>
        <v>11.5</v>
      </c>
      <c r="S41" s="1">
        <f t="shared" si="17"/>
        <v>9.4833948339483385</v>
      </c>
      <c r="T41" s="1">
        <v>54.2</v>
      </c>
      <c r="U41" s="1">
        <v>72.8</v>
      </c>
      <c r="V41" s="1">
        <v>85.2</v>
      </c>
      <c r="W41" s="1">
        <v>85.6</v>
      </c>
      <c r="X41" s="1">
        <v>79.2</v>
      </c>
      <c r="Y41" s="1">
        <v>79</v>
      </c>
      <c r="Z41" s="1">
        <v>73.400000000000006</v>
      </c>
      <c r="AA41" s="1">
        <v>76.599999999999994</v>
      </c>
      <c r="AB41" s="1">
        <v>83.2</v>
      </c>
      <c r="AC41" s="1">
        <v>87.4</v>
      </c>
      <c r="AD41" s="1"/>
      <c r="AE41" s="1">
        <f t="shared" si="13"/>
        <v>10.930000000000007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77</v>
      </c>
      <c r="B42" s="1" t="s">
        <v>40</v>
      </c>
      <c r="C42" s="1">
        <v>12</v>
      </c>
      <c r="D42" s="1">
        <v>981</v>
      </c>
      <c r="E42" s="1">
        <v>327</v>
      </c>
      <c r="F42" s="1">
        <v>460</v>
      </c>
      <c r="G42" s="7">
        <v>0.35</v>
      </c>
      <c r="H42" s="1">
        <v>40</v>
      </c>
      <c r="I42" s="9" t="s">
        <v>78</v>
      </c>
      <c r="J42" s="1"/>
      <c r="K42" s="1">
        <v>374</v>
      </c>
      <c r="L42" s="1">
        <f t="shared" si="14"/>
        <v>-47</v>
      </c>
      <c r="M42" s="1"/>
      <c r="N42" s="1"/>
      <c r="O42" s="1">
        <v>0</v>
      </c>
      <c r="P42" s="1">
        <f t="shared" si="15"/>
        <v>65.400000000000006</v>
      </c>
      <c r="Q42" s="5">
        <f t="shared" si="12"/>
        <v>292.10000000000002</v>
      </c>
      <c r="R42" s="1">
        <f t="shared" si="16"/>
        <v>11.5</v>
      </c>
      <c r="S42" s="1">
        <f t="shared" si="17"/>
        <v>7.0336391437308858</v>
      </c>
      <c r="T42" s="1">
        <v>23.6</v>
      </c>
      <c r="U42" s="1">
        <v>47</v>
      </c>
      <c r="V42" s="1">
        <v>98.2</v>
      </c>
      <c r="W42" s="1">
        <v>74</v>
      </c>
      <c r="X42" s="1">
        <v>23</v>
      </c>
      <c r="Y42" s="1">
        <v>28.2</v>
      </c>
      <c r="Z42" s="1">
        <v>59.2</v>
      </c>
      <c r="AA42" s="1">
        <v>32.200000000000003</v>
      </c>
      <c r="AB42" s="1">
        <v>1.2</v>
      </c>
      <c r="AC42" s="1">
        <v>-0.2</v>
      </c>
      <c r="AD42" s="1" t="s">
        <v>79</v>
      </c>
      <c r="AE42" s="1">
        <f t="shared" si="13"/>
        <v>102.235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80</v>
      </c>
      <c r="B43" s="1" t="s">
        <v>35</v>
      </c>
      <c r="C43" s="1">
        <v>115.52500000000001</v>
      </c>
      <c r="D43" s="1">
        <v>340.673</v>
      </c>
      <c r="E43" s="1">
        <v>92.408000000000001</v>
      </c>
      <c r="F43" s="1">
        <v>340.65899999999999</v>
      </c>
      <c r="G43" s="7">
        <v>1</v>
      </c>
      <c r="H43" s="1">
        <v>40</v>
      </c>
      <c r="I43" s="1" t="s">
        <v>36</v>
      </c>
      <c r="J43" s="1"/>
      <c r="K43" s="1">
        <v>99.65</v>
      </c>
      <c r="L43" s="1">
        <f t="shared" si="14"/>
        <v>-7.2420000000000044</v>
      </c>
      <c r="M43" s="1"/>
      <c r="N43" s="1"/>
      <c r="O43" s="1">
        <v>0</v>
      </c>
      <c r="P43" s="1">
        <f t="shared" si="15"/>
        <v>18.4816</v>
      </c>
      <c r="Q43" s="5"/>
      <c r="R43" s="1">
        <f t="shared" si="16"/>
        <v>18.432332698467665</v>
      </c>
      <c r="S43" s="1">
        <f t="shared" si="17"/>
        <v>18.432332698467665</v>
      </c>
      <c r="T43" s="1">
        <v>21.433199999999999</v>
      </c>
      <c r="U43" s="1">
        <v>21.7224</v>
      </c>
      <c r="V43" s="1">
        <v>22.284199999999998</v>
      </c>
      <c r="W43" s="1">
        <v>24.135400000000001</v>
      </c>
      <c r="X43" s="1">
        <v>26.602599999999999</v>
      </c>
      <c r="Y43" s="1">
        <v>26.461400000000001</v>
      </c>
      <c r="Z43" s="1">
        <v>25.2514</v>
      </c>
      <c r="AA43" s="1">
        <v>12.7476</v>
      </c>
      <c r="AB43" s="1">
        <v>5.3621999999999996</v>
      </c>
      <c r="AC43" s="1">
        <v>18.358599999999999</v>
      </c>
      <c r="AD43" s="1"/>
      <c r="AE43" s="1">
        <f t="shared" si="13"/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81</v>
      </c>
      <c r="B44" s="1" t="s">
        <v>40</v>
      </c>
      <c r="C44" s="1">
        <v>93</v>
      </c>
      <c r="D44" s="1">
        <v>1250</v>
      </c>
      <c r="E44" s="1">
        <v>307</v>
      </c>
      <c r="F44" s="1">
        <v>740</v>
      </c>
      <c r="G44" s="7">
        <v>0.4</v>
      </c>
      <c r="H44" s="1">
        <v>40</v>
      </c>
      <c r="I44" s="1" t="s">
        <v>36</v>
      </c>
      <c r="J44" s="1"/>
      <c r="K44" s="1">
        <v>385</v>
      </c>
      <c r="L44" s="1">
        <f t="shared" si="14"/>
        <v>-78</v>
      </c>
      <c r="M44" s="1"/>
      <c r="N44" s="1"/>
      <c r="O44" s="1">
        <v>0</v>
      </c>
      <c r="P44" s="1">
        <f t="shared" si="15"/>
        <v>61.4</v>
      </c>
      <c r="Q44" s="5"/>
      <c r="R44" s="1">
        <f t="shared" si="16"/>
        <v>12.052117263843648</v>
      </c>
      <c r="S44" s="1">
        <f t="shared" si="17"/>
        <v>12.052117263843648</v>
      </c>
      <c r="T44" s="1">
        <v>71.599999999999994</v>
      </c>
      <c r="U44" s="1">
        <v>93.4</v>
      </c>
      <c r="V44" s="1">
        <v>93.6</v>
      </c>
      <c r="W44" s="1">
        <v>44.8</v>
      </c>
      <c r="X44" s="1">
        <v>29.8</v>
      </c>
      <c r="Y44" s="1">
        <v>66.8</v>
      </c>
      <c r="Z44" s="1">
        <v>81.8</v>
      </c>
      <c r="AA44" s="1">
        <v>99.6</v>
      </c>
      <c r="AB44" s="1">
        <v>112</v>
      </c>
      <c r="AC44" s="1">
        <v>121.8</v>
      </c>
      <c r="AD44" s="1"/>
      <c r="AE44" s="1">
        <f t="shared" si="13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82</v>
      </c>
      <c r="B45" s="1" t="s">
        <v>40</v>
      </c>
      <c r="C45" s="1">
        <v>104</v>
      </c>
      <c r="D45" s="1">
        <v>988</v>
      </c>
      <c r="E45" s="1">
        <v>279</v>
      </c>
      <c r="F45" s="1">
        <v>496</v>
      </c>
      <c r="G45" s="7">
        <v>0.4</v>
      </c>
      <c r="H45" s="1">
        <v>45</v>
      </c>
      <c r="I45" s="1" t="s">
        <v>36</v>
      </c>
      <c r="J45" s="1"/>
      <c r="K45" s="1">
        <v>428</v>
      </c>
      <c r="L45" s="1">
        <f t="shared" si="14"/>
        <v>-149</v>
      </c>
      <c r="M45" s="1"/>
      <c r="N45" s="1"/>
      <c r="O45" s="1">
        <v>0</v>
      </c>
      <c r="P45" s="1">
        <f t="shared" si="15"/>
        <v>55.8</v>
      </c>
      <c r="Q45" s="5">
        <f t="shared" si="12"/>
        <v>145.69999999999993</v>
      </c>
      <c r="R45" s="1">
        <f t="shared" si="16"/>
        <v>11.5</v>
      </c>
      <c r="S45" s="1">
        <f t="shared" si="17"/>
        <v>8.8888888888888893</v>
      </c>
      <c r="T45" s="1">
        <v>52.8</v>
      </c>
      <c r="U45" s="1">
        <v>71.599999999999994</v>
      </c>
      <c r="V45" s="1">
        <v>69.400000000000006</v>
      </c>
      <c r="W45" s="1">
        <v>62.4</v>
      </c>
      <c r="X45" s="1">
        <v>58.6</v>
      </c>
      <c r="Y45" s="1">
        <v>60.4</v>
      </c>
      <c r="Z45" s="1">
        <v>45</v>
      </c>
      <c r="AA45" s="1">
        <v>33.799999999999997</v>
      </c>
      <c r="AB45" s="1">
        <v>43.2</v>
      </c>
      <c r="AC45" s="1">
        <v>55.2</v>
      </c>
      <c r="AD45" s="1"/>
      <c r="AE45" s="1">
        <f t="shared" si="13"/>
        <v>58.279999999999973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83</v>
      </c>
      <c r="B46" s="1" t="s">
        <v>35</v>
      </c>
      <c r="C46" s="1">
        <v>221.00399999999999</v>
      </c>
      <c r="D46" s="1">
        <v>775.70600000000002</v>
      </c>
      <c r="E46" s="1">
        <v>200.51300000000001</v>
      </c>
      <c r="F46" s="1">
        <v>725.27499999999998</v>
      </c>
      <c r="G46" s="7">
        <v>1</v>
      </c>
      <c r="H46" s="1">
        <v>40</v>
      </c>
      <c r="I46" s="1" t="s">
        <v>36</v>
      </c>
      <c r="J46" s="1"/>
      <c r="K46" s="1">
        <v>208.55</v>
      </c>
      <c r="L46" s="1">
        <f t="shared" si="14"/>
        <v>-8.0370000000000061</v>
      </c>
      <c r="M46" s="1"/>
      <c r="N46" s="1"/>
      <c r="O46" s="1">
        <v>0</v>
      </c>
      <c r="P46" s="1">
        <f t="shared" si="15"/>
        <v>40.102600000000002</v>
      </c>
      <c r="Q46" s="5"/>
      <c r="R46" s="1">
        <f t="shared" si="16"/>
        <v>18.085485729104846</v>
      </c>
      <c r="S46" s="1">
        <f t="shared" si="17"/>
        <v>18.085485729104846</v>
      </c>
      <c r="T46" s="1">
        <v>43.654200000000003</v>
      </c>
      <c r="U46" s="1">
        <v>55.885199999999998</v>
      </c>
      <c r="V46" s="1">
        <v>68.31219999999999</v>
      </c>
      <c r="W46" s="1">
        <v>64.00800000000001</v>
      </c>
      <c r="X46" s="1">
        <v>63.973999999999997</v>
      </c>
      <c r="Y46" s="1">
        <v>63.660200000000003</v>
      </c>
      <c r="Z46" s="1">
        <v>81.626599999999996</v>
      </c>
      <c r="AA46" s="1">
        <v>49.550800000000002</v>
      </c>
      <c r="AB46" s="1">
        <v>8.9260000000000002</v>
      </c>
      <c r="AC46" s="1">
        <v>-0.46539999999999998</v>
      </c>
      <c r="AD46" s="1"/>
      <c r="AE46" s="1">
        <f t="shared" si="13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84</v>
      </c>
      <c r="B47" s="1" t="s">
        <v>40</v>
      </c>
      <c r="C47" s="1">
        <v>-1</v>
      </c>
      <c r="D47" s="1">
        <v>2459</v>
      </c>
      <c r="E47" s="1">
        <v>1084</v>
      </c>
      <c r="F47" s="1">
        <v>1032</v>
      </c>
      <c r="G47" s="7">
        <v>0.35</v>
      </c>
      <c r="H47" s="1">
        <v>40</v>
      </c>
      <c r="I47" s="9" t="s">
        <v>46</v>
      </c>
      <c r="J47" s="1"/>
      <c r="K47" s="1">
        <v>1143</v>
      </c>
      <c r="L47" s="1">
        <f t="shared" si="14"/>
        <v>-59</v>
      </c>
      <c r="M47" s="1"/>
      <c r="N47" s="1"/>
      <c r="O47" s="1">
        <v>0</v>
      </c>
      <c r="P47" s="1">
        <f t="shared" si="15"/>
        <v>216.8</v>
      </c>
      <c r="Q47" s="5">
        <f t="shared" si="12"/>
        <v>1461.2000000000003</v>
      </c>
      <c r="R47" s="1">
        <f t="shared" si="16"/>
        <v>11.5</v>
      </c>
      <c r="S47" s="1">
        <f t="shared" si="17"/>
        <v>4.7601476014760147</v>
      </c>
      <c r="T47" s="1">
        <v>81.2</v>
      </c>
      <c r="U47" s="1">
        <v>1</v>
      </c>
      <c r="V47" s="1">
        <v>131.6</v>
      </c>
      <c r="W47" s="1">
        <v>245.2</v>
      </c>
      <c r="X47" s="1">
        <v>114.4</v>
      </c>
      <c r="Y47" s="1">
        <v>137.6</v>
      </c>
      <c r="Z47" s="1">
        <v>203.4</v>
      </c>
      <c r="AA47" s="1">
        <v>106.6</v>
      </c>
      <c r="AB47" s="1">
        <v>39.4</v>
      </c>
      <c r="AC47" s="1">
        <v>32</v>
      </c>
      <c r="AD47" s="1"/>
      <c r="AE47" s="1">
        <f t="shared" si="13"/>
        <v>511.42000000000007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85</v>
      </c>
      <c r="B48" s="1" t="s">
        <v>40</v>
      </c>
      <c r="C48" s="1">
        <v>264</v>
      </c>
      <c r="D48" s="1">
        <v>1378</v>
      </c>
      <c r="E48" s="1">
        <v>606</v>
      </c>
      <c r="F48" s="1">
        <v>701</v>
      </c>
      <c r="G48" s="7">
        <v>0.4</v>
      </c>
      <c r="H48" s="1">
        <v>40</v>
      </c>
      <c r="I48" s="1" t="s">
        <v>36</v>
      </c>
      <c r="J48" s="1"/>
      <c r="K48" s="1">
        <v>624</v>
      </c>
      <c r="L48" s="1">
        <f t="shared" si="14"/>
        <v>-18</v>
      </c>
      <c r="M48" s="1"/>
      <c r="N48" s="1"/>
      <c r="O48" s="1">
        <v>289.41900000000061</v>
      </c>
      <c r="P48" s="1">
        <f t="shared" si="15"/>
        <v>121.2</v>
      </c>
      <c r="Q48" s="5">
        <f t="shared" si="12"/>
        <v>403.3809999999994</v>
      </c>
      <c r="R48" s="1">
        <f t="shared" si="16"/>
        <v>11.5</v>
      </c>
      <c r="S48" s="1">
        <f t="shared" si="17"/>
        <v>8.1717739273927439</v>
      </c>
      <c r="T48" s="1">
        <v>131.80000000000001</v>
      </c>
      <c r="U48" s="1">
        <v>121</v>
      </c>
      <c r="V48" s="1">
        <v>125.6</v>
      </c>
      <c r="W48" s="1">
        <v>139.19999999999999</v>
      </c>
      <c r="X48" s="1">
        <v>135</v>
      </c>
      <c r="Y48" s="1">
        <v>122.6</v>
      </c>
      <c r="Z48" s="1">
        <v>107.2</v>
      </c>
      <c r="AA48" s="1">
        <v>108</v>
      </c>
      <c r="AB48" s="1">
        <v>131.80000000000001</v>
      </c>
      <c r="AC48" s="1">
        <v>146.19999999999999</v>
      </c>
      <c r="AD48" s="1"/>
      <c r="AE48" s="1">
        <f t="shared" si="13"/>
        <v>161.35239999999976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86</v>
      </c>
      <c r="B49" s="1" t="s">
        <v>35</v>
      </c>
      <c r="C49" s="1">
        <v>369.17</v>
      </c>
      <c r="D49" s="1">
        <v>1376.8489999999999</v>
      </c>
      <c r="E49" s="1">
        <v>648.13099999999997</v>
      </c>
      <c r="F49" s="1">
        <v>818.00099999999998</v>
      </c>
      <c r="G49" s="7">
        <v>1</v>
      </c>
      <c r="H49" s="1">
        <v>50</v>
      </c>
      <c r="I49" s="1" t="s">
        <v>36</v>
      </c>
      <c r="J49" s="1"/>
      <c r="K49" s="1">
        <v>646.65</v>
      </c>
      <c r="L49" s="1">
        <f t="shared" si="14"/>
        <v>1.4809999999999945</v>
      </c>
      <c r="M49" s="1"/>
      <c r="N49" s="1"/>
      <c r="O49" s="1">
        <v>264.18918199999962</v>
      </c>
      <c r="P49" s="1">
        <f t="shared" si="15"/>
        <v>129.62619999999998</v>
      </c>
      <c r="Q49" s="5">
        <f t="shared" si="12"/>
        <v>408.51111800000012</v>
      </c>
      <c r="R49" s="1">
        <f t="shared" si="16"/>
        <v>11.5</v>
      </c>
      <c r="S49" s="1">
        <f t="shared" si="17"/>
        <v>8.3485451397942683</v>
      </c>
      <c r="T49" s="1">
        <v>135.1096</v>
      </c>
      <c r="U49" s="1">
        <v>130.91800000000001</v>
      </c>
      <c r="V49" s="1">
        <v>129.76339999999999</v>
      </c>
      <c r="W49" s="1">
        <v>88.131</v>
      </c>
      <c r="X49" s="1">
        <v>89.808199999999999</v>
      </c>
      <c r="Y49" s="1">
        <v>121.25839999999999</v>
      </c>
      <c r="Z49" s="1">
        <v>100.7212</v>
      </c>
      <c r="AA49" s="1">
        <v>84.682000000000002</v>
      </c>
      <c r="AB49" s="1">
        <v>101.071</v>
      </c>
      <c r="AC49" s="1">
        <v>105.2124</v>
      </c>
      <c r="AD49" s="1"/>
      <c r="AE49" s="1">
        <f t="shared" si="13"/>
        <v>408.51111800000012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87</v>
      </c>
      <c r="B50" s="1" t="s">
        <v>35</v>
      </c>
      <c r="C50" s="1">
        <v>405.7</v>
      </c>
      <c r="D50" s="1">
        <v>1798.7180000000001</v>
      </c>
      <c r="E50" s="1">
        <v>733.82899999999995</v>
      </c>
      <c r="F50" s="1">
        <v>1070.9580000000001</v>
      </c>
      <c r="G50" s="7">
        <v>1</v>
      </c>
      <c r="H50" s="1">
        <v>50</v>
      </c>
      <c r="I50" s="1" t="s">
        <v>36</v>
      </c>
      <c r="J50" s="1"/>
      <c r="K50" s="1">
        <v>741.4</v>
      </c>
      <c r="L50" s="1">
        <f t="shared" si="14"/>
        <v>-7.5710000000000264</v>
      </c>
      <c r="M50" s="1"/>
      <c r="N50" s="1"/>
      <c r="O50" s="1">
        <v>184.7221999999999</v>
      </c>
      <c r="P50" s="1">
        <f t="shared" si="15"/>
        <v>146.76579999999998</v>
      </c>
      <c r="Q50" s="5">
        <f t="shared" si="12"/>
        <v>432.12649999999985</v>
      </c>
      <c r="R50" s="1">
        <f t="shared" si="16"/>
        <v>11.5</v>
      </c>
      <c r="S50" s="1">
        <f t="shared" si="17"/>
        <v>8.5556730518962869</v>
      </c>
      <c r="T50" s="1">
        <v>151.7244</v>
      </c>
      <c r="U50" s="1">
        <v>148.33439999999999</v>
      </c>
      <c r="V50" s="1">
        <v>143.39179999999999</v>
      </c>
      <c r="W50" s="1">
        <v>149.0598</v>
      </c>
      <c r="X50" s="1">
        <v>155.542</v>
      </c>
      <c r="Y50" s="1">
        <v>149.3494</v>
      </c>
      <c r="Z50" s="1">
        <v>132.19200000000001</v>
      </c>
      <c r="AA50" s="1">
        <v>116.61360000000001</v>
      </c>
      <c r="AB50" s="1">
        <v>124.0046</v>
      </c>
      <c r="AC50" s="1">
        <v>146.42580000000001</v>
      </c>
      <c r="AD50" s="1"/>
      <c r="AE50" s="1">
        <f t="shared" si="13"/>
        <v>432.12649999999985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88</v>
      </c>
      <c r="B51" s="1" t="s">
        <v>35</v>
      </c>
      <c r="C51" s="1">
        <v>22.597000000000001</v>
      </c>
      <c r="D51" s="1">
        <v>60.32</v>
      </c>
      <c r="E51" s="1">
        <v>8.8379999999999992</v>
      </c>
      <c r="F51" s="1">
        <v>74.078999999999994</v>
      </c>
      <c r="G51" s="7">
        <v>1</v>
      </c>
      <c r="H51" s="1">
        <v>45</v>
      </c>
      <c r="I51" s="10" t="s">
        <v>89</v>
      </c>
      <c r="J51" s="1"/>
      <c r="K51" s="1">
        <v>7.8</v>
      </c>
      <c r="L51" s="1">
        <f t="shared" si="14"/>
        <v>1.0379999999999994</v>
      </c>
      <c r="M51" s="1"/>
      <c r="N51" s="1"/>
      <c r="O51" s="1">
        <v>0</v>
      </c>
      <c r="P51" s="1">
        <f t="shared" si="15"/>
        <v>1.7675999999999998</v>
      </c>
      <c r="Q51" s="5"/>
      <c r="R51" s="1">
        <f t="shared" si="16"/>
        <v>41.909368635437879</v>
      </c>
      <c r="S51" s="1">
        <f t="shared" si="17"/>
        <v>41.909368635437879</v>
      </c>
      <c r="T51" s="1">
        <v>0.87240000000000006</v>
      </c>
      <c r="U51" s="1">
        <v>2.0499999999999998</v>
      </c>
      <c r="V51" s="1">
        <v>2.3620000000000001</v>
      </c>
      <c r="W51" s="1">
        <v>0.60099999999999998</v>
      </c>
      <c r="X51" s="1">
        <v>0</v>
      </c>
      <c r="Y51" s="1">
        <v>0</v>
      </c>
      <c r="Z51" s="1">
        <v>0</v>
      </c>
      <c r="AA51" s="1">
        <v>0.29899999999999999</v>
      </c>
      <c r="AB51" s="1">
        <v>0.29899999999999999</v>
      </c>
      <c r="AC51" s="1">
        <v>0</v>
      </c>
      <c r="AD51" s="15" t="s">
        <v>182</v>
      </c>
      <c r="AE51" s="1">
        <f t="shared" si="13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90</v>
      </c>
      <c r="B52" s="1" t="s">
        <v>40</v>
      </c>
      <c r="C52" s="1">
        <v>41</v>
      </c>
      <c r="D52" s="1">
        <v>440</v>
      </c>
      <c r="E52" s="1">
        <v>173</v>
      </c>
      <c r="F52" s="1">
        <v>250</v>
      </c>
      <c r="G52" s="7">
        <v>0.45</v>
      </c>
      <c r="H52" s="1">
        <v>50</v>
      </c>
      <c r="I52" s="1" t="s">
        <v>36</v>
      </c>
      <c r="J52" s="1"/>
      <c r="K52" s="1">
        <v>174</v>
      </c>
      <c r="L52" s="1">
        <f t="shared" si="14"/>
        <v>-1</v>
      </c>
      <c r="M52" s="1"/>
      <c r="N52" s="1"/>
      <c r="O52" s="1">
        <v>95.799999999999983</v>
      </c>
      <c r="P52" s="1">
        <f t="shared" si="15"/>
        <v>34.6</v>
      </c>
      <c r="Q52" s="5">
        <f t="shared" si="12"/>
        <v>52.100000000000023</v>
      </c>
      <c r="R52" s="1">
        <f t="shared" si="16"/>
        <v>11.499999999999998</v>
      </c>
      <c r="S52" s="1">
        <f t="shared" si="17"/>
        <v>9.9942196531791883</v>
      </c>
      <c r="T52" s="1">
        <v>39.799999999999997</v>
      </c>
      <c r="U52" s="1">
        <v>33.6</v>
      </c>
      <c r="V52" s="1">
        <v>30.6</v>
      </c>
      <c r="W52" s="1">
        <v>26.4</v>
      </c>
      <c r="X52" s="1">
        <v>21.8</v>
      </c>
      <c r="Y52" s="1">
        <v>23</v>
      </c>
      <c r="Z52" s="1">
        <v>34</v>
      </c>
      <c r="AA52" s="1">
        <v>37</v>
      </c>
      <c r="AB52" s="1">
        <v>29</v>
      </c>
      <c r="AC52" s="1">
        <v>39.200000000000003</v>
      </c>
      <c r="AD52" s="1"/>
      <c r="AE52" s="1">
        <f t="shared" si="13"/>
        <v>23.445000000000011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91</v>
      </c>
      <c r="B53" s="1" t="s">
        <v>40</v>
      </c>
      <c r="C53" s="1">
        <v>107</v>
      </c>
      <c r="D53" s="1">
        <v>2056</v>
      </c>
      <c r="E53" s="1">
        <v>483</v>
      </c>
      <c r="F53" s="1">
        <v>866</v>
      </c>
      <c r="G53" s="7">
        <v>0.45</v>
      </c>
      <c r="H53" s="1">
        <v>50</v>
      </c>
      <c r="I53" s="1" t="s">
        <v>36</v>
      </c>
      <c r="J53" s="1"/>
      <c r="K53" s="1">
        <v>592</v>
      </c>
      <c r="L53" s="1">
        <f t="shared" si="14"/>
        <v>-109</v>
      </c>
      <c r="M53" s="1"/>
      <c r="N53" s="1"/>
      <c r="O53" s="1">
        <v>0</v>
      </c>
      <c r="P53" s="1">
        <f t="shared" si="15"/>
        <v>96.6</v>
      </c>
      <c r="Q53" s="5">
        <f t="shared" si="12"/>
        <v>244.89999999999986</v>
      </c>
      <c r="R53" s="1">
        <f t="shared" si="16"/>
        <v>11.5</v>
      </c>
      <c r="S53" s="1">
        <f t="shared" si="17"/>
        <v>8.9648033126293996</v>
      </c>
      <c r="T53" s="1">
        <v>108.6</v>
      </c>
      <c r="U53" s="1">
        <v>128.6</v>
      </c>
      <c r="V53" s="1">
        <v>116.4</v>
      </c>
      <c r="W53" s="1">
        <v>105</v>
      </c>
      <c r="X53" s="1">
        <v>102.6</v>
      </c>
      <c r="Y53" s="1">
        <v>96</v>
      </c>
      <c r="Z53" s="1">
        <v>100.6</v>
      </c>
      <c r="AA53" s="1">
        <v>99.2</v>
      </c>
      <c r="AB53" s="1">
        <v>100</v>
      </c>
      <c r="AC53" s="1">
        <v>113.4</v>
      </c>
      <c r="AD53" s="1"/>
      <c r="AE53" s="1">
        <f t="shared" si="13"/>
        <v>110.20499999999994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92</v>
      </c>
      <c r="B54" s="1" t="s">
        <v>40</v>
      </c>
      <c r="C54" s="1">
        <v>36</v>
      </c>
      <c r="D54" s="1">
        <v>118</v>
      </c>
      <c r="E54" s="1">
        <v>33</v>
      </c>
      <c r="F54" s="1">
        <v>94</v>
      </c>
      <c r="G54" s="7">
        <v>0.4</v>
      </c>
      <c r="H54" s="1">
        <v>40</v>
      </c>
      <c r="I54" s="1" t="s">
        <v>36</v>
      </c>
      <c r="J54" s="1"/>
      <c r="K54" s="1">
        <v>40</v>
      </c>
      <c r="L54" s="1">
        <f t="shared" si="14"/>
        <v>-7</v>
      </c>
      <c r="M54" s="1"/>
      <c r="N54" s="1"/>
      <c r="O54" s="1">
        <v>6</v>
      </c>
      <c r="P54" s="1">
        <f t="shared" si="15"/>
        <v>6.6</v>
      </c>
      <c r="Q54" s="5"/>
      <c r="R54" s="1">
        <f t="shared" si="16"/>
        <v>15.151515151515152</v>
      </c>
      <c r="S54" s="1">
        <f t="shared" si="17"/>
        <v>15.151515151515152</v>
      </c>
      <c r="T54" s="1">
        <v>10.199999999999999</v>
      </c>
      <c r="U54" s="1">
        <v>12.2</v>
      </c>
      <c r="V54" s="1">
        <v>7.8</v>
      </c>
      <c r="W54" s="1">
        <v>4.4000000000000004</v>
      </c>
      <c r="X54" s="1">
        <v>7</v>
      </c>
      <c r="Y54" s="1">
        <v>9.6</v>
      </c>
      <c r="Z54" s="1">
        <v>7.8</v>
      </c>
      <c r="AA54" s="1">
        <v>6.2</v>
      </c>
      <c r="AB54" s="1">
        <v>9.1999999999999993</v>
      </c>
      <c r="AC54" s="1">
        <v>9.1999999999999993</v>
      </c>
      <c r="AD54" s="1"/>
      <c r="AE54" s="1">
        <f t="shared" si="13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93</v>
      </c>
      <c r="B55" s="1" t="s">
        <v>40</v>
      </c>
      <c r="C55" s="1">
        <v>-2</v>
      </c>
      <c r="D55" s="1">
        <v>267</v>
      </c>
      <c r="E55" s="1">
        <v>71</v>
      </c>
      <c r="F55" s="1">
        <v>171</v>
      </c>
      <c r="G55" s="7">
        <v>0.4</v>
      </c>
      <c r="H55" s="1">
        <v>40</v>
      </c>
      <c r="I55" s="1" t="s">
        <v>36</v>
      </c>
      <c r="J55" s="1"/>
      <c r="K55" s="1">
        <v>74</v>
      </c>
      <c r="L55" s="1">
        <f t="shared" si="14"/>
        <v>-3</v>
      </c>
      <c r="M55" s="1"/>
      <c r="N55" s="1"/>
      <c r="O55" s="1">
        <v>0</v>
      </c>
      <c r="P55" s="1">
        <f t="shared" si="15"/>
        <v>14.2</v>
      </c>
      <c r="Q55" s="5"/>
      <c r="R55" s="1">
        <f t="shared" si="16"/>
        <v>12.042253521126762</v>
      </c>
      <c r="S55" s="1">
        <f t="shared" si="17"/>
        <v>12.042253521126762</v>
      </c>
      <c r="T55" s="1">
        <v>14.2</v>
      </c>
      <c r="U55" s="1">
        <v>19.600000000000001</v>
      </c>
      <c r="V55" s="1">
        <v>15</v>
      </c>
      <c r="W55" s="1">
        <v>11.6</v>
      </c>
      <c r="X55" s="1">
        <v>14.4</v>
      </c>
      <c r="Y55" s="1">
        <v>11.2</v>
      </c>
      <c r="Z55" s="1">
        <v>17.600000000000001</v>
      </c>
      <c r="AA55" s="1">
        <v>15.8</v>
      </c>
      <c r="AB55" s="1">
        <v>17.399999999999999</v>
      </c>
      <c r="AC55" s="1">
        <v>22.4</v>
      </c>
      <c r="AD55" s="1"/>
      <c r="AE55" s="1">
        <f t="shared" si="13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94</v>
      </c>
      <c r="B56" s="1" t="s">
        <v>35</v>
      </c>
      <c r="C56" s="1">
        <v>349.74</v>
      </c>
      <c r="D56" s="1">
        <v>2698.6260000000002</v>
      </c>
      <c r="E56" s="1">
        <v>682.68100000000004</v>
      </c>
      <c r="F56" s="1">
        <v>2056.8919999999998</v>
      </c>
      <c r="G56" s="7">
        <v>1</v>
      </c>
      <c r="H56" s="1">
        <v>50</v>
      </c>
      <c r="I56" s="1" t="s">
        <v>36</v>
      </c>
      <c r="J56" s="1"/>
      <c r="K56" s="1">
        <v>674.95</v>
      </c>
      <c r="L56" s="1">
        <f t="shared" si="14"/>
        <v>7.7309999999999945</v>
      </c>
      <c r="M56" s="1"/>
      <c r="N56" s="1"/>
      <c r="O56" s="1">
        <v>0</v>
      </c>
      <c r="P56" s="1">
        <f t="shared" si="15"/>
        <v>136.53620000000001</v>
      </c>
      <c r="Q56" s="5"/>
      <c r="R56" s="1">
        <f t="shared" si="16"/>
        <v>15.064810650948244</v>
      </c>
      <c r="S56" s="1">
        <f t="shared" si="17"/>
        <v>15.064810650948244</v>
      </c>
      <c r="T56" s="1">
        <v>147.95519999999999</v>
      </c>
      <c r="U56" s="1">
        <v>168.02539999999999</v>
      </c>
      <c r="V56" s="1">
        <v>193.98859999999999</v>
      </c>
      <c r="W56" s="1">
        <v>169.696</v>
      </c>
      <c r="X56" s="1">
        <v>157.18799999999999</v>
      </c>
      <c r="Y56" s="1">
        <v>152.66800000000001</v>
      </c>
      <c r="Z56" s="1">
        <v>130.7808</v>
      </c>
      <c r="AA56" s="1">
        <v>123.7856</v>
      </c>
      <c r="AB56" s="1">
        <v>130.64519999999999</v>
      </c>
      <c r="AC56" s="1">
        <v>141.1628</v>
      </c>
      <c r="AD56" s="1"/>
      <c r="AE56" s="1">
        <f t="shared" si="13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95</v>
      </c>
      <c r="B57" s="1" t="s">
        <v>40</v>
      </c>
      <c r="C57" s="1">
        <v>219</v>
      </c>
      <c r="D57" s="1">
        <v>768</v>
      </c>
      <c r="E57" s="16">
        <f>185+E132</f>
        <v>252</v>
      </c>
      <c r="F57" s="16">
        <f>524+F132</f>
        <v>518</v>
      </c>
      <c r="G57" s="7">
        <v>0.1</v>
      </c>
      <c r="H57" s="1">
        <v>731</v>
      </c>
      <c r="I57" s="1" t="s">
        <v>36</v>
      </c>
      <c r="J57" s="1"/>
      <c r="K57" s="1">
        <v>187</v>
      </c>
      <c r="L57" s="1">
        <f t="shared" si="14"/>
        <v>65</v>
      </c>
      <c r="M57" s="1"/>
      <c r="N57" s="1"/>
      <c r="O57" s="1">
        <v>0</v>
      </c>
      <c r="P57" s="1">
        <f t="shared" si="15"/>
        <v>50.4</v>
      </c>
      <c r="Q57" s="5">
        <f t="shared" si="12"/>
        <v>61.600000000000023</v>
      </c>
      <c r="R57" s="1">
        <f t="shared" si="16"/>
        <v>11.5</v>
      </c>
      <c r="S57" s="1">
        <f t="shared" si="17"/>
        <v>10.277777777777779</v>
      </c>
      <c r="T57" s="1">
        <v>47.2</v>
      </c>
      <c r="U57" s="1">
        <v>66.400000000000006</v>
      </c>
      <c r="V57" s="1">
        <v>80</v>
      </c>
      <c r="W57" s="1">
        <v>78</v>
      </c>
      <c r="X57" s="1">
        <v>74.8</v>
      </c>
      <c r="Y57" s="1">
        <v>78</v>
      </c>
      <c r="Z57" s="1">
        <v>65.2</v>
      </c>
      <c r="AA57" s="1">
        <v>67.8</v>
      </c>
      <c r="AB57" s="1">
        <v>70.8</v>
      </c>
      <c r="AC57" s="1">
        <v>73.599999999999994</v>
      </c>
      <c r="AD57" s="1"/>
      <c r="AE57" s="1">
        <f t="shared" si="13"/>
        <v>6.1600000000000028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96</v>
      </c>
      <c r="B58" s="1" t="s">
        <v>35</v>
      </c>
      <c r="C58" s="1">
        <v>509.38799999999998</v>
      </c>
      <c r="D58" s="1">
        <v>2744.5459999999998</v>
      </c>
      <c r="E58" s="1">
        <v>1037.3019999999999</v>
      </c>
      <c r="F58" s="1">
        <v>1632.769</v>
      </c>
      <c r="G58" s="7">
        <v>1</v>
      </c>
      <c r="H58" s="1">
        <v>50</v>
      </c>
      <c r="I58" s="1" t="s">
        <v>36</v>
      </c>
      <c r="J58" s="1"/>
      <c r="K58" s="1">
        <v>1021.2</v>
      </c>
      <c r="L58" s="1">
        <f t="shared" si="14"/>
        <v>16.101999999999862</v>
      </c>
      <c r="M58" s="1"/>
      <c r="N58" s="1"/>
      <c r="O58" s="1">
        <v>84.620867999999916</v>
      </c>
      <c r="P58" s="1">
        <f t="shared" si="15"/>
        <v>207.46039999999999</v>
      </c>
      <c r="Q58" s="5">
        <f t="shared" si="12"/>
        <v>668.40473199999974</v>
      </c>
      <c r="R58" s="1">
        <f t="shared" si="16"/>
        <v>11.499999999999998</v>
      </c>
      <c r="S58" s="1">
        <f t="shared" si="17"/>
        <v>8.2781575086136918</v>
      </c>
      <c r="T58" s="1">
        <v>218.6438</v>
      </c>
      <c r="U58" s="1">
        <v>220.84739999999999</v>
      </c>
      <c r="V58" s="1">
        <v>220.42019999999999</v>
      </c>
      <c r="W58" s="1">
        <v>215.4616</v>
      </c>
      <c r="X58" s="1">
        <v>209.17959999999999</v>
      </c>
      <c r="Y58" s="1">
        <v>204.97620000000001</v>
      </c>
      <c r="Z58" s="1">
        <v>199.73179999999999</v>
      </c>
      <c r="AA58" s="1">
        <v>182.82060000000001</v>
      </c>
      <c r="AB58" s="1">
        <v>186.57300000000001</v>
      </c>
      <c r="AC58" s="1">
        <v>194.43940000000001</v>
      </c>
      <c r="AD58" s="1"/>
      <c r="AE58" s="1">
        <f t="shared" si="13"/>
        <v>668.40473199999974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97</v>
      </c>
      <c r="B59" s="1" t="s">
        <v>35</v>
      </c>
      <c r="C59" s="1">
        <v>107.312</v>
      </c>
      <c r="D59" s="1">
        <v>109.218</v>
      </c>
      <c r="E59" s="1">
        <v>60.802</v>
      </c>
      <c r="F59" s="1">
        <v>115.015</v>
      </c>
      <c r="G59" s="7">
        <v>1</v>
      </c>
      <c r="H59" s="1">
        <v>55</v>
      </c>
      <c r="I59" s="1" t="s">
        <v>36</v>
      </c>
      <c r="J59" s="1"/>
      <c r="K59" s="1">
        <v>58.7</v>
      </c>
      <c r="L59" s="1">
        <f t="shared" si="14"/>
        <v>2.1019999999999968</v>
      </c>
      <c r="M59" s="1"/>
      <c r="N59" s="1"/>
      <c r="O59" s="1">
        <v>0</v>
      </c>
      <c r="P59" s="1">
        <f t="shared" si="15"/>
        <v>12.160399999999999</v>
      </c>
      <c r="Q59" s="5">
        <f t="shared" si="12"/>
        <v>24.829599999999985</v>
      </c>
      <c r="R59" s="1">
        <f t="shared" si="16"/>
        <v>11.5</v>
      </c>
      <c r="S59" s="1">
        <f t="shared" si="17"/>
        <v>9.4581592710766103</v>
      </c>
      <c r="T59" s="1">
        <v>11.054600000000001</v>
      </c>
      <c r="U59" s="1">
        <v>15.3728</v>
      </c>
      <c r="V59" s="1">
        <v>16.610199999999999</v>
      </c>
      <c r="W59" s="1">
        <v>17.662600000000001</v>
      </c>
      <c r="X59" s="1">
        <v>17.589200000000002</v>
      </c>
      <c r="Y59" s="1">
        <v>20.5428</v>
      </c>
      <c r="Z59" s="1">
        <v>19.153199999999998</v>
      </c>
      <c r="AA59" s="1">
        <v>13.6248</v>
      </c>
      <c r="AB59" s="1">
        <v>14.4322</v>
      </c>
      <c r="AC59" s="1">
        <v>14.9146</v>
      </c>
      <c r="AD59" s="1"/>
      <c r="AE59" s="1">
        <f t="shared" si="13"/>
        <v>24.829599999999985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98</v>
      </c>
      <c r="B60" s="1" t="s">
        <v>40</v>
      </c>
      <c r="C60" s="1">
        <v>230</v>
      </c>
      <c r="D60" s="1">
        <v>340</v>
      </c>
      <c r="E60" s="1">
        <v>147</v>
      </c>
      <c r="F60" s="1">
        <v>387</v>
      </c>
      <c r="G60" s="7">
        <v>0.1</v>
      </c>
      <c r="H60" s="1">
        <v>731</v>
      </c>
      <c r="I60" s="1" t="s">
        <v>36</v>
      </c>
      <c r="J60" s="1"/>
      <c r="K60" s="1">
        <v>147</v>
      </c>
      <c r="L60" s="1">
        <f t="shared" si="14"/>
        <v>0</v>
      </c>
      <c r="M60" s="1"/>
      <c r="N60" s="1"/>
      <c r="O60" s="1">
        <v>0</v>
      </c>
      <c r="P60" s="1">
        <f t="shared" si="15"/>
        <v>29.4</v>
      </c>
      <c r="Q60" s="5"/>
      <c r="R60" s="1">
        <f t="shared" si="16"/>
        <v>13.163265306122449</v>
      </c>
      <c r="S60" s="1">
        <f t="shared" si="17"/>
        <v>13.163265306122449</v>
      </c>
      <c r="T60" s="1">
        <v>34.6</v>
      </c>
      <c r="U60" s="1">
        <v>41.8</v>
      </c>
      <c r="V60" s="1">
        <v>41.8</v>
      </c>
      <c r="W60" s="1">
        <v>37.4</v>
      </c>
      <c r="X60" s="1">
        <v>37.200000000000003</v>
      </c>
      <c r="Y60" s="1">
        <v>48</v>
      </c>
      <c r="Z60" s="1">
        <v>49.4</v>
      </c>
      <c r="AA60" s="1">
        <v>40.200000000000003</v>
      </c>
      <c r="AB60" s="1">
        <v>36.6</v>
      </c>
      <c r="AC60" s="1">
        <v>38</v>
      </c>
      <c r="AD60" s="1"/>
      <c r="AE60" s="1">
        <f t="shared" si="13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99</v>
      </c>
      <c r="B61" s="1" t="s">
        <v>40</v>
      </c>
      <c r="C61" s="1">
        <v>22</v>
      </c>
      <c r="D61" s="1">
        <v>1252</v>
      </c>
      <c r="E61" s="1">
        <v>208</v>
      </c>
      <c r="F61" s="1">
        <v>577</v>
      </c>
      <c r="G61" s="7">
        <v>0.4</v>
      </c>
      <c r="H61" s="1">
        <v>50</v>
      </c>
      <c r="I61" s="10" t="s">
        <v>89</v>
      </c>
      <c r="J61" s="1"/>
      <c r="K61" s="1">
        <v>352</v>
      </c>
      <c r="L61" s="1">
        <f t="shared" si="14"/>
        <v>-144</v>
      </c>
      <c r="M61" s="1"/>
      <c r="N61" s="1"/>
      <c r="O61" s="1">
        <v>0</v>
      </c>
      <c r="P61" s="1">
        <f t="shared" si="15"/>
        <v>41.6</v>
      </c>
      <c r="Q61" s="5">
        <v>50</v>
      </c>
      <c r="R61" s="1">
        <f t="shared" si="16"/>
        <v>15.072115384615383</v>
      </c>
      <c r="S61" s="1">
        <f t="shared" si="17"/>
        <v>13.870192307692307</v>
      </c>
      <c r="T61" s="1">
        <v>38.200000000000003</v>
      </c>
      <c r="U61" s="1">
        <v>81.8</v>
      </c>
      <c r="V61" s="1">
        <v>87.2</v>
      </c>
      <c r="W61" s="1">
        <v>47.4</v>
      </c>
      <c r="X61" s="1">
        <v>32</v>
      </c>
      <c r="Y61" s="1">
        <v>18.2</v>
      </c>
      <c r="Z61" s="1">
        <v>25.8</v>
      </c>
      <c r="AA61" s="1">
        <v>47</v>
      </c>
      <c r="AB61" s="1">
        <v>52.6</v>
      </c>
      <c r="AC61" s="1">
        <v>40</v>
      </c>
      <c r="AD61" s="1" t="s">
        <v>100</v>
      </c>
      <c r="AE61" s="1">
        <f t="shared" si="13"/>
        <v>20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101</v>
      </c>
      <c r="B62" s="1" t="s">
        <v>35</v>
      </c>
      <c r="C62" s="1">
        <v>281.26400000000001</v>
      </c>
      <c r="D62" s="1">
        <v>936.35</v>
      </c>
      <c r="E62" s="1">
        <v>464.00599999999997</v>
      </c>
      <c r="F62" s="1">
        <v>476.46300000000002</v>
      </c>
      <c r="G62" s="7">
        <v>1</v>
      </c>
      <c r="H62" s="1">
        <v>40</v>
      </c>
      <c r="I62" s="1" t="s">
        <v>36</v>
      </c>
      <c r="J62" s="1"/>
      <c r="K62" s="1">
        <v>484.45</v>
      </c>
      <c r="L62" s="1">
        <f t="shared" si="14"/>
        <v>-20.444000000000017</v>
      </c>
      <c r="M62" s="1"/>
      <c r="N62" s="1"/>
      <c r="O62" s="1">
        <v>539.93970999999988</v>
      </c>
      <c r="P62" s="1">
        <f t="shared" si="15"/>
        <v>92.801199999999994</v>
      </c>
      <c r="Q62" s="5">
        <f t="shared" si="12"/>
        <v>50.811090000000092</v>
      </c>
      <c r="R62" s="1">
        <f t="shared" si="16"/>
        <v>11.5</v>
      </c>
      <c r="S62" s="1">
        <f t="shared" si="17"/>
        <v>10.952473782666603</v>
      </c>
      <c r="T62" s="1">
        <v>115.2146</v>
      </c>
      <c r="U62" s="1">
        <v>91.225200000000001</v>
      </c>
      <c r="V62" s="1">
        <v>67.546599999999998</v>
      </c>
      <c r="W62" s="1">
        <v>73.622399999999999</v>
      </c>
      <c r="X62" s="1">
        <v>79.154600000000002</v>
      </c>
      <c r="Y62" s="1">
        <v>84.038600000000002</v>
      </c>
      <c r="Z62" s="1">
        <v>84.491</v>
      </c>
      <c r="AA62" s="1">
        <v>92.173400000000001</v>
      </c>
      <c r="AB62" s="1">
        <v>104.8788</v>
      </c>
      <c r="AC62" s="1">
        <v>105.1588</v>
      </c>
      <c r="AD62" s="1"/>
      <c r="AE62" s="1">
        <f t="shared" si="13"/>
        <v>50.811090000000092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102</v>
      </c>
      <c r="B63" s="1" t="s">
        <v>35</v>
      </c>
      <c r="C63" s="1">
        <v>14.964</v>
      </c>
      <c r="D63" s="1">
        <v>1346.0619999999999</v>
      </c>
      <c r="E63" s="1">
        <v>300.255</v>
      </c>
      <c r="F63" s="1">
        <v>943.4</v>
      </c>
      <c r="G63" s="7">
        <v>1</v>
      </c>
      <c r="H63" s="1">
        <v>40</v>
      </c>
      <c r="I63" s="1" t="s">
        <v>36</v>
      </c>
      <c r="J63" s="1"/>
      <c r="K63" s="1">
        <v>308.45</v>
      </c>
      <c r="L63" s="1">
        <f t="shared" si="14"/>
        <v>-8.1949999999999932</v>
      </c>
      <c r="M63" s="1"/>
      <c r="N63" s="1"/>
      <c r="O63" s="1">
        <v>0</v>
      </c>
      <c r="P63" s="1">
        <f t="shared" si="15"/>
        <v>60.051000000000002</v>
      </c>
      <c r="Q63" s="5"/>
      <c r="R63" s="1">
        <f t="shared" si="16"/>
        <v>15.70997985046044</v>
      </c>
      <c r="S63" s="1">
        <f t="shared" si="17"/>
        <v>15.70997985046044</v>
      </c>
      <c r="T63" s="1">
        <v>47.484200000000001</v>
      </c>
      <c r="U63" s="1">
        <v>80.752800000000008</v>
      </c>
      <c r="V63" s="1">
        <v>90.680199999999999</v>
      </c>
      <c r="W63" s="1">
        <v>74.665199999999999</v>
      </c>
      <c r="X63" s="1">
        <v>66.578000000000003</v>
      </c>
      <c r="Y63" s="1">
        <v>61.303600000000003</v>
      </c>
      <c r="Z63" s="1">
        <v>86.032200000000003</v>
      </c>
      <c r="AA63" s="1">
        <v>60.540200000000013</v>
      </c>
      <c r="AB63" s="1">
        <v>16.110199999999999</v>
      </c>
      <c r="AC63" s="1">
        <v>63.010399999999997</v>
      </c>
      <c r="AD63" s="1"/>
      <c r="AE63" s="1">
        <f t="shared" si="13"/>
        <v>0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103</v>
      </c>
      <c r="B64" s="1" t="s">
        <v>40</v>
      </c>
      <c r="C64" s="1">
        <v>395</v>
      </c>
      <c r="D64" s="1">
        <v>1981</v>
      </c>
      <c r="E64" s="1">
        <v>967</v>
      </c>
      <c r="F64" s="1">
        <v>1018</v>
      </c>
      <c r="G64" s="7">
        <v>0.4</v>
      </c>
      <c r="H64" s="1">
        <v>40</v>
      </c>
      <c r="I64" s="1" t="s">
        <v>36</v>
      </c>
      <c r="J64" s="1"/>
      <c r="K64" s="1">
        <v>996</v>
      </c>
      <c r="L64" s="1">
        <f t="shared" si="14"/>
        <v>-29</v>
      </c>
      <c r="M64" s="1"/>
      <c r="N64" s="1"/>
      <c r="O64" s="1">
        <v>507.52100000000007</v>
      </c>
      <c r="P64" s="1">
        <f t="shared" si="15"/>
        <v>193.4</v>
      </c>
      <c r="Q64" s="5">
        <f t="shared" si="12"/>
        <v>698.57899999999972</v>
      </c>
      <c r="R64" s="1">
        <f t="shared" si="16"/>
        <v>11.5</v>
      </c>
      <c r="S64" s="1">
        <f t="shared" si="17"/>
        <v>7.8879058945191325</v>
      </c>
      <c r="T64" s="1">
        <v>198.2</v>
      </c>
      <c r="U64" s="1">
        <v>182.2</v>
      </c>
      <c r="V64" s="1">
        <v>175.6</v>
      </c>
      <c r="W64" s="1">
        <v>170.8</v>
      </c>
      <c r="X64" s="1">
        <v>173.4</v>
      </c>
      <c r="Y64" s="1">
        <v>175.2</v>
      </c>
      <c r="Z64" s="1">
        <v>177.8</v>
      </c>
      <c r="AA64" s="1">
        <v>184.4</v>
      </c>
      <c r="AB64" s="1">
        <v>182.6</v>
      </c>
      <c r="AC64" s="1">
        <v>193.4</v>
      </c>
      <c r="AD64" s="1"/>
      <c r="AE64" s="1">
        <f t="shared" si="13"/>
        <v>279.43159999999989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104</v>
      </c>
      <c r="B65" s="1" t="s">
        <v>40</v>
      </c>
      <c r="C65" s="1">
        <v>198</v>
      </c>
      <c r="D65" s="1">
        <v>1503</v>
      </c>
      <c r="E65" s="1">
        <v>599</v>
      </c>
      <c r="F65" s="1">
        <v>785</v>
      </c>
      <c r="G65" s="7">
        <v>0.4</v>
      </c>
      <c r="H65" s="1">
        <v>40</v>
      </c>
      <c r="I65" s="1" t="s">
        <v>36</v>
      </c>
      <c r="J65" s="1"/>
      <c r="K65" s="1">
        <v>661</v>
      </c>
      <c r="L65" s="1">
        <f t="shared" si="14"/>
        <v>-62</v>
      </c>
      <c r="M65" s="1"/>
      <c r="N65" s="1"/>
      <c r="O65" s="1">
        <v>171.41399999999999</v>
      </c>
      <c r="P65" s="1">
        <f t="shared" si="15"/>
        <v>119.8</v>
      </c>
      <c r="Q65" s="5">
        <f t="shared" si="12"/>
        <v>421.28600000000006</v>
      </c>
      <c r="R65" s="1">
        <f t="shared" si="16"/>
        <v>11.5</v>
      </c>
      <c r="S65" s="1">
        <f t="shared" si="17"/>
        <v>7.9834223706176966</v>
      </c>
      <c r="T65" s="1">
        <v>120.2</v>
      </c>
      <c r="U65" s="1">
        <v>130</v>
      </c>
      <c r="V65" s="1">
        <v>132.6</v>
      </c>
      <c r="W65" s="1">
        <v>111.2</v>
      </c>
      <c r="X65" s="1">
        <v>104.4</v>
      </c>
      <c r="Y65" s="1">
        <v>114.8</v>
      </c>
      <c r="Z65" s="1">
        <v>116.8</v>
      </c>
      <c r="AA65" s="1">
        <v>127.4</v>
      </c>
      <c r="AB65" s="1">
        <v>128.6</v>
      </c>
      <c r="AC65" s="1">
        <v>101.8</v>
      </c>
      <c r="AD65" s="1"/>
      <c r="AE65" s="1">
        <f t="shared" si="13"/>
        <v>168.51440000000002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105</v>
      </c>
      <c r="B66" s="1" t="s">
        <v>35</v>
      </c>
      <c r="C66" s="1">
        <v>8.68</v>
      </c>
      <c r="D66" s="1">
        <v>1401.7270000000001</v>
      </c>
      <c r="E66" s="1">
        <v>238.56899999999999</v>
      </c>
      <c r="F66" s="1">
        <v>1063.982</v>
      </c>
      <c r="G66" s="7">
        <v>1</v>
      </c>
      <c r="H66" s="1">
        <v>40</v>
      </c>
      <c r="I66" s="1" t="s">
        <v>36</v>
      </c>
      <c r="J66" s="1"/>
      <c r="K66" s="1">
        <v>296.42500000000001</v>
      </c>
      <c r="L66" s="1">
        <f t="shared" si="14"/>
        <v>-57.856000000000023</v>
      </c>
      <c r="M66" s="1"/>
      <c r="N66" s="1"/>
      <c r="O66" s="1">
        <v>0</v>
      </c>
      <c r="P66" s="1">
        <f t="shared" si="15"/>
        <v>47.713799999999999</v>
      </c>
      <c r="Q66" s="5"/>
      <c r="R66" s="1">
        <f t="shared" si="16"/>
        <v>22.299250950458777</v>
      </c>
      <c r="S66" s="1">
        <f t="shared" si="17"/>
        <v>22.299250950458777</v>
      </c>
      <c r="T66" s="1">
        <v>42.936599999999999</v>
      </c>
      <c r="U66" s="1">
        <v>82.842799999999997</v>
      </c>
      <c r="V66" s="1">
        <v>109.9434</v>
      </c>
      <c r="W66" s="1">
        <v>96.201599999999999</v>
      </c>
      <c r="X66" s="1">
        <v>48.907400000000003</v>
      </c>
      <c r="Y66" s="1">
        <v>15.131</v>
      </c>
      <c r="Z66" s="1">
        <v>61.583000000000013</v>
      </c>
      <c r="AA66" s="1">
        <v>96.852400000000003</v>
      </c>
      <c r="AB66" s="1">
        <v>77.294000000000011</v>
      </c>
      <c r="AC66" s="1">
        <v>25.259599999999999</v>
      </c>
      <c r="AD66" s="1"/>
      <c r="AE66" s="1">
        <f t="shared" si="13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106</v>
      </c>
      <c r="B67" s="1" t="s">
        <v>35</v>
      </c>
      <c r="C67" s="1">
        <v>5.9029999999999996</v>
      </c>
      <c r="D67" s="1">
        <v>703.37300000000005</v>
      </c>
      <c r="E67" s="1">
        <v>217.62</v>
      </c>
      <c r="F67" s="1">
        <v>414.82799999999997</v>
      </c>
      <c r="G67" s="7">
        <v>1</v>
      </c>
      <c r="H67" s="1">
        <v>40</v>
      </c>
      <c r="I67" s="1" t="s">
        <v>36</v>
      </c>
      <c r="J67" s="1"/>
      <c r="K67" s="1">
        <v>221.55</v>
      </c>
      <c r="L67" s="1">
        <f t="shared" si="14"/>
        <v>-3.9300000000000068</v>
      </c>
      <c r="M67" s="1"/>
      <c r="N67" s="1"/>
      <c r="O67" s="1">
        <v>0</v>
      </c>
      <c r="P67" s="1">
        <f t="shared" si="15"/>
        <v>43.524000000000001</v>
      </c>
      <c r="Q67" s="5">
        <f t="shared" si="12"/>
        <v>85.698000000000036</v>
      </c>
      <c r="R67" s="1">
        <f t="shared" si="16"/>
        <v>11.5</v>
      </c>
      <c r="S67" s="1">
        <f t="shared" si="17"/>
        <v>9.5310173697270457</v>
      </c>
      <c r="T67" s="1">
        <v>48.160400000000003</v>
      </c>
      <c r="U67" s="1">
        <v>42.526799999999987</v>
      </c>
      <c r="V67" s="1">
        <v>21.747199999999999</v>
      </c>
      <c r="W67" s="1">
        <v>16.946200000000001</v>
      </c>
      <c r="X67" s="1">
        <v>42.628</v>
      </c>
      <c r="Y67" s="1">
        <v>29.645199999999999</v>
      </c>
      <c r="Z67" s="1">
        <v>0</v>
      </c>
      <c r="AA67" s="1">
        <v>2.3567999999999998</v>
      </c>
      <c r="AB67" s="1">
        <v>20.276199999999999</v>
      </c>
      <c r="AC67" s="1">
        <v>17.383400000000002</v>
      </c>
      <c r="AD67" s="1"/>
      <c r="AE67" s="1">
        <f t="shared" si="13"/>
        <v>85.698000000000036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107</v>
      </c>
      <c r="B68" s="1" t="s">
        <v>35</v>
      </c>
      <c r="C68" s="1">
        <v>-7.4999999999999997E-2</v>
      </c>
      <c r="D68" s="1">
        <v>1283.2360000000001</v>
      </c>
      <c r="E68" s="1">
        <v>604.52300000000002</v>
      </c>
      <c r="F68" s="1">
        <v>424.827</v>
      </c>
      <c r="G68" s="7">
        <v>1</v>
      </c>
      <c r="H68" s="1">
        <v>40</v>
      </c>
      <c r="I68" s="1" t="s">
        <v>36</v>
      </c>
      <c r="J68" s="1"/>
      <c r="K68" s="1">
        <v>581.42499999999995</v>
      </c>
      <c r="L68" s="1">
        <f t="shared" si="14"/>
        <v>23.09800000000007</v>
      </c>
      <c r="M68" s="1"/>
      <c r="N68" s="1"/>
      <c r="O68" s="1">
        <v>0</v>
      </c>
      <c r="P68" s="1">
        <f t="shared" si="15"/>
        <v>120.9046</v>
      </c>
      <c r="Q68" s="5">
        <f>11*P68-O68-F68</f>
        <v>905.12360000000012</v>
      </c>
      <c r="R68" s="1">
        <f t="shared" si="16"/>
        <v>11</v>
      </c>
      <c r="S68" s="1">
        <f t="shared" si="17"/>
        <v>3.5137372771590161</v>
      </c>
      <c r="T68" s="1">
        <v>52.73</v>
      </c>
      <c r="U68" s="1">
        <v>-0.1804</v>
      </c>
      <c r="V68" s="1">
        <v>7.2888000000000002</v>
      </c>
      <c r="W68" s="1">
        <v>51.259599999999999</v>
      </c>
      <c r="X68" s="1">
        <v>43.880800000000001</v>
      </c>
      <c r="Y68" s="1">
        <v>-0.09</v>
      </c>
      <c r="Z68" s="1">
        <v>-0.09</v>
      </c>
      <c r="AA68" s="1">
        <v>-0.1812</v>
      </c>
      <c r="AB68" s="1">
        <v>-0.36499999999999999</v>
      </c>
      <c r="AC68" s="1">
        <v>59.523000000000003</v>
      </c>
      <c r="AD68" s="1"/>
      <c r="AE68" s="1">
        <f t="shared" si="13"/>
        <v>905.12360000000012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108</v>
      </c>
      <c r="B69" s="1" t="s">
        <v>35</v>
      </c>
      <c r="C69" s="1">
        <v>0.745</v>
      </c>
      <c r="D69" s="1">
        <v>298.52199999999999</v>
      </c>
      <c r="E69" s="1">
        <v>146.57400000000001</v>
      </c>
      <c r="F69" s="1">
        <v>77.655000000000001</v>
      </c>
      <c r="G69" s="7">
        <v>1</v>
      </c>
      <c r="H69" s="1">
        <v>40</v>
      </c>
      <c r="I69" s="1" t="s">
        <v>36</v>
      </c>
      <c r="J69" s="1"/>
      <c r="K69" s="1">
        <v>167.45</v>
      </c>
      <c r="L69" s="1">
        <f t="shared" si="14"/>
        <v>-20.875999999999976</v>
      </c>
      <c r="M69" s="1"/>
      <c r="N69" s="1"/>
      <c r="O69" s="1">
        <v>0</v>
      </c>
      <c r="P69" s="1">
        <f t="shared" si="15"/>
        <v>29.314800000000002</v>
      </c>
      <c r="Q69" s="5">
        <f>10*P69-O69-F69</f>
        <v>215.49300000000002</v>
      </c>
      <c r="R69" s="1">
        <f t="shared" si="16"/>
        <v>10</v>
      </c>
      <c r="S69" s="1">
        <f t="shared" si="17"/>
        <v>2.6490032338613942</v>
      </c>
      <c r="T69" s="1">
        <v>15.2646</v>
      </c>
      <c r="U69" s="1">
        <v>5.6692</v>
      </c>
      <c r="V69" s="1">
        <v>13.414400000000001</v>
      </c>
      <c r="W69" s="1">
        <v>18.822199999999999</v>
      </c>
      <c r="X69" s="1">
        <v>8.4867999999999988</v>
      </c>
      <c r="Y69" s="1">
        <v>10.5602</v>
      </c>
      <c r="Z69" s="1">
        <v>10.377800000000001</v>
      </c>
      <c r="AA69" s="1">
        <v>-0.18240000000000001</v>
      </c>
      <c r="AB69" s="1">
        <v>-0.54620000000000002</v>
      </c>
      <c r="AC69" s="1">
        <v>-0.90079999999999993</v>
      </c>
      <c r="AD69" s="1"/>
      <c r="AE69" s="1">
        <f t="shared" si="13"/>
        <v>215.49300000000002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1" t="s">
        <v>109</v>
      </c>
      <c r="B70" s="11" t="s">
        <v>40</v>
      </c>
      <c r="C70" s="11">
        <v>2</v>
      </c>
      <c r="D70" s="11">
        <v>48</v>
      </c>
      <c r="E70" s="11"/>
      <c r="F70" s="11">
        <v>48</v>
      </c>
      <c r="G70" s="12">
        <v>0</v>
      </c>
      <c r="H70" s="11">
        <v>70</v>
      </c>
      <c r="I70" s="11" t="s">
        <v>110</v>
      </c>
      <c r="J70" s="11"/>
      <c r="K70" s="11">
        <v>6</v>
      </c>
      <c r="L70" s="11">
        <f t="shared" ref="L70:L101" si="18">E70-K70</f>
        <v>-6</v>
      </c>
      <c r="M70" s="11"/>
      <c r="N70" s="11"/>
      <c r="O70" s="11">
        <v>0</v>
      </c>
      <c r="P70" s="11">
        <f t="shared" ref="P70:P101" si="19">E70/5</f>
        <v>0</v>
      </c>
      <c r="Q70" s="13"/>
      <c r="R70" s="11" t="e">
        <f t="shared" ref="R70:R101" si="20">(F70+O70+Q70)/P70</f>
        <v>#DIV/0!</v>
      </c>
      <c r="S70" s="11" t="e">
        <f t="shared" ref="S70:S101" si="21">(F70+O70)/P70</f>
        <v>#DIV/0!</v>
      </c>
      <c r="T70" s="11">
        <v>0</v>
      </c>
      <c r="U70" s="11">
        <v>1.2</v>
      </c>
      <c r="V70" s="11">
        <v>3.6</v>
      </c>
      <c r="W70" s="11">
        <v>3.2</v>
      </c>
      <c r="X70" s="11">
        <v>1.6</v>
      </c>
      <c r="Y70" s="11">
        <v>1.4</v>
      </c>
      <c r="Z70" s="11">
        <v>1.8</v>
      </c>
      <c r="AA70" s="11">
        <v>1.4</v>
      </c>
      <c r="AB70" s="11">
        <v>1.2</v>
      </c>
      <c r="AC70" s="11">
        <v>1.6</v>
      </c>
      <c r="AD70" s="14" t="s">
        <v>111</v>
      </c>
      <c r="AE70" s="1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112</v>
      </c>
      <c r="B71" s="1" t="s">
        <v>35</v>
      </c>
      <c r="C71" s="1">
        <v>10.823</v>
      </c>
      <c r="D71" s="1">
        <v>310.28899999999999</v>
      </c>
      <c r="E71" s="1">
        <v>54.889000000000003</v>
      </c>
      <c r="F71" s="1">
        <v>197.648</v>
      </c>
      <c r="G71" s="7">
        <v>1</v>
      </c>
      <c r="H71" s="1">
        <v>30</v>
      </c>
      <c r="I71" s="9" t="s">
        <v>46</v>
      </c>
      <c r="J71" s="1"/>
      <c r="K71" s="1">
        <v>100.7</v>
      </c>
      <c r="L71" s="1">
        <f t="shared" si="18"/>
        <v>-45.811</v>
      </c>
      <c r="M71" s="1"/>
      <c r="N71" s="1"/>
      <c r="O71" s="1">
        <v>0</v>
      </c>
      <c r="P71" s="1">
        <f t="shared" si="19"/>
        <v>10.9778</v>
      </c>
      <c r="Q71" s="5"/>
      <c r="R71" s="1">
        <f t="shared" si="20"/>
        <v>18.004336023611287</v>
      </c>
      <c r="S71" s="1">
        <f t="shared" si="21"/>
        <v>18.004336023611287</v>
      </c>
      <c r="T71" s="1">
        <v>15.2392</v>
      </c>
      <c r="U71" s="1">
        <v>30.987200000000001</v>
      </c>
      <c r="V71" s="1">
        <v>26.473800000000001</v>
      </c>
      <c r="W71" s="1">
        <v>25.355</v>
      </c>
      <c r="X71" s="1">
        <v>25.254000000000001</v>
      </c>
      <c r="Y71" s="1">
        <v>27.837800000000001</v>
      </c>
      <c r="Z71" s="1">
        <v>28.1508</v>
      </c>
      <c r="AA71" s="1">
        <v>34.746000000000002</v>
      </c>
      <c r="AB71" s="1">
        <v>35.825400000000002</v>
      </c>
      <c r="AC71" s="1">
        <v>37.188800000000001</v>
      </c>
      <c r="AD71" s="1"/>
      <c r="AE71" s="1">
        <f t="shared" ref="AE71:AE86" si="22">G71*Q71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113</v>
      </c>
      <c r="B72" s="1" t="s">
        <v>40</v>
      </c>
      <c r="C72" s="1">
        <v>26</v>
      </c>
      <c r="D72" s="1">
        <v>614</v>
      </c>
      <c r="E72" s="1">
        <v>94</v>
      </c>
      <c r="F72" s="1">
        <v>300</v>
      </c>
      <c r="G72" s="7">
        <v>0.6</v>
      </c>
      <c r="H72" s="1">
        <v>60</v>
      </c>
      <c r="I72" s="1" t="s">
        <v>36</v>
      </c>
      <c r="J72" s="1"/>
      <c r="K72" s="1">
        <v>112</v>
      </c>
      <c r="L72" s="1">
        <f t="shared" si="18"/>
        <v>-18</v>
      </c>
      <c r="M72" s="1"/>
      <c r="N72" s="1"/>
      <c r="O72" s="1">
        <v>0</v>
      </c>
      <c r="P72" s="1">
        <f t="shared" si="19"/>
        <v>18.8</v>
      </c>
      <c r="Q72" s="5"/>
      <c r="R72" s="1">
        <f t="shared" si="20"/>
        <v>15.957446808510637</v>
      </c>
      <c r="S72" s="1">
        <f t="shared" si="21"/>
        <v>15.957446808510637</v>
      </c>
      <c r="T72" s="1">
        <v>20</v>
      </c>
      <c r="U72" s="1">
        <v>32.200000000000003</v>
      </c>
      <c r="V72" s="1">
        <v>28.6</v>
      </c>
      <c r="W72" s="1">
        <v>26.6</v>
      </c>
      <c r="X72" s="1">
        <v>30</v>
      </c>
      <c r="Y72" s="1">
        <v>24</v>
      </c>
      <c r="Z72" s="1">
        <v>20.399999999999999</v>
      </c>
      <c r="AA72" s="1">
        <v>26.2</v>
      </c>
      <c r="AB72" s="1">
        <v>30.2</v>
      </c>
      <c r="AC72" s="1">
        <v>26</v>
      </c>
      <c r="AD72" s="1"/>
      <c r="AE72" s="1">
        <f t="shared" si="22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114</v>
      </c>
      <c r="B73" s="1" t="s">
        <v>40</v>
      </c>
      <c r="C73" s="1">
        <v>20</v>
      </c>
      <c r="D73" s="1">
        <v>112</v>
      </c>
      <c r="E73" s="1">
        <v>31</v>
      </c>
      <c r="F73" s="1">
        <v>82</v>
      </c>
      <c r="G73" s="7">
        <v>0.6</v>
      </c>
      <c r="H73" s="1">
        <v>60</v>
      </c>
      <c r="I73" s="1" t="s">
        <v>36</v>
      </c>
      <c r="J73" s="1"/>
      <c r="K73" s="1">
        <v>37</v>
      </c>
      <c r="L73" s="1">
        <f t="shared" si="18"/>
        <v>-6</v>
      </c>
      <c r="M73" s="1"/>
      <c r="N73" s="1"/>
      <c r="O73" s="1">
        <v>0</v>
      </c>
      <c r="P73" s="1">
        <f t="shared" si="19"/>
        <v>6.2</v>
      </c>
      <c r="Q73" s="5"/>
      <c r="R73" s="1">
        <f t="shared" si="20"/>
        <v>13.225806451612902</v>
      </c>
      <c r="S73" s="1">
        <f t="shared" si="21"/>
        <v>13.225806451612902</v>
      </c>
      <c r="T73" s="1">
        <v>8.4</v>
      </c>
      <c r="U73" s="1">
        <v>8.6</v>
      </c>
      <c r="V73" s="1">
        <v>7.8</v>
      </c>
      <c r="W73" s="1">
        <v>10.4</v>
      </c>
      <c r="X73" s="1">
        <v>12.4</v>
      </c>
      <c r="Y73" s="1">
        <v>8.4</v>
      </c>
      <c r="Z73" s="1">
        <v>8</v>
      </c>
      <c r="AA73" s="1">
        <v>7</v>
      </c>
      <c r="AB73" s="1">
        <v>8.1999999999999993</v>
      </c>
      <c r="AC73" s="1">
        <v>12.6</v>
      </c>
      <c r="AD73" s="1"/>
      <c r="AE73" s="1">
        <f t="shared" si="22"/>
        <v>0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115</v>
      </c>
      <c r="B74" s="1" t="s">
        <v>40</v>
      </c>
      <c r="C74" s="1">
        <v>12</v>
      </c>
      <c r="D74" s="1">
        <v>345</v>
      </c>
      <c r="E74" s="1">
        <v>112</v>
      </c>
      <c r="F74" s="1">
        <v>205</v>
      </c>
      <c r="G74" s="7">
        <v>0.4</v>
      </c>
      <c r="H74" s="1">
        <v>90</v>
      </c>
      <c r="I74" s="9" t="s">
        <v>46</v>
      </c>
      <c r="J74" s="1"/>
      <c r="K74" s="1">
        <v>125</v>
      </c>
      <c r="L74" s="1">
        <f t="shared" si="18"/>
        <v>-13</v>
      </c>
      <c r="M74" s="1"/>
      <c r="N74" s="1"/>
      <c r="O74" s="1">
        <v>0</v>
      </c>
      <c r="P74" s="1">
        <f t="shared" si="19"/>
        <v>22.4</v>
      </c>
      <c r="Q74" s="5">
        <f t="shared" ref="Q71:Q86" si="23">11.5*P74-O74-F74</f>
        <v>52.599999999999966</v>
      </c>
      <c r="R74" s="1">
        <f t="shared" si="20"/>
        <v>11.5</v>
      </c>
      <c r="S74" s="1">
        <f t="shared" si="21"/>
        <v>9.1517857142857153</v>
      </c>
      <c r="T74" s="1">
        <v>21</v>
      </c>
      <c r="U74" s="1">
        <v>26</v>
      </c>
      <c r="V74" s="1">
        <v>21.6</v>
      </c>
      <c r="W74" s="1">
        <v>22.2</v>
      </c>
      <c r="X74" s="1">
        <v>24.6</v>
      </c>
      <c r="Y74" s="1">
        <v>25.2</v>
      </c>
      <c r="Z74" s="1">
        <v>22.8</v>
      </c>
      <c r="AA74" s="1">
        <v>19.399999999999999</v>
      </c>
      <c r="AB74" s="1">
        <v>28.2</v>
      </c>
      <c r="AC74" s="1">
        <v>31</v>
      </c>
      <c r="AD74" s="1"/>
      <c r="AE74" s="1">
        <f t="shared" si="22"/>
        <v>21.039999999999988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116</v>
      </c>
      <c r="B75" s="1" t="s">
        <v>40</v>
      </c>
      <c r="C75" s="1">
        <v>96</v>
      </c>
      <c r="D75" s="1">
        <v>302</v>
      </c>
      <c r="E75" s="1">
        <v>155</v>
      </c>
      <c r="F75" s="1">
        <v>203</v>
      </c>
      <c r="G75" s="7">
        <v>0.33</v>
      </c>
      <c r="H75" s="1">
        <v>60</v>
      </c>
      <c r="I75" s="1" t="s">
        <v>36</v>
      </c>
      <c r="J75" s="1"/>
      <c r="K75" s="1">
        <v>158</v>
      </c>
      <c r="L75" s="1">
        <f t="shared" si="18"/>
        <v>-3</v>
      </c>
      <c r="M75" s="1"/>
      <c r="N75" s="1"/>
      <c r="O75" s="1">
        <v>0</v>
      </c>
      <c r="P75" s="1">
        <f t="shared" si="19"/>
        <v>31</v>
      </c>
      <c r="Q75" s="5">
        <f t="shared" si="23"/>
        <v>153.5</v>
      </c>
      <c r="R75" s="1">
        <f t="shared" si="20"/>
        <v>11.5</v>
      </c>
      <c r="S75" s="1">
        <f t="shared" si="21"/>
        <v>6.5483870967741939</v>
      </c>
      <c r="T75" s="1">
        <v>25.6</v>
      </c>
      <c r="U75" s="1">
        <v>30.4</v>
      </c>
      <c r="V75" s="1">
        <v>36.4</v>
      </c>
      <c r="W75" s="1">
        <v>29</v>
      </c>
      <c r="X75" s="1">
        <v>27.2</v>
      </c>
      <c r="Y75" s="1">
        <v>33</v>
      </c>
      <c r="Z75" s="1">
        <v>35.6</v>
      </c>
      <c r="AA75" s="1">
        <v>30.6</v>
      </c>
      <c r="AB75" s="1">
        <v>23.6</v>
      </c>
      <c r="AC75" s="1">
        <v>33.6</v>
      </c>
      <c r="AD75" s="1"/>
      <c r="AE75" s="1">
        <f t="shared" si="22"/>
        <v>50.655000000000001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117</v>
      </c>
      <c r="B76" s="1" t="s">
        <v>40</v>
      </c>
      <c r="C76" s="1">
        <v>49</v>
      </c>
      <c r="D76" s="1">
        <v>266</v>
      </c>
      <c r="E76" s="1">
        <v>99</v>
      </c>
      <c r="F76" s="1">
        <v>175</v>
      </c>
      <c r="G76" s="7">
        <v>0.35</v>
      </c>
      <c r="H76" s="1">
        <v>90</v>
      </c>
      <c r="I76" s="1" t="s">
        <v>36</v>
      </c>
      <c r="J76" s="1"/>
      <c r="K76" s="1">
        <v>104</v>
      </c>
      <c r="L76" s="1">
        <f t="shared" si="18"/>
        <v>-5</v>
      </c>
      <c r="M76" s="1"/>
      <c r="N76" s="1"/>
      <c r="O76" s="1">
        <v>0</v>
      </c>
      <c r="P76" s="1">
        <f t="shared" si="19"/>
        <v>19.8</v>
      </c>
      <c r="Q76" s="5">
        <f t="shared" si="23"/>
        <v>52.700000000000017</v>
      </c>
      <c r="R76" s="1">
        <f t="shared" si="20"/>
        <v>11.5</v>
      </c>
      <c r="S76" s="1">
        <f t="shared" si="21"/>
        <v>8.8383838383838373</v>
      </c>
      <c r="T76" s="1">
        <v>22</v>
      </c>
      <c r="U76" s="1">
        <v>22.4</v>
      </c>
      <c r="V76" s="1">
        <v>25.2</v>
      </c>
      <c r="W76" s="1">
        <v>25.2</v>
      </c>
      <c r="X76" s="1">
        <v>20.399999999999999</v>
      </c>
      <c r="Y76" s="1">
        <v>23.6</v>
      </c>
      <c r="Z76" s="1">
        <v>18.600000000000001</v>
      </c>
      <c r="AA76" s="1">
        <v>17</v>
      </c>
      <c r="AB76" s="1">
        <v>14.8</v>
      </c>
      <c r="AC76" s="1">
        <v>5.4</v>
      </c>
      <c r="AD76" s="1"/>
      <c r="AE76" s="1">
        <f t="shared" si="22"/>
        <v>18.445000000000004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118</v>
      </c>
      <c r="B77" s="1" t="s">
        <v>40</v>
      </c>
      <c r="C77" s="1">
        <v>210</v>
      </c>
      <c r="D77" s="1">
        <v>1372</v>
      </c>
      <c r="E77" s="1">
        <v>377</v>
      </c>
      <c r="F77" s="1">
        <v>496</v>
      </c>
      <c r="G77" s="7">
        <v>0.37</v>
      </c>
      <c r="H77" s="1">
        <v>50</v>
      </c>
      <c r="I77" s="1" t="s">
        <v>36</v>
      </c>
      <c r="J77" s="1"/>
      <c r="K77" s="1">
        <v>386</v>
      </c>
      <c r="L77" s="1">
        <f t="shared" si="18"/>
        <v>-9</v>
      </c>
      <c r="M77" s="1"/>
      <c r="N77" s="1"/>
      <c r="O77" s="1">
        <v>172.79800000000009</v>
      </c>
      <c r="P77" s="1">
        <f t="shared" si="19"/>
        <v>75.400000000000006</v>
      </c>
      <c r="Q77" s="5">
        <f t="shared" si="23"/>
        <v>198.30199999999991</v>
      </c>
      <c r="R77" s="1">
        <f t="shared" si="20"/>
        <v>11.5</v>
      </c>
      <c r="S77" s="1">
        <f t="shared" si="21"/>
        <v>8.870000000000001</v>
      </c>
      <c r="T77" s="1">
        <v>83.8</v>
      </c>
      <c r="U77" s="1">
        <v>79.599999999999994</v>
      </c>
      <c r="V77" s="1">
        <v>74.400000000000006</v>
      </c>
      <c r="W77" s="1">
        <v>75</v>
      </c>
      <c r="X77" s="1">
        <v>83</v>
      </c>
      <c r="Y77" s="1">
        <v>77.2</v>
      </c>
      <c r="Z77" s="1">
        <v>80.2</v>
      </c>
      <c r="AA77" s="1">
        <v>85.6</v>
      </c>
      <c r="AB77" s="1">
        <v>87.8</v>
      </c>
      <c r="AC77" s="1">
        <v>104.4</v>
      </c>
      <c r="AD77" s="1"/>
      <c r="AE77" s="1">
        <f t="shared" si="22"/>
        <v>73.37173999999996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" t="s">
        <v>119</v>
      </c>
      <c r="B78" s="1" t="s">
        <v>40</v>
      </c>
      <c r="C78" s="1">
        <v>60</v>
      </c>
      <c r="D78" s="1">
        <v>434</v>
      </c>
      <c r="E78" s="1">
        <v>119</v>
      </c>
      <c r="F78" s="1">
        <v>170</v>
      </c>
      <c r="G78" s="7">
        <v>0.6</v>
      </c>
      <c r="H78" s="1">
        <v>70</v>
      </c>
      <c r="I78" s="1" t="s">
        <v>36</v>
      </c>
      <c r="J78" s="1"/>
      <c r="K78" s="1">
        <v>119</v>
      </c>
      <c r="L78" s="1">
        <f t="shared" si="18"/>
        <v>0</v>
      </c>
      <c r="M78" s="1"/>
      <c r="N78" s="1"/>
      <c r="O78" s="1">
        <v>6</v>
      </c>
      <c r="P78" s="1">
        <f t="shared" si="19"/>
        <v>23.8</v>
      </c>
      <c r="Q78" s="5">
        <f t="shared" si="23"/>
        <v>97.699999999999989</v>
      </c>
      <c r="R78" s="1">
        <f t="shared" si="20"/>
        <v>11.5</v>
      </c>
      <c r="S78" s="1">
        <f t="shared" si="21"/>
        <v>7.3949579831932768</v>
      </c>
      <c r="T78" s="1">
        <v>24.4</v>
      </c>
      <c r="U78" s="1">
        <v>26</v>
      </c>
      <c r="V78" s="1">
        <v>31.2</v>
      </c>
      <c r="W78" s="1">
        <v>34.4</v>
      </c>
      <c r="X78" s="1">
        <v>28.4</v>
      </c>
      <c r="Y78" s="1">
        <v>25.6</v>
      </c>
      <c r="Z78" s="1">
        <v>30.6</v>
      </c>
      <c r="AA78" s="1">
        <v>36.200000000000003</v>
      </c>
      <c r="AB78" s="1">
        <v>37.6</v>
      </c>
      <c r="AC78" s="1">
        <v>36.200000000000003</v>
      </c>
      <c r="AD78" s="1"/>
      <c r="AE78" s="1">
        <f t="shared" si="22"/>
        <v>58.61999999999999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" t="s">
        <v>120</v>
      </c>
      <c r="B79" s="1" t="s">
        <v>40</v>
      </c>
      <c r="C79" s="1">
        <v>45</v>
      </c>
      <c r="D79" s="1">
        <v>85</v>
      </c>
      <c r="E79" s="1">
        <v>29</v>
      </c>
      <c r="F79" s="1">
        <v>95</v>
      </c>
      <c r="G79" s="7">
        <v>0.33</v>
      </c>
      <c r="H79" s="1">
        <v>40</v>
      </c>
      <c r="I79" s="1" t="s">
        <v>36</v>
      </c>
      <c r="J79" s="1"/>
      <c r="K79" s="1">
        <v>29</v>
      </c>
      <c r="L79" s="1">
        <f t="shared" si="18"/>
        <v>0</v>
      </c>
      <c r="M79" s="1"/>
      <c r="N79" s="1"/>
      <c r="O79" s="1">
        <v>0</v>
      </c>
      <c r="P79" s="1">
        <f t="shared" si="19"/>
        <v>5.8</v>
      </c>
      <c r="Q79" s="5"/>
      <c r="R79" s="1">
        <f t="shared" si="20"/>
        <v>16.379310344827587</v>
      </c>
      <c r="S79" s="1">
        <f t="shared" si="21"/>
        <v>16.379310344827587</v>
      </c>
      <c r="T79" s="1">
        <v>8.1999999999999993</v>
      </c>
      <c r="U79" s="1">
        <v>9.6</v>
      </c>
      <c r="V79" s="1">
        <v>8</v>
      </c>
      <c r="W79" s="1">
        <v>7.6</v>
      </c>
      <c r="X79" s="1">
        <v>7.6</v>
      </c>
      <c r="Y79" s="1">
        <v>10.4</v>
      </c>
      <c r="Z79" s="1">
        <v>9.4</v>
      </c>
      <c r="AA79" s="1">
        <v>4.4000000000000004</v>
      </c>
      <c r="AB79" s="1">
        <v>8.1999999999999993</v>
      </c>
      <c r="AC79" s="1">
        <v>12.2</v>
      </c>
      <c r="AD79" s="1"/>
      <c r="AE79" s="1">
        <f t="shared" si="22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121</v>
      </c>
      <c r="B80" s="1" t="s">
        <v>40</v>
      </c>
      <c r="C80" s="1">
        <v>-21</v>
      </c>
      <c r="D80" s="1">
        <v>1054</v>
      </c>
      <c r="E80" s="1">
        <v>239</v>
      </c>
      <c r="F80" s="1">
        <v>437</v>
      </c>
      <c r="G80" s="7">
        <v>0.4</v>
      </c>
      <c r="H80" s="1">
        <v>55</v>
      </c>
      <c r="I80" s="1" t="s">
        <v>36</v>
      </c>
      <c r="J80" s="1"/>
      <c r="K80" s="1">
        <v>347</v>
      </c>
      <c r="L80" s="1">
        <f t="shared" si="18"/>
        <v>-108</v>
      </c>
      <c r="M80" s="1"/>
      <c r="N80" s="1"/>
      <c r="O80" s="1">
        <v>0</v>
      </c>
      <c r="P80" s="1">
        <f t="shared" si="19"/>
        <v>47.8</v>
      </c>
      <c r="Q80" s="5">
        <f t="shared" si="23"/>
        <v>112.69999999999993</v>
      </c>
      <c r="R80" s="1">
        <f t="shared" si="20"/>
        <v>11.5</v>
      </c>
      <c r="S80" s="1">
        <f t="shared" si="21"/>
        <v>9.1422594142259417</v>
      </c>
      <c r="T80" s="1">
        <v>34.200000000000003</v>
      </c>
      <c r="U80" s="1">
        <v>63.4</v>
      </c>
      <c r="V80" s="1">
        <v>72.8</v>
      </c>
      <c r="W80" s="1">
        <v>62.8</v>
      </c>
      <c r="X80" s="1">
        <v>61.2</v>
      </c>
      <c r="Y80" s="1">
        <v>41.4</v>
      </c>
      <c r="Z80" s="1">
        <v>36</v>
      </c>
      <c r="AA80" s="1">
        <v>44.4</v>
      </c>
      <c r="AB80" s="1">
        <v>49.4</v>
      </c>
      <c r="AC80" s="1">
        <v>54.2</v>
      </c>
      <c r="AD80" s="1" t="s">
        <v>122</v>
      </c>
      <c r="AE80" s="1">
        <f t="shared" si="22"/>
        <v>45.079999999999977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" t="s">
        <v>123</v>
      </c>
      <c r="B81" s="1" t="s">
        <v>40</v>
      </c>
      <c r="C81" s="1">
        <v>10</v>
      </c>
      <c r="D81" s="1">
        <v>30</v>
      </c>
      <c r="E81" s="1">
        <v>7</v>
      </c>
      <c r="F81" s="1">
        <v>26</v>
      </c>
      <c r="G81" s="7">
        <v>0.35</v>
      </c>
      <c r="H81" s="1">
        <v>40</v>
      </c>
      <c r="I81" s="1" t="s">
        <v>36</v>
      </c>
      <c r="J81" s="1"/>
      <c r="K81" s="1">
        <v>18</v>
      </c>
      <c r="L81" s="1">
        <f t="shared" si="18"/>
        <v>-11</v>
      </c>
      <c r="M81" s="1"/>
      <c r="N81" s="1"/>
      <c r="O81" s="1">
        <v>0</v>
      </c>
      <c r="P81" s="1">
        <f t="shared" si="19"/>
        <v>1.4</v>
      </c>
      <c r="Q81" s="5"/>
      <c r="R81" s="1">
        <f t="shared" si="20"/>
        <v>18.571428571428573</v>
      </c>
      <c r="S81" s="1">
        <f t="shared" si="21"/>
        <v>18.571428571428573</v>
      </c>
      <c r="T81" s="1">
        <v>1.8</v>
      </c>
      <c r="U81" s="1">
        <v>2.8</v>
      </c>
      <c r="V81" s="1">
        <v>1.6</v>
      </c>
      <c r="W81" s="1">
        <v>0</v>
      </c>
      <c r="X81" s="1">
        <v>2.4</v>
      </c>
      <c r="Y81" s="1">
        <v>0</v>
      </c>
      <c r="Z81" s="1">
        <v>0</v>
      </c>
      <c r="AA81" s="1">
        <v>-0.2</v>
      </c>
      <c r="AB81" s="1">
        <v>-0.2</v>
      </c>
      <c r="AC81" s="1">
        <v>0</v>
      </c>
      <c r="AD81" s="17" t="s">
        <v>183</v>
      </c>
      <c r="AE81" s="1">
        <f t="shared" si="22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" t="s">
        <v>124</v>
      </c>
      <c r="B82" s="1" t="s">
        <v>40</v>
      </c>
      <c r="C82" s="1"/>
      <c r="D82" s="1">
        <v>150</v>
      </c>
      <c r="E82" s="1">
        <v>59</v>
      </c>
      <c r="F82" s="1">
        <v>90</v>
      </c>
      <c r="G82" s="7">
        <v>0.35</v>
      </c>
      <c r="H82" s="1">
        <v>45</v>
      </c>
      <c r="I82" s="1" t="s">
        <v>36</v>
      </c>
      <c r="J82" s="1"/>
      <c r="K82" s="1">
        <v>103</v>
      </c>
      <c r="L82" s="1">
        <f t="shared" si="18"/>
        <v>-44</v>
      </c>
      <c r="M82" s="1"/>
      <c r="N82" s="1"/>
      <c r="O82" s="1">
        <v>11.8</v>
      </c>
      <c r="P82" s="1">
        <f t="shared" si="19"/>
        <v>11.8</v>
      </c>
      <c r="Q82" s="5">
        <f t="shared" si="23"/>
        <v>33.90000000000002</v>
      </c>
      <c r="R82" s="1">
        <f t="shared" si="20"/>
        <v>11.5</v>
      </c>
      <c r="S82" s="1">
        <f t="shared" si="21"/>
        <v>8.6271186440677958</v>
      </c>
      <c r="T82" s="1">
        <v>9.6</v>
      </c>
      <c r="U82" s="1">
        <v>1.2</v>
      </c>
      <c r="V82" s="1">
        <v>2.4</v>
      </c>
      <c r="W82" s="1">
        <v>8.4</v>
      </c>
      <c r="X82" s="1">
        <v>7.2</v>
      </c>
      <c r="Y82" s="1">
        <v>0</v>
      </c>
      <c r="Z82" s="1">
        <v>-1.2</v>
      </c>
      <c r="AA82" s="1">
        <v>24.6</v>
      </c>
      <c r="AB82" s="1">
        <v>39.4</v>
      </c>
      <c r="AC82" s="1">
        <v>36</v>
      </c>
      <c r="AD82" s="1"/>
      <c r="AE82" s="1">
        <f t="shared" si="22"/>
        <v>11.865000000000006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125</v>
      </c>
      <c r="B83" s="1" t="s">
        <v>40</v>
      </c>
      <c r="C83" s="1">
        <v>117</v>
      </c>
      <c r="D83" s="1">
        <v>402</v>
      </c>
      <c r="E83" s="1">
        <v>124</v>
      </c>
      <c r="F83" s="1">
        <v>292</v>
      </c>
      <c r="G83" s="7">
        <v>0.4</v>
      </c>
      <c r="H83" s="1">
        <v>55</v>
      </c>
      <c r="I83" s="1" t="s">
        <v>36</v>
      </c>
      <c r="J83" s="1"/>
      <c r="K83" s="1">
        <v>164</v>
      </c>
      <c r="L83" s="1">
        <f t="shared" si="18"/>
        <v>-40</v>
      </c>
      <c r="M83" s="1"/>
      <c r="N83" s="1"/>
      <c r="O83" s="1">
        <v>0</v>
      </c>
      <c r="P83" s="1">
        <f t="shared" si="19"/>
        <v>24.8</v>
      </c>
      <c r="Q83" s="5"/>
      <c r="R83" s="1">
        <f t="shared" si="20"/>
        <v>11.774193548387096</v>
      </c>
      <c r="S83" s="1">
        <f t="shared" si="21"/>
        <v>11.774193548387096</v>
      </c>
      <c r="T83" s="1">
        <v>25.4</v>
      </c>
      <c r="U83" s="1">
        <v>36.6</v>
      </c>
      <c r="V83" s="1">
        <v>36.4</v>
      </c>
      <c r="W83" s="1">
        <v>14.8</v>
      </c>
      <c r="X83" s="1">
        <v>18</v>
      </c>
      <c r="Y83" s="1">
        <v>31.8</v>
      </c>
      <c r="Z83" s="1">
        <v>27.2</v>
      </c>
      <c r="AA83" s="1">
        <v>35.799999999999997</v>
      </c>
      <c r="AB83" s="1">
        <v>35.6</v>
      </c>
      <c r="AC83" s="1">
        <v>29.6</v>
      </c>
      <c r="AD83" s="1"/>
      <c r="AE83" s="1">
        <f t="shared" si="22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126</v>
      </c>
      <c r="B84" s="1" t="s">
        <v>35</v>
      </c>
      <c r="C84" s="1">
        <v>58.302</v>
      </c>
      <c r="D84" s="1">
        <v>7.056</v>
      </c>
      <c r="E84" s="1">
        <v>10.907</v>
      </c>
      <c r="F84" s="1">
        <v>53.776000000000003</v>
      </c>
      <c r="G84" s="7">
        <v>1</v>
      </c>
      <c r="H84" s="1">
        <v>55</v>
      </c>
      <c r="I84" s="1" t="s">
        <v>36</v>
      </c>
      <c r="J84" s="1"/>
      <c r="K84" s="1">
        <v>10.6</v>
      </c>
      <c r="L84" s="1">
        <f t="shared" si="18"/>
        <v>0.30700000000000038</v>
      </c>
      <c r="M84" s="1"/>
      <c r="N84" s="1"/>
      <c r="O84" s="1">
        <v>0</v>
      </c>
      <c r="P84" s="1">
        <f t="shared" si="19"/>
        <v>2.1814</v>
      </c>
      <c r="Q84" s="5"/>
      <c r="R84" s="1">
        <f t="shared" si="20"/>
        <v>24.652058311176312</v>
      </c>
      <c r="S84" s="1">
        <f t="shared" si="21"/>
        <v>24.652058311176312</v>
      </c>
      <c r="T84" s="1">
        <v>0.73659999999999992</v>
      </c>
      <c r="U84" s="1">
        <v>0.57380000000000009</v>
      </c>
      <c r="V84" s="1">
        <v>1.1456</v>
      </c>
      <c r="W84" s="1">
        <v>1.4379999999999999</v>
      </c>
      <c r="X84" s="1">
        <v>0.86620000000000008</v>
      </c>
      <c r="Y84" s="1">
        <v>0.56840000000000002</v>
      </c>
      <c r="Z84" s="1">
        <v>0.56840000000000002</v>
      </c>
      <c r="AA84" s="1">
        <v>1.1446000000000001</v>
      </c>
      <c r="AB84" s="1">
        <v>1.4156</v>
      </c>
      <c r="AC84" s="1">
        <v>1.1512</v>
      </c>
      <c r="AD84" s="14" t="s">
        <v>111</v>
      </c>
      <c r="AE84" s="1">
        <f t="shared" si="22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" t="s">
        <v>127</v>
      </c>
      <c r="B85" s="1" t="s">
        <v>35</v>
      </c>
      <c r="C85" s="1">
        <v>40.398000000000003</v>
      </c>
      <c r="D85" s="1">
        <v>359.94400000000002</v>
      </c>
      <c r="E85" s="1">
        <v>123.747</v>
      </c>
      <c r="F85" s="1">
        <v>166.24199999999999</v>
      </c>
      <c r="G85" s="7">
        <v>1</v>
      </c>
      <c r="H85" s="1">
        <v>55</v>
      </c>
      <c r="I85" s="1" t="s">
        <v>36</v>
      </c>
      <c r="J85" s="1"/>
      <c r="K85" s="1">
        <v>120.2</v>
      </c>
      <c r="L85" s="1">
        <f t="shared" si="18"/>
        <v>3.546999999999997</v>
      </c>
      <c r="M85" s="1"/>
      <c r="N85" s="1"/>
      <c r="O85" s="1">
        <v>22.94420000000002</v>
      </c>
      <c r="P85" s="1">
        <f t="shared" si="19"/>
        <v>24.749400000000001</v>
      </c>
      <c r="Q85" s="5">
        <f t="shared" si="23"/>
        <v>95.431900000000013</v>
      </c>
      <c r="R85" s="1">
        <f t="shared" si="20"/>
        <v>11.5</v>
      </c>
      <c r="S85" s="1">
        <f t="shared" si="21"/>
        <v>7.6440721795275843</v>
      </c>
      <c r="T85" s="1">
        <v>24.712599999999998</v>
      </c>
      <c r="U85" s="1">
        <v>23.388999999999999</v>
      </c>
      <c r="V85" s="1">
        <v>21.680800000000001</v>
      </c>
      <c r="W85" s="1">
        <v>21.646799999999999</v>
      </c>
      <c r="X85" s="1">
        <v>18.131399999999999</v>
      </c>
      <c r="Y85" s="1">
        <v>21.6068</v>
      </c>
      <c r="Z85" s="1">
        <v>28.839600000000001</v>
      </c>
      <c r="AA85" s="1">
        <v>25.4146</v>
      </c>
      <c r="AB85" s="1">
        <v>20.510200000000001</v>
      </c>
      <c r="AC85" s="1">
        <v>20.4178</v>
      </c>
      <c r="AD85" s="1" t="s">
        <v>122</v>
      </c>
      <c r="AE85" s="1">
        <f t="shared" si="22"/>
        <v>95.431900000000013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128</v>
      </c>
      <c r="B86" s="1" t="s">
        <v>35</v>
      </c>
      <c r="C86" s="1">
        <v>590.00699999999995</v>
      </c>
      <c r="D86" s="1">
        <v>1508.058</v>
      </c>
      <c r="E86" s="1">
        <v>748.70600000000002</v>
      </c>
      <c r="F86" s="1">
        <v>908.53599999999994</v>
      </c>
      <c r="G86" s="7">
        <v>1</v>
      </c>
      <c r="H86" s="1">
        <v>60</v>
      </c>
      <c r="I86" s="1" t="s">
        <v>36</v>
      </c>
      <c r="J86" s="1"/>
      <c r="K86" s="1">
        <v>751.08</v>
      </c>
      <c r="L86" s="1">
        <f t="shared" si="18"/>
        <v>-2.3740000000000236</v>
      </c>
      <c r="M86" s="1"/>
      <c r="N86" s="1"/>
      <c r="O86" s="1">
        <v>166.21124</v>
      </c>
      <c r="P86" s="1">
        <f t="shared" si="19"/>
        <v>149.74119999999999</v>
      </c>
      <c r="Q86" s="5">
        <f t="shared" si="23"/>
        <v>647.2765599999999</v>
      </c>
      <c r="R86" s="1">
        <f t="shared" si="20"/>
        <v>11.5</v>
      </c>
      <c r="S86" s="1">
        <f t="shared" si="21"/>
        <v>7.1773649469885372</v>
      </c>
      <c r="T86" s="1">
        <v>145.28399999999999</v>
      </c>
      <c r="U86" s="1">
        <v>139.1936</v>
      </c>
      <c r="V86" s="1">
        <v>150.78639999999999</v>
      </c>
      <c r="W86" s="1">
        <v>144.6326</v>
      </c>
      <c r="X86" s="1">
        <v>145.7482</v>
      </c>
      <c r="Y86" s="1">
        <v>161.48840000000001</v>
      </c>
      <c r="Z86" s="1">
        <v>133.17140000000001</v>
      </c>
      <c r="AA86" s="1">
        <v>128.61879999999999</v>
      </c>
      <c r="AB86" s="1">
        <v>152.0676</v>
      </c>
      <c r="AC86" s="1">
        <v>157.40639999999999</v>
      </c>
      <c r="AD86" s="1"/>
      <c r="AE86" s="1">
        <f t="shared" si="22"/>
        <v>647.2765599999999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1" t="s">
        <v>129</v>
      </c>
      <c r="B87" s="11" t="s">
        <v>40</v>
      </c>
      <c r="C87" s="11"/>
      <c r="D87" s="11"/>
      <c r="E87" s="11"/>
      <c r="F87" s="11"/>
      <c r="G87" s="12">
        <v>0</v>
      </c>
      <c r="H87" s="11"/>
      <c r="I87" s="11" t="s">
        <v>36</v>
      </c>
      <c r="J87" s="11"/>
      <c r="K87" s="11"/>
      <c r="L87" s="11">
        <f t="shared" si="18"/>
        <v>0</v>
      </c>
      <c r="M87" s="11"/>
      <c r="N87" s="11"/>
      <c r="O87" s="11">
        <v>0</v>
      </c>
      <c r="P87" s="11">
        <f t="shared" si="19"/>
        <v>0</v>
      </c>
      <c r="Q87" s="13"/>
      <c r="R87" s="11" t="e">
        <f t="shared" si="20"/>
        <v>#DIV/0!</v>
      </c>
      <c r="S87" s="11" t="e">
        <f t="shared" si="21"/>
        <v>#DIV/0!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 t="s">
        <v>41</v>
      </c>
      <c r="AE87" s="1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130</v>
      </c>
      <c r="B88" s="1" t="s">
        <v>35</v>
      </c>
      <c r="C88" s="1">
        <v>689.48</v>
      </c>
      <c r="D88" s="1">
        <v>6030.875</v>
      </c>
      <c r="E88" s="1">
        <v>2687.9580000000001</v>
      </c>
      <c r="F88" s="1">
        <v>2677.2840000000001</v>
      </c>
      <c r="G88" s="7">
        <v>1</v>
      </c>
      <c r="H88" s="1">
        <v>60</v>
      </c>
      <c r="I88" s="1" t="s">
        <v>36</v>
      </c>
      <c r="J88" s="1"/>
      <c r="K88" s="1">
        <v>2786.9</v>
      </c>
      <c r="L88" s="1">
        <f t="shared" si="18"/>
        <v>-98.942000000000007</v>
      </c>
      <c r="M88" s="1"/>
      <c r="N88" s="1"/>
      <c r="O88" s="1">
        <v>1500.032336</v>
      </c>
      <c r="P88" s="1">
        <f t="shared" si="19"/>
        <v>537.59159999999997</v>
      </c>
      <c r="Q88" s="5">
        <f t="shared" ref="Q88:Q93" si="24">11.5*P88-O88-F88</f>
        <v>2004.9870639999995</v>
      </c>
      <c r="R88" s="1">
        <f t="shared" si="20"/>
        <v>11.499999999999998</v>
      </c>
      <c r="S88" s="1">
        <f t="shared" si="21"/>
        <v>7.7704270974472074</v>
      </c>
      <c r="T88" s="1">
        <v>554.97739999999999</v>
      </c>
      <c r="U88" s="1">
        <v>493.79599999999999</v>
      </c>
      <c r="V88" s="1">
        <v>502.71559999999999</v>
      </c>
      <c r="W88" s="1">
        <v>542.02940000000001</v>
      </c>
      <c r="X88" s="1">
        <v>512.76220000000001</v>
      </c>
      <c r="Y88" s="1">
        <v>459.2072</v>
      </c>
      <c r="Z88" s="1">
        <v>405.00659999999999</v>
      </c>
      <c r="AA88" s="1">
        <v>427.90280000000001</v>
      </c>
      <c r="AB88" s="1">
        <v>494.89839999999998</v>
      </c>
      <c r="AC88" s="1">
        <v>526.31220000000008</v>
      </c>
      <c r="AD88" s="1"/>
      <c r="AE88" s="1">
        <f t="shared" ref="AE88:AE93" si="25">G88*Q88</f>
        <v>2004.9870639999995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" t="s">
        <v>131</v>
      </c>
      <c r="B89" s="1" t="s">
        <v>35</v>
      </c>
      <c r="C89" s="1">
        <v>760.21199999999999</v>
      </c>
      <c r="D89" s="1">
        <v>4643.9989999999998</v>
      </c>
      <c r="E89" s="1">
        <v>1567.181</v>
      </c>
      <c r="F89" s="1">
        <v>2382.9169999999999</v>
      </c>
      <c r="G89" s="7">
        <v>1</v>
      </c>
      <c r="H89" s="1">
        <v>60</v>
      </c>
      <c r="I89" s="1" t="s">
        <v>36</v>
      </c>
      <c r="J89" s="1"/>
      <c r="K89" s="1">
        <v>1810.6</v>
      </c>
      <c r="L89" s="1">
        <f t="shared" si="18"/>
        <v>-243.41899999999987</v>
      </c>
      <c r="M89" s="1"/>
      <c r="N89" s="1"/>
      <c r="O89" s="1">
        <v>620.14017000000001</v>
      </c>
      <c r="P89" s="1">
        <f t="shared" si="19"/>
        <v>313.43619999999999</v>
      </c>
      <c r="Q89" s="5">
        <f t="shared" si="24"/>
        <v>601.45912999999973</v>
      </c>
      <c r="R89" s="1">
        <f t="shared" si="20"/>
        <v>11.5</v>
      </c>
      <c r="S89" s="1">
        <f t="shared" si="21"/>
        <v>9.581079562603172</v>
      </c>
      <c r="T89" s="1">
        <v>371.91699999999997</v>
      </c>
      <c r="U89" s="1">
        <v>375.10239999999999</v>
      </c>
      <c r="V89" s="1">
        <v>343.6112</v>
      </c>
      <c r="W89" s="1">
        <v>374.64</v>
      </c>
      <c r="X89" s="1">
        <v>362.87380000000002</v>
      </c>
      <c r="Y89" s="1">
        <v>356.65640000000002</v>
      </c>
      <c r="Z89" s="1">
        <v>370.45139999999998</v>
      </c>
      <c r="AA89" s="1">
        <v>435.01280000000003</v>
      </c>
      <c r="AB89" s="1">
        <v>454.02980000000002</v>
      </c>
      <c r="AC89" s="1">
        <v>464.01760000000002</v>
      </c>
      <c r="AD89" s="1"/>
      <c r="AE89" s="1">
        <f t="shared" si="25"/>
        <v>601.45912999999973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" t="s">
        <v>132</v>
      </c>
      <c r="B90" s="1" t="s">
        <v>35</v>
      </c>
      <c r="C90" s="1">
        <v>1461.6120000000001</v>
      </c>
      <c r="D90" s="1">
        <v>7594.3429999999998</v>
      </c>
      <c r="E90" s="1">
        <v>3188.268</v>
      </c>
      <c r="F90" s="1">
        <v>3875.2069999999999</v>
      </c>
      <c r="G90" s="7">
        <v>1</v>
      </c>
      <c r="H90" s="1">
        <v>60</v>
      </c>
      <c r="I90" s="1" t="s">
        <v>36</v>
      </c>
      <c r="J90" s="1"/>
      <c r="K90" s="1">
        <v>3222.15</v>
      </c>
      <c r="L90" s="1">
        <f t="shared" si="18"/>
        <v>-33.882000000000062</v>
      </c>
      <c r="M90" s="1"/>
      <c r="N90" s="1"/>
      <c r="O90" s="1">
        <v>1004.462033999999</v>
      </c>
      <c r="P90" s="1">
        <f t="shared" si="19"/>
        <v>637.65359999999998</v>
      </c>
      <c r="Q90" s="5">
        <f t="shared" si="24"/>
        <v>2453.3473660000004</v>
      </c>
      <c r="R90" s="1">
        <f t="shared" si="20"/>
        <v>11.499999999999998</v>
      </c>
      <c r="S90" s="1">
        <f t="shared" si="21"/>
        <v>7.6525389866849318</v>
      </c>
      <c r="T90" s="1">
        <v>639.60299999999995</v>
      </c>
      <c r="U90" s="1">
        <v>617.20920000000001</v>
      </c>
      <c r="V90" s="1">
        <v>626.71460000000002</v>
      </c>
      <c r="W90" s="1">
        <v>607.15480000000002</v>
      </c>
      <c r="X90" s="1">
        <v>614.59640000000002</v>
      </c>
      <c r="Y90" s="1">
        <v>581.85900000000004</v>
      </c>
      <c r="Z90" s="1">
        <v>521.048</v>
      </c>
      <c r="AA90" s="1">
        <v>463.74439999999998</v>
      </c>
      <c r="AB90" s="1">
        <v>532.01880000000006</v>
      </c>
      <c r="AC90" s="1">
        <v>605.65300000000002</v>
      </c>
      <c r="AD90" s="1"/>
      <c r="AE90" s="1">
        <f t="shared" si="25"/>
        <v>2453.3473660000004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" t="s">
        <v>133</v>
      </c>
      <c r="B91" s="1" t="s">
        <v>35</v>
      </c>
      <c r="C91" s="1">
        <v>34.732999999999997</v>
      </c>
      <c r="D91" s="1">
        <v>209.626</v>
      </c>
      <c r="E91" s="1">
        <v>25.010999999999999</v>
      </c>
      <c r="F91" s="1">
        <v>127.57599999999999</v>
      </c>
      <c r="G91" s="7">
        <v>1</v>
      </c>
      <c r="H91" s="1">
        <v>55</v>
      </c>
      <c r="I91" s="1" t="s">
        <v>36</v>
      </c>
      <c r="J91" s="1"/>
      <c r="K91" s="1">
        <v>64.8</v>
      </c>
      <c r="L91" s="1">
        <f t="shared" si="18"/>
        <v>-39.789000000000001</v>
      </c>
      <c r="M91" s="1"/>
      <c r="N91" s="1"/>
      <c r="O91" s="1">
        <v>0</v>
      </c>
      <c r="P91" s="1">
        <f t="shared" si="19"/>
        <v>5.0022000000000002</v>
      </c>
      <c r="Q91" s="5"/>
      <c r="R91" s="1">
        <f t="shared" si="20"/>
        <v>25.503978249570185</v>
      </c>
      <c r="S91" s="1">
        <f t="shared" si="21"/>
        <v>25.503978249570185</v>
      </c>
      <c r="T91" s="1">
        <v>5.1151999999999997</v>
      </c>
      <c r="U91" s="1">
        <v>13.686400000000001</v>
      </c>
      <c r="V91" s="1">
        <v>13.686400000000001</v>
      </c>
      <c r="W91" s="1">
        <v>5.3433999999999999</v>
      </c>
      <c r="X91" s="1">
        <v>5.6134000000000004</v>
      </c>
      <c r="Y91" s="1">
        <v>9.3739999999999988</v>
      </c>
      <c r="Z91" s="1">
        <v>9.3148</v>
      </c>
      <c r="AA91" s="1">
        <v>6.9373999999999993</v>
      </c>
      <c r="AB91" s="1">
        <v>6.7266000000000004</v>
      </c>
      <c r="AC91" s="1">
        <v>8.3040000000000003</v>
      </c>
      <c r="AD91" s="14" t="s">
        <v>111</v>
      </c>
      <c r="AE91" s="1">
        <f t="shared" si="25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" t="s">
        <v>134</v>
      </c>
      <c r="B92" s="1" t="s">
        <v>40</v>
      </c>
      <c r="C92" s="1">
        <v>1</v>
      </c>
      <c r="D92" s="1">
        <v>132</v>
      </c>
      <c r="E92" s="1">
        <v>101</v>
      </c>
      <c r="F92" s="1">
        <v>31</v>
      </c>
      <c r="G92" s="7">
        <v>0.3</v>
      </c>
      <c r="H92" s="1">
        <v>40</v>
      </c>
      <c r="I92" s="1" t="s">
        <v>36</v>
      </c>
      <c r="J92" s="1"/>
      <c r="K92" s="1">
        <v>164</v>
      </c>
      <c r="L92" s="1">
        <f t="shared" si="18"/>
        <v>-63</v>
      </c>
      <c r="M92" s="1"/>
      <c r="N92" s="1"/>
      <c r="O92" s="1">
        <v>106.6</v>
      </c>
      <c r="P92" s="1">
        <f t="shared" si="19"/>
        <v>20.2</v>
      </c>
      <c r="Q92" s="5">
        <f t="shared" si="24"/>
        <v>94.699999999999989</v>
      </c>
      <c r="R92" s="1">
        <f t="shared" si="20"/>
        <v>11.5</v>
      </c>
      <c r="S92" s="1">
        <f t="shared" si="21"/>
        <v>6.8118811881188117</v>
      </c>
      <c r="T92" s="1">
        <v>17.2</v>
      </c>
      <c r="U92" s="1">
        <v>1.6</v>
      </c>
      <c r="V92" s="1">
        <v>4.4000000000000004</v>
      </c>
      <c r="W92" s="1">
        <v>5</v>
      </c>
      <c r="X92" s="1">
        <v>2.2000000000000002</v>
      </c>
      <c r="Y92" s="1">
        <v>0</v>
      </c>
      <c r="Z92" s="1">
        <v>-0.2</v>
      </c>
      <c r="AA92" s="1">
        <v>-0.2</v>
      </c>
      <c r="AB92" s="1">
        <v>-0.2</v>
      </c>
      <c r="AC92" s="1">
        <v>-0.8</v>
      </c>
      <c r="AD92" s="1"/>
      <c r="AE92" s="1">
        <f t="shared" si="25"/>
        <v>28.409999999999997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" t="s">
        <v>135</v>
      </c>
      <c r="B93" s="1" t="s">
        <v>40</v>
      </c>
      <c r="C93" s="1">
        <v>20</v>
      </c>
      <c r="D93" s="1">
        <v>99</v>
      </c>
      <c r="E93" s="1">
        <v>7</v>
      </c>
      <c r="F93" s="1">
        <v>68</v>
      </c>
      <c r="G93" s="7">
        <v>0.3</v>
      </c>
      <c r="H93" s="1">
        <v>40</v>
      </c>
      <c r="I93" s="9" t="s">
        <v>46</v>
      </c>
      <c r="J93" s="1"/>
      <c r="K93" s="1">
        <v>23</v>
      </c>
      <c r="L93" s="1">
        <f t="shared" si="18"/>
        <v>-16</v>
      </c>
      <c r="M93" s="1"/>
      <c r="N93" s="1"/>
      <c r="O93" s="1">
        <v>0</v>
      </c>
      <c r="P93" s="1">
        <f t="shared" si="19"/>
        <v>1.4</v>
      </c>
      <c r="Q93" s="5"/>
      <c r="R93" s="1">
        <f t="shared" si="20"/>
        <v>48.571428571428577</v>
      </c>
      <c r="S93" s="1">
        <f t="shared" si="21"/>
        <v>48.571428571428577</v>
      </c>
      <c r="T93" s="1">
        <v>1.8</v>
      </c>
      <c r="U93" s="1">
        <v>11.4</v>
      </c>
      <c r="V93" s="1">
        <v>11</v>
      </c>
      <c r="W93" s="1">
        <v>13.8</v>
      </c>
      <c r="X93" s="1">
        <v>16.8</v>
      </c>
      <c r="Y93" s="1">
        <v>14.4</v>
      </c>
      <c r="Z93" s="1">
        <v>12.6</v>
      </c>
      <c r="AA93" s="1">
        <v>19.399999999999999</v>
      </c>
      <c r="AB93" s="1">
        <v>18.8</v>
      </c>
      <c r="AC93" s="1">
        <v>15.6</v>
      </c>
      <c r="AD93" s="15" t="s">
        <v>184</v>
      </c>
      <c r="AE93" s="1">
        <f t="shared" si="25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1" t="s">
        <v>136</v>
      </c>
      <c r="B94" s="11" t="s">
        <v>40</v>
      </c>
      <c r="C94" s="11"/>
      <c r="D94" s="11"/>
      <c r="E94" s="11"/>
      <c r="F94" s="11"/>
      <c r="G94" s="12">
        <v>0</v>
      </c>
      <c r="H94" s="11"/>
      <c r="I94" s="11" t="s">
        <v>36</v>
      </c>
      <c r="J94" s="11"/>
      <c r="K94" s="11"/>
      <c r="L94" s="11">
        <f t="shared" si="18"/>
        <v>0</v>
      </c>
      <c r="M94" s="11"/>
      <c r="N94" s="11"/>
      <c r="O94" s="11">
        <v>0</v>
      </c>
      <c r="P94" s="11">
        <f t="shared" si="19"/>
        <v>0</v>
      </c>
      <c r="Q94" s="13"/>
      <c r="R94" s="11" t="e">
        <f t="shared" si="20"/>
        <v>#DIV/0!</v>
      </c>
      <c r="S94" s="11" t="e">
        <f t="shared" si="21"/>
        <v>#DIV/0!</v>
      </c>
      <c r="T94" s="11">
        <v>0</v>
      </c>
      <c r="U94" s="11">
        <v>0</v>
      </c>
      <c r="V94" s="11">
        <v>0</v>
      </c>
      <c r="W94" s="11">
        <v>0</v>
      </c>
      <c r="X94" s="11">
        <v>0</v>
      </c>
      <c r="Y94" s="11">
        <v>0</v>
      </c>
      <c r="Z94" s="11">
        <v>0</v>
      </c>
      <c r="AA94" s="11">
        <v>0</v>
      </c>
      <c r="AB94" s="11">
        <v>0</v>
      </c>
      <c r="AC94" s="11">
        <v>0</v>
      </c>
      <c r="AD94" s="11" t="s">
        <v>41</v>
      </c>
      <c r="AE94" s="1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137</v>
      </c>
      <c r="B95" s="1" t="s">
        <v>40</v>
      </c>
      <c r="C95" s="1">
        <v>1</v>
      </c>
      <c r="D95" s="1">
        <v>378</v>
      </c>
      <c r="E95" s="1">
        <v>132</v>
      </c>
      <c r="F95" s="1">
        <v>206</v>
      </c>
      <c r="G95" s="7">
        <v>7.0000000000000007E-2</v>
      </c>
      <c r="H95" s="1">
        <v>90</v>
      </c>
      <c r="I95" s="1" t="s">
        <v>36</v>
      </c>
      <c r="J95" s="1"/>
      <c r="K95" s="1">
        <v>173</v>
      </c>
      <c r="L95" s="1">
        <f t="shared" si="18"/>
        <v>-41</v>
      </c>
      <c r="M95" s="1"/>
      <c r="N95" s="1"/>
      <c r="O95" s="1">
        <v>0</v>
      </c>
      <c r="P95" s="1">
        <f t="shared" si="19"/>
        <v>26.4</v>
      </c>
      <c r="Q95" s="5">
        <f t="shared" ref="Q95:Q97" si="26">11.5*P95-O95-F95</f>
        <v>97.599999999999966</v>
      </c>
      <c r="R95" s="1">
        <f t="shared" si="20"/>
        <v>11.5</v>
      </c>
      <c r="S95" s="1">
        <f t="shared" si="21"/>
        <v>7.8030303030303036</v>
      </c>
      <c r="T95" s="1">
        <v>19.2</v>
      </c>
      <c r="U95" s="1">
        <v>25.8</v>
      </c>
      <c r="V95" s="1">
        <v>31</v>
      </c>
      <c r="W95" s="1">
        <v>16.399999999999999</v>
      </c>
      <c r="X95" s="1">
        <v>2.8</v>
      </c>
      <c r="Y95" s="1">
        <v>2.8</v>
      </c>
      <c r="Z95" s="1">
        <v>9.1999999999999993</v>
      </c>
      <c r="AA95" s="1">
        <v>29.4</v>
      </c>
      <c r="AB95" s="1">
        <v>32.799999999999997</v>
      </c>
      <c r="AC95" s="1">
        <v>32.200000000000003</v>
      </c>
      <c r="AD95" s="1"/>
      <c r="AE95" s="1">
        <f>G95*Q95</f>
        <v>6.8319999999999981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" t="s">
        <v>138</v>
      </c>
      <c r="B96" s="1" t="s">
        <v>40</v>
      </c>
      <c r="C96" s="1">
        <v>13</v>
      </c>
      <c r="D96" s="1">
        <v>383</v>
      </c>
      <c r="E96" s="1">
        <v>124</v>
      </c>
      <c r="F96" s="1">
        <v>222</v>
      </c>
      <c r="G96" s="7">
        <v>7.0000000000000007E-2</v>
      </c>
      <c r="H96" s="1">
        <v>90</v>
      </c>
      <c r="I96" s="1" t="s">
        <v>36</v>
      </c>
      <c r="J96" s="1"/>
      <c r="K96" s="1">
        <v>163</v>
      </c>
      <c r="L96" s="1">
        <f t="shared" si="18"/>
        <v>-39</v>
      </c>
      <c r="M96" s="1"/>
      <c r="N96" s="1"/>
      <c r="O96" s="1">
        <v>0</v>
      </c>
      <c r="P96" s="1">
        <f t="shared" si="19"/>
        <v>24.8</v>
      </c>
      <c r="Q96" s="5">
        <f t="shared" si="26"/>
        <v>63.199999999999989</v>
      </c>
      <c r="R96" s="1">
        <f t="shared" si="20"/>
        <v>11.5</v>
      </c>
      <c r="S96" s="1">
        <f t="shared" si="21"/>
        <v>8.9516129032258061</v>
      </c>
      <c r="T96" s="1">
        <v>17</v>
      </c>
      <c r="U96" s="1">
        <v>25</v>
      </c>
      <c r="V96" s="1">
        <v>30.4</v>
      </c>
      <c r="W96" s="1">
        <v>28.4</v>
      </c>
      <c r="X96" s="1">
        <v>23.4</v>
      </c>
      <c r="Y96" s="1">
        <v>19.8</v>
      </c>
      <c r="Z96" s="1">
        <v>19.600000000000001</v>
      </c>
      <c r="AA96" s="1">
        <v>24.2</v>
      </c>
      <c r="AB96" s="1">
        <v>23.2</v>
      </c>
      <c r="AC96" s="1">
        <v>21.8</v>
      </c>
      <c r="AD96" s="1"/>
      <c r="AE96" s="1">
        <f>G96*Q96</f>
        <v>4.4239999999999995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" t="s">
        <v>139</v>
      </c>
      <c r="B97" s="1" t="s">
        <v>40</v>
      </c>
      <c r="C97" s="1">
        <v>3</v>
      </c>
      <c r="D97" s="1">
        <v>432</v>
      </c>
      <c r="E97" s="1">
        <v>74</v>
      </c>
      <c r="F97" s="1">
        <v>287</v>
      </c>
      <c r="G97" s="7">
        <v>0.3</v>
      </c>
      <c r="H97" s="1">
        <v>40</v>
      </c>
      <c r="I97" s="1" t="s">
        <v>36</v>
      </c>
      <c r="J97" s="1"/>
      <c r="K97" s="1">
        <v>105</v>
      </c>
      <c r="L97" s="1">
        <f t="shared" si="18"/>
        <v>-31</v>
      </c>
      <c r="M97" s="1"/>
      <c r="N97" s="1"/>
      <c r="O97" s="1">
        <v>0</v>
      </c>
      <c r="P97" s="1">
        <f t="shared" si="19"/>
        <v>14.8</v>
      </c>
      <c r="Q97" s="5"/>
      <c r="R97" s="1">
        <f t="shared" si="20"/>
        <v>19.391891891891891</v>
      </c>
      <c r="S97" s="1">
        <f t="shared" si="21"/>
        <v>19.391891891891891</v>
      </c>
      <c r="T97" s="1">
        <v>9</v>
      </c>
      <c r="U97" s="1">
        <v>15.8</v>
      </c>
      <c r="V97" s="1">
        <v>17.8</v>
      </c>
      <c r="W97" s="1">
        <v>34.6</v>
      </c>
      <c r="X97" s="1">
        <v>38.4</v>
      </c>
      <c r="Y97" s="1">
        <v>21.8</v>
      </c>
      <c r="Z97" s="1">
        <v>15.4</v>
      </c>
      <c r="AA97" s="1">
        <v>20.2</v>
      </c>
      <c r="AB97" s="1">
        <v>25.2</v>
      </c>
      <c r="AC97" s="1">
        <v>35.799999999999997</v>
      </c>
      <c r="AD97" s="1"/>
      <c r="AE97" s="1">
        <f>G97*Q97</f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1" t="s">
        <v>140</v>
      </c>
      <c r="B98" s="11" t="s">
        <v>35</v>
      </c>
      <c r="C98" s="11">
        <v>-2.9409999999999998</v>
      </c>
      <c r="D98" s="11">
        <v>60.941000000000003</v>
      </c>
      <c r="E98" s="16">
        <f>20.175+E124</f>
        <v>28.228000000000002</v>
      </c>
      <c r="F98" s="11">
        <v>22.861999999999998</v>
      </c>
      <c r="G98" s="12">
        <v>0</v>
      </c>
      <c r="H98" s="11">
        <v>55</v>
      </c>
      <c r="I98" s="11" t="s">
        <v>110</v>
      </c>
      <c r="J98" s="11"/>
      <c r="K98" s="11">
        <v>24</v>
      </c>
      <c r="L98" s="11">
        <f t="shared" si="18"/>
        <v>4.2280000000000015</v>
      </c>
      <c r="M98" s="11"/>
      <c r="N98" s="11"/>
      <c r="O98" s="11">
        <v>0</v>
      </c>
      <c r="P98" s="11">
        <f t="shared" si="19"/>
        <v>5.6456</v>
      </c>
      <c r="Q98" s="13"/>
      <c r="R98" s="11">
        <f t="shared" si="20"/>
        <v>4.0495252940342921</v>
      </c>
      <c r="S98" s="11">
        <f t="shared" si="21"/>
        <v>4.0495252940342921</v>
      </c>
      <c r="T98" s="11">
        <v>3.811799999999999</v>
      </c>
      <c r="U98" s="11">
        <v>5.5523999999999996</v>
      </c>
      <c r="V98" s="11">
        <v>6.9555999999999996</v>
      </c>
      <c r="W98" s="11">
        <v>6.8011999999999997</v>
      </c>
      <c r="X98" s="11">
        <v>6.2028000000000008</v>
      </c>
      <c r="Y98" s="11">
        <v>8.6044</v>
      </c>
      <c r="Z98" s="11">
        <v>10.189</v>
      </c>
      <c r="AA98" s="11">
        <v>17.175999999999998</v>
      </c>
      <c r="AB98" s="11">
        <v>17.811599999999999</v>
      </c>
      <c r="AC98" s="11">
        <v>16.019200000000001</v>
      </c>
      <c r="AD98" s="14" t="s">
        <v>111</v>
      </c>
      <c r="AE98" s="1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1" t="s">
        <v>141</v>
      </c>
      <c r="B99" s="11" t="s">
        <v>40</v>
      </c>
      <c r="C99" s="11"/>
      <c r="D99" s="11"/>
      <c r="E99" s="11"/>
      <c r="F99" s="11"/>
      <c r="G99" s="12">
        <v>0</v>
      </c>
      <c r="H99" s="11"/>
      <c r="I99" s="11" t="s">
        <v>36</v>
      </c>
      <c r="J99" s="11"/>
      <c r="K99" s="11"/>
      <c r="L99" s="11">
        <f t="shared" si="18"/>
        <v>0</v>
      </c>
      <c r="M99" s="11"/>
      <c r="N99" s="11"/>
      <c r="O99" s="11">
        <v>0</v>
      </c>
      <c r="P99" s="11">
        <f t="shared" si="19"/>
        <v>0</v>
      </c>
      <c r="Q99" s="13"/>
      <c r="R99" s="11" t="e">
        <f t="shared" si="20"/>
        <v>#DIV/0!</v>
      </c>
      <c r="S99" s="11" t="e">
        <f t="shared" si="21"/>
        <v>#DIV/0!</v>
      </c>
      <c r="T99" s="11">
        <v>0</v>
      </c>
      <c r="U99" s="11">
        <v>0</v>
      </c>
      <c r="V99" s="11">
        <v>0</v>
      </c>
      <c r="W99" s="11">
        <v>0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 t="s">
        <v>41</v>
      </c>
      <c r="AE99" s="1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1" t="s">
        <v>142</v>
      </c>
      <c r="B100" s="11" t="s">
        <v>40</v>
      </c>
      <c r="C100" s="11"/>
      <c r="D100" s="11"/>
      <c r="E100" s="11"/>
      <c r="F100" s="11"/>
      <c r="G100" s="12">
        <v>0</v>
      </c>
      <c r="H100" s="11">
        <v>30</v>
      </c>
      <c r="I100" s="11" t="s">
        <v>36</v>
      </c>
      <c r="J100" s="11"/>
      <c r="K100" s="11"/>
      <c r="L100" s="11">
        <f t="shared" si="18"/>
        <v>0</v>
      </c>
      <c r="M100" s="11"/>
      <c r="N100" s="11"/>
      <c r="O100" s="11">
        <v>0</v>
      </c>
      <c r="P100" s="11">
        <f t="shared" si="19"/>
        <v>0</v>
      </c>
      <c r="Q100" s="13"/>
      <c r="R100" s="11" t="e">
        <f t="shared" si="20"/>
        <v>#DIV/0!</v>
      </c>
      <c r="S100" s="11" t="e">
        <f t="shared" si="21"/>
        <v>#DIV/0!</v>
      </c>
      <c r="T100" s="11">
        <v>0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 t="s">
        <v>41</v>
      </c>
      <c r="AE100" s="1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" t="s">
        <v>143</v>
      </c>
      <c r="B101" s="1" t="s">
        <v>40</v>
      </c>
      <c r="C101" s="1">
        <v>154</v>
      </c>
      <c r="D101" s="1">
        <v>523</v>
      </c>
      <c r="E101" s="1">
        <v>240</v>
      </c>
      <c r="F101" s="1">
        <v>345</v>
      </c>
      <c r="G101" s="7">
        <v>0.08</v>
      </c>
      <c r="H101" s="1">
        <v>45</v>
      </c>
      <c r="I101" s="1" t="s">
        <v>36</v>
      </c>
      <c r="J101" s="1"/>
      <c r="K101" s="1">
        <v>255</v>
      </c>
      <c r="L101" s="1">
        <f t="shared" si="18"/>
        <v>-15</v>
      </c>
      <c r="M101" s="1"/>
      <c r="N101" s="1"/>
      <c r="O101" s="1">
        <v>9</v>
      </c>
      <c r="P101" s="1">
        <f t="shared" si="19"/>
        <v>48</v>
      </c>
      <c r="Q101" s="5">
        <f t="shared" ref="Q101:Q106" si="27">11.5*P101-O101-F101</f>
        <v>198</v>
      </c>
      <c r="R101" s="1">
        <f t="shared" si="20"/>
        <v>11.5</v>
      </c>
      <c r="S101" s="1">
        <f t="shared" si="21"/>
        <v>7.375</v>
      </c>
      <c r="T101" s="1">
        <v>44</v>
      </c>
      <c r="U101" s="1">
        <v>39.799999999999997</v>
      </c>
      <c r="V101" s="1">
        <v>45</v>
      </c>
      <c r="W101" s="1">
        <v>57.6</v>
      </c>
      <c r="X101" s="1">
        <v>58</v>
      </c>
      <c r="Y101" s="1">
        <v>53</v>
      </c>
      <c r="Z101" s="1">
        <v>45</v>
      </c>
      <c r="AA101" s="1">
        <v>43.8</v>
      </c>
      <c r="AB101" s="1">
        <v>45.2</v>
      </c>
      <c r="AC101" s="1">
        <v>46.8</v>
      </c>
      <c r="AD101" s="1"/>
      <c r="AE101" s="1">
        <f t="shared" ref="AE101:AE106" si="28">G101*Q101</f>
        <v>15.84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" t="s">
        <v>144</v>
      </c>
      <c r="B102" s="1" t="s">
        <v>40</v>
      </c>
      <c r="C102" s="1">
        <v>160</v>
      </c>
      <c r="D102" s="1">
        <v>390</v>
      </c>
      <c r="E102" s="1">
        <v>222</v>
      </c>
      <c r="F102" s="1">
        <v>252</v>
      </c>
      <c r="G102" s="7">
        <v>0.08</v>
      </c>
      <c r="H102" s="1">
        <v>45</v>
      </c>
      <c r="I102" s="1" t="s">
        <v>36</v>
      </c>
      <c r="J102" s="1"/>
      <c r="K102" s="1">
        <v>236</v>
      </c>
      <c r="L102" s="1">
        <f t="shared" ref="L102:L133" si="29">E102-K102</f>
        <v>-14</v>
      </c>
      <c r="M102" s="1"/>
      <c r="N102" s="1"/>
      <c r="O102" s="1">
        <v>65.5</v>
      </c>
      <c r="P102" s="1">
        <f t="shared" ref="P102:P133" si="30">E102/5</f>
        <v>44.4</v>
      </c>
      <c r="Q102" s="5">
        <f t="shared" si="27"/>
        <v>193.09999999999997</v>
      </c>
      <c r="R102" s="1">
        <f t="shared" ref="R102:R133" si="31">(F102+O102+Q102)/P102</f>
        <v>11.5</v>
      </c>
      <c r="S102" s="1">
        <f t="shared" ref="S102:S133" si="32">(F102+O102)/P102</f>
        <v>7.1509009009009015</v>
      </c>
      <c r="T102" s="1">
        <v>40.799999999999997</v>
      </c>
      <c r="U102" s="1">
        <v>40.6</v>
      </c>
      <c r="V102" s="1">
        <v>46</v>
      </c>
      <c r="W102" s="1">
        <v>43</v>
      </c>
      <c r="X102" s="1">
        <v>44.8</v>
      </c>
      <c r="Y102" s="1">
        <v>45.2</v>
      </c>
      <c r="Z102" s="1">
        <v>38.200000000000003</v>
      </c>
      <c r="AA102" s="1">
        <v>41</v>
      </c>
      <c r="AB102" s="1">
        <v>38.6</v>
      </c>
      <c r="AC102" s="1">
        <v>37.6</v>
      </c>
      <c r="AD102" s="1"/>
      <c r="AE102" s="1">
        <f t="shared" si="28"/>
        <v>15.447999999999997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" t="s">
        <v>145</v>
      </c>
      <c r="B103" s="1" t="s">
        <v>40</v>
      </c>
      <c r="C103" s="1">
        <v>-3</v>
      </c>
      <c r="D103" s="1">
        <v>91</v>
      </c>
      <c r="E103" s="1">
        <v>-15</v>
      </c>
      <c r="F103" s="1">
        <v>77</v>
      </c>
      <c r="G103" s="7">
        <v>0.17</v>
      </c>
      <c r="H103" s="1">
        <v>30</v>
      </c>
      <c r="I103" s="1" t="s">
        <v>36</v>
      </c>
      <c r="J103" s="1"/>
      <c r="K103" s="1">
        <v>3</v>
      </c>
      <c r="L103" s="1">
        <f t="shared" si="29"/>
        <v>-18</v>
      </c>
      <c r="M103" s="1"/>
      <c r="N103" s="1"/>
      <c r="O103" s="1">
        <v>0</v>
      </c>
      <c r="P103" s="1">
        <f t="shared" si="30"/>
        <v>-3</v>
      </c>
      <c r="Q103" s="5"/>
      <c r="R103" s="1">
        <f t="shared" si="31"/>
        <v>-25.666666666666668</v>
      </c>
      <c r="S103" s="1">
        <f t="shared" si="32"/>
        <v>-25.666666666666668</v>
      </c>
      <c r="T103" s="1">
        <v>-3</v>
      </c>
      <c r="U103" s="1">
        <v>0</v>
      </c>
      <c r="V103" s="1">
        <v>0.6</v>
      </c>
      <c r="W103" s="1">
        <v>6.8</v>
      </c>
      <c r="X103" s="1">
        <v>6</v>
      </c>
      <c r="Y103" s="1">
        <v>0.2</v>
      </c>
      <c r="Z103" s="1">
        <v>0.8</v>
      </c>
      <c r="AA103" s="1">
        <v>-0.6</v>
      </c>
      <c r="AB103" s="1">
        <v>-0.2</v>
      </c>
      <c r="AC103" s="1">
        <v>3.6</v>
      </c>
      <c r="AD103" s="1" t="s">
        <v>146</v>
      </c>
      <c r="AE103" s="1">
        <f t="shared" si="28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" t="s">
        <v>147</v>
      </c>
      <c r="B104" s="1" t="s">
        <v>35</v>
      </c>
      <c r="C104" s="1">
        <v>417.64299999999997</v>
      </c>
      <c r="D104" s="1">
        <v>2340.81</v>
      </c>
      <c r="E104" s="1">
        <v>935.346</v>
      </c>
      <c r="F104" s="1">
        <v>1330.883</v>
      </c>
      <c r="G104" s="7">
        <v>1</v>
      </c>
      <c r="H104" s="1">
        <v>40</v>
      </c>
      <c r="I104" s="1" t="s">
        <v>36</v>
      </c>
      <c r="J104" s="1"/>
      <c r="K104" s="1">
        <v>1021.8</v>
      </c>
      <c r="L104" s="1">
        <f t="shared" si="29"/>
        <v>-86.453999999999951</v>
      </c>
      <c r="M104" s="1"/>
      <c r="N104" s="1"/>
      <c r="O104" s="1">
        <v>236.6366770000005</v>
      </c>
      <c r="P104" s="1">
        <f t="shared" si="30"/>
        <v>187.0692</v>
      </c>
      <c r="Q104" s="5">
        <f t="shared" si="27"/>
        <v>583.77612299999942</v>
      </c>
      <c r="R104" s="1">
        <f t="shared" si="31"/>
        <v>11.5</v>
      </c>
      <c r="S104" s="1">
        <f t="shared" si="32"/>
        <v>8.3793573554599075</v>
      </c>
      <c r="T104" s="1">
        <v>191.0856</v>
      </c>
      <c r="U104" s="1">
        <v>187.43979999999999</v>
      </c>
      <c r="V104" s="1">
        <v>185.25640000000001</v>
      </c>
      <c r="W104" s="1">
        <v>94.037800000000004</v>
      </c>
      <c r="X104" s="1">
        <v>85.136200000000002</v>
      </c>
      <c r="Y104" s="1">
        <v>180.54419999999999</v>
      </c>
      <c r="Z104" s="1">
        <v>136.57839999999999</v>
      </c>
      <c r="AA104" s="1">
        <v>26.54</v>
      </c>
      <c r="AB104" s="1">
        <v>85.914999999999992</v>
      </c>
      <c r="AC104" s="1">
        <v>95.000599999999991</v>
      </c>
      <c r="AD104" s="1"/>
      <c r="AE104" s="1">
        <f t="shared" si="28"/>
        <v>583.77612299999942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" t="s">
        <v>148</v>
      </c>
      <c r="B105" s="1" t="s">
        <v>35</v>
      </c>
      <c r="C105" s="1">
        <v>4.1470000000000002</v>
      </c>
      <c r="D105" s="1">
        <v>2724.152</v>
      </c>
      <c r="E105" s="1">
        <v>658.19299999999998</v>
      </c>
      <c r="F105" s="1">
        <v>1593.2180000000001</v>
      </c>
      <c r="G105" s="7">
        <v>1</v>
      </c>
      <c r="H105" s="1">
        <v>40</v>
      </c>
      <c r="I105" s="1" t="s">
        <v>36</v>
      </c>
      <c r="J105" s="1"/>
      <c r="K105" s="1">
        <v>753.9</v>
      </c>
      <c r="L105" s="1">
        <f t="shared" si="29"/>
        <v>-95.706999999999994</v>
      </c>
      <c r="M105" s="1"/>
      <c r="N105" s="1"/>
      <c r="O105" s="1">
        <v>0</v>
      </c>
      <c r="P105" s="1">
        <f t="shared" si="30"/>
        <v>131.6386</v>
      </c>
      <c r="Q105" s="5"/>
      <c r="R105" s="1">
        <f t="shared" si="31"/>
        <v>12.102969797612555</v>
      </c>
      <c r="S105" s="1">
        <f t="shared" si="32"/>
        <v>12.102969797612555</v>
      </c>
      <c r="T105" s="1">
        <v>85.313800000000001</v>
      </c>
      <c r="U105" s="1">
        <v>160.5754</v>
      </c>
      <c r="V105" s="1">
        <v>217.10079999999999</v>
      </c>
      <c r="W105" s="1">
        <v>178.99959999999999</v>
      </c>
      <c r="X105" s="1">
        <v>121.483</v>
      </c>
      <c r="Y105" s="1">
        <v>79.496600000000001</v>
      </c>
      <c r="Z105" s="1">
        <v>111.6002</v>
      </c>
      <c r="AA105" s="1">
        <v>179.07859999999999</v>
      </c>
      <c r="AB105" s="1">
        <v>196.54900000000001</v>
      </c>
      <c r="AC105" s="1">
        <v>84.728999999999999</v>
      </c>
      <c r="AD105" s="1"/>
      <c r="AE105" s="1">
        <f t="shared" si="28"/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" t="s">
        <v>149</v>
      </c>
      <c r="B106" s="1" t="s">
        <v>35</v>
      </c>
      <c r="C106" s="1">
        <v>-2.3439999999999999</v>
      </c>
      <c r="D106" s="1">
        <v>337.83300000000003</v>
      </c>
      <c r="E106" s="1">
        <v>329.10399999999998</v>
      </c>
      <c r="F106" s="1">
        <v>-2.1999999999999999E-2</v>
      </c>
      <c r="G106" s="7">
        <v>1</v>
      </c>
      <c r="H106" s="1">
        <v>40</v>
      </c>
      <c r="I106" s="9" t="s">
        <v>46</v>
      </c>
      <c r="J106" s="1"/>
      <c r="K106" s="1">
        <v>408.2</v>
      </c>
      <c r="L106" s="1">
        <f t="shared" si="29"/>
        <v>-79.096000000000004</v>
      </c>
      <c r="M106" s="1"/>
      <c r="N106" s="1"/>
      <c r="O106" s="1">
        <v>313.48480000000001</v>
      </c>
      <c r="P106" s="1">
        <f t="shared" si="30"/>
        <v>65.820799999999991</v>
      </c>
      <c r="Q106" s="5">
        <f t="shared" si="27"/>
        <v>443.4763999999999</v>
      </c>
      <c r="R106" s="1">
        <f t="shared" si="31"/>
        <v>11.5</v>
      </c>
      <c r="S106" s="1">
        <f t="shared" si="32"/>
        <v>4.7623669113714824</v>
      </c>
      <c r="T106" s="1">
        <v>51.574199999999998</v>
      </c>
      <c r="U106" s="1">
        <v>19.4056</v>
      </c>
      <c r="V106" s="1">
        <v>53.915399999999998</v>
      </c>
      <c r="W106" s="1">
        <v>60.767999999999986</v>
      </c>
      <c r="X106" s="1">
        <v>26.117000000000001</v>
      </c>
      <c r="Y106" s="1">
        <v>34.499200000000002</v>
      </c>
      <c r="Z106" s="1">
        <v>34.926200000000001</v>
      </c>
      <c r="AA106" s="1">
        <v>10.3934</v>
      </c>
      <c r="AB106" s="1">
        <v>9.5038</v>
      </c>
      <c r="AC106" s="1">
        <v>-0.74480000000000002</v>
      </c>
      <c r="AD106" s="1"/>
      <c r="AE106" s="1">
        <f t="shared" si="28"/>
        <v>443.4763999999999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1" t="s">
        <v>150</v>
      </c>
      <c r="B107" s="11" t="s">
        <v>40</v>
      </c>
      <c r="C107" s="11"/>
      <c r="D107" s="11"/>
      <c r="E107" s="11"/>
      <c r="F107" s="11"/>
      <c r="G107" s="12">
        <v>0</v>
      </c>
      <c r="H107" s="11"/>
      <c r="I107" s="11" t="s">
        <v>36</v>
      </c>
      <c r="J107" s="11"/>
      <c r="K107" s="11"/>
      <c r="L107" s="11">
        <f t="shared" si="29"/>
        <v>0</v>
      </c>
      <c r="M107" s="11"/>
      <c r="N107" s="11"/>
      <c r="O107" s="11">
        <v>0</v>
      </c>
      <c r="P107" s="11">
        <f t="shared" si="30"/>
        <v>0</v>
      </c>
      <c r="Q107" s="13"/>
      <c r="R107" s="11" t="e">
        <f t="shared" si="31"/>
        <v>#DIV/0!</v>
      </c>
      <c r="S107" s="11" t="e">
        <f t="shared" si="32"/>
        <v>#DIV/0!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 t="s">
        <v>151</v>
      </c>
      <c r="AE107" s="1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1" t="s">
        <v>152</v>
      </c>
      <c r="B108" s="11" t="s">
        <v>35</v>
      </c>
      <c r="C108" s="11">
        <v>55.238</v>
      </c>
      <c r="D108" s="11">
        <v>2.2999999999999998</v>
      </c>
      <c r="E108" s="11">
        <v>5.5380000000000003</v>
      </c>
      <c r="F108" s="11">
        <v>52</v>
      </c>
      <c r="G108" s="12">
        <v>0</v>
      </c>
      <c r="H108" s="11">
        <v>55</v>
      </c>
      <c r="I108" s="11" t="s">
        <v>110</v>
      </c>
      <c r="J108" s="11"/>
      <c r="K108" s="11">
        <v>5.2</v>
      </c>
      <c r="L108" s="11">
        <f t="shared" si="29"/>
        <v>0.33800000000000008</v>
      </c>
      <c r="M108" s="11"/>
      <c r="N108" s="11"/>
      <c r="O108" s="11">
        <v>0</v>
      </c>
      <c r="P108" s="11">
        <f t="shared" si="30"/>
        <v>1.1076000000000001</v>
      </c>
      <c r="Q108" s="13"/>
      <c r="R108" s="11">
        <f t="shared" si="31"/>
        <v>46.948356807511729</v>
      </c>
      <c r="S108" s="11">
        <f t="shared" si="32"/>
        <v>46.948356807511729</v>
      </c>
      <c r="T108" s="11">
        <v>1.1075999999999999</v>
      </c>
      <c r="U108" s="11">
        <v>0.26419999999999999</v>
      </c>
      <c r="V108" s="11">
        <v>0.26419999999999999</v>
      </c>
      <c r="W108" s="11">
        <v>1.6339999999999999</v>
      </c>
      <c r="X108" s="11">
        <v>2.1850000000000001</v>
      </c>
      <c r="Y108" s="11">
        <v>1.0946</v>
      </c>
      <c r="Z108" s="11">
        <v>0.54359999999999997</v>
      </c>
      <c r="AA108" s="11">
        <v>4.95</v>
      </c>
      <c r="AB108" s="11">
        <v>4.95</v>
      </c>
      <c r="AC108" s="11">
        <v>2.1389999999999998</v>
      </c>
      <c r="AD108" s="15" t="s">
        <v>181</v>
      </c>
      <c r="AE108" s="1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" t="s">
        <v>153</v>
      </c>
      <c r="B109" s="1" t="s">
        <v>40</v>
      </c>
      <c r="C109" s="1">
        <v>147</v>
      </c>
      <c r="D109" s="1">
        <v>472</v>
      </c>
      <c r="E109" s="1">
        <v>177</v>
      </c>
      <c r="F109" s="1">
        <v>207</v>
      </c>
      <c r="G109" s="7">
        <v>0.28000000000000003</v>
      </c>
      <c r="H109" s="1">
        <v>40</v>
      </c>
      <c r="I109" s="9" t="s">
        <v>46</v>
      </c>
      <c r="J109" s="1"/>
      <c r="K109" s="1">
        <v>407</v>
      </c>
      <c r="L109" s="1">
        <f t="shared" si="29"/>
        <v>-230</v>
      </c>
      <c r="M109" s="1"/>
      <c r="N109" s="1"/>
      <c r="O109" s="1">
        <v>0</v>
      </c>
      <c r="P109" s="1">
        <f t="shared" si="30"/>
        <v>35.4</v>
      </c>
      <c r="Q109" s="5">
        <v>250</v>
      </c>
      <c r="R109" s="1">
        <f t="shared" si="31"/>
        <v>12.909604519774012</v>
      </c>
      <c r="S109" s="1">
        <f t="shared" si="32"/>
        <v>5.8474576271186445</v>
      </c>
      <c r="T109" s="1">
        <v>-0.6</v>
      </c>
      <c r="U109" s="1">
        <v>16</v>
      </c>
      <c r="V109" s="1">
        <v>63.4</v>
      </c>
      <c r="W109" s="1">
        <v>50.2</v>
      </c>
      <c r="X109" s="1">
        <v>3.6</v>
      </c>
      <c r="Y109" s="1">
        <v>50</v>
      </c>
      <c r="Z109" s="1">
        <v>59.4</v>
      </c>
      <c r="AA109" s="1">
        <v>7.2</v>
      </c>
      <c r="AB109" s="1">
        <v>-1.8</v>
      </c>
      <c r="AC109" s="1">
        <v>60.2</v>
      </c>
      <c r="AD109" s="1"/>
      <c r="AE109" s="1">
        <f>G109*Q109</f>
        <v>70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1" t="s">
        <v>154</v>
      </c>
      <c r="B110" s="11" t="s">
        <v>40</v>
      </c>
      <c r="C110" s="11"/>
      <c r="D110" s="11"/>
      <c r="E110" s="11"/>
      <c r="F110" s="11"/>
      <c r="G110" s="12">
        <v>0</v>
      </c>
      <c r="H110" s="11"/>
      <c r="I110" s="11" t="s">
        <v>46</v>
      </c>
      <c r="J110" s="11"/>
      <c r="K110" s="11"/>
      <c r="L110" s="11">
        <f t="shared" si="29"/>
        <v>0</v>
      </c>
      <c r="M110" s="11"/>
      <c r="N110" s="11"/>
      <c r="O110" s="11">
        <v>0</v>
      </c>
      <c r="P110" s="11">
        <f t="shared" si="30"/>
        <v>0</v>
      </c>
      <c r="Q110" s="13"/>
      <c r="R110" s="11" t="e">
        <f t="shared" si="31"/>
        <v>#DIV/0!</v>
      </c>
      <c r="S110" s="11" t="e">
        <f t="shared" si="32"/>
        <v>#DIV/0!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 t="s">
        <v>41</v>
      </c>
      <c r="AE110" s="1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155</v>
      </c>
      <c r="B111" s="1" t="s">
        <v>40</v>
      </c>
      <c r="C111" s="1">
        <v>144</v>
      </c>
      <c r="D111" s="1">
        <v>474</v>
      </c>
      <c r="E111" s="1">
        <v>248</v>
      </c>
      <c r="F111" s="1">
        <v>166</v>
      </c>
      <c r="G111" s="7">
        <v>0.28000000000000003</v>
      </c>
      <c r="H111" s="1">
        <v>40</v>
      </c>
      <c r="I111" s="9" t="s">
        <v>46</v>
      </c>
      <c r="J111" s="1"/>
      <c r="K111" s="1">
        <v>410</v>
      </c>
      <c r="L111" s="1">
        <f t="shared" si="29"/>
        <v>-162</v>
      </c>
      <c r="M111" s="1"/>
      <c r="N111" s="1"/>
      <c r="O111" s="1">
        <v>0</v>
      </c>
      <c r="P111" s="1">
        <f t="shared" si="30"/>
        <v>49.6</v>
      </c>
      <c r="Q111" s="5">
        <f>9*P111-O111-F111</f>
        <v>280.40000000000003</v>
      </c>
      <c r="R111" s="1">
        <f t="shared" si="31"/>
        <v>9</v>
      </c>
      <c r="S111" s="1">
        <f t="shared" si="32"/>
        <v>3.346774193548387</v>
      </c>
      <c r="T111" s="1">
        <v>14</v>
      </c>
      <c r="U111" s="1">
        <v>-1.2</v>
      </c>
      <c r="V111" s="1">
        <v>33.4</v>
      </c>
      <c r="W111" s="1">
        <v>39.200000000000003</v>
      </c>
      <c r="X111" s="1">
        <v>5</v>
      </c>
      <c r="Y111" s="1">
        <v>16.600000000000001</v>
      </c>
      <c r="Z111" s="1">
        <v>23.2</v>
      </c>
      <c r="AA111" s="1">
        <v>5.2</v>
      </c>
      <c r="AB111" s="1">
        <v>-1.4</v>
      </c>
      <c r="AC111" s="1">
        <v>38.6</v>
      </c>
      <c r="AD111" s="1"/>
      <c r="AE111" s="1">
        <f>G111*Q111</f>
        <v>78.512000000000015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156</v>
      </c>
      <c r="B112" s="1" t="s">
        <v>40</v>
      </c>
      <c r="C112" s="1">
        <v>93</v>
      </c>
      <c r="D112" s="1">
        <v>109</v>
      </c>
      <c r="E112" s="1">
        <v>65</v>
      </c>
      <c r="F112" s="1">
        <v>98</v>
      </c>
      <c r="G112" s="7">
        <v>0.09</v>
      </c>
      <c r="H112" s="1"/>
      <c r="I112" s="1" t="s">
        <v>36</v>
      </c>
      <c r="J112" s="1"/>
      <c r="K112" s="1">
        <v>71</v>
      </c>
      <c r="L112" s="1">
        <f t="shared" si="29"/>
        <v>-6</v>
      </c>
      <c r="M112" s="1"/>
      <c r="N112" s="1"/>
      <c r="O112" s="1">
        <v>10</v>
      </c>
      <c r="P112" s="1">
        <f t="shared" si="30"/>
        <v>13</v>
      </c>
      <c r="Q112" s="5">
        <f t="shared" ref="Q111:Q115" si="33">11.5*P112-O112-F112</f>
        <v>41.5</v>
      </c>
      <c r="R112" s="1">
        <f t="shared" si="31"/>
        <v>11.5</v>
      </c>
      <c r="S112" s="1">
        <f t="shared" si="32"/>
        <v>8.3076923076923084</v>
      </c>
      <c r="T112" s="1">
        <v>13.6</v>
      </c>
      <c r="U112" s="1">
        <v>16.2</v>
      </c>
      <c r="V112" s="1">
        <v>17</v>
      </c>
      <c r="W112" s="1">
        <v>20.399999999999999</v>
      </c>
      <c r="X112" s="1">
        <v>24</v>
      </c>
      <c r="Y112" s="1">
        <v>21.8</v>
      </c>
      <c r="Z112" s="1">
        <v>21</v>
      </c>
      <c r="AA112" s="1">
        <v>21</v>
      </c>
      <c r="AB112" s="1">
        <v>21.6</v>
      </c>
      <c r="AC112" s="1">
        <v>22.4</v>
      </c>
      <c r="AD112" s="1"/>
      <c r="AE112" s="1">
        <f>G112*Q112</f>
        <v>3.7349999999999999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" t="s">
        <v>157</v>
      </c>
      <c r="B113" s="1" t="s">
        <v>35</v>
      </c>
      <c r="C113" s="1">
        <v>145.06800000000001</v>
      </c>
      <c r="D113" s="1">
        <v>392.90300000000002</v>
      </c>
      <c r="E113" s="1">
        <v>62.531999999999996</v>
      </c>
      <c r="F113" s="1">
        <v>452.12400000000002</v>
      </c>
      <c r="G113" s="7">
        <v>1</v>
      </c>
      <c r="H113" s="1">
        <v>60</v>
      </c>
      <c r="I113" s="1" t="s">
        <v>36</v>
      </c>
      <c r="J113" s="1"/>
      <c r="K113" s="1">
        <v>62.5</v>
      </c>
      <c r="L113" s="1">
        <f t="shared" si="29"/>
        <v>3.1999999999996476E-2</v>
      </c>
      <c r="M113" s="1"/>
      <c r="N113" s="1"/>
      <c r="O113" s="1">
        <v>0</v>
      </c>
      <c r="P113" s="1">
        <f t="shared" si="30"/>
        <v>12.506399999999999</v>
      </c>
      <c r="Q113" s="5"/>
      <c r="R113" s="1">
        <f t="shared" si="31"/>
        <v>36.151410477835356</v>
      </c>
      <c r="S113" s="1">
        <f t="shared" si="32"/>
        <v>36.151410477835356</v>
      </c>
      <c r="T113" s="1">
        <v>11.5128</v>
      </c>
      <c r="U113" s="1">
        <v>43.347799999999999</v>
      </c>
      <c r="V113" s="1">
        <v>43.808</v>
      </c>
      <c r="W113" s="1">
        <v>13.9482</v>
      </c>
      <c r="X113" s="1">
        <v>14.5182</v>
      </c>
      <c r="Y113" s="1">
        <v>12.6028</v>
      </c>
      <c r="Z113" s="1">
        <v>11.6654</v>
      </c>
      <c r="AA113" s="1">
        <v>14.174200000000001</v>
      </c>
      <c r="AB113" s="1">
        <v>45.174799999999998</v>
      </c>
      <c r="AC113" s="1">
        <v>44.218200000000003</v>
      </c>
      <c r="AD113" s="14" t="s">
        <v>111</v>
      </c>
      <c r="AE113" s="1">
        <f>G113*Q113</f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158</v>
      </c>
      <c r="B114" s="1" t="s">
        <v>35</v>
      </c>
      <c r="C114" s="1">
        <v>89.655000000000001</v>
      </c>
      <c r="D114" s="1"/>
      <c r="E114" s="1"/>
      <c r="F114" s="1">
        <v>89.655000000000001</v>
      </c>
      <c r="G114" s="7">
        <v>1</v>
      </c>
      <c r="H114" s="1">
        <v>50</v>
      </c>
      <c r="I114" s="1" t="s">
        <v>36</v>
      </c>
      <c r="J114" s="1"/>
      <c r="K114" s="1">
        <v>12.5</v>
      </c>
      <c r="L114" s="1">
        <f t="shared" si="29"/>
        <v>-12.5</v>
      </c>
      <c r="M114" s="1"/>
      <c r="N114" s="1"/>
      <c r="O114" s="1">
        <v>0</v>
      </c>
      <c r="P114" s="1">
        <f t="shared" si="30"/>
        <v>0</v>
      </c>
      <c r="Q114" s="5"/>
      <c r="R114" s="1" t="e">
        <f t="shared" si="31"/>
        <v>#DIV/0!</v>
      </c>
      <c r="S114" s="1" t="e">
        <f t="shared" si="32"/>
        <v>#DIV/0!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4" t="s">
        <v>111</v>
      </c>
      <c r="AE114" s="1">
        <f>G114*Q114</f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" t="s">
        <v>159</v>
      </c>
      <c r="B115" s="1" t="s">
        <v>40</v>
      </c>
      <c r="C115" s="1">
        <v>65</v>
      </c>
      <c r="D115" s="1">
        <v>106</v>
      </c>
      <c r="E115" s="1">
        <v>51</v>
      </c>
      <c r="F115" s="1">
        <v>97</v>
      </c>
      <c r="G115" s="7">
        <v>0.09</v>
      </c>
      <c r="H115" s="1"/>
      <c r="I115" s="1" t="s">
        <v>36</v>
      </c>
      <c r="J115" s="1"/>
      <c r="K115" s="1">
        <v>57</v>
      </c>
      <c r="L115" s="1">
        <f t="shared" si="29"/>
        <v>-6</v>
      </c>
      <c r="M115" s="1"/>
      <c r="N115" s="1"/>
      <c r="O115" s="1">
        <v>0</v>
      </c>
      <c r="P115" s="1">
        <f t="shared" si="30"/>
        <v>10.199999999999999</v>
      </c>
      <c r="Q115" s="5">
        <f t="shared" si="33"/>
        <v>20.299999999999997</v>
      </c>
      <c r="R115" s="1">
        <f t="shared" si="31"/>
        <v>11.5</v>
      </c>
      <c r="S115" s="1">
        <f t="shared" si="32"/>
        <v>9.5098039215686274</v>
      </c>
      <c r="T115" s="1">
        <v>10.199999999999999</v>
      </c>
      <c r="U115" s="1">
        <v>10.8</v>
      </c>
      <c r="V115" s="1">
        <v>9.6</v>
      </c>
      <c r="W115" s="1">
        <v>5.6</v>
      </c>
      <c r="X115" s="1">
        <v>9.8000000000000007</v>
      </c>
      <c r="Y115" s="1">
        <v>15</v>
      </c>
      <c r="Z115" s="1">
        <v>11.6</v>
      </c>
      <c r="AA115" s="1">
        <v>11.8</v>
      </c>
      <c r="AB115" s="1">
        <v>12.6</v>
      </c>
      <c r="AC115" s="1">
        <v>8.1999999999999993</v>
      </c>
      <c r="AD115" s="1"/>
      <c r="AE115" s="1">
        <f>G115*Q115</f>
        <v>1.8269999999999997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1" t="s">
        <v>160</v>
      </c>
      <c r="B116" s="11" t="s">
        <v>40</v>
      </c>
      <c r="C116" s="11"/>
      <c r="D116" s="11"/>
      <c r="E116" s="11"/>
      <c r="F116" s="11"/>
      <c r="G116" s="12">
        <v>0</v>
      </c>
      <c r="H116" s="11"/>
      <c r="I116" s="11" t="s">
        <v>36</v>
      </c>
      <c r="J116" s="11"/>
      <c r="K116" s="11"/>
      <c r="L116" s="11">
        <f t="shared" si="29"/>
        <v>0</v>
      </c>
      <c r="M116" s="11"/>
      <c r="N116" s="11"/>
      <c r="O116" s="11">
        <v>0</v>
      </c>
      <c r="P116" s="11">
        <f t="shared" si="30"/>
        <v>0</v>
      </c>
      <c r="Q116" s="13"/>
      <c r="R116" s="11" t="e">
        <f t="shared" si="31"/>
        <v>#DIV/0!</v>
      </c>
      <c r="S116" s="11" t="e">
        <f t="shared" si="32"/>
        <v>#DIV/0!</v>
      </c>
      <c r="T116" s="11">
        <v>0</v>
      </c>
      <c r="U116" s="11">
        <v>0</v>
      </c>
      <c r="V116" s="11">
        <v>0</v>
      </c>
      <c r="W116" s="11">
        <v>0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 t="s">
        <v>41</v>
      </c>
      <c r="AE116" s="1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161</v>
      </c>
      <c r="B117" s="1" t="s">
        <v>35</v>
      </c>
      <c r="C117" s="1">
        <v>302.56099999999998</v>
      </c>
      <c r="D117" s="1">
        <v>1021.374</v>
      </c>
      <c r="E117" s="1">
        <v>425.88099999999997</v>
      </c>
      <c r="F117" s="1">
        <v>678.94100000000003</v>
      </c>
      <c r="G117" s="7">
        <v>1</v>
      </c>
      <c r="H117" s="1">
        <v>60</v>
      </c>
      <c r="I117" s="1" t="s">
        <v>36</v>
      </c>
      <c r="J117" s="1"/>
      <c r="K117" s="1">
        <v>423.9</v>
      </c>
      <c r="L117" s="1">
        <f t="shared" si="29"/>
        <v>1.9809999999999945</v>
      </c>
      <c r="M117" s="1"/>
      <c r="N117" s="1"/>
      <c r="O117" s="1">
        <v>123.13678999999971</v>
      </c>
      <c r="P117" s="1">
        <f t="shared" si="30"/>
        <v>85.176199999999994</v>
      </c>
      <c r="Q117" s="5">
        <f t="shared" ref="Q117:Q123" si="34">11.5*P117-O117-F117</f>
        <v>177.44851000000028</v>
      </c>
      <c r="R117" s="1">
        <f t="shared" si="31"/>
        <v>11.5</v>
      </c>
      <c r="S117" s="1">
        <f t="shared" si="32"/>
        <v>9.416689051636487</v>
      </c>
      <c r="T117" s="1">
        <v>94.713999999999999</v>
      </c>
      <c r="U117" s="1">
        <v>97.586800000000011</v>
      </c>
      <c r="V117" s="1">
        <v>95.525800000000004</v>
      </c>
      <c r="W117" s="1">
        <v>84.726399999999998</v>
      </c>
      <c r="X117" s="1">
        <v>79.7958</v>
      </c>
      <c r="Y117" s="1">
        <v>96.615600000000001</v>
      </c>
      <c r="Z117" s="1">
        <v>82.1096</v>
      </c>
      <c r="AA117" s="1">
        <v>69.9298</v>
      </c>
      <c r="AB117" s="1">
        <v>86.117800000000003</v>
      </c>
      <c r="AC117" s="1">
        <v>86.794000000000011</v>
      </c>
      <c r="AD117" s="1"/>
      <c r="AE117" s="1">
        <f t="shared" ref="AE117:AE123" si="35">G117*Q117</f>
        <v>177.44851000000028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162</v>
      </c>
      <c r="B118" s="1" t="s">
        <v>35</v>
      </c>
      <c r="C118" s="1">
        <v>351.66899999999998</v>
      </c>
      <c r="D118" s="1">
        <v>1288.3389999999999</v>
      </c>
      <c r="E118" s="1">
        <v>542.245</v>
      </c>
      <c r="F118" s="1">
        <v>772.05899999999997</v>
      </c>
      <c r="G118" s="7">
        <v>1</v>
      </c>
      <c r="H118" s="1">
        <v>60</v>
      </c>
      <c r="I118" s="1" t="s">
        <v>36</v>
      </c>
      <c r="J118" s="1"/>
      <c r="K118" s="1">
        <v>517.15</v>
      </c>
      <c r="L118" s="1">
        <f t="shared" si="29"/>
        <v>25.095000000000027</v>
      </c>
      <c r="M118" s="1"/>
      <c r="N118" s="1"/>
      <c r="O118" s="1">
        <v>51.989409000000137</v>
      </c>
      <c r="P118" s="1">
        <f t="shared" si="30"/>
        <v>108.449</v>
      </c>
      <c r="Q118" s="5">
        <f t="shared" si="34"/>
        <v>423.11509099999989</v>
      </c>
      <c r="R118" s="1">
        <f t="shared" si="31"/>
        <v>11.500000000000002</v>
      </c>
      <c r="S118" s="1">
        <f t="shared" si="32"/>
        <v>7.5984878514324716</v>
      </c>
      <c r="T118" s="1">
        <v>110.0714</v>
      </c>
      <c r="U118" s="1">
        <v>127.0774</v>
      </c>
      <c r="V118" s="1">
        <v>140.6326</v>
      </c>
      <c r="W118" s="1">
        <v>119.9984</v>
      </c>
      <c r="X118" s="1">
        <v>104.12860000000001</v>
      </c>
      <c r="Y118" s="1">
        <v>125.753</v>
      </c>
      <c r="Z118" s="1">
        <v>106.21599999999999</v>
      </c>
      <c r="AA118" s="1">
        <v>88.082799999999992</v>
      </c>
      <c r="AB118" s="1">
        <v>110.0094</v>
      </c>
      <c r="AC118" s="1">
        <v>126.1358</v>
      </c>
      <c r="AD118" s="1"/>
      <c r="AE118" s="1">
        <f t="shared" si="35"/>
        <v>423.11509099999989</v>
      </c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163</v>
      </c>
      <c r="B119" s="1" t="s">
        <v>35</v>
      </c>
      <c r="C119" s="1">
        <v>252.63399999999999</v>
      </c>
      <c r="D119" s="1">
        <v>211.05199999999999</v>
      </c>
      <c r="E119" s="1">
        <v>146.916</v>
      </c>
      <c r="F119" s="1">
        <v>258.68</v>
      </c>
      <c r="G119" s="7">
        <v>1</v>
      </c>
      <c r="H119" s="1">
        <v>60</v>
      </c>
      <c r="I119" s="1" t="s">
        <v>36</v>
      </c>
      <c r="J119" s="1"/>
      <c r="K119" s="1">
        <v>136.11000000000001</v>
      </c>
      <c r="L119" s="1">
        <f t="shared" si="29"/>
        <v>10.805999999999983</v>
      </c>
      <c r="M119" s="1"/>
      <c r="N119" s="1"/>
      <c r="O119" s="1">
        <v>0</v>
      </c>
      <c r="P119" s="1">
        <f t="shared" si="30"/>
        <v>29.383199999999999</v>
      </c>
      <c r="Q119" s="5">
        <f t="shared" si="34"/>
        <v>79.226799999999969</v>
      </c>
      <c r="R119" s="1">
        <f t="shared" si="31"/>
        <v>11.5</v>
      </c>
      <c r="S119" s="1">
        <f t="shared" si="32"/>
        <v>8.8036701244248423</v>
      </c>
      <c r="T119" s="1">
        <v>24.974</v>
      </c>
      <c r="U119" s="1">
        <v>35.547400000000003</v>
      </c>
      <c r="V119" s="1">
        <v>35.698999999999998</v>
      </c>
      <c r="W119" s="1">
        <v>29.297999999999998</v>
      </c>
      <c r="X119" s="1">
        <v>30.648</v>
      </c>
      <c r="Y119" s="1">
        <v>46.579000000000001</v>
      </c>
      <c r="Z119" s="1">
        <v>41.085599999999999</v>
      </c>
      <c r="AA119" s="1">
        <v>25.831600000000002</v>
      </c>
      <c r="AB119" s="1">
        <v>33.179000000000002</v>
      </c>
      <c r="AC119" s="1">
        <v>34.262799999999999</v>
      </c>
      <c r="AD119" s="1"/>
      <c r="AE119" s="1">
        <f t="shared" si="35"/>
        <v>79.226799999999969</v>
      </c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164</v>
      </c>
      <c r="B120" s="1" t="s">
        <v>35</v>
      </c>
      <c r="C120" s="1">
        <v>626.01800000000003</v>
      </c>
      <c r="D120" s="1">
        <v>5593.9210000000003</v>
      </c>
      <c r="E120" s="1">
        <v>2039.57</v>
      </c>
      <c r="F120" s="1">
        <v>3057.5340000000001</v>
      </c>
      <c r="G120" s="7">
        <v>1</v>
      </c>
      <c r="H120" s="1">
        <v>60</v>
      </c>
      <c r="I120" s="1" t="s">
        <v>36</v>
      </c>
      <c r="J120" s="1"/>
      <c r="K120" s="1">
        <v>2304.15</v>
      </c>
      <c r="L120" s="1">
        <f t="shared" si="29"/>
        <v>-264.58000000000015</v>
      </c>
      <c r="M120" s="1"/>
      <c r="N120" s="1"/>
      <c r="O120" s="1">
        <v>0</v>
      </c>
      <c r="P120" s="1">
        <f t="shared" si="30"/>
        <v>407.91399999999999</v>
      </c>
      <c r="Q120" s="5">
        <f t="shared" si="34"/>
        <v>1633.4769999999994</v>
      </c>
      <c r="R120" s="1">
        <f t="shared" si="31"/>
        <v>11.5</v>
      </c>
      <c r="S120" s="1">
        <f t="shared" si="32"/>
        <v>7.4955358237275513</v>
      </c>
      <c r="T120" s="1">
        <v>400.20339999999999</v>
      </c>
      <c r="U120" s="1">
        <v>471.28120000000001</v>
      </c>
      <c r="V120" s="1">
        <v>487.17340000000002</v>
      </c>
      <c r="W120" s="1">
        <v>435.375</v>
      </c>
      <c r="X120" s="1">
        <v>425.35119999999989</v>
      </c>
      <c r="Y120" s="1">
        <v>404.13080000000002</v>
      </c>
      <c r="Z120" s="1">
        <v>357.29899999999998</v>
      </c>
      <c r="AA120" s="1">
        <v>310.04700000000003</v>
      </c>
      <c r="AB120" s="1">
        <v>340.2808</v>
      </c>
      <c r="AC120" s="1">
        <v>387.70940000000002</v>
      </c>
      <c r="AD120" s="1"/>
      <c r="AE120" s="1">
        <f t="shared" si="35"/>
        <v>1633.4769999999994</v>
      </c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" t="s">
        <v>165</v>
      </c>
      <c r="B121" s="1" t="s">
        <v>40</v>
      </c>
      <c r="C121" s="1">
        <v>323</v>
      </c>
      <c r="D121" s="1">
        <v>1</v>
      </c>
      <c r="E121" s="1">
        <v>31</v>
      </c>
      <c r="F121" s="1">
        <v>286</v>
      </c>
      <c r="G121" s="7">
        <v>0.25</v>
      </c>
      <c r="H121" s="1">
        <v>1096</v>
      </c>
      <c r="I121" s="10" t="s">
        <v>89</v>
      </c>
      <c r="J121" s="1"/>
      <c r="K121" s="1">
        <v>31</v>
      </c>
      <c r="L121" s="1">
        <f t="shared" si="29"/>
        <v>0</v>
      </c>
      <c r="M121" s="1"/>
      <c r="N121" s="1"/>
      <c r="O121" s="1">
        <v>0</v>
      </c>
      <c r="P121" s="1">
        <f t="shared" si="30"/>
        <v>6.2</v>
      </c>
      <c r="Q121" s="5"/>
      <c r="R121" s="1">
        <f t="shared" si="31"/>
        <v>46.129032258064512</v>
      </c>
      <c r="S121" s="1">
        <f t="shared" si="32"/>
        <v>46.129032258064512</v>
      </c>
      <c r="T121" s="1">
        <v>4.4000000000000004</v>
      </c>
      <c r="U121" s="1">
        <v>4.4000000000000004</v>
      </c>
      <c r="V121" s="1">
        <v>4.4000000000000004</v>
      </c>
      <c r="W121" s="1">
        <v>2.2000000000000002</v>
      </c>
      <c r="X121" s="1">
        <v>2.4</v>
      </c>
      <c r="Y121" s="1">
        <v>6.4</v>
      </c>
      <c r="Z121" s="1">
        <v>5.6</v>
      </c>
      <c r="AA121" s="1">
        <v>3</v>
      </c>
      <c r="AB121" s="1">
        <v>3.4</v>
      </c>
      <c r="AC121" s="1">
        <v>7.4</v>
      </c>
      <c r="AD121" s="15" t="s">
        <v>185</v>
      </c>
      <c r="AE121" s="1">
        <f t="shared" si="35"/>
        <v>0</v>
      </c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" t="s">
        <v>166</v>
      </c>
      <c r="B122" s="1" t="s">
        <v>40</v>
      </c>
      <c r="C122" s="1">
        <v>300</v>
      </c>
      <c r="D122" s="1"/>
      <c r="E122" s="1">
        <v>7</v>
      </c>
      <c r="F122" s="1">
        <v>291</v>
      </c>
      <c r="G122" s="7">
        <v>0.32500000000000001</v>
      </c>
      <c r="H122" s="1">
        <v>1096</v>
      </c>
      <c r="I122" s="1" t="s">
        <v>36</v>
      </c>
      <c r="J122" s="1"/>
      <c r="K122" s="1">
        <v>7</v>
      </c>
      <c r="L122" s="1">
        <f t="shared" si="29"/>
        <v>0</v>
      </c>
      <c r="M122" s="1"/>
      <c r="N122" s="1"/>
      <c r="O122" s="1">
        <v>0</v>
      </c>
      <c r="P122" s="1">
        <f t="shared" si="30"/>
        <v>1.4</v>
      </c>
      <c r="Q122" s="5"/>
      <c r="R122" s="1">
        <f t="shared" si="31"/>
        <v>207.85714285714286</v>
      </c>
      <c r="S122" s="1">
        <f t="shared" si="32"/>
        <v>207.85714285714286</v>
      </c>
      <c r="T122" s="1">
        <v>0.8</v>
      </c>
      <c r="U122" s="1">
        <v>0.2</v>
      </c>
      <c r="V122" s="1">
        <v>1.2</v>
      </c>
      <c r="W122" s="1">
        <v>2.6</v>
      </c>
      <c r="X122" s="1">
        <v>3</v>
      </c>
      <c r="Y122" s="1">
        <v>2.4</v>
      </c>
      <c r="Z122" s="1">
        <v>1</v>
      </c>
      <c r="AA122" s="1">
        <v>1.8</v>
      </c>
      <c r="AB122" s="1">
        <v>3.2</v>
      </c>
      <c r="AC122" s="1">
        <v>3.4</v>
      </c>
      <c r="AD122" s="14" t="s">
        <v>111</v>
      </c>
      <c r="AE122" s="1">
        <f t="shared" si="35"/>
        <v>0</v>
      </c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" t="s">
        <v>167</v>
      </c>
      <c r="B123" s="1" t="s">
        <v>40</v>
      </c>
      <c r="C123" s="1">
        <v>291</v>
      </c>
      <c r="D123" s="1">
        <v>4</v>
      </c>
      <c r="E123" s="1">
        <v>28</v>
      </c>
      <c r="F123" s="1">
        <v>265</v>
      </c>
      <c r="G123" s="7">
        <v>0.25</v>
      </c>
      <c r="H123" s="1">
        <v>1096</v>
      </c>
      <c r="I123" s="10" t="s">
        <v>89</v>
      </c>
      <c r="J123" s="1"/>
      <c r="K123" s="1">
        <v>28</v>
      </c>
      <c r="L123" s="1">
        <f t="shared" si="29"/>
        <v>0</v>
      </c>
      <c r="M123" s="1"/>
      <c r="N123" s="1"/>
      <c r="O123" s="1">
        <v>0</v>
      </c>
      <c r="P123" s="1">
        <f t="shared" si="30"/>
        <v>5.6</v>
      </c>
      <c r="Q123" s="5"/>
      <c r="R123" s="1">
        <f t="shared" si="31"/>
        <v>47.321428571428577</v>
      </c>
      <c r="S123" s="1">
        <f t="shared" si="32"/>
        <v>47.321428571428577</v>
      </c>
      <c r="T123" s="1">
        <v>4.4000000000000004</v>
      </c>
      <c r="U123" s="1">
        <v>2.2000000000000002</v>
      </c>
      <c r="V123" s="1">
        <v>1.6</v>
      </c>
      <c r="W123" s="1">
        <v>2.2000000000000002</v>
      </c>
      <c r="X123" s="1">
        <v>3.4</v>
      </c>
      <c r="Y123" s="1">
        <v>4.8</v>
      </c>
      <c r="Z123" s="1">
        <v>4</v>
      </c>
      <c r="AA123" s="1">
        <v>4</v>
      </c>
      <c r="AB123" s="1">
        <v>4.4000000000000004</v>
      </c>
      <c r="AC123" s="1">
        <v>8.1999999999999993</v>
      </c>
      <c r="AD123" s="15" t="s">
        <v>186</v>
      </c>
      <c r="AE123" s="1">
        <f t="shared" si="35"/>
        <v>0</v>
      </c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1" t="s">
        <v>168</v>
      </c>
      <c r="B124" s="11" t="s">
        <v>35</v>
      </c>
      <c r="C124" s="11">
        <v>71.406000000000006</v>
      </c>
      <c r="D124" s="11">
        <v>2.0059999999999998</v>
      </c>
      <c r="E124" s="16">
        <v>8.0530000000000008</v>
      </c>
      <c r="F124" s="11"/>
      <c r="G124" s="12">
        <v>0</v>
      </c>
      <c r="H124" s="11"/>
      <c r="I124" s="11" t="s">
        <v>169</v>
      </c>
      <c r="J124" s="11" t="s">
        <v>140</v>
      </c>
      <c r="K124" s="11">
        <v>9.1</v>
      </c>
      <c r="L124" s="11">
        <f t="shared" si="29"/>
        <v>-1.0469999999999988</v>
      </c>
      <c r="M124" s="11"/>
      <c r="N124" s="11"/>
      <c r="O124" s="11">
        <v>0</v>
      </c>
      <c r="P124" s="11">
        <f t="shared" si="30"/>
        <v>1.6106000000000003</v>
      </c>
      <c r="Q124" s="13"/>
      <c r="R124" s="11">
        <f t="shared" si="31"/>
        <v>0</v>
      </c>
      <c r="S124" s="11">
        <f t="shared" si="32"/>
        <v>0</v>
      </c>
      <c r="T124" s="11">
        <v>2.0097999999999998</v>
      </c>
      <c r="U124" s="11">
        <v>5.3932000000000002</v>
      </c>
      <c r="V124" s="11">
        <v>7.3956</v>
      </c>
      <c r="W124" s="11">
        <v>3.5994000000000002</v>
      </c>
      <c r="X124" s="11">
        <v>1.7998000000000001</v>
      </c>
      <c r="Y124" s="11">
        <v>0.60199999999999998</v>
      </c>
      <c r="Z124" s="11">
        <v>0</v>
      </c>
      <c r="AA124" s="11">
        <v>0</v>
      </c>
      <c r="AB124" s="11">
        <v>0</v>
      </c>
      <c r="AC124" s="11">
        <v>0</v>
      </c>
      <c r="AD124" s="11"/>
      <c r="AE124" s="1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1" t="s">
        <v>170</v>
      </c>
      <c r="B125" s="11" t="s">
        <v>35</v>
      </c>
      <c r="C125" s="11">
        <v>60.64</v>
      </c>
      <c r="D125" s="11"/>
      <c r="E125" s="11"/>
      <c r="F125" s="11"/>
      <c r="G125" s="12">
        <v>0</v>
      </c>
      <c r="H125" s="11"/>
      <c r="I125" s="11" t="s">
        <v>169</v>
      </c>
      <c r="J125" s="11" t="s">
        <v>88</v>
      </c>
      <c r="K125" s="11"/>
      <c r="L125" s="11">
        <f t="shared" si="29"/>
        <v>0</v>
      </c>
      <c r="M125" s="11"/>
      <c r="N125" s="11"/>
      <c r="O125" s="11">
        <v>0</v>
      </c>
      <c r="P125" s="11">
        <f t="shared" si="30"/>
        <v>0</v>
      </c>
      <c r="Q125" s="13"/>
      <c r="R125" s="11" t="e">
        <f t="shared" si="31"/>
        <v>#DIV/0!</v>
      </c>
      <c r="S125" s="11" t="e">
        <f t="shared" si="32"/>
        <v>#DIV/0!</v>
      </c>
      <c r="T125" s="11">
        <v>0.28899999999999998</v>
      </c>
      <c r="U125" s="11">
        <v>0.28899999999999998</v>
      </c>
      <c r="V125" s="11">
        <v>0</v>
      </c>
      <c r="W125" s="11">
        <v>0</v>
      </c>
      <c r="X125" s="11">
        <v>0</v>
      </c>
      <c r="Y125" s="11">
        <v>0</v>
      </c>
      <c r="Z125" s="11">
        <v>0</v>
      </c>
      <c r="AA125" s="11">
        <v>0</v>
      </c>
      <c r="AB125" s="11">
        <v>0</v>
      </c>
      <c r="AC125" s="11">
        <v>0</v>
      </c>
      <c r="AD125" s="11"/>
      <c r="AE125" s="1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171</v>
      </c>
      <c r="B126" s="1" t="s">
        <v>35</v>
      </c>
      <c r="C126" s="1"/>
      <c r="D126" s="1">
        <v>164.16399999999999</v>
      </c>
      <c r="E126" s="1">
        <v>41.749000000000002</v>
      </c>
      <c r="F126" s="1">
        <v>104.241</v>
      </c>
      <c r="G126" s="7">
        <v>1</v>
      </c>
      <c r="H126" s="1"/>
      <c r="I126" s="1" t="s">
        <v>36</v>
      </c>
      <c r="J126" s="1"/>
      <c r="K126" s="1">
        <v>42.4</v>
      </c>
      <c r="L126" s="1">
        <f t="shared" si="29"/>
        <v>-0.65099999999999625</v>
      </c>
      <c r="M126" s="1"/>
      <c r="N126" s="1"/>
      <c r="O126" s="1">
        <v>0</v>
      </c>
      <c r="P126" s="1">
        <f t="shared" si="30"/>
        <v>8.3498000000000001</v>
      </c>
      <c r="Q126" s="5"/>
      <c r="R126" s="1">
        <f t="shared" si="31"/>
        <v>12.484251119787301</v>
      </c>
      <c r="S126" s="1">
        <f t="shared" si="32"/>
        <v>12.484251119787301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 t="s">
        <v>65</v>
      </c>
      <c r="AE126" s="1">
        <f t="shared" ref="AE126:AE131" si="36">G126*Q126</f>
        <v>0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172</v>
      </c>
      <c r="B127" s="1" t="s">
        <v>40</v>
      </c>
      <c r="C127" s="1"/>
      <c r="D127" s="1">
        <v>69</v>
      </c>
      <c r="E127" s="1">
        <v>56</v>
      </c>
      <c r="F127" s="1">
        <v>2</v>
      </c>
      <c r="G127" s="7">
        <v>0.3</v>
      </c>
      <c r="H127" s="1">
        <v>40</v>
      </c>
      <c r="I127" s="1" t="s">
        <v>36</v>
      </c>
      <c r="J127" s="1"/>
      <c r="K127" s="1">
        <v>81</v>
      </c>
      <c r="L127" s="1">
        <f t="shared" si="29"/>
        <v>-25</v>
      </c>
      <c r="M127" s="1"/>
      <c r="N127" s="1"/>
      <c r="O127" s="1">
        <v>95.4</v>
      </c>
      <c r="P127" s="1">
        <f t="shared" si="30"/>
        <v>11.2</v>
      </c>
      <c r="Q127" s="5">
        <f t="shared" ref="Q126:Q131" si="37">11.5*P127-O127-F127</f>
        <v>31.399999999999977</v>
      </c>
      <c r="R127" s="1">
        <f t="shared" si="31"/>
        <v>11.5</v>
      </c>
      <c r="S127" s="1">
        <f t="shared" si="32"/>
        <v>8.696428571428573</v>
      </c>
      <c r="T127" s="1">
        <v>11.8</v>
      </c>
      <c r="U127" s="1">
        <v>-0.8</v>
      </c>
      <c r="V127" s="1">
        <v>0.2</v>
      </c>
      <c r="W127" s="1">
        <v>6</v>
      </c>
      <c r="X127" s="1">
        <v>4.8</v>
      </c>
      <c r="Y127" s="1">
        <v>-0.4</v>
      </c>
      <c r="Z127" s="1">
        <v>-0.2</v>
      </c>
      <c r="AA127" s="1">
        <v>-0.8</v>
      </c>
      <c r="AB127" s="1">
        <v>-2.6</v>
      </c>
      <c r="AC127" s="1">
        <v>18</v>
      </c>
      <c r="AD127" s="1"/>
      <c r="AE127" s="1">
        <f t="shared" si="36"/>
        <v>9.4199999999999928</v>
      </c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" t="s">
        <v>173</v>
      </c>
      <c r="B128" s="1" t="s">
        <v>40</v>
      </c>
      <c r="C128" s="1"/>
      <c r="D128" s="1">
        <v>174</v>
      </c>
      <c r="E128" s="1">
        <v>161</v>
      </c>
      <c r="F128" s="1">
        <v>1</v>
      </c>
      <c r="G128" s="7">
        <v>0.3</v>
      </c>
      <c r="H128" s="1">
        <v>40</v>
      </c>
      <c r="I128" s="1" t="s">
        <v>36</v>
      </c>
      <c r="J128" s="1"/>
      <c r="K128" s="1">
        <v>188</v>
      </c>
      <c r="L128" s="1">
        <f t="shared" si="29"/>
        <v>-27</v>
      </c>
      <c r="M128" s="1"/>
      <c r="N128" s="1"/>
      <c r="O128" s="1">
        <v>96.6</v>
      </c>
      <c r="P128" s="1">
        <f t="shared" si="30"/>
        <v>32.200000000000003</v>
      </c>
      <c r="Q128" s="5">
        <f>10*P128-O128-F128</f>
        <v>224.4</v>
      </c>
      <c r="R128" s="1">
        <f t="shared" si="31"/>
        <v>10</v>
      </c>
      <c r="S128" s="1">
        <f t="shared" si="32"/>
        <v>3.0310559006211175</v>
      </c>
      <c r="T128" s="1">
        <v>16.399999999999999</v>
      </c>
      <c r="U128" s="1">
        <v>0</v>
      </c>
      <c r="V128" s="1">
        <v>2.4</v>
      </c>
      <c r="W128" s="1">
        <v>13.6</v>
      </c>
      <c r="X128" s="1">
        <v>11.2</v>
      </c>
      <c r="Y128" s="1">
        <v>0</v>
      </c>
      <c r="Z128" s="1">
        <v>2.2000000000000002</v>
      </c>
      <c r="AA128" s="1">
        <v>4.5999999999999996</v>
      </c>
      <c r="AB128" s="1">
        <v>1.2</v>
      </c>
      <c r="AC128" s="1">
        <v>-1.8</v>
      </c>
      <c r="AD128" s="1"/>
      <c r="AE128" s="1">
        <f t="shared" si="36"/>
        <v>67.319999999999993</v>
      </c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 t="s">
        <v>174</v>
      </c>
      <c r="B129" s="1" t="s">
        <v>35</v>
      </c>
      <c r="C129" s="1">
        <v>76.864999999999995</v>
      </c>
      <c r="D129" s="1">
        <v>641.57399999999996</v>
      </c>
      <c r="E129" s="1">
        <v>312.54300000000001</v>
      </c>
      <c r="F129" s="1">
        <v>289.63799999999998</v>
      </c>
      <c r="G129" s="7">
        <v>1</v>
      </c>
      <c r="H129" s="1">
        <v>50</v>
      </c>
      <c r="I129" s="9" t="s">
        <v>46</v>
      </c>
      <c r="J129" s="1"/>
      <c r="K129" s="1">
        <v>338.8</v>
      </c>
      <c r="L129" s="1">
        <f t="shared" si="29"/>
        <v>-26.257000000000005</v>
      </c>
      <c r="M129" s="1"/>
      <c r="N129" s="1"/>
      <c r="O129" s="1">
        <v>232.16131599999991</v>
      </c>
      <c r="P129" s="1">
        <f t="shared" si="30"/>
        <v>62.508600000000001</v>
      </c>
      <c r="Q129" s="5">
        <f t="shared" si="37"/>
        <v>197.04958400000004</v>
      </c>
      <c r="R129" s="1">
        <f t="shared" si="31"/>
        <v>11.499999999999998</v>
      </c>
      <c r="S129" s="1">
        <f t="shared" si="32"/>
        <v>8.347640420678113</v>
      </c>
      <c r="T129" s="1">
        <v>63.750599999999999</v>
      </c>
      <c r="U129" s="1">
        <v>50.931600000000003</v>
      </c>
      <c r="V129" s="1">
        <v>52.135599999999997</v>
      </c>
      <c r="W129" s="1">
        <v>56.380999999999993</v>
      </c>
      <c r="X129" s="1">
        <v>47.3718</v>
      </c>
      <c r="Y129" s="1">
        <v>45.901799999999987</v>
      </c>
      <c r="Z129" s="1">
        <v>47.190600000000003</v>
      </c>
      <c r="AA129" s="1">
        <v>48.5548</v>
      </c>
      <c r="AB129" s="1">
        <v>73.612200000000001</v>
      </c>
      <c r="AC129" s="1">
        <v>75.552800000000005</v>
      </c>
      <c r="AD129" s="1"/>
      <c r="AE129" s="1">
        <f t="shared" si="36"/>
        <v>197.04958400000004</v>
      </c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 t="s">
        <v>175</v>
      </c>
      <c r="B130" s="1" t="s">
        <v>40</v>
      </c>
      <c r="C130" s="1"/>
      <c r="D130" s="1">
        <v>197</v>
      </c>
      <c r="E130" s="1">
        <v>128</v>
      </c>
      <c r="F130" s="1">
        <v>57</v>
      </c>
      <c r="G130" s="7">
        <v>0.3</v>
      </c>
      <c r="H130" s="1">
        <v>40</v>
      </c>
      <c r="I130" s="1" t="s">
        <v>36</v>
      </c>
      <c r="J130" s="1"/>
      <c r="K130" s="1">
        <v>136</v>
      </c>
      <c r="L130" s="1">
        <f t="shared" si="29"/>
        <v>-8</v>
      </c>
      <c r="M130" s="1"/>
      <c r="N130" s="1"/>
      <c r="O130" s="1">
        <v>70</v>
      </c>
      <c r="P130" s="1">
        <f t="shared" si="30"/>
        <v>25.6</v>
      </c>
      <c r="Q130" s="5">
        <f t="shared" si="37"/>
        <v>167.40000000000003</v>
      </c>
      <c r="R130" s="1">
        <f t="shared" si="31"/>
        <v>11.5</v>
      </c>
      <c r="S130" s="1">
        <f t="shared" si="32"/>
        <v>4.9609375</v>
      </c>
      <c r="T130" s="1">
        <v>11.2</v>
      </c>
      <c r="U130" s="1">
        <v>0</v>
      </c>
      <c r="V130" s="1">
        <v>1.2</v>
      </c>
      <c r="W130" s="1">
        <v>4.4000000000000004</v>
      </c>
      <c r="X130" s="1">
        <v>3</v>
      </c>
      <c r="Y130" s="1">
        <v>-0.2</v>
      </c>
      <c r="Z130" s="1">
        <v>0</v>
      </c>
      <c r="AA130" s="1">
        <v>0</v>
      </c>
      <c r="AB130" s="1">
        <v>1</v>
      </c>
      <c r="AC130" s="1">
        <v>1</v>
      </c>
      <c r="AD130" s="1"/>
      <c r="AE130" s="1">
        <f t="shared" si="36"/>
        <v>50.220000000000006</v>
      </c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 t="s">
        <v>176</v>
      </c>
      <c r="B131" s="1" t="s">
        <v>40</v>
      </c>
      <c r="C131" s="1">
        <v>49</v>
      </c>
      <c r="D131" s="1">
        <v>154</v>
      </c>
      <c r="E131" s="1">
        <v>98</v>
      </c>
      <c r="F131" s="1">
        <v>81</v>
      </c>
      <c r="G131" s="7">
        <v>0.12</v>
      </c>
      <c r="H131" s="1">
        <v>45</v>
      </c>
      <c r="I131" s="1" t="s">
        <v>36</v>
      </c>
      <c r="J131" s="1"/>
      <c r="K131" s="1">
        <v>104</v>
      </c>
      <c r="L131" s="1">
        <f t="shared" si="29"/>
        <v>-6</v>
      </c>
      <c r="M131" s="1"/>
      <c r="N131" s="1"/>
      <c r="O131" s="1">
        <v>24.099999999999991</v>
      </c>
      <c r="P131" s="1">
        <f t="shared" si="30"/>
        <v>19.600000000000001</v>
      </c>
      <c r="Q131" s="5">
        <f t="shared" si="37"/>
        <v>120.30000000000001</v>
      </c>
      <c r="R131" s="1">
        <f t="shared" si="31"/>
        <v>11.5</v>
      </c>
      <c r="S131" s="1">
        <f t="shared" si="32"/>
        <v>5.362244897959183</v>
      </c>
      <c r="T131" s="1">
        <v>15.2</v>
      </c>
      <c r="U131" s="1">
        <v>14.6</v>
      </c>
      <c r="V131" s="1">
        <v>14.8</v>
      </c>
      <c r="W131" s="1">
        <v>14.8</v>
      </c>
      <c r="X131" s="1">
        <v>14.8</v>
      </c>
      <c r="Y131" s="1">
        <v>13.4</v>
      </c>
      <c r="Z131" s="1">
        <v>13.6</v>
      </c>
      <c r="AA131" s="1">
        <v>16.8</v>
      </c>
      <c r="AB131" s="1">
        <v>16.2</v>
      </c>
      <c r="AC131" s="1">
        <v>14.2</v>
      </c>
      <c r="AD131" s="1"/>
      <c r="AE131" s="1">
        <f t="shared" si="36"/>
        <v>14.436</v>
      </c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1" t="s">
        <v>177</v>
      </c>
      <c r="B132" s="11" t="s">
        <v>40</v>
      </c>
      <c r="C132" s="11">
        <v>26</v>
      </c>
      <c r="D132" s="11">
        <v>62</v>
      </c>
      <c r="E132" s="16">
        <v>67</v>
      </c>
      <c r="F132" s="16">
        <v>-6</v>
      </c>
      <c r="G132" s="12">
        <v>0</v>
      </c>
      <c r="H132" s="11"/>
      <c r="I132" s="11" t="s">
        <v>178</v>
      </c>
      <c r="J132" s="11" t="s">
        <v>95</v>
      </c>
      <c r="K132" s="11">
        <v>68</v>
      </c>
      <c r="L132" s="11">
        <f t="shared" si="29"/>
        <v>-1</v>
      </c>
      <c r="M132" s="11"/>
      <c r="N132" s="11"/>
      <c r="O132" s="11">
        <v>0</v>
      </c>
      <c r="P132" s="11">
        <f t="shared" si="30"/>
        <v>13.4</v>
      </c>
      <c r="Q132" s="13"/>
      <c r="R132" s="11">
        <f t="shared" si="31"/>
        <v>-0.44776119402985076</v>
      </c>
      <c r="S132" s="11">
        <f t="shared" si="32"/>
        <v>-0.44776119402985076</v>
      </c>
      <c r="T132" s="11">
        <v>12.2</v>
      </c>
      <c r="U132" s="11">
        <v>13.8</v>
      </c>
      <c r="V132" s="11">
        <v>20.399999999999999</v>
      </c>
      <c r="W132" s="11">
        <v>27.6</v>
      </c>
      <c r="X132" s="11">
        <v>24.6</v>
      </c>
      <c r="Y132" s="11">
        <v>23.8</v>
      </c>
      <c r="Z132" s="11">
        <v>19</v>
      </c>
      <c r="AA132" s="11">
        <v>19.399999999999999</v>
      </c>
      <c r="AB132" s="11">
        <v>19.2</v>
      </c>
      <c r="AC132" s="11">
        <v>21.6</v>
      </c>
      <c r="AD132" s="11"/>
      <c r="AE132" s="1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 t="s">
        <v>179</v>
      </c>
      <c r="B133" s="1" t="s">
        <v>35</v>
      </c>
      <c r="C133" s="1"/>
      <c r="D133" s="1">
        <v>247.11600000000001</v>
      </c>
      <c r="E133" s="1"/>
      <c r="F133" s="1">
        <v>247.11600000000001</v>
      </c>
      <c r="G133" s="7">
        <v>1</v>
      </c>
      <c r="H133" s="1"/>
      <c r="I133" s="1" t="s">
        <v>36</v>
      </c>
      <c r="J133" s="1"/>
      <c r="K133" s="1"/>
      <c r="L133" s="1">
        <f t="shared" si="29"/>
        <v>0</v>
      </c>
      <c r="M133" s="1"/>
      <c r="N133" s="1"/>
      <c r="O133" s="1">
        <v>0</v>
      </c>
      <c r="P133" s="1">
        <f t="shared" si="30"/>
        <v>0</v>
      </c>
      <c r="Q133" s="5"/>
      <c r="R133" s="1" t="e">
        <f t="shared" si="31"/>
        <v>#DIV/0!</v>
      </c>
      <c r="S133" s="1" t="e">
        <f t="shared" si="32"/>
        <v>#DIV/0!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 t="s">
        <v>180</v>
      </c>
      <c r="AE133" s="1">
        <f>G133*Q133</f>
        <v>0</v>
      </c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</sheetData>
  <autoFilter ref="A3:AE1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2026-10-30T02:35:19Z</dcterms:created>
  <dcterms:modified xsi:type="dcterms:W3CDTF">2026-10-30T02:50:52Z</dcterms:modified>
</cp:coreProperties>
</file>