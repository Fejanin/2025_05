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84B49E9-31CC-4CD9-9FFC-E8F3852B579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66" i="2" s="1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Z90" i="2" s="1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Z214" i="2" s="1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Z362" i="2" s="1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Z258" i="2" s="1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46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Z481" i="2" s="1"/>
  <c r="Y486" i="2"/>
  <c r="Z242" i="2" l="1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<sst xmlns="http://schemas.openxmlformats.org/spreadsheetml/2006/main" count="3643" uniqueCount="787">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</sst>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Y15" sqref="Y1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59" t="s">
        <v>26</v>
      </c>
      <c r="E1" s="859"/>
      <c r="F1" s="859"/>
      <c r="G1" s="14" t="s">
        <v>66</v>
      </c>
      <c r="H1" s="859" t="s">
        <v>46</v>
      </c>
      <c r="I1" s="859"/>
      <c r="J1" s="859"/>
      <c r="K1" s="859"/>
      <c r="L1" s="859"/>
      <c r="M1" s="859"/>
      <c r="N1" s="859"/>
      <c r="O1" s="859"/>
      <c r="P1" s="859"/>
      <c r="Q1" s="859"/>
      <c r="R1" s="860" t="s">
        <v>67</v>
      </c>
      <c r="S1" s="861"/>
      <c r="T1" s="86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2"/>
      <c r="R2" s="862"/>
      <c r="S2" s="862"/>
      <c r="T2" s="862"/>
      <c r="U2" s="862"/>
      <c r="V2" s="862"/>
      <c r="W2" s="86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2"/>
      <c r="Q3" s="862"/>
      <c r="R3" s="862"/>
      <c r="S3" s="862"/>
      <c r="T3" s="862"/>
      <c r="U3" s="862"/>
      <c r="V3" s="862"/>
      <c r="W3" s="86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41" t="s">
        <v>8</v>
      </c>
      <c r="B5" s="841"/>
      <c r="C5" s="841"/>
      <c r="D5" s="863"/>
      <c r="E5" s="863"/>
      <c r="F5" s="864" t="s">
        <v>14</v>
      </c>
      <c r="G5" s="864"/>
      <c r="H5" s="863"/>
      <c r="I5" s="863"/>
      <c r="J5" s="863"/>
      <c r="K5" s="863"/>
      <c r="L5" s="863"/>
      <c r="M5" s="863"/>
      <c r="N5" s="69"/>
      <c r="P5" s="26" t="s">
        <v>4</v>
      </c>
      <c r="Q5" s="865"/>
      <c r="R5" s="865"/>
      <c r="T5" s="866" t="s">
        <v>3</v>
      </c>
      <c r="U5" s="867"/>
      <c r="V5" s="868" t="s">
        <v>750</v>
      </c>
      <c r="W5" s="869"/>
      <c r="AB5" s="57"/>
      <c r="AC5" s="57"/>
      <c r="AD5" s="57"/>
      <c r="AE5" s="57"/>
    </row>
    <row r="6" spans="1:32" s="17" customFormat="1" ht="24" customHeight="1" x14ac:dyDescent="0.2">
      <c r="A6" s="841" t="s">
        <v>1</v>
      </c>
      <c r="B6" s="841"/>
      <c r="C6" s="841"/>
      <c r="D6" s="842"/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 xml:space="preserve"> 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52">
        <f>IFERROR(VLOOKUP(DeliveryAddress,Table,3,0),1)</f>
        <v>1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/>
      <c r="R8" s="839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50000000000003" customHeight="1" x14ac:dyDescent="0.2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7" t="str">
        <f>IF(AND($A$9="Тип доверенности/получателя при получении в адресе перегруза:",$D$9="Разовая доверенность"),"Введите ФИО","")</f>
        <v/>
      </c>
      <c r="I9" s="857"/>
      <c r="J9" s="8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7"/>
      <c r="L9" s="857"/>
      <c r="M9" s="857"/>
      <c r="N9" s="67"/>
      <c r="P9" s="29" t="s">
        <v>15</v>
      </c>
      <c r="Q9" s="858">
        <v>46238</v>
      </c>
      <c r="R9" s="858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>
        <v>0.54166666666666663</v>
      </c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1209.5999999999999</v>
      </c>
      <c r="Y42" s="53">
        <f>IFERROR(IF(X42="",0,CEILING((X42/$H42),1)*$H42),"")</f>
        <v>1209.6000000000001</v>
      </c>
      <c r="Z42" s="39">
        <f>IFERROR(IF(Y42=0,"",ROUNDUP(Y42/H42,0)*0.01898),"")</f>
        <v>2.1257600000000001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1255.52</v>
      </c>
      <c r="BN42" s="75">
        <f>IFERROR(Y42*I42/H42,"0")</f>
        <v>1255.52</v>
      </c>
      <c r="BO42" s="75">
        <f>IFERROR(1/J42*(X42/H42),"0")</f>
        <v>1.7499999999999998</v>
      </c>
      <c r="BP42" s="75">
        <f>IFERROR(1/J42*(Y42/H42),"0")</f>
        <v>1.75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111.99999999999999</v>
      </c>
      <c r="Y45" s="41">
        <f>IFERROR(Y42/H42,"0")+IFERROR(Y43/H43,"0")+IFERROR(Y44/H44,"0")</f>
        <v>112</v>
      </c>
      <c r="Z45" s="41">
        <f>IFERROR(IF(Z42="",0,Z42),"0")+IFERROR(IF(Z43="",0,Z43),"0")+IFERROR(IF(Z44="",0,Z44),"0")</f>
        <v>2.1257600000000001</v>
      </c>
      <c r="AA45" s="64"/>
      <c r="AB45" s="64"/>
      <c r="AC45" s="64"/>
    </row>
    <row r="46" spans="1:68" x14ac:dyDescent="0.2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1209.5999999999999</v>
      </c>
      <c r="Y46" s="41">
        <f>IFERROR(SUM(Y42:Y44),"0")</f>
        <v>1209.6000000000001</v>
      </c>
      <c r="Z46" s="40"/>
      <c r="AA46" s="64"/>
      <c r="AB46" s="64"/>
      <c r="AC46" s="64"/>
    </row>
    <row r="47" spans="1:68" ht="14.25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358.4</v>
      </c>
      <c r="Y53" s="53">
        <f t="shared" ref="Y53:Y58" si="6">IFERROR(IF(X53="",0,CEILING((X53/$H53),1)*$H53),"")</f>
        <v>358.4</v>
      </c>
      <c r="Z53" s="39">
        <f>IFERROR(IF(Y53=0,"",ROUNDUP(Y53/H53,0)*0.01898),"")</f>
        <v>0.60736000000000001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371.52</v>
      </c>
      <c r="BN53" s="75">
        <f t="shared" ref="BN53:BN58" si="8">IFERROR(Y53*I53/H53,"0")</f>
        <v>371.52</v>
      </c>
      <c r="BO53" s="75">
        <f t="shared" ref="BO53:BO58" si="9">IFERROR(1/J53*(X53/H53),"0")</f>
        <v>0.5</v>
      </c>
      <c r="BP53" s="75">
        <f t="shared" ref="BP53:BP58" si="10">IFERROR(1/J53*(Y53/H53),"0")</f>
        <v>0.5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259.2</v>
      </c>
      <c r="Y54" s="53">
        <f t="shared" si="6"/>
        <v>259.20000000000005</v>
      </c>
      <c r="Z54" s="39">
        <f>IFERROR(IF(Y54=0,"",ROUNDUP(Y54/H54,0)*0.01898),"")</f>
        <v>0.45552000000000004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269.03999999999996</v>
      </c>
      <c r="BN54" s="75">
        <f t="shared" si="8"/>
        <v>269.04000000000002</v>
      </c>
      <c r="BO54" s="75">
        <f t="shared" si="9"/>
        <v>0.37499999999999994</v>
      </c>
      <c r="BP54" s="75">
        <f t="shared" si="10"/>
        <v>0.37500000000000006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56</v>
      </c>
      <c r="Y59" s="41">
        <f>IFERROR(Y53/H53,"0")+IFERROR(Y54/H54,"0")+IFERROR(Y55/H55,"0")+IFERROR(Y56/H56,"0")+IFERROR(Y57/H57,"0")+IFERROR(Y58/H58,"0")</f>
        <v>56</v>
      </c>
      <c r="Z59" s="41">
        <f>IFERROR(IF(Z53="",0,Z53),"0")+IFERROR(IF(Z54="",0,Z54),"0")+IFERROR(IF(Z55="",0,Z55),"0")+IFERROR(IF(Z56="",0,Z56),"0")+IFERROR(IF(Z57="",0,Z57),"0")+IFERROR(IF(Z58="",0,Z58),"0")</f>
        <v>1.06288</v>
      </c>
      <c r="AA59" s="64"/>
      <c r="AB59" s="64"/>
      <c r="AC59" s="64"/>
    </row>
    <row r="60" spans="1:68" x14ac:dyDescent="0.2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617.59999999999991</v>
      </c>
      <c r="Y60" s="41">
        <f>IFERROR(SUM(Y53:Y58),"0")</f>
        <v>617.6</v>
      </c>
      <c r="Z60" s="40"/>
      <c r="AA60" s="64"/>
      <c r="AB60" s="64"/>
      <c r="AC60" s="64"/>
    </row>
    <row r="61" spans="1:68" ht="14.25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259.2</v>
      </c>
      <c r="Y62" s="53">
        <f>IFERROR(IF(X62="",0,CEILING((X62/$H62),1)*$H62),"")</f>
        <v>259.20000000000005</v>
      </c>
      <c r="Z62" s="39">
        <f>IFERROR(IF(Y62=0,"",ROUNDUP(Y62/H62,0)*0.01898),"")</f>
        <v>0.45552000000000004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269.03999999999996</v>
      </c>
      <c r="BN62" s="75">
        <f>IFERROR(Y62*I62/H62,"0")</f>
        <v>269.04000000000002</v>
      </c>
      <c r="BO62" s="75">
        <f>IFERROR(1/J62*(X62/H62),"0")</f>
        <v>0.37499999999999994</v>
      </c>
      <c r="BP62" s="75">
        <f>IFERROR(1/J62*(Y62/H62),"0")</f>
        <v>0.37500000000000006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23.999999999999996</v>
      </c>
      <c r="Y66" s="41">
        <f>IFERROR(Y62/H62,"0")+IFERROR(Y63/H63,"0")+IFERROR(Y64/H64,"0")+IFERROR(Y65/H65,"0")</f>
        <v>24.000000000000004</v>
      </c>
      <c r="Z66" s="41">
        <f>IFERROR(IF(Z62="",0,Z62),"0")+IFERROR(IF(Z63="",0,Z63),"0")+IFERROR(IF(Z64="",0,Z64),"0")+IFERROR(IF(Z65="",0,Z65),"0")</f>
        <v>0.45552000000000004</v>
      </c>
      <c r="AA66" s="64"/>
      <c r="AB66" s="64"/>
      <c r="AC66" s="64"/>
    </row>
    <row r="67" spans="1:68" x14ac:dyDescent="0.2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259.2</v>
      </c>
      <c r="Y67" s="41">
        <f>IFERROR(SUM(Y62:Y65),"0")</f>
        <v>259.20000000000005</v>
      </c>
      <c r="Z67" s="40"/>
      <c r="AA67" s="64"/>
      <c r="AB67" s="64"/>
      <c r="AC67" s="64"/>
    </row>
    <row r="68" spans="1:68" ht="14.25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432</v>
      </c>
      <c r="Y86" s="53">
        <f>IFERROR(IF(X86="",0,CEILING((X86/$H86),1)*$H86),"")</f>
        <v>432</v>
      </c>
      <c r="Z86" s="39">
        <f>IFERROR(IF(Y86=0,"",ROUNDUP(Y86/H86,0)*0.01898),"")</f>
        <v>0.75919999999999999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448.4</v>
      </c>
      <c r="BN86" s="75">
        <f>IFERROR(Y86*I86/H86,"0")</f>
        <v>448.4</v>
      </c>
      <c r="BO86" s="75">
        <f>IFERROR(1/J86*(X86/H86),"0")</f>
        <v>0.625</v>
      </c>
      <c r="BP86" s="75">
        <f>IFERROR(1/J86*(Y86/H86),"0")</f>
        <v>0.625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40</v>
      </c>
      <c r="Y90" s="41">
        <f>IFERROR(Y86/H86,"0")+IFERROR(Y87/H87,"0")+IFERROR(Y88/H88,"0")+IFERROR(Y89/H89,"0")</f>
        <v>40</v>
      </c>
      <c r="Z90" s="41">
        <f>IFERROR(IF(Z86="",0,Z86),"0")+IFERROR(IF(Z87="",0,Z87),"0")+IFERROR(IF(Z88="",0,Z88),"0")+IFERROR(IF(Z89="",0,Z89),"0")</f>
        <v>0.75919999999999999</v>
      </c>
      <c r="AA90" s="64"/>
      <c r="AB90" s="64"/>
      <c r="AC90" s="64"/>
    </row>
    <row r="91" spans="1:68" x14ac:dyDescent="0.2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432</v>
      </c>
      <c r="Y91" s="41">
        <f>IFERROR(SUM(Y86:Y89),"0")</f>
        <v>432</v>
      </c>
      <c r="Z91" s="40"/>
      <c r="AA91" s="64"/>
      <c r="AB91" s="64"/>
      <c r="AC91" s="64"/>
    </row>
    <row r="92" spans="1:68" ht="14.25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194.4</v>
      </c>
      <c r="Y93" s="53">
        <f>IFERROR(IF(X93="",0,CEILING((X93/$H93),1)*$H93),"")</f>
        <v>194.39999999999998</v>
      </c>
      <c r="Z93" s="39">
        <f>IFERROR(IF(Y93=0,"",ROUNDUP(Y93/H93,0)*0.01898),"")</f>
        <v>0.45552000000000004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206.256</v>
      </c>
      <c r="BN93" s="75">
        <f>IFERROR(Y93*I93/H93,"0")</f>
        <v>206.25599999999997</v>
      </c>
      <c r="BO93" s="75">
        <f>IFERROR(1/J93*(X93/H93),"0")</f>
        <v>0.375</v>
      </c>
      <c r="BP93" s="75">
        <f>IFERROR(1/J93*(Y93/H93),"0")</f>
        <v>0.375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52</v>
      </c>
      <c r="Y97" s="41">
        <f>IFERROR(Y93/H93,"0")+IFERROR(Y94/H94,"0")+IFERROR(Y95/H95,"0")+IFERROR(Y96/H96,"0")</f>
        <v>52</v>
      </c>
      <c r="Z97" s="41">
        <f>IFERROR(IF(Z93="",0,Z93),"0")+IFERROR(IF(Z94="",0,Z94),"0")+IFERROR(IF(Z95="",0,Z95),"0")+IFERROR(IF(Z96="",0,Z96),"0")</f>
        <v>0.63780000000000003</v>
      </c>
      <c r="AA97" s="64"/>
      <c r="AB97" s="64"/>
      <c r="AC97" s="64"/>
    </row>
    <row r="98" spans="1:68" x14ac:dyDescent="0.2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270</v>
      </c>
      <c r="Y98" s="41">
        <f>IFERROR(SUM(Y93:Y96),"0")</f>
        <v>270</v>
      </c>
      <c r="Z98" s="40"/>
      <c r="AA98" s="64"/>
      <c r="AB98" s="64"/>
      <c r="AC98" s="64"/>
    </row>
    <row r="99" spans="1:68" ht="16.5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777.6</v>
      </c>
      <c r="Y101" s="53">
        <f>IFERROR(IF(X101="",0,CEILING((X101/$H101),1)*$H101),"")</f>
        <v>777.6</v>
      </c>
      <c r="Z101" s="39">
        <f>IFERROR(IF(Y101=0,"",ROUNDUP(Y101/H101,0)*0.01898),"")</f>
        <v>1.36656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807.12</v>
      </c>
      <c r="BN101" s="75">
        <f>IFERROR(Y101*I101/H101,"0")</f>
        <v>807.12</v>
      </c>
      <c r="BO101" s="75">
        <f>IFERROR(1/J101*(X101/H101),"0")</f>
        <v>1.125</v>
      </c>
      <c r="BP101" s="75">
        <f>IFERROR(1/J101*(Y101/H101),"0")</f>
        <v>1.125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72</v>
      </c>
      <c r="Y106" s="41">
        <f>IFERROR(Y101/H101,"0")+IFERROR(Y102/H102,"0")+IFERROR(Y103/H103,"0")+IFERROR(Y104/H104,"0")+IFERROR(Y105/H105,"0")</f>
        <v>72</v>
      </c>
      <c r="Z106" s="41">
        <f>IFERROR(IF(Z101="",0,Z101),"0")+IFERROR(IF(Z102="",0,Z102),"0")+IFERROR(IF(Z103="",0,Z103),"0")+IFERROR(IF(Z104="",0,Z104),"0")+IFERROR(IF(Z105="",0,Z105),"0")</f>
        <v>1.36656</v>
      </c>
      <c r="AA106" s="64"/>
      <c r="AB106" s="64"/>
      <c r="AC106" s="64"/>
    </row>
    <row r="107" spans="1:68" x14ac:dyDescent="0.2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777.6</v>
      </c>
      <c r="Y107" s="41">
        <f>IFERROR(SUM(Y101:Y105),"0")</f>
        <v>777.6</v>
      </c>
      <c r="Z107" s="40"/>
      <c r="AA107" s="64"/>
      <c r="AB107" s="64"/>
      <c r="AC107" s="64"/>
    </row>
    <row r="108" spans="1:68" ht="14.25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129.6</v>
      </c>
      <c r="Y116" s="53">
        <f>IFERROR(IF(X116="",0,CEILING((X116/$H116),1)*$H116),"")</f>
        <v>129.6</v>
      </c>
      <c r="Z116" s="39">
        <f>IFERROR(IF(Y116=0,"",ROUNDUP(Y116/H116,0)*0.01898),"")</f>
        <v>0.30368000000000001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137.40799999999999</v>
      </c>
      <c r="BN116" s="75">
        <f>IFERROR(Y116*I116/H116,"0")</f>
        <v>137.40799999999999</v>
      </c>
      <c r="BO116" s="75">
        <f>IFERROR(1/J116*(X116/H116),"0")</f>
        <v>0.25</v>
      </c>
      <c r="BP116" s="75">
        <f>IFERROR(1/J116*(Y116/H116),"0")</f>
        <v>0.25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32.4</v>
      </c>
      <c r="Y118" s="53">
        <f>IFERROR(IF(X118="",0,CEILING((X118/$H118),1)*$H118),"")</f>
        <v>32.400000000000006</v>
      </c>
      <c r="Z118" s="39">
        <f>IFERROR(IF(Y118=0,"",ROUNDUP(Y118/H118,0)*0.00651),"")</f>
        <v>7.8119999999999995E-2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35.423999999999992</v>
      </c>
      <c r="BN118" s="75">
        <f>IFERROR(Y118*I118/H118,"0")</f>
        <v>35.424000000000007</v>
      </c>
      <c r="BO118" s="75">
        <f>IFERROR(1/J118*(X118/H118),"0")</f>
        <v>6.5934065934065936E-2</v>
      </c>
      <c r="BP118" s="75">
        <f>IFERROR(1/J118*(Y118/H118),"0")</f>
        <v>6.593406593406595E-2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28</v>
      </c>
      <c r="Y120" s="41">
        <f>IFERROR(Y116/H116,"0")+IFERROR(Y117/H117,"0")+IFERROR(Y118/H118,"0")+IFERROR(Y119/H119,"0")</f>
        <v>28</v>
      </c>
      <c r="Z120" s="41">
        <f>IFERROR(IF(Z116="",0,Z116),"0")+IFERROR(IF(Z117="",0,Z117),"0")+IFERROR(IF(Z118="",0,Z118),"0")+IFERROR(IF(Z119="",0,Z119),"0")</f>
        <v>0.38180000000000003</v>
      </c>
      <c r="AA120" s="64"/>
      <c r="AB120" s="64"/>
      <c r="AC120" s="64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162</v>
      </c>
      <c r="Y121" s="41">
        <f>IFERROR(SUM(Y116:Y119),"0")</f>
        <v>162</v>
      </c>
      <c r="Z121" s="40"/>
      <c r="AA121" s="64"/>
      <c r="AB121" s="64"/>
      <c r="AC121" s="64"/>
    </row>
    <row r="122" spans="1:68" ht="14.25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151.19999999999999</v>
      </c>
      <c r="Y169" s="53">
        <f t="shared" si="11"/>
        <v>151.20000000000002</v>
      </c>
      <c r="Z169" s="39">
        <f>IFERROR(IF(Y169=0,"",ROUNDUP(Y169/H169,0)*0.00902),"")</f>
        <v>0.32472000000000001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158.03999999999996</v>
      </c>
      <c r="BN169" s="75">
        <f t="shared" si="13"/>
        <v>158.04</v>
      </c>
      <c r="BO169" s="75">
        <f t="shared" si="14"/>
        <v>0.27272727272727271</v>
      </c>
      <c r="BP169" s="75">
        <f t="shared" si="15"/>
        <v>0.27272727272727271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37.799999999999997</v>
      </c>
      <c r="Y179" s="53">
        <f t="shared" si="11"/>
        <v>37.800000000000004</v>
      </c>
      <c r="Z179" s="39">
        <f>IFERROR(IF(Y179=0,"",ROUNDUP(Y179/H179,0)*0.00502),"")</f>
        <v>9.0359999999999996E-2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39.599999999999994</v>
      </c>
      <c r="BN179" s="75">
        <f t="shared" si="13"/>
        <v>39.6</v>
      </c>
      <c r="BO179" s="75">
        <f t="shared" si="14"/>
        <v>7.6923076923076913E-2</v>
      </c>
      <c r="BP179" s="75">
        <f t="shared" si="15"/>
        <v>7.6923076923076927E-2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83.999999999999986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84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0.61368</v>
      </c>
      <c r="AA182" s="64"/>
      <c r="AB182" s="64"/>
      <c r="AC182" s="64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277.2</v>
      </c>
      <c r="Y183" s="41">
        <f>IFERROR(SUM(Y167:Y181),"0")</f>
        <v>277.20000000000005</v>
      </c>
      <c r="Z183" s="40"/>
      <c r="AA183" s="64"/>
      <c r="AB183" s="64"/>
      <c r="AC183" s="64"/>
    </row>
    <row r="184" spans="1:68" ht="14.25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64.8</v>
      </c>
      <c r="Y206" s="53">
        <f t="shared" ref="Y206:Y213" si="16">IFERROR(IF(X206="",0,CEILING((X206/$H206),1)*$H206),"")</f>
        <v>64.800000000000011</v>
      </c>
      <c r="Z206" s="39">
        <f>IFERROR(IF(Y206=0,"",ROUNDUP(Y206/H206,0)*0.00902),"")</f>
        <v>0.10824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67.079999999999984</v>
      </c>
      <c r="BN206" s="75">
        <f t="shared" ref="BN206:BN213" si="18">IFERROR(Y206*I206/H206,"0")</f>
        <v>67.08</v>
      </c>
      <c r="BO206" s="75">
        <f t="shared" ref="BO206:BO213" si="19">IFERROR(1/J206*(X206/H206),"0")</f>
        <v>9.0909090909090898E-2</v>
      </c>
      <c r="BP206" s="75">
        <f t="shared" ref="BP206:BP213" si="20">IFERROR(1/J206*(Y206/H206),"0")</f>
        <v>9.0909090909090925E-2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64.8</v>
      </c>
      <c r="Y207" s="53">
        <f t="shared" si="16"/>
        <v>64.800000000000011</v>
      </c>
      <c r="Z207" s="39">
        <f>IFERROR(IF(Y207=0,"",ROUNDUP(Y207/H207,0)*0.00902),"")</f>
        <v>0.10824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67.079999999999984</v>
      </c>
      <c r="BN207" s="75">
        <f t="shared" si="18"/>
        <v>67.08</v>
      </c>
      <c r="BO207" s="75">
        <f t="shared" si="19"/>
        <v>9.0909090909090898E-2</v>
      </c>
      <c r="BP207" s="75">
        <f t="shared" si="20"/>
        <v>9.0909090909090925E-2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129.6</v>
      </c>
      <c r="Y208" s="53">
        <f t="shared" si="16"/>
        <v>129.60000000000002</v>
      </c>
      <c r="Z208" s="39">
        <f>IFERROR(IF(Y208=0,"",ROUNDUP(Y208/H208,0)*0.00902),"")</f>
        <v>0.21648000000000001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134.15999999999997</v>
      </c>
      <c r="BN208" s="75">
        <f t="shared" si="18"/>
        <v>134.16</v>
      </c>
      <c r="BO208" s="75">
        <f t="shared" si="19"/>
        <v>0.1818181818181818</v>
      </c>
      <c r="BP208" s="75">
        <f t="shared" si="20"/>
        <v>0.18181818181818185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64.8</v>
      </c>
      <c r="Y209" s="53">
        <f t="shared" si="16"/>
        <v>64.800000000000011</v>
      </c>
      <c r="Z209" s="39">
        <f>IFERROR(IF(Y209=0,"",ROUNDUP(Y209/H209,0)*0.00902),"")</f>
        <v>0.10824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67.079999999999984</v>
      </c>
      <c r="BN209" s="75">
        <f t="shared" si="18"/>
        <v>67.08</v>
      </c>
      <c r="BO209" s="75">
        <f t="shared" si="19"/>
        <v>9.0909090909090898E-2</v>
      </c>
      <c r="BP209" s="75">
        <f t="shared" si="20"/>
        <v>9.0909090909090925E-2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59.999999999999993</v>
      </c>
      <c r="Y214" s="41">
        <f>IFERROR(Y206/H206,"0")+IFERROR(Y207/H207,"0")+IFERROR(Y208/H208,"0")+IFERROR(Y209/H209,"0")+IFERROR(Y210/H210,"0")+IFERROR(Y211/H211,"0")+IFERROR(Y212/H212,"0")+IFERROR(Y213/H213,"0")</f>
        <v>60.000000000000007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0.54120000000000001</v>
      </c>
      <c r="AA214" s="64"/>
      <c r="AB214" s="64"/>
      <c r="AC214" s="64"/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324</v>
      </c>
      <c r="Y215" s="41">
        <f>IFERROR(SUM(Y206:Y213),"0")</f>
        <v>324.00000000000006</v>
      </c>
      <c r="Z215" s="40"/>
      <c r="AA215" s="64"/>
      <c r="AB215" s="64"/>
      <c r="AC215" s="64"/>
    </row>
    <row r="216" spans="1:68" ht="14.25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417.6</v>
      </c>
      <c r="Y219" s="53">
        <f t="shared" si="21"/>
        <v>417.59999999999997</v>
      </c>
      <c r="Z219" s="39">
        <f>IFERROR(IF(Y219=0,"",ROUNDUP(Y219/H219,0)*0.01898),"")</f>
        <v>0.91104000000000007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441.31200000000013</v>
      </c>
      <c r="BN219" s="75">
        <f t="shared" si="23"/>
        <v>441.31200000000007</v>
      </c>
      <c r="BO219" s="75">
        <f t="shared" si="24"/>
        <v>0.75000000000000011</v>
      </c>
      <c r="BP219" s="75">
        <f t="shared" si="25"/>
        <v>0.75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115.2</v>
      </c>
      <c r="Y220" s="53">
        <f t="shared" si="21"/>
        <v>115.19999999999999</v>
      </c>
      <c r="Z220" s="39">
        <f t="shared" ref="Z220:Z225" si="26">IFERROR(IF(Y220=0,"",ROUNDUP(Y220/H220,0)*0.00651),"")</f>
        <v>0.31247999999999998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128.16</v>
      </c>
      <c r="BN220" s="75">
        <f t="shared" si="23"/>
        <v>128.15999999999997</v>
      </c>
      <c r="BO220" s="75">
        <f t="shared" si="24"/>
        <v>0.26373626373626374</v>
      </c>
      <c r="BP220" s="75">
        <f t="shared" si="25"/>
        <v>0.26373626373626374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115.2</v>
      </c>
      <c r="Y222" s="53">
        <f t="shared" si="21"/>
        <v>115.19999999999999</v>
      </c>
      <c r="Z222" s="39">
        <f t="shared" si="26"/>
        <v>0.31247999999999998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127.29600000000001</v>
      </c>
      <c r="BN222" s="75">
        <f t="shared" si="23"/>
        <v>127.29600000000001</v>
      </c>
      <c r="BO222" s="75">
        <f t="shared" si="24"/>
        <v>0.26373626373626374</v>
      </c>
      <c r="BP222" s="75">
        <f t="shared" si="25"/>
        <v>0.26373626373626374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144</v>
      </c>
      <c r="Y223" s="53">
        <f t="shared" si="21"/>
        <v>144</v>
      </c>
      <c r="Z223" s="39">
        <f t="shared" si="26"/>
        <v>0.3906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159.12000000000003</v>
      </c>
      <c r="BN223" s="75">
        <f t="shared" si="23"/>
        <v>159.12000000000003</v>
      </c>
      <c r="BO223" s="75">
        <f t="shared" si="24"/>
        <v>0.32967032967032972</v>
      </c>
      <c r="BP223" s="75">
        <f t="shared" si="25"/>
        <v>0.32967032967032972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86.4</v>
      </c>
      <c r="Y225" s="53">
        <f t="shared" si="21"/>
        <v>86.399999999999991</v>
      </c>
      <c r="Z225" s="39">
        <f t="shared" si="26"/>
        <v>0.23436000000000001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95.688000000000017</v>
      </c>
      <c r="BN225" s="75">
        <f t="shared" si="23"/>
        <v>95.687999999999988</v>
      </c>
      <c r="BO225" s="75">
        <f t="shared" si="24"/>
        <v>0.19780219780219785</v>
      </c>
      <c r="BP225" s="75">
        <f t="shared" si="25"/>
        <v>0.19780219780219782</v>
      </c>
    </row>
    <row r="226" spans="1:68" x14ac:dyDescent="0.2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240</v>
      </c>
      <c r="Y226" s="41">
        <f>IFERROR(Y217/H217,"0")+IFERROR(Y218/H218,"0")+IFERROR(Y219/H219,"0")+IFERROR(Y220/H220,"0")+IFERROR(Y221/H221,"0")+IFERROR(Y222/H222,"0")+IFERROR(Y223/H223,"0")+IFERROR(Y224/H224,"0")+IFERROR(Y225/H225,"0")</f>
        <v>240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2.1609600000000002</v>
      </c>
      <c r="AA226" s="64"/>
      <c r="AB226" s="64"/>
      <c r="AC226" s="64"/>
    </row>
    <row r="227" spans="1:68" x14ac:dyDescent="0.2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878.40000000000009</v>
      </c>
      <c r="Y227" s="41">
        <f>IFERROR(SUM(Y217:Y225),"0")</f>
        <v>878.4</v>
      </c>
      <c r="Z227" s="40"/>
      <c r="AA227" s="64"/>
      <c r="AB227" s="64"/>
      <c r="AC227" s="64"/>
    </row>
    <row r="228" spans="1:68" ht="14.25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86.4</v>
      </c>
      <c r="Y280" s="53">
        <f>IFERROR(IF(X280="",0,CEILING((X280/$H280),1)*$H280),"")</f>
        <v>86.399999999999991</v>
      </c>
      <c r="Z280" s="39">
        <f>IFERROR(IF(Y280=0,"",ROUNDUP(Y280/H280,0)*0.00651),"")</f>
        <v>0.23436000000000001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95.472000000000023</v>
      </c>
      <c r="BN280" s="75">
        <f>IFERROR(Y280*I280/H280,"0")</f>
        <v>95.472000000000008</v>
      </c>
      <c r="BO280" s="75">
        <f>IFERROR(1/J280*(X280/H280),"0")</f>
        <v>0.19780219780219785</v>
      </c>
      <c r="BP280" s="75">
        <f>IFERROR(1/J280*(Y280/H280),"0")</f>
        <v>0.19780219780219782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86.4</v>
      </c>
      <c r="Y281" s="53">
        <f>IFERROR(IF(X281="",0,CEILING((X281/$H281),1)*$H281),"")</f>
        <v>86.399999999999991</v>
      </c>
      <c r="Z281" s="39">
        <f>IFERROR(IF(Y281=0,"",ROUNDUP(Y281/H281,0)*0.00651),"")</f>
        <v>0.23436000000000001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92.880000000000024</v>
      </c>
      <c r="BN281" s="75">
        <f>IFERROR(Y281*I281/H281,"0")</f>
        <v>92.88</v>
      </c>
      <c r="BO281" s="75">
        <f>IFERROR(1/J281*(X281/H281),"0")</f>
        <v>0.19780219780219785</v>
      </c>
      <c r="BP281" s="75">
        <f>IFERROR(1/J281*(Y281/H281),"0")</f>
        <v>0.19780219780219782</v>
      </c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72.000000000000014</v>
      </c>
      <c r="Y282" s="41">
        <f>IFERROR(Y279/H279,"0")+IFERROR(Y280/H280,"0")+IFERROR(Y281/H281,"0")</f>
        <v>72</v>
      </c>
      <c r="Z282" s="41">
        <f>IFERROR(IF(Z279="",0,Z279),"0")+IFERROR(IF(Z280="",0,Z280),"0")+IFERROR(IF(Z281="",0,Z281),"0")</f>
        <v>0.46872000000000003</v>
      </c>
      <c r="AA282" s="64"/>
      <c r="AB282" s="64"/>
      <c r="AC282" s="64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172.8</v>
      </c>
      <c r="Y283" s="41">
        <f>IFERROR(SUM(Y279:Y281),"0")</f>
        <v>172.79999999999998</v>
      </c>
      <c r="Z283" s="40"/>
      <c r="AA283" s="64"/>
      <c r="AB283" s="64"/>
      <c r="AC283" s="64"/>
    </row>
    <row r="284" spans="1:68" ht="16.5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201.6</v>
      </c>
      <c r="Y322" s="53">
        <f>IFERROR(IF(X322="",0,CEILING((X322/$H322),1)*$H322),"")</f>
        <v>201.60000000000002</v>
      </c>
      <c r="Z322" s="39">
        <f>IFERROR(IF(Y322=0,"",ROUNDUP(Y322/H322,0)*0.01898),"")</f>
        <v>0.45552000000000004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213.45599999999999</v>
      </c>
      <c r="BN322" s="75">
        <f>IFERROR(Y322*I322/H322,"0")</f>
        <v>213.45600000000002</v>
      </c>
      <c r="BO322" s="75">
        <f>IFERROR(1/J322*(X322/H322),"0")</f>
        <v>0.375</v>
      </c>
      <c r="BP322" s="75">
        <f>IFERROR(1/J322*(Y322/H322),"0")</f>
        <v>0.375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499.2</v>
      </c>
      <c r="Y323" s="53">
        <f>IFERROR(IF(X323="",0,CEILING((X323/$H323),1)*$H323),"")</f>
        <v>499.2</v>
      </c>
      <c r="Z323" s="39">
        <f>IFERROR(IF(Y323=0,"",ROUNDUP(Y323/H323,0)*0.01898),"")</f>
        <v>1.21472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530.81600000000003</v>
      </c>
      <c r="BN323" s="75">
        <f>IFERROR(Y323*I323/H323,"0")</f>
        <v>530.81600000000003</v>
      </c>
      <c r="BO323" s="75">
        <f>IFERROR(1/J323*(X323/H323),"0")</f>
        <v>1</v>
      </c>
      <c r="BP323" s="75">
        <f>IFERROR(1/J323*(Y323/H323),"0")</f>
        <v>1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134.4</v>
      </c>
      <c r="Y324" s="53">
        <f>IFERROR(IF(X324="",0,CEILING((X324/$H324),1)*$H324),"")</f>
        <v>134.4</v>
      </c>
      <c r="Z324" s="39">
        <f>IFERROR(IF(Y324=0,"",ROUNDUP(Y324/H324,0)*0.01898),"")</f>
        <v>0.30368000000000001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142.304</v>
      </c>
      <c r="BN324" s="75">
        <f>IFERROR(Y324*I324/H324,"0")</f>
        <v>142.304</v>
      </c>
      <c r="BO324" s="75">
        <f>IFERROR(1/J324*(X324/H324),"0")</f>
        <v>0.25</v>
      </c>
      <c r="BP324" s="75">
        <f>IFERROR(1/J324*(Y324/H324),"0")</f>
        <v>0.25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104</v>
      </c>
      <c r="Y325" s="41">
        <f>IFERROR(Y322/H322,"0")+IFERROR(Y323/H323,"0")+IFERROR(Y324/H324,"0")</f>
        <v>104</v>
      </c>
      <c r="Z325" s="41">
        <f>IFERROR(IF(Z322="",0,Z322),"0")+IFERROR(IF(Z323="",0,Z323),"0")+IFERROR(IF(Z324="",0,Z324),"0")</f>
        <v>1.9739200000000001</v>
      </c>
      <c r="AA325" s="64"/>
      <c r="AB325" s="64"/>
      <c r="AC325" s="64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835.19999999999993</v>
      </c>
      <c r="Y326" s="41">
        <f>IFERROR(SUM(Y322:Y324),"0")</f>
        <v>835.19999999999993</v>
      </c>
      <c r="Z326" s="40"/>
      <c r="AA326" s="64"/>
      <c r="AB326" s="64"/>
      <c r="AC326" s="64"/>
    </row>
    <row r="327" spans="1:68" ht="14.25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IFERROR(IF(Y342=0,"",ROUNDUP(Y342/H342,0)*0.01898),"")</f>
        <v/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x14ac:dyDescent="0.2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27.75" customHeight="1" x14ac:dyDescent="0.2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720</v>
      </c>
      <c r="Y350" s="53">
        <f t="shared" ref="Y350:Y356" si="37">IFERROR(IF(X350="",0,CEILING((X350/$H350),1)*$H350),"")</f>
        <v>720</v>
      </c>
      <c r="Z350" s="39">
        <f>IFERROR(IF(Y350=0,"",ROUNDUP(Y350/H350,0)*0.02175),"")</f>
        <v>1.044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742.56</v>
      </c>
      <c r="BN350" s="75">
        <f t="shared" ref="BN350:BN356" si="39">IFERROR(Y350*I350/H350,"0")</f>
        <v>742.56</v>
      </c>
      <c r="BO350" s="75">
        <f t="shared" ref="BO350:BO356" si="40">IFERROR(1/J350*(X350/H350),"0")</f>
        <v>1</v>
      </c>
      <c r="BP350" s="75">
        <f t="shared" ref="BP350:BP356" si="41">IFERROR(1/J350*(Y350/H350),"0")</f>
        <v>1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810</v>
      </c>
      <c r="Y352" s="53">
        <f t="shared" si="37"/>
        <v>810</v>
      </c>
      <c r="Z352" s="39">
        <f>IFERROR(IF(Y352=0,"",ROUNDUP(Y352/H352,0)*0.02175),"")</f>
        <v>1.1744999999999999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835.38</v>
      </c>
      <c r="BN352" s="75">
        <f t="shared" si="39"/>
        <v>835.38</v>
      </c>
      <c r="BO352" s="75">
        <f t="shared" si="40"/>
        <v>1.125</v>
      </c>
      <c r="BP352" s="75">
        <f t="shared" si="41"/>
        <v>1.125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118</v>
      </c>
      <c r="Y357" s="41">
        <f>IFERROR(Y350/H350,"0")+IFERROR(Y351/H351,"0")+IFERROR(Y352/H352,"0")+IFERROR(Y353/H353,"0")+IFERROR(Y354/H354,"0")+IFERROR(Y355/H355,"0")+IFERROR(Y356/H356,"0")</f>
        <v>118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2.5664999999999996</v>
      </c>
      <c r="AA357" s="64"/>
      <c r="AB357" s="64"/>
      <c r="AC357" s="64"/>
    </row>
    <row r="358" spans="1:68" x14ac:dyDescent="0.2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1770</v>
      </c>
      <c r="Y358" s="41">
        <f>IFERROR(SUM(Y350:Y356),"0")</f>
        <v>1770</v>
      </c>
      <c r="Z358" s="40"/>
      <c r="AA358" s="64"/>
      <c r="AB358" s="64"/>
      <c r="AC358" s="64"/>
    </row>
    <row r="359" spans="1:68" ht="14.25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360</v>
      </c>
      <c r="Y360" s="53">
        <f>IFERROR(IF(X360="",0,CEILING((X360/$H360),1)*$H360),"")</f>
        <v>360</v>
      </c>
      <c r="Z360" s="39">
        <f>IFERROR(IF(Y360=0,"",ROUNDUP(Y360/H360,0)*0.02175),"")</f>
        <v>0.52200000000000002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371.28</v>
      </c>
      <c r="BN360" s="75">
        <f>IFERROR(Y360*I360/H360,"0")</f>
        <v>371.28</v>
      </c>
      <c r="BO360" s="75">
        <f>IFERROR(1/J360*(X360/H360),"0")</f>
        <v>0.5</v>
      </c>
      <c r="BP360" s="75">
        <f>IFERROR(1/J360*(Y360/H360),"0")</f>
        <v>0.5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24</v>
      </c>
      <c r="Y362" s="41">
        <f>IFERROR(Y360/H360,"0")+IFERROR(Y361/H361,"0")</f>
        <v>24</v>
      </c>
      <c r="Z362" s="41">
        <f>IFERROR(IF(Z360="",0,Z360),"0")+IFERROR(IF(Z361="",0,Z361),"0")</f>
        <v>0.52200000000000002</v>
      </c>
      <c r="AA362" s="64"/>
      <c r="AB362" s="64"/>
      <c r="AC362" s="64"/>
    </row>
    <row r="363" spans="1:68" x14ac:dyDescent="0.2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360</v>
      </c>
      <c r="Y363" s="41">
        <f>IFERROR(SUM(Y360:Y361),"0")</f>
        <v>360</v>
      </c>
      <c r="Z363" s="40"/>
      <c r="AA363" s="64"/>
      <c r="AB363" s="64"/>
      <c r="AC363" s="64"/>
    </row>
    <row r="364" spans="1:68" ht="14.25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144</v>
      </c>
      <c r="Y370" s="53">
        <f>IFERROR(IF(X370="",0,CEILING((X370/$H370),1)*$H370),"")</f>
        <v>144</v>
      </c>
      <c r="Z370" s="39">
        <f>IFERROR(IF(Y370=0,"",ROUNDUP(Y370/H370,0)*0.01898),"")</f>
        <v>0.30368000000000001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151.904</v>
      </c>
      <c r="BN370" s="75">
        <f>IFERROR(Y370*I370/H370,"0")</f>
        <v>151.904</v>
      </c>
      <c r="BO370" s="75">
        <f>IFERROR(1/J370*(X370/H370),"0")</f>
        <v>0.25</v>
      </c>
      <c r="BP370" s="75">
        <f>IFERROR(1/J370*(Y370/H370),"0")</f>
        <v>0.25</v>
      </c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16</v>
      </c>
      <c r="Y371" s="41">
        <f>IFERROR(Y370/H370,"0")</f>
        <v>16</v>
      </c>
      <c r="Z371" s="41">
        <f>IFERROR(IF(Z370="",0,Z370),"0")</f>
        <v>0.30368000000000001</v>
      </c>
      <c r="AA371" s="64"/>
      <c r="AB371" s="64"/>
      <c r="AC371" s="64"/>
    </row>
    <row r="372" spans="1:68" x14ac:dyDescent="0.2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144</v>
      </c>
      <c r="Y372" s="41">
        <f>IFERROR(SUM(Y370:Y370),"0")</f>
        <v>144</v>
      </c>
      <c r="Z372" s="40"/>
      <c r="AA372" s="64"/>
      <c r="AB372" s="64"/>
      <c r="AC372" s="64"/>
    </row>
    <row r="373" spans="1:68" ht="16.5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x14ac:dyDescent="0.2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288</v>
      </c>
      <c r="Y384" s="53">
        <f>IFERROR(IF(X384="",0,CEILING((X384/$H384),1)*$H384),"")</f>
        <v>288</v>
      </c>
      <c r="Z384" s="39">
        <f>IFERROR(IF(Y384=0,"",ROUNDUP(Y384/H384,0)*0.01898),"")</f>
        <v>0.60736000000000001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303.80799999999999</v>
      </c>
      <c r="BN384" s="75">
        <f>IFERROR(Y384*I384/H384,"0")</f>
        <v>303.80799999999999</v>
      </c>
      <c r="BO384" s="75">
        <f>IFERROR(1/J384*(X384/H384),"0")</f>
        <v>0.5</v>
      </c>
      <c r="BP384" s="75">
        <f>IFERROR(1/J384*(Y384/H384),"0")</f>
        <v>0.5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86.4</v>
      </c>
      <c r="Y385" s="53">
        <f>IFERROR(IF(X385="",0,CEILING((X385/$H385),1)*$H385),"")</f>
        <v>86.399999999999991</v>
      </c>
      <c r="Z385" s="39">
        <f>IFERROR(IF(Y385=0,"",ROUNDUP(Y385/H385,0)*0.00651),"")</f>
        <v>0.23436000000000001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95.904000000000011</v>
      </c>
      <c r="BN385" s="75">
        <f>IFERROR(Y385*I385/H385,"0")</f>
        <v>95.904000000000011</v>
      </c>
      <c r="BO385" s="75">
        <f>IFERROR(1/J385*(X385/H385),"0")</f>
        <v>0.19780219780219785</v>
      </c>
      <c r="BP385" s="75">
        <f>IFERROR(1/J385*(Y385/H385),"0")</f>
        <v>0.19780219780219782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68</v>
      </c>
      <c r="Y387" s="41">
        <f>IFERROR(Y384/H384,"0")+IFERROR(Y385/H385,"0")+IFERROR(Y386/H386,"0")</f>
        <v>68</v>
      </c>
      <c r="Z387" s="41">
        <f>IFERROR(IF(Z384="",0,Z384),"0")+IFERROR(IF(Z385="",0,Z385),"0")+IFERROR(IF(Z386="",0,Z386),"0")</f>
        <v>0.84172000000000002</v>
      </c>
      <c r="AA387" s="64"/>
      <c r="AB387" s="64"/>
      <c r="AC387" s="64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374.4</v>
      </c>
      <c r="Y388" s="41">
        <f>IFERROR(SUM(Y384:Y386),"0")</f>
        <v>374.4</v>
      </c>
      <c r="Z388" s="40"/>
      <c r="AA388" s="64"/>
      <c r="AB388" s="64"/>
      <c r="AC388" s="64"/>
    </row>
    <row r="389" spans="1:68" ht="27.75" customHeight="1" x14ac:dyDescent="0.2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126.72</v>
      </c>
      <c r="Y431" s="53">
        <f t="shared" si="48"/>
        <v>126.72</v>
      </c>
      <c r="Z431" s="39">
        <f t="shared" si="49"/>
        <v>0.28704000000000002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135.11999999999998</v>
      </c>
      <c r="BN431" s="75">
        <f t="shared" si="51"/>
        <v>135.11999999999998</v>
      </c>
      <c r="BO431" s="75">
        <f t="shared" si="52"/>
        <v>0.23076923076923078</v>
      </c>
      <c r="BP431" s="75">
        <f t="shared" si="53"/>
        <v>0.23076923076923078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295.68</v>
      </c>
      <c r="Y433" s="53">
        <f t="shared" si="48"/>
        <v>295.68</v>
      </c>
      <c r="Z433" s="39">
        <f t="shared" si="49"/>
        <v>0.66976000000000002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315.27999999999997</v>
      </c>
      <c r="BN433" s="75">
        <f t="shared" si="51"/>
        <v>315.27999999999997</v>
      </c>
      <c r="BO433" s="75">
        <f t="shared" si="52"/>
        <v>0.53846153846153855</v>
      </c>
      <c r="BP433" s="75">
        <f t="shared" si="53"/>
        <v>0.53846153846153855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80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80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0.95680000000000009</v>
      </c>
      <c r="AA439" s="64"/>
      <c r="AB439" s="64"/>
      <c r="AC439" s="64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422.4</v>
      </c>
      <c r="Y440" s="41">
        <f>IFERROR(SUM(Y427:Y438),"0")</f>
        <v>422.4</v>
      </c>
      <c r="Z440" s="40"/>
      <c r="AA440" s="64"/>
      <c r="AB440" s="64"/>
      <c r="AC440" s="64"/>
    </row>
    <row r="441" spans="1:68" ht="14.25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42.24</v>
      </c>
      <c r="Y442" s="53">
        <f>IFERROR(IF(X442="",0,CEILING((X442/$H442),1)*$H442),"")</f>
        <v>42.24</v>
      </c>
      <c r="Z442" s="39">
        <f>IFERROR(IF(Y442=0,"",ROUNDUP(Y442/H442,0)*0.01196),"")</f>
        <v>9.5680000000000001E-2</v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45.04</v>
      </c>
      <c r="BN442" s="75">
        <f>IFERROR(Y442*I442/H442,"0")</f>
        <v>45.04</v>
      </c>
      <c r="BO442" s="75">
        <f>IFERROR(1/J442*(X442/H442),"0")</f>
        <v>7.6923076923076927E-2</v>
      </c>
      <c r="BP442" s="75">
        <f>IFERROR(1/J442*(Y442/H442),"0")</f>
        <v>7.6923076923076927E-2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8</v>
      </c>
      <c r="Y445" s="41">
        <f>IFERROR(Y442/H442,"0")+IFERROR(Y443/H443,"0")+IFERROR(Y444/H444,"0")</f>
        <v>8</v>
      </c>
      <c r="Z445" s="41">
        <f>IFERROR(IF(Z442="",0,Z442),"0")+IFERROR(IF(Z443="",0,Z443),"0")+IFERROR(IF(Z444="",0,Z444),"0")</f>
        <v>9.5680000000000001E-2</v>
      </c>
      <c r="AA445" s="64"/>
      <c r="AB445" s="64"/>
      <c r="AC445" s="64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42.24</v>
      </c>
      <c r="Y446" s="41">
        <f>IFERROR(SUM(Y442:Y444),"0")</f>
        <v>42.24</v>
      </c>
      <c r="Z446" s="40"/>
      <c r="AA446" s="64"/>
      <c r="AB446" s="64"/>
      <c r="AC446" s="64"/>
    </row>
    <row r="447" spans="1:68" ht="14.25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42.24</v>
      </c>
      <c r="Y448" s="53">
        <f t="shared" ref="Y448:Y454" si="54">IFERROR(IF(X448="",0,CEILING((X448/$H448),1)*$H448),"")</f>
        <v>42.24</v>
      </c>
      <c r="Z448" s="39">
        <f>IFERROR(IF(Y448=0,"",ROUNDUP(Y448/H448,0)*0.01196),"")</f>
        <v>9.5680000000000001E-2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45.04</v>
      </c>
      <c r="BN448" s="75">
        <f t="shared" ref="BN448:BN454" si="56">IFERROR(Y448*I448/H448,"0")</f>
        <v>45.04</v>
      </c>
      <c r="BO448" s="75">
        <f t="shared" ref="BO448:BO454" si="57">IFERROR(1/J448*(X448/H448),"0")</f>
        <v>7.6923076923076927E-2</v>
      </c>
      <c r="BP448" s="75">
        <f t="shared" ref="BP448:BP454" si="58">IFERROR(1/J448*(Y448/H448),"0")</f>
        <v>7.6923076923076927E-2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32</v>
      </c>
      <c r="Y455" s="41">
        <f>IFERROR(Y448/H448,"0")+IFERROR(Y449/H449,"0")+IFERROR(Y450/H450,"0")+IFERROR(Y451/H451,"0")+IFERROR(Y452/H452,"0")+IFERROR(Y453/H453,"0")+IFERROR(Y454/H454,"0")</f>
        <v>32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0.38272</v>
      </c>
      <c r="AA455" s="64"/>
      <c r="AB455" s="64"/>
      <c r="AC455" s="64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168.96</v>
      </c>
      <c r="Y456" s="41">
        <f>IFERROR(SUM(Y448:Y454),"0")</f>
        <v>168.96</v>
      </c>
      <c r="Z456" s="40"/>
      <c r="AA456" s="64"/>
      <c r="AB456" s="64"/>
      <c r="AC456" s="64"/>
    </row>
    <row r="457" spans="1:68" ht="27.75" customHeight="1" x14ac:dyDescent="0.2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9497.5999999999967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9497.5999999999985</v>
      </c>
      <c r="Z488" s="40"/>
      <c r="AA488" s="64"/>
      <c r="AB488" s="64"/>
      <c r="AC488" s="64"/>
    </row>
    <row r="489" spans="1:68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9959.4240000000063</v>
      </c>
      <c r="Y489" s="41">
        <f>IFERROR(SUM(BN22:BN485),"0")</f>
        <v>9959.4240000000063</v>
      </c>
      <c r="Z489" s="40"/>
      <c r="AA489" s="64"/>
      <c r="AB489" s="64"/>
      <c r="AC489" s="64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16</v>
      </c>
      <c r="Y490" s="42">
        <f>ROUNDUP(SUM(BP22:BP485),0)</f>
        <v>16</v>
      </c>
      <c r="Z490" s="40"/>
      <c r="AA490" s="64"/>
      <c r="AB490" s="64"/>
      <c r="AC490" s="64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10359.424000000006</v>
      </c>
      <c r="Y491" s="41">
        <f>GrossWeightTotalR+PalletQtyTotalR*25</f>
        <v>10359.424000000006</v>
      </c>
      <c r="Z491" s="40"/>
      <c r="AA491" s="64"/>
      <c r="AB491" s="64"/>
      <c r="AC491" s="64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1290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1290</v>
      </c>
      <c r="Z492" s="40"/>
      <c r="AA492" s="64"/>
      <c r="AB492" s="64"/>
      <c r="AC492" s="64"/>
    </row>
    <row r="493" spans="1:68" ht="14.25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18.217100000000002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5" thickBot="1" x14ac:dyDescent="0.25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1209.6000000000001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876.80000000000007</v>
      </c>
      <c r="E498" s="50">
        <f>IFERROR(Y86*1,"0")+IFERROR(Y87*1,"0")+IFERROR(Y88*1,"0")+IFERROR(Y89*1,"0")+IFERROR(Y93*1,"0")+IFERROR(Y94*1,"0")+IFERROR(Y95*1,"0")+IFERROR(Y96*1,"0")</f>
        <v>702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939.6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277.20000000000005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1202.4000000000001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172.79999999999998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835.19999999999993</v>
      </c>
      <c r="R498" s="50">
        <f>IFERROR(Y342*1,"0")+IFERROR(Y343*1,"0")+IFERROR(Y344*1,"0")</f>
        <v>0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2274</v>
      </c>
      <c r="T498" s="50">
        <f>IFERROR(Y375*1,"0")+IFERROR(Y376*1,"0")+IFERROR(Y380*1,"0")+IFERROR(Y384*1,"0")+IFERROR(Y385*1,"0")+IFERROR(Y386*1,"0")</f>
        <v>374.4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633.6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988</vt:i4>
      </vt:variant>
    </vt:vector>
  </HeadingPairs>
  <TitlesOfParts>
    <vt:vector size="99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2026-07-28T11:15:14Z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