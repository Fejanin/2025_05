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CB49A09-8FD2-48D9-92CB-54AD76DD8D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30" i="1" l="1"/>
  <c r="AF126" i="1"/>
  <c r="AF111" i="1"/>
  <c r="AF99" i="1"/>
  <c r="AF96" i="1"/>
  <c r="AF40" i="1"/>
  <c r="Q134" i="1"/>
  <c r="T134" i="1" s="1"/>
  <c r="L134" i="1"/>
  <c r="Q133" i="1"/>
  <c r="L133" i="1"/>
  <c r="AF132" i="1"/>
  <c r="Q132" i="1"/>
  <c r="T132" i="1" s="1"/>
  <c r="L132" i="1"/>
  <c r="Q131" i="1"/>
  <c r="L131" i="1"/>
  <c r="Q130" i="1"/>
  <c r="T130" i="1" s="1"/>
  <c r="L130" i="1"/>
  <c r="Q129" i="1"/>
  <c r="L129" i="1"/>
  <c r="Q128" i="1"/>
  <c r="T128" i="1" s="1"/>
  <c r="L128" i="1"/>
  <c r="F127" i="1"/>
  <c r="E127" i="1"/>
  <c r="L127" i="1" s="1"/>
  <c r="Q126" i="1"/>
  <c r="T126" i="1" s="1"/>
  <c r="L126" i="1"/>
  <c r="Q125" i="1"/>
  <c r="L125" i="1"/>
  <c r="Q124" i="1"/>
  <c r="T124" i="1" s="1"/>
  <c r="L124" i="1"/>
  <c r="Q123" i="1"/>
  <c r="L123" i="1"/>
  <c r="Q122" i="1"/>
  <c r="T122" i="1" s="1"/>
  <c r="L122" i="1"/>
  <c r="Q121" i="1"/>
  <c r="T121" i="1" s="1"/>
  <c r="L121" i="1"/>
  <c r="Q120" i="1"/>
  <c r="T120" i="1" s="1"/>
  <c r="L120" i="1"/>
  <c r="Q119" i="1"/>
  <c r="T119" i="1" s="1"/>
  <c r="L119" i="1"/>
  <c r="Q118" i="1"/>
  <c r="L118" i="1"/>
  <c r="Q117" i="1"/>
  <c r="T117" i="1" s="1"/>
  <c r="L117" i="1"/>
  <c r="Q116" i="1"/>
  <c r="T116" i="1" s="1"/>
  <c r="L116" i="1"/>
  <c r="Q115" i="1"/>
  <c r="S115" i="1" s="1"/>
  <c r="L115" i="1"/>
  <c r="Q114" i="1"/>
  <c r="T114" i="1" s="1"/>
  <c r="L114" i="1"/>
  <c r="Q113" i="1"/>
  <c r="L113" i="1"/>
  <c r="Q112" i="1"/>
  <c r="L112" i="1"/>
  <c r="Q111" i="1"/>
  <c r="T111" i="1" s="1"/>
  <c r="L111" i="1"/>
  <c r="Q110" i="1"/>
  <c r="T110" i="1" s="1"/>
  <c r="L110" i="1"/>
  <c r="Q109" i="1"/>
  <c r="T109" i="1" s="1"/>
  <c r="L109" i="1"/>
  <c r="Q108" i="1"/>
  <c r="L108" i="1"/>
  <c r="Q107" i="1"/>
  <c r="T107" i="1" s="1"/>
  <c r="L107" i="1"/>
  <c r="Q106" i="1"/>
  <c r="T106" i="1" s="1"/>
  <c r="L106" i="1"/>
  <c r="Q105" i="1"/>
  <c r="L105" i="1"/>
  <c r="Q104" i="1"/>
  <c r="T104" i="1" s="1"/>
  <c r="L104" i="1"/>
  <c r="Q103" i="1"/>
  <c r="L103" i="1"/>
  <c r="Q102" i="1"/>
  <c r="T102" i="1" s="1"/>
  <c r="L102" i="1"/>
  <c r="Q101" i="1"/>
  <c r="T101" i="1" s="1"/>
  <c r="L101" i="1"/>
  <c r="Q100" i="1"/>
  <c r="L100" i="1"/>
  <c r="Q99" i="1"/>
  <c r="T99" i="1" s="1"/>
  <c r="L99" i="1"/>
  <c r="Q98" i="1"/>
  <c r="L98" i="1"/>
  <c r="Q97" i="1"/>
  <c r="L97" i="1"/>
  <c r="Q96" i="1"/>
  <c r="T96" i="1" s="1"/>
  <c r="L96" i="1"/>
  <c r="Q95" i="1"/>
  <c r="T95" i="1" s="1"/>
  <c r="L95" i="1"/>
  <c r="Q94" i="1"/>
  <c r="T94" i="1" s="1"/>
  <c r="L94" i="1"/>
  <c r="Q93" i="1"/>
  <c r="T93" i="1" s="1"/>
  <c r="L93" i="1"/>
  <c r="Q92" i="1"/>
  <c r="L92" i="1"/>
  <c r="Q91" i="1"/>
  <c r="T91" i="1" s="1"/>
  <c r="L91" i="1"/>
  <c r="Q90" i="1"/>
  <c r="T90" i="1" s="1"/>
  <c r="L90" i="1"/>
  <c r="Q89" i="1"/>
  <c r="L89" i="1"/>
  <c r="Q88" i="1"/>
  <c r="T88" i="1" s="1"/>
  <c r="L88" i="1"/>
  <c r="Q87" i="1"/>
  <c r="T87" i="1" s="1"/>
  <c r="L87" i="1"/>
  <c r="Q86" i="1"/>
  <c r="L86" i="1"/>
  <c r="Q85" i="1"/>
  <c r="T85" i="1" s="1"/>
  <c r="L85" i="1"/>
  <c r="Q84" i="1"/>
  <c r="L84" i="1"/>
  <c r="Q83" i="1"/>
  <c r="T83" i="1" s="1"/>
  <c r="L83" i="1"/>
  <c r="Q82" i="1"/>
  <c r="L82" i="1"/>
  <c r="Q81" i="1"/>
  <c r="L81" i="1"/>
  <c r="Q80" i="1"/>
  <c r="L80" i="1"/>
  <c r="Q79" i="1"/>
  <c r="T79" i="1" s="1"/>
  <c r="L79" i="1"/>
  <c r="Q78" i="1"/>
  <c r="L78" i="1"/>
  <c r="Q77" i="1"/>
  <c r="T77" i="1" s="1"/>
  <c r="L77" i="1"/>
  <c r="Q76" i="1"/>
  <c r="L76" i="1"/>
  <c r="Q75" i="1"/>
  <c r="T75" i="1" s="1"/>
  <c r="L75" i="1"/>
  <c r="Q74" i="1"/>
  <c r="L74" i="1"/>
  <c r="Q73" i="1"/>
  <c r="T73" i="1" s="1"/>
  <c r="L73" i="1"/>
  <c r="Q72" i="1"/>
  <c r="L72" i="1"/>
  <c r="Q71" i="1"/>
  <c r="T71" i="1" s="1"/>
  <c r="L71" i="1"/>
  <c r="Q70" i="1"/>
  <c r="L70" i="1"/>
  <c r="AF69" i="1"/>
  <c r="Q69" i="1"/>
  <c r="T69" i="1" s="1"/>
  <c r="L69" i="1"/>
  <c r="Q68" i="1"/>
  <c r="L68" i="1"/>
  <c r="Q67" i="1"/>
  <c r="T67" i="1" s="1"/>
  <c r="L67" i="1"/>
  <c r="Q66" i="1"/>
  <c r="L66" i="1"/>
  <c r="Q65" i="1"/>
  <c r="L65" i="1"/>
  <c r="Q64" i="1"/>
  <c r="L64" i="1"/>
  <c r="Q63" i="1"/>
  <c r="T63" i="1" s="1"/>
  <c r="L63" i="1"/>
  <c r="Q62" i="1"/>
  <c r="L62" i="1"/>
  <c r="Q61" i="1"/>
  <c r="T61" i="1" s="1"/>
  <c r="L61" i="1"/>
  <c r="Q60" i="1"/>
  <c r="L60" i="1"/>
  <c r="Q59" i="1"/>
  <c r="T59" i="1" s="1"/>
  <c r="L59" i="1"/>
  <c r="Q58" i="1"/>
  <c r="T58" i="1" s="1"/>
  <c r="L58" i="1"/>
  <c r="Q57" i="1"/>
  <c r="L57" i="1"/>
  <c r="Q56" i="1"/>
  <c r="T56" i="1" s="1"/>
  <c r="L56" i="1"/>
  <c r="Q55" i="1"/>
  <c r="L55" i="1"/>
  <c r="Q54" i="1"/>
  <c r="T54" i="1" s="1"/>
  <c r="L54" i="1"/>
  <c r="Q53" i="1"/>
  <c r="L53" i="1"/>
  <c r="AF52" i="1"/>
  <c r="Q52" i="1"/>
  <c r="T52" i="1" s="1"/>
  <c r="L52" i="1"/>
  <c r="Q51" i="1"/>
  <c r="L51" i="1"/>
  <c r="Q50" i="1"/>
  <c r="T50" i="1" s="1"/>
  <c r="L50" i="1"/>
  <c r="Q49" i="1"/>
  <c r="L49" i="1"/>
  <c r="Q48" i="1"/>
  <c r="T48" i="1" s="1"/>
  <c r="L48" i="1"/>
  <c r="Q47" i="1"/>
  <c r="L47" i="1"/>
  <c r="Q46" i="1"/>
  <c r="T46" i="1" s="1"/>
  <c r="L46" i="1"/>
  <c r="Q45" i="1"/>
  <c r="L45" i="1"/>
  <c r="Q44" i="1"/>
  <c r="T44" i="1" s="1"/>
  <c r="L44" i="1"/>
  <c r="Q43" i="1"/>
  <c r="L43" i="1"/>
  <c r="Q42" i="1"/>
  <c r="T42" i="1" s="1"/>
  <c r="L42" i="1"/>
  <c r="Q41" i="1"/>
  <c r="L41" i="1"/>
  <c r="Q40" i="1"/>
  <c r="T40" i="1" s="1"/>
  <c r="L40" i="1"/>
  <c r="Q39" i="1"/>
  <c r="L39" i="1"/>
  <c r="Q38" i="1"/>
  <c r="T38" i="1" s="1"/>
  <c r="L38" i="1"/>
  <c r="Q37" i="1"/>
  <c r="L37" i="1"/>
  <c r="Q36" i="1"/>
  <c r="S36" i="1" s="1"/>
  <c r="L36" i="1"/>
  <c r="Q35" i="1"/>
  <c r="S35" i="1" s="1"/>
  <c r="L35" i="1"/>
  <c r="AF34" i="1"/>
  <c r="Q34" i="1"/>
  <c r="T34" i="1" s="1"/>
  <c r="L34" i="1"/>
  <c r="Q33" i="1"/>
  <c r="T33" i="1" s="1"/>
  <c r="L33" i="1"/>
  <c r="Q32" i="1"/>
  <c r="L32" i="1"/>
  <c r="Q31" i="1"/>
  <c r="S31" i="1" s="1"/>
  <c r="L31" i="1"/>
  <c r="Q30" i="1"/>
  <c r="S30" i="1" s="1"/>
  <c r="L30" i="1"/>
  <c r="Q29" i="1"/>
  <c r="T29" i="1" s="1"/>
  <c r="L29" i="1"/>
  <c r="Q28" i="1"/>
  <c r="L28" i="1"/>
  <c r="Q27" i="1"/>
  <c r="T27" i="1" s="1"/>
  <c r="L27" i="1"/>
  <c r="Q26" i="1"/>
  <c r="L26" i="1"/>
  <c r="Q25" i="1"/>
  <c r="T25" i="1" s="1"/>
  <c r="L25" i="1"/>
  <c r="Q24" i="1"/>
  <c r="T24" i="1" s="1"/>
  <c r="L24" i="1"/>
  <c r="Q23" i="1"/>
  <c r="L23" i="1"/>
  <c r="Q22" i="1"/>
  <c r="T22" i="1" s="1"/>
  <c r="L22" i="1"/>
  <c r="Q21" i="1"/>
  <c r="L21" i="1"/>
  <c r="Q20" i="1"/>
  <c r="T20" i="1" s="1"/>
  <c r="L20" i="1"/>
  <c r="Q19" i="1"/>
  <c r="L19" i="1"/>
  <c r="Q18" i="1"/>
  <c r="T18" i="1" s="1"/>
  <c r="L18" i="1"/>
  <c r="Q17" i="1"/>
  <c r="L17" i="1"/>
  <c r="Q16" i="1"/>
  <c r="T16" i="1" s="1"/>
  <c r="L16" i="1"/>
  <c r="Q15" i="1"/>
  <c r="T15" i="1" s="1"/>
  <c r="L15" i="1"/>
  <c r="Q14" i="1"/>
  <c r="L14" i="1"/>
  <c r="Q13" i="1"/>
  <c r="T13" i="1" s="1"/>
  <c r="L13" i="1"/>
  <c r="Q12" i="1"/>
  <c r="L12" i="1"/>
  <c r="Q11" i="1"/>
  <c r="T11" i="1" s="1"/>
  <c r="L11" i="1"/>
  <c r="Q10" i="1"/>
  <c r="L10" i="1"/>
  <c r="Q9" i="1"/>
  <c r="S9" i="1" s="1"/>
  <c r="L9" i="1"/>
  <c r="Q8" i="1"/>
  <c r="T8" i="1" s="1"/>
  <c r="L8" i="1"/>
  <c r="Q7" i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T105" i="1" l="1"/>
  <c r="R105" i="1"/>
  <c r="T65" i="1"/>
  <c r="R65" i="1"/>
  <c r="S121" i="1"/>
  <c r="T81" i="1"/>
  <c r="R81" i="1"/>
  <c r="R8" i="1"/>
  <c r="R102" i="1"/>
  <c r="AF102" i="1" s="1"/>
  <c r="R77" i="1"/>
  <c r="AF77" i="1" s="1"/>
  <c r="R18" i="1"/>
  <c r="AF18" i="1" s="1"/>
  <c r="R56" i="1"/>
  <c r="AF56" i="1" s="1"/>
  <c r="AF85" i="1"/>
  <c r="L5" i="1"/>
  <c r="R27" i="1"/>
  <c r="AF65" i="1"/>
  <c r="R122" i="1"/>
  <c r="AF122" i="1" s="1"/>
  <c r="S95" i="1"/>
  <c r="R13" i="1"/>
  <c r="R22" i="1"/>
  <c r="AF22" i="1" s="1"/>
  <c r="AF61" i="1"/>
  <c r="R73" i="1"/>
  <c r="AF73" i="1" s="1"/>
  <c r="AF81" i="1"/>
  <c r="R91" i="1"/>
  <c r="R107" i="1"/>
  <c r="R124" i="1"/>
  <c r="AF128" i="1"/>
  <c r="R29" i="1"/>
  <c r="AF29" i="1" s="1"/>
  <c r="R7" i="1"/>
  <c r="AF7" i="1" s="1"/>
  <c r="R10" i="1"/>
  <c r="AF10" i="1" s="1"/>
  <c r="R12" i="1"/>
  <c r="AF12" i="1" s="1"/>
  <c r="R14" i="1"/>
  <c r="AF14" i="1" s="1"/>
  <c r="R17" i="1"/>
  <c r="AF17" i="1" s="1"/>
  <c r="R19" i="1"/>
  <c r="AF19" i="1" s="1"/>
  <c r="R21" i="1"/>
  <c r="AF21" i="1" s="1"/>
  <c r="AF26" i="1"/>
  <c r="AF28" i="1"/>
  <c r="AF37" i="1"/>
  <c r="AF39" i="1"/>
  <c r="AF49" i="1"/>
  <c r="R51" i="1"/>
  <c r="AF51" i="1" s="1"/>
  <c r="AF53" i="1"/>
  <c r="AF55" i="1"/>
  <c r="R60" i="1"/>
  <c r="AF60" i="1" s="1"/>
  <c r="AF62" i="1"/>
  <c r="R64" i="1"/>
  <c r="AF64" i="1" s="1"/>
  <c r="R66" i="1"/>
  <c r="AF66" i="1" s="1"/>
  <c r="R68" i="1"/>
  <c r="AF68" i="1" s="1"/>
  <c r="R70" i="1"/>
  <c r="AF70" i="1" s="1"/>
  <c r="AF72" i="1"/>
  <c r="R74" i="1"/>
  <c r="AF74" i="1" s="1"/>
  <c r="R76" i="1"/>
  <c r="AF76" i="1" s="1"/>
  <c r="R78" i="1"/>
  <c r="AF78" i="1" s="1"/>
  <c r="R80" i="1"/>
  <c r="AF80" i="1" s="1"/>
  <c r="R82" i="1"/>
  <c r="AF82" i="1" s="1"/>
  <c r="R84" i="1"/>
  <c r="AF84" i="1" s="1"/>
  <c r="AF86" i="1"/>
  <c r="R89" i="1"/>
  <c r="AF89" i="1" s="1"/>
  <c r="R92" i="1"/>
  <c r="AF92" i="1" s="1"/>
  <c r="T98" i="1"/>
  <c r="S98" i="1"/>
  <c r="R108" i="1"/>
  <c r="AF108" i="1" s="1"/>
  <c r="T108" i="1"/>
  <c r="R118" i="1"/>
  <c r="AF118" i="1" s="1"/>
  <c r="T118" i="1"/>
  <c r="R125" i="1"/>
  <c r="AF125" i="1" s="1"/>
  <c r="AF129" i="1"/>
  <c r="R133" i="1"/>
  <c r="AF133" i="1" s="1"/>
  <c r="AF44" i="1"/>
  <c r="AF48" i="1"/>
  <c r="S102" i="1"/>
  <c r="R23" i="1"/>
  <c r="AF23" i="1" s="1"/>
  <c r="S24" i="1"/>
  <c r="S32" i="1"/>
  <c r="AF32" i="1"/>
  <c r="S33" i="1"/>
  <c r="R41" i="1"/>
  <c r="AF41" i="1" s="1"/>
  <c r="AF43" i="1"/>
  <c r="AF45" i="1"/>
  <c r="R47" i="1"/>
  <c r="AF47" i="1" s="1"/>
  <c r="R57" i="1"/>
  <c r="AF57" i="1" s="1"/>
  <c r="S58" i="1"/>
  <c r="T92" i="1"/>
  <c r="S111" i="1"/>
  <c r="S112" i="1"/>
  <c r="T112" i="1"/>
  <c r="R123" i="1"/>
  <c r="AF123" i="1" s="1"/>
  <c r="R131" i="1"/>
  <c r="AF131" i="1" s="1"/>
  <c r="R6" i="1"/>
  <c r="AF6" i="1" s="1"/>
  <c r="R11" i="1"/>
  <c r="AF11" i="1" s="1"/>
  <c r="R16" i="1"/>
  <c r="R20" i="1"/>
  <c r="R25" i="1"/>
  <c r="AF25" i="1" s="1"/>
  <c r="R38" i="1"/>
  <c r="R42" i="1"/>
  <c r="R50" i="1"/>
  <c r="R54" i="1"/>
  <c r="R59" i="1"/>
  <c r="AF59" i="1" s="1"/>
  <c r="R63" i="1"/>
  <c r="AF63" i="1" s="1"/>
  <c r="AF67" i="1"/>
  <c r="R71" i="1"/>
  <c r="AF71" i="1" s="1"/>
  <c r="R75" i="1"/>
  <c r="AF75" i="1" s="1"/>
  <c r="R79" i="1"/>
  <c r="AF79" i="1" s="1"/>
  <c r="AF83" i="1"/>
  <c r="R88" i="1"/>
  <c r="R93" i="1"/>
  <c r="R114" i="1"/>
  <c r="AF94" i="1"/>
  <c r="R97" i="1"/>
  <c r="AF97" i="1" s="1"/>
  <c r="R100" i="1"/>
  <c r="AF100" i="1" s="1"/>
  <c r="AF103" i="1"/>
  <c r="R106" i="1"/>
  <c r="AF106" i="1" s="1"/>
  <c r="AF110" i="1"/>
  <c r="AF113" i="1"/>
  <c r="AF116" i="1"/>
  <c r="AF120" i="1"/>
  <c r="F5" i="1"/>
  <c r="S15" i="1"/>
  <c r="S34" i="1"/>
  <c r="S40" i="1"/>
  <c r="S44" i="1"/>
  <c r="S52" i="1"/>
  <c r="T60" i="1"/>
  <c r="S61" i="1"/>
  <c r="T62" i="1"/>
  <c r="S63" i="1"/>
  <c r="T64" i="1"/>
  <c r="T66" i="1"/>
  <c r="S67" i="1"/>
  <c r="T68" i="1"/>
  <c r="S69" i="1"/>
  <c r="T70" i="1"/>
  <c r="S71" i="1"/>
  <c r="T72" i="1"/>
  <c r="T74" i="1"/>
  <c r="T76" i="1"/>
  <c r="T78" i="1"/>
  <c r="S79" i="1"/>
  <c r="T80" i="1"/>
  <c r="S81" i="1"/>
  <c r="T82" i="1"/>
  <c r="S83" i="1"/>
  <c r="T84" i="1"/>
  <c r="S85" i="1"/>
  <c r="T86" i="1"/>
  <c r="S87" i="1"/>
  <c r="S90" i="1"/>
  <c r="S96" i="1"/>
  <c r="S99" i="1"/>
  <c r="T100" i="1"/>
  <c r="S101" i="1"/>
  <c r="S104" i="1"/>
  <c r="S126" i="1"/>
  <c r="Q127" i="1"/>
  <c r="Q5" i="1" s="1"/>
  <c r="S128" i="1"/>
  <c r="T129" i="1"/>
  <c r="S130" i="1"/>
  <c r="T131" i="1"/>
  <c r="S132" i="1"/>
  <c r="T133" i="1"/>
  <c r="S134" i="1"/>
  <c r="T7" i="1"/>
  <c r="T9" i="1"/>
  <c r="T10" i="1"/>
  <c r="T12" i="1"/>
  <c r="T14" i="1"/>
  <c r="T17" i="1"/>
  <c r="T19" i="1"/>
  <c r="T21" i="1"/>
  <c r="T23" i="1"/>
  <c r="T26" i="1"/>
  <c r="T28" i="1"/>
  <c r="T30" i="1"/>
  <c r="T31" i="1"/>
  <c r="T32" i="1"/>
  <c r="T35" i="1"/>
  <c r="T36" i="1"/>
  <c r="T37" i="1"/>
  <c r="T39" i="1"/>
  <c r="T41" i="1"/>
  <c r="T43" i="1"/>
  <c r="T45" i="1"/>
  <c r="T47" i="1"/>
  <c r="T49" i="1"/>
  <c r="T51" i="1"/>
  <c r="T53" i="1"/>
  <c r="T55" i="1"/>
  <c r="T57" i="1"/>
  <c r="T89" i="1"/>
  <c r="T97" i="1"/>
  <c r="T103" i="1"/>
  <c r="T113" i="1"/>
  <c r="T115" i="1"/>
  <c r="T123" i="1"/>
  <c r="T125" i="1"/>
  <c r="S29" i="1" l="1"/>
  <c r="S122" i="1"/>
  <c r="S18" i="1"/>
  <c r="S11" i="1"/>
  <c r="S8" i="1"/>
  <c r="AF8" i="1"/>
  <c r="S77" i="1"/>
  <c r="S75" i="1"/>
  <c r="S73" i="1"/>
  <c r="S65" i="1"/>
  <c r="S59" i="1"/>
  <c r="S106" i="1"/>
  <c r="S56" i="1"/>
  <c r="S22" i="1"/>
  <c r="S120" i="1"/>
  <c r="S94" i="1"/>
  <c r="S131" i="1"/>
  <c r="S123" i="1"/>
  <c r="AF117" i="1"/>
  <c r="S117" i="1"/>
  <c r="S91" i="1"/>
  <c r="AF91" i="1"/>
  <c r="S25" i="1"/>
  <c r="S113" i="1"/>
  <c r="S100" i="1"/>
  <c r="S118" i="1"/>
  <c r="S124" i="1"/>
  <c r="AF124" i="1"/>
  <c r="AF107" i="1"/>
  <c r="S107" i="1"/>
  <c r="AF13" i="1"/>
  <c r="S13" i="1"/>
  <c r="AF27" i="1"/>
  <c r="S27" i="1"/>
  <c r="AF114" i="1"/>
  <c r="S114" i="1"/>
  <c r="AF105" i="1"/>
  <c r="S105" i="1"/>
  <c r="AF88" i="1"/>
  <c r="S88" i="1"/>
  <c r="AF54" i="1"/>
  <c r="S54" i="1"/>
  <c r="AF46" i="1"/>
  <c r="S46" i="1"/>
  <c r="AF38" i="1"/>
  <c r="S38" i="1"/>
  <c r="S16" i="1"/>
  <c r="AF16" i="1"/>
  <c r="T127" i="1"/>
  <c r="S48" i="1"/>
  <c r="S6" i="1"/>
  <c r="S116" i="1"/>
  <c r="S110" i="1"/>
  <c r="S103" i="1"/>
  <c r="S97" i="1"/>
  <c r="AF119" i="1"/>
  <c r="S119" i="1"/>
  <c r="AF109" i="1"/>
  <c r="S109" i="1"/>
  <c r="S93" i="1"/>
  <c r="AF93" i="1"/>
  <c r="S50" i="1"/>
  <c r="AF50" i="1"/>
  <c r="S42" i="1"/>
  <c r="AF42" i="1"/>
  <c r="AF20" i="1"/>
  <c r="S20" i="1"/>
  <c r="S57" i="1"/>
  <c r="S47" i="1"/>
  <c r="S45" i="1"/>
  <c r="S43" i="1"/>
  <c r="S41" i="1"/>
  <c r="S23" i="1"/>
  <c r="S133" i="1"/>
  <c r="S129" i="1"/>
  <c r="S125" i="1"/>
  <c r="S108" i="1"/>
  <c r="S92" i="1"/>
  <c r="S89" i="1"/>
  <c r="S86" i="1"/>
  <c r="S84" i="1"/>
  <c r="S82" i="1"/>
  <c r="S80" i="1"/>
  <c r="S78" i="1"/>
  <c r="S76" i="1"/>
  <c r="S74" i="1"/>
  <c r="S72" i="1"/>
  <c r="S70" i="1"/>
  <c r="S68" i="1"/>
  <c r="S66" i="1"/>
  <c r="S64" i="1"/>
  <c r="S62" i="1"/>
  <c r="S60" i="1"/>
  <c r="S55" i="1"/>
  <c r="S53" i="1"/>
  <c r="S51" i="1"/>
  <c r="S49" i="1"/>
  <c r="S39" i="1"/>
  <c r="S37" i="1"/>
  <c r="S28" i="1"/>
  <c r="S26" i="1"/>
  <c r="S21" i="1"/>
  <c r="S19" i="1"/>
  <c r="S17" i="1"/>
  <c r="S14" i="1"/>
  <c r="S12" i="1"/>
  <c r="S10" i="1"/>
  <c r="S7" i="1"/>
  <c r="S127" i="1"/>
  <c r="AF127" i="1" l="1"/>
  <c r="AF5" i="1" s="1"/>
  <c r="R5" i="1"/>
</calcChain>
</file>

<file path=xl/sharedStrings.xml><?xml version="1.0" encoding="utf-8"?>
<sst xmlns="http://schemas.openxmlformats.org/spreadsheetml/2006/main" count="459" uniqueCount="179">
  <si>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</si>
  <si>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</si>
  <si>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</si>
  <si>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</si>
  <si>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</si>
  <si>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</si>
  <si>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</si>
  <si>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</si>
  <si>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</si>
  <si>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</si>
  <si>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</si>
  <si>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</si>
  <si>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</si>
  <si>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</si>
  <si>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</si>
  <si>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</si>
  <si>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</si>
  <si>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</si>
  <si>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</si>
  <si>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</si>
  <si>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</si>
  <si>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</si>
  <si>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22,08,</t>
  </si>
  <si>
    <t>23,08,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</si>
  <si>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</si>
  <si>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</si>
  <si>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</si>
  <si>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</si>
  <si>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</si>
  <si>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</si>
  <si>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</si>
  <si>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</si>
  <si>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</si>
  <si>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</si>
  <si>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</si>
  <si>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</si>
  <si>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</si>
  <si>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</si>
  <si>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</si>
  <si>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</si>
  <si>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</si>
  <si>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</si>
  <si>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</si>
  <si>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</si>
  <si>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</si>
  <si>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</si>
  <si>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</si>
  <si>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</si>
  <si>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</si>
  <si>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</si>
  <si>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</si>
  <si>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</si>
  <si>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</si>
  <si>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</si>
  <si>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</si>
  <si>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</si>
  <si>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</si>
  <si>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</si>
  <si>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</si>
  <si>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</si>
  <si>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</si>
  <si>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</si>
  <si>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НЕДОГРУЗ / матрица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</si>
  <si>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</si>
  <si>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</si>
  <si>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</si>
  <si>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</si>
  <si>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</si>
  <si>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</si>
  <si>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</si>
  <si>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</si>
  <si>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</si>
  <si>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</si>
  <si>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</si>
  <si>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</si>
  <si>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</si>
  <si>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</si>
  <si>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</si>
  <si>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</si>
  <si>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</si>
  <si>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</si>
  <si>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</si>
  <si>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</si>
  <si>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</si>
  <si>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</si>
  <si>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</si>
  <si>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</si>
  <si>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</si>
  <si>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</si>
  <si>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</si>
  <si>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</si>
  <si>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</si>
  <si>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</si>
  <si>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</si>
  <si>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</si>
  <si>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</si>
  <si>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</si>
  <si>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</si>
  <si>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</si>
  <si>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</si>
  <si>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</si>
  <si>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</si>
  <si>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</si>
  <si>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</si>
  <si>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</si>
  <si>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</si>
  <si>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</si>
  <si>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</si>
  <si>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</si>
  <si>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</si>
  <si>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</si>
  <si>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</si>
  <si>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</si>
  <si>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</si>
  <si>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</si>
  <si>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</si>
  <si>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</si>
  <si>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</si>
  <si>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</si>
  <si>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</si>
  <si>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</si>
  <si>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</si>
  <si>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</si>
  <si>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</si>
  <si>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</si>
  <si>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</si>
  <si>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</si>
  <si>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</si>
  <si>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</si>
  <si>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</si>
  <si>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</si>
  <si>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</si>
  <si>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</si>
  <si>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</si>
  <si>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</si>
  <si>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</si>
  <si>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</si>
  <si>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</si>
  <si>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</si>
  <si>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</si>
  <si>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</si>
  <si>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</si>
  <si>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</si>
  <si>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</si>
  <si>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</si>
  <si>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</si>
  <si>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</si>
  <si>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</si>
  <si>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</si>
  <si>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</si>
  <si>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</si>
  <si>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</si>
  <si>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</si>
  <si>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</si>
  <si>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</si>
  <si>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</si>
  <si>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</si>
  <si>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</si>
  <si>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</si>
  <si>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</si>
  <si>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</si>
  <si>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</si>
  <si>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</si>
  <si>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</si>
  <si>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</si>
  <si>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</si>
  <si>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</si>
  <si>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</si>
  <si>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</si>
  <si>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</si>
  <si>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</si>
  <si>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</si>
  <si>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</si>
  <si>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</si>
  <si>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</si>
  <si>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</si>
  <si>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</si>
  <si>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</si>
  <si>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21 шт в уценку 30,06,26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</si>
</sst>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.5703125" customWidth="1"/>
    <col min="31" max="31" width="40.5703125" customWidth="1"/>
    <col min="32" max="32" width="7" customWidth="1"/>
    <col min="33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SUM(E6:E498)</f>
        <v>51486.394999999997</v>
      </c>
      <c r="F5" s="4">
        <f>SUM(F6:F498)</f>
        <v>57483.742999999988</v>
      </c>
      <c r="G5" s="7"/>
      <c r="H5" s="1"/>
      <c r="I5" s="1"/>
      <c r="J5" s="1"/>
      <c r="K5" s="4">
        <f t="shared" ref="K5:R5" si="0">SUM(K6:K498)</f>
        <v>55531.28</v>
      </c>
      <c r="L5" s="4">
        <f t="shared" si="0"/>
        <v>-4044.8849999999998</v>
      </c>
      <c r="M5" s="4">
        <f t="shared" si="0"/>
        <v>0</v>
      </c>
      <c r="N5" s="4">
        <f t="shared" si="0"/>
        <v>0</v>
      </c>
      <c r="O5" s="4">
        <f t="shared" si="0"/>
        <v>23590.911048886795</v>
      </c>
      <c r="P5" s="4">
        <f t="shared" si="0"/>
        <v>9999.5837979132011</v>
      </c>
      <c r="Q5" s="4">
        <f t="shared" si="0"/>
        <v>10297.278999999999</v>
      </c>
      <c r="R5" s="4">
        <f t="shared" si="0"/>
        <v>33516.051153200002</v>
      </c>
      <c r="S5" s="1"/>
      <c r="T5" s="1"/>
      <c r="U5" s="4">
        <f t="shared" ref="U5:AD5" si="1">SUM(U6:U498)</f>
        <v>10547.457800000002</v>
      </c>
      <c r="V5" s="4">
        <f t="shared" si="1"/>
        <v>10043.437000000002</v>
      </c>
      <c r="W5" s="4">
        <f t="shared" si="1"/>
        <v>9948.0886000000064</v>
      </c>
      <c r="X5" s="4">
        <f t="shared" si="1"/>
        <v>10809.313400000001</v>
      </c>
      <c r="Y5" s="4">
        <f t="shared" si="1"/>
        <v>10812.657399999995</v>
      </c>
      <c r="Z5" s="4">
        <f t="shared" si="1"/>
        <v>9813.4631999999983</v>
      </c>
      <c r="AA5" s="4">
        <f t="shared" si="1"/>
        <v>10672.152599999996</v>
      </c>
      <c r="AB5" s="4">
        <f t="shared" si="1"/>
        <v>11335.495599999991</v>
      </c>
      <c r="AC5" s="4">
        <f t="shared" si="1"/>
        <v>10924.171399999996</v>
      </c>
      <c r="AD5" s="4">
        <f t="shared" si="1"/>
        <v>10998.8948</v>
      </c>
      <c r="AE5" s="1"/>
      <c r="AF5" s="4">
        <f>SUM(AF6:AF498)</f>
        <v>25352.894479199997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35</v>
      </c>
      <c r="B6" s="1" t="s">
        <v>36</v>
      </c>
      <c r="C6" s="1">
        <v>3735.6950000000002</v>
      </c>
      <c r="D6" s="1">
        <v>3940.6179999999999</v>
      </c>
      <c r="E6" s="1">
        <v>2734.288</v>
      </c>
      <c r="F6" s="1">
        <v>4731.6570000000002</v>
      </c>
      <c r="G6" s="7">
        <v>1</v>
      </c>
      <c r="H6" s="1">
        <v>50</v>
      </c>
      <c r="I6" s="1" t="s">
        <v>37</v>
      </c>
      <c r="J6" s="1"/>
      <c r="K6" s="1">
        <v>2862.8</v>
      </c>
      <c r="L6" s="1">
        <f t="shared" ref="L6:L37" si="2">E6-K6</f>
        <v>-128.51200000000017</v>
      </c>
      <c r="M6" s="1"/>
      <c r="N6" s="1"/>
      <c r="O6" s="1">
        <v>271.20292997920012</v>
      </c>
      <c r="P6" s="1">
        <v>296.16721642080012</v>
      </c>
      <c r="Q6" s="1">
        <f t="shared" ref="Q6:Q37" si="3">E6/5</f>
        <v>546.85760000000005</v>
      </c>
      <c r="R6" s="5">
        <f>12*Q6-P6-O6-F6</f>
        <v>1263.2640535999999</v>
      </c>
      <c r="S6" s="1">
        <f t="shared" ref="S6:S37" si="4">(F6+O6+P6+R6)/Q6</f>
        <v>12</v>
      </c>
      <c r="T6" s="1">
        <f t="shared" ref="T6:T37" si="5">(F6+O6+P6)/Q6</f>
        <v>9.6899579459076737</v>
      </c>
      <c r="U6" s="1">
        <v>558.16419999999994</v>
      </c>
      <c r="V6" s="1">
        <v>472.44099999999997</v>
      </c>
      <c r="W6" s="1">
        <v>450.1</v>
      </c>
      <c r="X6" s="1">
        <v>477.90280000000001</v>
      </c>
      <c r="Y6" s="1">
        <v>497.21940000000012</v>
      </c>
      <c r="Z6" s="1">
        <v>462.68740000000003</v>
      </c>
      <c r="AA6" s="1">
        <v>504.16359999999997</v>
      </c>
      <c r="AB6" s="1">
        <v>475.59160000000003</v>
      </c>
      <c r="AC6" s="1">
        <v>485.4896</v>
      </c>
      <c r="AD6" s="1">
        <v>548.13580000000002</v>
      </c>
      <c r="AE6" s="1"/>
      <c r="AF6" s="1">
        <f>G6*R6</f>
        <v>1263.2640535999999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36</v>
      </c>
      <c r="C7" s="1">
        <v>1270.56</v>
      </c>
      <c r="D7" s="1">
        <v>2645.7080000000001</v>
      </c>
      <c r="E7" s="1">
        <v>1538.597</v>
      </c>
      <c r="F7" s="1">
        <v>2235.078</v>
      </c>
      <c r="G7" s="7">
        <v>1</v>
      </c>
      <c r="H7" s="1">
        <v>45</v>
      </c>
      <c r="I7" s="1" t="s">
        <v>37</v>
      </c>
      <c r="J7" s="1"/>
      <c r="K7" s="1">
        <v>1535.45</v>
      </c>
      <c r="L7" s="1">
        <f t="shared" si="2"/>
        <v>3.1469999999999345</v>
      </c>
      <c r="M7" s="1"/>
      <c r="N7" s="1"/>
      <c r="O7" s="1">
        <v>354.99048069320042</v>
      </c>
      <c r="P7" s="1">
        <v>387.66742870680042</v>
      </c>
      <c r="Q7" s="1">
        <f t="shared" si="3"/>
        <v>307.71940000000001</v>
      </c>
      <c r="R7" s="5">
        <f t="shared" ref="R7:R8" si="6">12*Q7-P7-O7-F7</f>
        <v>714.89689059999955</v>
      </c>
      <c r="S7" s="1">
        <f t="shared" si="4"/>
        <v>12</v>
      </c>
      <c r="T7" s="1">
        <f t="shared" si="5"/>
        <v>9.6767896642200668</v>
      </c>
      <c r="U7" s="1">
        <v>321.26519999999999</v>
      </c>
      <c r="V7" s="1">
        <v>300.10660000000001</v>
      </c>
      <c r="W7" s="1">
        <v>262.36520000000002</v>
      </c>
      <c r="X7" s="1">
        <v>266.33199999999999</v>
      </c>
      <c r="Y7" s="1">
        <v>285.43920000000003</v>
      </c>
      <c r="Z7" s="1">
        <v>272.41820000000001</v>
      </c>
      <c r="AA7" s="1">
        <v>253.45859999999999</v>
      </c>
      <c r="AB7" s="1">
        <v>242.8768</v>
      </c>
      <c r="AC7" s="1">
        <v>235.5034</v>
      </c>
      <c r="AD7" s="1">
        <v>220.28479999999999</v>
      </c>
      <c r="AE7" s="1"/>
      <c r="AF7" s="1">
        <f>G7*R7</f>
        <v>714.89689059999955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36</v>
      </c>
      <c r="C8" s="1">
        <v>1317.4269999999999</v>
      </c>
      <c r="D8" s="1">
        <v>1889.173</v>
      </c>
      <c r="E8" s="1">
        <v>1286.434</v>
      </c>
      <c r="F8" s="1">
        <v>1816.9459999999999</v>
      </c>
      <c r="G8" s="7">
        <v>1</v>
      </c>
      <c r="H8" s="1">
        <v>45</v>
      </c>
      <c r="I8" s="1" t="s">
        <v>37</v>
      </c>
      <c r="J8" s="1"/>
      <c r="K8" s="1">
        <v>1276.05</v>
      </c>
      <c r="L8" s="1">
        <f t="shared" si="2"/>
        <v>10.384000000000015</v>
      </c>
      <c r="M8" s="1"/>
      <c r="N8" s="1"/>
      <c r="O8" s="1">
        <v>385.51909177479979</v>
      </c>
      <c r="P8" s="1">
        <v>421.00620482519992</v>
      </c>
      <c r="Q8" s="1">
        <f t="shared" si="3"/>
        <v>257.28679999999997</v>
      </c>
      <c r="R8" s="5">
        <f t="shared" si="6"/>
        <v>463.97030340000038</v>
      </c>
      <c r="S8" s="1">
        <f t="shared" si="4"/>
        <v>12</v>
      </c>
      <c r="T8" s="1">
        <f t="shared" si="5"/>
        <v>10.196680500515377</v>
      </c>
      <c r="U8" s="1">
        <v>276.00380000000001</v>
      </c>
      <c r="V8" s="1">
        <v>247.24520000000001</v>
      </c>
      <c r="W8" s="1">
        <v>223.76159999999999</v>
      </c>
      <c r="X8" s="1">
        <v>249.89080000000001</v>
      </c>
      <c r="Y8" s="1">
        <v>251.58420000000001</v>
      </c>
      <c r="Z8" s="1">
        <v>216.3372</v>
      </c>
      <c r="AA8" s="1">
        <v>214.10339999999999</v>
      </c>
      <c r="AB8" s="1">
        <v>227.751</v>
      </c>
      <c r="AC8" s="1">
        <v>235.30099999999999</v>
      </c>
      <c r="AD8" s="1">
        <v>231.13040000000001</v>
      </c>
      <c r="AE8" s="1"/>
      <c r="AF8" s="1">
        <f>G8*R8</f>
        <v>463.97030340000038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9" t="s">
        <v>40</v>
      </c>
      <c r="B9" s="9" t="s">
        <v>41</v>
      </c>
      <c r="C9" s="9"/>
      <c r="D9" s="9"/>
      <c r="E9" s="9"/>
      <c r="F9" s="9"/>
      <c r="G9" s="10">
        <v>0</v>
      </c>
      <c r="H9" s="9"/>
      <c r="I9" s="9" t="s">
        <v>37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>
        <f t="shared" si="3"/>
        <v>0</v>
      </c>
      <c r="R9" s="11"/>
      <c r="S9" s="9" t="e">
        <f t="shared" si="4"/>
        <v>#DIV/0!</v>
      </c>
      <c r="T9" s="9" t="e">
        <f t="shared" si="5"/>
        <v>#DIV/0!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 t="s">
        <v>42</v>
      </c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43</v>
      </c>
      <c r="B10" s="1" t="s">
        <v>41</v>
      </c>
      <c r="C10" s="1">
        <v>382</v>
      </c>
      <c r="D10" s="1">
        <v>1300</v>
      </c>
      <c r="E10" s="1">
        <v>551</v>
      </c>
      <c r="F10" s="1">
        <v>1020</v>
      </c>
      <c r="G10" s="7">
        <v>0.45</v>
      </c>
      <c r="H10" s="1">
        <v>45</v>
      </c>
      <c r="I10" s="1" t="s">
        <v>37</v>
      </c>
      <c r="J10" s="1"/>
      <c r="K10" s="1">
        <v>587</v>
      </c>
      <c r="L10" s="1">
        <f t="shared" si="2"/>
        <v>-36</v>
      </c>
      <c r="M10" s="1"/>
      <c r="N10" s="1"/>
      <c r="O10" s="1">
        <v>0</v>
      </c>
      <c r="P10" s="1"/>
      <c r="Q10" s="1">
        <f t="shared" si="3"/>
        <v>110.2</v>
      </c>
      <c r="R10" s="5">
        <f t="shared" ref="R10:R14" si="7">12*Q10-P10-O10-F10</f>
        <v>302.40000000000009</v>
      </c>
      <c r="S10" s="1">
        <f t="shared" si="4"/>
        <v>12</v>
      </c>
      <c r="T10" s="1">
        <f t="shared" si="5"/>
        <v>9.2558983666061696</v>
      </c>
      <c r="U10" s="1">
        <v>117.4</v>
      </c>
      <c r="V10" s="1">
        <v>142.6</v>
      </c>
      <c r="W10" s="1">
        <v>135.4</v>
      </c>
      <c r="X10" s="1">
        <v>120.4</v>
      </c>
      <c r="Y10" s="1">
        <v>117.2</v>
      </c>
      <c r="Z10" s="1">
        <v>118.2</v>
      </c>
      <c r="AA10" s="1">
        <v>139</v>
      </c>
      <c r="AB10" s="1">
        <v>136.80000000000001</v>
      </c>
      <c r="AC10" s="1">
        <v>124.8</v>
      </c>
      <c r="AD10" s="1">
        <v>110.6</v>
      </c>
      <c r="AE10" s="1"/>
      <c r="AF10" s="1">
        <f>G10*R10</f>
        <v>136.08000000000004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41</v>
      </c>
      <c r="C11" s="1">
        <v>964.76</v>
      </c>
      <c r="D11" s="1">
        <v>1855</v>
      </c>
      <c r="E11" s="1">
        <v>1226</v>
      </c>
      <c r="F11" s="1">
        <v>1403.76</v>
      </c>
      <c r="G11" s="7">
        <v>0.45</v>
      </c>
      <c r="H11" s="1">
        <v>45</v>
      </c>
      <c r="I11" s="1" t="s">
        <v>37</v>
      </c>
      <c r="J11" s="1"/>
      <c r="K11" s="1">
        <v>1246</v>
      </c>
      <c r="L11" s="1">
        <f t="shared" si="2"/>
        <v>-20</v>
      </c>
      <c r="M11" s="1"/>
      <c r="N11" s="1"/>
      <c r="O11" s="1">
        <v>352.18055320000019</v>
      </c>
      <c r="P11" s="1">
        <v>384.59884680000027</v>
      </c>
      <c r="Q11" s="1">
        <f t="shared" si="3"/>
        <v>245.2</v>
      </c>
      <c r="R11" s="5">
        <f t="shared" si="7"/>
        <v>801.86059999999884</v>
      </c>
      <c r="S11" s="1">
        <f t="shared" si="4"/>
        <v>11.999999999999998</v>
      </c>
      <c r="T11" s="1">
        <f t="shared" si="5"/>
        <v>8.7297691680261043</v>
      </c>
      <c r="U11" s="1">
        <v>245.4</v>
      </c>
      <c r="V11" s="1">
        <v>235.2</v>
      </c>
      <c r="W11" s="1">
        <v>216.8</v>
      </c>
      <c r="X11" s="1">
        <v>224.44800000000001</v>
      </c>
      <c r="Y11" s="1">
        <v>225.648</v>
      </c>
      <c r="Z11" s="1">
        <v>230.6</v>
      </c>
      <c r="AA11" s="1">
        <v>273.39999999999998</v>
      </c>
      <c r="AB11" s="1">
        <v>246.4</v>
      </c>
      <c r="AC11" s="1">
        <v>230.2</v>
      </c>
      <c r="AD11" s="1">
        <v>217</v>
      </c>
      <c r="AE11" s="1"/>
      <c r="AF11" s="1">
        <f>G11*R11</f>
        <v>360.83726999999948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41</v>
      </c>
      <c r="C12" s="1">
        <v>83</v>
      </c>
      <c r="D12" s="1">
        <v>120</v>
      </c>
      <c r="E12" s="1">
        <v>83</v>
      </c>
      <c r="F12" s="1">
        <v>97</v>
      </c>
      <c r="G12" s="7">
        <v>0.17</v>
      </c>
      <c r="H12" s="1">
        <v>180</v>
      </c>
      <c r="I12" s="1" t="s">
        <v>37</v>
      </c>
      <c r="J12" s="1"/>
      <c r="K12" s="1">
        <v>85</v>
      </c>
      <c r="L12" s="1">
        <f t="shared" si="2"/>
        <v>-2</v>
      </c>
      <c r="M12" s="1"/>
      <c r="N12" s="1"/>
      <c r="O12" s="1">
        <v>79.000000000000028</v>
      </c>
      <c r="P12" s="1"/>
      <c r="Q12" s="1">
        <f t="shared" si="3"/>
        <v>16.600000000000001</v>
      </c>
      <c r="R12" s="5">
        <f t="shared" si="7"/>
        <v>23.199999999999989</v>
      </c>
      <c r="S12" s="1">
        <f t="shared" si="4"/>
        <v>12</v>
      </c>
      <c r="T12" s="1">
        <f t="shared" si="5"/>
        <v>10.602409638554217</v>
      </c>
      <c r="U12" s="1">
        <v>17.8</v>
      </c>
      <c r="V12" s="1">
        <v>15.6</v>
      </c>
      <c r="W12" s="1">
        <v>15</v>
      </c>
      <c r="X12" s="1">
        <v>18.2</v>
      </c>
      <c r="Y12" s="1">
        <v>17.2</v>
      </c>
      <c r="Z12" s="1">
        <v>10.199999999999999</v>
      </c>
      <c r="AA12" s="1">
        <v>14.6</v>
      </c>
      <c r="AB12" s="1">
        <v>20.2</v>
      </c>
      <c r="AC12" s="1">
        <v>15.2</v>
      </c>
      <c r="AD12" s="1">
        <v>11.8</v>
      </c>
      <c r="AE12" s="1"/>
      <c r="AF12" s="1">
        <f>G12*R12</f>
        <v>3.9439999999999982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41</v>
      </c>
      <c r="C13" s="1">
        <v>154</v>
      </c>
      <c r="D13" s="1">
        <v>18</v>
      </c>
      <c r="E13" s="1">
        <v>105</v>
      </c>
      <c r="F13" s="1">
        <v>58</v>
      </c>
      <c r="G13" s="7">
        <v>0.3</v>
      </c>
      <c r="H13" s="1">
        <v>40</v>
      </c>
      <c r="I13" s="1" t="s">
        <v>37</v>
      </c>
      <c r="J13" s="1"/>
      <c r="K13" s="1">
        <v>106</v>
      </c>
      <c r="L13" s="1">
        <f t="shared" si="2"/>
        <v>-1</v>
      </c>
      <c r="M13" s="1"/>
      <c r="N13" s="1"/>
      <c r="O13" s="1">
        <v>97.800000000000011</v>
      </c>
      <c r="P13" s="1"/>
      <c r="Q13" s="1">
        <f t="shared" si="3"/>
        <v>21</v>
      </c>
      <c r="R13" s="5">
        <f t="shared" si="7"/>
        <v>96.199999999999989</v>
      </c>
      <c r="S13" s="1">
        <f t="shared" si="4"/>
        <v>12</v>
      </c>
      <c r="T13" s="1">
        <f t="shared" si="5"/>
        <v>7.4190476190476193</v>
      </c>
      <c r="U13" s="1">
        <v>17.8</v>
      </c>
      <c r="V13" s="1">
        <v>10.6</v>
      </c>
      <c r="W13" s="1">
        <v>10</v>
      </c>
      <c r="X13" s="1">
        <v>19</v>
      </c>
      <c r="Y13" s="1">
        <v>21</v>
      </c>
      <c r="Z13" s="1">
        <v>22.2</v>
      </c>
      <c r="AA13" s="1">
        <v>22.8</v>
      </c>
      <c r="AB13" s="1">
        <v>17.600000000000001</v>
      </c>
      <c r="AC13" s="1">
        <v>17.8</v>
      </c>
      <c r="AD13" s="1">
        <v>9.1999999999999993</v>
      </c>
      <c r="AE13" s="1"/>
      <c r="AF13" s="1">
        <f>G13*R13</f>
        <v>28.859999999999996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47</v>
      </c>
      <c r="B14" s="1" t="s">
        <v>41</v>
      </c>
      <c r="C14" s="1">
        <v>231</v>
      </c>
      <c r="D14" s="1">
        <v>375</v>
      </c>
      <c r="E14" s="1">
        <v>288</v>
      </c>
      <c r="F14" s="1">
        <v>293</v>
      </c>
      <c r="G14" s="7">
        <v>0.17</v>
      </c>
      <c r="H14" s="1">
        <v>180</v>
      </c>
      <c r="I14" s="1" t="s">
        <v>37</v>
      </c>
      <c r="J14" s="1"/>
      <c r="K14" s="1">
        <v>288</v>
      </c>
      <c r="L14" s="1">
        <f t="shared" si="2"/>
        <v>0</v>
      </c>
      <c r="M14" s="1"/>
      <c r="N14" s="1"/>
      <c r="O14" s="1">
        <v>260.34019999999998</v>
      </c>
      <c r="P14" s="1"/>
      <c r="Q14" s="1">
        <f t="shared" si="3"/>
        <v>57.6</v>
      </c>
      <c r="R14" s="5">
        <f t="shared" si="7"/>
        <v>137.85980000000006</v>
      </c>
      <c r="S14" s="1">
        <f t="shared" si="4"/>
        <v>12</v>
      </c>
      <c r="T14" s="1">
        <f t="shared" si="5"/>
        <v>9.6066006944444435</v>
      </c>
      <c r="U14" s="1">
        <v>60.6</v>
      </c>
      <c r="V14" s="1">
        <v>47.6</v>
      </c>
      <c r="W14" s="1">
        <v>44.8</v>
      </c>
      <c r="X14" s="1">
        <v>57.2</v>
      </c>
      <c r="Y14" s="1">
        <v>52.8</v>
      </c>
      <c r="Z14" s="1">
        <v>33.6</v>
      </c>
      <c r="AA14" s="1">
        <v>38.4</v>
      </c>
      <c r="AB14" s="1">
        <v>56</v>
      </c>
      <c r="AC14" s="1">
        <v>56.2</v>
      </c>
      <c r="AD14" s="1">
        <v>45</v>
      </c>
      <c r="AE14" s="1"/>
      <c r="AF14" s="1">
        <f>G14*R14</f>
        <v>23.436166000000014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9" t="s">
        <v>48</v>
      </c>
      <c r="B15" s="9" t="s">
        <v>41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49</v>
      </c>
      <c r="J15" s="9"/>
      <c r="K15" s="9"/>
      <c r="L15" s="9">
        <f t="shared" si="2"/>
        <v>0</v>
      </c>
      <c r="M15" s="9"/>
      <c r="N15" s="9"/>
      <c r="O15" s="9">
        <v>0</v>
      </c>
      <c r="P15" s="9"/>
      <c r="Q15" s="9">
        <f t="shared" si="3"/>
        <v>0</v>
      </c>
      <c r="R15" s="11"/>
      <c r="S15" s="9" t="e">
        <f t="shared" si="4"/>
        <v>#DIV/0!</v>
      </c>
      <c r="T15" s="9" t="e">
        <f t="shared" si="5"/>
        <v>#DIV/0!</v>
      </c>
      <c r="U15" s="9">
        <v>0</v>
      </c>
      <c r="V15" s="9">
        <v>0</v>
      </c>
      <c r="W15" s="9">
        <v>0</v>
      </c>
      <c r="X15" s="9">
        <v>0</v>
      </c>
      <c r="Y15" s="9">
        <v>0.2</v>
      </c>
      <c r="Z15" s="9">
        <v>0.2</v>
      </c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36</v>
      </c>
      <c r="C16" s="1">
        <v>1742.1120000000001</v>
      </c>
      <c r="D16" s="1">
        <v>1772.8209999999999</v>
      </c>
      <c r="E16" s="1">
        <v>1143.703</v>
      </c>
      <c r="F16" s="1">
        <v>2269.288</v>
      </c>
      <c r="G16" s="7">
        <v>1</v>
      </c>
      <c r="H16" s="1">
        <v>70</v>
      </c>
      <c r="I16" s="1" t="s">
        <v>37</v>
      </c>
      <c r="J16" s="1"/>
      <c r="K16" s="1">
        <v>1108.115</v>
      </c>
      <c r="L16" s="1">
        <f t="shared" si="2"/>
        <v>35.587999999999965</v>
      </c>
      <c r="M16" s="1"/>
      <c r="N16" s="1"/>
      <c r="O16" s="1">
        <v>0</v>
      </c>
      <c r="P16" s="1"/>
      <c r="Q16" s="1">
        <f t="shared" si="3"/>
        <v>228.7406</v>
      </c>
      <c r="R16" s="5">
        <f t="shared" ref="R16:R23" si="8">12*Q16-P16-O16-F16</f>
        <v>475.59920000000011</v>
      </c>
      <c r="S16" s="1">
        <f t="shared" si="4"/>
        <v>12</v>
      </c>
      <c r="T16" s="1">
        <f t="shared" si="5"/>
        <v>9.9207923735445309</v>
      </c>
      <c r="U16" s="1">
        <v>230.5266</v>
      </c>
      <c r="V16" s="1">
        <v>233.18360000000001</v>
      </c>
      <c r="W16" s="1">
        <v>242.98320000000001</v>
      </c>
      <c r="X16" s="1">
        <v>239.7028</v>
      </c>
      <c r="Y16" s="1">
        <v>236.7696</v>
      </c>
      <c r="Z16" s="1">
        <v>224.553</v>
      </c>
      <c r="AA16" s="1">
        <v>226.56899999999999</v>
      </c>
      <c r="AB16" s="1">
        <v>227.60939999999999</v>
      </c>
      <c r="AC16" s="1">
        <v>217.93199999999999</v>
      </c>
      <c r="AD16" s="1">
        <v>228.4726</v>
      </c>
      <c r="AE16" s="1"/>
      <c r="AF16" s="1">
        <f t="shared" ref="AF16:AF23" si="9">G16*R16</f>
        <v>475.59920000000011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51</v>
      </c>
      <c r="B17" s="1" t="s">
        <v>36</v>
      </c>
      <c r="C17" s="1">
        <v>5923.3230000000003</v>
      </c>
      <c r="D17" s="1">
        <v>2641.422</v>
      </c>
      <c r="E17" s="1">
        <v>3682.9659999999999</v>
      </c>
      <c r="F17" s="1">
        <v>4601.7489999999998</v>
      </c>
      <c r="G17" s="7">
        <v>1</v>
      </c>
      <c r="H17" s="1">
        <v>50</v>
      </c>
      <c r="I17" s="1" t="s">
        <v>37</v>
      </c>
      <c r="J17" s="1"/>
      <c r="K17" s="1">
        <v>3701.7510000000002</v>
      </c>
      <c r="L17" s="1">
        <f t="shared" si="2"/>
        <v>-18.785000000000309</v>
      </c>
      <c r="M17" s="1"/>
      <c r="N17" s="1"/>
      <c r="O17" s="1">
        <v>1090.0189639647999</v>
      </c>
      <c r="P17" s="1">
        <v>1190.355437635201</v>
      </c>
      <c r="Q17" s="1">
        <f t="shared" si="3"/>
        <v>736.59320000000002</v>
      </c>
      <c r="R17" s="5">
        <f t="shared" si="8"/>
        <v>1956.9949983999986</v>
      </c>
      <c r="S17" s="1">
        <f t="shared" si="4"/>
        <v>11.999999999999998</v>
      </c>
      <c r="T17" s="1">
        <f t="shared" si="5"/>
        <v>9.3431807429121001</v>
      </c>
      <c r="U17" s="1">
        <v>741.72680000000003</v>
      </c>
      <c r="V17" s="1">
        <v>660.61159999999995</v>
      </c>
      <c r="W17" s="1">
        <v>636.86320000000001</v>
      </c>
      <c r="X17" s="1">
        <v>674.43259999999998</v>
      </c>
      <c r="Y17" s="1">
        <v>703.17060000000004</v>
      </c>
      <c r="Z17" s="1">
        <v>753.43720000000008</v>
      </c>
      <c r="AA17" s="1">
        <v>789.19159999999999</v>
      </c>
      <c r="AB17" s="1">
        <v>779.79539999999997</v>
      </c>
      <c r="AC17" s="1">
        <v>746.61940000000004</v>
      </c>
      <c r="AD17" s="1">
        <v>740.76059999999995</v>
      </c>
      <c r="AE17" s="1"/>
      <c r="AF17" s="1">
        <f t="shared" si="9"/>
        <v>1956.9949983999986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36</v>
      </c>
      <c r="C18" s="1">
        <v>101.029</v>
      </c>
      <c r="D18" s="1">
        <v>217.46199999999999</v>
      </c>
      <c r="E18" s="1">
        <v>116.163</v>
      </c>
      <c r="F18" s="1">
        <v>191.749</v>
      </c>
      <c r="G18" s="7">
        <v>1</v>
      </c>
      <c r="H18" s="1">
        <v>60</v>
      </c>
      <c r="I18" s="1" t="s">
        <v>37</v>
      </c>
      <c r="J18" s="1"/>
      <c r="K18" s="1">
        <v>113.29</v>
      </c>
      <c r="L18" s="1">
        <f t="shared" si="2"/>
        <v>2.8729999999999905</v>
      </c>
      <c r="M18" s="1"/>
      <c r="N18" s="1"/>
      <c r="O18" s="1">
        <v>30.901000000000099</v>
      </c>
      <c r="P18" s="1"/>
      <c r="Q18" s="1">
        <f t="shared" si="3"/>
        <v>23.232599999999998</v>
      </c>
      <c r="R18" s="5">
        <f t="shared" si="8"/>
        <v>56.141199999999913</v>
      </c>
      <c r="S18" s="1">
        <f t="shared" si="4"/>
        <v>12.000000000000002</v>
      </c>
      <c r="T18" s="1">
        <f t="shared" si="5"/>
        <v>9.5835162659366624</v>
      </c>
      <c r="U18" s="1">
        <v>23.764399999999998</v>
      </c>
      <c r="V18" s="1">
        <v>25.488199999999999</v>
      </c>
      <c r="W18" s="1">
        <v>23.536200000000001</v>
      </c>
      <c r="X18" s="1">
        <v>24.895399999999999</v>
      </c>
      <c r="Y18" s="1">
        <v>24.598400000000002</v>
      </c>
      <c r="Z18" s="1">
        <v>18.6858</v>
      </c>
      <c r="AA18" s="1">
        <v>21.406600000000001</v>
      </c>
      <c r="AB18" s="1">
        <v>20.923999999999999</v>
      </c>
      <c r="AC18" s="1">
        <v>19.589400000000001</v>
      </c>
      <c r="AD18" s="1">
        <v>22.287800000000001</v>
      </c>
      <c r="AE18" s="1"/>
      <c r="AF18" s="1">
        <f t="shared" si="9"/>
        <v>56.141199999999913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36</v>
      </c>
      <c r="C19" s="1">
        <v>75.382000000000005</v>
      </c>
      <c r="D19" s="1">
        <v>139.154</v>
      </c>
      <c r="E19" s="1">
        <v>99.659000000000006</v>
      </c>
      <c r="F19" s="1">
        <v>111.399</v>
      </c>
      <c r="G19" s="7">
        <v>1</v>
      </c>
      <c r="H19" s="1">
        <v>60</v>
      </c>
      <c r="I19" s="1" t="s">
        <v>37</v>
      </c>
      <c r="J19" s="1"/>
      <c r="K19" s="1">
        <v>97.22</v>
      </c>
      <c r="L19" s="1">
        <f t="shared" si="2"/>
        <v>2.4390000000000072</v>
      </c>
      <c r="M19" s="1"/>
      <c r="N19" s="1"/>
      <c r="O19" s="1">
        <v>62.708600000000018</v>
      </c>
      <c r="P19" s="1"/>
      <c r="Q19" s="1">
        <f t="shared" si="3"/>
        <v>19.931800000000003</v>
      </c>
      <c r="R19" s="5">
        <f t="shared" si="8"/>
        <v>65.074000000000012</v>
      </c>
      <c r="S19" s="1">
        <f t="shared" si="4"/>
        <v>12</v>
      </c>
      <c r="T19" s="1">
        <f t="shared" si="5"/>
        <v>8.7351669191944534</v>
      </c>
      <c r="U19" s="1">
        <v>18.4558</v>
      </c>
      <c r="V19" s="1">
        <v>16.866199999999999</v>
      </c>
      <c r="W19" s="1">
        <v>17.227399999999999</v>
      </c>
      <c r="X19" s="1">
        <v>14.844200000000001</v>
      </c>
      <c r="Y19" s="1">
        <v>17.3218</v>
      </c>
      <c r="Z19" s="1">
        <v>17.478400000000001</v>
      </c>
      <c r="AA19" s="1">
        <v>13.7256</v>
      </c>
      <c r="AB19" s="1">
        <v>14.416600000000001</v>
      </c>
      <c r="AC19" s="1">
        <v>16.773</v>
      </c>
      <c r="AD19" s="1">
        <v>16.835999999999999</v>
      </c>
      <c r="AE19" s="1"/>
      <c r="AF19" s="1">
        <f t="shared" si="9"/>
        <v>65.074000000000012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54</v>
      </c>
      <c r="B20" s="1" t="s">
        <v>36</v>
      </c>
      <c r="C20" s="1">
        <v>21.78</v>
      </c>
      <c r="D20" s="1">
        <v>5.7679999999999998</v>
      </c>
      <c r="E20" s="1">
        <v>8.5220000000000002</v>
      </c>
      <c r="F20" s="1">
        <v>15.788</v>
      </c>
      <c r="G20" s="7">
        <v>1</v>
      </c>
      <c r="H20" s="1">
        <v>180</v>
      </c>
      <c r="I20" s="1" t="s">
        <v>37</v>
      </c>
      <c r="J20" s="1"/>
      <c r="K20" s="1">
        <v>8.35</v>
      </c>
      <c r="L20" s="1">
        <f t="shared" si="2"/>
        <v>0.1720000000000006</v>
      </c>
      <c r="M20" s="1"/>
      <c r="N20" s="1"/>
      <c r="O20" s="1">
        <v>0</v>
      </c>
      <c r="P20" s="1"/>
      <c r="Q20" s="1">
        <f t="shared" si="3"/>
        <v>1.7044000000000001</v>
      </c>
      <c r="R20" s="5">
        <f t="shared" si="8"/>
        <v>4.6648000000000032</v>
      </c>
      <c r="S20" s="1">
        <f t="shared" si="4"/>
        <v>12.000000000000002</v>
      </c>
      <c r="T20" s="1">
        <f t="shared" si="5"/>
        <v>9.2630837831494954</v>
      </c>
      <c r="U20" s="1">
        <v>1.3306</v>
      </c>
      <c r="V20" s="1">
        <v>0.62980000000000003</v>
      </c>
      <c r="W20" s="1">
        <v>1.0427999999999999</v>
      </c>
      <c r="X20" s="1">
        <v>2.0901999999999998</v>
      </c>
      <c r="Y20" s="1">
        <v>2.1625999999999999</v>
      </c>
      <c r="Z20" s="1">
        <v>1.7310000000000001</v>
      </c>
      <c r="AA20" s="1">
        <v>1.6870000000000001</v>
      </c>
      <c r="AB20" s="1">
        <v>1.4314</v>
      </c>
      <c r="AC20" s="1">
        <v>1.4481999999999999</v>
      </c>
      <c r="AD20" s="1">
        <v>1.9716</v>
      </c>
      <c r="AE20" s="1"/>
      <c r="AF20" s="1">
        <f t="shared" si="9"/>
        <v>4.6648000000000032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56</v>
      </c>
      <c r="B21" s="1" t="s">
        <v>36</v>
      </c>
      <c r="C21" s="1">
        <v>2270.7550000000001</v>
      </c>
      <c r="D21" s="1">
        <v>1127.692</v>
      </c>
      <c r="E21" s="1">
        <v>1364.653</v>
      </c>
      <c r="F21" s="1">
        <v>1909.5260000000001</v>
      </c>
      <c r="G21" s="7">
        <v>1</v>
      </c>
      <c r="H21" s="1">
        <v>60</v>
      </c>
      <c r="I21" s="1" t="s">
        <v>37</v>
      </c>
      <c r="J21" s="1"/>
      <c r="K21" s="1">
        <v>1319.9949999999999</v>
      </c>
      <c r="L21" s="1">
        <f t="shared" si="2"/>
        <v>44.658000000000129</v>
      </c>
      <c r="M21" s="1"/>
      <c r="N21" s="1"/>
      <c r="O21" s="1">
        <v>303.49875705959982</v>
      </c>
      <c r="P21" s="1">
        <v>331.43588114039977</v>
      </c>
      <c r="Q21" s="1">
        <f t="shared" si="3"/>
        <v>272.93060000000003</v>
      </c>
      <c r="R21" s="5">
        <f t="shared" si="8"/>
        <v>730.70656180000037</v>
      </c>
      <c r="S21" s="1">
        <f t="shared" si="4"/>
        <v>11.999999999999998</v>
      </c>
      <c r="T21" s="1">
        <f t="shared" si="5"/>
        <v>9.3227385943532877</v>
      </c>
      <c r="U21" s="1">
        <v>280.49860000000001</v>
      </c>
      <c r="V21" s="1">
        <v>283.15519999999998</v>
      </c>
      <c r="W21" s="1">
        <v>289.96379999999999</v>
      </c>
      <c r="X21" s="1">
        <v>276.86619999999999</v>
      </c>
      <c r="Y21" s="1">
        <v>268.45139999999998</v>
      </c>
      <c r="Z21" s="1">
        <v>275.91120000000001</v>
      </c>
      <c r="AA21" s="1">
        <v>284.72680000000003</v>
      </c>
      <c r="AB21" s="1">
        <v>282.6728</v>
      </c>
      <c r="AC21" s="1">
        <v>268.63920000000002</v>
      </c>
      <c r="AD21" s="1">
        <v>285.46140000000003</v>
      </c>
      <c r="AE21" s="1"/>
      <c r="AF21" s="1">
        <f t="shared" si="9"/>
        <v>730.70656180000037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57</v>
      </c>
      <c r="B22" s="1" t="s">
        <v>36</v>
      </c>
      <c r="C22" s="1">
        <v>156.48500000000001</v>
      </c>
      <c r="D22" s="1">
        <v>311.25</v>
      </c>
      <c r="E22" s="1">
        <v>249.477</v>
      </c>
      <c r="F22" s="1">
        <v>194.20599999999999</v>
      </c>
      <c r="G22" s="7">
        <v>1</v>
      </c>
      <c r="H22" s="1">
        <v>70</v>
      </c>
      <c r="I22" s="1" t="s">
        <v>37</v>
      </c>
      <c r="J22" s="1"/>
      <c r="K22" s="1">
        <v>247.35</v>
      </c>
      <c r="L22" s="1">
        <f t="shared" si="2"/>
        <v>2.1270000000000095</v>
      </c>
      <c r="M22" s="1"/>
      <c r="N22" s="1"/>
      <c r="O22" s="1">
        <v>271.41216739999999</v>
      </c>
      <c r="P22" s="1"/>
      <c r="Q22" s="1">
        <f t="shared" si="3"/>
        <v>49.895400000000002</v>
      </c>
      <c r="R22" s="5">
        <f t="shared" si="8"/>
        <v>133.12663260000008</v>
      </c>
      <c r="S22" s="1">
        <f t="shared" si="4"/>
        <v>12</v>
      </c>
      <c r="T22" s="1">
        <f t="shared" si="5"/>
        <v>9.3318856527856262</v>
      </c>
      <c r="U22" s="1">
        <v>49.0822</v>
      </c>
      <c r="V22" s="1">
        <v>37.723999999999997</v>
      </c>
      <c r="W22" s="1">
        <v>35.753</v>
      </c>
      <c r="X22" s="1">
        <v>35.983400000000003</v>
      </c>
      <c r="Y22" s="1">
        <v>37.6586</v>
      </c>
      <c r="Z22" s="1">
        <v>29.225200000000001</v>
      </c>
      <c r="AA22" s="1">
        <v>30.331199999999999</v>
      </c>
      <c r="AB22" s="1">
        <v>41.240400000000001</v>
      </c>
      <c r="AC22" s="1">
        <v>40.357600000000012</v>
      </c>
      <c r="AD22" s="1">
        <v>31.3566</v>
      </c>
      <c r="AE22" s="1"/>
      <c r="AF22" s="1">
        <f t="shared" si="9"/>
        <v>133.12663260000008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58</v>
      </c>
      <c r="B23" s="1" t="s">
        <v>36</v>
      </c>
      <c r="C23" s="1">
        <v>538.096</v>
      </c>
      <c r="D23" s="1">
        <v>441.94600000000003</v>
      </c>
      <c r="E23" s="1">
        <v>431.92099999999999</v>
      </c>
      <c r="F23" s="1">
        <v>517.87099999999998</v>
      </c>
      <c r="G23" s="7">
        <v>1</v>
      </c>
      <c r="H23" s="1">
        <v>70</v>
      </c>
      <c r="I23" s="1" t="s">
        <v>37</v>
      </c>
      <c r="J23" s="1"/>
      <c r="K23" s="1">
        <v>418.35</v>
      </c>
      <c r="L23" s="1">
        <f t="shared" si="2"/>
        <v>13.57099999999997</v>
      </c>
      <c r="M23" s="1"/>
      <c r="N23" s="1"/>
      <c r="O23" s="1">
        <v>260.56064739999982</v>
      </c>
      <c r="P23" s="1"/>
      <c r="Q23" s="1">
        <f t="shared" si="3"/>
        <v>86.384199999999993</v>
      </c>
      <c r="R23" s="5">
        <f t="shared" si="8"/>
        <v>258.17875260000017</v>
      </c>
      <c r="S23" s="1">
        <f t="shared" si="4"/>
        <v>12.000000000000002</v>
      </c>
      <c r="T23" s="1">
        <f t="shared" si="5"/>
        <v>9.0112734435232351</v>
      </c>
      <c r="U23" s="1">
        <v>84.844200000000001</v>
      </c>
      <c r="V23" s="1">
        <v>79.9756</v>
      </c>
      <c r="W23" s="1">
        <v>79.880200000000002</v>
      </c>
      <c r="X23" s="1">
        <v>85.579599999999999</v>
      </c>
      <c r="Y23" s="1">
        <v>89.1798</v>
      </c>
      <c r="Z23" s="1">
        <v>90.862200000000001</v>
      </c>
      <c r="AA23" s="1">
        <v>89.53540000000001</v>
      </c>
      <c r="AB23" s="1">
        <v>90.167400000000001</v>
      </c>
      <c r="AC23" s="1">
        <v>90.783199999999994</v>
      </c>
      <c r="AD23" s="1">
        <v>90.342600000000004</v>
      </c>
      <c r="AE23" s="1"/>
      <c r="AF23" s="1">
        <f t="shared" si="9"/>
        <v>258.17875260000017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9" t="s">
        <v>59</v>
      </c>
      <c r="B24" s="9" t="s">
        <v>36</v>
      </c>
      <c r="C24" s="9"/>
      <c r="D24" s="9"/>
      <c r="E24" s="9"/>
      <c r="F24" s="9"/>
      <c r="G24" s="10">
        <v>0</v>
      </c>
      <c r="H24" s="9"/>
      <c r="I24" s="9" t="s">
        <v>37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>
        <f t="shared" si="3"/>
        <v>0</v>
      </c>
      <c r="R24" s="11"/>
      <c r="S24" s="9" t="e">
        <f t="shared" si="4"/>
        <v>#DIV/0!</v>
      </c>
      <c r="T24" s="9" t="e">
        <f t="shared" si="5"/>
        <v>#DIV/0!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 t="s">
        <v>42</v>
      </c>
      <c r="AF24" s="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60</v>
      </c>
      <c r="B25" s="1" t="s">
        <v>36</v>
      </c>
      <c r="C25" s="1">
        <v>521.48900000000003</v>
      </c>
      <c r="D25" s="1">
        <v>1023.109</v>
      </c>
      <c r="E25" s="1">
        <v>679.24099999999999</v>
      </c>
      <c r="F25" s="1">
        <v>794.029</v>
      </c>
      <c r="G25" s="7">
        <v>1</v>
      </c>
      <c r="H25" s="1">
        <v>70</v>
      </c>
      <c r="I25" s="1" t="s">
        <v>37</v>
      </c>
      <c r="J25" s="1"/>
      <c r="K25" s="1">
        <v>665.15499999999997</v>
      </c>
      <c r="L25" s="1">
        <f t="shared" si="2"/>
        <v>14.086000000000013</v>
      </c>
      <c r="M25" s="1"/>
      <c r="N25" s="1"/>
      <c r="O25" s="1">
        <v>448.44433519999927</v>
      </c>
      <c r="P25" s="1"/>
      <c r="Q25" s="1">
        <f t="shared" si="3"/>
        <v>135.84819999999999</v>
      </c>
      <c r="R25" s="5">
        <f t="shared" ref="R25:R29" si="10">12*Q25-P25-O25-F25</f>
        <v>387.7050648000004</v>
      </c>
      <c r="S25" s="1">
        <f t="shared" si="4"/>
        <v>12</v>
      </c>
      <c r="T25" s="1">
        <f t="shared" si="5"/>
        <v>9.146041943875586</v>
      </c>
      <c r="U25" s="1">
        <v>138.06559999999999</v>
      </c>
      <c r="V25" s="1">
        <v>123.43040000000001</v>
      </c>
      <c r="W25" s="1">
        <v>120.05240000000001</v>
      </c>
      <c r="X25" s="1">
        <v>127.38039999999999</v>
      </c>
      <c r="Y25" s="1">
        <v>123.4118</v>
      </c>
      <c r="Z25" s="1">
        <v>117.6122</v>
      </c>
      <c r="AA25" s="1">
        <v>125.7372</v>
      </c>
      <c r="AB25" s="1">
        <v>138.38999999999999</v>
      </c>
      <c r="AC25" s="1">
        <v>139.70419999999999</v>
      </c>
      <c r="AD25" s="1">
        <v>135.19220000000001</v>
      </c>
      <c r="AE25" s="1"/>
      <c r="AF25" s="1">
        <f>G25*R25</f>
        <v>387.7050648000004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61</v>
      </c>
      <c r="B26" s="1" t="s">
        <v>36</v>
      </c>
      <c r="C26" s="1">
        <v>195.62</v>
      </c>
      <c r="D26" s="1">
        <v>8.69</v>
      </c>
      <c r="E26" s="1">
        <v>157.72399999999999</v>
      </c>
      <c r="F26" s="1">
        <v>46.585999999999999</v>
      </c>
      <c r="G26" s="7">
        <v>1</v>
      </c>
      <c r="H26" s="1">
        <v>40</v>
      </c>
      <c r="I26" s="13" t="s">
        <v>62</v>
      </c>
      <c r="J26" s="1"/>
      <c r="K26" s="1">
        <v>200.7</v>
      </c>
      <c r="L26" s="1">
        <f t="shared" si="2"/>
        <v>-42.975999999999999</v>
      </c>
      <c r="M26" s="1"/>
      <c r="N26" s="1"/>
      <c r="O26" s="1">
        <v>50</v>
      </c>
      <c r="P26" s="1"/>
      <c r="Q26" s="1">
        <f t="shared" si="3"/>
        <v>31.544799999999999</v>
      </c>
      <c r="R26" s="5">
        <v>90</v>
      </c>
      <c r="S26" s="1">
        <f t="shared" si="4"/>
        <v>5.9149527021886339</v>
      </c>
      <c r="T26" s="1">
        <f t="shared" si="5"/>
        <v>3.0618675661281736</v>
      </c>
      <c r="U26" s="1">
        <v>30.824200000000001</v>
      </c>
      <c r="V26" s="1">
        <v>25.345600000000001</v>
      </c>
      <c r="W26" s="1">
        <v>25.345600000000001</v>
      </c>
      <c r="X26" s="1">
        <v>29.334199999999999</v>
      </c>
      <c r="Y26" s="1">
        <v>30.359200000000001</v>
      </c>
      <c r="Z26" s="1">
        <v>1.6180000000000001</v>
      </c>
      <c r="AA26" s="1">
        <v>0.88819999999999999</v>
      </c>
      <c r="AB26" s="1">
        <v>28.8462</v>
      </c>
      <c r="AC26" s="1">
        <v>28.550999999999998</v>
      </c>
      <c r="AD26" s="1">
        <v>16.459599999999998</v>
      </c>
      <c r="AE26" s="1"/>
      <c r="AF26" s="1">
        <f>G26*R26</f>
        <v>90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63</v>
      </c>
      <c r="B27" s="1" t="s">
        <v>36</v>
      </c>
      <c r="C27" s="1">
        <v>377.73500000000001</v>
      </c>
      <c r="D27" s="1">
        <v>268.70999999999998</v>
      </c>
      <c r="E27" s="1">
        <v>277.86799999999999</v>
      </c>
      <c r="F27" s="1">
        <v>339.79199999999997</v>
      </c>
      <c r="G27" s="7">
        <v>1</v>
      </c>
      <c r="H27" s="1">
        <v>30</v>
      </c>
      <c r="I27" s="1" t="s">
        <v>37</v>
      </c>
      <c r="J27" s="1"/>
      <c r="K27" s="1">
        <v>289.2</v>
      </c>
      <c r="L27" s="1">
        <f t="shared" si="2"/>
        <v>-11.331999999999994</v>
      </c>
      <c r="M27" s="1"/>
      <c r="N27" s="1"/>
      <c r="O27" s="1">
        <v>197.20011400000001</v>
      </c>
      <c r="P27" s="1"/>
      <c r="Q27" s="1">
        <f t="shared" si="3"/>
        <v>55.573599999999999</v>
      </c>
      <c r="R27" s="5">
        <f t="shared" si="10"/>
        <v>129.89108600000003</v>
      </c>
      <c r="S27" s="1">
        <f t="shared" si="4"/>
        <v>12</v>
      </c>
      <c r="T27" s="1">
        <f t="shared" si="5"/>
        <v>9.6627196006737019</v>
      </c>
      <c r="U27" s="1">
        <v>57.696000000000012</v>
      </c>
      <c r="V27" s="1">
        <v>53.5364</v>
      </c>
      <c r="W27" s="1">
        <v>46.989400000000003</v>
      </c>
      <c r="X27" s="1">
        <v>50.754199999999997</v>
      </c>
      <c r="Y27" s="1">
        <v>52.681199999999997</v>
      </c>
      <c r="Z27" s="1">
        <v>61.315399999999997</v>
      </c>
      <c r="AA27" s="1">
        <v>65.999600000000001</v>
      </c>
      <c r="AB27" s="1">
        <v>56.640599999999992</v>
      </c>
      <c r="AC27" s="1">
        <v>57.695599999999999</v>
      </c>
      <c r="AD27" s="1">
        <v>53.313800000000001</v>
      </c>
      <c r="AE27" s="1"/>
      <c r="AF27" s="1">
        <f>G27*R27</f>
        <v>129.89108600000003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64</v>
      </c>
      <c r="B28" s="1" t="s">
        <v>36</v>
      </c>
      <c r="C28" s="1">
        <v>0.23499999999999999</v>
      </c>
      <c r="D28" s="1"/>
      <c r="E28" s="1">
        <v>-9.8450000000000006</v>
      </c>
      <c r="F28" s="1">
        <v>0.23499999999999999</v>
      </c>
      <c r="G28" s="7">
        <v>1</v>
      </c>
      <c r="H28" s="1">
        <v>40</v>
      </c>
      <c r="I28" s="13" t="s">
        <v>62</v>
      </c>
      <c r="J28" s="1"/>
      <c r="K28" s="1">
        <v>79.7</v>
      </c>
      <c r="L28" s="1">
        <f t="shared" si="2"/>
        <v>-89.545000000000002</v>
      </c>
      <c r="M28" s="1"/>
      <c r="N28" s="1"/>
      <c r="O28" s="1">
        <v>100</v>
      </c>
      <c r="P28" s="1"/>
      <c r="Q28" s="1">
        <f t="shared" si="3"/>
        <v>-1.9690000000000001</v>
      </c>
      <c r="R28" s="5">
        <v>100</v>
      </c>
      <c r="S28" s="1">
        <f t="shared" si="4"/>
        <v>-101.69375317420011</v>
      </c>
      <c r="T28" s="1">
        <f t="shared" si="5"/>
        <v>-50.906551549009649</v>
      </c>
      <c r="U28" s="1">
        <v>-1.5426</v>
      </c>
      <c r="V28" s="1">
        <v>0.627</v>
      </c>
      <c r="W28" s="1">
        <v>13.4148</v>
      </c>
      <c r="X28" s="1">
        <v>42.743000000000002</v>
      </c>
      <c r="Y28" s="1">
        <v>41.494799999999998</v>
      </c>
      <c r="Z28" s="1">
        <v>42.447800000000001</v>
      </c>
      <c r="AA28" s="1">
        <v>46.859200000000001</v>
      </c>
      <c r="AB28" s="1">
        <v>44.1312</v>
      </c>
      <c r="AC28" s="1">
        <v>43.206599999999987</v>
      </c>
      <c r="AD28" s="1">
        <v>39.3598</v>
      </c>
      <c r="AE28" s="1"/>
      <c r="AF28" s="1">
        <f>G28*R28</f>
        <v>100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65</v>
      </c>
      <c r="B29" s="1" t="s">
        <v>36</v>
      </c>
      <c r="C29" s="1">
        <v>247.59100000000001</v>
      </c>
      <c r="D29" s="1">
        <v>2594.23</v>
      </c>
      <c r="E29" s="1">
        <v>1878.28</v>
      </c>
      <c r="F29" s="1">
        <v>711.39499999999998</v>
      </c>
      <c r="G29" s="7">
        <v>1</v>
      </c>
      <c r="H29" s="1">
        <v>30</v>
      </c>
      <c r="I29" s="13" t="s">
        <v>62</v>
      </c>
      <c r="J29" s="1"/>
      <c r="K29" s="1">
        <v>2030.7809999999999</v>
      </c>
      <c r="L29" s="1">
        <f t="shared" si="2"/>
        <v>-152.50099999999998</v>
      </c>
      <c r="M29" s="1"/>
      <c r="N29" s="1"/>
      <c r="O29" s="1">
        <v>717</v>
      </c>
      <c r="P29" s="1">
        <v>783</v>
      </c>
      <c r="Q29" s="1">
        <f t="shared" si="3"/>
        <v>375.65600000000001</v>
      </c>
      <c r="R29" s="5">
        <f>11*Q29-P29-O29-F29</f>
        <v>1920.8210000000004</v>
      </c>
      <c r="S29" s="1">
        <f t="shared" si="4"/>
        <v>11</v>
      </c>
      <c r="T29" s="1">
        <f t="shared" si="5"/>
        <v>5.8867554358242646</v>
      </c>
      <c r="U29" s="1">
        <v>362.08580000000001</v>
      </c>
      <c r="V29" s="1">
        <v>409.18340000000001</v>
      </c>
      <c r="W29" s="1">
        <v>406.64479999999998</v>
      </c>
      <c r="X29" s="1">
        <v>471.33839999999998</v>
      </c>
      <c r="Y29" s="1">
        <v>480.87979999999999</v>
      </c>
      <c r="Z29" s="1">
        <v>213.43700000000001</v>
      </c>
      <c r="AA29" s="1">
        <v>215.16399999999999</v>
      </c>
      <c r="AB29" s="1">
        <v>450.7</v>
      </c>
      <c r="AC29" s="1">
        <v>450.23039999999997</v>
      </c>
      <c r="AD29" s="1">
        <v>427.48280000000011</v>
      </c>
      <c r="AE29" s="1"/>
      <c r="AF29" s="1">
        <f>G29*R29</f>
        <v>1920.8210000000004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9" t="s">
        <v>66</v>
      </c>
      <c r="B30" s="9" t="s">
        <v>36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49</v>
      </c>
      <c r="J30" s="9"/>
      <c r="K30" s="9">
        <v>5.2</v>
      </c>
      <c r="L30" s="9">
        <f t="shared" si="2"/>
        <v>-5.2</v>
      </c>
      <c r="M30" s="9"/>
      <c r="N30" s="9"/>
      <c r="O30" s="9">
        <v>0</v>
      </c>
      <c r="P30" s="9"/>
      <c r="Q30" s="9">
        <f t="shared" si="3"/>
        <v>0</v>
      </c>
      <c r="R30" s="11"/>
      <c r="S30" s="9" t="e">
        <f t="shared" si="4"/>
        <v>#DIV/0!</v>
      </c>
      <c r="T30" s="9" t="e">
        <f t="shared" si="5"/>
        <v>#DIV/0!</v>
      </c>
      <c r="U30" s="9">
        <v>0</v>
      </c>
      <c r="V30" s="9">
        <v>0</v>
      </c>
      <c r="W30" s="9">
        <v>0.26</v>
      </c>
      <c r="X30" s="9">
        <v>1.5546</v>
      </c>
      <c r="Y30" s="9">
        <v>4.6036000000000001</v>
      </c>
      <c r="Z30" s="9">
        <v>4.6284000000000001</v>
      </c>
      <c r="AA30" s="9">
        <v>3.6878000000000002</v>
      </c>
      <c r="AB30" s="9">
        <v>5.8213999999999997</v>
      </c>
      <c r="AC30" s="9">
        <v>3.9933999999999998</v>
      </c>
      <c r="AD30" s="9">
        <v>2.5615999999999999</v>
      </c>
      <c r="AE30" s="9"/>
      <c r="AF30" s="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9" t="s">
        <v>67</v>
      </c>
      <c r="B31" s="9" t="s">
        <v>36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49</v>
      </c>
      <c r="J31" s="9"/>
      <c r="K31" s="9">
        <v>51.5</v>
      </c>
      <c r="L31" s="9">
        <f t="shared" si="2"/>
        <v>-51.5</v>
      </c>
      <c r="M31" s="9"/>
      <c r="N31" s="9"/>
      <c r="O31" s="9">
        <v>0</v>
      </c>
      <c r="P31" s="9"/>
      <c r="Q31" s="9">
        <f t="shared" si="3"/>
        <v>0</v>
      </c>
      <c r="R31" s="11"/>
      <c r="S31" s="9" t="e">
        <f t="shared" si="4"/>
        <v>#DIV/0!</v>
      </c>
      <c r="T31" s="9" t="e">
        <f t="shared" si="5"/>
        <v>#DIV/0!</v>
      </c>
      <c r="U31" s="9">
        <v>0</v>
      </c>
      <c r="V31" s="9">
        <v>0</v>
      </c>
      <c r="W31" s="9">
        <v>0</v>
      </c>
      <c r="X31" s="9">
        <v>0.73980000000000001</v>
      </c>
      <c r="Y31" s="9">
        <v>1.2958000000000001</v>
      </c>
      <c r="Z31" s="9">
        <v>12.6168</v>
      </c>
      <c r="AA31" s="9">
        <v>11.9848</v>
      </c>
      <c r="AB31" s="9">
        <v>17.542200000000001</v>
      </c>
      <c r="AC31" s="9">
        <v>20.3004</v>
      </c>
      <c r="AD31" s="9">
        <v>11.212</v>
      </c>
      <c r="AE31" s="9"/>
      <c r="AF31" s="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68</v>
      </c>
      <c r="B32" s="1" t="s">
        <v>36</v>
      </c>
      <c r="C32" s="1">
        <v>3.7480000000000002</v>
      </c>
      <c r="D32" s="1"/>
      <c r="E32" s="1">
        <v>-7.1459999999999999</v>
      </c>
      <c r="F32" s="1">
        <v>3.7480000000000002</v>
      </c>
      <c r="G32" s="7">
        <v>1</v>
      </c>
      <c r="H32" s="1">
        <v>40</v>
      </c>
      <c r="I32" s="13" t="s">
        <v>62</v>
      </c>
      <c r="J32" s="1"/>
      <c r="K32" s="1">
        <v>321.39999999999998</v>
      </c>
      <c r="L32" s="1">
        <f t="shared" si="2"/>
        <v>-328.54599999999999</v>
      </c>
      <c r="M32" s="1"/>
      <c r="N32" s="1"/>
      <c r="O32" s="1">
        <v>573.6</v>
      </c>
      <c r="P32" s="1">
        <v>626.4</v>
      </c>
      <c r="Q32" s="1">
        <f t="shared" si="3"/>
        <v>-1.4292</v>
      </c>
      <c r="R32" s="5">
        <v>1000</v>
      </c>
      <c r="S32" s="1">
        <f t="shared" si="4"/>
        <v>-1541.94514413658</v>
      </c>
      <c r="T32" s="1">
        <f t="shared" si="5"/>
        <v>-842.2530086761825</v>
      </c>
      <c r="U32" s="1">
        <v>-0.58739999999999992</v>
      </c>
      <c r="V32" s="1">
        <v>-0.2024</v>
      </c>
      <c r="W32" s="1">
        <v>-0.22040000000000001</v>
      </c>
      <c r="X32" s="1">
        <v>466.95479999999998</v>
      </c>
      <c r="Y32" s="1">
        <v>466.65679999999998</v>
      </c>
      <c r="Z32" s="1">
        <v>-1.0442</v>
      </c>
      <c r="AA32" s="1">
        <v>170.2936</v>
      </c>
      <c r="AB32" s="1">
        <v>540.2518</v>
      </c>
      <c r="AC32" s="1">
        <v>543.82479999999998</v>
      </c>
      <c r="AD32" s="1">
        <v>632.09960000000001</v>
      </c>
      <c r="AE32" s="1"/>
      <c r="AF32" s="1">
        <f>G32*R32</f>
        <v>1000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9" t="s">
        <v>69</v>
      </c>
      <c r="B33" s="9" t="s">
        <v>36</v>
      </c>
      <c r="C33" s="9"/>
      <c r="D33" s="9"/>
      <c r="E33" s="9"/>
      <c r="F33" s="9"/>
      <c r="G33" s="10">
        <v>0</v>
      </c>
      <c r="H33" s="9"/>
      <c r="I33" s="9" t="s">
        <v>37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f t="shared" si="3"/>
        <v>0</v>
      </c>
      <c r="R33" s="11"/>
      <c r="S33" s="9" t="e">
        <f t="shared" si="4"/>
        <v>#DIV/0!</v>
      </c>
      <c r="T33" s="9" t="e">
        <f t="shared" si="5"/>
        <v>#DIV/0!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 t="s">
        <v>42</v>
      </c>
      <c r="AF33" s="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70</v>
      </c>
      <c r="B34" s="1" t="s">
        <v>36</v>
      </c>
      <c r="C34" s="1">
        <v>224.261</v>
      </c>
      <c r="D34" s="1">
        <v>105.42400000000001</v>
      </c>
      <c r="E34" s="1">
        <v>209.51400000000001</v>
      </c>
      <c r="F34" s="1">
        <v>73.826999999999998</v>
      </c>
      <c r="G34" s="7">
        <v>1</v>
      </c>
      <c r="H34" s="1">
        <v>30</v>
      </c>
      <c r="I34" s="13" t="s">
        <v>62</v>
      </c>
      <c r="J34" s="1"/>
      <c r="K34" s="1">
        <v>227.7</v>
      </c>
      <c r="L34" s="1">
        <f t="shared" si="2"/>
        <v>-18.185999999999979</v>
      </c>
      <c r="M34" s="1"/>
      <c r="N34" s="1"/>
      <c r="O34" s="1">
        <v>200</v>
      </c>
      <c r="P34" s="1"/>
      <c r="Q34" s="1">
        <f t="shared" si="3"/>
        <v>41.902799999999999</v>
      </c>
      <c r="R34" s="5">
        <v>150</v>
      </c>
      <c r="S34" s="1">
        <f t="shared" si="4"/>
        <v>10.114526952852794</v>
      </c>
      <c r="T34" s="1">
        <f t="shared" si="5"/>
        <v>6.5348139026508969</v>
      </c>
      <c r="U34" s="1">
        <v>49.4908</v>
      </c>
      <c r="V34" s="1">
        <v>47.421799999999998</v>
      </c>
      <c r="W34" s="1">
        <v>41.256</v>
      </c>
      <c r="X34" s="1">
        <v>46.957599999999999</v>
      </c>
      <c r="Y34" s="1">
        <v>52.282200000000003</v>
      </c>
      <c r="Z34" s="1">
        <v>40.8566</v>
      </c>
      <c r="AA34" s="1">
        <v>32.737400000000001</v>
      </c>
      <c r="AB34" s="1">
        <v>46.584200000000003</v>
      </c>
      <c r="AC34" s="1">
        <v>55.434800000000003</v>
      </c>
      <c r="AD34" s="1">
        <v>52.496000000000002</v>
      </c>
      <c r="AE34" s="1"/>
      <c r="AF34" s="1">
        <f>G34*R34</f>
        <v>150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9" t="s">
        <v>71</v>
      </c>
      <c r="B35" s="9" t="s">
        <v>36</v>
      </c>
      <c r="C35" s="9"/>
      <c r="D35" s="9"/>
      <c r="E35" s="9"/>
      <c r="F35" s="9"/>
      <c r="G35" s="10">
        <v>0</v>
      </c>
      <c r="H35" s="9"/>
      <c r="I35" s="9" t="s">
        <v>37</v>
      </c>
      <c r="J35" s="9"/>
      <c r="K35" s="9"/>
      <c r="L35" s="9">
        <f t="shared" si="2"/>
        <v>0</v>
      </c>
      <c r="M35" s="9"/>
      <c r="N35" s="9"/>
      <c r="O35" s="9">
        <v>0</v>
      </c>
      <c r="P35" s="9"/>
      <c r="Q35" s="9">
        <f t="shared" si="3"/>
        <v>0</v>
      </c>
      <c r="R35" s="11"/>
      <c r="S35" s="9" t="e">
        <f t="shared" si="4"/>
        <v>#DIV/0!</v>
      </c>
      <c r="T35" s="9" t="e">
        <f t="shared" si="5"/>
        <v>#DIV/0!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 t="s">
        <v>42</v>
      </c>
      <c r="AF35" s="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72</v>
      </c>
      <c r="B36" s="9" t="s">
        <v>36</v>
      </c>
      <c r="C36" s="9"/>
      <c r="D36" s="9"/>
      <c r="E36" s="9"/>
      <c r="F36" s="9"/>
      <c r="G36" s="10">
        <v>0</v>
      </c>
      <c r="H36" s="9"/>
      <c r="I36" s="9" t="s">
        <v>37</v>
      </c>
      <c r="J36" s="9"/>
      <c r="K36" s="9"/>
      <c r="L36" s="9">
        <f t="shared" si="2"/>
        <v>0</v>
      </c>
      <c r="M36" s="9"/>
      <c r="N36" s="9"/>
      <c r="O36" s="9">
        <v>0</v>
      </c>
      <c r="P36" s="9"/>
      <c r="Q36" s="9">
        <f t="shared" si="3"/>
        <v>0</v>
      </c>
      <c r="R36" s="11"/>
      <c r="S36" s="9" t="e">
        <f t="shared" si="4"/>
        <v>#DIV/0!</v>
      </c>
      <c r="T36" s="9" t="e">
        <f t="shared" si="5"/>
        <v>#DIV/0!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 t="s">
        <v>42</v>
      </c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73</v>
      </c>
      <c r="B37" s="1" t="s">
        <v>41</v>
      </c>
      <c r="C37" s="1">
        <v>-26.06</v>
      </c>
      <c r="D37" s="1">
        <v>4200</v>
      </c>
      <c r="E37" s="1">
        <v>1753</v>
      </c>
      <c r="F37" s="1">
        <v>1765.94</v>
      </c>
      <c r="G37" s="7">
        <v>0.4</v>
      </c>
      <c r="H37" s="1">
        <v>45</v>
      </c>
      <c r="I37" s="13" t="s">
        <v>62</v>
      </c>
      <c r="J37" s="1"/>
      <c r="K37" s="1">
        <v>2927</v>
      </c>
      <c r="L37" s="1">
        <f t="shared" si="2"/>
        <v>-1174</v>
      </c>
      <c r="M37" s="1"/>
      <c r="N37" s="1"/>
      <c r="O37" s="1">
        <v>1434</v>
      </c>
      <c r="P37" s="1">
        <v>1566</v>
      </c>
      <c r="Q37" s="1">
        <f t="shared" si="3"/>
        <v>350.6</v>
      </c>
      <c r="R37" s="5">
        <v>2000</v>
      </c>
      <c r="S37" s="1">
        <f t="shared" si="4"/>
        <v>19.29817455790074</v>
      </c>
      <c r="T37" s="1">
        <f t="shared" si="5"/>
        <v>13.593667997718198</v>
      </c>
      <c r="U37" s="1">
        <v>627.6</v>
      </c>
      <c r="V37" s="1">
        <v>957.4</v>
      </c>
      <c r="W37" s="1">
        <v>972</v>
      </c>
      <c r="X37" s="1">
        <v>989.81200000000013</v>
      </c>
      <c r="Y37" s="1">
        <v>974.61200000000008</v>
      </c>
      <c r="Z37" s="1">
        <v>922.4</v>
      </c>
      <c r="AA37" s="1">
        <v>935.8</v>
      </c>
      <c r="AB37" s="1">
        <v>879.4</v>
      </c>
      <c r="AC37" s="1">
        <v>846.35859999999991</v>
      </c>
      <c r="AD37" s="1">
        <v>867.75859999999989</v>
      </c>
      <c r="AE37" s="1"/>
      <c r="AF37" s="1">
        <f t="shared" ref="AF37:AF57" si="11">G37*R37</f>
        <v>800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74</v>
      </c>
      <c r="B38" s="1" t="s">
        <v>41</v>
      </c>
      <c r="C38" s="1">
        <v>191</v>
      </c>
      <c r="D38" s="1">
        <v>1050</v>
      </c>
      <c r="E38" s="1">
        <v>484</v>
      </c>
      <c r="F38" s="1">
        <v>658</v>
      </c>
      <c r="G38" s="7">
        <v>0.45</v>
      </c>
      <c r="H38" s="1">
        <v>50</v>
      </c>
      <c r="I38" s="1" t="s">
        <v>37</v>
      </c>
      <c r="J38" s="1"/>
      <c r="K38" s="1">
        <v>486</v>
      </c>
      <c r="L38" s="1">
        <f t="shared" ref="L38:L69" si="12">E38-K38</f>
        <v>-2</v>
      </c>
      <c r="M38" s="1"/>
      <c r="N38" s="1"/>
      <c r="O38" s="1">
        <v>234.8453999999999</v>
      </c>
      <c r="P38" s="1"/>
      <c r="Q38" s="1">
        <f t="shared" ref="Q38:Q69" si="13">E38/5</f>
        <v>96.8</v>
      </c>
      <c r="R38" s="5">
        <f t="shared" ref="R37:R57" si="14">12*Q38-P38-O38-F38</f>
        <v>268.75459999999998</v>
      </c>
      <c r="S38" s="1">
        <f t="shared" ref="S38:S69" si="15">(F38+O38+P38+R38)/Q38</f>
        <v>12</v>
      </c>
      <c r="T38" s="1">
        <f t="shared" ref="T38:T69" si="16">(F38+O38+P38)/Q38</f>
        <v>9.2236095041322308</v>
      </c>
      <c r="U38" s="1">
        <v>99.2</v>
      </c>
      <c r="V38" s="1">
        <v>105.4</v>
      </c>
      <c r="W38" s="1">
        <v>102.8</v>
      </c>
      <c r="X38" s="1">
        <v>77.8</v>
      </c>
      <c r="Y38" s="1">
        <v>75</v>
      </c>
      <c r="Z38" s="1">
        <v>65</v>
      </c>
      <c r="AA38" s="1">
        <v>95.6</v>
      </c>
      <c r="AB38" s="1">
        <v>101.8</v>
      </c>
      <c r="AC38" s="1">
        <v>92.4</v>
      </c>
      <c r="AD38" s="1">
        <v>96.2</v>
      </c>
      <c r="AE38" s="1"/>
      <c r="AF38" s="1">
        <f t="shared" si="11"/>
        <v>120.93956999999999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75</v>
      </c>
      <c r="B39" s="1" t="s">
        <v>41</v>
      </c>
      <c r="C39" s="1">
        <v>-28</v>
      </c>
      <c r="D39" s="1">
        <v>300</v>
      </c>
      <c r="E39" s="1">
        <v>295</v>
      </c>
      <c r="F39" s="1">
        <v>-30</v>
      </c>
      <c r="G39" s="7">
        <v>0.4</v>
      </c>
      <c r="H39" s="1">
        <v>45</v>
      </c>
      <c r="I39" s="13" t="s">
        <v>62</v>
      </c>
      <c r="J39" s="1"/>
      <c r="K39" s="1">
        <v>814</v>
      </c>
      <c r="L39" s="1">
        <f t="shared" si="12"/>
        <v>-519</v>
      </c>
      <c r="M39" s="1"/>
      <c r="N39" s="1"/>
      <c r="O39" s="1">
        <v>500</v>
      </c>
      <c r="P39" s="1"/>
      <c r="Q39" s="1">
        <f t="shared" si="13"/>
        <v>59</v>
      </c>
      <c r="R39" s="5">
        <v>400</v>
      </c>
      <c r="S39" s="1">
        <f t="shared" si="15"/>
        <v>14.745762711864407</v>
      </c>
      <c r="T39" s="1">
        <f t="shared" si="16"/>
        <v>7.9661016949152543</v>
      </c>
      <c r="U39" s="1">
        <v>102.6</v>
      </c>
      <c r="V39" s="1">
        <v>216.8</v>
      </c>
      <c r="W39" s="1">
        <v>259</v>
      </c>
      <c r="X39" s="1">
        <v>245.2</v>
      </c>
      <c r="Y39" s="1">
        <v>165.6</v>
      </c>
      <c r="Z39" s="1">
        <v>105.6</v>
      </c>
      <c r="AA39" s="1">
        <v>196.2</v>
      </c>
      <c r="AB39" s="1">
        <v>218.8</v>
      </c>
      <c r="AC39" s="1">
        <v>207.2</v>
      </c>
      <c r="AD39" s="1">
        <v>223</v>
      </c>
      <c r="AE39" s="1"/>
      <c r="AF39" s="1">
        <f t="shared" si="11"/>
        <v>160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76</v>
      </c>
      <c r="B40" s="1" t="s">
        <v>41</v>
      </c>
      <c r="C40" s="1">
        <v>22</v>
      </c>
      <c r="D40" s="1"/>
      <c r="E40" s="1">
        <v>22</v>
      </c>
      <c r="F40" s="1"/>
      <c r="G40" s="7">
        <v>0.4</v>
      </c>
      <c r="H40" s="1">
        <v>40</v>
      </c>
      <c r="I40" s="13" t="s">
        <v>62</v>
      </c>
      <c r="J40" s="1"/>
      <c r="K40" s="1">
        <v>25</v>
      </c>
      <c r="L40" s="1">
        <f t="shared" si="12"/>
        <v>-3</v>
      </c>
      <c r="M40" s="1"/>
      <c r="N40" s="1"/>
      <c r="O40" s="1">
        <v>30</v>
      </c>
      <c r="P40" s="1"/>
      <c r="Q40" s="1">
        <f t="shared" si="13"/>
        <v>4.4000000000000004</v>
      </c>
      <c r="R40" s="5">
        <v>20</v>
      </c>
      <c r="S40" s="1">
        <f t="shared" si="15"/>
        <v>11.363636363636363</v>
      </c>
      <c r="T40" s="1">
        <f t="shared" si="16"/>
        <v>6.8181818181818175</v>
      </c>
      <c r="U40" s="1">
        <v>7.2</v>
      </c>
      <c r="V40" s="1">
        <v>3.8</v>
      </c>
      <c r="W40" s="1">
        <v>2.6</v>
      </c>
      <c r="X40" s="1">
        <v>3.6</v>
      </c>
      <c r="Y40" s="1">
        <v>2.2000000000000002</v>
      </c>
      <c r="Z40" s="1">
        <v>2.6</v>
      </c>
      <c r="AA40" s="1">
        <v>5.4</v>
      </c>
      <c r="AB40" s="1">
        <v>4</v>
      </c>
      <c r="AC40" s="1">
        <v>1.4</v>
      </c>
      <c r="AD40" s="1">
        <v>2.8</v>
      </c>
      <c r="AE40" s="1"/>
      <c r="AF40" s="1">
        <f t="shared" si="11"/>
        <v>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77</v>
      </c>
      <c r="B41" s="1" t="s">
        <v>36</v>
      </c>
      <c r="C41" s="1">
        <v>0.64700000000000002</v>
      </c>
      <c r="D41" s="1">
        <v>524.41</v>
      </c>
      <c r="E41" s="1">
        <v>335.33600000000001</v>
      </c>
      <c r="F41" s="1">
        <v>172.31100000000001</v>
      </c>
      <c r="G41" s="7">
        <v>1</v>
      </c>
      <c r="H41" s="1">
        <v>45</v>
      </c>
      <c r="I41" s="1" t="s">
        <v>37</v>
      </c>
      <c r="J41" s="1"/>
      <c r="K41" s="1">
        <v>338.91300000000001</v>
      </c>
      <c r="L41" s="1">
        <f t="shared" si="12"/>
        <v>-3.5769999999999982</v>
      </c>
      <c r="M41" s="1"/>
      <c r="N41" s="1"/>
      <c r="O41" s="1">
        <v>224.09166680000001</v>
      </c>
      <c r="P41" s="1"/>
      <c r="Q41" s="1">
        <f t="shared" si="13"/>
        <v>67.0672</v>
      </c>
      <c r="R41" s="5">
        <f t="shared" si="14"/>
        <v>408.40373319999992</v>
      </c>
      <c r="S41" s="1">
        <f t="shared" si="15"/>
        <v>12</v>
      </c>
      <c r="T41" s="1">
        <f t="shared" si="16"/>
        <v>5.9105295405205531</v>
      </c>
      <c r="U41" s="1">
        <v>44.9604</v>
      </c>
      <c r="V41" s="1">
        <v>-1.5009999999999999</v>
      </c>
      <c r="W41" s="1">
        <v>-2.0733999999999999</v>
      </c>
      <c r="X41" s="1">
        <v>9.1658000000000008</v>
      </c>
      <c r="Y41" s="1">
        <v>37.942599999999999</v>
      </c>
      <c r="Z41" s="1">
        <v>58.043199999999999</v>
      </c>
      <c r="AA41" s="1">
        <v>60.015799999999999</v>
      </c>
      <c r="AB41" s="1">
        <v>55.129399999999997</v>
      </c>
      <c r="AC41" s="1">
        <v>48.190600000000003</v>
      </c>
      <c r="AD41" s="1">
        <v>52.069800000000001</v>
      </c>
      <c r="AE41" s="1"/>
      <c r="AF41" s="1">
        <f t="shared" si="11"/>
        <v>408.40373319999992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78</v>
      </c>
      <c r="B42" s="1" t="s">
        <v>41</v>
      </c>
      <c r="C42" s="1">
        <v>386</v>
      </c>
      <c r="D42" s="1">
        <v>480</v>
      </c>
      <c r="E42" s="1">
        <v>325</v>
      </c>
      <c r="F42" s="1">
        <v>505</v>
      </c>
      <c r="G42" s="7">
        <v>0.1</v>
      </c>
      <c r="H42" s="1">
        <v>731</v>
      </c>
      <c r="I42" s="1" t="s">
        <v>37</v>
      </c>
      <c r="J42" s="1"/>
      <c r="K42" s="1">
        <v>325</v>
      </c>
      <c r="L42" s="1">
        <f t="shared" si="12"/>
        <v>0</v>
      </c>
      <c r="M42" s="1"/>
      <c r="N42" s="1"/>
      <c r="O42" s="1">
        <v>76.799999999999955</v>
      </c>
      <c r="P42" s="1"/>
      <c r="Q42" s="1">
        <f t="shared" si="13"/>
        <v>65</v>
      </c>
      <c r="R42" s="5">
        <f t="shared" si="14"/>
        <v>198.20000000000005</v>
      </c>
      <c r="S42" s="1">
        <f t="shared" si="15"/>
        <v>12</v>
      </c>
      <c r="T42" s="1">
        <f t="shared" si="16"/>
        <v>8.9507692307692306</v>
      </c>
      <c r="U42" s="1">
        <v>62.8</v>
      </c>
      <c r="V42" s="1">
        <v>64</v>
      </c>
      <c r="W42" s="1">
        <v>69.2</v>
      </c>
      <c r="X42" s="1">
        <v>86.4</v>
      </c>
      <c r="Y42" s="1">
        <v>78.599999999999994</v>
      </c>
      <c r="Z42" s="1">
        <v>70.599999999999994</v>
      </c>
      <c r="AA42" s="1">
        <v>80.599999999999994</v>
      </c>
      <c r="AB42" s="1">
        <v>60.2</v>
      </c>
      <c r="AC42" s="1">
        <v>46.4</v>
      </c>
      <c r="AD42" s="1">
        <v>46.8</v>
      </c>
      <c r="AE42" s="1"/>
      <c r="AF42" s="1">
        <f t="shared" si="11"/>
        <v>19.820000000000007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79</v>
      </c>
      <c r="B43" s="1" t="s">
        <v>41</v>
      </c>
      <c r="C43" s="1"/>
      <c r="D43" s="1"/>
      <c r="E43" s="1">
        <v>-13</v>
      </c>
      <c r="F43" s="1">
        <v>-1</v>
      </c>
      <c r="G43" s="7">
        <v>0.35</v>
      </c>
      <c r="H43" s="1">
        <v>40</v>
      </c>
      <c r="I43" s="13" t="s">
        <v>62</v>
      </c>
      <c r="J43" s="1"/>
      <c r="K43" s="1">
        <v>55</v>
      </c>
      <c r="L43" s="1">
        <f t="shared" si="12"/>
        <v>-68</v>
      </c>
      <c r="M43" s="1"/>
      <c r="N43" s="1"/>
      <c r="O43" s="1">
        <v>100</v>
      </c>
      <c r="P43" s="1"/>
      <c r="Q43" s="1">
        <f t="shared" si="13"/>
        <v>-2.6</v>
      </c>
      <c r="R43" s="5">
        <v>100</v>
      </c>
      <c r="S43" s="1">
        <f t="shared" si="15"/>
        <v>-76.538461538461533</v>
      </c>
      <c r="T43" s="1">
        <f t="shared" si="16"/>
        <v>-38.076923076923073</v>
      </c>
      <c r="U43" s="1">
        <v>-2.8</v>
      </c>
      <c r="V43" s="1">
        <v>-2.8</v>
      </c>
      <c r="W43" s="1">
        <v>-3</v>
      </c>
      <c r="X43" s="1">
        <v>6.8</v>
      </c>
      <c r="Y43" s="1">
        <v>28.4</v>
      </c>
      <c r="Z43" s="1">
        <v>45</v>
      </c>
      <c r="AA43" s="1">
        <v>43.6</v>
      </c>
      <c r="AB43" s="1">
        <v>47.6</v>
      </c>
      <c r="AC43" s="1">
        <v>44.6</v>
      </c>
      <c r="AD43" s="1">
        <v>46.4</v>
      </c>
      <c r="AE43" s="1"/>
      <c r="AF43" s="1">
        <f t="shared" si="11"/>
        <v>35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80</v>
      </c>
      <c r="B44" s="1" t="s">
        <v>36</v>
      </c>
      <c r="C44" s="1">
        <v>48.213000000000001</v>
      </c>
      <c r="D44" s="1"/>
      <c r="E44" s="1">
        <v>42.087000000000003</v>
      </c>
      <c r="F44" s="1">
        <v>4.6760000000000002</v>
      </c>
      <c r="G44" s="7">
        <v>1</v>
      </c>
      <c r="H44" s="1">
        <v>40</v>
      </c>
      <c r="I44" s="13" t="s">
        <v>62</v>
      </c>
      <c r="J44" s="1"/>
      <c r="K44" s="1">
        <v>55.75</v>
      </c>
      <c r="L44" s="1">
        <f t="shared" si="12"/>
        <v>-13.662999999999997</v>
      </c>
      <c r="M44" s="1"/>
      <c r="N44" s="1"/>
      <c r="O44" s="1">
        <v>30</v>
      </c>
      <c r="P44" s="1"/>
      <c r="Q44" s="1">
        <f t="shared" si="13"/>
        <v>8.4174000000000007</v>
      </c>
      <c r="R44" s="5">
        <v>30</v>
      </c>
      <c r="S44" s="1">
        <f t="shared" si="15"/>
        <v>7.683607764868011</v>
      </c>
      <c r="T44" s="1">
        <f t="shared" si="16"/>
        <v>4.1195618599567565</v>
      </c>
      <c r="U44" s="1">
        <v>11.9122</v>
      </c>
      <c r="V44" s="1">
        <v>8.8938000000000006</v>
      </c>
      <c r="W44" s="1">
        <v>8.7584</v>
      </c>
      <c r="X44" s="1">
        <v>7.7378</v>
      </c>
      <c r="Y44" s="1">
        <v>8.1522000000000006</v>
      </c>
      <c r="Z44" s="1">
        <v>10.566599999999999</v>
      </c>
      <c r="AA44" s="1">
        <v>9.1028000000000002</v>
      </c>
      <c r="AB44" s="1">
        <v>7.556</v>
      </c>
      <c r="AC44" s="1">
        <v>7.9702000000000002</v>
      </c>
      <c r="AD44" s="1">
        <v>9.6010000000000009</v>
      </c>
      <c r="AE44" s="1"/>
      <c r="AF44" s="1">
        <f t="shared" si="11"/>
        <v>30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81</v>
      </c>
      <c r="B45" s="1" t="s">
        <v>41</v>
      </c>
      <c r="C45" s="1">
        <v>15</v>
      </c>
      <c r="D45" s="1">
        <v>291</v>
      </c>
      <c r="E45" s="1">
        <v>232</v>
      </c>
      <c r="F45" s="1">
        <v>47</v>
      </c>
      <c r="G45" s="7">
        <v>0.4</v>
      </c>
      <c r="H45" s="1">
        <v>40</v>
      </c>
      <c r="I45" s="13" t="s">
        <v>62</v>
      </c>
      <c r="J45" s="1"/>
      <c r="K45" s="1">
        <v>282</v>
      </c>
      <c r="L45" s="1">
        <f t="shared" si="12"/>
        <v>-50</v>
      </c>
      <c r="M45" s="1"/>
      <c r="N45" s="1"/>
      <c r="O45" s="1">
        <v>120</v>
      </c>
      <c r="P45" s="1"/>
      <c r="Q45" s="1">
        <f t="shared" si="13"/>
        <v>46.4</v>
      </c>
      <c r="R45" s="5">
        <v>100</v>
      </c>
      <c r="S45" s="1">
        <f t="shared" si="15"/>
        <v>5.7543103448275863</v>
      </c>
      <c r="T45" s="1">
        <f t="shared" si="16"/>
        <v>3.5991379310344827</v>
      </c>
      <c r="U45" s="1">
        <v>39.4</v>
      </c>
      <c r="V45" s="1">
        <v>7</v>
      </c>
      <c r="W45" s="1">
        <v>3</v>
      </c>
      <c r="X45" s="1">
        <v>44.6</v>
      </c>
      <c r="Y45" s="1">
        <v>42.4</v>
      </c>
      <c r="Z45" s="1">
        <v>-0.8</v>
      </c>
      <c r="AA45" s="1">
        <v>17.2</v>
      </c>
      <c r="AB45" s="1">
        <v>30.2</v>
      </c>
      <c r="AC45" s="1">
        <v>32.799999999999997</v>
      </c>
      <c r="AD45" s="1">
        <v>44.6</v>
      </c>
      <c r="AE45" s="1"/>
      <c r="AF45" s="1">
        <f t="shared" si="11"/>
        <v>40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82</v>
      </c>
      <c r="B46" s="1" t="s">
        <v>41</v>
      </c>
      <c r="C46" s="1">
        <v>12</v>
      </c>
      <c r="D46" s="1">
        <v>252</v>
      </c>
      <c r="E46" s="1">
        <v>129</v>
      </c>
      <c r="F46" s="1">
        <v>57</v>
      </c>
      <c r="G46" s="7">
        <v>0.4</v>
      </c>
      <c r="H46" s="1">
        <v>45</v>
      </c>
      <c r="I46" s="13" t="s">
        <v>62</v>
      </c>
      <c r="J46" s="1"/>
      <c r="K46" s="1">
        <v>330</v>
      </c>
      <c r="L46" s="1">
        <f t="shared" si="12"/>
        <v>-201</v>
      </c>
      <c r="M46" s="1"/>
      <c r="N46" s="1"/>
      <c r="O46" s="1">
        <v>200</v>
      </c>
      <c r="P46" s="1"/>
      <c r="Q46" s="1">
        <f t="shared" si="13"/>
        <v>25.8</v>
      </c>
      <c r="R46" s="5">
        <v>100</v>
      </c>
      <c r="S46" s="1">
        <f t="shared" si="15"/>
        <v>13.837209302325581</v>
      </c>
      <c r="T46" s="1">
        <f t="shared" si="16"/>
        <v>9.9612403100775193</v>
      </c>
      <c r="U46" s="1">
        <v>20.399999999999999</v>
      </c>
      <c r="V46" s="1">
        <v>-0.8</v>
      </c>
      <c r="W46" s="1">
        <v>23.6</v>
      </c>
      <c r="X46" s="1">
        <v>52.4</v>
      </c>
      <c r="Y46" s="1">
        <v>27.8</v>
      </c>
      <c r="Z46" s="1">
        <v>-0.8</v>
      </c>
      <c r="AA46" s="1">
        <v>6.6</v>
      </c>
      <c r="AB46" s="1">
        <v>42.6</v>
      </c>
      <c r="AC46" s="1">
        <v>57.4</v>
      </c>
      <c r="AD46" s="1">
        <v>39.6</v>
      </c>
      <c r="AE46" s="1"/>
      <c r="AF46" s="1">
        <f t="shared" si="11"/>
        <v>40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83</v>
      </c>
      <c r="B47" s="1" t="s">
        <v>36</v>
      </c>
      <c r="C47" s="1">
        <v>229.87899999999999</v>
      </c>
      <c r="D47" s="1"/>
      <c r="E47" s="1">
        <v>105.47199999999999</v>
      </c>
      <c r="F47" s="1">
        <v>97.52</v>
      </c>
      <c r="G47" s="7">
        <v>1</v>
      </c>
      <c r="H47" s="1">
        <v>40</v>
      </c>
      <c r="I47" s="1" t="s">
        <v>37</v>
      </c>
      <c r="J47" s="1"/>
      <c r="K47" s="1">
        <v>117.8</v>
      </c>
      <c r="L47" s="1">
        <f t="shared" si="12"/>
        <v>-12.328000000000003</v>
      </c>
      <c r="M47" s="1"/>
      <c r="N47" s="1"/>
      <c r="O47" s="1">
        <v>52.309800000000003</v>
      </c>
      <c r="P47" s="1"/>
      <c r="Q47" s="1">
        <f t="shared" si="13"/>
        <v>21.0944</v>
      </c>
      <c r="R47" s="5">
        <f t="shared" si="14"/>
        <v>103.30300000000001</v>
      </c>
      <c r="S47" s="1">
        <f t="shared" si="15"/>
        <v>12.000000000000002</v>
      </c>
      <c r="T47" s="1">
        <f t="shared" si="16"/>
        <v>7.1028234981796121</v>
      </c>
      <c r="U47" s="1">
        <v>18.771799999999999</v>
      </c>
      <c r="V47" s="1">
        <v>18.388999999999999</v>
      </c>
      <c r="W47" s="1">
        <v>21.290800000000001</v>
      </c>
      <c r="X47" s="1">
        <v>17.810400000000001</v>
      </c>
      <c r="Y47" s="1">
        <v>16.632000000000001</v>
      </c>
      <c r="Z47" s="1">
        <v>22.530799999999999</v>
      </c>
      <c r="AA47" s="1">
        <v>20.517600000000002</v>
      </c>
      <c r="AB47" s="1">
        <v>24.51</v>
      </c>
      <c r="AC47" s="1">
        <v>25.950800000000001</v>
      </c>
      <c r="AD47" s="1">
        <v>25.9468</v>
      </c>
      <c r="AE47" s="1"/>
      <c r="AF47" s="1">
        <f t="shared" si="11"/>
        <v>103.30300000000001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84</v>
      </c>
      <c r="B48" s="1" t="s">
        <v>41</v>
      </c>
      <c r="C48" s="1">
        <v>1328</v>
      </c>
      <c r="D48" s="1">
        <v>866</v>
      </c>
      <c r="E48" s="1">
        <v>1527</v>
      </c>
      <c r="F48" s="1">
        <v>489</v>
      </c>
      <c r="G48" s="7">
        <v>0.35</v>
      </c>
      <c r="H48" s="1">
        <v>40</v>
      </c>
      <c r="I48" s="13" t="s">
        <v>62</v>
      </c>
      <c r="J48" s="1"/>
      <c r="K48" s="1">
        <v>1560</v>
      </c>
      <c r="L48" s="1">
        <f t="shared" si="12"/>
        <v>-33</v>
      </c>
      <c r="M48" s="1"/>
      <c r="N48" s="1"/>
      <c r="O48" s="1">
        <v>286.8</v>
      </c>
      <c r="P48" s="1">
        <v>313.2</v>
      </c>
      <c r="Q48" s="1">
        <f t="shared" si="13"/>
        <v>305.39999999999998</v>
      </c>
      <c r="R48" s="5">
        <v>1500</v>
      </c>
      <c r="S48" s="1">
        <f t="shared" si="15"/>
        <v>8.4774066797642451</v>
      </c>
      <c r="T48" s="1">
        <f t="shared" si="16"/>
        <v>3.5658153241650297</v>
      </c>
      <c r="U48" s="1">
        <v>276</v>
      </c>
      <c r="V48" s="1">
        <v>231</v>
      </c>
      <c r="W48" s="1">
        <v>229.8</v>
      </c>
      <c r="X48" s="1">
        <v>254</v>
      </c>
      <c r="Y48" s="1">
        <v>261.39999999999998</v>
      </c>
      <c r="Z48" s="1">
        <v>234</v>
      </c>
      <c r="AA48" s="1">
        <v>230.6</v>
      </c>
      <c r="AB48" s="1">
        <v>272.2</v>
      </c>
      <c r="AC48" s="1">
        <v>290.39999999999998</v>
      </c>
      <c r="AD48" s="1">
        <v>282.2</v>
      </c>
      <c r="AE48" s="1"/>
      <c r="AF48" s="1">
        <f t="shared" si="11"/>
        <v>525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85</v>
      </c>
      <c r="B49" s="1" t="s">
        <v>41</v>
      </c>
      <c r="C49" s="1">
        <v>267</v>
      </c>
      <c r="D49" s="1">
        <v>1472</v>
      </c>
      <c r="E49" s="1">
        <v>784</v>
      </c>
      <c r="F49" s="1">
        <v>847</v>
      </c>
      <c r="G49" s="7">
        <v>0.4</v>
      </c>
      <c r="H49" s="1">
        <v>40</v>
      </c>
      <c r="I49" s="13" t="s">
        <v>62</v>
      </c>
      <c r="J49" s="1"/>
      <c r="K49" s="1">
        <v>801</v>
      </c>
      <c r="L49" s="1">
        <f t="shared" si="12"/>
        <v>-17</v>
      </c>
      <c r="M49" s="1"/>
      <c r="N49" s="1"/>
      <c r="O49" s="1">
        <v>239.26289999999989</v>
      </c>
      <c r="P49" s="1">
        <v>261.28710000000001</v>
      </c>
      <c r="Q49" s="1">
        <f t="shared" si="13"/>
        <v>156.80000000000001</v>
      </c>
      <c r="R49" s="5">
        <v>300</v>
      </c>
      <c r="S49" s="1">
        <f t="shared" si="15"/>
        <v>10.507334183673468</v>
      </c>
      <c r="T49" s="1">
        <f t="shared" si="16"/>
        <v>8.5940688775510203</v>
      </c>
      <c r="U49" s="1">
        <v>151.19999999999999</v>
      </c>
      <c r="V49" s="1">
        <v>139.6</v>
      </c>
      <c r="W49" s="1">
        <v>149</v>
      </c>
      <c r="X49" s="1">
        <v>103</v>
      </c>
      <c r="Y49" s="1">
        <v>49.8</v>
      </c>
      <c r="Z49" s="1">
        <v>86</v>
      </c>
      <c r="AA49" s="1">
        <v>134.4</v>
      </c>
      <c r="AB49" s="1">
        <v>143.4</v>
      </c>
      <c r="AC49" s="1">
        <v>127.4</v>
      </c>
      <c r="AD49" s="1">
        <v>113.8</v>
      </c>
      <c r="AE49" s="1"/>
      <c r="AF49" s="1">
        <f t="shared" si="11"/>
        <v>120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86</v>
      </c>
      <c r="B50" s="1" t="s">
        <v>36</v>
      </c>
      <c r="C50" s="1">
        <v>580.90099999999995</v>
      </c>
      <c r="D50" s="1">
        <v>348.733</v>
      </c>
      <c r="E50" s="1">
        <v>446.35899999999998</v>
      </c>
      <c r="F50" s="1">
        <v>423.39</v>
      </c>
      <c r="G50" s="7">
        <v>1</v>
      </c>
      <c r="H50" s="1">
        <v>50</v>
      </c>
      <c r="I50" s="1" t="s">
        <v>37</v>
      </c>
      <c r="J50" s="1"/>
      <c r="K50" s="1">
        <v>456.6</v>
      </c>
      <c r="L50" s="1">
        <f t="shared" si="12"/>
        <v>-10.241000000000042</v>
      </c>
      <c r="M50" s="1"/>
      <c r="N50" s="1"/>
      <c r="O50" s="1">
        <v>409.00763080000002</v>
      </c>
      <c r="P50" s="1"/>
      <c r="Q50" s="1">
        <f t="shared" si="13"/>
        <v>89.271799999999999</v>
      </c>
      <c r="R50" s="5">
        <f t="shared" si="14"/>
        <v>238.86396920000004</v>
      </c>
      <c r="S50" s="1">
        <f t="shared" si="15"/>
        <v>12</v>
      </c>
      <c r="T50" s="1">
        <f t="shared" si="16"/>
        <v>9.3243065648950729</v>
      </c>
      <c r="U50" s="1">
        <v>90.6524</v>
      </c>
      <c r="V50" s="1">
        <v>74.56</v>
      </c>
      <c r="W50" s="1">
        <v>74.037400000000005</v>
      </c>
      <c r="X50" s="1">
        <v>94.643200000000007</v>
      </c>
      <c r="Y50" s="1">
        <v>101.782</v>
      </c>
      <c r="Z50" s="1">
        <v>92.1952</v>
      </c>
      <c r="AA50" s="1">
        <v>85.624400000000009</v>
      </c>
      <c r="AB50" s="1">
        <v>98.405999999999992</v>
      </c>
      <c r="AC50" s="1">
        <v>105.60339999999999</v>
      </c>
      <c r="AD50" s="1">
        <v>102.15940000000001</v>
      </c>
      <c r="AE50" s="1"/>
      <c r="AF50" s="1">
        <f t="shared" si="11"/>
        <v>238.86396920000004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87</v>
      </c>
      <c r="B51" s="1" t="s">
        <v>36</v>
      </c>
      <c r="C51" s="1">
        <v>569.01800000000003</v>
      </c>
      <c r="D51" s="1">
        <v>721.96199999999999</v>
      </c>
      <c r="E51" s="1">
        <v>578.68600000000004</v>
      </c>
      <c r="F51" s="1">
        <v>644.6</v>
      </c>
      <c r="G51" s="7">
        <v>1</v>
      </c>
      <c r="H51" s="1">
        <v>50</v>
      </c>
      <c r="I51" s="1" t="s">
        <v>37</v>
      </c>
      <c r="J51" s="1"/>
      <c r="K51" s="1">
        <v>570.9</v>
      </c>
      <c r="L51" s="1">
        <f t="shared" si="12"/>
        <v>7.7860000000000582</v>
      </c>
      <c r="M51" s="1"/>
      <c r="N51" s="1"/>
      <c r="O51" s="1">
        <v>466.77858119999951</v>
      </c>
      <c r="P51" s="1"/>
      <c r="Q51" s="1">
        <f t="shared" si="13"/>
        <v>115.7372</v>
      </c>
      <c r="R51" s="5">
        <f t="shared" si="14"/>
        <v>277.46781880000037</v>
      </c>
      <c r="S51" s="1">
        <f t="shared" si="15"/>
        <v>11.999999999999998</v>
      </c>
      <c r="T51" s="1">
        <f t="shared" si="16"/>
        <v>9.6026047044511156</v>
      </c>
      <c r="U51" s="1">
        <v>120.2286</v>
      </c>
      <c r="V51" s="1">
        <v>105.809</v>
      </c>
      <c r="W51" s="1">
        <v>99.316400000000002</v>
      </c>
      <c r="X51" s="1">
        <v>104.8566</v>
      </c>
      <c r="Y51" s="1">
        <v>106.93259999999999</v>
      </c>
      <c r="Z51" s="1">
        <v>107.8848</v>
      </c>
      <c r="AA51" s="1">
        <v>115.07080000000001</v>
      </c>
      <c r="AB51" s="1">
        <v>121.9318</v>
      </c>
      <c r="AC51" s="1">
        <v>115.127</v>
      </c>
      <c r="AD51" s="1">
        <v>112.86660000000001</v>
      </c>
      <c r="AE51" s="1"/>
      <c r="AF51" s="1">
        <f t="shared" si="11"/>
        <v>277.46781880000037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88</v>
      </c>
      <c r="B52" s="1" t="s">
        <v>36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62</v>
      </c>
      <c r="J52" s="1"/>
      <c r="K52" s="1">
        <v>103.1</v>
      </c>
      <c r="L52" s="1">
        <f t="shared" si="12"/>
        <v>-104.27499999999999</v>
      </c>
      <c r="M52" s="1"/>
      <c r="N52" s="1"/>
      <c r="O52" s="1">
        <v>50</v>
      </c>
      <c r="P52" s="1"/>
      <c r="Q52" s="1">
        <f t="shared" si="13"/>
        <v>-0.23500000000000001</v>
      </c>
      <c r="R52" s="5">
        <v>40</v>
      </c>
      <c r="S52" s="1">
        <f t="shared" si="15"/>
        <v>-521.59999999999991</v>
      </c>
      <c r="T52" s="1">
        <f t="shared" si="16"/>
        <v>-351.38723404255313</v>
      </c>
      <c r="U52" s="1">
        <v>-0.23499999999999999</v>
      </c>
      <c r="V52" s="1">
        <v>0.58399999999999996</v>
      </c>
      <c r="W52" s="1">
        <v>9.094199999999999</v>
      </c>
      <c r="X52" s="1">
        <v>17.8614</v>
      </c>
      <c r="Y52" s="1">
        <v>19.946200000000001</v>
      </c>
      <c r="Z52" s="1">
        <v>17.854199999999999</v>
      </c>
      <c r="AA52" s="1">
        <v>15.411</v>
      </c>
      <c r="AB52" s="1">
        <v>11.0654</v>
      </c>
      <c r="AC52" s="1">
        <v>9.3583999999999996</v>
      </c>
      <c r="AD52" s="1">
        <v>8.730599999999999</v>
      </c>
      <c r="AE52" s="1"/>
      <c r="AF52" s="1">
        <f t="shared" si="11"/>
        <v>40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89</v>
      </c>
      <c r="B53" s="1" t="s">
        <v>41</v>
      </c>
      <c r="C53" s="1">
        <v>174</v>
      </c>
      <c r="D53" s="1">
        <v>360</v>
      </c>
      <c r="E53" s="1">
        <v>136</v>
      </c>
      <c r="F53" s="1">
        <v>373</v>
      </c>
      <c r="G53" s="7">
        <v>0.45</v>
      </c>
      <c r="H53" s="1">
        <v>50</v>
      </c>
      <c r="I53" s="1" t="s">
        <v>37</v>
      </c>
      <c r="J53" s="1"/>
      <c r="K53" s="1">
        <v>141</v>
      </c>
      <c r="L53" s="1">
        <f t="shared" si="12"/>
        <v>-5</v>
      </c>
      <c r="M53" s="1"/>
      <c r="N53" s="1"/>
      <c r="O53" s="1">
        <v>0</v>
      </c>
      <c r="P53" s="1"/>
      <c r="Q53" s="1">
        <f t="shared" si="13"/>
        <v>27.2</v>
      </c>
      <c r="R53" s="5"/>
      <c r="S53" s="1">
        <f t="shared" si="15"/>
        <v>13.713235294117647</v>
      </c>
      <c r="T53" s="1">
        <f t="shared" si="16"/>
        <v>13.713235294117647</v>
      </c>
      <c r="U53" s="1">
        <v>29.2</v>
      </c>
      <c r="V53" s="1">
        <v>42.4</v>
      </c>
      <c r="W53" s="1">
        <v>40.4</v>
      </c>
      <c r="X53" s="1">
        <v>35</v>
      </c>
      <c r="Y53" s="1">
        <v>41.4</v>
      </c>
      <c r="Z53" s="1">
        <v>38.799999999999997</v>
      </c>
      <c r="AA53" s="1">
        <v>36.6</v>
      </c>
      <c r="AB53" s="1">
        <v>46.2</v>
      </c>
      <c r="AC53" s="1">
        <v>56</v>
      </c>
      <c r="AD53" s="1">
        <v>66.599999999999994</v>
      </c>
      <c r="AE53" s="1"/>
      <c r="AF53" s="1">
        <f t="shared" si="11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90</v>
      </c>
      <c r="B54" s="1" t="s">
        <v>41</v>
      </c>
      <c r="C54" s="1">
        <v>424</v>
      </c>
      <c r="D54" s="1">
        <v>730</v>
      </c>
      <c r="E54" s="1">
        <v>462</v>
      </c>
      <c r="F54" s="1">
        <v>580</v>
      </c>
      <c r="G54" s="7">
        <v>0.45</v>
      </c>
      <c r="H54" s="1">
        <v>50</v>
      </c>
      <c r="I54" s="1" t="s">
        <v>37</v>
      </c>
      <c r="J54" s="1"/>
      <c r="K54" s="1">
        <v>466</v>
      </c>
      <c r="L54" s="1">
        <f t="shared" si="12"/>
        <v>-4</v>
      </c>
      <c r="M54" s="1"/>
      <c r="N54" s="1"/>
      <c r="O54" s="1">
        <v>297.88860000000011</v>
      </c>
      <c r="P54" s="1"/>
      <c r="Q54" s="1">
        <f t="shared" si="13"/>
        <v>92.4</v>
      </c>
      <c r="R54" s="5">
        <f t="shared" si="14"/>
        <v>230.91140000000007</v>
      </c>
      <c r="S54" s="1">
        <f t="shared" si="15"/>
        <v>12.000000000000002</v>
      </c>
      <c r="T54" s="1">
        <f t="shared" si="16"/>
        <v>9.5009588744588758</v>
      </c>
      <c r="U54" s="1">
        <v>101.8</v>
      </c>
      <c r="V54" s="1">
        <v>96.8</v>
      </c>
      <c r="W54" s="1">
        <v>93.2</v>
      </c>
      <c r="X54" s="1">
        <v>95.8</v>
      </c>
      <c r="Y54" s="1">
        <v>91.6</v>
      </c>
      <c r="Z54" s="1">
        <v>94.4</v>
      </c>
      <c r="AA54" s="1">
        <v>114.6</v>
      </c>
      <c r="AB54" s="1">
        <v>103.4</v>
      </c>
      <c r="AC54" s="1">
        <v>94</v>
      </c>
      <c r="AD54" s="1">
        <v>111.2</v>
      </c>
      <c r="AE54" s="1"/>
      <c r="AF54" s="1">
        <f t="shared" si="11"/>
        <v>103.91013000000004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91</v>
      </c>
      <c r="B55" s="1" t="s">
        <v>41</v>
      </c>
      <c r="C55" s="1">
        <v>26</v>
      </c>
      <c r="D55" s="1">
        <v>156</v>
      </c>
      <c r="E55" s="1">
        <v>159</v>
      </c>
      <c r="F55" s="1">
        <v>7</v>
      </c>
      <c r="G55" s="7">
        <v>0.4</v>
      </c>
      <c r="H55" s="1">
        <v>40</v>
      </c>
      <c r="I55" s="13" t="s">
        <v>62</v>
      </c>
      <c r="J55" s="1"/>
      <c r="K55" s="1">
        <v>166</v>
      </c>
      <c r="L55" s="1">
        <f t="shared" si="12"/>
        <v>-7</v>
      </c>
      <c r="M55" s="1"/>
      <c r="N55" s="1"/>
      <c r="O55" s="1">
        <v>150</v>
      </c>
      <c r="P55" s="1"/>
      <c r="Q55" s="1">
        <f t="shared" si="13"/>
        <v>31.8</v>
      </c>
      <c r="R55" s="5">
        <v>80</v>
      </c>
      <c r="S55" s="1">
        <f t="shared" si="15"/>
        <v>7.4528301886792452</v>
      </c>
      <c r="T55" s="1">
        <f t="shared" si="16"/>
        <v>4.9371069182389933</v>
      </c>
      <c r="U55" s="1">
        <v>29.2</v>
      </c>
      <c r="V55" s="1">
        <v>19</v>
      </c>
      <c r="W55" s="1">
        <v>19.8</v>
      </c>
      <c r="X55" s="1">
        <v>25.6</v>
      </c>
      <c r="Y55" s="1">
        <v>30.8</v>
      </c>
      <c r="Z55" s="1">
        <v>30.8</v>
      </c>
      <c r="AA55" s="1">
        <v>25.8</v>
      </c>
      <c r="AB55" s="1">
        <v>27.4</v>
      </c>
      <c r="AC55" s="1">
        <v>37.200000000000003</v>
      </c>
      <c r="AD55" s="1">
        <v>33.6</v>
      </c>
      <c r="AE55" s="1"/>
      <c r="AF55" s="1">
        <f t="shared" si="11"/>
        <v>32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92</v>
      </c>
      <c r="B56" s="1" t="s">
        <v>41</v>
      </c>
      <c r="C56" s="1">
        <v>36</v>
      </c>
      <c r="D56" s="1">
        <v>138</v>
      </c>
      <c r="E56" s="1">
        <v>69</v>
      </c>
      <c r="F56" s="1">
        <v>100</v>
      </c>
      <c r="G56" s="7">
        <v>0.4</v>
      </c>
      <c r="H56" s="1">
        <v>40</v>
      </c>
      <c r="I56" s="13" t="s">
        <v>62</v>
      </c>
      <c r="J56" s="1"/>
      <c r="K56" s="1">
        <v>74</v>
      </c>
      <c r="L56" s="1">
        <f t="shared" si="12"/>
        <v>-5</v>
      </c>
      <c r="M56" s="1"/>
      <c r="N56" s="1"/>
      <c r="O56" s="1">
        <v>20</v>
      </c>
      <c r="P56" s="1"/>
      <c r="Q56" s="1">
        <f t="shared" si="13"/>
        <v>13.8</v>
      </c>
      <c r="R56" s="5">
        <f t="shared" si="14"/>
        <v>45.600000000000023</v>
      </c>
      <c r="S56" s="1">
        <f t="shared" si="15"/>
        <v>12.000000000000002</v>
      </c>
      <c r="T56" s="1">
        <f t="shared" si="16"/>
        <v>8.695652173913043</v>
      </c>
      <c r="U56" s="1">
        <v>10.199999999999999</v>
      </c>
      <c r="V56" s="1">
        <v>8.8000000000000007</v>
      </c>
      <c r="W56" s="1">
        <v>14.6</v>
      </c>
      <c r="X56" s="1">
        <v>20</v>
      </c>
      <c r="Y56" s="1">
        <v>17.2</v>
      </c>
      <c r="Z56" s="1">
        <v>12.4</v>
      </c>
      <c r="AA56" s="1">
        <v>13</v>
      </c>
      <c r="AB56" s="1">
        <v>17.2</v>
      </c>
      <c r="AC56" s="1">
        <v>11.2</v>
      </c>
      <c r="AD56" s="1">
        <v>7.8</v>
      </c>
      <c r="AE56" s="1"/>
      <c r="AF56" s="1">
        <f t="shared" si="11"/>
        <v>18.240000000000009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93</v>
      </c>
      <c r="B57" s="1" t="s">
        <v>36</v>
      </c>
      <c r="C57" s="1">
        <v>912.69399999999996</v>
      </c>
      <c r="D57" s="1">
        <v>610.673</v>
      </c>
      <c r="E57" s="1">
        <v>672.74800000000005</v>
      </c>
      <c r="F57" s="1">
        <v>778.94500000000005</v>
      </c>
      <c r="G57" s="7">
        <v>1</v>
      </c>
      <c r="H57" s="1">
        <v>50</v>
      </c>
      <c r="I57" s="1" t="s">
        <v>37</v>
      </c>
      <c r="J57" s="1"/>
      <c r="K57" s="1">
        <v>705.85</v>
      </c>
      <c r="L57" s="1">
        <f t="shared" si="12"/>
        <v>-33.101999999999975</v>
      </c>
      <c r="M57" s="1"/>
      <c r="N57" s="1"/>
      <c r="O57" s="1">
        <v>455.21547819999989</v>
      </c>
      <c r="P57" s="1"/>
      <c r="Q57" s="1">
        <f t="shared" si="13"/>
        <v>134.5496</v>
      </c>
      <c r="R57" s="5">
        <f t="shared" si="14"/>
        <v>380.43472179999992</v>
      </c>
      <c r="S57" s="1">
        <f t="shared" si="15"/>
        <v>11.999999999999998</v>
      </c>
      <c r="T57" s="1">
        <f t="shared" si="16"/>
        <v>9.1725317518595375</v>
      </c>
      <c r="U57" s="1">
        <v>136.10159999999999</v>
      </c>
      <c r="V57" s="1">
        <v>125.3366</v>
      </c>
      <c r="W57" s="1">
        <v>121.60299999999999</v>
      </c>
      <c r="X57" s="1">
        <v>139.44720000000001</v>
      </c>
      <c r="Y57" s="1">
        <v>142.02119999999999</v>
      </c>
      <c r="Z57" s="1">
        <v>148.81020000000001</v>
      </c>
      <c r="AA57" s="1">
        <v>151.5138</v>
      </c>
      <c r="AB57" s="1">
        <v>152.57759999999999</v>
      </c>
      <c r="AC57" s="1">
        <v>151.32759999999999</v>
      </c>
      <c r="AD57" s="1">
        <v>138.55520000000001</v>
      </c>
      <c r="AE57" s="1"/>
      <c r="AF57" s="1">
        <f t="shared" si="11"/>
        <v>380.43472179999992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9" t="s">
        <v>94</v>
      </c>
      <c r="B58" s="9" t="s">
        <v>36</v>
      </c>
      <c r="C58" s="9">
        <v>100.54300000000001</v>
      </c>
      <c r="D58" s="9">
        <v>637.24199999999996</v>
      </c>
      <c r="E58" s="9"/>
      <c r="F58" s="9"/>
      <c r="G58" s="10">
        <v>0</v>
      </c>
      <c r="H58" s="9"/>
      <c r="I58" s="9" t="s">
        <v>95</v>
      </c>
      <c r="J58" s="9" t="s">
        <v>96</v>
      </c>
      <c r="K58" s="9"/>
      <c r="L58" s="9">
        <f t="shared" si="12"/>
        <v>0</v>
      </c>
      <c r="M58" s="9"/>
      <c r="N58" s="9"/>
      <c r="O58" s="9">
        <v>0</v>
      </c>
      <c r="P58" s="9"/>
      <c r="Q58" s="9">
        <f t="shared" si="13"/>
        <v>0</v>
      </c>
      <c r="R58" s="11"/>
      <c r="S58" s="9" t="e">
        <f t="shared" si="15"/>
        <v>#DIV/0!</v>
      </c>
      <c r="T58" s="9" t="e">
        <f t="shared" si="16"/>
        <v>#DIV/0!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/>
      <c r="AF58" s="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97</v>
      </c>
      <c r="B59" s="1" t="s">
        <v>41</v>
      </c>
      <c r="C59" s="1">
        <v>284</v>
      </c>
      <c r="D59" s="1">
        <v>340</v>
      </c>
      <c r="E59" s="1">
        <v>186</v>
      </c>
      <c r="F59" s="1">
        <v>413</v>
      </c>
      <c r="G59" s="7">
        <v>0.1</v>
      </c>
      <c r="H59" s="1">
        <v>731</v>
      </c>
      <c r="I59" s="1" t="s">
        <v>37</v>
      </c>
      <c r="J59" s="1"/>
      <c r="K59" s="1">
        <v>191</v>
      </c>
      <c r="L59" s="1">
        <f t="shared" si="12"/>
        <v>-5</v>
      </c>
      <c r="M59" s="1"/>
      <c r="N59" s="1"/>
      <c r="O59" s="1">
        <v>0</v>
      </c>
      <c r="P59" s="1"/>
      <c r="Q59" s="1">
        <f t="shared" si="13"/>
        <v>37.200000000000003</v>
      </c>
      <c r="R59" s="5">
        <f t="shared" ref="R59:R86" si="17">12*Q59-P59-O59-F59</f>
        <v>33.400000000000034</v>
      </c>
      <c r="S59" s="1">
        <f t="shared" si="15"/>
        <v>12</v>
      </c>
      <c r="T59" s="1">
        <f t="shared" si="16"/>
        <v>11.102150537634408</v>
      </c>
      <c r="U59" s="1">
        <v>40.6</v>
      </c>
      <c r="V59" s="1">
        <v>49.6</v>
      </c>
      <c r="W59" s="1">
        <v>52.8</v>
      </c>
      <c r="X59" s="1">
        <v>58</v>
      </c>
      <c r="Y59" s="1">
        <v>56.4</v>
      </c>
      <c r="Z59" s="1">
        <v>43.8</v>
      </c>
      <c r="AA59" s="1">
        <v>46</v>
      </c>
      <c r="AB59" s="1">
        <v>43</v>
      </c>
      <c r="AC59" s="1">
        <v>32</v>
      </c>
      <c r="AD59" s="1">
        <v>24.4</v>
      </c>
      <c r="AE59" s="1"/>
      <c r="AF59" s="1">
        <f t="shared" ref="AF59:AF86" si="18">G59*R59</f>
        <v>3.3400000000000034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98</v>
      </c>
      <c r="B60" s="1" t="s">
        <v>36</v>
      </c>
      <c r="C60" s="1">
        <v>722.78099999999995</v>
      </c>
      <c r="D60" s="1">
        <v>1543.316</v>
      </c>
      <c r="E60" s="1">
        <v>891.15</v>
      </c>
      <c r="F60" s="1">
        <v>1281.7829999999999</v>
      </c>
      <c r="G60" s="7">
        <v>1</v>
      </c>
      <c r="H60" s="1">
        <v>50</v>
      </c>
      <c r="I60" s="1" t="s">
        <v>37</v>
      </c>
      <c r="J60" s="1"/>
      <c r="K60" s="1">
        <v>871.6</v>
      </c>
      <c r="L60" s="1">
        <f t="shared" si="12"/>
        <v>19.549999999999955</v>
      </c>
      <c r="M60" s="1"/>
      <c r="N60" s="1"/>
      <c r="O60" s="1">
        <v>509.5437216000002</v>
      </c>
      <c r="P60" s="1"/>
      <c r="Q60" s="1">
        <f t="shared" si="13"/>
        <v>178.23</v>
      </c>
      <c r="R60" s="5">
        <f t="shared" si="17"/>
        <v>347.43327839999961</v>
      </c>
      <c r="S60" s="1">
        <f t="shared" si="15"/>
        <v>12</v>
      </c>
      <c r="T60" s="1">
        <f t="shared" si="16"/>
        <v>10.050646477024072</v>
      </c>
      <c r="U60" s="1">
        <v>187.59280000000001</v>
      </c>
      <c r="V60" s="1">
        <v>186.78440000000001</v>
      </c>
      <c r="W60" s="1">
        <v>179.19659999999999</v>
      </c>
      <c r="X60" s="1">
        <v>169.71199999999999</v>
      </c>
      <c r="Y60" s="1">
        <v>165.36500000000001</v>
      </c>
      <c r="Z60" s="1">
        <v>160.84059999999999</v>
      </c>
      <c r="AA60" s="1">
        <v>178.38939999999999</v>
      </c>
      <c r="AB60" s="1">
        <v>198.24420000000001</v>
      </c>
      <c r="AC60" s="1">
        <v>186.80680000000001</v>
      </c>
      <c r="AD60" s="1">
        <v>175.28739999999999</v>
      </c>
      <c r="AE60" s="1"/>
      <c r="AF60" s="1">
        <f t="shared" si="18"/>
        <v>347.43327839999961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99</v>
      </c>
      <c r="B61" s="1" t="s">
        <v>36</v>
      </c>
      <c r="C61" s="1">
        <v>91.847999999999999</v>
      </c>
      <c r="D61" s="1">
        <v>129.82</v>
      </c>
      <c r="E61" s="1">
        <v>80.503</v>
      </c>
      <c r="F61" s="1">
        <v>130.88</v>
      </c>
      <c r="G61" s="7">
        <v>1</v>
      </c>
      <c r="H61" s="1">
        <v>55</v>
      </c>
      <c r="I61" s="1" t="s">
        <v>37</v>
      </c>
      <c r="J61" s="1"/>
      <c r="K61" s="1">
        <v>78.150000000000006</v>
      </c>
      <c r="L61" s="1">
        <f t="shared" si="12"/>
        <v>2.3529999999999944</v>
      </c>
      <c r="M61" s="1"/>
      <c r="N61" s="1"/>
      <c r="O61" s="1">
        <v>74.826199999999943</v>
      </c>
      <c r="P61" s="1"/>
      <c r="Q61" s="1">
        <f t="shared" si="13"/>
        <v>16.1006</v>
      </c>
      <c r="R61" s="5"/>
      <c r="S61" s="1">
        <f t="shared" si="15"/>
        <v>12.77630647305069</v>
      </c>
      <c r="T61" s="1">
        <f t="shared" si="16"/>
        <v>12.77630647305069</v>
      </c>
      <c r="U61" s="1">
        <v>20.717400000000001</v>
      </c>
      <c r="V61" s="1">
        <v>18.250800000000002</v>
      </c>
      <c r="W61" s="1">
        <v>15.446999999999999</v>
      </c>
      <c r="X61" s="1">
        <v>17.9756</v>
      </c>
      <c r="Y61" s="1">
        <v>16.6264</v>
      </c>
      <c r="Z61" s="1">
        <v>20.0504</v>
      </c>
      <c r="AA61" s="1">
        <v>20.848199999999999</v>
      </c>
      <c r="AB61" s="1">
        <v>17.22</v>
      </c>
      <c r="AC61" s="1">
        <v>18.130600000000001</v>
      </c>
      <c r="AD61" s="1">
        <v>18.803999999999998</v>
      </c>
      <c r="AE61" s="1"/>
      <c r="AF61" s="1">
        <f t="shared" si="18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100</v>
      </c>
      <c r="B62" s="1" t="s">
        <v>41</v>
      </c>
      <c r="C62" s="1">
        <v>129</v>
      </c>
      <c r="D62" s="1">
        <v>440</v>
      </c>
      <c r="E62" s="1">
        <v>153</v>
      </c>
      <c r="F62" s="1">
        <v>396</v>
      </c>
      <c r="G62" s="7">
        <v>0.1</v>
      </c>
      <c r="H62" s="1">
        <v>731</v>
      </c>
      <c r="I62" s="1" t="s">
        <v>37</v>
      </c>
      <c r="J62" s="1"/>
      <c r="K62" s="1">
        <v>153</v>
      </c>
      <c r="L62" s="1">
        <f t="shared" si="12"/>
        <v>0</v>
      </c>
      <c r="M62" s="1"/>
      <c r="N62" s="1"/>
      <c r="O62" s="1">
        <v>0</v>
      </c>
      <c r="P62" s="1"/>
      <c r="Q62" s="1">
        <f t="shared" si="13"/>
        <v>30.6</v>
      </c>
      <c r="R62" s="5"/>
      <c r="S62" s="1">
        <f t="shared" si="15"/>
        <v>12.941176470588236</v>
      </c>
      <c r="T62" s="1">
        <f t="shared" si="16"/>
        <v>12.941176470588236</v>
      </c>
      <c r="U62" s="1">
        <v>35.200000000000003</v>
      </c>
      <c r="V62" s="1">
        <v>43.8</v>
      </c>
      <c r="W62" s="1">
        <v>41.8</v>
      </c>
      <c r="X62" s="1">
        <v>40.6</v>
      </c>
      <c r="Y62" s="1">
        <v>37.6</v>
      </c>
      <c r="Z62" s="1">
        <v>34</v>
      </c>
      <c r="AA62" s="1">
        <v>46</v>
      </c>
      <c r="AB62" s="1">
        <v>42.2</v>
      </c>
      <c r="AC62" s="1">
        <v>26</v>
      </c>
      <c r="AD62" s="1">
        <v>19</v>
      </c>
      <c r="AE62" s="1"/>
      <c r="AF62" s="1">
        <f t="shared" si="1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101</v>
      </c>
      <c r="B63" s="1" t="s">
        <v>41</v>
      </c>
      <c r="C63" s="1">
        <v>106</v>
      </c>
      <c r="D63" s="1">
        <v>721</v>
      </c>
      <c r="E63" s="1">
        <v>330</v>
      </c>
      <c r="F63" s="1">
        <v>452</v>
      </c>
      <c r="G63" s="7">
        <v>0.4</v>
      </c>
      <c r="H63" s="1">
        <v>50</v>
      </c>
      <c r="I63" s="1" t="s">
        <v>37</v>
      </c>
      <c r="J63" s="1"/>
      <c r="K63" s="1">
        <v>330</v>
      </c>
      <c r="L63" s="1">
        <f t="shared" si="12"/>
        <v>0</v>
      </c>
      <c r="M63" s="1"/>
      <c r="N63" s="1"/>
      <c r="O63" s="1">
        <v>123.0649999999999</v>
      </c>
      <c r="P63" s="1"/>
      <c r="Q63" s="1">
        <f t="shared" si="13"/>
        <v>66</v>
      </c>
      <c r="R63" s="5">
        <f t="shared" si="17"/>
        <v>216.93500000000006</v>
      </c>
      <c r="S63" s="1">
        <f t="shared" si="15"/>
        <v>12</v>
      </c>
      <c r="T63" s="1">
        <f t="shared" si="16"/>
        <v>8.7131060606060604</v>
      </c>
      <c r="U63" s="1">
        <v>65</v>
      </c>
      <c r="V63" s="1">
        <v>69</v>
      </c>
      <c r="W63" s="1">
        <v>59.8</v>
      </c>
      <c r="X63" s="1">
        <v>59.4</v>
      </c>
      <c r="Y63" s="1">
        <v>52.2</v>
      </c>
      <c r="Z63" s="1">
        <v>41</v>
      </c>
      <c r="AA63" s="1">
        <v>60.6</v>
      </c>
      <c r="AB63" s="1">
        <v>49.4</v>
      </c>
      <c r="AC63" s="1">
        <v>42.6</v>
      </c>
      <c r="AD63" s="1">
        <v>47.8</v>
      </c>
      <c r="AE63" s="1"/>
      <c r="AF63" s="1">
        <f t="shared" si="18"/>
        <v>86.774000000000029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102</v>
      </c>
      <c r="B64" s="1" t="s">
        <v>36</v>
      </c>
      <c r="C64" s="1">
        <v>5.0510000000000002</v>
      </c>
      <c r="D64" s="1">
        <v>454.65300000000002</v>
      </c>
      <c r="E64" s="1">
        <v>454.45800000000003</v>
      </c>
      <c r="F64" s="1">
        <v>4.5119999999999996</v>
      </c>
      <c r="G64" s="7">
        <v>1</v>
      </c>
      <c r="H64" s="1">
        <v>40</v>
      </c>
      <c r="I64" s="1" t="s">
        <v>37</v>
      </c>
      <c r="J64" s="1"/>
      <c r="K64" s="1">
        <v>487.05</v>
      </c>
      <c r="L64" s="1">
        <f t="shared" si="12"/>
        <v>-32.591999999999985</v>
      </c>
      <c r="M64" s="1"/>
      <c r="N64" s="1"/>
      <c r="O64" s="1">
        <v>421.99781100000013</v>
      </c>
      <c r="P64" s="1"/>
      <c r="Q64" s="1">
        <f t="shared" si="13"/>
        <v>90.891600000000011</v>
      </c>
      <c r="R64" s="5">
        <f t="shared" si="17"/>
        <v>664.18938899999989</v>
      </c>
      <c r="S64" s="1">
        <f t="shared" si="15"/>
        <v>11.999999999999998</v>
      </c>
      <c r="T64" s="1">
        <f t="shared" si="16"/>
        <v>4.6925107600702383</v>
      </c>
      <c r="U64" s="1">
        <v>87.63300000000001</v>
      </c>
      <c r="V64" s="1">
        <v>25.435600000000001</v>
      </c>
      <c r="W64" s="1">
        <v>28.949200000000001</v>
      </c>
      <c r="X64" s="1">
        <v>19.037400000000002</v>
      </c>
      <c r="Y64" s="1">
        <v>20.474399999999999</v>
      </c>
      <c r="Z64" s="1">
        <v>10.922000000000001</v>
      </c>
      <c r="AA64" s="1">
        <v>10.8414</v>
      </c>
      <c r="AB64" s="1">
        <v>9.9244000000000003</v>
      </c>
      <c r="AC64" s="1">
        <v>8.3956</v>
      </c>
      <c r="AD64" s="1">
        <v>9.6593999999999998</v>
      </c>
      <c r="AE64" s="1" t="s">
        <v>103</v>
      </c>
      <c r="AF64" s="1">
        <f t="shared" si="18"/>
        <v>664.18938899999989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104</v>
      </c>
      <c r="B65" s="1" t="s">
        <v>36</v>
      </c>
      <c r="C65" s="1">
        <v>3.875</v>
      </c>
      <c r="D65" s="1">
        <v>539.59299999999996</v>
      </c>
      <c r="E65" s="1">
        <v>425.27600000000001</v>
      </c>
      <c r="F65" s="1">
        <v>83.5</v>
      </c>
      <c r="G65" s="7">
        <v>1</v>
      </c>
      <c r="H65" s="1">
        <v>40</v>
      </c>
      <c r="I65" s="1" t="s">
        <v>37</v>
      </c>
      <c r="J65" s="1"/>
      <c r="K65" s="1">
        <v>424.9</v>
      </c>
      <c r="L65" s="1">
        <f t="shared" si="12"/>
        <v>0.3760000000000332</v>
      </c>
      <c r="M65" s="1"/>
      <c r="N65" s="1"/>
      <c r="O65" s="1">
        <v>269.88791959999998</v>
      </c>
      <c r="P65" s="1"/>
      <c r="Q65" s="1">
        <f t="shared" si="13"/>
        <v>85.055199999999999</v>
      </c>
      <c r="R65" s="5">
        <f>10*Q65-P65-O65-F65</f>
        <v>497.1640804000001</v>
      </c>
      <c r="S65" s="1">
        <f t="shared" si="15"/>
        <v>10.000000000000002</v>
      </c>
      <c r="T65" s="1">
        <f t="shared" si="16"/>
        <v>4.1548067560831079</v>
      </c>
      <c r="U65" s="1">
        <v>46.878799999999998</v>
      </c>
      <c r="V65" s="1">
        <v>23.079000000000001</v>
      </c>
      <c r="W65" s="1">
        <v>22.816600000000001</v>
      </c>
      <c r="X65" s="1">
        <v>0</v>
      </c>
      <c r="Y65" s="1">
        <v>0</v>
      </c>
      <c r="Z65" s="1">
        <v>0.27239999999999998</v>
      </c>
      <c r="AA65" s="1">
        <v>0.27239999999999998</v>
      </c>
      <c r="AB65" s="1">
        <v>0</v>
      </c>
      <c r="AC65" s="1">
        <v>0</v>
      </c>
      <c r="AD65" s="1">
        <v>0</v>
      </c>
      <c r="AE65" s="1" t="s">
        <v>103</v>
      </c>
      <c r="AF65" s="1">
        <f t="shared" si="18"/>
        <v>497.1640804000001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105</v>
      </c>
      <c r="B66" s="1" t="s">
        <v>41</v>
      </c>
      <c r="C66" s="1">
        <v>821</v>
      </c>
      <c r="D66" s="1">
        <v>1382</v>
      </c>
      <c r="E66" s="1">
        <v>1561</v>
      </c>
      <c r="F66" s="1">
        <v>521</v>
      </c>
      <c r="G66" s="7">
        <v>0.4</v>
      </c>
      <c r="H66" s="1">
        <v>40</v>
      </c>
      <c r="I66" s="1" t="s">
        <v>37</v>
      </c>
      <c r="J66" s="1"/>
      <c r="K66" s="1">
        <v>1577</v>
      </c>
      <c r="L66" s="1">
        <f t="shared" si="12"/>
        <v>-16</v>
      </c>
      <c r="M66" s="1"/>
      <c r="N66" s="1"/>
      <c r="O66" s="1">
        <v>736.39102600000001</v>
      </c>
      <c r="P66" s="1">
        <v>804.175974</v>
      </c>
      <c r="Q66" s="1">
        <f t="shared" si="13"/>
        <v>312.2</v>
      </c>
      <c r="R66" s="5">
        <f t="shared" si="17"/>
        <v>1684.8329999999996</v>
      </c>
      <c r="S66" s="1">
        <f t="shared" si="15"/>
        <v>12</v>
      </c>
      <c r="T66" s="1">
        <f t="shared" si="16"/>
        <v>6.6033536194746958</v>
      </c>
      <c r="U66" s="1">
        <v>247</v>
      </c>
      <c r="V66" s="1">
        <v>179.6</v>
      </c>
      <c r="W66" s="1">
        <v>181.2</v>
      </c>
      <c r="X66" s="1">
        <v>180.6</v>
      </c>
      <c r="Y66" s="1">
        <v>186.2</v>
      </c>
      <c r="Z66" s="1">
        <v>159.19999999999999</v>
      </c>
      <c r="AA66" s="1">
        <v>162.80000000000001</v>
      </c>
      <c r="AB66" s="1">
        <v>187.4</v>
      </c>
      <c r="AC66" s="1">
        <v>170.2</v>
      </c>
      <c r="AD66" s="1">
        <v>152.4</v>
      </c>
      <c r="AE66" s="1"/>
      <c r="AF66" s="1">
        <f t="shared" si="18"/>
        <v>673.93319999999994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106</v>
      </c>
      <c r="B67" s="1" t="s">
        <v>41</v>
      </c>
      <c r="C67" s="1">
        <v>121</v>
      </c>
      <c r="D67" s="1">
        <v>608</v>
      </c>
      <c r="E67" s="1">
        <v>621</v>
      </c>
      <c r="F67" s="1">
        <v>39</v>
      </c>
      <c r="G67" s="7">
        <v>0.4</v>
      </c>
      <c r="H67" s="1">
        <v>40</v>
      </c>
      <c r="I67" s="13" t="s">
        <v>62</v>
      </c>
      <c r="J67" s="1"/>
      <c r="K67" s="1">
        <v>841</v>
      </c>
      <c r="L67" s="1">
        <f t="shared" si="12"/>
        <v>-220</v>
      </c>
      <c r="M67" s="1"/>
      <c r="N67" s="1"/>
      <c r="O67" s="1">
        <v>370</v>
      </c>
      <c r="P67" s="1"/>
      <c r="Q67" s="1">
        <f t="shared" si="13"/>
        <v>124.2</v>
      </c>
      <c r="R67" s="5">
        <v>300</v>
      </c>
      <c r="S67" s="1">
        <f t="shared" si="15"/>
        <v>5.7085346215780994</v>
      </c>
      <c r="T67" s="1">
        <f t="shared" si="16"/>
        <v>3.2930756843800322</v>
      </c>
      <c r="U67" s="1">
        <v>129.6</v>
      </c>
      <c r="V67" s="1">
        <v>96.4</v>
      </c>
      <c r="W67" s="1">
        <v>59.8</v>
      </c>
      <c r="X67" s="1">
        <v>2.2000000000000002</v>
      </c>
      <c r="Y67" s="1">
        <v>1</v>
      </c>
      <c r="Z67" s="1">
        <v>50.2</v>
      </c>
      <c r="AA67" s="1">
        <v>102</v>
      </c>
      <c r="AB67" s="1">
        <v>140.80000000000001</v>
      </c>
      <c r="AC67" s="1">
        <v>123.2</v>
      </c>
      <c r="AD67" s="1">
        <v>116.8</v>
      </c>
      <c r="AE67" s="1"/>
      <c r="AF67" s="1">
        <f t="shared" si="18"/>
        <v>120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107</v>
      </c>
      <c r="B68" s="1" t="s">
        <v>36</v>
      </c>
      <c r="C68" s="1">
        <v>207.482</v>
      </c>
      <c r="D68" s="1">
        <v>458.67200000000003</v>
      </c>
      <c r="E68" s="1">
        <v>329.67500000000001</v>
      </c>
      <c r="F68" s="1">
        <v>279.30399999999997</v>
      </c>
      <c r="G68" s="7">
        <v>1</v>
      </c>
      <c r="H68" s="1">
        <v>40</v>
      </c>
      <c r="I68" s="13" t="s">
        <v>62</v>
      </c>
      <c r="J68" s="1"/>
      <c r="K68" s="1">
        <v>325.14999999999998</v>
      </c>
      <c r="L68" s="1">
        <f t="shared" si="12"/>
        <v>4.5250000000000341</v>
      </c>
      <c r="M68" s="1"/>
      <c r="N68" s="1"/>
      <c r="O68" s="1">
        <v>343.47967600000021</v>
      </c>
      <c r="P68" s="1"/>
      <c r="Q68" s="1">
        <f t="shared" si="13"/>
        <v>65.935000000000002</v>
      </c>
      <c r="R68" s="5">
        <f t="shared" si="17"/>
        <v>168.43632399999984</v>
      </c>
      <c r="S68" s="1">
        <f t="shared" si="15"/>
        <v>12</v>
      </c>
      <c r="T68" s="1">
        <f t="shared" si="16"/>
        <v>9.4454186092363717</v>
      </c>
      <c r="U68" s="1">
        <v>67.238399999999999</v>
      </c>
      <c r="V68" s="1">
        <v>56.559399999999997</v>
      </c>
      <c r="W68" s="1">
        <v>55.1158</v>
      </c>
      <c r="X68" s="1">
        <v>57.833799999999997</v>
      </c>
      <c r="Y68" s="1">
        <v>55.1432</v>
      </c>
      <c r="Z68" s="1">
        <v>54.483400000000003</v>
      </c>
      <c r="AA68" s="1">
        <v>59.456200000000003</v>
      </c>
      <c r="AB68" s="1">
        <v>60.828000000000003</v>
      </c>
      <c r="AC68" s="1">
        <v>57.925600000000003</v>
      </c>
      <c r="AD68" s="1">
        <v>62.245600000000003</v>
      </c>
      <c r="AE68" s="1"/>
      <c r="AF68" s="1">
        <f t="shared" si="18"/>
        <v>168.43632399999984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108</v>
      </c>
      <c r="B69" s="1" t="s">
        <v>36</v>
      </c>
      <c r="C69" s="1">
        <v>487.61799999999999</v>
      </c>
      <c r="D69" s="1">
        <v>266.07499999999999</v>
      </c>
      <c r="E69" s="1">
        <v>372.94099999999997</v>
      </c>
      <c r="F69" s="1">
        <v>321.86399999999998</v>
      </c>
      <c r="G69" s="7">
        <v>1</v>
      </c>
      <c r="H69" s="1">
        <v>40</v>
      </c>
      <c r="I69" s="13" t="s">
        <v>62</v>
      </c>
      <c r="J69" s="1"/>
      <c r="K69" s="1">
        <v>427.35</v>
      </c>
      <c r="L69" s="1">
        <f t="shared" si="12"/>
        <v>-54.409000000000049</v>
      </c>
      <c r="M69" s="1"/>
      <c r="N69" s="1"/>
      <c r="O69" s="1">
        <v>262.89999999999998</v>
      </c>
      <c r="P69" s="1">
        <v>287.10000000000002</v>
      </c>
      <c r="Q69" s="1">
        <f t="shared" si="13"/>
        <v>74.588200000000001</v>
      </c>
      <c r="R69" s="5">
        <v>50</v>
      </c>
      <c r="S69" s="1">
        <f t="shared" si="15"/>
        <v>12.35938124260942</v>
      </c>
      <c r="T69" s="1">
        <f t="shared" si="16"/>
        <v>11.689033922255797</v>
      </c>
      <c r="U69" s="1">
        <v>88.295199999999994</v>
      </c>
      <c r="V69" s="1">
        <v>74.920600000000007</v>
      </c>
      <c r="W69" s="1">
        <v>70.786599999999993</v>
      </c>
      <c r="X69" s="1">
        <v>88.879800000000003</v>
      </c>
      <c r="Y69" s="1">
        <v>87.743600000000001</v>
      </c>
      <c r="Z69" s="1">
        <v>69.691200000000009</v>
      </c>
      <c r="AA69" s="1">
        <v>74.162400000000005</v>
      </c>
      <c r="AB69" s="1">
        <v>74.625</v>
      </c>
      <c r="AC69" s="1">
        <v>66.962000000000003</v>
      </c>
      <c r="AD69" s="1">
        <v>73.197400000000002</v>
      </c>
      <c r="AE69" s="1"/>
      <c r="AF69" s="1">
        <f t="shared" si="18"/>
        <v>50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109</v>
      </c>
      <c r="B70" s="1" t="s">
        <v>36</v>
      </c>
      <c r="C70" s="1">
        <v>1156.202</v>
      </c>
      <c r="D70" s="1">
        <v>432.32600000000002</v>
      </c>
      <c r="E70" s="1">
        <v>888.17700000000002</v>
      </c>
      <c r="F70" s="1">
        <v>590.58699999999999</v>
      </c>
      <c r="G70" s="7">
        <v>1</v>
      </c>
      <c r="H70" s="1">
        <v>40</v>
      </c>
      <c r="I70" s="1" t="s">
        <v>37</v>
      </c>
      <c r="J70" s="1"/>
      <c r="K70" s="1">
        <v>869.75</v>
      </c>
      <c r="L70" s="1">
        <f t="shared" ref="L70:L101" si="19">E70-K70</f>
        <v>18.427000000000021</v>
      </c>
      <c r="M70" s="1"/>
      <c r="N70" s="1"/>
      <c r="O70" s="1">
        <v>527.88017263680001</v>
      </c>
      <c r="P70" s="1">
        <v>576.47165296319997</v>
      </c>
      <c r="Q70" s="1">
        <f t="shared" ref="Q70:Q101" si="20">E70/5</f>
        <v>177.6354</v>
      </c>
      <c r="R70" s="5">
        <f t="shared" si="17"/>
        <v>436.68597439999985</v>
      </c>
      <c r="S70" s="1">
        <f t="shared" ref="S70:S101" si="21">(F70+O70+P70+R70)/Q70</f>
        <v>12</v>
      </c>
      <c r="T70" s="1">
        <f t="shared" ref="T70:T101" si="22">(F70+O70+P70)/Q70</f>
        <v>9.5416725810283314</v>
      </c>
      <c r="U70" s="1">
        <v>179.7578</v>
      </c>
      <c r="V70" s="1">
        <v>145.75380000000001</v>
      </c>
      <c r="W70" s="1">
        <v>144.0752</v>
      </c>
      <c r="X70" s="1">
        <v>137.29580000000001</v>
      </c>
      <c r="Y70" s="1">
        <v>137.2748</v>
      </c>
      <c r="Z70" s="1">
        <v>175.5292</v>
      </c>
      <c r="AA70" s="1">
        <v>172.87260000000001</v>
      </c>
      <c r="AB70" s="1">
        <v>159.3614</v>
      </c>
      <c r="AC70" s="1">
        <v>169.21940000000001</v>
      </c>
      <c r="AD70" s="1">
        <v>161.20079999999999</v>
      </c>
      <c r="AE70" s="1"/>
      <c r="AF70" s="1">
        <f t="shared" si="18"/>
        <v>436.68597439999985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110</v>
      </c>
      <c r="B71" s="1" t="s">
        <v>36</v>
      </c>
      <c r="C71" s="1">
        <v>156.91399999999999</v>
      </c>
      <c r="D71" s="1">
        <v>407.161</v>
      </c>
      <c r="E71" s="1">
        <v>269.86399999999998</v>
      </c>
      <c r="F71" s="1">
        <v>237.10499999999999</v>
      </c>
      <c r="G71" s="7">
        <v>1</v>
      </c>
      <c r="H71" s="1">
        <v>40</v>
      </c>
      <c r="I71" s="1" t="s">
        <v>37</v>
      </c>
      <c r="J71" s="1"/>
      <c r="K71" s="1">
        <v>298.10000000000002</v>
      </c>
      <c r="L71" s="1">
        <f t="shared" si="19"/>
        <v>-28.236000000000047</v>
      </c>
      <c r="M71" s="1"/>
      <c r="N71" s="1"/>
      <c r="O71" s="1">
        <v>259.28746100000018</v>
      </c>
      <c r="P71" s="1"/>
      <c r="Q71" s="1">
        <f t="shared" si="20"/>
        <v>53.972799999999992</v>
      </c>
      <c r="R71" s="5">
        <f t="shared" si="17"/>
        <v>151.28113899999968</v>
      </c>
      <c r="S71" s="1">
        <f t="shared" si="21"/>
        <v>11.999999999999998</v>
      </c>
      <c r="T71" s="1">
        <f t="shared" si="22"/>
        <v>9.1970855875552164</v>
      </c>
      <c r="U71" s="1">
        <v>54.696000000000012</v>
      </c>
      <c r="V71" s="1">
        <v>44.735399999999998</v>
      </c>
      <c r="W71" s="1">
        <v>40.375599999999999</v>
      </c>
      <c r="X71" s="1">
        <v>45.681600000000003</v>
      </c>
      <c r="Y71" s="1">
        <v>44.385399999999997</v>
      </c>
      <c r="Z71" s="1">
        <v>47.916400000000003</v>
      </c>
      <c r="AA71" s="1">
        <v>52.795399999999987</v>
      </c>
      <c r="AB71" s="1">
        <v>48.722799999999999</v>
      </c>
      <c r="AC71" s="1">
        <v>50.617800000000003</v>
      </c>
      <c r="AD71" s="1">
        <v>59.919400000000003</v>
      </c>
      <c r="AE71" s="1"/>
      <c r="AF71" s="1">
        <f t="shared" si="18"/>
        <v>151.28113899999968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111</v>
      </c>
      <c r="B72" s="1" t="s">
        <v>41</v>
      </c>
      <c r="C72" s="1">
        <v>8</v>
      </c>
      <c r="D72" s="1">
        <v>32</v>
      </c>
      <c r="E72" s="1">
        <v>6</v>
      </c>
      <c r="F72" s="1">
        <v>34</v>
      </c>
      <c r="G72" s="7">
        <v>0.6</v>
      </c>
      <c r="H72" s="1">
        <v>70</v>
      </c>
      <c r="I72" s="1" t="s">
        <v>37</v>
      </c>
      <c r="J72" s="1"/>
      <c r="K72" s="1">
        <v>7</v>
      </c>
      <c r="L72" s="1">
        <f t="shared" si="19"/>
        <v>-1</v>
      </c>
      <c r="M72" s="1"/>
      <c r="N72" s="1"/>
      <c r="O72" s="1">
        <v>0</v>
      </c>
      <c r="P72" s="1"/>
      <c r="Q72" s="1">
        <f t="shared" si="20"/>
        <v>1.2</v>
      </c>
      <c r="R72" s="5"/>
      <c r="S72" s="1">
        <f t="shared" si="21"/>
        <v>28.333333333333336</v>
      </c>
      <c r="T72" s="1">
        <f t="shared" si="22"/>
        <v>28.333333333333336</v>
      </c>
      <c r="U72" s="1">
        <v>1.2</v>
      </c>
      <c r="V72" s="1">
        <v>2</v>
      </c>
      <c r="W72" s="1">
        <v>2</v>
      </c>
      <c r="X72" s="1">
        <v>1.2</v>
      </c>
      <c r="Y72" s="1">
        <v>0.4</v>
      </c>
      <c r="Z72" s="1">
        <v>1.2</v>
      </c>
      <c r="AA72" s="1">
        <v>2</v>
      </c>
      <c r="AB72" s="1">
        <v>2</v>
      </c>
      <c r="AC72" s="1">
        <v>0.8</v>
      </c>
      <c r="AD72" s="1">
        <v>0.8</v>
      </c>
      <c r="AE72" s="14" t="s">
        <v>55</v>
      </c>
      <c r="AF72" s="1">
        <f t="shared" si="18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112</v>
      </c>
      <c r="B73" s="1" t="s">
        <v>36</v>
      </c>
      <c r="C73" s="1">
        <v>567.19799999999998</v>
      </c>
      <c r="D73" s="1">
        <v>42.264000000000003</v>
      </c>
      <c r="E73" s="1">
        <v>315.447</v>
      </c>
      <c r="F73" s="1">
        <v>221.898</v>
      </c>
      <c r="G73" s="7">
        <v>1</v>
      </c>
      <c r="H73" s="1">
        <v>30</v>
      </c>
      <c r="I73" s="1" t="s">
        <v>37</v>
      </c>
      <c r="J73" s="1"/>
      <c r="K73" s="1">
        <v>352.1</v>
      </c>
      <c r="L73" s="1">
        <f t="shared" si="19"/>
        <v>-36.65300000000002</v>
      </c>
      <c r="M73" s="1"/>
      <c r="N73" s="1"/>
      <c r="O73" s="1">
        <v>355.80216619999999</v>
      </c>
      <c r="P73" s="1"/>
      <c r="Q73" s="1">
        <f t="shared" si="20"/>
        <v>63.089399999999998</v>
      </c>
      <c r="R73" s="5">
        <f t="shared" si="17"/>
        <v>179.37263379999993</v>
      </c>
      <c r="S73" s="1">
        <f t="shared" si="21"/>
        <v>11.999999999999998</v>
      </c>
      <c r="T73" s="1">
        <f t="shared" si="22"/>
        <v>9.1568499018852609</v>
      </c>
      <c r="U73" s="1">
        <v>62.3386</v>
      </c>
      <c r="V73" s="1">
        <v>48.734200000000001</v>
      </c>
      <c r="W73" s="1">
        <v>49.574399999999997</v>
      </c>
      <c r="X73" s="1">
        <v>57.8048</v>
      </c>
      <c r="Y73" s="1">
        <v>60.2044</v>
      </c>
      <c r="Z73" s="1">
        <v>77.722000000000008</v>
      </c>
      <c r="AA73" s="1">
        <v>80.553599999999989</v>
      </c>
      <c r="AB73" s="1">
        <v>64.354600000000005</v>
      </c>
      <c r="AC73" s="1">
        <v>60.799799999999998</v>
      </c>
      <c r="AD73" s="1">
        <v>58.539200000000008</v>
      </c>
      <c r="AE73" s="1"/>
      <c r="AF73" s="1">
        <f t="shared" si="18"/>
        <v>179.37263379999993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113</v>
      </c>
      <c r="B74" s="1" t="s">
        <v>41</v>
      </c>
      <c r="C74" s="1">
        <v>130</v>
      </c>
      <c r="D74" s="1">
        <v>160</v>
      </c>
      <c r="E74" s="1">
        <v>124</v>
      </c>
      <c r="F74" s="1">
        <v>137</v>
      </c>
      <c r="G74" s="7">
        <v>0.6</v>
      </c>
      <c r="H74" s="1">
        <v>60</v>
      </c>
      <c r="I74" s="1" t="s">
        <v>37</v>
      </c>
      <c r="J74" s="1"/>
      <c r="K74" s="1">
        <v>125</v>
      </c>
      <c r="L74" s="1">
        <f t="shared" si="19"/>
        <v>-1</v>
      </c>
      <c r="M74" s="1"/>
      <c r="N74" s="1"/>
      <c r="O74" s="1">
        <v>110.1</v>
      </c>
      <c r="P74" s="1"/>
      <c r="Q74" s="1">
        <f t="shared" si="20"/>
        <v>24.8</v>
      </c>
      <c r="R74" s="5">
        <f t="shared" si="17"/>
        <v>50.500000000000028</v>
      </c>
      <c r="S74" s="1">
        <f t="shared" si="21"/>
        <v>12</v>
      </c>
      <c r="T74" s="1">
        <f t="shared" si="22"/>
        <v>9.9637096774193541</v>
      </c>
      <c r="U74" s="1">
        <v>28.2</v>
      </c>
      <c r="V74" s="1">
        <v>22.8</v>
      </c>
      <c r="W74" s="1">
        <v>19.2</v>
      </c>
      <c r="X74" s="1">
        <v>23.4</v>
      </c>
      <c r="Y74" s="1">
        <v>25.4</v>
      </c>
      <c r="Z74" s="1">
        <v>18.600000000000001</v>
      </c>
      <c r="AA74" s="1">
        <v>32.6</v>
      </c>
      <c r="AB74" s="1">
        <v>24.6</v>
      </c>
      <c r="AC74" s="1">
        <v>15</v>
      </c>
      <c r="AD74" s="1">
        <v>22.8</v>
      </c>
      <c r="AE74" s="1"/>
      <c r="AF74" s="1">
        <f t="shared" si="18"/>
        <v>30.300000000000015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114</v>
      </c>
      <c r="B75" s="1" t="s">
        <v>41</v>
      </c>
      <c r="C75" s="1">
        <v>27</v>
      </c>
      <c r="D75" s="1">
        <v>48</v>
      </c>
      <c r="E75" s="1">
        <v>34</v>
      </c>
      <c r="F75" s="1">
        <v>37</v>
      </c>
      <c r="G75" s="7">
        <v>0.6</v>
      </c>
      <c r="H75" s="1">
        <v>60</v>
      </c>
      <c r="I75" s="1" t="s">
        <v>37</v>
      </c>
      <c r="J75" s="1"/>
      <c r="K75" s="1">
        <v>34</v>
      </c>
      <c r="L75" s="1">
        <f t="shared" si="19"/>
        <v>0</v>
      </c>
      <c r="M75" s="1"/>
      <c r="N75" s="1"/>
      <c r="O75" s="1">
        <v>30.000000000000011</v>
      </c>
      <c r="P75" s="1"/>
      <c r="Q75" s="1">
        <f t="shared" si="20"/>
        <v>6.8</v>
      </c>
      <c r="R75" s="5">
        <f t="shared" si="17"/>
        <v>14.59999999999998</v>
      </c>
      <c r="S75" s="1">
        <f t="shared" si="21"/>
        <v>12</v>
      </c>
      <c r="T75" s="1">
        <f t="shared" si="22"/>
        <v>9.8529411764705905</v>
      </c>
      <c r="U75" s="1">
        <v>7.6</v>
      </c>
      <c r="V75" s="1">
        <v>5.8</v>
      </c>
      <c r="W75" s="1">
        <v>4</v>
      </c>
      <c r="X75" s="1">
        <v>5.4</v>
      </c>
      <c r="Y75" s="1">
        <v>4.4000000000000004</v>
      </c>
      <c r="Z75" s="1">
        <v>4</v>
      </c>
      <c r="AA75" s="1">
        <v>5.4</v>
      </c>
      <c r="AB75" s="1">
        <v>5.8</v>
      </c>
      <c r="AC75" s="1">
        <v>4.2</v>
      </c>
      <c r="AD75" s="1">
        <v>4.4000000000000004</v>
      </c>
      <c r="AE75" s="1"/>
      <c r="AF75" s="1">
        <f t="shared" si="18"/>
        <v>8.7599999999999874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115</v>
      </c>
      <c r="B76" s="1" t="s">
        <v>41</v>
      </c>
      <c r="C76" s="1">
        <v>85</v>
      </c>
      <c r="D76" s="1">
        <v>200</v>
      </c>
      <c r="E76" s="1">
        <v>103</v>
      </c>
      <c r="F76" s="1">
        <v>172</v>
      </c>
      <c r="G76" s="7">
        <v>0.4</v>
      </c>
      <c r="H76" s="1">
        <v>90</v>
      </c>
      <c r="I76" s="1" t="s">
        <v>37</v>
      </c>
      <c r="J76" s="1"/>
      <c r="K76" s="1">
        <v>105</v>
      </c>
      <c r="L76" s="1">
        <f t="shared" si="19"/>
        <v>-2</v>
      </c>
      <c r="M76" s="1"/>
      <c r="N76" s="1"/>
      <c r="O76" s="1">
        <v>0</v>
      </c>
      <c r="P76" s="1"/>
      <c r="Q76" s="1">
        <f t="shared" si="20"/>
        <v>20.6</v>
      </c>
      <c r="R76" s="5">
        <f t="shared" si="17"/>
        <v>75.200000000000017</v>
      </c>
      <c r="S76" s="1">
        <f t="shared" si="21"/>
        <v>12</v>
      </c>
      <c r="T76" s="1">
        <f t="shared" si="22"/>
        <v>8.349514563106796</v>
      </c>
      <c r="U76" s="1">
        <v>17</v>
      </c>
      <c r="V76" s="1">
        <v>22.8</v>
      </c>
      <c r="W76" s="1">
        <v>25.2</v>
      </c>
      <c r="X76" s="1">
        <v>20.6</v>
      </c>
      <c r="Y76" s="1">
        <v>22.2</v>
      </c>
      <c r="Z76" s="1">
        <v>19.8</v>
      </c>
      <c r="AA76" s="1">
        <v>15.6</v>
      </c>
      <c r="AB76" s="1">
        <v>17.8</v>
      </c>
      <c r="AC76" s="1">
        <v>17.2</v>
      </c>
      <c r="AD76" s="1">
        <v>22.6</v>
      </c>
      <c r="AE76" s="1"/>
      <c r="AF76" s="1">
        <f t="shared" si="18"/>
        <v>30.080000000000009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116</v>
      </c>
      <c r="B77" s="1" t="s">
        <v>41</v>
      </c>
      <c r="C77" s="1">
        <v>94</v>
      </c>
      <c r="D77" s="1">
        <v>280</v>
      </c>
      <c r="E77" s="1">
        <v>141</v>
      </c>
      <c r="F77" s="1">
        <v>217</v>
      </c>
      <c r="G77" s="7">
        <v>0.33</v>
      </c>
      <c r="H77" s="1">
        <v>60</v>
      </c>
      <c r="I77" s="1" t="s">
        <v>37</v>
      </c>
      <c r="J77" s="1"/>
      <c r="K77" s="1">
        <v>141</v>
      </c>
      <c r="L77" s="1">
        <f t="shared" si="19"/>
        <v>0</v>
      </c>
      <c r="M77" s="1"/>
      <c r="N77" s="1"/>
      <c r="O77" s="1">
        <v>8</v>
      </c>
      <c r="P77" s="1"/>
      <c r="Q77" s="1">
        <f t="shared" si="20"/>
        <v>28.2</v>
      </c>
      <c r="R77" s="5">
        <f t="shared" si="17"/>
        <v>113.39999999999998</v>
      </c>
      <c r="S77" s="1">
        <f t="shared" si="21"/>
        <v>12</v>
      </c>
      <c r="T77" s="1">
        <f t="shared" si="22"/>
        <v>7.9787234042553195</v>
      </c>
      <c r="U77" s="1">
        <v>25.8</v>
      </c>
      <c r="V77" s="1">
        <v>29.8</v>
      </c>
      <c r="W77" s="1">
        <v>31.6</v>
      </c>
      <c r="X77" s="1">
        <v>29</v>
      </c>
      <c r="Y77" s="1">
        <v>28.6</v>
      </c>
      <c r="Z77" s="1">
        <v>23</v>
      </c>
      <c r="AA77" s="1">
        <v>19.2</v>
      </c>
      <c r="AB77" s="1">
        <v>26</v>
      </c>
      <c r="AC77" s="1">
        <v>23.8</v>
      </c>
      <c r="AD77" s="1">
        <v>24.6</v>
      </c>
      <c r="AE77" s="1"/>
      <c r="AF77" s="1">
        <f t="shared" si="18"/>
        <v>37.421999999999997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117</v>
      </c>
      <c r="B78" s="1" t="s">
        <v>41</v>
      </c>
      <c r="C78" s="1">
        <v>96</v>
      </c>
      <c r="D78" s="1">
        <v>176</v>
      </c>
      <c r="E78" s="1">
        <v>145</v>
      </c>
      <c r="F78" s="1">
        <v>112</v>
      </c>
      <c r="G78" s="7">
        <v>0.35</v>
      </c>
      <c r="H78" s="1">
        <v>90</v>
      </c>
      <c r="I78" s="1" t="s">
        <v>37</v>
      </c>
      <c r="J78" s="1"/>
      <c r="K78" s="1">
        <v>153</v>
      </c>
      <c r="L78" s="1">
        <f t="shared" si="19"/>
        <v>-8</v>
      </c>
      <c r="M78" s="1"/>
      <c r="N78" s="1"/>
      <c r="O78" s="1">
        <v>42.699999999999989</v>
      </c>
      <c r="P78" s="1"/>
      <c r="Q78" s="1">
        <f t="shared" si="20"/>
        <v>29</v>
      </c>
      <c r="R78" s="5">
        <f t="shared" si="17"/>
        <v>193.3</v>
      </c>
      <c r="S78" s="1">
        <f t="shared" si="21"/>
        <v>12</v>
      </c>
      <c r="T78" s="1">
        <f t="shared" si="22"/>
        <v>5.3344827586206893</v>
      </c>
      <c r="U78" s="1">
        <v>21.4</v>
      </c>
      <c r="V78" s="1">
        <v>22</v>
      </c>
      <c r="W78" s="1">
        <v>21.8</v>
      </c>
      <c r="X78" s="1">
        <v>20</v>
      </c>
      <c r="Y78" s="1">
        <v>23</v>
      </c>
      <c r="Z78" s="1">
        <v>19</v>
      </c>
      <c r="AA78" s="1">
        <v>19.2</v>
      </c>
      <c r="AB78" s="1">
        <v>20.6</v>
      </c>
      <c r="AC78" s="1">
        <v>15.6</v>
      </c>
      <c r="AD78" s="1">
        <v>13.6</v>
      </c>
      <c r="AE78" s="1"/>
      <c r="AF78" s="1">
        <f t="shared" si="18"/>
        <v>67.655000000000001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118</v>
      </c>
      <c r="B79" s="1" t="s">
        <v>41</v>
      </c>
      <c r="C79" s="1">
        <v>174</v>
      </c>
      <c r="D79" s="1">
        <v>1170</v>
      </c>
      <c r="E79" s="1">
        <v>524</v>
      </c>
      <c r="F79" s="1">
        <v>767</v>
      </c>
      <c r="G79" s="7">
        <v>0.37</v>
      </c>
      <c r="H79" s="1">
        <v>50</v>
      </c>
      <c r="I79" s="1" t="s">
        <v>37</v>
      </c>
      <c r="J79" s="1"/>
      <c r="K79" s="1">
        <v>525</v>
      </c>
      <c r="L79" s="1">
        <f t="shared" si="19"/>
        <v>-1</v>
      </c>
      <c r="M79" s="1"/>
      <c r="N79" s="1"/>
      <c r="O79" s="1">
        <v>225.9554</v>
      </c>
      <c r="P79" s="1"/>
      <c r="Q79" s="1">
        <f t="shared" si="20"/>
        <v>104.8</v>
      </c>
      <c r="R79" s="5">
        <f t="shared" si="17"/>
        <v>264.64459999999985</v>
      </c>
      <c r="S79" s="1">
        <f t="shared" si="21"/>
        <v>12</v>
      </c>
      <c r="T79" s="1">
        <f t="shared" si="22"/>
        <v>9.4747652671755738</v>
      </c>
      <c r="U79" s="1">
        <v>111.2</v>
      </c>
      <c r="V79" s="1">
        <v>113</v>
      </c>
      <c r="W79" s="1">
        <v>100</v>
      </c>
      <c r="X79" s="1">
        <v>88.2</v>
      </c>
      <c r="Y79" s="1">
        <v>79.2</v>
      </c>
      <c r="Z79" s="1">
        <v>78.2</v>
      </c>
      <c r="AA79" s="1">
        <v>97.8</v>
      </c>
      <c r="AB79" s="1">
        <v>89.2</v>
      </c>
      <c r="AC79" s="1">
        <v>84.6</v>
      </c>
      <c r="AD79" s="1">
        <v>103.8</v>
      </c>
      <c r="AE79" s="1"/>
      <c r="AF79" s="1">
        <f t="shared" si="18"/>
        <v>97.918501999999947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119</v>
      </c>
      <c r="B80" s="1" t="s">
        <v>41</v>
      </c>
      <c r="C80" s="1">
        <v>92</v>
      </c>
      <c r="D80" s="1">
        <v>160</v>
      </c>
      <c r="E80" s="1">
        <v>127</v>
      </c>
      <c r="F80" s="1">
        <v>88</v>
      </c>
      <c r="G80" s="7">
        <v>0.6</v>
      </c>
      <c r="H80" s="1">
        <v>70</v>
      </c>
      <c r="I80" s="1" t="s">
        <v>37</v>
      </c>
      <c r="J80" s="1"/>
      <c r="K80" s="1">
        <v>139</v>
      </c>
      <c r="L80" s="1">
        <f t="shared" si="19"/>
        <v>-12</v>
      </c>
      <c r="M80" s="1"/>
      <c r="N80" s="1"/>
      <c r="O80" s="1">
        <v>121.6</v>
      </c>
      <c r="P80" s="1"/>
      <c r="Q80" s="1">
        <f t="shared" si="20"/>
        <v>25.4</v>
      </c>
      <c r="R80" s="5">
        <f t="shared" si="17"/>
        <v>95.19999999999996</v>
      </c>
      <c r="S80" s="1">
        <f t="shared" si="21"/>
        <v>11.999999999999998</v>
      </c>
      <c r="T80" s="1">
        <f t="shared" si="22"/>
        <v>8.2519685039370074</v>
      </c>
      <c r="U80" s="1">
        <v>23.8</v>
      </c>
      <c r="V80" s="1">
        <v>19.600000000000001</v>
      </c>
      <c r="W80" s="1">
        <v>22.8</v>
      </c>
      <c r="X80" s="1">
        <v>16.8</v>
      </c>
      <c r="Y80" s="1">
        <v>15.2</v>
      </c>
      <c r="Z80" s="1">
        <v>20.8</v>
      </c>
      <c r="AA80" s="1">
        <v>25.2</v>
      </c>
      <c r="AB80" s="1">
        <v>23</v>
      </c>
      <c r="AC80" s="1">
        <v>22.2</v>
      </c>
      <c r="AD80" s="1">
        <v>20</v>
      </c>
      <c r="AE80" s="1"/>
      <c r="AF80" s="1">
        <f t="shared" si="18"/>
        <v>57.119999999999976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120</v>
      </c>
      <c r="B81" s="1" t="s">
        <v>41</v>
      </c>
      <c r="C81" s="1">
        <v>22</v>
      </c>
      <c r="D81" s="1">
        <v>72</v>
      </c>
      <c r="E81" s="1">
        <v>69</v>
      </c>
      <c r="F81" s="1">
        <v>22</v>
      </c>
      <c r="G81" s="7">
        <v>0.33</v>
      </c>
      <c r="H81" s="1">
        <v>40</v>
      </c>
      <c r="I81" s="1" t="s">
        <v>37</v>
      </c>
      <c r="J81" s="1"/>
      <c r="K81" s="1">
        <v>80</v>
      </c>
      <c r="L81" s="1">
        <f t="shared" si="19"/>
        <v>-11</v>
      </c>
      <c r="M81" s="1"/>
      <c r="N81" s="1"/>
      <c r="O81" s="1">
        <v>8</v>
      </c>
      <c r="P81" s="1"/>
      <c r="Q81" s="1">
        <f t="shared" si="20"/>
        <v>13.8</v>
      </c>
      <c r="R81" s="5">
        <f>9*Q81-P81-O81-F81</f>
        <v>94.2</v>
      </c>
      <c r="S81" s="1">
        <f t="shared" si="21"/>
        <v>9</v>
      </c>
      <c r="T81" s="1">
        <f t="shared" si="22"/>
        <v>2.1739130434782608</v>
      </c>
      <c r="U81" s="1">
        <v>6.2</v>
      </c>
      <c r="V81" s="1">
        <v>5.6</v>
      </c>
      <c r="W81" s="1">
        <v>8.8000000000000007</v>
      </c>
      <c r="X81" s="1">
        <v>10.6</v>
      </c>
      <c r="Y81" s="1">
        <v>10.6</v>
      </c>
      <c r="Z81" s="1">
        <v>10.4</v>
      </c>
      <c r="AA81" s="1">
        <v>9</v>
      </c>
      <c r="AB81" s="1">
        <v>8.6</v>
      </c>
      <c r="AC81" s="1">
        <v>6</v>
      </c>
      <c r="AD81" s="1">
        <v>5.6</v>
      </c>
      <c r="AE81" s="1"/>
      <c r="AF81" s="1">
        <f t="shared" si="18"/>
        <v>31.086000000000002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121</v>
      </c>
      <c r="B82" s="1" t="s">
        <v>41</v>
      </c>
      <c r="C82" s="1">
        <v>115</v>
      </c>
      <c r="D82" s="1">
        <v>552</v>
      </c>
      <c r="E82" s="1">
        <v>259</v>
      </c>
      <c r="F82" s="1">
        <v>351</v>
      </c>
      <c r="G82" s="7">
        <v>0.4</v>
      </c>
      <c r="H82" s="1">
        <v>55</v>
      </c>
      <c r="I82" s="1" t="s">
        <v>37</v>
      </c>
      <c r="J82" s="1"/>
      <c r="K82" s="1">
        <v>260</v>
      </c>
      <c r="L82" s="1">
        <f t="shared" si="19"/>
        <v>-1</v>
      </c>
      <c r="M82" s="1"/>
      <c r="N82" s="1"/>
      <c r="O82" s="1">
        <v>50.393000000000029</v>
      </c>
      <c r="P82" s="1"/>
      <c r="Q82" s="1">
        <f t="shared" si="20"/>
        <v>51.8</v>
      </c>
      <c r="R82" s="5">
        <f t="shared" si="17"/>
        <v>220.20699999999988</v>
      </c>
      <c r="S82" s="1">
        <f t="shared" si="21"/>
        <v>11.999999999999998</v>
      </c>
      <c r="T82" s="1">
        <f t="shared" si="22"/>
        <v>7.7488996138996145</v>
      </c>
      <c r="U82" s="1">
        <v>49.2</v>
      </c>
      <c r="V82" s="1">
        <v>55.8</v>
      </c>
      <c r="W82" s="1">
        <v>49.8</v>
      </c>
      <c r="X82" s="1">
        <v>36.200000000000003</v>
      </c>
      <c r="Y82" s="1">
        <v>42</v>
      </c>
      <c r="Z82" s="1">
        <v>46</v>
      </c>
      <c r="AA82" s="1">
        <v>56.4</v>
      </c>
      <c r="AB82" s="1">
        <v>55.4</v>
      </c>
      <c r="AC82" s="1">
        <v>44.8</v>
      </c>
      <c r="AD82" s="1">
        <v>44.8</v>
      </c>
      <c r="AE82" s="1"/>
      <c r="AF82" s="1">
        <f t="shared" si="18"/>
        <v>88.082799999999963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122</v>
      </c>
      <c r="B83" s="1" t="s">
        <v>41</v>
      </c>
      <c r="C83" s="1">
        <v>8</v>
      </c>
      <c r="D83" s="1">
        <v>210</v>
      </c>
      <c r="E83" s="1">
        <v>115</v>
      </c>
      <c r="F83" s="1">
        <v>75</v>
      </c>
      <c r="G83" s="7">
        <v>0.35</v>
      </c>
      <c r="H83" s="1">
        <v>40</v>
      </c>
      <c r="I83" s="13" t="s">
        <v>62</v>
      </c>
      <c r="J83" s="1"/>
      <c r="K83" s="1">
        <v>162</v>
      </c>
      <c r="L83" s="1">
        <f t="shared" si="19"/>
        <v>-47</v>
      </c>
      <c r="M83" s="1"/>
      <c r="N83" s="1"/>
      <c r="O83" s="1">
        <v>50</v>
      </c>
      <c r="P83" s="1"/>
      <c r="Q83" s="1">
        <f t="shared" si="20"/>
        <v>23</v>
      </c>
      <c r="R83" s="5">
        <v>50</v>
      </c>
      <c r="S83" s="1">
        <f t="shared" si="21"/>
        <v>7.6086956521739131</v>
      </c>
      <c r="T83" s="1">
        <f t="shared" si="22"/>
        <v>5.4347826086956523</v>
      </c>
      <c r="U83" s="1">
        <v>3.2</v>
      </c>
      <c r="V83" s="1">
        <v>15</v>
      </c>
      <c r="W83" s="1">
        <v>25.4</v>
      </c>
      <c r="X83" s="1">
        <v>10.199999999999999</v>
      </c>
      <c r="Y83" s="1">
        <v>7.2</v>
      </c>
      <c r="Z83" s="1">
        <v>14.6</v>
      </c>
      <c r="AA83" s="1">
        <v>29</v>
      </c>
      <c r="AB83" s="1">
        <v>24.2</v>
      </c>
      <c r="AC83" s="1">
        <v>2.6</v>
      </c>
      <c r="AD83" s="1">
        <v>3.6</v>
      </c>
      <c r="AE83" s="1"/>
      <c r="AF83" s="1">
        <f t="shared" si="18"/>
        <v>17.5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123</v>
      </c>
      <c r="B84" s="1" t="s">
        <v>41</v>
      </c>
      <c r="C84" s="1">
        <v>-13</v>
      </c>
      <c r="D84" s="1">
        <v>456</v>
      </c>
      <c r="E84" s="1">
        <v>161</v>
      </c>
      <c r="F84" s="1">
        <v>275</v>
      </c>
      <c r="G84" s="7">
        <v>0.35</v>
      </c>
      <c r="H84" s="1">
        <v>45</v>
      </c>
      <c r="I84" s="1" t="s">
        <v>37</v>
      </c>
      <c r="J84" s="1"/>
      <c r="K84" s="1">
        <v>167</v>
      </c>
      <c r="L84" s="1">
        <f t="shared" si="19"/>
        <v>-6</v>
      </c>
      <c r="M84" s="1"/>
      <c r="N84" s="1"/>
      <c r="O84" s="1">
        <v>0</v>
      </c>
      <c r="P84" s="1"/>
      <c r="Q84" s="1">
        <f t="shared" si="20"/>
        <v>32.200000000000003</v>
      </c>
      <c r="R84" s="5">
        <f t="shared" si="17"/>
        <v>111.40000000000003</v>
      </c>
      <c r="S84" s="1">
        <f t="shared" si="21"/>
        <v>12</v>
      </c>
      <c r="T84" s="1">
        <f t="shared" si="22"/>
        <v>8.5403726708074519</v>
      </c>
      <c r="U84" s="1">
        <v>24.2</v>
      </c>
      <c r="V84" s="1">
        <v>3.6</v>
      </c>
      <c r="W84" s="1">
        <v>9.6</v>
      </c>
      <c r="X84" s="1">
        <v>50.6</v>
      </c>
      <c r="Y84" s="1">
        <v>53.4</v>
      </c>
      <c r="Z84" s="1">
        <v>61.6</v>
      </c>
      <c r="AA84" s="1">
        <v>61.2</v>
      </c>
      <c r="AB84" s="1">
        <v>44</v>
      </c>
      <c r="AC84" s="1">
        <v>49</v>
      </c>
      <c r="AD84" s="1">
        <v>44.4</v>
      </c>
      <c r="AE84" s="1"/>
      <c r="AF84" s="1">
        <f t="shared" si="18"/>
        <v>38.990000000000009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124</v>
      </c>
      <c r="B85" s="1" t="s">
        <v>41</v>
      </c>
      <c r="C85" s="1">
        <v>275</v>
      </c>
      <c r="D85" s="1">
        <v>70</v>
      </c>
      <c r="E85" s="1">
        <v>82</v>
      </c>
      <c r="F85" s="1">
        <v>261</v>
      </c>
      <c r="G85" s="7">
        <v>0.4</v>
      </c>
      <c r="H85" s="1">
        <v>55</v>
      </c>
      <c r="I85" s="1" t="s">
        <v>37</v>
      </c>
      <c r="J85" s="1"/>
      <c r="K85" s="1">
        <v>132</v>
      </c>
      <c r="L85" s="1">
        <f t="shared" si="19"/>
        <v>-50</v>
      </c>
      <c r="M85" s="1"/>
      <c r="N85" s="1"/>
      <c r="O85" s="1">
        <v>84.199999999999989</v>
      </c>
      <c r="P85" s="1"/>
      <c r="Q85" s="1">
        <f t="shared" si="20"/>
        <v>16.399999999999999</v>
      </c>
      <c r="R85" s="5"/>
      <c r="S85" s="1">
        <f t="shared" si="21"/>
        <v>21.04878048780488</v>
      </c>
      <c r="T85" s="1">
        <f t="shared" si="22"/>
        <v>21.04878048780488</v>
      </c>
      <c r="U85" s="1">
        <v>27.2</v>
      </c>
      <c r="V85" s="1">
        <v>12.6</v>
      </c>
      <c r="W85" s="1">
        <v>11.8</v>
      </c>
      <c r="X85" s="1">
        <v>36.200000000000003</v>
      </c>
      <c r="Y85" s="1">
        <v>39.799999999999997</v>
      </c>
      <c r="Z85" s="1">
        <v>15</v>
      </c>
      <c r="AA85" s="1">
        <v>16</v>
      </c>
      <c r="AB85" s="1">
        <v>28</v>
      </c>
      <c r="AC85" s="1">
        <v>29.8</v>
      </c>
      <c r="AD85" s="1">
        <v>24.2</v>
      </c>
      <c r="AE85" s="14" t="s">
        <v>55</v>
      </c>
      <c r="AF85" s="1">
        <f t="shared" si="18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125</v>
      </c>
      <c r="B86" s="1" t="s">
        <v>36</v>
      </c>
      <c r="C86" s="1">
        <v>81.349999999999994</v>
      </c>
      <c r="D86" s="1"/>
      <c r="E86" s="1">
        <v>15.864000000000001</v>
      </c>
      <c r="F86" s="1">
        <v>64.066000000000003</v>
      </c>
      <c r="G86" s="7">
        <v>1</v>
      </c>
      <c r="H86" s="1">
        <v>55</v>
      </c>
      <c r="I86" s="1" t="s">
        <v>37</v>
      </c>
      <c r="J86" s="1"/>
      <c r="K86" s="1">
        <v>15.1</v>
      </c>
      <c r="L86" s="1">
        <f t="shared" si="19"/>
        <v>0.76400000000000112</v>
      </c>
      <c r="M86" s="1"/>
      <c r="N86" s="1"/>
      <c r="O86" s="1">
        <v>0</v>
      </c>
      <c r="P86" s="1"/>
      <c r="Q86" s="1">
        <f t="shared" si="20"/>
        <v>3.1728000000000001</v>
      </c>
      <c r="R86" s="5"/>
      <c r="S86" s="1">
        <f t="shared" si="21"/>
        <v>20.192259203227433</v>
      </c>
      <c r="T86" s="1">
        <f t="shared" si="22"/>
        <v>20.192259203227433</v>
      </c>
      <c r="U86" s="1">
        <v>2.5781999999999998</v>
      </c>
      <c r="V86" s="1">
        <v>1.9770000000000001</v>
      </c>
      <c r="W86" s="1">
        <v>1.7008000000000001</v>
      </c>
      <c r="X86" s="1">
        <v>1.6816</v>
      </c>
      <c r="Y86" s="1">
        <v>6.2156000000000002</v>
      </c>
      <c r="Z86" s="1">
        <v>7.9986000000000006</v>
      </c>
      <c r="AA86" s="1">
        <v>3.4681999999999999</v>
      </c>
      <c r="AB86" s="1">
        <v>1.6208</v>
      </c>
      <c r="AC86" s="1">
        <v>-1.0531999999999999</v>
      </c>
      <c r="AD86" s="1">
        <v>0.1918</v>
      </c>
      <c r="AE86" s="15" t="s">
        <v>126</v>
      </c>
      <c r="AF86" s="1">
        <f t="shared" si="18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9" t="s">
        <v>127</v>
      </c>
      <c r="B87" s="9" t="s">
        <v>41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49</v>
      </c>
      <c r="J87" s="9"/>
      <c r="K87" s="9">
        <v>17</v>
      </c>
      <c r="L87" s="9">
        <f t="shared" si="19"/>
        <v>-17</v>
      </c>
      <c r="M87" s="9"/>
      <c r="N87" s="9"/>
      <c r="O87" s="9">
        <v>0</v>
      </c>
      <c r="P87" s="9"/>
      <c r="Q87" s="9">
        <f t="shared" si="20"/>
        <v>0</v>
      </c>
      <c r="R87" s="11"/>
      <c r="S87" s="9" t="e">
        <f t="shared" si="21"/>
        <v>#DIV/0!</v>
      </c>
      <c r="T87" s="9" t="e">
        <f t="shared" si="22"/>
        <v>#DIV/0!</v>
      </c>
      <c r="U87" s="9">
        <v>0</v>
      </c>
      <c r="V87" s="9">
        <v>0.6</v>
      </c>
      <c r="W87" s="9">
        <v>0.6</v>
      </c>
      <c r="X87" s="9">
        <v>2</v>
      </c>
      <c r="Y87" s="9">
        <v>4</v>
      </c>
      <c r="Z87" s="9">
        <v>4</v>
      </c>
      <c r="AA87" s="9">
        <v>6</v>
      </c>
      <c r="AB87" s="9">
        <v>4</v>
      </c>
      <c r="AC87" s="9">
        <v>1.2</v>
      </c>
      <c r="AD87" s="9">
        <v>2</v>
      </c>
      <c r="AE87" s="9"/>
      <c r="AF87" s="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128</v>
      </c>
      <c r="B88" s="1" t="s">
        <v>36</v>
      </c>
      <c r="C88" s="1">
        <v>189.369</v>
      </c>
      <c r="D88" s="1">
        <v>371.15499999999997</v>
      </c>
      <c r="E88" s="1">
        <v>267.71199999999999</v>
      </c>
      <c r="F88" s="1">
        <v>205.80799999999999</v>
      </c>
      <c r="G88" s="7">
        <v>1</v>
      </c>
      <c r="H88" s="1">
        <v>55</v>
      </c>
      <c r="I88" s="1" t="s">
        <v>37</v>
      </c>
      <c r="J88" s="1"/>
      <c r="K88" s="1">
        <v>262</v>
      </c>
      <c r="L88" s="1">
        <f t="shared" si="19"/>
        <v>5.7119999999999891</v>
      </c>
      <c r="M88" s="1"/>
      <c r="N88" s="1"/>
      <c r="O88" s="1">
        <v>186.9823099999999</v>
      </c>
      <c r="P88" s="1"/>
      <c r="Q88" s="1">
        <f t="shared" si="20"/>
        <v>53.542400000000001</v>
      </c>
      <c r="R88" s="5">
        <f t="shared" ref="R88:R89" si="23">12*Q88-P88-O88-F88</f>
        <v>249.7184900000002</v>
      </c>
      <c r="S88" s="1">
        <f t="shared" si="21"/>
        <v>12.000000000000002</v>
      </c>
      <c r="T88" s="1">
        <f t="shared" si="22"/>
        <v>7.3360609535620345</v>
      </c>
      <c r="U88" s="1">
        <v>48.606000000000002</v>
      </c>
      <c r="V88" s="1">
        <v>44.576599999999999</v>
      </c>
      <c r="W88" s="1">
        <v>42.3018</v>
      </c>
      <c r="X88" s="1">
        <v>32.957999999999998</v>
      </c>
      <c r="Y88" s="1">
        <v>40.682000000000002</v>
      </c>
      <c r="Z88" s="1">
        <v>27.418199999999999</v>
      </c>
      <c r="AA88" s="1">
        <v>33.930599999999998</v>
      </c>
      <c r="AB88" s="1">
        <v>31.181999999999999</v>
      </c>
      <c r="AC88" s="1">
        <v>37.124600000000001</v>
      </c>
      <c r="AD88" s="1">
        <v>49.651200000000003</v>
      </c>
      <c r="AE88" s="1"/>
      <c r="AF88" s="1">
        <f>G88*R88</f>
        <v>249.7184900000002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129</v>
      </c>
      <c r="B89" s="1" t="s">
        <v>36</v>
      </c>
      <c r="C89" s="1">
        <v>1385.038</v>
      </c>
      <c r="D89" s="1">
        <v>596.75400000000002</v>
      </c>
      <c r="E89" s="1">
        <v>825.28</v>
      </c>
      <c r="F89" s="1">
        <v>1079.5440000000001</v>
      </c>
      <c r="G89" s="7">
        <v>1</v>
      </c>
      <c r="H89" s="1">
        <v>60</v>
      </c>
      <c r="I89" s="1" t="s">
        <v>37</v>
      </c>
      <c r="J89" s="1"/>
      <c r="K89" s="1">
        <v>827.38</v>
      </c>
      <c r="L89" s="1">
        <f t="shared" si="19"/>
        <v>-2.1000000000000227</v>
      </c>
      <c r="M89" s="1"/>
      <c r="N89" s="1"/>
      <c r="O89" s="1">
        <v>377.03803920000018</v>
      </c>
      <c r="P89" s="1"/>
      <c r="Q89" s="1">
        <f t="shared" si="20"/>
        <v>165.05599999999998</v>
      </c>
      <c r="R89" s="5">
        <f t="shared" si="23"/>
        <v>524.08996079999952</v>
      </c>
      <c r="S89" s="1">
        <f t="shared" si="21"/>
        <v>12</v>
      </c>
      <c r="T89" s="1">
        <f t="shared" si="22"/>
        <v>8.8247748594416464</v>
      </c>
      <c r="U89" s="1">
        <v>161.7576</v>
      </c>
      <c r="V89" s="1">
        <v>146.61940000000001</v>
      </c>
      <c r="W89" s="1">
        <v>153.85120000000001</v>
      </c>
      <c r="X89" s="1">
        <v>151.1354</v>
      </c>
      <c r="Y89" s="1">
        <v>164.34880000000001</v>
      </c>
      <c r="Z89" s="1">
        <v>171.851</v>
      </c>
      <c r="AA89" s="1">
        <v>176.95820000000001</v>
      </c>
      <c r="AB89" s="1">
        <v>182.36699999999999</v>
      </c>
      <c r="AC89" s="1">
        <v>171.1482</v>
      </c>
      <c r="AD89" s="1">
        <v>171.82579999999999</v>
      </c>
      <c r="AE89" s="1"/>
      <c r="AF89" s="1">
        <f>G89*R89</f>
        <v>524.08996079999952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9" t="s">
        <v>130</v>
      </c>
      <c r="B90" s="9" t="s">
        <v>41</v>
      </c>
      <c r="C90" s="9"/>
      <c r="D90" s="9"/>
      <c r="E90" s="9"/>
      <c r="F90" s="9"/>
      <c r="G90" s="10">
        <v>0</v>
      </c>
      <c r="H90" s="9"/>
      <c r="I90" s="9" t="s">
        <v>37</v>
      </c>
      <c r="J90" s="9"/>
      <c r="K90" s="9"/>
      <c r="L90" s="9">
        <f t="shared" si="19"/>
        <v>0</v>
      </c>
      <c r="M90" s="9"/>
      <c r="N90" s="9"/>
      <c r="O90" s="9">
        <v>0</v>
      </c>
      <c r="P90" s="9"/>
      <c r="Q90" s="9">
        <f t="shared" si="20"/>
        <v>0</v>
      </c>
      <c r="R90" s="11"/>
      <c r="S90" s="9" t="e">
        <f t="shared" si="21"/>
        <v>#DIV/0!</v>
      </c>
      <c r="T90" s="9" t="e">
        <f t="shared" si="22"/>
        <v>#DIV/0!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 t="s">
        <v>42</v>
      </c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131</v>
      </c>
      <c r="B91" s="1" t="s">
        <v>36</v>
      </c>
      <c r="C91" s="1">
        <v>2479.6680000000001</v>
      </c>
      <c r="D91" s="1">
        <v>3654.3879999999999</v>
      </c>
      <c r="E91" s="1">
        <v>2237.0700000000002</v>
      </c>
      <c r="F91" s="1">
        <v>3717.127</v>
      </c>
      <c r="G91" s="7">
        <v>1</v>
      </c>
      <c r="H91" s="1">
        <v>60</v>
      </c>
      <c r="I91" s="1" t="s">
        <v>37</v>
      </c>
      <c r="J91" s="1"/>
      <c r="K91" s="1">
        <v>2234.5500000000002</v>
      </c>
      <c r="L91" s="1">
        <f t="shared" si="19"/>
        <v>2.5199999999999818</v>
      </c>
      <c r="M91" s="1"/>
      <c r="N91" s="1"/>
      <c r="O91" s="1">
        <v>304.29685340000032</v>
      </c>
      <c r="P91" s="1"/>
      <c r="Q91" s="1">
        <f t="shared" si="20"/>
        <v>447.41400000000004</v>
      </c>
      <c r="R91" s="5">
        <f t="shared" ref="R91:R94" si="24">12*Q91-P91-O91-F91</f>
        <v>1347.5441466000007</v>
      </c>
      <c r="S91" s="1">
        <f t="shared" si="21"/>
        <v>12</v>
      </c>
      <c r="T91" s="1">
        <f t="shared" si="22"/>
        <v>8.9881493502661964</v>
      </c>
      <c r="U91" s="1">
        <v>441.04020000000003</v>
      </c>
      <c r="V91" s="1">
        <v>428.07299999999998</v>
      </c>
      <c r="W91" s="1">
        <v>430.87459999999999</v>
      </c>
      <c r="X91" s="1">
        <v>398.44540000000001</v>
      </c>
      <c r="Y91" s="1">
        <v>391.17919999999998</v>
      </c>
      <c r="Z91" s="1">
        <v>446.94080000000002</v>
      </c>
      <c r="AA91" s="1">
        <v>458.49939999999998</v>
      </c>
      <c r="AB91" s="1">
        <v>436.01319999999998</v>
      </c>
      <c r="AC91" s="1">
        <v>426.09260000000012</v>
      </c>
      <c r="AD91" s="1">
        <v>436.69299999999998</v>
      </c>
      <c r="AE91" s="1"/>
      <c r="AF91" s="1">
        <f>G91*R91</f>
        <v>1347.5441466000007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132</v>
      </c>
      <c r="B92" s="1" t="s">
        <v>36</v>
      </c>
      <c r="C92" s="1">
        <v>4985.366</v>
      </c>
      <c r="D92" s="1">
        <v>150.58500000000001</v>
      </c>
      <c r="E92" s="1">
        <v>2312.3980000000001</v>
      </c>
      <c r="F92" s="1">
        <v>2689.4960000000001</v>
      </c>
      <c r="G92" s="7">
        <v>1</v>
      </c>
      <c r="H92" s="1">
        <v>60</v>
      </c>
      <c r="I92" s="1" t="s">
        <v>37</v>
      </c>
      <c r="J92" s="1"/>
      <c r="K92" s="1">
        <v>2280.85</v>
      </c>
      <c r="L92" s="1">
        <f t="shared" si="19"/>
        <v>31.548000000000229</v>
      </c>
      <c r="M92" s="1"/>
      <c r="N92" s="1"/>
      <c r="O92" s="1">
        <v>835.82346260439988</v>
      </c>
      <c r="P92" s="1">
        <v>912.76118719559997</v>
      </c>
      <c r="Q92" s="1">
        <f t="shared" si="20"/>
        <v>462.4796</v>
      </c>
      <c r="R92" s="5">
        <f t="shared" si="24"/>
        <v>1111.6745501999999</v>
      </c>
      <c r="S92" s="1">
        <f t="shared" si="21"/>
        <v>11.999999999999998</v>
      </c>
      <c r="T92" s="1">
        <f t="shared" si="22"/>
        <v>9.596273327082967</v>
      </c>
      <c r="U92" s="1">
        <v>465.33640000000003</v>
      </c>
      <c r="V92" s="1">
        <v>430.09660000000002</v>
      </c>
      <c r="W92" s="1">
        <v>430.392</v>
      </c>
      <c r="X92" s="1">
        <v>397.80779999999999</v>
      </c>
      <c r="Y92" s="1">
        <v>401.32119999999998</v>
      </c>
      <c r="Z92" s="1">
        <v>409.54320000000001</v>
      </c>
      <c r="AA92" s="1">
        <v>447.65519999999998</v>
      </c>
      <c r="AB92" s="1">
        <v>530.02260000000001</v>
      </c>
      <c r="AC92" s="1">
        <v>493.26420000000002</v>
      </c>
      <c r="AD92" s="1">
        <v>455.58280000000002</v>
      </c>
      <c r="AE92" s="1"/>
      <c r="AF92" s="1">
        <f>G92*R92</f>
        <v>1111.6745501999999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133</v>
      </c>
      <c r="B93" s="1" t="s">
        <v>36</v>
      </c>
      <c r="C93" s="1">
        <v>7247.5010000000002</v>
      </c>
      <c r="D93" s="1">
        <v>1126.018</v>
      </c>
      <c r="E93" s="1">
        <v>3013.7449999999999</v>
      </c>
      <c r="F93" s="1">
        <v>5156.5259999999998</v>
      </c>
      <c r="G93" s="7">
        <v>1</v>
      </c>
      <c r="H93" s="1">
        <v>60</v>
      </c>
      <c r="I93" s="1" t="s">
        <v>37</v>
      </c>
      <c r="J93" s="1"/>
      <c r="K93" s="1">
        <v>3037.45</v>
      </c>
      <c r="L93" s="1">
        <f t="shared" si="19"/>
        <v>-23.704999999999927</v>
      </c>
      <c r="M93" s="1"/>
      <c r="N93" s="1"/>
      <c r="O93" s="1">
        <v>412.78034312960011</v>
      </c>
      <c r="P93" s="1">
        <v>450.77686007040012</v>
      </c>
      <c r="Q93" s="1">
        <f t="shared" si="20"/>
        <v>602.74900000000002</v>
      </c>
      <c r="R93" s="5">
        <f t="shared" si="24"/>
        <v>1212.9047968000004</v>
      </c>
      <c r="S93" s="1">
        <f t="shared" si="21"/>
        <v>12</v>
      </c>
      <c r="T93" s="1">
        <f t="shared" si="22"/>
        <v>9.9877116398368138</v>
      </c>
      <c r="U93" s="1">
        <v>636.64959999999996</v>
      </c>
      <c r="V93" s="1">
        <v>570.65219999999999</v>
      </c>
      <c r="W93" s="1">
        <v>530.8288</v>
      </c>
      <c r="X93" s="1">
        <v>571.27639999999997</v>
      </c>
      <c r="Y93" s="1">
        <v>585.21899999999994</v>
      </c>
      <c r="Z93" s="1">
        <v>581.18280000000004</v>
      </c>
      <c r="AA93" s="1">
        <v>622.20299999999997</v>
      </c>
      <c r="AB93" s="1">
        <v>586.15959999999995</v>
      </c>
      <c r="AC93" s="1">
        <v>578.34320000000002</v>
      </c>
      <c r="AD93" s="1">
        <v>607.92340000000002</v>
      </c>
      <c r="AE93" s="1"/>
      <c r="AF93" s="1">
        <f>G93*R93</f>
        <v>1212.9047968000004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134</v>
      </c>
      <c r="B94" s="1" t="s">
        <v>36</v>
      </c>
      <c r="C94" s="1">
        <v>66.481999999999999</v>
      </c>
      <c r="D94" s="1">
        <v>32.247999999999998</v>
      </c>
      <c r="E94" s="1">
        <v>14.791</v>
      </c>
      <c r="F94" s="1">
        <v>83.938999999999993</v>
      </c>
      <c r="G94" s="7">
        <v>1</v>
      </c>
      <c r="H94" s="1">
        <v>55</v>
      </c>
      <c r="I94" s="1" t="s">
        <v>37</v>
      </c>
      <c r="J94" s="1"/>
      <c r="K94" s="1">
        <v>15.5</v>
      </c>
      <c r="L94" s="1">
        <f t="shared" si="19"/>
        <v>-0.70899999999999963</v>
      </c>
      <c r="M94" s="1"/>
      <c r="N94" s="1"/>
      <c r="O94" s="1">
        <v>0</v>
      </c>
      <c r="P94" s="1"/>
      <c r="Q94" s="1">
        <f t="shared" si="20"/>
        <v>2.9582000000000002</v>
      </c>
      <c r="R94" s="5"/>
      <c r="S94" s="1">
        <f t="shared" si="21"/>
        <v>28.375025353255353</v>
      </c>
      <c r="T94" s="1">
        <f t="shared" si="22"/>
        <v>28.375025353255353</v>
      </c>
      <c r="U94" s="1">
        <v>3.7658</v>
      </c>
      <c r="V94" s="1">
        <v>7.8483999999999998</v>
      </c>
      <c r="W94" s="1">
        <v>7.0462000000000007</v>
      </c>
      <c r="X94" s="1">
        <v>8.6546000000000003</v>
      </c>
      <c r="Y94" s="1">
        <v>8.9195999999999991</v>
      </c>
      <c r="Z94" s="1">
        <v>9.2284000000000006</v>
      </c>
      <c r="AA94" s="1">
        <v>8.9586000000000006</v>
      </c>
      <c r="AB94" s="1">
        <v>7.3046000000000006</v>
      </c>
      <c r="AC94" s="1">
        <v>6.6986000000000008</v>
      </c>
      <c r="AD94" s="1">
        <v>4.5375999999999994</v>
      </c>
      <c r="AE94" s="15" t="s">
        <v>126</v>
      </c>
      <c r="AF94" s="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9" t="s">
        <v>135</v>
      </c>
      <c r="B95" s="9" t="s">
        <v>36</v>
      </c>
      <c r="C95" s="9">
        <v>4.125</v>
      </c>
      <c r="D95" s="9"/>
      <c r="E95" s="9"/>
      <c r="F95" s="9">
        <v>4.125</v>
      </c>
      <c r="G95" s="10">
        <v>0</v>
      </c>
      <c r="H95" s="9">
        <v>55</v>
      </c>
      <c r="I95" s="9" t="s">
        <v>49</v>
      </c>
      <c r="J95" s="9"/>
      <c r="K95" s="9">
        <v>7.55</v>
      </c>
      <c r="L95" s="9">
        <f t="shared" si="19"/>
        <v>-7.55</v>
      </c>
      <c r="M95" s="9"/>
      <c r="N95" s="9"/>
      <c r="O95" s="9">
        <v>0</v>
      </c>
      <c r="P95" s="9"/>
      <c r="Q95" s="9">
        <f t="shared" si="20"/>
        <v>0</v>
      </c>
      <c r="R95" s="11"/>
      <c r="S95" s="9" t="e">
        <f t="shared" si="21"/>
        <v>#DIV/0!</v>
      </c>
      <c r="T95" s="9" t="e">
        <f t="shared" si="22"/>
        <v>#DIV/0!</v>
      </c>
      <c r="U95" s="9">
        <v>0.80399999999999994</v>
      </c>
      <c r="V95" s="9">
        <v>3.4893999999999998</v>
      </c>
      <c r="W95" s="9">
        <v>4.0462000000000007</v>
      </c>
      <c r="X95" s="9">
        <v>4.3285999999999998</v>
      </c>
      <c r="Y95" s="9">
        <v>3.7852000000000001</v>
      </c>
      <c r="Z95" s="9">
        <v>3.2425999999999999</v>
      </c>
      <c r="AA95" s="9">
        <v>3.4236</v>
      </c>
      <c r="AB95" s="9">
        <v>2.371</v>
      </c>
      <c r="AC95" s="9">
        <v>2.0373999999999999</v>
      </c>
      <c r="AD95" s="9">
        <v>2.5638000000000001</v>
      </c>
      <c r="AE95" s="9"/>
      <c r="AF95" s="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136</v>
      </c>
      <c r="B96" s="1" t="s">
        <v>41</v>
      </c>
      <c r="C96" s="1">
        <v>-7</v>
      </c>
      <c r="D96" s="1"/>
      <c r="E96" s="1">
        <v>-12</v>
      </c>
      <c r="F96" s="1">
        <v>-7</v>
      </c>
      <c r="G96" s="7">
        <v>0.3</v>
      </c>
      <c r="H96" s="1">
        <v>40</v>
      </c>
      <c r="I96" s="13" t="s">
        <v>62</v>
      </c>
      <c r="J96" s="1"/>
      <c r="K96" s="1">
        <v>6</v>
      </c>
      <c r="L96" s="1">
        <f t="shared" si="19"/>
        <v>-18</v>
      </c>
      <c r="M96" s="1"/>
      <c r="N96" s="1"/>
      <c r="O96" s="1">
        <v>150</v>
      </c>
      <c r="P96" s="1"/>
      <c r="Q96" s="1">
        <f t="shared" si="20"/>
        <v>-2.4</v>
      </c>
      <c r="R96" s="5">
        <v>100</v>
      </c>
      <c r="S96" s="1">
        <f t="shared" si="21"/>
        <v>-101.25</v>
      </c>
      <c r="T96" s="1">
        <f t="shared" si="22"/>
        <v>-59.583333333333336</v>
      </c>
      <c r="U96" s="1">
        <v>-2.8</v>
      </c>
      <c r="V96" s="1">
        <v>41</v>
      </c>
      <c r="W96" s="1">
        <v>73</v>
      </c>
      <c r="X96" s="1">
        <v>35.200000000000003</v>
      </c>
      <c r="Y96" s="1">
        <v>4.8</v>
      </c>
      <c r="Z96" s="1">
        <v>28.8</v>
      </c>
      <c r="AA96" s="1">
        <v>65.400000000000006</v>
      </c>
      <c r="AB96" s="1">
        <v>70.8</v>
      </c>
      <c r="AC96" s="1">
        <v>52.8</v>
      </c>
      <c r="AD96" s="1">
        <v>41.2</v>
      </c>
      <c r="AE96" s="1"/>
      <c r="AF96" s="1">
        <f>G96*R96</f>
        <v>30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137</v>
      </c>
      <c r="B97" s="1" t="s">
        <v>41</v>
      </c>
      <c r="C97" s="1">
        <v>405</v>
      </c>
      <c r="D97" s="1"/>
      <c r="E97" s="1">
        <v>259</v>
      </c>
      <c r="F97" s="1">
        <v>133</v>
      </c>
      <c r="G97" s="7">
        <v>0.3</v>
      </c>
      <c r="H97" s="1">
        <v>40</v>
      </c>
      <c r="I97" s="1" t="s">
        <v>37</v>
      </c>
      <c r="J97" s="1"/>
      <c r="K97" s="1">
        <v>262</v>
      </c>
      <c r="L97" s="1">
        <f t="shared" si="19"/>
        <v>-3</v>
      </c>
      <c r="M97" s="1"/>
      <c r="N97" s="1"/>
      <c r="O97" s="1">
        <v>305.35000000000002</v>
      </c>
      <c r="P97" s="1"/>
      <c r="Q97" s="1">
        <f t="shared" si="20"/>
        <v>51.8</v>
      </c>
      <c r="R97" s="5">
        <f t="shared" ref="R96:R97" si="25">12*Q97-P97-O97-F97</f>
        <v>183.24999999999989</v>
      </c>
      <c r="S97" s="1">
        <f t="shared" si="21"/>
        <v>11.999999999999998</v>
      </c>
      <c r="T97" s="1">
        <f t="shared" si="22"/>
        <v>8.462355212355213</v>
      </c>
      <c r="U97" s="1">
        <v>50</v>
      </c>
      <c r="V97" s="1">
        <v>29.2</v>
      </c>
      <c r="W97" s="1">
        <v>25</v>
      </c>
      <c r="X97" s="1">
        <v>42.4</v>
      </c>
      <c r="Y97" s="1">
        <v>77.2</v>
      </c>
      <c r="Z97" s="1">
        <v>35.6</v>
      </c>
      <c r="AA97" s="1">
        <v>32.200000000000003</v>
      </c>
      <c r="AB97" s="1">
        <v>46.4</v>
      </c>
      <c r="AC97" s="1">
        <v>46.4</v>
      </c>
      <c r="AD97" s="1">
        <v>33.799999999999997</v>
      </c>
      <c r="AE97" s="1"/>
      <c r="AF97" s="1">
        <f>G97*R97</f>
        <v>54.974999999999966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9" t="s">
        <v>138</v>
      </c>
      <c r="B98" s="9" t="s">
        <v>41</v>
      </c>
      <c r="C98" s="9"/>
      <c r="D98" s="9"/>
      <c r="E98" s="9"/>
      <c r="F98" s="9"/>
      <c r="G98" s="10">
        <v>0</v>
      </c>
      <c r="H98" s="9"/>
      <c r="I98" s="9" t="s">
        <v>37</v>
      </c>
      <c r="J98" s="9"/>
      <c r="K98" s="9"/>
      <c r="L98" s="9">
        <f t="shared" si="19"/>
        <v>0</v>
      </c>
      <c r="M98" s="9"/>
      <c r="N98" s="9"/>
      <c r="O98" s="9">
        <v>0</v>
      </c>
      <c r="P98" s="9"/>
      <c r="Q98" s="9">
        <f t="shared" si="20"/>
        <v>0</v>
      </c>
      <c r="R98" s="11"/>
      <c r="S98" s="9" t="e">
        <f t="shared" si="21"/>
        <v>#DIV/0!</v>
      </c>
      <c r="T98" s="9" t="e">
        <f t="shared" si="22"/>
        <v>#DIV/0!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 t="s">
        <v>42</v>
      </c>
      <c r="AF98" s="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139</v>
      </c>
      <c r="B99" s="1" t="s">
        <v>41</v>
      </c>
      <c r="C99" s="1">
        <v>168</v>
      </c>
      <c r="D99" s="1">
        <v>1</v>
      </c>
      <c r="E99" s="1">
        <v>167</v>
      </c>
      <c r="F99" s="1">
        <v>1</v>
      </c>
      <c r="G99" s="7">
        <v>7.0000000000000007E-2</v>
      </c>
      <c r="H99" s="1">
        <v>90</v>
      </c>
      <c r="I99" s="13" t="s">
        <v>62</v>
      </c>
      <c r="J99" s="1"/>
      <c r="K99" s="1">
        <v>192</v>
      </c>
      <c r="L99" s="1">
        <f t="shared" si="19"/>
        <v>-25</v>
      </c>
      <c r="M99" s="1"/>
      <c r="N99" s="1"/>
      <c r="O99" s="1">
        <v>100</v>
      </c>
      <c r="P99" s="1"/>
      <c r="Q99" s="1">
        <f t="shared" si="20"/>
        <v>33.4</v>
      </c>
      <c r="R99" s="5">
        <v>100</v>
      </c>
      <c r="S99" s="1">
        <f t="shared" si="21"/>
        <v>6.0179640718562881</v>
      </c>
      <c r="T99" s="1">
        <f t="shared" si="22"/>
        <v>3.0239520958083834</v>
      </c>
      <c r="U99" s="1">
        <v>39.6</v>
      </c>
      <c r="V99" s="1">
        <v>10.4</v>
      </c>
      <c r="W99" s="1">
        <v>7.4</v>
      </c>
      <c r="X99" s="1">
        <v>34.200000000000003</v>
      </c>
      <c r="Y99" s="1">
        <v>44</v>
      </c>
      <c r="Z99" s="1">
        <v>36.6</v>
      </c>
      <c r="AA99" s="1">
        <v>20</v>
      </c>
      <c r="AB99" s="1">
        <v>18.399999999999999</v>
      </c>
      <c r="AC99" s="1">
        <v>31.6</v>
      </c>
      <c r="AD99" s="1">
        <v>34.799999999999997</v>
      </c>
      <c r="AE99" s="1"/>
      <c r="AF99" s="1">
        <f>G99*R99</f>
        <v>7.0000000000000009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140</v>
      </c>
      <c r="B100" s="1" t="s">
        <v>41</v>
      </c>
      <c r="C100" s="1">
        <v>175</v>
      </c>
      <c r="D100" s="1">
        <v>163</v>
      </c>
      <c r="E100" s="1">
        <v>197</v>
      </c>
      <c r="F100" s="1">
        <v>125</v>
      </c>
      <c r="G100" s="7">
        <v>7.0000000000000007E-2</v>
      </c>
      <c r="H100" s="1">
        <v>90</v>
      </c>
      <c r="I100" s="1" t="s">
        <v>37</v>
      </c>
      <c r="J100" s="1"/>
      <c r="K100" s="1">
        <v>199</v>
      </c>
      <c r="L100" s="1">
        <f t="shared" si="19"/>
        <v>-2</v>
      </c>
      <c r="M100" s="1"/>
      <c r="N100" s="1"/>
      <c r="O100" s="1">
        <v>140.2880000000001</v>
      </c>
      <c r="P100" s="1"/>
      <c r="Q100" s="1">
        <f t="shared" si="20"/>
        <v>39.4</v>
      </c>
      <c r="R100" s="5">
        <f t="shared" ref="R99:R100" si="26">12*Q100-P100-O100-F100</f>
        <v>207.51199999999983</v>
      </c>
      <c r="S100" s="1">
        <f t="shared" si="21"/>
        <v>12</v>
      </c>
      <c r="T100" s="1">
        <f t="shared" si="22"/>
        <v>6.7331979695431503</v>
      </c>
      <c r="U100" s="1">
        <v>31.2</v>
      </c>
      <c r="V100" s="1">
        <v>27.2</v>
      </c>
      <c r="W100" s="1">
        <v>32.200000000000003</v>
      </c>
      <c r="X100" s="1">
        <v>35.6</v>
      </c>
      <c r="Y100" s="1">
        <v>33.4</v>
      </c>
      <c r="Z100" s="1">
        <v>25.8</v>
      </c>
      <c r="AA100" s="1">
        <v>27.4</v>
      </c>
      <c r="AB100" s="1">
        <v>26.6</v>
      </c>
      <c r="AC100" s="1">
        <v>23.6</v>
      </c>
      <c r="AD100" s="1">
        <v>23.2</v>
      </c>
      <c r="AE100" s="1"/>
      <c r="AF100" s="1">
        <f>G100*R100</f>
        <v>14.52583999999999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9" t="s">
        <v>141</v>
      </c>
      <c r="B101" s="9" t="s">
        <v>41</v>
      </c>
      <c r="C101" s="9">
        <v>2</v>
      </c>
      <c r="D101" s="9"/>
      <c r="E101" s="9"/>
      <c r="F101" s="9">
        <v>2</v>
      </c>
      <c r="G101" s="10">
        <v>0</v>
      </c>
      <c r="H101" s="9">
        <v>90</v>
      </c>
      <c r="I101" s="9" t="s">
        <v>49</v>
      </c>
      <c r="J101" s="9"/>
      <c r="K101" s="9">
        <v>37</v>
      </c>
      <c r="L101" s="9">
        <f t="shared" si="19"/>
        <v>-37</v>
      </c>
      <c r="M101" s="9"/>
      <c r="N101" s="9"/>
      <c r="O101" s="9">
        <v>0</v>
      </c>
      <c r="P101" s="9"/>
      <c r="Q101" s="9">
        <f t="shared" si="20"/>
        <v>0</v>
      </c>
      <c r="R101" s="11"/>
      <c r="S101" s="9" t="e">
        <f t="shared" si="21"/>
        <v>#DIV/0!</v>
      </c>
      <c r="T101" s="9" t="e">
        <f t="shared" si="22"/>
        <v>#DIV/0!</v>
      </c>
      <c r="U101" s="9">
        <v>-0.4</v>
      </c>
      <c r="V101" s="9">
        <v>0.4</v>
      </c>
      <c r="W101" s="9">
        <v>1.6</v>
      </c>
      <c r="X101" s="9">
        <v>15.4</v>
      </c>
      <c r="Y101" s="9">
        <v>25</v>
      </c>
      <c r="Z101" s="9">
        <v>18.2</v>
      </c>
      <c r="AA101" s="9">
        <v>13.4</v>
      </c>
      <c r="AB101" s="9">
        <v>16.8</v>
      </c>
      <c r="AC101" s="9">
        <v>20</v>
      </c>
      <c r="AD101" s="9">
        <v>19.2</v>
      </c>
      <c r="AE101" s="9"/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142</v>
      </c>
      <c r="B102" s="1" t="s">
        <v>41</v>
      </c>
      <c r="C102" s="1">
        <v>8</v>
      </c>
      <c r="D102" s="1">
        <v>252</v>
      </c>
      <c r="E102" s="1">
        <v>95</v>
      </c>
      <c r="F102" s="1">
        <v>147</v>
      </c>
      <c r="G102" s="7">
        <v>0.3</v>
      </c>
      <c r="H102" s="1">
        <v>40</v>
      </c>
      <c r="I102" s="1" t="s">
        <v>37</v>
      </c>
      <c r="J102" s="1"/>
      <c r="K102" s="1">
        <v>130</v>
      </c>
      <c r="L102" s="1">
        <f t="shared" ref="L102:L133" si="27">E102-K102</f>
        <v>-35</v>
      </c>
      <c r="M102" s="1"/>
      <c r="N102" s="1"/>
      <c r="O102" s="1">
        <v>17.600000000000019</v>
      </c>
      <c r="P102" s="1"/>
      <c r="Q102" s="1">
        <f t="shared" ref="Q102:Q134" si="28">E102/5</f>
        <v>19</v>
      </c>
      <c r="R102" s="5">
        <f t="shared" ref="R102:R103" si="29">12*Q102-P102-O102-F102</f>
        <v>63.399999999999977</v>
      </c>
      <c r="S102" s="1">
        <f t="shared" ref="S102:S133" si="30">(F102+O102+P102+R102)/Q102</f>
        <v>12</v>
      </c>
      <c r="T102" s="1">
        <f t="shared" ref="T102:T134" si="31">(F102+O102+P102)/Q102</f>
        <v>8.6631578947368428</v>
      </c>
      <c r="U102" s="1">
        <v>18.8</v>
      </c>
      <c r="V102" s="1">
        <v>21</v>
      </c>
      <c r="W102" s="1">
        <v>17.2</v>
      </c>
      <c r="X102" s="1">
        <v>1.8</v>
      </c>
      <c r="Y102" s="1">
        <v>0</v>
      </c>
      <c r="Z102" s="1">
        <v>35.200000000000003</v>
      </c>
      <c r="AA102" s="1">
        <v>41.4</v>
      </c>
      <c r="AB102" s="1">
        <v>45.4</v>
      </c>
      <c r="AC102" s="1">
        <v>42</v>
      </c>
      <c r="AD102" s="1">
        <v>32.799999999999997</v>
      </c>
      <c r="AE102" s="1"/>
      <c r="AF102" s="1">
        <f>G102*R102</f>
        <v>19.019999999999992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143</v>
      </c>
      <c r="B103" s="1" t="s">
        <v>36</v>
      </c>
      <c r="C103" s="1">
        <v>63.856000000000002</v>
      </c>
      <c r="D103" s="1">
        <v>123.205</v>
      </c>
      <c r="E103" s="1">
        <v>106.28700000000001</v>
      </c>
      <c r="F103" s="1">
        <v>48.77</v>
      </c>
      <c r="G103" s="7">
        <v>1</v>
      </c>
      <c r="H103" s="1">
        <v>55</v>
      </c>
      <c r="I103" s="13" t="s">
        <v>62</v>
      </c>
      <c r="J103" s="1"/>
      <c r="K103" s="1">
        <v>111.5</v>
      </c>
      <c r="L103" s="1">
        <f t="shared" si="27"/>
        <v>-5.2129999999999939</v>
      </c>
      <c r="M103" s="1"/>
      <c r="N103" s="1"/>
      <c r="O103" s="1">
        <v>100</v>
      </c>
      <c r="P103" s="1"/>
      <c r="Q103" s="1">
        <f t="shared" si="28"/>
        <v>21.257400000000001</v>
      </c>
      <c r="R103" s="5">
        <v>80</v>
      </c>
      <c r="S103" s="1">
        <f t="shared" si="30"/>
        <v>10.761899385625712</v>
      </c>
      <c r="T103" s="1">
        <f t="shared" si="31"/>
        <v>6.9985040503542297</v>
      </c>
      <c r="U103" s="1">
        <v>25.684999999999999</v>
      </c>
      <c r="V103" s="1">
        <v>22.070399999999999</v>
      </c>
      <c r="W103" s="1">
        <v>19.931000000000001</v>
      </c>
      <c r="X103" s="1">
        <v>16.528400000000001</v>
      </c>
      <c r="Y103" s="1">
        <v>14.6228</v>
      </c>
      <c r="Z103" s="1">
        <v>16.844999999999999</v>
      </c>
      <c r="AA103" s="1">
        <v>18.491800000000001</v>
      </c>
      <c r="AB103" s="1">
        <v>20.605</v>
      </c>
      <c r="AC103" s="1">
        <v>20.893799999999999</v>
      </c>
      <c r="AD103" s="1">
        <v>18.738800000000001</v>
      </c>
      <c r="AE103" s="1"/>
      <c r="AF103" s="1">
        <f>G103*R103</f>
        <v>80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9" t="s">
        <v>144</v>
      </c>
      <c r="B104" s="9" t="s">
        <v>41</v>
      </c>
      <c r="C104" s="9"/>
      <c r="D104" s="9"/>
      <c r="E104" s="9"/>
      <c r="F104" s="9"/>
      <c r="G104" s="10">
        <v>0</v>
      </c>
      <c r="H104" s="9"/>
      <c r="I104" s="9" t="s">
        <v>37</v>
      </c>
      <c r="J104" s="9"/>
      <c r="K104" s="9"/>
      <c r="L104" s="9">
        <f t="shared" si="27"/>
        <v>0</v>
      </c>
      <c r="M104" s="9"/>
      <c r="N104" s="9"/>
      <c r="O104" s="9">
        <v>0</v>
      </c>
      <c r="P104" s="9"/>
      <c r="Q104" s="9">
        <f t="shared" si="28"/>
        <v>0</v>
      </c>
      <c r="R104" s="11"/>
      <c r="S104" s="9" t="e">
        <f t="shared" si="30"/>
        <v>#DIV/0!</v>
      </c>
      <c r="T104" s="9" t="e">
        <f t="shared" si="31"/>
        <v>#DIV/0!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 t="s">
        <v>42</v>
      </c>
      <c r="AF104" s="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145</v>
      </c>
      <c r="B105" s="1" t="s">
        <v>41</v>
      </c>
      <c r="C105" s="1">
        <v>13</v>
      </c>
      <c r="D105" s="1">
        <v>22</v>
      </c>
      <c r="E105" s="1">
        <v>18</v>
      </c>
      <c r="F105" s="1">
        <v>13</v>
      </c>
      <c r="G105" s="7">
        <v>0.1</v>
      </c>
      <c r="H105" s="1">
        <v>30</v>
      </c>
      <c r="I105" s="1" t="s">
        <v>37</v>
      </c>
      <c r="J105" s="1"/>
      <c r="K105" s="1">
        <v>22</v>
      </c>
      <c r="L105" s="1">
        <f t="shared" si="27"/>
        <v>-4</v>
      </c>
      <c r="M105" s="1"/>
      <c r="N105" s="1"/>
      <c r="O105" s="1">
        <v>0</v>
      </c>
      <c r="P105" s="1"/>
      <c r="Q105" s="1">
        <f t="shared" si="28"/>
        <v>3.6</v>
      </c>
      <c r="R105" s="5">
        <f>11*Q105-P105-O105-F105</f>
        <v>26.6</v>
      </c>
      <c r="S105" s="1">
        <f t="shared" si="30"/>
        <v>11</v>
      </c>
      <c r="T105" s="1">
        <f t="shared" si="31"/>
        <v>3.6111111111111112</v>
      </c>
      <c r="U105" s="1">
        <v>1.8</v>
      </c>
      <c r="V105" s="1">
        <v>1.4</v>
      </c>
      <c r="W105" s="1">
        <v>-0.4</v>
      </c>
      <c r="X105" s="1">
        <v>3</v>
      </c>
      <c r="Y105" s="1">
        <v>2.8</v>
      </c>
      <c r="Z105" s="1">
        <v>0.2</v>
      </c>
      <c r="AA105" s="1">
        <v>1.6</v>
      </c>
      <c r="AB105" s="1">
        <v>1.8</v>
      </c>
      <c r="AC105" s="1">
        <v>2</v>
      </c>
      <c r="AD105" s="1">
        <v>1.4</v>
      </c>
      <c r="AE105" s="1"/>
      <c r="AF105" s="1">
        <f t="shared" ref="AF105:AF111" si="32">G105*R105</f>
        <v>2.66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146</v>
      </c>
      <c r="B106" s="1" t="s">
        <v>41</v>
      </c>
      <c r="C106" s="1">
        <v>129</v>
      </c>
      <c r="D106" s="1">
        <v>443</v>
      </c>
      <c r="E106" s="1">
        <v>278</v>
      </c>
      <c r="F106" s="1">
        <v>257</v>
      </c>
      <c r="G106" s="7">
        <v>0.08</v>
      </c>
      <c r="H106" s="1">
        <v>45</v>
      </c>
      <c r="I106" s="1" t="s">
        <v>37</v>
      </c>
      <c r="J106" s="1"/>
      <c r="K106" s="1">
        <v>290</v>
      </c>
      <c r="L106" s="1">
        <f t="shared" si="27"/>
        <v>-12</v>
      </c>
      <c r="M106" s="1"/>
      <c r="N106" s="1"/>
      <c r="O106" s="1">
        <v>256.92440000000039</v>
      </c>
      <c r="P106" s="1"/>
      <c r="Q106" s="1">
        <f t="shared" si="28"/>
        <v>55.6</v>
      </c>
      <c r="R106" s="5">
        <f t="shared" ref="R105:R111" si="33">12*Q106-P106-O106-F106</f>
        <v>153.27559999999966</v>
      </c>
      <c r="S106" s="1">
        <f t="shared" si="30"/>
        <v>12</v>
      </c>
      <c r="T106" s="1">
        <f t="shared" si="31"/>
        <v>9.243244604316553</v>
      </c>
      <c r="U106" s="1">
        <v>57.2</v>
      </c>
      <c r="V106" s="1">
        <v>45.8</v>
      </c>
      <c r="W106" s="1">
        <v>48.4</v>
      </c>
      <c r="X106" s="1">
        <v>52.4</v>
      </c>
      <c r="Y106" s="1">
        <v>43.2</v>
      </c>
      <c r="Z106" s="1">
        <v>38.799999999999997</v>
      </c>
      <c r="AA106" s="1">
        <v>42.2</v>
      </c>
      <c r="AB106" s="1">
        <v>43.2</v>
      </c>
      <c r="AC106" s="1">
        <v>37.6</v>
      </c>
      <c r="AD106" s="1">
        <v>41.6</v>
      </c>
      <c r="AE106" s="1"/>
      <c r="AF106" s="1">
        <f t="shared" si="32"/>
        <v>12.262047999999973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147</v>
      </c>
      <c r="B107" s="1" t="s">
        <v>41</v>
      </c>
      <c r="C107" s="1">
        <v>294</v>
      </c>
      <c r="D107" s="1">
        <v>111</v>
      </c>
      <c r="E107" s="1">
        <v>230</v>
      </c>
      <c r="F107" s="1">
        <v>108</v>
      </c>
      <c r="G107" s="7">
        <v>0.08</v>
      </c>
      <c r="H107" s="1">
        <v>45</v>
      </c>
      <c r="I107" s="1" t="s">
        <v>37</v>
      </c>
      <c r="J107" s="1"/>
      <c r="K107" s="1">
        <v>235</v>
      </c>
      <c r="L107" s="1">
        <f t="shared" si="27"/>
        <v>-5</v>
      </c>
      <c r="M107" s="1"/>
      <c r="N107" s="1"/>
      <c r="O107" s="1">
        <v>253.01499999999999</v>
      </c>
      <c r="P107" s="1"/>
      <c r="Q107" s="1">
        <f t="shared" si="28"/>
        <v>46</v>
      </c>
      <c r="R107" s="5">
        <f t="shared" si="33"/>
        <v>190.98500000000001</v>
      </c>
      <c r="S107" s="1">
        <f t="shared" si="30"/>
        <v>12</v>
      </c>
      <c r="T107" s="1">
        <f t="shared" si="31"/>
        <v>7.8481521739130429</v>
      </c>
      <c r="U107" s="1">
        <v>45</v>
      </c>
      <c r="V107" s="1">
        <v>32</v>
      </c>
      <c r="W107" s="1">
        <v>31.4</v>
      </c>
      <c r="X107" s="1">
        <v>45</v>
      </c>
      <c r="Y107" s="1">
        <v>48.6</v>
      </c>
      <c r="Z107" s="1">
        <v>29</v>
      </c>
      <c r="AA107" s="1">
        <v>23</v>
      </c>
      <c r="AB107" s="1">
        <v>33.200000000000003</v>
      </c>
      <c r="AC107" s="1">
        <v>35</v>
      </c>
      <c r="AD107" s="1">
        <v>35.6</v>
      </c>
      <c r="AE107" s="1"/>
      <c r="AF107" s="1">
        <f t="shared" si="32"/>
        <v>15.278800000000002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148</v>
      </c>
      <c r="B108" s="1" t="s">
        <v>41</v>
      </c>
      <c r="C108" s="1">
        <v>34</v>
      </c>
      <c r="D108" s="1"/>
      <c r="E108" s="1">
        <v>8</v>
      </c>
      <c r="F108" s="1">
        <v>15</v>
      </c>
      <c r="G108" s="7">
        <v>0.17</v>
      </c>
      <c r="H108" s="1">
        <v>30</v>
      </c>
      <c r="I108" s="1" t="s">
        <v>37</v>
      </c>
      <c r="J108" s="1"/>
      <c r="K108" s="1">
        <v>8</v>
      </c>
      <c r="L108" s="1">
        <f t="shared" si="27"/>
        <v>0</v>
      </c>
      <c r="M108" s="1"/>
      <c r="N108" s="1"/>
      <c r="O108" s="1">
        <v>0</v>
      </c>
      <c r="P108" s="1"/>
      <c r="Q108" s="1">
        <f t="shared" si="28"/>
        <v>1.6</v>
      </c>
      <c r="R108" s="5">
        <f t="shared" si="33"/>
        <v>4.2000000000000028</v>
      </c>
      <c r="S108" s="1">
        <f t="shared" si="30"/>
        <v>12.000000000000002</v>
      </c>
      <c r="T108" s="1">
        <f t="shared" si="31"/>
        <v>9.375</v>
      </c>
      <c r="U108" s="1">
        <v>0.2</v>
      </c>
      <c r="V108" s="1">
        <v>0</v>
      </c>
      <c r="W108" s="1">
        <v>-0.2</v>
      </c>
      <c r="X108" s="1">
        <v>2</v>
      </c>
      <c r="Y108" s="1">
        <v>4.2</v>
      </c>
      <c r="Z108" s="1">
        <v>1.6</v>
      </c>
      <c r="AA108" s="1">
        <v>0.4</v>
      </c>
      <c r="AB108" s="1">
        <v>0.4</v>
      </c>
      <c r="AC108" s="1">
        <v>1.8</v>
      </c>
      <c r="AD108" s="1">
        <v>1.4</v>
      </c>
      <c r="AE108" s="17" t="s">
        <v>178</v>
      </c>
      <c r="AF108" s="1">
        <f t="shared" si="32"/>
        <v>0.71400000000000052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149</v>
      </c>
      <c r="B109" s="1" t="s">
        <v>36</v>
      </c>
      <c r="C109" s="1">
        <v>369.24599999999998</v>
      </c>
      <c r="D109" s="1">
        <v>350.95299999999997</v>
      </c>
      <c r="E109" s="1">
        <v>483.959</v>
      </c>
      <c r="F109" s="1">
        <v>175.27</v>
      </c>
      <c r="G109" s="7">
        <v>1</v>
      </c>
      <c r="H109" s="1">
        <v>40</v>
      </c>
      <c r="I109" s="13" t="s">
        <v>62</v>
      </c>
      <c r="J109" s="1"/>
      <c r="K109" s="1">
        <v>507.55</v>
      </c>
      <c r="L109" s="1">
        <f t="shared" si="27"/>
        <v>-23.591000000000008</v>
      </c>
      <c r="M109" s="1"/>
      <c r="N109" s="1"/>
      <c r="O109" s="1">
        <v>200</v>
      </c>
      <c r="P109" s="1"/>
      <c r="Q109" s="1">
        <f t="shared" si="28"/>
        <v>96.791799999999995</v>
      </c>
      <c r="R109" s="5">
        <v>200</v>
      </c>
      <c r="S109" s="1">
        <f t="shared" si="30"/>
        <v>5.9433753685746105</v>
      </c>
      <c r="T109" s="1">
        <f t="shared" si="31"/>
        <v>3.877084629069818</v>
      </c>
      <c r="U109" s="1">
        <v>97.415999999999997</v>
      </c>
      <c r="V109" s="1">
        <v>88.752200000000002</v>
      </c>
      <c r="W109" s="1">
        <v>85.401199999999989</v>
      </c>
      <c r="X109" s="1">
        <v>87.400199999999998</v>
      </c>
      <c r="Y109" s="1">
        <v>80.573400000000007</v>
      </c>
      <c r="Z109" s="1">
        <v>83.3596</v>
      </c>
      <c r="AA109" s="1">
        <v>84.740200000000002</v>
      </c>
      <c r="AB109" s="1">
        <v>85.5518</v>
      </c>
      <c r="AC109" s="1">
        <v>88.798400000000001</v>
      </c>
      <c r="AD109" s="1">
        <v>81.619799999999998</v>
      </c>
      <c r="AE109" s="1"/>
      <c r="AF109" s="1">
        <f t="shared" si="32"/>
        <v>200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150</v>
      </c>
      <c r="B110" s="1" t="s">
        <v>36</v>
      </c>
      <c r="C110" s="1">
        <v>376.98599999999999</v>
      </c>
      <c r="D110" s="1">
        <v>11.577</v>
      </c>
      <c r="E110" s="1">
        <v>392.12700000000001</v>
      </c>
      <c r="F110" s="1">
        <v>-7.9160000000000004</v>
      </c>
      <c r="G110" s="7">
        <v>1</v>
      </c>
      <c r="H110" s="1">
        <v>40</v>
      </c>
      <c r="I110" s="13" t="s">
        <v>62</v>
      </c>
      <c r="J110" s="1"/>
      <c r="K110" s="1">
        <v>412.8</v>
      </c>
      <c r="L110" s="1">
        <f t="shared" si="27"/>
        <v>-20.673000000000002</v>
      </c>
      <c r="M110" s="1"/>
      <c r="N110" s="1"/>
      <c r="O110" s="1">
        <v>200</v>
      </c>
      <c r="P110" s="1"/>
      <c r="Q110" s="1">
        <f t="shared" si="28"/>
        <v>78.425399999999996</v>
      </c>
      <c r="R110" s="5">
        <v>200</v>
      </c>
      <c r="S110" s="1">
        <f t="shared" si="30"/>
        <v>4.9994517082475829</v>
      </c>
      <c r="T110" s="1">
        <f t="shared" si="31"/>
        <v>2.4492575109594599</v>
      </c>
      <c r="U110" s="1">
        <v>77.138599999999997</v>
      </c>
      <c r="V110" s="1">
        <v>61.042400000000001</v>
      </c>
      <c r="W110" s="1">
        <v>57.488399999999999</v>
      </c>
      <c r="X110" s="1">
        <v>60.191400000000002</v>
      </c>
      <c r="Y110" s="1">
        <v>58.831200000000003</v>
      </c>
      <c r="Z110" s="1">
        <v>66.663600000000002</v>
      </c>
      <c r="AA110" s="1">
        <v>64.051199999999994</v>
      </c>
      <c r="AB110" s="1">
        <v>58.3504</v>
      </c>
      <c r="AC110" s="1">
        <v>61.6798</v>
      </c>
      <c r="AD110" s="1">
        <v>49.1038</v>
      </c>
      <c r="AE110" s="1"/>
      <c r="AF110" s="1">
        <f t="shared" si="32"/>
        <v>200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96</v>
      </c>
      <c r="B111" s="1" t="s">
        <v>36</v>
      </c>
      <c r="C111" s="1">
        <v>226.59</v>
      </c>
      <c r="D111" s="1">
        <v>312.10300000000001</v>
      </c>
      <c r="E111" s="1">
        <v>454.81799999999998</v>
      </c>
      <c r="F111" s="1">
        <v>-5.3079999999999998</v>
      </c>
      <c r="G111" s="7">
        <v>1</v>
      </c>
      <c r="H111" s="1">
        <v>40</v>
      </c>
      <c r="I111" s="13" t="s">
        <v>62</v>
      </c>
      <c r="J111" s="1"/>
      <c r="K111" s="1">
        <v>480.45</v>
      </c>
      <c r="L111" s="1">
        <f t="shared" si="27"/>
        <v>-25.632000000000005</v>
      </c>
      <c r="M111" s="1"/>
      <c r="N111" s="1"/>
      <c r="O111" s="1">
        <v>300</v>
      </c>
      <c r="P111" s="1"/>
      <c r="Q111" s="1">
        <f t="shared" si="28"/>
        <v>90.9636</v>
      </c>
      <c r="R111" s="5">
        <v>300</v>
      </c>
      <c r="S111" s="1">
        <f t="shared" si="30"/>
        <v>6.5376919998768743</v>
      </c>
      <c r="T111" s="1">
        <f t="shared" si="31"/>
        <v>3.2396694941712951</v>
      </c>
      <c r="U111" s="1">
        <v>99.641199999999998</v>
      </c>
      <c r="V111" s="1">
        <v>90.812600000000003</v>
      </c>
      <c r="W111" s="1">
        <v>87.560400000000001</v>
      </c>
      <c r="X111" s="1">
        <v>101.8978</v>
      </c>
      <c r="Y111" s="1">
        <v>89.504600000000011</v>
      </c>
      <c r="Z111" s="1">
        <v>76.044000000000011</v>
      </c>
      <c r="AA111" s="1">
        <v>82.587199999999996</v>
      </c>
      <c r="AB111" s="1">
        <v>93.196200000000005</v>
      </c>
      <c r="AC111" s="1">
        <v>104.8322</v>
      </c>
      <c r="AD111" s="1">
        <v>101.123</v>
      </c>
      <c r="AE111" s="1"/>
      <c r="AF111" s="1">
        <f t="shared" si="32"/>
        <v>300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9" t="s">
        <v>151</v>
      </c>
      <c r="B112" s="9" t="s">
        <v>41</v>
      </c>
      <c r="C112" s="9"/>
      <c r="D112" s="9"/>
      <c r="E112" s="9"/>
      <c r="F112" s="9"/>
      <c r="G112" s="10">
        <v>0</v>
      </c>
      <c r="H112" s="9"/>
      <c r="I112" s="9" t="s">
        <v>37</v>
      </c>
      <c r="J112" s="9"/>
      <c r="K112" s="9"/>
      <c r="L112" s="9">
        <f t="shared" si="27"/>
        <v>0</v>
      </c>
      <c r="M112" s="9"/>
      <c r="N112" s="9"/>
      <c r="O112" s="9">
        <v>0</v>
      </c>
      <c r="P112" s="9"/>
      <c r="Q112" s="9">
        <f t="shared" si="28"/>
        <v>0</v>
      </c>
      <c r="R112" s="11"/>
      <c r="S112" s="9" t="e">
        <f t="shared" si="30"/>
        <v>#DIV/0!</v>
      </c>
      <c r="T112" s="9" t="e">
        <f t="shared" si="31"/>
        <v>#DIV/0!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 t="s">
        <v>42</v>
      </c>
      <c r="AF112" s="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152</v>
      </c>
      <c r="B113" s="1" t="s">
        <v>36</v>
      </c>
      <c r="C113" s="1">
        <v>14.536</v>
      </c>
      <c r="D113" s="1"/>
      <c r="E113" s="1"/>
      <c r="F113" s="1">
        <v>14.536</v>
      </c>
      <c r="G113" s="7">
        <v>1</v>
      </c>
      <c r="H113" s="1">
        <v>55</v>
      </c>
      <c r="I113" s="1" t="s">
        <v>37</v>
      </c>
      <c r="J113" s="1"/>
      <c r="K113" s="1"/>
      <c r="L113" s="1">
        <f t="shared" si="27"/>
        <v>0</v>
      </c>
      <c r="M113" s="1"/>
      <c r="N113" s="1"/>
      <c r="O113" s="1">
        <v>0</v>
      </c>
      <c r="P113" s="1"/>
      <c r="Q113" s="1">
        <f t="shared" si="28"/>
        <v>0</v>
      </c>
      <c r="R113" s="5"/>
      <c r="S113" s="1" t="e">
        <f t="shared" si="30"/>
        <v>#DIV/0!</v>
      </c>
      <c r="T113" s="1" t="e">
        <f t="shared" si="31"/>
        <v>#DIV/0!</v>
      </c>
      <c r="U113" s="1">
        <v>0.26879999999999998</v>
      </c>
      <c r="V113" s="1">
        <v>0.54180000000000006</v>
      </c>
      <c r="W113" s="1">
        <v>0.54720000000000002</v>
      </c>
      <c r="X113" s="1">
        <v>1.615</v>
      </c>
      <c r="Y113" s="1">
        <v>1.3408</v>
      </c>
      <c r="Z113" s="1">
        <v>1</v>
      </c>
      <c r="AA113" s="1">
        <v>1.2816000000000001</v>
      </c>
      <c r="AB113" s="1">
        <v>0.28160000000000002</v>
      </c>
      <c r="AC113" s="1">
        <v>0</v>
      </c>
      <c r="AD113" s="1">
        <v>0.29120000000000001</v>
      </c>
      <c r="AE113" s="16" t="s">
        <v>177</v>
      </c>
      <c r="AF113" s="1">
        <f>G113*R113</f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153</v>
      </c>
      <c r="B114" s="1" t="s">
        <v>41</v>
      </c>
      <c r="C114" s="1">
        <v>199</v>
      </c>
      <c r="D114" s="1">
        <v>313</v>
      </c>
      <c r="E114" s="1">
        <v>354</v>
      </c>
      <c r="F114" s="1">
        <v>105</v>
      </c>
      <c r="G114" s="7">
        <v>0.28000000000000003</v>
      </c>
      <c r="H114" s="1">
        <v>40</v>
      </c>
      <c r="I114" s="1" t="s">
        <v>37</v>
      </c>
      <c r="J114" s="1"/>
      <c r="K114" s="1">
        <v>376</v>
      </c>
      <c r="L114" s="1">
        <f t="shared" si="27"/>
        <v>-22</v>
      </c>
      <c r="M114" s="1"/>
      <c r="N114" s="1"/>
      <c r="O114" s="1">
        <v>388.35500000000002</v>
      </c>
      <c r="P114" s="1"/>
      <c r="Q114" s="1">
        <f t="shared" si="28"/>
        <v>70.8</v>
      </c>
      <c r="R114" s="5">
        <f t="shared" ref="R113:R114" si="34">12*Q114-P114-O114-F114</f>
        <v>356.24499999999989</v>
      </c>
      <c r="S114" s="1">
        <f t="shared" si="30"/>
        <v>12</v>
      </c>
      <c r="T114" s="1">
        <f t="shared" si="31"/>
        <v>6.968290960451978</v>
      </c>
      <c r="U114" s="1">
        <v>65</v>
      </c>
      <c r="V114" s="1">
        <v>39</v>
      </c>
      <c r="W114" s="1">
        <v>37.4</v>
      </c>
      <c r="X114" s="1">
        <v>79.400000000000006</v>
      </c>
      <c r="Y114" s="1">
        <v>86.4</v>
      </c>
      <c r="Z114" s="1">
        <v>61.8</v>
      </c>
      <c r="AA114" s="1">
        <v>64.599999999999994</v>
      </c>
      <c r="AB114" s="1">
        <v>68.400000000000006</v>
      </c>
      <c r="AC114" s="1">
        <v>56</v>
      </c>
      <c r="AD114" s="1">
        <v>64.599999999999994</v>
      </c>
      <c r="AE114" s="1"/>
      <c r="AF114" s="1">
        <f>G114*R114</f>
        <v>99.748599999999982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9" t="s">
        <v>154</v>
      </c>
      <c r="B115" s="9" t="s">
        <v>41</v>
      </c>
      <c r="C115" s="9"/>
      <c r="D115" s="9"/>
      <c r="E115" s="9"/>
      <c r="F115" s="9"/>
      <c r="G115" s="10">
        <v>0</v>
      </c>
      <c r="H115" s="9"/>
      <c r="I115" s="9" t="s">
        <v>37</v>
      </c>
      <c r="J115" s="9"/>
      <c r="K115" s="9">
        <v>2</v>
      </c>
      <c r="L115" s="9">
        <f t="shared" si="27"/>
        <v>-2</v>
      </c>
      <c r="M115" s="9"/>
      <c r="N115" s="9"/>
      <c r="O115" s="9">
        <v>0</v>
      </c>
      <c r="P115" s="9"/>
      <c r="Q115" s="9">
        <f t="shared" si="28"/>
        <v>0</v>
      </c>
      <c r="R115" s="11"/>
      <c r="S115" s="9" t="e">
        <f t="shared" si="30"/>
        <v>#DIV/0!</v>
      </c>
      <c r="T115" s="9" t="e">
        <f t="shared" si="31"/>
        <v>#DIV/0!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 t="s">
        <v>42</v>
      </c>
      <c r="AF115" s="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155</v>
      </c>
      <c r="B116" s="1" t="s">
        <v>41</v>
      </c>
      <c r="C116" s="1">
        <v>272</v>
      </c>
      <c r="D116" s="1">
        <v>278</v>
      </c>
      <c r="E116" s="1">
        <v>382</v>
      </c>
      <c r="F116" s="1">
        <v>123</v>
      </c>
      <c r="G116" s="7">
        <v>0.28000000000000003</v>
      </c>
      <c r="H116" s="1">
        <v>40</v>
      </c>
      <c r="I116" s="13" t="s">
        <v>62</v>
      </c>
      <c r="J116" s="1"/>
      <c r="K116" s="1">
        <v>401</v>
      </c>
      <c r="L116" s="1">
        <f t="shared" si="27"/>
        <v>-19</v>
      </c>
      <c r="M116" s="1"/>
      <c r="N116" s="1"/>
      <c r="O116" s="1">
        <v>200</v>
      </c>
      <c r="P116" s="1"/>
      <c r="Q116" s="1">
        <f t="shared" si="28"/>
        <v>76.400000000000006</v>
      </c>
      <c r="R116" s="5">
        <v>300</v>
      </c>
      <c r="S116" s="1">
        <f t="shared" si="30"/>
        <v>8.154450261780104</v>
      </c>
      <c r="T116" s="1">
        <f t="shared" si="31"/>
        <v>4.2277486910994764</v>
      </c>
      <c r="U116" s="1">
        <v>75.2</v>
      </c>
      <c r="V116" s="1">
        <v>67</v>
      </c>
      <c r="W116" s="1">
        <v>62.4</v>
      </c>
      <c r="X116" s="1">
        <v>67</v>
      </c>
      <c r="Y116" s="1">
        <v>69</v>
      </c>
      <c r="Z116" s="1">
        <v>63</v>
      </c>
      <c r="AA116" s="1">
        <v>66.8</v>
      </c>
      <c r="AB116" s="1">
        <v>66.400000000000006</v>
      </c>
      <c r="AC116" s="1">
        <v>53</v>
      </c>
      <c r="AD116" s="1">
        <v>66.400000000000006</v>
      </c>
      <c r="AE116" s="1"/>
      <c r="AF116" s="1">
        <f>G116*R116</f>
        <v>84.000000000000014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156</v>
      </c>
      <c r="B117" s="1" t="s">
        <v>41</v>
      </c>
      <c r="C117" s="1"/>
      <c r="D117" s="1">
        <v>63</v>
      </c>
      <c r="E117" s="1">
        <v>19</v>
      </c>
      <c r="F117" s="1">
        <v>25</v>
      </c>
      <c r="G117" s="7">
        <v>0.09</v>
      </c>
      <c r="H117" s="1"/>
      <c r="I117" s="1" t="s">
        <v>37</v>
      </c>
      <c r="J117" s="1"/>
      <c r="K117" s="1">
        <v>55</v>
      </c>
      <c r="L117" s="1">
        <f t="shared" si="27"/>
        <v>-36</v>
      </c>
      <c r="M117" s="1"/>
      <c r="N117" s="1"/>
      <c r="O117" s="1">
        <v>22.400000000000009</v>
      </c>
      <c r="P117" s="1"/>
      <c r="Q117" s="1">
        <f t="shared" si="28"/>
        <v>3.8</v>
      </c>
      <c r="R117" s="5"/>
      <c r="S117" s="1">
        <f t="shared" si="30"/>
        <v>12.473684210526319</v>
      </c>
      <c r="T117" s="1">
        <f t="shared" si="31"/>
        <v>12.473684210526319</v>
      </c>
      <c r="U117" s="1">
        <v>7.4</v>
      </c>
      <c r="V117" s="1">
        <v>8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 t="s">
        <v>157</v>
      </c>
      <c r="AF117" s="1">
        <f>G117*R117</f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158</v>
      </c>
      <c r="B118" s="1" t="s">
        <v>36</v>
      </c>
      <c r="C118" s="1">
        <v>90.335999999999999</v>
      </c>
      <c r="D118" s="1">
        <v>297.63600000000002</v>
      </c>
      <c r="E118" s="1">
        <v>115.598</v>
      </c>
      <c r="F118" s="1">
        <v>267.78199999999998</v>
      </c>
      <c r="G118" s="7">
        <v>1</v>
      </c>
      <c r="H118" s="1">
        <v>60</v>
      </c>
      <c r="I118" s="1" t="s">
        <v>37</v>
      </c>
      <c r="J118" s="1"/>
      <c r="K118" s="1">
        <v>132.85</v>
      </c>
      <c r="L118" s="1">
        <f t="shared" si="27"/>
        <v>-17.251999999999995</v>
      </c>
      <c r="M118" s="1"/>
      <c r="N118" s="1"/>
      <c r="O118" s="1">
        <v>0</v>
      </c>
      <c r="P118" s="1"/>
      <c r="Q118" s="1">
        <f t="shared" si="28"/>
        <v>23.119599999999998</v>
      </c>
      <c r="R118" s="5">
        <f t="shared" ref="R116:R120" si="35">12*Q118-P118-O118-F118</f>
        <v>9.6532000000000266</v>
      </c>
      <c r="S118" s="1">
        <f t="shared" si="30"/>
        <v>12.000000000000002</v>
      </c>
      <c r="T118" s="1">
        <f t="shared" si="31"/>
        <v>11.582466824685548</v>
      </c>
      <c r="U118" s="1">
        <v>16.192399999999999</v>
      </c>
      <c r="V118" s="1">
        <v>24.320599999999999</v>
      </c>
      <c r="W118" s="1">
        <v>34.040199999999999</v>
      </c>
      <c r="X118" s="1">
        <v>26.383400000000002</v>
      </c>
      <c r="Y118" s="1">
        <v>17.169599999999999</v>
      </c>
      <c r="Z118" s="1">
        <v>17.895399999999999</v>
      </c>
      <c r="AA118" s="1">
        <v>29.697600000000001</v>
      </c>
      <c r="AB118" s="1">
        <v>35.659999999999997</v>
      </c>
      <c r="AC118" s="1">
        <v>26.834399999999999</v>
      </c>
      <c r="AD118" s="1">
        <v>32.64</v>
      </c>
      <c r="AE118" s="1"/>
      <c r="AF118" s="1">
        <f>G118*R118</f>
        <v>9.6532000000000266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159</v>
      </c>
      <c r="B119" s="1" t="s">
        <v>36</v>
      </c>
      <c r="C119" s="1">
        <v>82.09</v>
      </c>
      <c r="D119" s="1"/>
      <c r="E119" s="1">
        <v>-1.802</v>
      </c>
      <c r="F119" s="1">
        <v>82.09</v>
      </c>
      <c r="G119" s="7">
        <v>1</v>
      </c>
      <c r="H119" s="1">
        <v>50</v>
      </c>
      <c r="I119" s="1" t="s">
        <v>37</v>
      </c>
      <c r="J119" s="1"/>
      <c r="K119" s="1">
        <v>90</v>
      </c>
      <c r="L119" s="1">
        <f t="shared" si="27"/>
        <v>-91.802000000000007</v>
      </c>
      <c r="M119" s="1"/>
      <c r="N119" s="1"/>
      <c r="O119" s="1">
        <v>0</v>
      </c>
      <c r="P119" s="1"/>
      <c r="Q119" s="1">
        <f t="shared" si="28"/>
        <v>-0.3604</v>
      </c>
      <c r="R119" s="5"/>
      <c r="S119" s="1">
        <f t="shared" si="30"/>
        <v>-227.77469478357381</v>
      </c>
      <c r="T119" s="1">
        <f t="shared" si="31"/>
        <v>-227.77469478357381</v>
      </c>
      <c r="U119" s="1">
        <v>-0.12479999999999999</v>
      </c>
      <c r="V119" s="1">
        <v>-0.17460000000000001</v>
      </c>
      <c r="W119" s="1">
        <v>-0.35780000000000001</v>
      </c>
      <c r="X119" s="1">
        <v>-0.1832</v>
      </c>
      <c r="Y119" s="1">
        <v>0.36159999999999998</v>
      </c>
      <c r="Z119" s="1">
        <v>4.1176000000000004</v>
      </c>
      <c r="AA119" s="1">
        <v>5.7633999999999999</v>
      </c>
      <c r="AB119" s="1">
        <v>15.0108</v>
      </c>
      <c r="AC119" s="1">
        <v>18.382400000000001</v>
      </c>
      <c r="AD119" s="1">
        <v>18.812799999999999</v>
      </c>
      <c r="AE119" s="15" t="s">
        <v>126</v>
      </c>
      <c r="AF119" s="1">
        <f>G119*R119</f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160</v>
      </c>
      <c r="B120" s="1" t="s">
        <v>41</v>
      </c>
      <c r="C120" s="1">
        <v>-1</v>
      </c>
      <c r="D120" s="1">
        <v>70</v>
      </c>
      <c r="E120" s="1">
        <v>13</v>
      </c>
      <c r="F120" s="1">
        <v>42</v>
      </c>
      <c r="G120" s="7">
        <v>0.09</v>
      </c>
      <c r="H120" s="1"/>
      <c r="I120" s="1" t="s">
        <v>37</v>
      </c>
      <c r="J120" s="1"/>
      <c r="K120" s="1">
        <v>31</v>
      </c>
      <c r="L120" s="1">
        <f t="shared" si="27"/>
        <v>-18</v>
      </c>
      <c r="M120" s="1"/>
      <c r="N120" s="1"/>
      <c r="O120" s="1">
        <v>21.199999999999989</v>
      </c>
      <c r="P120" s="1"/>
      <c r="Q120" s="1">
        <f t="shared" si="28"/>
        <v>2.6</v>
      </c>
      <c r="R120" s="5"/>
      <c r="S120" s="1">
        <f t="shared" si="30"/>
        <v>24.307692307692303</v>
      </c>
      <c r="T120" s="1">
        <f t="shared" si="31"/>
        <v>24.307692307692303</v>
      </c>
      <c r="U120" s="1">
        <v>8.1999999999999993</v>
      </c>
      <c r="V120" s="1">
        <v>8.1999999999999993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 t="s">
        <v>157</v>
      </c>
      <c r="AF120" s="1">
        <f>G120*R120</f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9" t="s">
        <v>161</v>
      </c>
      <c r="B121" s="9" t="s">
        <v>41</v>
      </c>
      <c r="C121" s="9"/>
      <c r="D121" s="9"/>
      <c r="E121" s="9"/>
      <c r="F121" s="9"/>
      <c r="G121" s="10">
        <v>0</v>
      </c>
      <c r="H121" s="9"/>
      <c r="I121" s="9" t="s">
        <v>37</v>
      </c>
      <c r="J121" s="9"/>
      <c r="K121" s="9"/>
      <c r="L121" s="9">
        <f t="shared" si="27"/>
        <v>0</v>
      </c>
      <c r="M121" s="9"/>
      <c r="N121" s="9"/>
      <c r="O121" s="9">
        <v>0</v>
      </c>
      <c r="P121" s="9"/>
      <c r="Q121" s="9">
        <f t="shared" si="28"/>
        <v>0</v>
      </c>
      <c r="R121" s="11"/>
      <c r="S121" s="9" t="e">
        <f t="shared" si="30"/>
        <v>#DIV/0!</v>
      </c>
      <c r="T121" s="9" t="e">
        <f t="shared" si="31"/>
        <v>#DIV/0!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 t="s">
        <v>42</v>
      </c>
      <c r="AF121" s="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162</v>
      </c>
      <c r="B122" s="1" t="s">
        <v>36</v>
      </c>
      <c r="C122" s="1">
        <v>386.64100000000002</v>
      </c>
      <c r="D122" s="1">
        <v>414.54399999999998</v>
      </c>
      <c r="E122" s="1">
        <v>391.18299999999999</v>
      </c>
      <c r="F122" s="1">
        <v>378.46699999999998</v>
      </c>
      <c r="G122" s="7">
        <v>1</v>
      </c>
      <c r="H122" s="1">
        <v>60</v>
      </c>
      <c r="I122" s="1" t="s">
        <v>37</v>
      </c>
      <c r="J122" s="1"/>
      <c r="K122" s="1">
        <v>377.43</v>
      </c>
      <c r="L122" s="1">
        <f t="shared" si="27"/>
        <v>13.752999999999986</v>
      </c>
      <c r="M122" s="1"/>
      <c r="N122" s="1"/>
      <c r="O122" s="1">
        <v>407.69175080000008</v>
      </c>
      <c r="P122" s="1"/>
      <c r="Q122" s="1">
        <f t="shared" si="28"/>
        <v>78.236599999999996</v>
      </c>
      <c r="R122" s="5">
        <f t="shared" ref="R122:R133" si="36">12*Q122-P122-O122-F122</f>
        <v>152.68044919999977</v>
      </c>
      <c r="S122" s="1">
        <f t="shared" si="30"/>
        <v>11.999999999999998</v>
      </c>
      <c r="T122" s="1">
        <f t="shared" si="31"/>
        <v>10.048477960443067</v>
      </c>
      <c r="U122" s="1">
        <v>83.537400000000005</v>
      </c>
      <c r="V122" s="1">
        <v>65.344999999999999</v>
      </c>
      <c r="W122" s="1">
        <v>56.364999999999988</v>
      </c>
      <c r="X122" s="1">
        <v>56.581600000000002</v>
      </c>
      <c r="Y122" s="1">
        <v>54.922800000000002</v>
      </c>
      <c r="Z122" s="1">
        <v>66.630399999999995</v>
      </c>
      <c r="AA122" s="1">
        <v>70.855999999999995</v>
      </c>
      <c r="AB122" s="1">
        <v>76.245800000000003</v>
      </c>
      <c r="AC122" s="1">
        <v>71.3352</v>
      </c>
      <c r="AD122" s="1">
        <v>56.040999999999997</v>
      </c>
      <c r="AE122" s="1"/>
      <c r="AF122" s="1">
        <f t="shared" ref="AF122:AF133" si="37">G122*R122</f>
        <v>152.68044919999977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163</v>
      </c>
      <c r="B123" s="1" t="s">
        <v>36</v>
      </c>
      <c r="C123" s="1">
        <v>498.995</v>
      </c>
      <c r="D123" s="1">
        <v>635.62800000000004</v>
      </c>
      <c r="E123" s="1">
        <v>461.00400000000002</v>
      </c>
      <c r="F123" s="1">
        <v>620.78</v>
      </c>
      <c r="G123" s="7">
        <v>1</v>
      </c>
      <c r="H123" s="1">
        <v>60</v>
      </c>
      <c r="I123" s="1" t="s">
        <v>37</v>
      </c>
      <c r="J123" s="1"/>
      <c r="K123" s="1">
        <v>460.75</v>
      </c>
      <c r="L123" s="1">
        <f t="shared" si="27"/>
        <v>0.2540000000000191</v>
      </c>
      <c r="M123" s="1"/>
      <c r="N123" s="1"/>
      <c r="O123" s="1">
        <v>208.0816187999998</v>
      </c>
      <c r="P123" s="1"/>
      <c r="Q123" s="1">
        <f t="shared" si="28"/>
        <v>92.200800000000001</v>
      </c>
      <c r="R123" s="5">
        <f t="shared" si="36"/>
        <v>277.54798120000021</v>
      </c>
      <c r="S123" s="1">
        <f t="shared" si="30"/>
        <v>12</v>
      </c>
      <c r="T123" s="1">
        <f t="shared" si="31"/>
        <v>8.9897443275980216</v>
      </c>
      <c r="U123" s="1">
        <v>92.7684</v>
      </c>
      <c r="V123" s="1">
        <v>92.423599999999993</v>
      </c>
      <c r="W123" s="1">
        <v>83.889399999999995</v>
      </c>
      <c r="X123" s="1">
        <v>75.759</v>
      </c>
      <c r="Y123" s="1">
        <v>77.756200000000007</v>
      </c>
      <c r="Z123" s="1">
        <v>88.792600000000007</v>
      </c>
      <c r="AA123" s="1">
        <v>87.907200000000003</v>
      </c>
      <c r="AB123" s="1">
        <v>90.133600000000001</v>
      </c>
      <c r="AC123" s="1">
        <v>88.307600000000008</v>
      </c>
      <c r="AD123" s="1">
        <v>81.408000000000001</v>
      </c>
      <c r="AE123" s="1"/>
      <c r="AF123" s="1">
        <f t="shared" si="37"/>
        <v>277.54798120000021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164</v>
      </c>
      <c r="B124" s="1" t="s">
        <v>36</v>
      </c>
      <c r="C124" s="1">
        <v>154.00899999999999</v>
      </c>
      <c r="D124" s="1">
        <v>283.005</v>
      </c>
      <c r="E124" s="1">
        <v>225.625</v>
      </c>
      <c r="F124" s="1">
        <v>186.83699999999999</v>
      </c>
      <c r="G124" s="7">
        <v>1</v>
      </c>
      <c r="H124" s="1">
        <v>60</v>
      </c>
      <c r="I124" s="1" t="s">
        <v>37</v>
      </c>
      <c r="J124" s="1"/>
      <c r="K124" s="1">
        <v>175.7</v>
      </c>
      <c r="L124" s="1">
        <f t="shared" si="27"/>
        <v>49.925000000000011</v>
      </c>
      <c r="M124" s="1"/>
      <c r="N124" s="1"/>
      <c r="O124" s="1">
        <v>277.59922660000001</v>
      </c>
      <c r="P124" s="1"/>
      <c r="Q124" s="1">
        <f t="shared" si="28"/>
        <v>45.125</v>
      </c>
      <c r="R124" s="5">
        <f t="shared" si="36"/>
        <v>77.063773400000002</v>
      </c>
      <c r="S124" s="1">
        <f t="shared" si="30"/>
        <v>12</v>
      </c>
      <c r="T124" s="1">
        <f t="shared" si="31"/>
        <v>10.292215547922437</v>
      </c>
      <c r="U124" s="1">
        <v>47.799799999999998</v>
      </c>
      <c r="V124" s="1">
        <v>34.2012</v>
      </c>
      <c r="W124" s="1">
        <v>29.3096</v>
      </c>
      <c r="X124" s="1">
        <v>30.529399999999999</v>
      </c>
      <c r="Y124" s="1">
        <v>31.781199999999998</v>
      </c>
      <c r="Z124" s="1">
        <v>32.8658</v>
      </c>
      <c r="AA124" s="1">
        <v>29.383600000000001</v>
      </c>
      <c r="AB124" s="1">
        <v>24.572399999999998</v>
      </c>
      <c r="AC124" s="1">
        <v>27.509399999999999</v>
      </c>
      <c r="AD124" s="1">
        <v>31.500800000000002</v>
      </c>
      <c r="AE124" s="1"/>
      <c r="AF124" s="1">
        <f t="shared" si="37"/>
        <v>77.063773400000002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165</v>
      </c>
      <c r="B125" s="1" t="s">
        <v>36</v>
      </c>
      <c r="C125" s="1">
        <v>3720.1819999999998</v>
      </c>
      <c r="D125" s="1">
        <v>4.992</v>
      </c>
      <c r="E125" s="1">
        <v>1560.691</v>
      </c>
      <c r="F125" s="1">
        <v>2001.27</v>
      </c>
      <c r="G125" s="7">
        <v>1</v>
      </c>
      <c r="H125" s="1">
        <v>60</v>
      </c>
      <c r="I125" s="1" t="s">
        <v>37</v>
      </c>
      <c r="J125" s="1"/>
      <c r="K125" s="1">
        <v>1563.15</v>
      </c>
      <c r="L125" s="1">
        <f t="shared" si="27"/>
        <v>-2.45900000000006</v>
      </c>
      <c r="M125" s="1"/>
      <c r="N125" s="1"/>
      <c r="O125" s="1">
        <v>372.85832164440001</v>
      </c>
      <c r="P125" s="1">
        <v>407.18000815559998</v>
      </c>
      <c r="Q125" s="1">
        <f t="shared" si="28"/>
        <v>312.13819999999998</v>
      </c>
      <c r="R125" s="5">
        <f t="shared" si="36"/>
        <v>964.35007020000012</v>
      </c>
      <c r="S125" s="1">
        <f t="shared" si="30"/>
        <v>12</v>
      </c>
      <c r="T125" s="1">
        <f t="shared" si="31"/>
        <v>8.9105028791733911</v>
      </c>
      <c r="U125" s="1">
        <v>312.54939999999999</v>
      </c>
      <c r="V125" s="1">
        <v>297.05020000000002</v>
      </c>
      <c r="W125" s="1">
        <v>289.678</v>
      </c>
      <c r="X125" s="1">
        <v>290.18599999999998</v>
      </c>
      <c r="Y125" s="1">
        <v>287.87099999999998</v>
      </c>
      <c r="Z125" s="1">
        <v>292.56079999999997</v>
      </c>
      <c r="AA125" s="1">
        <v>311.30119999999999</v>
      </c>
      <c r="AB125" s="1">
        <v>194.2492</v>
      </c>
      <c r="AC125" s="1">
        <v>172.9366</v>
      </c>
      <c r="AD125" s="1">
        <v>248.2234</v>
      </c>
      <c r="AE125" s="1"/>
      <c r="AF125" s="1">
        <f t="shared" si="37"/>
        <v>964.35007020000012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166</v>
      </c>
      <c r="B126" s="1" t="s">
        <v>41</v>
      </c>
      <c r="C126" s="1">
        <v>2</v>
      </c>
      <c r="D126" s="1">
        <v>204</v>
      </c>
      <c r="E126" s="1">
        <v>21</v>
      </c>
      <c r="F126" s="1">
        <v>182</v>
      </c>
      <c r="G126" s="7">
        <v>0.25</v>
      </c>
      <c r="H126" s="1"/>
      <c r="I126" s="13" t="s">
        <v>62</v>
      </c>
      <c r="J126" s="1"/>
      <c r="K126" s="1">
        <v>23</v>
      </c>
      <c r="L126" s="1">
        <f t="shared" si="27"/>
        <v>-2</v>
      </c>
      <c r="M126" s="1"/>
      <c r="N126" s="1"/>
      <c r="O126" s="1">
        <v>100</v>
      </c>
      <c r="P126" s="1"/>
      <c r="Q126" s="1">
        <f t="shared" si="28"/>
        <v>4.2</v>
      </c>
      <c r="R126" s="5">
        <v>100</v>
      </c>
      <c r="S126" s="1">
        <f t="shared" si="30"/>
        <v>90.952380952380949</v>
      </c>
      <c r="T126" s="1">
        <f t="shared" si="31"/>
        <v>67.142857142857139</v>
      </c>
      <c r="U126" s="1">
        <v>0</v>
      </c>
      <c r="V126" s="1">
        <v>0</v>
      </c>
      <c r="W126" s="1">
        <v>0</v>
      </c>
      <c r="X126" s="1">
        <v>23.2</v>
      </c>
      <c r="Y126" s="1">
        <v>40.4</v>
      </c>
      <c r="Z126" s="1">
        <v>17.2</v>
      </c>
      <c r="AA126" s="1">
        <v>0</v>
      </c>
      <c r="AB126" s="1">
        <v>0</v>
      </c>
      <c r="AC126" s="1">
        <v>0</v>
      </c>
      <c r="AD126" s="1">
        <v>0</v>
      </c>
      <c r="AE126" s="1" t="s">
        <v>167</v>
      </c>
      <c r="AF126" s="1">
        <f t="shared" si="37"/>
        <v>25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168</v>
      </c>
      <c r="B127" s="1" t="s">
        <v>41</v>
      </c>
      <c r="C127" s="1">
        <v>2</v>
      </c>
      <c r="D127" s="1">
        <v>411</v>
      </c>
      <c r="E127" s="12">
        <f>16+E134</f>
        <v>17</v>
      </c>
      <c r="F127" s="12">
        <f>345+F134</f>
        <v>393</v>
      </c>
      <c r="G127" s="7">
        <v>0.32500000000000001</v>
      </c>
      <c r="H127" s="1"/>
      <c r="I127" s="13" t="s">
        <v>62</v>
      </c>
      <c r="J127" s="1"/>
      <c r="K127" s="1">
        <v>18</v>
      </c>
      <c r="L127" s="1">
        <f t="shared" si="27"/>
        <v>-1</v>
      </c>
      <c r="M127" s="1"/>
      <c r="N127" s="1"/>
      <c r="O127" s="1">
        <v>100</v>
      </c>
      <c r="P127" s="1"/>
      <c r="Q127" s="1">
        <f t="shared" si="28"/>
        <v>3.4</v>
      </c>
      <c r="R127" s="5"/>
      <c r="S127" s="1">
        <f t="shared" si="30"/>
        <v>145</v>
      </c>
      <c r="T127" s="1">
        <f t="shared" si="31"/>
        <v>145</v>
      </c>
      <c r="U127" s="1">
        <v>0</v>
      </c>
      <c r="V127" s="1">
        <v>0.4</v>
      </c>
      <c r="W127" s="1">
        <v>3.6</v>
      </c>
      <c r="X127" s="1">
        <v>24</v>
      </c>
      <c r="Y127" s="1">
        <v>36.799999999999997</v>
      </c>
      <c r="Z127" s="1">
        <v>16</v>
      </c>
      <c r="AA127" s="1">
        <v>0</v>
      </c>
      <c r="AB127" s="1">
        <v>0</v>
      </c>
      <c r="AC127" s="1">
        <v>0</v>
      </c>
      <c r="AD127" s="1">
        <v>0</v>
      </c>
      <c r="AE127" s="1" t="s">
        <v>167</v>
      </c>
      <c r="AF127" s="1">
        <f t="shared" si="37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169</v>
      </c>
      <c r="B128" s="1" t="s">
        <v>41</v>
      </c>
      <c r="C128" s="1">
        <v>6</v>
      </c>
      <c r="D128" s="1">
        <v>156</v>
      </c>
      <c r="E128" s="1">
        <v>32</v>
      </c>
      <c r="F128" s="1">
        <v>128</v>
      </c>
      <c r="G128" s="7">
        <v>0.25</v>
      </c>
      <c r="H128" s="1"/>
      <c r="I128" s="1" t="s">
        <v>37</v>
      </c>
      <c r="J128" s="1"/>
      <c r="K128" s="1">
        <v>32</v>
      </c>
      <c r="L128" s="1">
        <f t="shared" si="27"/>
        <v>0</v>
      </c>
      <c r="M128" s="1"/>
      <c r="N128" s="1"/>
      <c r="O128" s="1">
        <v>0</v>
      </c>
      <c r="P128" s="1"/>
      <c r="Q128" s="1">
        <f t="shared" si="28"/>
        <v>6.4</v>
      </c>
      <c r="R128" s="5"/>
      <c r="S128" s="1">
        <f t="shared" si="30"/>
        <v>20</v>
      </c>
      <c r="T128" s="1">
        <f t="shared" si="31"/>
        <v>20</v>
      </c>
      <c r="U128" s="1">
        <v>2.6</v>
      </c>
      <c r="V128" s="1">
        <v>0.4</v>
      </c>
      <c r="W128" s="1">
        <v>9.4</v>
      </c>
      <c r="X128" s="1">
        <v>29.8</v>
      </c>
      <c r="Y128" s="1">
        <v>30.2</v>
      </c>
      <c r="Z128" s="1">
        <v>9.4</v>
      </c>
      <c r="AA128" s="1">
        <v>0</v>
      </c>
      <c r="AB128" s="1">
        <v>0</v>
      </c>
      <c r="AC128" s="1">
        <v>0</v>
      </c>
      <c r="AD128" s="1">
        <v>0</v>
      </c>
      <c r="AE128" s="1" t="s">
        <v>167</v>
      </c>
      <c r="AF128" s="1">
        <f t="shared" si="37"/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170</v>
      </c>
      <c r="B129" s="1" t="s">
        <v>41</v>
      </c>
      <c r="C129" s="1">
        <v>382</v>
      </c>
      <c r="D129" s="1"/>
      <c r="E129" s="1">
        <v>373</v>
      </c>
      <c r="F129" s="1">
        <v>1</v>
      </c>
      <c r="G129" s="7">
        <v>0.3</v>
      </c>
      <c r="H129" s="1">
        <v>40</v>
      </c>
      <c r="I129" s="13" t="s">
        <v>62</v>
      </c>
      <c r="J129" s="1"/>
      <c r="K129" s="1">
        <v>459</v>
      </c>
      <c r="L129" s="1">
        <f t="shared" si="27"/>
        <v>-86</v>
      </c>
      <c r="M129" s="1"/>
      <c r="N129" s="1"/>
      <c r="O129" s="1">
        <v>300</v>
      </c>
      <c r="P129" s="1"/>
      <c r="Q129" s="1">
        <f t="shared" si="28"/>
        <v>74.599999999999994</v>
      </c>
      <c r="R129" s="5">
        <v>300</v>
      </c>
      <c r="S129" s="1">
        <f t="shared" si="30"/>
        <v>8.0563002680965159</v>
      </c>
      <c r="T129" s="1">
        <f t="shared" si="31"/>
        <v>4.0348525469168903</v>
      </c>
      <c r="U129" s="1">
        <v>112.4</v>
      </c>
      <c r="V129" s="1">
        <v>109.2</v>
      </c>
      <c r="W129" s="1">
        <v>112</v>
      </c>
      <c r="X129" s="1">
        <v>42.2</v>
      </c>
      <c r="Y129" s="1">
        <v>25.4</v>
      </c>
      <c r="Z129" s="1">
        <v>82.8</v>
      </c>
      <c r="AA129" s="1">
        <v>98.6</v>
      </c>
      <c r="AB129" s="1">
        <v>83.8</v>
      </c>
      <c r="AC129" s="1">
        <v>69</v>
      </c>
      <c r="AD129" s="1">
        <v>67.8</v>
      </c>
      <c r="AE129" s="1"/>
      <c r="AF129" s="1">
        <f t="shared" si="37"/>
        <v>90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171</v>
      </c>
      <c r="B130" s="1" t="s">
        <v>41</v>
      </c>
      <c r="C130" s="1">
        <v>-1</v>
      </c>
      <c r="D130" s="1"/>
      <c r="E130" s="1">
        <v>-10</v>
      </c>
      <c r="F130" s="1">
        <v>-7</v>
      </c>
      <c r="G130" s="7">
        <v>0.3</v>
      </c>
      <c r="H130" s="1">
        <v>40</v>
      </c>
      <c r="I130" s="13" t="s">
        <v>62</v>
      </c>
      <c r="J130" s="1"/>
      <c r="K130" s="1">
        <v>15</v>
      </c>
      <c r="L130" s="1">
        <f t="shared" si="27"/>
        <v>-25</v>
      </c>
      <c r="M130" s="1"/>
      <c r="N130" s="1"/>
      <c r="O130" s="1">
        <v>150</v>
      </c>
      <c r="P130" s="1"/>
      <c r="Q130" s="1">
        <f t="shared" si="28"/>
        <v>-2</v>
      </c>
      <c r="R130" s="5">
        <v>150</v>
      </c>
      <c r="S130" s="1">
        <f t="shared" si="30"/>
        <v>-146.5</v>
      </c>
      <c r="T130" s="1">
        <f t="shared" si="31"/>
        <v>-71.5</v>
      </c>
      <c r="U130" s="1">
        <v>-2.4</v>
      </c>
      <c r="V130" s="1">
        <v>24.4</v>
      </c>
      <c r="W130" s="1">
        <v>53.6</v>
      </c>
      <c r="X130" s="1">
        <v>89.4</v>
      </c>
      <c r="Y130" s="1">
        <v>93</v>
      </c>
      <c r="Z130" s="1">
        <v>65.8</v>
      </c>
      <c r="AA130" s="1">
        <v>68.400000000000006</v>
      </c>
      <c r="AB130" s="1">
        <v>71</v>
      </c>
      <c r="AC130" s="1">
        <v>56</v>
      </c>
      <c r="AD130" s="1">
        <v>55.2</v>
      </c>
      <c r="AE130" s="1"/>
      <c r="AF130" s="1">
        <f t="shared" si="37"/>
        <v>45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172</v>
      </c>
      <c r="B131" s="1" t="s">
        <v>36</v>
      </c>
      <c r="C131" s="1">
        <v>211.78700000000001</v>
      </c>
      <c r="D131" s="1">
        <v>412.75099999999998</v>
      </c>
      <c r="E131" s="1">
        <v>317.02199999999999</v>
      </c>
      <c r="F131" s="1">
        <v>265.334</v>
      </c>
      <c r="G131" s="7">
        <v>1</v>
      </c>
      <c r="H131" s="1">
        <v>50</v>
      </c>
      <c r="I131" s="1" t="s">
        <v>37</v>
      </c>
      <c r="J131" s="1"/>
      <c r="K131" s="1">
        <v>307.60000000000002</v>
      </c>
      <c r="L131" s="1">
        <f t="shared" si="27"/>
        <v>9.4219999999999686</v>
      </c>
      <c r="M131" s="1"/>
      <c r="N131" s="1"/>
      <c r="O131" s="1">
        <v>253.23927100000009</v>
      </c>
      <c r="P131" s="1"/>
      <c r="Q131" s="1">
        <f t="shared" si="28"/>
        <v>63.404399999999995</v>
      </c>
      <c r="R131" s="5">
        <f t="shared" si="36"/>
        <v>242.2795289999998</v>
      </c>
      <c r="S131" s="1">
        <f t="shared" si="30"/>
        <v>11.999999999999998</v>
      </c>
      <c r="T131" s="1">
        <f t="shared" si="31"/>
        <v>8.1788215171186884</v>
      </c>
      <c r="U131" s="1">
        <v>59.213000000000001</v>
      </c>
      <c r="V131" s="1">
        <v>48.825200000000002</v>
      </c>
      <c r="W131" s="1">
        <v>45.4114</v>
      </c>
      <c r="X131" s="1">
        <v>53.256399999999999</v>
      </c>
      <c r="Y131" s="1">
        <v>58.144799999999996</v>
      </c>
      <c r="Z131" s="1">
        <v>62.955399999999997</v>
      </c>
      <c r="AA131" s="1">
        <v>66.096400000000003</v>
      </c>
      <c r="AB131" s="1">
        <v>58.156999999999996</v>
      </c>
      <c r="AC131" s="1">
        <v>49.684600000000003</v>
      </c>
      <c r="AD131" s="1">
        <v>52.064</v>
      </c>
      <c r="AE131" s="1"/>
      <c r="AF131" s="1">
        <f t="shared" si="37"/>
        <v>242.2795289999998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173</v>
      </c>
      <c r="B132" s="1" t="s">
        <v>41</v>
      </c>
      <c r="C132" s="1"/>
      <c r="D132" s="1">
        <v>438</v>
      </c>
      <c r="E132" s="1">
        <v>376</v>
      </c>
      <c r="F132" s="1">
        <v>11</v>
      </c>
      <c r="G132" s="7">
        <v>0.3</v>
      </c>
      <c r="H132" s="1">
        <v>40</v>
      </c>
      <c r="I132" s="13" t="s">
        <v>62</v>
      </c>
      <c r="J132" s="1"/>
      <c r="K132" s="1">
        <v>421</v>
      </c>
      <c r="L132" s="1">
        <f t="shared" si="27"/>
        <v>-45</v>
      </c>
      <c r="M132" s="1"/>
      <c r="N132" s="1"/>
      <c r="O132" s="1">
        <v>150</v>
      </c>
      <c r="P132" s="1"/>
      <c r="Q132" s="1">
        <f t="shared" si="28"/>
        <v>75.2</v>
      </c>
      <c r="R132" s="5">
        <v>200</v>
      </c>
      <c r="S132" s="1">
        <f t="shared" si="30"/>
        <v>4.8005319148936172</v>
      </c>
      <c r="T132" s="1">
        <f t="shared" si="31"/>
        <v>2.1409574468085104</v>
      </c>
      <c r="U132" s="1">
        <v>37.6</v>
      </c>
      <c r="V132" s="1">
        <v>25.8</v>
      </c>
      <c r="W132" s="1">
        <v>48.8</v>
      </c>
      <c r="X132" s="1">
        <v>63.2</v>
      </c>
      <c r="Y132" s="1">
        <v>63.4</v>
      </c>
      <c r="Z132" s="1">
        <v>55</v>
      </c>
      <c r="AA132" s="1">
        <v>46.8</v>
      </c>
      <c r="AB132" s="1">
        <v>58.4</v>
      </c>
      <c r="AC132" s="1">
        <v>57.6</v>
      </c>
      <c r="AD132" s="1">
        <v>44.2</v>
      </c>
      <c r="AE132" s="1"/>
      <c r="AF132" s="1">
        <f t="shared" si="37"/>
        <v>60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 t="s">
        <v>174</v>
      </c>
      <c r="B133" s="1" t="s">
        <v>41</v>
      </c>
      <c r="C133" s="1">
        <v>54</v>
      </c>
      <c r="D133" s="1">
        <v>121</v>
      </c>
      <c r="E133" s="1">
        <v>68</v>
      </c>
      <c r="F133" s="1">
        <v>99</v>
      </c>
      <c r="G133" s="7">
        <v>0.12</v>
      </c>
      <c r="H133" s="1">
        <v>45</v>
      </c>
      <c r="I133" s="13" t="s">
        <v>62</v>
      </c>
      <c r="J133" s="1"/>
      <c r="K133" s="1">
        <v>70</v>
      </c>
      <c r="L133" s="1">
        <f t="shared" si="27"/>
        <v>-2</v>
      </c>
      <c r="M133" s="1"/>
      <c r="N133" s="1"/>
      <c r="O133" s="1">
        <v>30</v>
      </c>
      <c r="P133" s="1"/>
      <c r="Q133" s="1">
        <f t="shared" si="28"/>
        <v>13.6</v>
      </c>
      <c r="R133" s="5">
        <f t="shared" si="36"/>
        <v>34.199999999999989</v>
      </c>
      <c r="S133" s="1">
        <f t="shared" si="30"/>
        <v>12</v>
      </c>
      <c r="T133" s="1">
        <f t="shared" si="31"/>
        <v>9.4852941176470598</v>
      </c>
      <c r="U133" s="1">
        <v>12.4</v>
      </c>
      <c r="V133" s="1">
        <v>11.6</v>
      </c>
      <c r="W133" s="1">
        <v>13.4</v>
      </c>
      <c r="X133" s="1">
        <v>14.2</v>
      </c>
      <c r="Y133" s="1">
        <v>11.8</v>
      </c>
      <c r="Z133" s="1">
        <v>8</v>
      </c>
      <c r="AA133" s="1">
        <v>6.8</v>
      </c>
      <c r="AB133" s="1">
        <v>10.199999999999999</v>
      </c>
      <c r="AC133" s="1">
        <v>11.4</v>
      </c>
      <c r="AD133" s="1">
        <v>5.6</v>
      </c>
      <c r="AE133" s="1"/>
      <c r="AF133" s="1">
        <f t="shared" si="37"/>
        <v>4.1039999999999983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9" t="s">
        <v>175</v>
      </c>
      <c r="B134" s="9" t="s">
        <v>41</v>
      </c>
      <c r="C134" s="9"/>
      <c r="D134" s="9">
        <v>50</v>
      </c>
      <c r="E134" s="12">
        <v>1</v>
      </c>
      <c r="F134" s="12">
        <v>48</v>
      </c>
      <c r="G134" s="10">
        <v>0</v>
      </c>
      <c r="H134" s="9"/>
      <c r="I134" s="9" t="s">
        <v>176</v>
      </c>
      <c r="J134" s="9" t="s">
        <v>168</v>
      </c>
      <c r="K134" s="9">
        <v>1</v>
      </c>
      <c r="L134" s="9">
        <f t="shared" ref="L134:L165" si="38">E134-K134</f>
        <v>0</v>
      </c>
      <c r="M134" s="9"/>
      <c r="N134" s="9"/>
      <c r="O134" s="9">
        <v>0</v>
      </c>
      <c r="P134" s="9"/>
      <c r="Q134" s="9">
        <f t="shared" si="28"/>
        <v>0.2</v>
      </c>
      <c r="R134" s="11"/>
      <c r="S134" s="9">
        <f t="shared" ref="S134:S165" si="39">(F134+O134+P134+R134)/Q134</f>
        <v>240</v>
      </c>
      <c r="T134" s="9">
        <f t="shared" si="31"/>
        <v>240</v>
      </c>
      <c r="U134" s="9">
        <v>0</v>
      </c>
      <c r="V134" s="9">
        <v>0</v>
      </c>
      <c r="W134" s="9">
        <v>0</v>
      </c>
      <c r="X134" s="9">
        <v>1</v>
      </c>
      <c r="Y134" s="9">
        <v>1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/>
      <c r="AF134" s="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</sheetData>
  <autoFilter ref="A3:AF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2026-08-20T12:58:51Z</dcterms:created>
  <dcterms:modified xsi:type="dcterms:W3CDTF">2026-08-20T13:22:10Z</dcterms:modified>
</cp:coreProperties>
</file>