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700FB1F3-BB37-4CEE-9FE3-7411D88D3E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Sheet!$A$3:$AP$129</definedName>
  </definedNames>
  <calcPr calcId="191029"/>
</workbook>
</file>

<file path=xl/calcChain.xml><?xml version="1.0" encoding="utf-8"?>
<calcChain xmlns="http://schemas.openxmlformats.org/spreadsheetml/2006/main">
  <c r="U5" i="1" l="1"/>
  <c r="S5" i="1"/>
  <c r="AQ9" i="1"/>
  <c r="AQ12" i="1"/>
  <c r="AQ13" i="1"/>
  <c r="AQ14" i="1"/>
  <c r="AQ15" i="1"/>
  <c r="AQ17" i="1"/>
  <c r="AQ18" i="1"/>
  <c r="AQ19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6" i="1"/>
  <c r="AQ37" i="1"/>
  <c r="AQ38" i="1"/>
  <c r="AQ40" i="1"/>
  <c r="AQ41" i="1"/>
  <c r="AQ42" i="1"/>
  <c r="AQ43" i="1"/>
  <c r="AQ44" i="1"/>
  <c r="AQ45" i="1"/>
  <c r="AQ46" i="1"/>
  <c r="AQ49" i="1"/>
  <c r="AQ50" i="1"/>
  <c r="AQ52" i="1"/>
  <c r="AQ53" i="1"/>
  <c r="AQ57" i="1"/>
  <c r="AQ58" i="1"/>
  <c r="AQ59" i="1"/>
  <c r="AQ60" i="1"/>
  <c r="AQ61" i="1"/>
  <c r="AQ62" i="1"/>
  <c r="AQ64" i="1"/>
  <c r="AQ65" i="1"/>
  <c r="AQ66" i="1"/>
  <c r="AQ67" i="1"/>
  <c r="AQ68" i="1"/>
  <c r="AQ69" i="1"/>
  <c r="AQ70" i="1"/>
  <c r="AQ71" i="1"/>
  <c r="AQ72" i="1"/>
  <c r="AQ73" i="1"/>
  <c r="AQ74" i="1"/>
  <c r="AQ76" i="1"/>
  <c r="AQ77" i="1"/>
  <c r="AQ78" i="1"/>
  <c r="AQ79" i="1"/>
  <c r="AQ80" i="1"/>
  <c r="AQ81" i="1"/>
  <c r="AQ82" i="1"/>
  <c r="AQ83" i="1"/>
  <c r="AQ85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9" i="1"/>
  <c r="AQ120" i="1"/>
  <c r="AQ121" i="1"/>
  <c r="AQ122" i="1"/>
  <c r="AQ123" i="1"/>
  <c r="AQ124" i="1"/>
  <c r="AQ125" i="1"/>
  <c r="AQ126" i="1"/>
  <c r="AQ127" i="1"/>
  <c r="AQ128" i="1"/>
  <c r="AQ129" i="1"/>
  <c r="Y103" i="1"/>
  <c r="AP103" i="1" s="1"/>
  <c r="Y102" i="1"/>
  <c r="AP102" i="1" s="1"/>
  <c r="Y61" i="1"/>
  <c r="AP61" i="1" s="1"/>
  <c r="Y27" i="1"/>
  <c r="AP27" i="1" s="1"/>
  <c r="Y26" i="1"/>
  <c r="AP26" i="1" s="1"/>
  <c r="Y25" i="1"/>
  <c r="AP25" i="1" s="1"/>
  <c r="Y24" i="1"/>
  <c r="AP24" i="1" s="1"/>
  <c r="Y22" i="1"/>
  <c r="AP22" i="1" s="1"/>
  <c r="Y13" i="1"/>
  <c r="AP13" i="1" s="1"/>
  <c r="X9" i="1" l="1"/>
  <c r="Y9" i="1" s="1"/>
  <c r="AP9" i="1" s="1"/>
  <c r="X19" i="1"/>
  <c r="Y19" i="1" s="1"/>
  <c r="AP19" i="1" s="1"/>
  <c r="X23" i="1"/>
  <c r="Y23" i="1" s="1"/>
  <c r="AP23" i="1" s="1"/>
  <c r="X29" i="1"/>
  <c r="Y29" i="1" s="1"/>
  <c r="AP29" i="1" s="1"/>
  <c r="X30" i="1"/>
  <c r="Y30" i="1" s="1"/>
  <c r="AP30" i="1" s="1"/>
  <c r="X32" i="1"/>
  <c r="Y32" i="1" s="1"/>
  <c r="AP32" i="1" s="1"/>
  <c r="X33" i="1"/>
  <c r="Y33" i="1" s="1"/>
  <c r="AP33" i="1" s="1"/>
  <c r="X34" i="1"/>
  <c r="Y34" i="1" s="1"/>
  <c r="AP34" i="1" s="1"/>
  <c r="X37" i="1"/>
  <c r="Y37" i="1" s="1"/>
  <c r="AP37" i="1" s="1"/>
  <c r="X40" i="1"/>
  <c r="Y40" i="1" s="1"/>
  <c r="AP40" i="1" s="1"/>
  <c r="X41" i="1"/>
  <c r="Y41" i="1" s="1"/>
  <c r="AP41" i="1" s="1"/>
  <c r="X42" i="1"/>
  <c r="Y42" i="1" s="1"/>
  <c r="AP42" i="1" s="1"/>
  <c r="X43" i="1"/>
  <c r="Y43" i="1" s="1"/>
  <c r="AP43" i="1" s="1"/>
  <c r="X44" i="1"/>
  <c r="Y44" i="1" s="1"/>
  <c r="AP44" i="1" s="1"/>
  <c r="X45" i="1"/>
  <c r="Y45" i="1" s="1"/>
  <c r="AP45" i="1" s="1"/>
  <c r="X46" i="1"/>
  <c r="Y46" i="1" s="1"/>
  <c r="AP46" i="1" s="1"/>
  <c r="X49" i="1"/>
  <c r="Y49" i="1" s="1"/>
  <c r="AP49" i="1" s="1"/>
  <c r="X52" i="1"/>
  <c r="Y52" i="1" s="1"/>
  <c r="AP52" i="1" s="1"/>
  <c r="X53" i="1"/>
  <c r="Y53" i="1" s="1"/>
  <c r="AP53" i="1" s="1"/>
  <c r="X57" i="1"/>
  <c r="Y57" i="1" s="1"/>
  <c r="AP57" i="1" s="1"/>
  <c r="X60" i="1"/>
  <c r="Y60" i="1" s="1"/>
  <c r="AP60" i="1" s="1"/>
  <c r="X62" i="1"/>
  <c r="Y62" i="1" s="1"/>
  <c r="AP62" i="1" s="1"/>
  <c r="X64" i="1"/>
  <c r="Y64" i="1" s="1"/>
  <c r="AP64" i="1" s="1"/>
  <c r="X65" i="1"/>
  <c r="Y65" i="1" s="1"/>
  <c r="AP65" i="1" s="1"/>
  <c r="X66" i="1"/>
  <c r="Y66" i="1" s="1"/>
  <c r="AP66" i="1" s="1"/>
  <c r="X67" i="1"/>
  <c r="Y67" i="1" s="1"/>
  <c r="AP67" i="1" s="1"/>
  <c r="X68" i="1"/>
  <c r="Y68" i="1" s="1"/>
  <c r="AP68" i="1" s="1"/>
  <c r="X71" i="1"/>
  <c r="Y71" i="1" s="1"/>
  <c r="AP71" i="1" s="1"/>
  <c r="X73" i="1"/>
  <c r="Y73" i="1" s="1"/>
  <c r="AP73" i="1" s="1"/>
  <c r="X77" i="1"/>
  <c r="Y77" i="1" s="1"/>
  <c r="AP77" i="1" s="1"/>
  <c r="X79" i="1"/>
  <c r="Y79" i="1" s="1"/>
  <c r="AP79" i="1" s="1"/>
  <c r="X80" i="1"/>
  <c r="Y80" i="1" s="1"/>
  <c r="AP80" i="1" s="1"/>
  <c r="X82" i="1"/>
  <c r="Y82" i="1" s="1"/>
  <c r="AP82" i="1" s="1"/>
  <c r="X83" i="1"/>
  <c r="Y83" i="1" s="1"/>
  <c r="AP83" i="1" s="1"/>
  <c r="X85" i="1"/>
  <c r="Y85" i="1" s="1"/>
  <c r="AP85" i="1" s="1"/>
  <c r="X89" i="1"/>
  <c r="Y89" i="1" s="1"/>
  <c r="AP89" i="1" s="1"/>
  <c r="X90" i="1"/>
  <c r="Y90" i="1" s="1"/>
  <c r="AP90" i="1" s="1"/>
  <c r="X92" i="1"/>
  <c r="Y92" i="1" s="1"/>
  <c r="AP92" i="1" s="1"/>
  <c r="X93" i="1"/>
  <c r="Y93" i="1" s="1"/>
  <c r="AP93" i="1" s="1"/>
  <c r="X97" i="1"/>
  <c r="Y97" i="1" s="1"/>
  <c r="AP97" i="1" s="1"/>
  <c r="X98" i="1"/>
  <c r="Y98" i="1" s="1"/>
  <c r="AP98" i="1" s="1"/>
  <c r="X104" i="1"/>
  <c r="Y104" i="1" s="1"/>
  <c r="AP104" i="1" s="1"/>
  <c r="X105" i="1"/>
  <c r="Y105" i="1" s="1"/>
  <c r="AP105" i="1" s="1"/>
  <c r="X106" i="1"/>
  <c r="Y106" i="1" s="1"/>
  <c r="AP106" i="1" s="1"/>
  <c r="X107" i="1"/>
  <c r="Y107" i="1" s="1"/>
  <c r="AP107" i="1" s="1"/>
  <c r="X108" i="1"/>
  <c r="Y108" i="1" s="1"/>
  <c r="AP108" i="1" s="1"/>
  <c r="X109" i="1"/>
  <c r="Y109" i="1" s="1"/>
  <c r="AP109" i="1" s="1"/>
  <c r="X111" i="1"/>
  <c r="Y111" i="1" s="1"/>
  <c r="AP111" i="1" s="1"/>
  <c r="X112" i="1"/>
  <c r="Y112" i="1" s="1"/>
  <c r="AP112" i="1" s="1"/>
  <c r="X114" i="1"/>
  <c r="Y114" i="1" s="1"/>
  <c r="AP114" i="1" s="1"/>
  <c r="X119" i="1"/>
  <c r="Y119" i="1" s="1"/>
  <c r="AP119" i="1" s="1"/>
  <c r="X120" i="1"/>
  <c r="Y120" i="1" s="1"/>
  <c r="AP120" i="1" s="1"/>
  <c r="X121" i="1"/>
  <c r="Y121" i="1" s="1"/>
  <c r="AP121" i="1" s="1"/>
  <c r="X122" i="1"/>
  <c r="Y122" i="1" s="1"/>
  <c r="AP122" i="1" s="1"/>
  <c r="X123" i="1"/>
  <c r="Y123" i="1" s="1"/>
  <c r="AP123" i="1" s="1"/>
  <c r="X125" i="1"/>
  <c r="Y125" i="1" s="1"/>
  <c r="AP125" i="1" s="1"/>
  <c r="X126" i="1"/>
  <c r="Y126" i="1" s="1"/>
  <c r="AP126" i="1" s="1"/>
  <c r="X127" i="1"/>
  <c r="Y127" i="1" s="1"/>
  <c r="AP127" i="1" s="1"/>
  <c r="X128" i="1"/>
  <c r="Y128" i="1" s="1"/>
  <c r="AP128" i="1" s="1"/>
  <c r="X129" i="1"/>
  <c r="Y129" i="1" s="1"/>
  <c r="AP129" i="1" s="1"/>
  <c r="AB22" i="1"/>
  <c r="AB24" i="1"/>
  <c r="AB61" i="1"/>
  <c r="AB102" i="1"/>
  <c r="AB103" i="1"/>
  <c r="AA13" i="1"/>
  <c r="AA22" i="1"/>
  <c r="AA24" i="1"/>
  <c r="AA25" i="1"/>
  <c r="AA26" i="1"/>
  <c r="AA27" i="1"/>
  <c r="AA61" i="1"/>
  <c r="AA102" i="1"/>
  <c r="AA103" i="1"/>
  <c r="V129" i="1" l="1"/>
  <c r="AC129" i="1" s="1"/>
  <c r="L129" i="1"/>
  <c r="V128" i="1"/>
  <c r="AC128" i="1" s="1"/>
  <c r="L128" i="1"/>
  <c r="V127" i="1"/>
  <c r="AC127" i="1" s="1"/>
  <c r="L127" i="1"/>
  <c r="V126" i="1"/>
  <c r="AC126" i="1" s="1"/>
  <c r="L126" i="1"/>
  <c r="V125" i="1"/>
  <c r="AC125" i="1" s="1"/>
  <c r="L125" i="1"/>
  <c r="V124" i="1"/>
  <c r="L124" i="1"/>
  <c r="V123" i="1"/>
  <c r="AC123" i="1" s="1"/>
  <c r="L123" i="1"/>
  <c r="V122" i="1"/>
  <c r="AC122" i="1" s="1"/>
  <c r="L122" i="1"/>
  <c r="V121" i="1"/>
  <c r="AC121" i="1" s="1"/>
  <c r="L121" i="1"/>
  <c r="V120" i="1"/>
  <c r="AC120" i="1" s="1"/>
  <c r="L120" i="1"/>
  <c r="V119" i="1"/>
  <c r="AC119" i="1" s="1"/>
  <c r="L119" i="1"/>
  <c r="V118" i="1"/>
  <c r="L118" i="1"/>
  <c r="V117" i="1"/>
  <c r="L117" i="1"/>
  <c r="V116" i="1"/>
  <c r="L116" i="1"/>
  <c r="V115" i="1"/>
  <c r="L115" i="1"/>
  <c r="V114" i="1"/>
  <c r="AC114" i="1" s="1"/>
  <c r="L114" i="1"/>
  <c r="V113" i="1"/>
  <c r="L113" i="1"/>
  <c r="V112" i="1"/>
  <c r="AC112" i="1" s="1"/>
  <c r="L112" i="1"/>
  <c r="V111" i="1"/>
  <c r="AC111" i="1" s="1"/>
  <c r="L111" i="1"/>
  <c r="V110" i="1"/>
  <c r="L110" i="1"/>
  <c r="V109" i="1"/>
  <c r="AC109" i="1" s="1"/>
  <c r="L109" i="1"/>
  <c r="V108" i="1"/>
  <c r="AC108" i="1" s="1"/>
  <c r="L108" i="1"/>
  <c r="V107" i="1"/>
  <c r="AC107" i="1" s="1"/>
  <c r="L107" i="1"/>
  <c r="V106" i="1"/>
  <c r="AC106" i="1" s="1"/>
  <c r="L106" i="1"/>
  <c r="V105" i="1"/>
  <c r="AC105" i="1" s="1"/>
  <c r="L105" i="1"/>
  <c r="V104" i="1"/>
  <c r="AC104" i="1" s="1"/>
  <c r="L104" i="1"/>
  <c r="V103" i="1"/>
  <c r="AC103" i="1" s="1"/>
  <c r="L103" i="1"/>
  <c r="V102" i="1"/>
  <c r="AC102" i="1" s="1"/>
  <c r="L102" i="1"/>
  <c r="V101" i="1"/>
  <c r="L101" i="1"/>
  <c r="V100" i="1"/>
  <c r="L100" i="1"/>
  <c r="V99" i="1"/>
  <c r="L99" i="1"/>
  <c r="V98" i="1"/>
  <c r="AC98" i="1" s="1"/>
  <c r="L98" i="1"/>
  <c r="V97" i="1"/>
  <c r="AC97" i="1" s="1"/>
  <c r="L97" i="1"/>
  <c r="V96" i="1"/>
  <c r="L96" i="1"/>
  <c r="V95" i="1"/>
  <c r="L95" i="1"/>
  <c r="V94" i="1"/>
  <c r="L94" i="1"/>
  <c r="V93" i="1"/>
  <c r="AC93" i="1" s="1"/>
  <c r="L93" i="1"/>
  <c r="V92" i="1"/>
  <c r="AC92" i="1" s="1"/>
  <c r="L92" i="1"/>
  <c r="V91" i="1"/>
  <c r="L91" i="1"/>
  <c r="V90" i="1"/>
  <c r="AC90" i="1" s="1"/>
  <c r="L90" i="1"/>
  <c r="V89" i="1"/>
  <c r="AC89" i="1" s="1"/>
  <c r="L89" i="1"/>
  <c r="V88" i="1"/>
  <c r="L88" i="1"/>
  <c r="V87" i="1"/>
  <c r="L87" i="1"/>
  <c r="V86" i="1"/>
  <c r="L86" i="1"/>
  <c r="V85" i="1"/>
  <c r="AC85" i="1" s="1"/>
  <c r="L85" i="1"/>
  <c r="V84" i="1"/>
  <c r="L84" i="1"/>
  <c r="V83" i="1"/>
  <c r="AC83" i="1" s="1"/>
  <c r="L83" i="1"/>
  <c r="V82" i="1"/>
  <c r="AC82" i="1" s="1"/>
  <c r="L82" i="1"/>
  <c r="V81" i="1"/>
  <c r="L81" i="1"/>
  <c r="V80" i="1"/>
  <c r="AC80" i="1" s="1"/>
  <c r="L80" i="1"/>
  <c r="V79" i="1"/>
  <c r="AC79" i="1" s="1"/>
  <c r="L79" i="1"/>
  <c r="V78" i="1"/>
  <c r="L78" i="1"/>
  <c r="V77" i="1"/>
  <c r="AC77" i="1" s="1"/>
  <c r="L77" i="1"/>
  <c r="V76" i="1"/>
  <c r="L76" i="1"/>
  <c r="V75" i="1"/>
  <c r="L75" i="1"/>
  <c r="V74" i="1"/>
  <c r="L74" i="1"/>
  <c r="V73" i="1"/>
  <c r="AC73" i="1" s="1"/>
  <c r="L73" i="1"/>
  <c r="V72" i="1"/>
  <c r="L72" i="1"/>
  <c r="V71" i="1"/>
  <c r="AC71" i="1" s="1"/>
  <c r="L71" i="1"/>
  <c r="V70" i="1"/>
  <c r="L70" i="1"/>
  <c r="V69" i="1"/>
  <c r="L69" i="1"/>
  <c r="V68" i="1"/>
  <c r="AC68" i="1" s="1"/>
  <c r="L68" i="1"/>
  <c r="V67" i="1"/>
  <c r="AC67" i="1" s="1"/>
  <c r="L67" i="1"/>
  <c r="V66" i="1"/>
  <c r="AC66" i="1" s="1"/>
  <c r="L66" i="1"/>
  <c r="V65" i="1"/>
  <c r="AC65" i="1" s="1"/>
  <c r="L65" i="1"/>
  <c r="V64" i="1"/>
  <c r="AC64" i="1" s="1"/>
  <c r="L64" i="1"/>
  <c r="V63" i="1"/>
  <c r="L63" i="1"/>
  <c r="V62" i="1"/>
  <c r="AC62" i="1" s="1"/>
  <c r="L62" i="1"/>
  <c r="V61" i="1"/>
  <c r="AC61" i="1" s="1"/>
  <c r="L61" i="1"/>
  <c r="V60" i="1"/>
  <c r="AC60" i="1" s="1"/>
  <c r="L60" i="1"/>
  <c r="V59" i="1"/>
  <c r="L59" i="1"/>
  <c r="V58" i="1"/>
  <c r="L58" i="1"/>
  <c r="V57" i="1"/>
  <c r="AC57" i="1" s="1"/>
  <c r="L57" i="1"/>
  <c r="V56" i="1"/>
  <c r="L56" i="1"/>
  <c r="F55" i="1"/>
  <c r="E55" i="1"/>
  <c r="V55" i="1" s="1"/>
  <c r="V54" i="1"/>
  <c r="L54" i="1"/>
  <c r="V53" i="1"/>
  <c r="AC53" i="1" s="1"/>
  <c r="L53" i="1"/>
  <c r="V52" i="1"/>
  <c r="AC52" i="1" s="1"/>
  <c r="L52" i="1"/>
  <c r="V51" i="1"/>
  <c r="L51" i="1"/>
  <c r="V50" i="1"/>
  <c r="L50" i="1"/>
  <c r="V49" i="1"/>
  <c r="AC49" i="1" s="1"/>
  <c r="L49" i="1"/>
  <c r="V48" i="1"/>
  <c r="L48" i="1"/>
  <c r="V47" i="1"/>
  <c r="L47" i="1"/>
  <c r="V46" i="1"/>
  <c r="AC46" i="1" s="1"/>
  <c r="L46" i="1"/>
  <c r="V45" i="1"/>
  <c r="AC45" i="1" s="1"/>
  <c r="L45" i="1"/>
  <c r="V44" i="1"/>
  <c r="AC44" i="1" s="1"/>
  <c r="L44" i="1"/>
  <c r="V43" i="1"/>
  <c r="AC43" i="1" s="1"/>
  <c r="L43" i="1"/>
  <c r="V42" i="1"/>
  <c r="AC42" i="1" s="1"/>
  <c r="L42" i="1"/>
  <c r="V41" i="1"/>
  <c r="AC41" i="1" s="1"/>
  <c r="L41" i="1"/>
  <c r="V40" i="1"/>
  <c r="AC40" i="1" s="1"/>
  <c r="L40" i="1"/>
  <c r="V39" i="1"/>
  <c r="L39" i="1"/>
  <c r="V38" i="1"/>
  <c r="L38" i="1"/>
  <c r="V37" i="1"/>
  <c r="AC37" i="1" s="1"/>
  <c r="L37" i="1"/>
  <c r="V36" i="1"/>
  <c r="L36" i="1"/>
  <c r="V35" i="1"/>
  <c r="L35" i="1"/>
  <c r="V34" i="1"/>
  <c r="AC34" i="1" s="1"/>
  <c r="L34" i="1"/>
  <c r="V33" i="1"/>
  <c r="AC33" i="1" s="1"/>
  <c r="L33" i="1"/>
  <c r="V32" i="1"/>
  <c r="L32" i="1"/>
  <c r="V31" i="1"/>
  <c r="L31" i="1"/>
  <c r="V30" i="1"/>
  <c r="AC30" i="1" s="1"/>
  <c r="L30" i="1"/>
  <c r="V29" i="1"/>
  <c r="AC29" i="1" s="1"/>
  <c r="L29" i="1"/>
  <c r="V28" i="1"/>
  <c r="L28" i="1"/>
  <c r="V27" i="1"/>
  <c r="AC27" i="1" s="1"/>
  <c r="L27" i="1"/>
  <c r="V26" i="1"/>
  <c r="AC26" i="1" s="1"/>
  <c r="L26" i="1"/>
  <c r="V25" i="1"/>
  <c r="AC25" i="1" s="1"/>
  <c r="L25" i="1"/>
  <c r="V24" i="1"/>
  <c r="L24" i="1"/>
  <c r="V23" i="1"/>
  <c r="AC23" i="1" s="1"/>
  <c r="L23" i="1"/>
  <c r="V22" i="1"/>
  <c r="AC22" i="1" s="1"/>
  <c r="L22" i="1"/>
  <c r="V21" i="1"/>
  <c r="L21" i="1"/>
  <c r="V20" i="1"/>
  <c r="L20" i="1"/>
  <c r="V19" i="1"/>
  <c r="AC19" i="1" s="1"/>
  <c r="L19" i="1"/>
  <c r="V18" i="1"/>
  <c r="L18" i="1"/>
  <c r="V17" i="1"/>
  <c r="L17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AC9" i="1" s="1"/>
  <c r="L9" i="1"/>
  <c r="V8" i="1"/>
  <c r="L8" i="1"/>
  <c r="V7" i="1"/>
  <c r="L7" i="1"/>
  <c r="V6" i="1"/>
  <c r="L6" i="1"/>
  <c r="AN5" i="1"/>
  <c r="AM5" i="1"/>
  <c r="AL5" i="1"/>
  <c r="AK5" i="1"/>
  <c r="AJ5" i="1"/>
  <c r="AI5" i="1"/>
  <c r="AH5" i="1"/>
  <c r="AG5" i="1"/>
  <c r="AF5" i="1"/>
  <c r="AE5" i="1"/>
  <c r="T5" i="1"/>
  <c r="R5" i="1"/>
  <c r="Q5" i="1"/>
  <c r="P5" i="1"/>
  <c r="O5" i="1"/>
  <c r="N5" i="1"/>
  <c r="M5" i="1"/>
  <c r="K5" i="1"/>
  <c r="F5" i="1"/>
  <c r="W6" i="1" l="1"/>
  <c r="X6" i="1" s="1"/>
  <c r="W8" i="1"/>
  <c r="W11" i="1"/>
  <c r="W13" i="1"/>
  <c r="AC13" i="1"/>
  <c r="W15" i="1"/>
  <c r="Y15" i="1" s="1"/>
  <c r="W21" i="1"/>
  <c r="X21" i="1" s="1"/>
  <c r="Y21" i="1" s="1"/>
  <c r="AP21" i="1" s="1"/>
  <c r="W24" i="1"/>
  <c r="AC24" i="1"/>
  <c r="W28" i="1"/>
  <c r="X28" i="1" s="1"/>
  <c r="Y28" i="1" s="1"/>
  <c r="AP28" i="1" s="1"/>
  <c r="W31" i="1"/>
  <c r="X31" i="1" s="1"/>
  <c r="Y31" i="1" s="1"/>
  <c r="AP31" i="1" s="1"/>
  <c r="AD32" i="1"/>
  <c r="AC32" i="1"/>
  <c r="W39" i="1"/>
  <c r="AD47" i="1"/>
  <c r="AD51" i="1"/>
  <c r="AD59" i="1"/>
  <c r="AD63" i="1"/>
  <c r="AD69" i="1"/>
  <c r="W74" i="1"/>
  <c r="X74" i="1" s="1"/>
  <c r="Y74" i="1" s="1"/>
  <c r="AP74" i="1" s="1"/>
  <c r="AD75" i="1"/>
  <c r="AD81" i="1"/>
  <c r="AD86" i="1"/>
  <c r="AD88" i="1"/>
  <c r="AD95" i="1"/>
  <c r="W96" i="1"/>
  <c r="X96" i="1" s="1"/>
  <c r="Y96" i="1" s="1"/>
  <c r="AP96" i="1" s="1"/>
  <c r="AD100" i="1"/>
  <c r="AD101" i="1"/>
  <c r="AD110" i="1"/>
  <c r="AD115" i="1"/>
  <c r="AD117" i="1"/>
  <c r="AD9" i="1"/>
  <c r="AD33" i="1"/>
  <c r="AD49" i="1"/>
  <c r="AD53" i="1"/>
  <c r="AD57" i="1"/>
  <c r="AD61" i="1"/>
  <c r="AD65" i="1"/>
  <c r="AD67" i="1"/>
  <c r="AD71" i="1"/>
  <c r="AD73" i="1"/>
  <c r="AD77" i="1"/>
  <c r="AD79" i="1"/>
  <c r="AD83" i="1"/>
  <c r="AD85" i="1"/>
  <c r="AD89" i="1"/>
  <c r="AD90" i="1"/>
  <c r="AD93" i="1"/>
  <c r="AD97" i="1"/>
  <c r="AD98" i="1"/>
  <c r="AD102" i="1"/>
  <c r="AD104" i="1"/>
  <c r="AD107" i="1"/>
  <c r="AD111" i="1"/>
  <c r="AD112" i="1"/>
  <c r="AD119" i="1"/>
  <c r="AD121" i="1"/>
  <c r="AD123" i="1"/>
  <c r="AD125" i="1"/>
  <c r="AD127" i="1"/>
  <c r="AD129" i="1"/>
  <c r="W63" i="1"/>
  <c r="W110" i="1"/>
  <c r="X110" i="1" s="1"/>
  <c r="Y110" i="1" s="1"/>
  <c r="AP110" i="1" s="1"/>
  <c r="W115" i="1"/>
  <c r="AD105" i="1"/>
  <c r="W86" i="1"/>
  <c r="X86" i="1" s="1"/>
  <c r="W55" i="1"/>
  <c r="W81" i="1"/>
  <c r="X81" i="1" s="1"/>
  <c r="Y81" i="1" s="1"/>
  <c r="AP81" i="1" s="1"/>
  <c r="W95" i="1"/>
  <c r="X95" i="1" s="1"/>
  <c r="Y95" i="1" s="1"/>
  <c r="AP95" i="1" s="1"/>
  <c r="W100" i="1"/>
  <c r="Y100" i="1" s="1"/>
  <c r="AP100" i="1" s="1"/>
  <c r="W117" i="1"/>
  <c r="W69" i="1"/>
  <c r="X69" i="1" s="1"/>
  <c r="Y69" i="1" s="1"/>
  <c r="AP69" i="1" s="1"/>
  <c r="AD10" i="1"/>
  <c r="W10" i="1"/>
  <c r="X10" i="1" s="1"/>
  <c r="AD14" i="1"/>
  <c r="W14" i="1"/>
  <c r="X14" i="1" s="1"/>
  <c r="Y14" i="1" s="1"/>
  <c r="AP14" i="1" s="1"/>
  <c r="AD16" i="1"/>
  <c r="W16" i="1"/>
  <c r="X16" i="1" s="1"/>
  <c r="AD18" i="1"/>
  <c r="W18" i="1"/>
  <c r="X18" i="1" s="1"/>
  <c r="Y18" i="1" s="1"/>
  <c r="AP18" i="1" s="1"/>
  <c r="AD22" i="1"/>
  <c r="W22" i="1"/>
  <c r="AD25" i="1"/>
  <c r="W25" i="1"/>
  <c r="AD27" i="1"/>
  <c r="AD36" i="1"/>
  <c r="W36" i="1"/>
  <c r="X36" i="1" s="1"/>
  <c r="Y36" i="1" s="1"/>
  <c r="AP36" i="1" s="1"/>
  <c r="AD44" i="1"/>
  <c r="W78" i="1"/>
  <c r="X78" i="1" s="1"/>
  <c r="Y78" i="1" s="1"/>
  <c r="AP78" i="1" s="1"/>
  <c r="W84" i="1"/>
  <c r="W87" i="1"/>
  <c r="X87" i="1" s="1"/>
  <c r="W91" i="1"/>
  <c r="Y91" i="1" s="1"/>
  <c r="AP91" i="1" s="1"/>
  <c r="AD91" i="1"/>
  <c r="W94" i="1"/>
  <c r="X94" i="1" s="1"/>
  <c r="Y94" i="1" s="1"/>
  <c r="AP94" i="1" s="1"/>
  <c r="W99" i="1"/>
  <c r="Y99" i="1" s="1"/>
  <c r="AP99" i="1" s="1"/>
  <c r="AD99" i="1"/>
  <c r="AD109" i="1"/>
  <c r="AD114" i="1"/>
  <c r="W118" i="1"/>
  <c r="AD128" i="1"/>
  <c r="W17" i="1"/>
  <c r="X17" i="1" s="1"/>
  <c r="Y17" i="1" s="1"/>
  <c r="AP17" i="1" s="1"/>
  <c r="AD7" i="1"/>
  <c r="W7" i="1"/>
  <c r="AD12" i="1"/>
  <c r="W12" i="1"/>
  <c r="X12" i="1" s="1"/>
  <c r="Y12" i="1" s="1"/>
  <c r="AP12" i="1" s="1"/>
  <c r="AD20" i="1"/>
  <c r="W20" i="1"/>
  <c r="AD29" i="1"/>
  <c r="AD34" i="1"/>
  <c r="AD38" i="1"/>
  <c r="W38" i="1"/>
  <c r="X38" i="1" s="1"/>
  <c r="Y38" i="1" s="1"/>
  <c r="AP38" i="1" s="1"/>
  <c r="AD40" i="1"/>
  <c r="AD42" i="1"/>
  <c r="W48" i="1"/>
  <c r="W50" i="1"/>
  <c r="X50" i="1" s="1"/>
  <c r="Y50" i="1" s="1"/>
  <c r="AP50" i="1" s="1"/>
  <c r="W54" i="1"/>
  <c r="W56" i="1"/>
  <c r="W58" i="1"/>
  <c r="X58" i="1" s="1"/>
  <c r="Y58" i="1" s="1"/>
  <c r="AP58" i="1" s="1"/>
  <c r="W70" i="1"/>
  <c r="X70" i="1" s="1"/>
  <c r="Y70" i="1" s="1"/>
  <c r="AP70" i="1" s="1"/>
  <c r="W72" i="1"/>
  <c r="X72" i="1" s="1"/>
  <c r="Y72" i="1" s="1"/>
  <c r="AP72" i="1" s="1"/>
  <c r="W76" i="1"/>
  <c r="X76" i="1" s="1"/>
  <c r="Y76" i="1" s="1"/>
  <c r="AP76" i="1" s="1"/>
  <c r="AD87" i="1"/>
  <c r="AD92" i="1"/>
  <c r="AD103" i="1"/>
  <c r="W113" i="1"/>
  <c r="X113" i="1" s="1"/>
  <c r="Y113" i="1" s="1"/>
  <c r="AP113" i="1" s="1"/>
  <c r="AD113" i="1"/>
  <c r="W116" i="1"/>
  <c r="W35" i="1"/>
  <c r="W47" i="1"/>
  <c r="X47" i="1" s="1"/>
  <c r="W51" i="1"/>
  <c r="W59" i="1"/>
  <c r="X59" i="1" s="1"/>
  <c r="Y59" i="1" s="1"/>
  <c r="AP59" i="1" s="1"/>
  <c r="W75" i="1"/>
  <c r="W88" i="1"/>
  <c r="X88" i="1" s="1"/>
  <c r="W101" i="1"/>
  <c r="X101" i="1" s="1"/>
  <c r="Y101" i="1" s="1"/>
  <c r="AP101" i="1" s="1"/>
  <c r="W124" i="1"/>
  <c r="X124" i="1" s="1"/>
  <c r="Y124" i="1" s="1"/>
  <c r="AP124" i="1" s="1"/>
  <c r="V5" i="1"/>
  <c r="AD46" i="1"/>
  <c r="AD48" i="1"/>
  <c r="AD50" i="1"/>
  <c r="AD52" i="1"/>
  <c r="AD54" i="1"/>
  <c r="AD6" i="1"/>
  <c r="AD8" i="1"/>
  <c r="AD11" i="1"/>
  <c r="AD13" i="1"/>
  <c r="AD15" i="1"/>
  <c r="AD17" i="1"/>
  <c r="AD19" i="1"/>
  <c r="AD21" i="1"/>
  <c r="AD23" i="1"/>
  <c r="AD24" i="1"/>
  <c r="AD26" i="1"/>
  <c r="AD28" i="1"/>
  <c r="AD30" i="1"/>
  <c r="AD31" i="1"/>
  <c r="AD35" i="1"/>
  <c r="AD37" i="1"/>
  <c r="AD39" i="1"/>
  <c r="AD41" i="1"/>
  <c r="AD43" i="1"/>
  <c r="AD45" i="1"/>
  <c r="L55" i="1"/>
  <c r="L5" i="1" s="1"/>
  <c r="E5" i="1"/>
  <c r="AD55" i="1"/>
  <c r="AD56" i="1"/>
  <c r="AD58" i="1"/>
  <c r="AD60" i="1"/>
  <c r="AD62" i="1"/>
  <c r="AD64" i="1"/>
  <c r="AD66" i="1"/>
  <c r="AD68" i="1"/>
  <c r="AD70" i="1"/>
  <c r="AD72" i="1"/>
  <c r="AD74" i="1"/>
  <c r="AD76" i="1"/>
  <c r="AD78" i="1"/>
  <c r="AD80" i="1"/>
  <c r="AD82" i="1"/>
  <c r="AD84" i="1"/>
  <c r="AD94" i="1"/>
  <c r="AD96" i="1"/>
  <c r="AD106" i="1"/>
  <c r="AD108" i="1"/>
  <c r="AD116" i="1"/>
  <c r="AD118" i="1"/>
  <c r="AD120" i="1"/>
  <c r="AD122" i="1"/>
  <c r="AD124" i="1"/>
  <c r="AD126" i="1"/>
  <c r="AC31" i="1" l="1"/>
  <c r="Z88" i="1"/>
  <c r="AQ88" i="1" s="1"/>
  <c r="Z47" i="1"/>
  <c r="AQ47" i="1" s="1"/>
  <c r="Z116" i="1"/>
  <c r="AQ116" i="1" s="1"/>
  <c r="Z56" i="1"/>
  <c r="AQ56" i="1" s="1"/>
  <c r="Z20" i="1"/>
  <c r="AQ20" i="1" s="1"/>
  <c r="Z7" i="1"/>
  <c r="AQ7" i="1" s="1"/>
  <c r="Z118" i="1"/>
  <c r="AQ118" i="1" s="1"/>
  <c r="Z87" i="1"/>
  <c r="AQ87" i="1" s="1"/>
  <c r="Z117" i="1"/>
  <c r="AQ117" i="1" s="1"/>
  <c r="Z55" i="1"/>
  <c r="AQ55" i="1" s="1"/>
  <c r="Z8" i="1"/>
  <c r="AQ8" i="1" s="1"/>
  <c r="AC113" i="1"/>
  <c r="AC70" i="1"/>
  <c r="AC17" i="1"/>
  <c r="Z75" i="1"/>
  <c r="AQ75" i="1" s="1"/>
  <c r="Z51" i="1"/>
  <c r="AQ51" i="1" s="1"/>
  <c r="Z35" i="1"/>
  <c r="AQ35" i="1" s="1"/>
  <c r="Z54" i="1"/>
  <c r="AQ54" i="1" s="1"/>
  <c r="Z48" i="1"/>
  <c r="AQ48" i="1" s="1"/>
  <c r="Z84" i="1"/>
  <c r="AQ84" i="1" s="1"/>
  <c r="Z16" i="1"/>
  <c r="AQ16" i="1" s="1"/>
  <c r="Z10" i="1"/>
  <c r="AQ10" i="1" s="1"/>
  <c r="Z86" i="1"/>
  <c r="AQ86" i="1" s="1"/>
  <c r="Z115" i="1"/>
  <c r="AQ115" i="1" s="1"/>
  <c r="Z63" i="1"/>
  <c r="AQ63" i="1" s="1"/>
  <c r="Z39" i="1"/>
  <c r="AQ39" i="1" s="1"/>
  <c r="Z11" i="1"/>
  <c r="AQ11" i="1" s="1"/>
  <c r="Z6" i="1"/>
  <c r="AQ6" i="1" s="1"/>
  <c r="AC76" i="1"/>
  <c r="AC50" i="1"/>
  <c r="AC18" i="1"/>
  <c r="AC91" i="1"/>
  <c r="AC14" i="1"/>
  <c r="AC110" i="1"/>
  <c r="AC101" i="1"/>
  <c r="AC100" i="1"/>
  <c r="AC96" i="1"/>
  <c r="AC95" i="1"/>
  <c r="AC81" i="1"/>
  <c r="AC74" i="1"/>
  <c r="AC69" i="1"/>
  <c r="AC59" i="1"/>
  <c r="AC21" i="1"/>
  <c r="AC124" i="1"/>
  <c r="AC99" i="1"/>
  <c r="AC78" i="1"/>
  <c r="AC72" i="1"/>
  <c r="AC58" i="1"/>
  <c r="AC12" i="1"/>
  <c r="AP15" i="1"/>
  <c r="AC38" i="1"/>
  <c r="AC28" i="1"/>
  <c r="AC15" i="1"/>
  <c r="AC94" i="1"/>
  <c r="AC36" i="1"/>
  <c r="X5" i="1"/>
  <c r="W5" i="1"/>
  <c r="Y6" i="1" l="1"/>
  <c r="AP6" i="1" s="1"/>
  <c r="Y11" i="1"/>
  <c r="AP11" i="1" s="1"/>
  <c r="Y39" i="1"/>
  <c r="Y63" i="1"/>
  <c r="AP63" i="1" s="1"/>
  <c r="Y115" i="1"/>
  <c r="AP115" i="1" s="1"/>
  <c r="Y86" i="1"/>
  <c r="AP86" i="1" s="1"/>
  <c r="Y10" i="1"/>
  <c r="AP10" i="1" s="1"/>
  <c r="Y16" i="1"/>
  <c r="AP16" i="1" s="1"/>
  <c r="Y84" i="1"/>
  <c r="AP84" i="1" s="1"/>
  <c r="Y48" i="1"/>
  <c r="AP48" i="1" s="1"/>
  <c r="Y54" i="1"/>
  <c r="AP54" i="1" s="1"/>
  <c r="Y35" i="1"/>
  <c r="AP35" i="1" s="1"/>
  <c r="Y51" i="1"/>
  <c r="AP51" i="1" s="1"/>
  <c r="Y75" i="1"/>
  <c r="AP75" i="1" s="1"/>
  <c r="AC54" i="1"/>
  <c r="AC75" i="1"/>
  <c r="Z5" i="1"/>
  <c r="AQ5" i="1"/>
  <c r="AQ1" i="1" s="1"/>
  <c r="AC10" i="1"/>
  <c r="AC6" i="1"/>
  <c r="Y8" i="1"/>
  <c r="Y55" i="1"/>
  <c r="Y117" i="1"/>
  <c r="Y87" i="1"/>
  <c r="Y118" i="1"/>
  <c r="Y7" i="1"/>
  <c r="Y20" i="1"/>
  <c r="Y56" i="1"/>
  <c r="Y116" i="1"/>
  <c r="Y47" i="1"/>
  <c r="Y88" i="1"/>
  <c r="AC51" i="1" l="1"/>
  <c r="AC11" i="1"/>
  <c r="AC35" i="1"/>
  <c r="AC63" i="1"/>
  <c r="AC16" i="1"/>
  <c r="AC48" i="1"/>
  <c r="AC86" i="1"/>
  <c r="AP39" i="1"/>
  <c r="AC39" i="1"/>
  <c r="AC115" i="1"/>
  <c r="AC84" i="1"/>
  <c r="AP88" i="1"/>
  <c r="AC88" i="1"/>
  <c r="AP116" i="1"/>
  <c r="AC116" i="1"/>
  <c r="AP20" i="1"/>
  <c r="AC20" i="1"/>
  <c r="AP118" i="1"/>
  <c r="AC118" i="1"/>
  <c r="AP117" i="1"/>
  <c r="AC117" i="1"/>
  <c r="AP8" i="1"/>
  <c r="AC8" i="1"/>
  <c r="AP47" i="1"/>
  <c r="AC47" i="1"/>
  <c r="AP56" i="1"/>
  <c r="AC56" i="1"/>
  <c r="AP7" i="1"/>
  <c r="AC7" i="1"/>
  <c r="AP87" i="1"/>
  <c r="AC87" i="1"/>
  <c r="AP55" i="1"/>
  <c r="AC55" i="1"/>
  <c r="Y5" i="1"/>
  <c r="AP5" i="1" l="1"/>
  <c r="AP1" i="1" s="1"/>
</calcChain>
</file>

<file path=xl/sharedStrings.xml><?xml version="1.0" encoding="utf-8"?>
<sst xmlns="http://schemas.openxmlformats.org/spreadsheetml/2006/main" count="472" uniqueCount="187">
  <si>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</si>
  <si>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</si>
  <si>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</si>
  <si>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</si>
  <si>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</si>
  <si>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</si>
  <si>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</si>
  <si>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</si>
  <si>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</si>
  <si>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</si>
  <si>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</si>
  <si>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</si>
  <si>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</si>
  <si>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</si>
  <si>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</si>
  <si>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</si>
  <si>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</si>
  <si>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</si>
  <si>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</si>
  <si>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</si>
  <si>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</si>
  <si>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</si>
  <si>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</si>
  <si>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</si>
  <si>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</si>
  <si>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12,09,</t>
  </si>
  <si>
    <t>13,09,</t>
  </si>
  <si>
    <t>10,09,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</si>
  <si>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</si>
  <si>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</si>
  <si>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</si>
  <si>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</si>
  <si>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</si>
  <si>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</si>
  <si>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</si>
  <si>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</si>
  <si>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</si>
  <si>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</si>
  <si>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</si>
  <si>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</si>
  <si>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</si>
  <si>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</si>
  <si>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</si>
  <si>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</si>
  <si>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</si>
  <si>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</si>
  <si>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</si>
  <si>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</si>
  <si>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</si>
  <si>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</si>
  <si>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</si>
  <si>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</si>
  <si>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</si>
  <si>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</si>
  <si>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</si>
  <si>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</si>
  <si>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</si>
  <si>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</si>
  <si>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</si>
  <si>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</si>
  <si>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</si>
  <si>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</si>
  <si>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</si>
  <si>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</si>
  <si>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</si>
  <si>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</si>
  <si>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</si>
  <si>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</si>
  <si>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</si>
  <si>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</si>
  <si>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</si>
  <si>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</si>
  <si>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</si>
  <si>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</si>
  <si>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</si>
  <si>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</si>
  <si>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</si>
  <si>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</si>
  <si>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</si>
  <si>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</si>
  <si>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</si>
  <si>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</si>
  <si>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</si>
  <si>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</si>
  <si>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</si>
  <si>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</si>
  <si>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</si>
  <si>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</si>
  <si>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</si>
  <si>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</si>
  <si>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</si>
  <si>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</si>
  <si>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</si>
  <si>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</si>
  <si>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</si>
  <si>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</si>
  <si>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</si>
  <si>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</si>
  <si>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</si>
  <si>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</si>
  <si>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</si>
  <si>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</si>
  <si>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</si>
  <si>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</si>
  <si>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</si>
  <si>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</si>
  <si>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</si>
  <si>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</si>
  <si>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</si>
  <si>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</si>
  <si>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</si>
  <si>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</si>
  <si>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</si>
  <si>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</si>
  <si>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</si>
  <si>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</si>
  <si>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</si>
  <si>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</si>
  <si>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</si>
  <si>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</si>
  <si>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</si>
  <si>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</si>
  <si>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</si>
  <si>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</si>
  <si>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</si>
  <si>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</si>
  <si>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</si>
  <si>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</si>
  <si>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</si>
  <si>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</si>
  <si>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</si>
  <si>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</si>
  <si>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</si>
  <si>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</si>
  <si>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</si>
  <si>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</si>
  <si>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</si>
  <si>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</si>
  <si>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</si>
  <si>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</si>
  <si>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</si>
  <si>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</si>
  <si>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</si>
  <si>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</si>
  <si>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</si>
  <si>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</si>
  <si>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</si>
  <si>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</si>
  <si>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</si>
  <si>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</si>
  <si>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</si>
  <si>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</si>
  <si>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</si>
  <si>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</si>
  <si>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</si>
  <si>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</si>
  <si>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</si>
  <si>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</si>
  <si>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</si>
  <si>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</si>
  <si>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</si>
  <si>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</si>
  <si>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</si>
  <si>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</si>
  <si>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</si>
  <si>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</si>
  <si>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</si>
  <si>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</si>
  <si>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</si>
  <si>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</si>
  <si>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</si>
  <si>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</si>
  <si>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</si>
  <si>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</si>
  <si>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</si>
  <si>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</si>
  <si>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</si>
  <si>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ТК</t>
  </si>
  <si>
    <t>ТК ком</t>
  </si>
  <si>
    <t>ПРОМ сентябрь</t>
  </si>
  <si>
    <t>итого</t>
  </si>
  <si>
    <t>заказ</t>
  </si>
  <si>
    <t>14,09,</t>
  </si>
  <si>
    <t>15,09,</t>
  </si>
  <si>
    <t>%</t>
  </si>
  <si>
    <t>12,09,доз</t>
  </si>
  <si>
    <t>13,09,доз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</si>
</sst>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0" fontId="0" fillId="0" borderId="1" xfId="0"/>
    <xf numFmtId="165" fontId="1" fillId="0" borderId="1" xfId="1" applyNumberFormat="1"/>
    <xf numFmtId="164" fontId="7" fillId="0" borderId="1" xfId="1" applyNumberFormat="1" applyFont="1"/>
    <xf numFmtId="164" fontId="7" fillId="3" borderId="1" xfId="1" applyNumberFormat="1" applyFont="1" applyFill="1"/>
    <xf numFmtId="164" fontId="7" fillId="6" borderId="1" xfId="1" applyNumberFormat="1" applyFont="1" applyFill="1"/>
    <xf numFmtId="0" fontId="6" fillId="0" borderId="1" xfId="0" applyFont="1"/>
    <xf numFmtId="0" fontId="6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0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08,09,</v>
          </cell>
          <cell r="P4" t="str">
            <v>08,09,недогр</v>
          </cell>
          <cell r="Q4" t="str">
            <v>08,09,доз</v>
          </cell>
          <cell r="R4" t="str">
            <v>12,09,</v>
          </cell>
          <cell r="S4" t="str">
            <v>13,09,</v>
          </cell>
          <cell r="T4" t="str">
            <v>10,09,</v>
          </cell>
        </row>
        <row r="5">
          <cell r="E5">
            <v>55195.521999999997</v>
          </cell>
          <cell r="F5">
            <v>35792.197999999982</v>
          </cell>
          <cell r="K5">
            <v>60630.967999999986</v>
          </cell>
          <cell r="L5">
            <v>-5435.445999999999</v>
          </cell>
          <cell r="M5">
            <v>0</v>
          </cell>
          <cell r="N5">
            <v>0</v>
          </cell>
          <cell r="O5">
            <v>23761.352725854009</v>
          </cell>
          <cell r="P5">
            <v>-1478.3</v>
          </cell>
          <cell r="Q5">
            <v>820</v>
          </cell>
          <cell r="R5">
            <v>23285.409631687598</v>
          </cell>
          <cell r="S5">
            <v>11780.500202458399</v>
          </cell>
          <cell r="T5">
            <v>11039.104400000004</v>
          </cell>
          <cell r="U5">
            <v>34135.164442999987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3051.3240000000001</v>
          </cell>
          <cell r="D6">
            <v>1514.027</v>
          </cell>
          <cell r="E6">
            <v>3148.8890000000001</v>
          </cell>
          <cell r="F6">
            <v>1150.0930000000001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3057.45</v>
          </cell>
          <cell r="L6">
            <v>91.439000000000306</v>
          </cell>
          <cell r="O6">
            <v>937.60390400000006</v>
          </cell>
          <cell r="R6">
            <v>1093.0069776</v>
          </cell>
          <cell r="S6">
            <v>728.67131840000002</v>
          </cell>
          <cell r="T6">
            <v>629.77780000000007</v>
          </cell>
          <cell r="U6">
            <v>3333.0695000000005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2260.2060000000001</v>
          </cell>
          <cell r="D7">
            <v>669.49699999999996</v>
          </cell>
          <cell r="E7">
            <v>1426.6510000000001</v>
          </cell>
          <cell r="F7">
            <v>1300.0630000000001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1364.8</v>
          </cell>
          <cell r="L7">
            <v>61.851000000000113</v>
          </cell>
          <cell r="O7">
            <v>605.67886400000009</v>
          </cell>
          <cell r="R7">
            <v>625.28024160000018</v>
          </cell>
          <cell r="S7">
            <v>416.8534944000001</v>
          </cell>
          <cell r="T7">
            <v>285.33019999999999</v>
          </cell>
          <cell r="U7">
            <v>333.42169999999942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1879.2750000000001</v>
          </cell>
          <cell r="D8">
            <v>965.05799999999999</v>
          </cell>
          <cell r="E8">
            <v>1466.9349999999999</v>
          </cell>
          <cell r="F8">
            <v>1201.374</v>
          </cell>
          <cell r="G8">
            <v>1</v>
          </cell>
          <cell r="H8">
            <v>45</v>
          </cell>
          <cell r="I8" t="str">
            <v>матрица</v>
          </cell>
          <cell r="K8">
            <v>1448.55</v>
          </cell>
          <cell r="L8">
            <v>18.384999999999991</v>
          </cell>
          <cell r="O8">
            <v>0</v>
          </cell>
          <cell r="R8">
            <v>636.11771999999996</v>
          </cell>
          <cell r="S8">
            <v>424.07848000000013</v>
          </cell>
          <cell r="T8">
            <v>293.387</v>
          </cell>
          <cell r="U8">
            <v>1112.3802999999996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R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668</v>
          </cell>
          <cell r="D10">
            <v>673</v>
          </cell>
          <cell r="E10">
            <v>787</v>
          </cell>
          <cell r="F10">
            <v>372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819</v>
          </cell>
          <cell r="L10">
            <v>-32</v>
          </cell>
          <cell r="O10">
            <v>660.75788000000011</v>
          </cell>
          <cell r="R10">
            <v>239.78527199999991</v>
          </cell>
          <cell r="S10">
            <v>159.85684800000001</v>
          </cell>
          <cell r="T10">
            <v>157.4</v>
          </cell>
          <cell r="U10">
            <v>377.70000000000005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1620.24</v>
          </cell>
          <cell r="D11">
            <v>1165</v>
          </cell>
          <cell r="E11">
            <v>1251</v>
          </cell>
          <cell r="F11">
            <v>1309.24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1270</v>
          </cell>
          <cell r="L11">
            <v>-19</v>
          </cell>
          <cell r="R11">
            <v>369.33599999999979</v>
          </cell>
          <cell r="S11">
            <v>246.2239999999999</v>
          </cell>
          <cell r="T11">
            <v>250.2</v>
          </cell>
          <cell r="U11">
            <v>577.2000000000005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67</v>
          </cell>
          <cell r="D12">
            <v>90</v>
          </cell>
          <cell r="E12">
            <v>107</v>
          </cell>
          <cell r="F12">
            <v>20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108</v>
          </cell>
          <cell r="L12">
            <v>-1</v>
          </cell>
          <cell r="O12">
            <v>15.19999999999999</v>
          </cell>
          <cell r="R12">
            <v>116.4</v>
          </cell>
          <cell r="T12">
            <v>21.4</v>
          </cell>
          <cell r="U12">
            <v>94.5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36</v>
          </cell>
          <cell r="D13">
            <v>30</v>
          </cell>
          <cell r="E13">
            <v>62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100</v>
          </cell>
          <cell r="L13">
            <v>-38</v>
          </cell>
          <cell r="O13">
            <v>30</v>
          </cell>
          <cell r="R13">
            <v>100</v>
          </cell>
          <cell r="T13">
            <v>12.4</v>
          </cell>
          <cell r="U13">
            <v>12.599999999999994</v>
          </cell>
          <cell r="V13">
            <v>150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232</v>
          </cell>
          <cell r="D14">
            <v>195</v>
          </cell>
          <cell r="E14">
            <v>272</v>
          </cell>
          <cell r="F14">
            <v>105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273</v>
          </cell>
          <cell r="L14">
            <v>-1</v>
          </cell>
          <cell r="O14">
            <v>401.25400000000002</v>
          </cell>
          <cell r="R14">
            <v>61.4</v>
          </cell>
          <cell r="T14">
            <v>54.4</v>
          </cell>
          <cell r="U14">
            <v>57.946000000000026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1669.3050000000001</v>
          </cell>
          <cell r="D15">
            <v>583.08299999999997</v>
          </cell>
          <cell r="E15">
            <v>1299.0530000000001</v>
          </cell>
          <cell r="F15">
            <v>785.11900000000003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1261.825</v>
          </cell>
          <cell r="L15">
            <v>37.228000000000065</v>
          </cell>
          <cell r="O15">
            <v>791.21729200000027</v>
          </cell>
          <cell r="R15">
            <v>474.84930800000012</v>
          </cell>
          <cell r="S15">
            <v>237.424654</v>
          </cell>
          <cell r="T15">
            <v>259.81060000000002</v>
          </cell>
          <cell r="U15">
            <v>699.21164599999986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6251.0069999999996</v>
          </cell>
          <cell r="D16">
            <v>2278.7159999999999</v>
          </cell>
          <cell r="E16">
            <v>4141.3919999999998</v>
          </cell>
          <cell r="F16">
            <v>3940.1930000000002</v>
          </cell>
          <cell r="G16">
            <v>1</v>
          </cell>
          <cell r="H16">
            <v>50</v>
          </cell>
          <cell r="I16" t="str">
            <v>матрица</v>
          </cell>
          <cell r="K16">
            <v>4148.8999999999996</v>
          </cell>
          <cell r="L16">
            <v>-7.5079999999998108</v>
          </cell>
          <cell r="O16">
            <v>1280</v>
          </cell>
          <cell r="R16">
            <v>896.4846</v>
          </cell>
          <cell r="S16">
            <v>597.65640000000008</v>
          </cell>
          <cell r="T16">
            <v>828.27839999999992</v>
          </cell>
          <cell r="U16">
            <v>2810.8675999999987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139.946</v>
          </cell>
          <cell r="D17">
            <v>31.77</v>
          </cell>
          <cell r="E17">
            <v>105.881</v>
          </cell>
          <cell r="F17">
            <v>57.957999999999998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102.98</v>
          </cell>
          <cell r="L17">
            <v>2.9009999999999962</v>
          </cell>
          <cell r="O17">
            <v>0</v>
          </cell>
          <cell r="R17">
            <v>111.2972</v>
          </cell>
          <cell r="T17">
            <v>21.176200000000001</v>
          </cell>
          <cell r="U17">
            <v>74.271100000000018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102.449</v>
          </cell>
          <cell r="D18">
            <v>47.664999999999999</v>
          </cell>
          <cell r="E18">
            <v>103.845</v>
          </cell>
          <cell r="F18">
            <v>40.061999999999998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107.51</v>
          </cell>
          <cell r="L18">
            <v>-3.6650000000000063</v>
          </cell>
          <cell r="O18">
            <v>35.550600000000003</v>
          </cell>
          <cell r="R18">
            <v>83.216399999999993</v>
          </cell>
          <cell r="T18">
            <v>20.768999999999998</v>
          </cell>
          <cell r="U18">
            <v>80.014499999999984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4.8019999999999996</v>
          </cell>
          <cell r="D19">
            <v>25.733000000000001</v>
          </cell>
          <cell r="E19">
            <v>8.9939999999999998</v>
          </cell>
          <cell r="F19">
            <v>21.163</v>
          </cell>
          <cell r="G19">
            <v>1</v>
          </cell>
          <cell r="H19">
            <v>180</v>
          </cell>
          <cell r="I19" t="str">
            <v>матрица</v>
          </cell>
          <cell r="K19">
            <v>9.7219999999999995</v>
          </cell>
          <cell r="L19">
            <v>-0.72799999999999976</v>
          </cell>
          <cell r="O19">
            <v>5.1730000000000009</v>
          </cell>
          <cell r="R19">
            <v>0</v>
          </cell>
          <cell r="T19">
            <v>1.7988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1348.8910000000001</v>
          </cell>
          <cell r="D20">
            <v>1173.944</v>
          </cell>
          <cell r="E20">
            <v>1497.741</v>
          </cell>
          <cell r="F20">
            <v>880.91399999999999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1449.7070000000001</v>
          </cell>
          <cell r="L20">
            <v>48.033999999999878</v>
          </cell>
          <cell r="O20">
            <v>1103.313657147</v>
          </cell>
          <cell r="R20">
            <v>536.81960571180025</v>
          </cell>
          <cell r="S20">
            <v>357.87973714120022</v>
          </cell>
          <cell r="T20">
            <v>299.54820000000001</v>
          </cell>
          <cell r="U20">
            <v>565.87729999999988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231.60400000000001</v>
          </cell>
          <cell r="D21">
            <v>107.182</v>
          </cell>
          <cell r="E21">
            <v>257.60899999999998</v>
          </cell>
          <cell r="F21">
            <v>42.103000000000002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251.19</v>
          </cell>
          <cell r="L21">
            <v>6.4189999999999827</v>
          </cell>
          <cell r="O21">
            <v>231.45755600000001</v>
          </cell>
          <cell r="R21">
            <v>199.70904400000001</v>
          </cell>
          <cell r="T21">
            <v>51.521799999999999</v>
          </cell>
          <cell r="U21">
            <v>119.23109999999991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314.35399999999998</v>
          </cell>
          <cell r="D22">
            <v>246.63499999999999</v>
          </cell>
          <cell r="E22">
            <v>538.17600000000004</v>
          </cell>
          <cell r="F22">
            <v>-42.396000000000001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521.98500000000001</v>
          </cell>
          <cell r="L22">
            <v>16.191000000000031</v>
          </cell>
          <cell r="O22">
            <v>400</v>
          </cell>
          <cell r="R22">
            <v>537.87300000000005</v>
          </cell>
          <cell r="S22">
            <v>268.93650000000002</v>
          </cell>
          <cell r="T22">
            <v>107.63520000000001</v>
          </cell>
          <cell r="U22">
            <v>73.391300000000044</v>
          </cell>
          <cell r="V22">
            <v>600</v>
          </cell>
          <cell r="W22" t="str">
            <v>промо жц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434.29199999999997</v>
          </cell>
          <cell r="D24">
            <v>691.55100000000004</v>
          </cell>
          <cell r="E24">
            <v>775.63</v>
          </cell>
          <cell r="F24">
            <v>241.482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752.70500000000004</v>
          </cell>
          <cell r="L24">
            <v>22.924999999999955</v>
          </cell>
          <cell r="O24">
            <v>777.03771400000005</v>
          </cell>
          <cell r="R24">
            <v>319.04428599999989</v>
          </cell>
          <cell r="S24">
            <v>159.522143</v>
          </cell>
          <cell r="T24">
            <v>155.126</v>
          </cell>
          <cell r="U24">
            <v>286.8628570000003</v>
          </cell>
          <cell r="V24">
            <v>500</v>
          </cell>
          <cell r="W24" t="str">
            <v>промо жц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73.81</v>
          </cell>
          <cell r="D25">
            <v>126.465</v>
          </cell>
          <cell r="E25">
            <v>101.706</v>
          </cell>
          <cell r="F25">
            <v>75.960999999999999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146.25</v>
          </cell>
          <cell r="L25">
            <v>-44.543999999999997</v>
          </cell>
          <cell r="O25">
            <v>50</v>
          </cell>
          <cell r="R25">
            <v>20</v>
          </cell>
          <cell r="T25">
            <v>20.341200000000001</v>
          </cell>
          <cell r="U25">
            <v>87.962800000000001</v>
          </cell>
          <cell r="V25">
            <v>120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28.45</v>
          </cell>
          <cell r="D26">
            <v>98.146000000000001</v>
          </cell>
          <cell r="E26">
            <v>68.914000000000001</v>
          </cell>
          <cell r="F26">
            <v>3.133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151</v>
          </cell>
          <cell r="L26">
            <v>-82.085999999999999</v>
          </cell>
          <cell r="O26">
            <v>200</v>
          </cell>
          <cell r="R26">
            <v>29.032999999999991</v>
          </cell>
          <cell r="S26">
            <v>14.51649999999999</v>
          </cell>
          <cell r="T26">
            <v>13.7828</v>
          </cell>
          <cell r="V26">
            <v>200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D27">
            <v>72.867000000000004</v>
          </cell>
          <cell r="E27">
            <v>33.521999999999998</v>
          </cell>
          <cell r="F27">
            <v>16.231000000000002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42.4</v>
          </cell>
          <cell r="L27">
            <v>-8.8780000000000001</v>
          </cell>
          <cell r="O27">
            <v>150</v>
          </cell>
          <cell r="R27">
            <v>100</v>
          </cell>
          <cell r="T27">
            <v>6.7043999999999997</v>
          </cell>
          <cell r="V27">
            <v>200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2292.9160000000002</v>
          </cell>
          <cell r="D28">
            <v>1061.029</v>
          </cell>
          <cell r="E28">
            <v>1542.9169999999999</v>
          </cell>
          <cell r="F28">
            <v>1471.9059999999999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1564.5</v>
          </cell>
          <cell r="L28">
            <v>-21.583000000000084</v>
          </cell>
          <cell r="O28">
            <v>0</v>
          </cell>
          <cell r="R28">
            <v>621.58879999999999</v>
          </cell>
          <cell r="S28">
            <v>310.7944</v>
          </cell>
          <cell r="T28">
            <v>308.58339999999998</v>
          </cell>
          <cell r="U28">
            <v>681.54480000000012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2608.4079999999999</v>
          </cell>
          <cell r="D29">
            <v>59.793999999999997</v>
          </cell>
          <cell r="E29">
            <v>2443.7510000000002</v>
          </cell>
          <cell r="F29">
            <v>9.2390000000000008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2315.4</v>
          </cell>
          <cell r="L29">
            <v>128.35100000000011</v>
          </cell>
          <cell r="O29">
            <v>600</v>
          </cell>
          <cell r="R29">
            <v>1200</v>
          </cell>
          <cell r="S29">
            <v>1000</v>
          </cell>
          <cell r="T29">
            <v>488.75020000000006</v>
          </cell>
          <cell r="U29">
            <v>1200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87.471000000000004</v>
          </cell>
          <cell r="D31">
            <v>278.93799999999999</v>
          </cell>
          <cell r="E31">
            <v>203.17500000000001</v>
          </cell>
          <cell r="F31">
            <v>106.848</v>
          </cell>
          <cell r="G31">
            <v>1</v>
          </cell>
          <cell r="H31">
            <v>30</v>
          </cell>
          <cell r="I31" t="str">
            <v>матрица</v>
          </cell>
          <cell r="K31">
            <v>234.3</v>
          </cell>
          <cell r="L31">
            <v>-31.125</v>
          </cell>
          <cell r="O31">
            <v>99.896800000000042</v>
          </cell>
          <cell r="R31">
            <v>154.0697999999999</v>
          </cell>
          <cell r="T31">
            <v>40.635000000000005</v>
          </cell>
          <cell r="U31">
            <v>106.4879000000001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1845</v>
          </cell>
          <cell r="D34">
            <v>3935</v>
          </cell>
          <cell r="E34">
            <v>3875</v>
          </cell>
          <cell r="F34">
            <v>1024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4787</v>
          </cell>
          <cell r="L34">
            <v>-912</v>
          </cell>
          <cell r="O34">
            <v>2500</v>
          </cell>
          <cell r="R34">
            <v>1800</v>
          </cell>
          <cell r="S34">
            <v>1500</v>
          </cell>
          <cell r="T34">
            <v>775</v>
          </cell>
          <cell r="U34">
            <v>1800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578</v>
          </cell>
          <cell r="D35">
            <v>390</v>
          </cell>
          <cell r="E35">
            <v>628</v>
          </cell>
          <cell r="F35">
            <v>184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631</v>
          </cell>
          <cell r="L35">
            <v>-3</v>
          </cell>
          <cell r="O35">
            <v>285.4140000000001</v>
          </cell>
          <cell r="R35">
            <v>256.38599999999991</v>
          </cell>
          <cell r="S35">
            <v>300</v>
          </cell>
          <cell r="T35">
            <v>125.6</v>
          </cell>
          <cell r="U35">
            <v>418.5999999999998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14</v>
          </cell>
          <cell r="D36">
            <v>812</v>
          </cell>
          <cell r="E36">
            <v>730</v>
          </cell>
          <cell r="F36">
            <v>7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1302</v>
          </cell>
          <cell r="L36">
            <v>-572</v>
          </cell>
          <cell r="O36">
            <v>400</v>
          </cell>
          <cell r="R36">
            <v>479</v>
          </cell>
          <cell r="S36">
            <v>239.5</v>
          </cell>
          <cell r="T36">
            <v>146</v>
          </cell>
          <cell r="U36">
            <v>553.5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18</v>
          </cell>
          <cell r="E37">
            <v>7</v>
          </cell>
          <cell r="F37">
            <v>7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31</v>
          </cell>
          <cell r="L37">
            <v>-24</v>
          </cell>
          <cell r="O37">
            <v>20</v>
          </cell>
          <cell r="P37">
            <v>-24</v>
          </cell>
          <cell r="R37">
            <v>20</v>
          </cell>
          <cell r="T37">
            <v>1.4</v>
          </cell>
          <cell r="U37">
            <v>20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262.74799999999999</v>
          </cell>
          <cell r="D38">
            <v>119.714</v>
          </cell>
          <cell r="E38">
            <v>191.387</v>
          </cell>
          <cell r="F38">
            <v>162.71600000000001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180.55</v>
          </cell>
          <cell r="L38">
            <v>10.836999999999989</v>
          </cell>
          <cell r="O38">
            <v>200</v>
          </cell>
          <cell r="R38">
            <v>38.60499999999999</v>
          </cell>
          <cell r="S38">
            <v>19.302499999999991</v>
          </cell>
          <cell r="T38">
            <v>38.2774</v>
          </cell>
          <cell r="U38">
            <v>19.566599999999994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508</v>
          </cell>
          <cell r="D39">
            <v>700</v>
          </cell>
          <cell r="E39">
            <v>399</v>
          </cell>
          <cell r="F39">
            <v>700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399</v>
          </cell>
          <cell r="L39">
            <v>0</v>
          </cell>
          <cell r="O39">
            <v>0</v>
          </cell>
          <cell r="R39">
            <v>0</v>
          </cell>
          <cell r="T39">
            <v>79.8</v>
          </cell>
          <cell r="U39">
            <v>217.69999999999993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D40">
            <v>74</v>
          </cell>
          <cell r="E40">
            <v>44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136</v>
          </cell>
          <cell r="L40">
            <v>-92</v>
          </cell>
          <cell r="O40">
            <v>70</v>
          </cell>
          <cell r="R40">
            <v>120</v>
          </cell>
          <cell r="T40">
            <v>8.8000000000000007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3.7999999999999999E-2</v>
          </cell>
          <cell r="D41">
            <v>57.654000000000003</v>
          </cell>
          <cell r="E41">
            <v>41.210999999999999</v>
          </cell>
          <cell r="F41">
            <v>0.68500000000000005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79.599999999999994</v>
          </cell>
          <cell r="L41">
            <v>-38.388999999999996</v>
          </cell>
          <cell r="O41">
            <v>20</v>
          </cell>
          <cell r="R41">
            <v>100</v>
          </cell>
          <cell r="T41">
            <v>8.2422000000000004</v>
          </cell>
          <cell r="U41">
            <v>20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137</v>
          </cell>
          <cell r="D42">
            <v>216</v>
          </cell>
          <cell r="E42">
            <v>342</v>
          </cell>
          <cell r="F42">
            <v>5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494</v>
          </cell>
          <cell r="L42">
            <v>-152</v>
          </cell>
          <cell r="O42">
            <v>100</v>
          </cell>
          <cell r="R42">
            <v>200</v>
          </cell>
          <cell r="S42">
            <v>100</v>
          </cell>
          <cell r="T42">
            <v>68.400000000000006</v>
          </cell>
          <cell r="U42">
            <v>250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63</v>
          </cell>
          <cell r="D43">
            <v>222</v>
          </cell>
          <cell r="E43">
            <v>271</v>
          </cell>
          <cell r="F43">
            <v>9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414</v>
          </cell>
          <cell r="L43">
            <v>-143</v>
          </cell>
          <cell r="O43">
            <v>200</v>
          </cell>
          <cell r="P43">
            <v>-204</v>
          </cell>
          <cell r="R43">
            <v>307</v>
          </cell>
          <cell r="S43">
            <v>153.5</v>
          </cell>
          <cell r="T43">
            <v>54.2</v>
          </cell>
          <cell r="U43">
            <v>100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10.305</v>
          </cell>
          <cell r="D44">
            <v>78.353999999999999</v>
          </cell>
          <cell r="E44">
            <v>78.453999999999994</v>
          </cell>
          <cell r="F44">
            <v>-5.0999999999999997E-2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225.05</v>
          </cell>
          <cell r="L44">
            <v>-146.596</v>
          </cell>
          <cell r="O44">
            <v>125.3218</v>
          </cell>
          <cell r="R44">
            <v>180</v>
          </cell>
          <cell r="T44">
            <v>15.690799999999999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253</v>
          </cell>
          <cell r="D45">
            <v>1094</v>
          </cell>
          <cell r="E45">
            <v>1318</v>
          </cell>
          <cell r="F45">
            <v>-3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1838</v>
          </cell>
          <cell r="L45">
            <v>-520</v>
          </cell>
          <cell r="O45">
            <v>500</v>
          </cell>
          <cell r="R45">
            <v>1000</v>
          </cell>
          <cell r="S45">
            <v>500</v>
          </cell>
          <cell r="T45">
            <v>263.60000000000002</v>
          </cell>
          <cell r="U45">
            <v>600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668</v>
          </cell>
          <cell r="D46">
            <v>531</v>
          </cell>
          <cell r="E46">
            <v>916</v>
          </cell>
          <cell r="F46">
            <v>111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941</v>
          </cell>
          <cell r="L46">
            <v>-25</v>
          </cell>
          <cell r="O46">
            <v>469.69800000000009</v>
          </cell>
          <cell r="R46">
            <v>600</v>
          </cell>
          <cell r="S46">
            <v>300</v>
          </cell>
          <cell r="T46">
            <v>183.2</v>
          </cell>
          <cell r="U46">
            <v>400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652.06700000000001</v>
          </cell>
          <cell r="D47">
            <v>335.32900000000001</v>
          </cell>
          <cell r="E47">
            <v>474.29199999999997</v>
          </cell>
          <cell r="F47">
            <v>436.70600000000002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463.05</v>
          </cell>
          <cell r="L47">
            <v>11.241999999999962</v>
          </cell>
          <cell r="O47">
            <v>0</v>
          </cell>
          <cell r="R47">
            <v>293.07679999999999</v>
          </cell>
          <cell r="T47">
            <v>94.858399999999989</v>
          </cell>
          <cell r="U47">
            <v>361.08879999999988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683.30499999999995</v>
          </cell>
          <cell r="D48">
            <v>454.05099999999999</v>
          </cell>
          <cell r="E48">
            <v>730.79899999999998</v>
          </cell>
          <cell r="F48">
            <v>301.99200000000002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716.35</v>
          </cell>
          <cell r="L48">
            <v>14.448999999999955</v>
          </cell>
          <cell r="O48">
            <v>267.32264824200001</v>
          </cell>
          <cell r="R48">
            <v>388.20309105479998</v>
          </cell>
          <cell r="S48">
            <v>258.80206070320003</v>
          </cell>
          <cell r="T48">
            <v>146.15979999999999</v>
          </cell>
          <cell r="U48">
            <v>464.51789999999954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20</v>
          </cell>
          <cell r="P49">
            <v>-27</v>
          </cell>
          <cell r="R49">
            <v>20</v>
          </cell>
          <cell r="T49">
            <v>0</v>
          </cell>
          <cell r="U49">
            <v>20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175</v>
          </cell>
          <cell r="D50">
            <v>300</v>
          </cell>
          <cell r="E50">
            <v>197</v>
          </cell>
          <cell r="F50">
            <v>259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207</v>
          </cell>
          <cell r="L50">
            <v>-10</v>
          </cell>
          <cell r="O50">
            <v>120</v>
          </cell>
          <cell r="R50">
            <v>44.6</v>
          </cell>
          <cell r="T50">
            <v>39.4</v>
          </cell>
          <cell r="U50">
            <v>29.499999999999943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495</v>
          </cell>
          <cell r="D51">
            <v>620</v>
          </cell>
          <cell r="E51">
            <v>599</v>
          </cell>
          <cell r="F51">
            <v>424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601</v>
          </cell>
          <cell r="L51">
            <v>-2</v>
          </cell>
          <cell r="O51">
            <v>402.61307099999982</v>
          </cell>
          <cell r="R51">
            <v>203.6321574000001</v>
          </cell>
          <cell r="S51">
            <v>135.75477160000011</v>
          </cell>
          <cell r="T51">
            <v>119.8</v>
          </cell>
          <cell r="U51">
            <v>211.70000000000005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E52">
            <v>-4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76</v>
          </cell>
          <cell r="L52">
            <v>-80</v>
          </cell>
          <cell r="O52">
            <v>50</v>
          </cell>
          <cell r="P52">
            <v>-54</v>
          </cell>
          <cell r="R52">
            <v>40</v>
          </cell>
          <cell r="T52">
            <v>-0.8</v>
          </cell>
          <cell r="U52">
            <v>50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56</v>
          </cell>
          <cell r="D53">
            <v>50</v>
          </cell>
          <cell r="E53">
            <v>83</v>
          </cell>
          <cell r="F53">
            <v>11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101</v>
          </cell>
          <cell r="L53">
            <v>-18</v>
          </cell>
          <cell r="O53">
            <v>60</v>
          </cell>
          <cell r="R53">
            <v>100</v>
          </cell>
          <cell r="S53">
            <v>50</v>
          </cell>
          <cell r="T53">
            <v>16.600000000000001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836.47799999999995</v>
          </cell>
          <cell r="D54">
            <v>637.91600000000005</v>
          </cell>
          <cell r="E54">
            <v>849.20699999999999</v>
          </cell>
          <cell r="F54">
            <v>512.38099999999997</v>
          </cell>
          <cell r="G54">
            <v>1</v>
          </cell>
          <cell r="H54">
            <v>50</v>
          </cell>
          <cell r="I54" t="str">
            <v>матрица</v>
          </cell>
          <cell r="K54">
            <v>835.75</v>
          </cell>
          <cell r="L54">
            <v>13.456999999999994</v>
          </cell>
          <cell r="O54">
            <v>308.76658400000002</v>
          </cell>
          <cell r="R54">
            <v>397.90908960000002</v>
          </cell>
          <cell r="S54">
            <v>265.27272640000001</v>
          </cell>
          <cell r="T54">
            <v>169.84139999999999</v>
          </cell>
          <cell r="U54">
            <v>468.84669999999994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252</v>
          </cell>
          <cell r="D55">
            <v>468</v>
          </cell>
          <cell r="E55">
            <v>332</v>
          </cell>
          <cell r="F55">
            <v>323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260</v>
          </cell>
          <cell r="L55">
            <v>72</v>
          </cell>
          <cell r="O55">
            <v>0</v>
          </cell>
          <cell r="R55">
            <v>91.4</v>
          </cell>
          <cell r="T55">
            <v>66.400000000000006</v>
          </cell>
          <cell r="U55">
            <v>349.20000000000005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1230.8030000000001</v>
          </cell>
          <cell r="D56">
            <v>258.16500000000002</v>
          </cell>
          <cell r="E56">
            <v>970.62199999999996</v>
          </cell>
          <cell r="F56">
            <v>401.56900000000002</v>
          </cell>
          <cell r="G56">
            <v>1</v>
          </cell>
          <cell r="H56">
            <v>50</v>
          </cell>
          <cell r="I56" t="str">
            <v>матрица</v>
          </cell>
          <cell r="K56">
            <v>956.7</v>
          </cell>
          <cell r="L56">
            <v>13.921999999999912</v>
          </cell>
          <cell r="O56">
            <v>333.92245400000002</v>
          </cell>
          <cell r="R56">
            <v>585.65048760000002</v>
          </cell>
          <cell r="S56">
            <v>390.43365840000001</v>
          </cell>
          <cell r="T56">
            <v>194.12439999999998</v>
          </cell>
          <cell r="U56">
            <v>520.85499999999956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166.39400000000001</v>
          </cell>
          <cell r="D57">
            <v>173.893</v>
          </cell>
          <cell r="E57">
            <v>83.272000000000006</v>
          </cell>
          <cell r="F57">
            <v>240.416</v>
          </cell>
          <cell r="G57">
            <v>1</v>
          </cell>
          <cell r="H57">
            <v>55</v>
          </cell>
          <cell r="I57" t="str">
            <v>матрица</v>
          </cell>
          <cell r="K57">
            <v>80.39</v>
          </cell>
          <cell r="L57">
            <v>2.882000000000005</v>
          </cell>
          <cell r="O57">
            <v>0</v>
          </cell>
          <cell r="R57">
            <v>0</v>
          </cell>
          <cell r="T57">
            <v>16.654400000000003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195</v>
          </cell>
          <cell r="D58">
            <v>340</v>
          </cell>
          <cell r="E58">
            <v>197</v>
          </cell>
          <cell r="F58">
            <v>304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197</v>
          </cell>
          <cell r="L58">
            <v>0</v>
          </cell>
          <cell r="O58">
            <v>0</v>
          </cell>
          <cell r="R58">
            <v>0</v>
          </cell>
          <cell r="T58">
            <v>39.4</v>
          </cell>
          <cell r="U58">
            <v>149.09999999999997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402</v>
          </cell>
          <cell r="D59">
            <v>410</v>
          </cell>
          <cell r="E59">
            <v>274</v>
          </cell>
          <cell r="F59">
            <v>498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278</v>
          </cell>
          <cell r="L59">
            <v>-4</v>
          </cell>
          <cell r="O59">
            <v>0</v>
          </cell>
          <cell r="R59">
            <v>0</v>
          </cell>
          <cell r="T59">
            <v>54.8</v>
          </cell>
          <cell r="U59">
            <v>132.19999999999993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464.471</v>
          </cell>
          <cell r="D60">
            <v>182.30199999999999</v>
          </cell>
          <cell r="E60">
            <v>586.20399999999995</v>
          </cell>
          <cell r="F60">
            <v>29.193000000000001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610.80399999999997</v>
          </cell>
          <cell r="L60">
            <v>-24.600000000000023</v>
          </cell>
          <cell r="O60">
            <v>0</v>
          </cell>
          <cell r="R60">
            <v>500</v>
          </cell>
          <cell r="S60">
            <v>250</v>
          </cell>
          <cell r="T60">
            <v>117.24079999999999</v>
          </cell>
          <cell r="U60">
            <v>400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349.71899999999999</v>
          </cell>
          <cell r="E61">
            <v>344.72899999999998</v>
          </cell>
          <cell r="F61">
            <v>-2.5099999999999998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405.05</v>
          </cell>
          <cell r="L61">
            <v>-60.321000000000026</v>
          </cell>
          <cell r="O61">
            <v>619.41429799999992</v>
          </cell>
          <cell r="R61">
            <v>197.26670200000001</v>
          </cell>
          <cell r="S61">
            <v>98.633351000000019</v>
          </cell>
          <cell r="T61">
            <v>68.945799999999991</v>
          </cell>
          <cell r="U61">
            <v>100</v>
          </cell>
          <cell r="V61">
            <v>300</v>
          </cell>
          <cell r="W61" t="str">
            <v>промо жц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2345</v>
          </cell>
          <cell r="D62">
            <v>358</v>
          </cell>
          <cell r="E62">
            <v>1371</v>
          </cell>
          <cell r="F62">
            <v>1122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1403</v>
          </cell>
          <cell r="L62">
            <v>-32</v>
          </cell>
          <cell r="O62">
            <v>546.75599999999997</v>
          </cell>
          <cell r="R62">
            <v>363.24400000000009</v>
          </cell>
          <cell r="S62">
            <v>181.6220000000001</v>
          </cell>
          <cell r="T62">
            <v>274.2</v>
          </cell>
          <cell r="U62">
            <v>650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-3</v>
          </cell>
          <cell r="D63">
            <v>650</v>
          </cell>
          <cell r="E63">
            <v>368</v>
          </cell>
          <cell r="F63">
            <v>126</v>
          </cell>
          <cell r="G63">
            <v>0.4</v>
          </cell>
          <cell r="H63">
            <v>40</v>
          </cell>
          <cell r="I63" t="str">
            <v>матрица</v>
          </cell>
          <cell r="K63">
            <v>390</v>
          </cell>
          <cell r="L63">
            <v>-22</v>
          </cell>
          <cell r="O63">
            <v>250</v>
          </cell>
          <cell r="R63">
            <v>0</v>
          </cell>
          <cell r="T63">
            <v>73.599999999999994</v>
          </cell>
          <cell r="U63">
            <v>396.79999999999995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D64">
            <v>141.56</v>
          </cell>
          <cell r="E64">
            <v>136.529</v>
          </cell>
          <cell r="F64">
            <v>-0.42699999999999999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201.875</v>
          </cell>
          <cell r="L64">
            <v>-65.346000000000004</v>
          </cell>
          <cell r="O64">
            <v>200</v>
          </cell>
          <cell r="R64">
            <v>100</v>
          </cell>
          <cell r="T64">
            <v>27.305799999999998</v>
          </cell>
          <cell r="U64">
            <v>50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E65">
            <v>-3.6339999999999999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49.7</v>
          </cell>
          <cell r="L65">
            <v>-53.334000000000003</v>
          </cell>
          <cell r="O65">
            <v>140</v>
          </cell>
          <cell r="P65">
            <v>-140.4</v>
          </cell>
          <cell r="R65">
            <v>100</v>
          </cell>
          <cell r="T65">
            <v>-0.7268</v>
          </cell>
          <cell r="U65">
            <v>150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E66">
            <v>-13.106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16.5</v>
          </cell>
          <cell r="L66">
            <v>-29.606000000000002</v>
          </cell>
          <cell r="O66">
            <v>300</v>
          </cell>
          <cell r="P66">
            <v>-302.39999999999998</v>
          </cell>
          <cell r="R66">
            <v>200</v>
          </cell>
          <cell r="T66">
            <v>-2.6212</v>
          </cell>
          <cell r="U66">
            <v>300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62.988</v>
          </cell>
          <cell r="D67">
            <v>142.10300000000001</v>
          </cell>
          <cell r="E67">
            <v>202.32400000000001</v>
          </cell>
          <cell r="F67">
            <v>-0.86199999999999999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286</v>
          </cell>
          <cell r="L67">
            <v>-83.675999999999988</v>
          </cell>
          <cell r="O67">
            <v>80</v>
          </cell>
          <cell r="R67">
            <v>150</v>
          </cell>
          <cell r="S67">
            <v>75</v>
          </cell>
          <cell r="T67">
            <v>40.464800000000004</v>
          </cell>
          <cell r="U67">
            <v>150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13</v>
          </cell>
          <cell r="D68">
            <v>16</v>
          </cell>
          <cell r="F68">
            <v>29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11</v>
          </cell>
          <cell r="L68">
            <v>-11</v>
          </cell>
          <cell r="O68">
            <v>0</v>
          </cell>
          <cell r="R68">
            <v>0</v>
          </cell>
          <cell r="T68">
            <v>0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380.95800000000003</v>
          </cell>
          <cell r="D69">
            <v>161.24799999999999</v>
          </cell>
          <cell r="E69">
            <v>194.51300000000001</v>
          </cell>
          <cell r="F69">
            <v>252.33099999999999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256.16500000000002</v>
          </cell>
          <cell r="L69">
            <v>-61.652000000000015</v>
          </cell>
          <cell r="O69">
            <v>0</v>
          </cell>
          <cell r="R69">
            <v>27.009800000000041</v>
          </cell>
          <cell r="S69">
            <v>13.504900000000021</v>
          </cell>
          <cell r="T69">
            <v>38.9026</v>
          </cell>
          <cell r="U69">
            <v>96.18029999999996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159</v>
          </cell>
          <cell r="D70">
            <v>96</v>
          </cell>
          <cell r="E70">
            <v>131</v>
          </cell>
          <cell r="F70">
            <v>114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131</v>
          </cell>
          <cell r="L70">
            <v>0</v>
          </cell>
          <cell r="O70">
            <v>42</v>
          </cell>
          <cell r="R70">
            <v>86.8</v>
          </cell>
          <cell r="T70">
            <v>26.2</v>
          </cell>
          <cell r="U70">
            <v>58.5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6</v>
          </cell>
          <cell r="D71">
            <v>32</v>
          </cell>
          <cell r="E71">
            <v>32</v>
          </cell>
          <cell r="F71">
            <v>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43</v>
          </cell>
          <cell r="L71">
            <v>-11</v>
          </cell>
          <cell r="O71">
            <v>61.8</v>
          </cell>
          <cell r="R71">
            <v>18.8</v>
          </cell>
          <cell r="T71">
            <v>6.4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121</v>
          </cell>
          <cell r="D72">
            <v>121</v>
          </cell>
          <cell r="E72">
            <v>184</v>
          </cell>
          <cell r="F72">
            <v>40</v>
          </cell>
          <cell r="G72">
            <v>0.4</v>
          </cell>
          <cell r="H72">
            <v>90</v>
          </cell>
          <cell r="I72" t="str">
            <v>матрица</v>
          </cell>
          <cell r="K72">
            <v>185</v>
          </cell>
          <cell r="L72">
            <v>-1</v>
          </cell>
          <cell r="O72">
            <v>206.398</v>
          </cell>
          <cell r="R72">
            <v>114.202</v>
          </cell>
          <cell r="T72">
            <v>36.799999999999997</v>
          </cell>
          <cell r="U72">
            <v>62.599999999999994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24</v>
          </cell>
          <cell r="D73">
            <v>200</v>
          </cell>
          <cell r="E73">
            <v>120</v>
          </cell>
          <cell r="F73">
            <v>81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155</v>
          </cell>
          <cell r="L73">
            <v>-35</v>
          </cell>
          <cell r="O73">
            <v>313.37400000000002</v>
          </cell>
          <cell r="R73">
            <v>0</v>
          </cell>
          <cell r="S73">
            <v>0</v>
          </cell>
          <cell r="T73">
            <v>24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188</v>
          </cell>
          <cell r="E74">
            <v>116</v>
          </cell>
          <cell r="F74">
            <v>54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121</v>
          </cell>
          <cell r="L74">
            <v>-5</v>
          </cell>
          <cell r="O74">
            <v>0</v>
          </cell>
          <cell r="R74">
            <v>65</v>
          </cell>
          <cell r="T74">
            <v>23.2</v>
          </cell>
          <cell r="U74">
            <v>124.6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621</v>
          </cell>
          <cell r="D75">
            <v>580</v>
          </cell>
          <cell r="E75">
            <v>506</v>
          </cell>
          <cell r="F75">
            <v>564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513</v>
          </cell>
          <cell r="L75">
            <v>-7</v>
          </cell>
          <cell r="O75">
            <v>230.36199999999999</v>
          </cell>
          <cell r="R75">
            <v>0</v>
          </cell>
          <cell r="T75">
            <v>101.2</v>
          </cell>
          <cell r="U75">
            <v>369.43799999999999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191</v>
          </cell>
          <cell r="D76">
            <v>88</v>
          </cell>
          <cell r="E76">
            <v>151</v>
          </cell>
          <cell r="F76">
            <v>73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151</v>
          </cell>
          <cell r="L76">
            <v>0</v>
          </cell>
          <cell r="O76">
            <v>55.399999999999977</v>
          </cell>
          <cell r="R76">
            <v>98.40000000000002</v>
          </cell>
          <cell r="T76">
            <v>30.2</v>
          </cell>
          <cell r="U76">
            <v>120.5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59</v>
          </cell>
          <cell r="D77">
            <v>1</v>
          </cell>
          <cell r="E77">
            <v>41</v>
          </cell>
          <cell r="F77">
            <v>16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52</v>
          </cell>
          <cell r="L77">
            <v>-11</v>
          </cell>
          <cell r="O77">
            <v>74</v>
          </cell>
          <cell r="R77">
            <v>22.4</v>
          </cell>
          <cell r="T77">
            <v>8.1999999999999993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276</v>
          </cell>
          <cell r="D78">
            <v>402</v>
          </cell>
          <cell r="E78">
            <v>278</v>
          </cell>
          <cell r="F78">
            <v>363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281</v>
          </cell>
          <cell r="L78">
            <v>-3</v>
          </cell>
          <cell r="O78">
            <v>155.65</v>
          </cell>
          <cell r="R78">
            <v>60.4</v>
          </cell>
          <cell r="T78">
            <v>55.6</v>
          </cell>
          <cell r="U78">
            <v>60.350000000000023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E79">
            <v>-2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167</v>
          </cell>
          <cell r="L79">
            <v>-169</v>
          </cell>
          <cell r="O79">
            <v>50</v>
          </cell>
          <cell r="P79">
            <v>-54</v>
          </cell>
          <cell r="R79">
            <v>50</v>
          </cell>
          <cell r="T79">
            <v>-0.4</v>
          </cell>
          <cell r="U79">
            <v>50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131</v>
          </cell>
          <cell r="E80">
            <v>132</v>
          </cell>
          <cell r="F80">
            <v>-2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285</v>
          </cell>
          <cell r="L80">
            <v>-153</v>
          </cell>
          <cell r="O80">
            <v>80</v>
          </cell>
          <cell r="P80">
            <v>-84</v>
          </cell>
          <cell r="R80">
            <v>150</v>
          </cell>
          <cell r="S80">
            <v>75</v>
          </cell>
          <cell r="T80">
            <v>26.4</v>
          </cell>
          <cell r="U80">
            <v>80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84</v>
          </cell>
          <cell r="D81">
            <v>300</v>
          </cell>
          <cell r="E81">
            <v>180</v>
          </cell>
          <cell r="F81">
            <v>204</v>
          </cell>
          <cell r="G81">
            <v>0.4</v>
          </cell>
          <cell r="H81">
            <v>55</v>
          </cell>
          <cell r="I81" t="str">
            <v>матрица</v>
          </cell>
          <cell r="K81">
            <v>246</v>
          </cell>
          <cell r="L81">
            <v>-66</v>
          </cell>
          <cell r="O81">
            <v>91.126000000000005</v>
          </cell>
          <cell r="R81">
            <v>103.074</v>
          </cell>
          <cell r="T81">
            <v>36</v>
          </cell>
          <cell r="U81">
            <v>15.799999999999983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38.563000000000002</v>
          </cell>
          <cell r="D82">
            <v>15.685</v>
          </cell>
          <cell r="E82">
            <v>15.125999999999999</v>
          </cell>
          <cell r="F82">
            <v>32.957000000000001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18.2</v>
          </cell>
          <cell r="L82">
            <v>-3.0739999999999998</v>
          </cell>
          <cell r="O82">
            <v>0</v>
          </cell>
          <cell r="R82">
            <v>0</v>
          </cell>
          <cell r="T82">
            <v>3.0251999999999999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288.78199999999998</v>
          </cell>
          <cell r="D83">
            <v>196.96700000000001</v>
          </cell>
          <cell r="E83">
            <v>137.84</v>
          </cell>
          <cell r="F83">
            <v>304.65499999999997</v>
          </cell>
          <cell r="G83">
            <v>1</v>
          </cell>
          <cell r="H83">
            <v>55</v>
          </cell>
          <cell r="I83" t="str">
            <v>матрица</v>
          </cell>
          <cell r="K83">
            <v>132.9</v>
          </cell>
          <cell r="L83">
            <v>4.9399999999999977</v>
          </cell>
          <cell r="O83">
            <v>109.533452</v>
          </cell>
          <cell r="R83">
            <v>0</v>
          </cell>
          <cell r="T83">
            <v>27.568000000000001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1071.5530000000001</v>
          </cell>
          <cell r="D84">
            <v>532.88400000000001</v>
          </cell>
          <cell r="E84">
            <v>844.42600000000004</v>
          </cell>
          <cell r="F84">
            <v>640.48400000000004</v>
          </cell>
          <cell r="G84">
            <v>1</v>
          </cell>
          <cell r="H84">
            <v>60</v>
          </cell>
          <cell r="I84" t="str">
            <v>матрица</v>
          </cell>
          <cell r="K84">
            <v>845.74</v>
          </cell>
          <cell r="L84">
            <v>-1.3139999999999645</v>
          </cell>
          <cell r="O84">
            <v>436.08160029199962</v>
          </cell>
          <cell r="R84">
            <v>282.6797998248</v>
          </cell>
          <cell r="S84">
            <v>188.4531998832</v>
          </cell>
          <cell r="T84">
            <v>168.8852</v>
          </cell>
          <cell r="U84">
            <v>394.48120000000029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  <cell r="T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3737.5929999999998</v>
          </cell>
          <cell r="D86">
            <v>1537.069</v>
          </cell>
          <cell r="E86">
            <v>2704.0320000000002</v>
          </cell>
          <cell r="F86">
            <v>2271.442</v>
          </cell>
          <cell r="G86">
            <v>1</v>
          </cell>
          <cell r="H86">
            <v>60</v>
          </cell>
          <cell r="I86" t="str">
            <v>матрица</v>
          </cell>
          <cell r="K86">
            <v>2722.9</v>
          </cell>
          <cell r="L86">
            <v>-18.867999999999938</v>
          </cell>
          <cell r="O86">
            <v>700</v>
          </cell>
          <cell r="Q86">
            <v>210</v>
          </cell>
          <cell r="R86">
            <v>419.67102000000028</v>
          </cell>
          <cell r="S86">
            <v>279.78068000000019</v>
          </cell>
          <cell r="T86">
            <v>540.80640000000005</v>
          </cell>
          <cell r="U86">
            <v>2338.3798999999999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3989.317</v>
          </cell>
          <cell r="D87">
            <v>901.726</v>
          </cell>
          <cell r="E87">
            <v>2422.674</v>
          </cell>
          <cell r="F87">
            <v>2220.37</v>
          </cell>
          <cell r="G87">
            <v>1</v>
          </cell>
          <cell r="H87">
            <v>60</v>
          </cell>
          <cell r="I87" t="str">
            <v>матрица</v>
          </cell>
          <cell r="K87">
            <v>2450.4</v>
          </cell>
          <cell r="L87">
            <v>-27.726000000000113</v>
          </cell>
          <cell r="O87">
            <v>0</v>
          </cell>
          <cell r="Q87">
            <v>210</v>
          </cell>
          <cell r="R87">
            <v>694.91100000000029</v>
          </cell>
          <cell r="S87">
            <v>463.27400000000023</v>
          </cell>
          <cell r="T87">
            <v>484.53480000000002</v>
          </cell>
          <cell r="U87">
            <v>1983.5951999999997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5564.7780000000002</v>
          </cell>
          <cell r="D88">
            <v>1238.8130000000001</v>
          </cell>
          <cell r="E88">
            <v>2992.1280000000002</v>
          </cell>
          <cell r="F88">
            <v>3446.5709999999999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3004</v>
          </cell>
          <cell r="L88">
            <v>-11.871999999999844</v>
          </cell>
          <cell r="O88">
            <v>0</v>
          </cell>
          <cell r="Q88">
            <v>400</v>
          </cell>
          <cell r="R88">
            <v>428.54754000000003</v>
          </cell>
          <cell r="S88">
            <v>285.69835999999998</v>
          </cell>
          <cell r="T88">
            <v>598.42560000000003</v>
          </cell>
          <cell r="U88">
            <v>2321.0774999999994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69.144999999999996</v>
          </cell>
          <cell r="E89">
            <v>29.561</v>
          </cell>
          <cell r="F89">
            <v>39.584000000000003</v>
          </cell>
          <cell r="G89">
            <v>1</v>
          </cell>
          <cell r="H89">
            <v>55</v>
          </cell>
          <cell r="I89" t="str">
            <v>матрица</v>
          </cell>
          <cell r="K89">
            <v>34.6</v>
          </cell>
          <cell r="L89">
            <v>-5.0390000000000015</v>
          </cell>
          <cell r="O89">
            <v>0</v>
          </cell>
          <cell r="R89">
            <v>37.316999999999993</v>
          </cell>
          <cell r="T89">
            <v>5.9122000000000003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-16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3</v>
          </cell>
          <cell r="L90">
            <v>-19</v>
          </cell>
          <cell r="O90">
            <v>70</v>
          </cell>
          <cell r="P90">
            <v>-72.000000000000014</v>
          </cell>
          <cell r="R90">
            <v>70</v>
          </cell>
          <cell r="T90">
            <v>-3.2</v>
          </cell>
          <cell r="U90">
            <v>40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318</v>
          </cell>
          <cell r="D91">
            <v>174</v>
          </cell>
          <cell r="E91">
            <v>291</v>
          </cell>
          <cell r="F91">
            <v>191</v>
          </cell>
          <cell r="G91">
            <v>0.3</v>
          </cell>
          <cell r="H91">
            <v>40</v>
          </cell>
          <cell r="I91" t="str">
            <v>матрица</v>
          </cell>
          <cell r="K91">
            <v>299</v>
          </cell>
          <cell r="L91">
            <v>-8</v>
          </cell>
          <cell r="O91">
            <v>0</v>
          </cell>
          <cell r="R91">
            <v>192.11999999999989</v>
          </cell>
          <cell r="S91">
            <v>128.08000000000001</v>
          </cell>
          <cell r="T91">
            <v>58.2</v>
          </cell>
          <cell r="U91">
            <v>158.10000000000014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K92">
            <v>3</v>
          </cell>
          <cell r="L92">
            <v>-3</v>
          </cell>
          <cell r="O92">
            <v>0</v>
          </cell>
          <cell r="R92">
            <v>0</v>
          </cell>
          <cell r="T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55</v>
          </cell>
          <cell r="D93">
            <v>180</v>
          </cell>
          <cell r="E93">
            <v>128</v>
          </cell>
          <cell r="F93">
            <v>84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141</v>
          </cell>
          <cell r="L93">
            <v>-13</v>
          </cell>
          <cell r="O93">
            <v>150</v>
          </cell>
          <cell r="R93">
            <v>150</v>
          </cell>
          <cell r="T93">
            <v>25.6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251</v>
          </cell>
          <cell r="D94">
            <v>54</v>
          </cell>
          <cell r="E94">
            <v>166</v>
          </cell>
          <cell r="F94">
            <v>114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169</v>
          </cell>
          <cell r="L94">
            <v>-3</v>
          </cell>
          <cell r="O94">
            <v>62.419879999999857</v>
          </cell>
          <cell r="R94">
            <v>84.580120000000136</v>
          </cell>
          <cell r="S94">
            <v>42.290060000000068</v>
          </cell>
          <cell r="T94">
            <v>33.200000000000003</v>
          </cell>
          <cell r="U94">
            <v>78.509939999999915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76</v>
          </cell>
          <cell r="D95">
            <v>162</v>
          </cell>
          <cell r="E95">
            <v>169</v>
          </cell>
          <cell r="F95">
            <v>63</v>
          </cell>
          <cell r="G95">
            <v>0.3</v>
          </cell>
          <cell r="H95">
            <v>40</v>
          </cell>
          <cell r="I95" t="str">
            <v>матрица</v>
          </cell>
          <cell r="K95">
            <v>270</v>
          </cell>
          <cell r="L95">
            <v>-101</v>
          </cell>
          <cell r="O95">
            <v>60</v>
          </cell>
          <cell r="R95">
            <v>210</v>
          </cell>
          <cell r="T95">
            <v>33.799999999999997</v>
          </cell>
          <cell r="U95">
            <v>55.699999999999989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98.998000000000005</v>
          </cell>
          <cell r="D96">
            <v>75.656000000000006</v>
          </cell>
          <cell r="E96">
            <v>92.436999999999998</v>
          </cell>
          <cell r="F96">
            <v>54.777000000000001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86.4</v>
          </cell>
          <cell r="L96">
            <v>6.0369999999999919</v>
          </cell>
          <cell r="O96">
            <v>16.216400000000011</v>
          </cell>
          <cell r="R96">
            <v>11.747600000000009</v>
          </cell>
          <cell r="T96">
            <v>18.487400000000001</v>
          </cell>
          <cell r="U96">
            <v>129.86410000000001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  <cell r="T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O98">
            <v>10</v>
          </cell>
          <cell r="P98">
            <v>-10</v>
          </cell>
          <cell r="R98">
            <v>20</v>
          </cell>
          <cell r="T98">
            <v>0</v>
          </cell>
          <cell r="U98">
            <v>10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276</v>
          </cell>
          <cell r="D99">
            <v>400</v>
          </cell>
          <cell r="E99">
            <v>293</v>
          </cell>
          <cell r="F99">
            <v>342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305</v>
          </cell>
          <cell r="L99">
            <v>-12</v>
          </cell>
          <cell r="O99">
            <v>135.84</v>
          </cell>
          <cell r="R99">
            <v>99.159999999999968</v>
          </cell>
          <cell r="T99">
            <v>58.6</v>
          </cell>
          <cell r="U99">
            <v>96.899999999999977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131</v>
          </cell>
          <cell r="D100">
            <v>396</v>
          </cell>
          <cell r="E100">
            <v>245</v>
          </cell>
          <cell r="F100">
            <v>242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257</v>
          </cell>
          <cell r="L100">
            <v>-12</v>
          </cell>
          <cell r="O100">
            <v>151.44800000000001</v>
          </cell>
          <cell r="R100">
            <v>69.152000000000015</v>
          </cell>
          <cell r="T100">
            <v>49</v>
          </cell>
          <cell r="U100">
            <v>100.89999999999998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33</v>
          </cell>
          <cell r="E101">
            <v>10</v>
          </cell>
          <cell r="F101">
            <v>2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10</v>
          </cell>
          <cell r="L101">
            <v>0</v>
          </cell>
          <cell r="O101">
            <v>0</v>
          </cell>
          <cell r="R101">
            <v>10</v>
          </cell>
          <cell r="T101">
            <v>2</v>
          </cell>
          <cell r="U101">
            <v>11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0.54500000000000004</v>
          </cell>
          <cell r="D102">
            <v>101.619</v>
          </cell>
          <cell r="E102">
            <v>96.495000000000005</v>
          </cell>
          <cell r="F102">
            <v>0.38900000000000001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237.07</v>
          </cell>
          <cell r="L102">
            <v>-140.57499999999999</v>
          </cell>
          <cell r="O102">
            <v>350</v>
          </cell>
          <cell r="R102">
            <v>100</v>
          </cell>
          <cell r="T102">
            <v>19.298999999999999</v>
          </cell>
          <cell r="U102">
            <v>100</v>
          </cell>
          <cell r="V102">
            <v>180</v>
          </cell>
          <cell r="W102" t="str">
            <v>промо жц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2.2759999999999998</v>
          </cell>
          <cell r="D103">
            <v>249.637</v>
          </cell>
          <cell r="E103">
            <v>249.358</v>
          </cell>
          <cell r="F103">
            <v>-1.042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442.1</v>
          </cell>
          <cell r="L103">
            <v>-192.74200000000002</v>
          </cell>
          <cell r="O103">
            <v>500</v>
          </cell>
          <cell r="R103">
            <v>200</v>
          </cell>
          <cell r="T103">
            <v>49.871600000000001</v>
          </cell>
          <cell r="U103">
            <v>100</v>
          </cell>
          <cell r="V103">
            <v>180</v>
          </cell>
          <cell r="W103" t="str">
            <v>промо жц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-11.433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99.3</v>
          </cell>
          <cell r="L104">
            <v>-110.733</v>
          </cell>
          <cell r="O104">
            <v>100</v>
          </cell>
          <cell r="P104">
            <v>-101.5</v>
          </cell>
          <cell r="R104">
            <v>150</v>
          </cell>
          <cell r="T104">
            <v>-2.2866</v>
          </cell>
          <cell r="U104">
            <v>150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R105">
            <v>0</v>
          </cell>
          <cell r="T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-1.373</v>
          </cell>
          <cell r="D106">
            <v>43.38</v>
          </cell>
          <cell r="E106">
            <v>4.12</v>
          </cell>
          <cell r="F106">
            <v>37.887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4</v>
          </cell>
          <cell r="L106">
            <v>0.12000000000000011</v>
          </cell>
          <cell r="O106">
            <v>0</v>
          </cell>
          <cell r="R106">
            <v>0</v>
          </cell>
          <cell r="T106">
            <v>0.82400000000000007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84</v>
          </cell>
          <cell r="D107">
            <v>2</v>
          </cell>
          <cell r="E107">
            <v>-14</v>
          </cell>
          <cell r="F107">
            <v>75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595</v>
          </cell>
          <cell r="L107">
            <v>-609</v>
          </cell>
          <cell r="O107">
            <v>654.83799999999997</v>
          </cell>
          <cell r="R107">
            <v>100</v>
          </cell>
          <cell r="T107">
            <v>-2.8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R108">
            <v>0</v>
          </cell>
          <cell r="T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81</v>
          </cell>
          <cell r="D109">
            <v>110</v>
          </cell>
          <cell r="E109">
            <v>93</v>
          </cell>
          <cell r="F109">
            <v>73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611</v>
          </cell>
          <cell r="L109">
            <v>-518</v>
          </cell>
          <cell r="O109">
            <v>150</v>
          </cell>
          <cell r="P109">
            <v>-150</v>
          </cell>
          <cell r="R109">
            <v>200</v>
          </cell>
          <cell r="T109">
            <v>18.600000000000001</v>
          </cell>
          <cell r="U109">
            <v>100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52</v>
          </cell>
          <cell r="D110">
            <v>122</v>
          </cell>
          <cell r="E110">
            <v>116</v>
          </cell>
          <cell r="F110">
            <v>30</v>
          </cell>
          <cell r="G110">
            <v>0.09</v>
          </cell>
          <cell r="I110" t="str">
            <v>матрица</v>
          </cell>
          <cell r="K110">
            <v>123</v>
          </cell>
          <cell r="L110">
            <v>-7</v>
          </cell>
          <cell r="O110">
            <v>0</v>
          </cell>
          <cell r="R110">
            <v>95.8</v>
          </cell>
          <cell r="T110">
            <v>23.2</v>
          </cell>
          <cell r="U110">
            <v>117.80000000000001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303.791</v>
          </cell>
          <cell r="D111">
            <v>305.63400000000001</v>
          </cell>
          <cell r="E111">
            <v>124.998</v>
          </cell>
          <cell r="F111">
            <v>473.43400000000003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125</v>
          </cell>
          <cell r="L111">
            <v>-1.9999999999953388E-3</v>
          </cell>
          <cell r="O111">
            <v>0</v>
          </cell>
          <cell r="R111">
            <v>0</v>
          </cell>
          <cell r="T111">
            <v>24.999600000000001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10</v>
          </cell>
          <cell r="L112">
            <v>-10</v>
          </cell>
          <cell r="O112">
            <v>0</v>
          </cell>
          <cell r="R112">
            <v>0</v>
          </cell>
          <cell r="T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</v>
          </cell>
          <cell r="D113">
            <v>123</v>
          </cell>
          <cell r="E113">
            <v>41</v>
          </cell>
          <cell r="F113">
            <v>65</v>
          </cell>
          <cell r="G113">
            <v>0.09</v>
          </cell>
          <cell r="I113" t="str">
            <v>матрица</v>
          </cell>
          <cell r="K113">
            <v>53</v>
          </cell>
          <cell r="L113">
            <v>-12</v>
          </cell>
          <cell r="O113">
            <v>0</v>
          </cell>
          <cell r="R113">
            <v>0</v>
          </cell>
          <cell r="T113">
            <v>8.1999999999999993</v>
          </cell>
          <cell r="U113">
            <v>29.299999999999997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R114">
            <v>0</v>
          </cell>
          <cell r="T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419.38200000000001</v>
          </cell>
          <cell r="D115">
            <v>263.18599999999998</v>
          </cell>
          <cell r="E115">
            <v>471.28899999999999</v>
          </cell>
          <cell r="F115">
            <v>157.04300000000001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462.2</v>
          </cell>
          <cell r="L115">
            <v>9.0889999999999986</v>
          </cell>
          <cell r="O115">
            <v>139.087142</v>
          </cell>
          <cell r="R115">
            <v>298.69599479999999</v>
          </cell>
          <cell r="S115">
            <v>199.13066319999999</v>
          </cell>
          <cell r="T115">
            <v>94.257800000000003</v>
          </cell>
          <cell r="U115">
            <v>290.00790000000006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656.63900000000001</v>
          </cell>
          <cell r="D116">
            <v>334.34199999999998</v>
          </cell>
          <cell r="E116">
            <v>590.04300000000001</v>
          </cell>
          <cell r="F116">
            <v>329.48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578.54999999999995</v>
          </cell>
          <cell r="L116">
            <v>11.493000000000052</v>
          </cell>
          <cell r="O116">
            <v>192.81356</v>
          </cell>
          <cell r="R116">
            <v>305.27378399999992</v>
          </cell>
          <cell r="S116">
            <v>203.51585600000001</v>
          </cell>
          <cell r="T116">
            <v>118.0086</v>
          </cell>
          <cell r="U116">
            <v>326.01569999999992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298.93</v>
          </cell>
          <cell r="D117">
            <v>73.825000000000003</v>
          </cell>
          <cell r="E117">
            <v>230.821</v>
          </cell>
          <cell r="F117">
            <v>88.909000000000006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222.45</v>
          </cell>
          <cell r="L117">
            <v>8.3710000000000093</v>
          </cell>
          <cell r="O117">
            <v>0</v>
          </cell>
          <cell r="R117">
            <v>198.8768</v>
          </cell>
          <cell r="T117">
            <v>46.164200000000001</v>
          </cell>
          <cell r="U117">
            <v>243.10249999999996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1867.1110000000001</v>
          </cell>
          <cell r="D118">
            <v>1172.779</v>
          </cell>
          <cell r="E118">
            <v>1676.508</v>
          </cell>
          <cell r="F118">
            <v>1126.222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1695.6</v>
          </cell>
          <cell r="L118">
            <v>-19.091999999999871</v>
          </cell>
          <cell r="O118">
            <v>894.71354917300005</v>
          </cell>
          <cell r="R118">
            <v>242.3054104962001</v>
          </cell>
          <cell r="S118">
            <v>161.53694033080009</v>
          </cell>
          <cell r="T118">
            <v>335.30160000000001</v>
          </cell>
          <cell r="U118">
            <v>1431.1904999999999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417</v>
          </cell>
          <cell r="E119">
            <v>59</v>
          </cell>
          <cell r="F119">
            <v>329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59</v>
          </cell>
          <cell r="L119">
            <v>0</v>
          </cell>
          <cell r="O119">
            <v>0</v>
          </cell>
          <cell r="R119">
            <v>0</v>
          </cell>
          <cell r="T119">
            <v>11.8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393</v>
          </cell>
          <cell r="D120">
            <v>50</v>
          </cell>
          <cell r="E120">
            <v>41</v>
          </cell>
          <cell r="F120">
            <v>385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41</v>
          </cell>
          <cell r="L120">
            <v>0</v>
          </cell>
          <cell r="O120">
            <v>0</v>
          </cell>
          <cell r="R120">
            <v>0</v>
          </cell>
          <cell r="T120">
            <v>8.1999999999999993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73</v>
          </cell>
          <cell r="E121">
            <v>62</v>
          </cell>
          <cell r="F121">
            <v>1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62</v>
          </cell>
          <cell r="L121">
            <v>0</v>
          </cell>
          <cell r="O121">
            <v>200</v>
          </cell>
          <cell r="R121">
            <v>0</v>
          </cell>
          <cell r="T121">
            <v>12.4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D122">
            <v>144</v>
          </cell>
          <cell r="E122">
            <v>130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219</v>
          </cell>
          <cell r="L122">
            <v>-89</v>
          </cell>
          <cell r="O122">
            <v>50</v>
          </cell>
          <cell r="P122">
            <v>-54</v>
          </cell>
          <cell r="R122">
            <v>100</v>
          </cell>
          <cell r="T122">
            <v>26</v>
          </cell>
          <cell r="U122">
            <v>100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E123">
            <v>-17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16</v>
          </cell>
          <cell r="L123">
            <v>-33</v>
          </cell>
          <cell r="O123">
            <v>50</v>
          </cell>
          <cell r="P123">
            <v>-54</v>
          </cell>
          <cell r="R123">
            <v>50</v>
          </cell>
          <cell r="T123">
            <v>-3.4</v>
          </cell>
          <cell r="U123">
            <v>40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423.00200000000001</v>
          </cell>
          <cell r="D124">
            <v>120.583</v>
          </cell>
          <cell r="E124">
            <v>274.51499999999999</v>
          </cell>
          <cell r="F124">
            <v>225.74600000000001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272.85000000000002</v>
          </cell>
          <cell r="L124">
            <v>1.6649999999999636</v>
          </cell>
          <cell r="O124">
            <v>114.88102000000001</v>
          </cell>
          <cell r="R124">
            <v>117.20117999999999</v>
          </cell>
          <cell r="T124">
            <v>54.902999999999999</v>
          </cell>
          <cell r="U124">
            <v>173.55629999999994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C125">
            <v>5</v>
          </cell>
          <cell r="E125">
            <v>-3</v>
          </cell>
          <cell r="F125">
            <v>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98</v>
          </cell>
          <cell r="L125">
            <v>-101</v>
          </cell>
          <cell r="O125">
            <v>100</v>
          </cell>
          <cell r="P125">
            <v>-102</v>
          </cell>
          <cell r="R125">
            <v>100</v>
          </cell>
          <cell r="T125">
            <v>-0.6</v>
          </cell>
          <cell r="U125">
            <v>100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38</v>
          </cell>
          <cell r="D126">
            <v>45</v>
          </cell>
          <cell r="E126">
            <v>58</v>
          </cell>
          <cell r="F126">
            <v>8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77</v>
          </cell>
          <cell r="L126">
            <v>-19</v>
          </cell>
          <cell r="O126">
            <v>40</v>
          </cell>
          <cell r="P126">
            <v>-45.000000000000007</v>
          </cell>
          <cell r="R126">
            <v>50</v>
          </cell>
          <cell r="T126">
            <v>11.6</v>
          </cell>
          <cell r="U126">
            <v>40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16</v>
          </cell>
          <cell r="D127">
            <v>130</v>
          </cell>
          <cell r="E127">
            <v>72</v>
          </cell>
          <cell r="F127">
            <v>40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81</v>
          </cell>
          <cell r="L127">
            <v>-9</v>
          </cell>
          <cell r="O127">
            <v>0</v>
          </cell>
          <cell r="R127">
            <v>0</v>
          </cell>
          <cell r="T127">
            <v>14.4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49</v>
          </cell>
          <cell r="D128">
            <v>1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K128">
            <v>3</v>
          </cell>
          <cell r="L128">
            <v>-3</v>
          </cell>
          <cell r="O128">
            <v>0</v>
          </cell>
          <cell r="R128">
            <v>0</v>
          </cell>
          <cell r="T128">
            <v>0</v>
          </cell>
        </row>
        <row r="129">
          <cell r="A129" t="str">
            <v xml:space="preserve"> 631  Колбаса Классическая стародворская ТМ Стародворье  ПОКОМ</v>
          </cell>
          <cell r="B129" t="str">
            <v>кг</v>
          </cell>
          <cell r="D129">
            <v>96.81</v>
          </cell>
          <cell r="F129">
            <v>96.81</v>
          </cell>
          <cell r="G129">
            <v>0</v>
          </cell>
          <cell r="I129" t="str">
            <v>не в матрице</v>
          </cell>
          <cell r="L129">
            <v>0</v>
          </cell>
          <cell r="R129">
            <v>0</v>
          </cell>
          <cell r="T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9"/>
  <sheetViews>
    <sheetView tabSelected="1" zoomScale="85" workbookViewId="0">
      <pane xSplit="2" ySplit="5" topLeftCell="C12" activePane="bottomRight" state="frozen"/>
      <selection pane="topRight"/>
      <selection pane="bottomLeft"/>
      <selection pane="bottomRight" activeCell="U17" sqref="U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3" customWidth="1"/>
    <col min="20" max="20" width="7" customWidth="1"/>
    <col min="21" max="21" width="7" style="24" customWidth="1"/>
    <col min="22" max="26" width="7" customWidth="1"/>
    <col min="27" max="27" width="7" style="18" customWidth="1"/>
    <col min="28" max="28" width="10.42578125" style="18" customWidth="1"/>
    <col min="29" max="30" width="5" customWidth="1"/>
    <col min="31" max="31" width="6.7109375" customWidth="1"/>
    <col min="32" max="35" width="6" customWidth="1"/>
    <col min="36" max="38" width="6.7109375" customWidth="1"/>
    <col min="39" max="39" width="6" customWidth="1"/>
    <col min="40" max="40" width="6.7109375" customWidth="1"/>
    <col min="41" max="41" width="9.42578125" customWidth="1"/>
    <col min="42" max="43" width="7" customWidth="1"/>
    <col min="44" max="56" width="3" customWidth="1"/>
  </cols>
  <sheetData>
    <row r="1" spans="1:5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0"/>
      <c r="T1" s="1"/>
      <c r="U1" s="20"/>
      <c r="V1" s="1"/>
      <c r="W1" s="1"/>
      <c r="X1" s="1"/>
      <c r="Y1" s="1"/>
      <c r="Z1" s="19">
        <v>0.61199999999999999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>
        <f>AP2-AP5</f>
        <v>2</v>
      </c>
      <c r="AQ1" s="1">
        <f>AQ2-AQ5</f>
        <v>35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0">
        <v>810</v>
      </c>
      <c r="T2" s="1"/>
      <c r="U2" s="20">
        <v>800</v>
      </c>
      <c r="V2" s="1"/>
      <c r="W2" s="1"/>
      <c r="X2" s="1"/>
      <c r="Y2" s="1"/>
      <c r="Z2" s="1" t="s">
        <v>184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>
        <v>17600</v>
      </c>
      <c r="AQ2" s="1">
        <v>17300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180</v>
      </c>
      <c r="Y3" s="3" t="s">
        <v>181</v>
      </c>
      <c r="Z3" s="3" t="s">
        <v>181</v>
      </c>
      <c r="AA3" s="3" t="s">
        <v>177</v>
      </c>
      <c r="AB3" s="3" t="s">
        <v>178</v>
      </c>
      <c r="AC3" s="2" t="s">
        <v>17</v>
      </c>
      <c r="AD3" s="2" t="s">
        <v>18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20</v>
      </c>
      <c r="AP3" s="2" t="s">
        <v>21</v>
      </c>
      <c r="AQ3" s="2" t="s">
        <v>21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20" t="s">
        <v>185</v>
      </c>
      <c r="T4" s="1" t="s">
        <v>26</v>
      </c>
      <c r="U4" s="20" t="s">
        <v>186</v>
      </c>
      <c r="V4" s="1" t="s">
        <v>27</v>
      </c>
      <c r="W4" s="1"/>
      <c r="X4" s="1"/>
      <c r="Y4" s="1" t="s">
        <v>182</v>
      </c>
      <c r="Z4" s="1" t="s">
        <v>183</v>
      </c>
      <c r="AA4" s="1"/>
      <c r="AB4" s="1"/>
      <c r="AC4" s="1"/>
      <c r="AD4" s="1"/>
      <c r="AE4" s="1" t="s">
        <v>22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 t="s">
        <v>35</v>
      </c>
      <c r="AN4" s="1" t="s">
        <v>36</v>
      </c>
      <c r="AO4" s="1"/>
      <c r="AP4" s="1" t="s">
        <v>182</v>
      </c>
      <c r="AQ4" s="1" t="s">
        <v>183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SUM(E6:E499)</f>
        <v>55195.521999999997</v>
      </c>
      <c r="F5" s="4">
        <f>SUM(F6:F499)</f>
        <v>35792.197999999982</v>
      </c>
      <c r="G5" s="7"/>
      <c r="H5" s="1"/>
      <c r="I5" s="1"/>
      <c r="J5" s="1"/>
      <c r="K5" s="4">
        <f t="shared" ref="K5:Y5" si="0">SUM(K6:K499)</f>
        <v>60630.967999999986</v>
      </c>
      <c r="L5" s="4">
        <f t="shared" si="0"/>
        <v>-5435.445999999999</v>
      </c>
      <c r="M5" s="4">
        <f t="shared" si="0"/>
        <v>0</v>
      </c>
      <c r="N5" s="4">
        <f t="shared" si="0"/>
        <v>0</v>
      </c>
      <c r="O5" s="4">
        <f t="shared" si="0"/>
        <v>23761.352725854009</v>
      </c>
      <c r="P5" s="4">
        <f t="shared" si="0"/>
        <v>-1478.3</v>
      </c>
      <c r="Q5" s="4">
        <f t="shared" si="0"/>
        <v>820</v>
      </c>
      <c r="R5" s="4">
        <f t="shared" si="0"/>
        <v>23285.409631687598</v>
      </c>
      <c r="S5" s="21">
        <f t="shared" ref="S5" si="1">SUM(S6:S499)</f>
        <v>800</v>
      </c>
      <c r="T5" s="4">
        <f t="shared" si="0"/>
        <v>11780.500202458399</v>
      </c>
      <c r="U5" s="21">
        <f t="shared" ref="U5" si="2">SUM(U6:U499)</f>
        <v>800</v>
      </c>
      <c r="V5" s="4">
        <f t="shared" si="0"/>
        <v>11039.104400000004</v>
      </c>
      <c r="W5" s="4">
        <f t="shared" si="0"/>
        <v>34135.164442999987</v>
      </c>
      <c r="X5" s="4">
        <f t="shared" si="0"/>
        <v>37957.901139999994</v>
      </c>
      <c r="Y5" s="4">
        <f t="shared" si="0"/>
        <v>22899.16469799999</v>
      </c>
      <c r="Z5" s="4">
        <f t="shared" ref="Z5" si="3">SUM(Z6:Z499)</f>
        <v>21352.736442000005</v>
      </c>
      <c r="AA5" s="4"/>
      <c r="AB5" s="4"/>
      <c r="AC5" s="1"/>
      <c r="AD5" s="1"/>
      <c r="AE5" s="4">
        <f t="shared" ref="AE5:AN5" si="4">SUM(AE6:AE499)</f>
        <v>10515.967599999998</v>
      </c>
      <c r="AF5" s="4">
        <f t="shared" si="4"/>
        <v>8445.7477999999992</v>
      </c>
      <c r="AG5" s="4">
        <f t="shared" si="4"/>
        <v>8097.024999999996</v>
      </c>
      <c r="AH5" s="4">
        <f t="shared" si="4"/>
        <v>9776.0199999999986</v>
      </c>
      <c r="AI5" s="4">
        <f t="shared" si="4"/>
        <v>9682.8813999999984</v>
      </c>
      <c r="AJ5" s="4">
        <f t="shared" si="4"/>
        <v>10297.278999999999</v>
      </c>
      <c r="AK5" s="4">
        <f t="shared" si="4"/>
        <v>10547.053800000002</v>
      </c>
      <c r="AL5" s="4">
        <f t="shared" si="4"/>
        <v>10038.947600000001</v>
      </c>
      <c r="AM5" s="4">
        <f t="shared" si="4"/>
        <v>9941.5824000000048</v>
      </c>
      <c r="AN5" s="4">
        <f t="shared" si="4"/>
        <v>10785.290400000002</v>
      </c>
      <c r="AO5" s="1"/>
      <c r="AP5" s="4">
        <f>SUM(AP6:AP499)</f>
        <v>17598</v>
      </c>
      <c r="AQ5" s="4">
        <f>SUM(AQ6:AQ499)</f>
        <v>17265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37</v>
      </c>
      <c r="B6" s="1" t="s">
        <v>38</v>
      </c>
      <c r="C6" s="1">
        <v>3051.3240000000001</v>
      </c>
      <c r="D6" s="1">
        <v>1514.027</v>
      </c>
      <c r="E6" s="1">
        <v>3148.8890000000001</v>
      </c>
      <c r="F6" s="1">
        <v>1150.0930000000001</v>
      </c>
      <c r="G6" s="7">
        <v>1</v>
      </c>
      <c r="H6" s="1">
        <v>50</v>
      </c>
      <c r="I6" s="1" t="s">
        <v>39</v>
      </c>
      <c r="J6" s="1"/>
      <c r="K6" s="1">
        <v>3057.45</v>
      </c>
      <c r="L6" s="1">
        <f t="shared" ref="L6:L37" si="5">E6-K6</f>
        <v>91.439000000000306</v>
      </c>
      <c r="M6" s="1"/>
      <c r="N6" s="1"/>
      <c r="O6" s="1">
        <v>937.60390400000006</v>
      </c>
      <c r="P6" s="1"/>
      <c r="Q6" s="1"/>
      <c r="R6" s="1">
        <v>1093.0069776</v>
      </c>
      <c r="S6" s="20"/>
      <c r="T6" s="1">
        <v>728.67131840000002</v>
      </c>
      <c r="U6" s="20"/>
      <c r="V6" s="1">
        <f t="shared" ref="V6:V37" si="6">E6/5</f>
        <v>629.77780000000007</v>
      </c>
      <c r="W6" s="5">
        <f>11.5*V6-T6-R6-Q6-P6-O6-F6</f>
        <v>3333.0695000000005</v>
      </c>
      <c r="X6" s="5">
        <f>W6</f>
        <v>3333.0695000000005</v>
      </c>
      <c r="Y6" s="5">
        <f>X6-Z6</f>
        <v>1293.2309660000003</v>
      </c>
      <c r="Z6" s="5">
        <f>X6*$Z$1</f>
        <v>2039.8385340000002</v>
      </c>
      <c r="AA6" s="1"/>
      <c r="AB6" s="1"/>
      <c r="AC6" s="1">
        <f>(F6+O6+P6+Q6+R6+T6+Y6+Z6)/V6</f>
        <v>11.5</v>
      </c>
      <c r="AD6" s="1">
        <f t="shared" ref="AD6:AD37" si="7">(F6+O6+P6+Q6+R6+T6)/V6</f>
        <v>6.2075468522389956</v>
      </c>
      <c r="AE6" s="1">
        <v>485.76420000000002</v>
      </c>
      <c r="AF6" s="1">
        <v>331.30880000000002</v>
      </c>
      <c r="AG6" s="1">
        <v>348.86619999999999</v>
      </c>
      <c r="AH6" s="1">
        <v>493.49700000000001</v>
      </c>
      <c r="AI6" s="1">
        <v>483.68119999999999</v>
      </c>
      <c r="AJ6" s="1">
        <v>546.85760000000005</v>
      </c>
      <c r="AK6" s="1">
        <v>558.16419999999994</v>
      </c>
      <c r="AL6" s="1">
        <v>472.44099999999997</v>
      </c>
      <c r="AM6" s="1">
        <v>450.1</v>
      </c>
      <c r="AN6" s="1">
        <v>477.90280000000001</v>
      </c>
      <c r="AO6" s="1"/>
      <c r="AP6" s="1">
        <f>ROUND(G6*Y6,0)</f>
        <v>1293</v>
      </c>
      <c r="AQ6" s="1">
        <f>ROUND(G6*Z6,0)</f>
        <v>2040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40</v>
      </c>
      <c r="B7" s="1" t="s">
        <v>38</v>
      </c>
      <c r="C7" s="1">
        <v>2260.2060000000001</v>
      </c>
      <c r="D7" s="1">
        <v>669.49699999999996</v>
      </c>
      <c r="E7" s="1">
        <v>1426.6510000000001</v>
      </c>
      <c r="F7" s="1">
        <v>1300.0630000000001</v>
      </c>
      <c r="G7" s="7">
        <v>1</v>
      </c>
      <c r="H7" s="1">
        <v>45</v>
      </c>
      <c r="I7" s="1" t="s">
        <v>39</v>
      </c>
      <c r="J7" s="1"/>
      <c r="K7" s="1">
        <v>1364.8</v>
      </c>
      <c r="L7" s="1">
        <f t="shared" si="5"/>
        <v>61.851000000000113</v>
      </c>
      <c r="M7" s="1"/>
      <c r="N7" s="1"/>
      <c r="O7" s="1">
        <v>605.67886400000009</v>
      </c>
      <c r="P7" s="1"/>
      <c r="Q7" s="1"/>
      <c r="R7" s="1">
        <v>625.28024160000018</v>
      </c>
      <c r="S7" s="20"/>
      <c r="T7" s="1">
        <v>416.8534944000001</v>
      </c>
      <c r="U7" s="20"/>
      <c r="V7" s="1">
        <f t="shared" si="6"/>
        <v>285.33019999999999</v>
      </c>
      <c r="W7" s="5">
        <f t="shared" ref="W7:W8" si="8">11.5*V7-T7-R7-Q7-P7-O7-F7</f>
        <v>333.42169999999942</v>
      </c>
      <c r="X7" s="5">
        <v>600</v>
      </c>
      <c r="Y7" s="5">
        <f t="shared" ref="Y7:Y12" si="9">X7-Z7</f>
        <v>232.8</v>
      </c>
      <c r="Z7" s="5">
        <f t="shared" ref="Z7:Z8" si="10">X7*$Z$1</f>
        <v>367.2</v>
      </c>
      <c r="AA7" s="1"/>
      <c r="AB7" s="1"/>
      <c r="AC7" s="1">
        <f t="shared" ref="AC7:AC70" si="11">(F7+O7+P7+Q7+R7+T7+Y7+Z7)/V7</f>
        <v>12.434280002607506</v>
      </c>
      <c r="AD7" s="1">
        <f t="shared" si="7"/>
        <v>10.331453172499792</v>
      </c>
      <c r="AE7" s="1">
        <v>305.41860000000003</v>
      </c>
      <c r="AF7" s="1">
        <v>214.02080000000001</v>
      </c>
      <c r="AG7" s="1">
        <v>215.65379999999999</v>
      </c>
      <c r="AH7" s="1">
        <v>292.72160000000002</v>
      </c>
      <c r="AI7" s="1">
        <v>307.12900000000002</v>
      </c>
      <c r="AJ7" s="1">
        <v>307.71940000000001</v>
      </c>
      <c r="AK7" s="1">
        <v>321.26519999999999</v>
      </c>
      <c r="AL7" s="1">
        <v>300.10660000000001</v>
      </c>
      <c r="AM7" s="1">
        <v>262.36520000000002</v>
      </c>
      <c r="AN7" s="1">
        <v>266.33199999999999</v>
      </c>
      <c r="AO7" s="1"/>
      <c r="AP7" s="1">
        <f t="shared" ref="AP7:AP70" si="12">ROUND(G7*Y7,0)</f>
        <v>233</v>
      </c>
      <c r="AQ7" s="1">
        <f t="shared" ref="AQ7:AQ70" si="13">ROUND(G7*Z7,0)</f>
        <v>367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41</v>
      </c>
      <c r="B8" s="1" t="s">
        <v>38</v>
      </c>
      <c r="C8" s="1">
        <v>1879.2750000000001</v>
      </c>
      <c r="D8" s="1">
        <v>965.05799999999999</v>
      </c>
      <c r="E8" s="1">
        <v>1466.9349999999999</v>
      </c>
      <c r="F8" s="1">
        <v>1201.374</v>
      </c>
      <c r="G8" s="7">
        <v>1</v>
      </c>
      <c r="H8" s="1">
        <v>45</v>
      </c>
      <c r="I8" s="1" t="s">
        <v>39</v>
      </c>
      <c r="J8" s="1"/>
      <c r="K8" s="1">
        <v>1448.55</v>
      </c>
      <c r="L8" s="1">
        <f t="shared" si="5"/>
        <v>18.384999999999991</v>
      </c>
      <c r="M8" s="1"/>
      <c r="N8" s="1"/>
      <c r="O8" s="1">
        <v>0</v>
      </c>
      <c r="P8" s="1"/>
      <c r="Q8" s="1"/>
      <c r="R8" s="1">
        <v>636.11771999999996</v>
      </c>
      <c r="S8" s="20"/>
      <c r="T8" s="1">
        <v>424.07848000000013</v>
      </c>
      <c r="U8" s="20"/>
      <c r="V8" s="1">
        <f t="shared" si="6"/>
        <v>293.387</v>
      </c>
      <c r="W8" s="5">
        <f t="shared" si="8"/>
        <v>1112.3802999999996</v>
      </c>
      <c r="X8" s="5">
        <v>1400</v>
      </c>
      <c r="Y8" s="5">
        <f t="shared" si="9"/>
        <v>543.20000000000005</v>
      </c>
      <c r="Z8" s="5">
        <f t="shared" si="10"/>
        <v>856.8</v>
      </c>
      <c r="AA8" s="1"/>
      <c r="AB8" s="1"/>
      <c r="AC8" s="1">
        <f t="shared" si="11"/>
        <v>12.48034234645707</v>
      </c>
      <c r="AD8" s="1">
        <f t="shared" si="7"/>
        <v>7.7084881061533066</v>
      </c>
      <c r="AE8" s="1">
        <v>257.86320000000001</v>
      </c>
      <c r="AF8" s="1">
        <v>178.08920000000001</v>
      </c>
      <c r="AG8" s="1">
        <v>182.8776</v>
      </c>
      <c r="AH8" s="1">
        <v>261.28660000000002</v>
      </c>
      <c r="AI8" s="1">
        <v>254.85239999999999</v>
      </c>
      <c r="AJ8" s="1">
        <v>257.28680000000003</v>
      </c>
      <c r="AK8" s="1">
        <v>276.00380000000001</v>
      </c>
      <c r="AL8" s="1">
        <v>247.24520000000001</v>
      </c>
      <c r="AM8" s="1">
        <v>223.76159999999999</v>
      </c>
      <c r="AN8" s="1">
        <v>249.89080000000001</v>
      </c>
      <c r="AO8" s="1"/>
      <c r="AP8" s="1">
        <f t="shared" si="12"/>
        <v>543</v>
      </c>
      <c r="AQ8" s="1">
        <f t="shared" si="13"/>
        <v>857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1" t="s">
        <v>42</v>
      </c>
      <c r="B9" s="11" t="s">
        <v>43</v>
      </c>
      <c r="C9" s="11"/>
      <c r="D9" s="11"/>
      <c r="E9" s="11"/>
      <c r="F9" s="11"/>
      <c r="G9" s="12">
        <v>0</v>
      </c>
      <c r="H9" s="11"/>
      <c r="I9" s="11" t="s">
        <v>39</v>
      </c>
      <c r="J9" s="11"/>
      <c r="K9" s="11"/>
      <c r="L9" s="11">
        <f t="shared" si="5"/>
        <v>0</v>
      </c>
      <c r="M9" s="11"/>
      <c r="N9" s="11"/>
      <c r="O9" s="11">
        <v>0</v>
      </c>
      <c r="P9" s="11"/>
      <c r="Q9" s="11"/>
      <c r="R9" s="11">
        <v>0</v>
      </c>
      <c r="S9" s="22"/>
      <c r="T9" s="11"/>
      <c r="U9" s="22"/>
      <c r="V9" s="11">
        <f t="shared" si="6"/>
        <v>0</v>
      </c>
      <c r="W9" s="13"/>
      <c r="X9" s="5">
        <f t="shared" ref="X9:X70" si="14">W9</f>
        <v>0</v>
      </c>
      <c r="Y9" s="5">
        <f t="shared" si="9"/>
        <v>0</v>
      </c>
      <c r="Z9" s="5"/>
      <c r="AA9" s="1"/>
      <c r="AB9" s="1"/>
      <c r="AC9" s="1" t="e">
        <f t="shared" si="11"/>
        <v>#DIV/0!</v>
      </c>
      <c r="AD9" s="11" t="e">
        <f t="shared" si="7"/>
        <v>#DIV/0!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 t="s">
        <v>44</v>
      </c>
      <c r="AP9" s="1">
        <f t="shared" si="12"/>
        <v>0</v>
      </c>
      <c r="AQ9" s="1">
        <f t="shared" si="13"/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45</v>
      </c>
      <c r="B10" s="1" t="s">
        <v>43</v>
      </c>
      <c r="C10" s="1">
        <v>668</v>
      </c>
      <c r="D10" s="1">
        <v>673</v>
      </c>
      <c r="E10" s="1">
        <v>787</v>
      </c>
      <c r="F10" s="1">
        <v>372</v>
      </c>
      <c r="G10" s="7">
        <v>0.45</v>
      </c>
      <c r="H10" s="1">
        <v>45</v>
      </c>
      <c r="I10" s="1" t="s">
        <v>39</v>
      </c>
      <c r="J10" s="1"/>
      <c r="K10" s="1">
        <v>819</v>
      </c>
      <c r="L10" s="1">
        <f t="shared" si="5"/>
        <v>-32</v>
      </c>
      <c r="M10" s="1"/>
      <c r="N10" s="1"/>
      <c r="O10" s="1">
        <v>660.75788000000011</v>
      </c>
      <c r="P10" s="1"/>
      <c r="Q10" s="1"/>
      <c r="R10" s="1">
        <v>239.78527199999991</v>
      </c>
      <c r="S10" s="20"/>
      <c r="T10" s="1">
        <v>159.85684800000001</v>
      </c>
      <c r="U10" s="20"/>
      <c r="V10" s="1">
        <f t="shared" si="6"/>
        <v>157.4</v>
      </c>
      <c r="W10" s="5">
        <f t="shared" ref="W10:W22" si="15">11.5*V10-T10-R10-Q10-P10-O10-F10</f>
        <v>377.70000000000005</v>
      </c>
      <c r="X10" s="5">
        <f t="shared" si="14"/>
        <v>377.70000000000005</v>
      </c>
      <c r="Y10" s="5">
        <f t="shared" si="9"/>
        <v>146.54760000000002</v>
      </c>
      <c r="Z10" s="5">
        <f t="shared" ref="Z10:Z11" si="16">X10*$Z$1</f>
        <v>231.15240000000003</v>
      </c>
      <c r="AA10" s="1"/>
      <c r="AB10" s="1"/>
      <c r="AC10" s="1">
        <f t="shared" si="11"/>
        <v>11.5</v>
      </c>
      <c r="AD10" s="1">
        <f t="shared" si="7"/>
        <v>9.1003811944091488</v>
      </c>
      <c r="AE10" s="1">
        <v>159.4</v>
      </c>
      <c r="AF10" s="1">
        <v>129.6</v>
      </c>
      <c r="AG10" s="1">
        <v>121.2</v>
      </c>
      <c r="AH10" s="1">
        <v>121</v>
      </c>
      <c r="AI10" s="1">
        <v>122.6</v>
      </c>
      <c r="AJ10" s="1">
        <v>110.2</v>
      </c>
      <c r="AK10" s="1">
        <v>117.4</v>
      </c>
      <c r="AL10" s="1">
        <v>142.6</v>
      </c>
      <c r="AM10" s="1">
        <v>135.4</v>
      </c>
      <c r="AN10" s="1">
        <v>120.4</v>
      </c>
      <c r="AO10" s="1"/>
      <c r="AP10" s="1">
        <f t="shared" si="12"/>
        <v>66</v>
      </c>
      <c r="AQ10" s="1">
        <f t="shared" si="13"/>
        <v>104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46</v>
      </c>
      <c r="B11" s="1" t="s">
        <v>43</v>
      </c>
      <c r="C11" s="1">
        <v>1620.24</v>
      </c>
      <c r="D11" s="1">
        <v>1165</v>
      </c>
      <c r="E11" s="1">
        <v>1251</v>
      </c>
      <c r="F11" s="1">
        <v>1309.24</v>
      </c>
      <c r="G11" s="7">
        <v>0.45</v>
      </c>
      <c r="H11" s="1">
        <v>45</v>
      </c>
      <c r="I11" s="1" t="s">
        <v>39</v>
      </c>
      <c r="J11" s="1"/>
      <c r="K11" s="1">
        <v>1270</v>
      </c>
      <c r="L11" s="1">
        <f t="shared" si="5"/>
        <v>-19</v>
      </c>
      <c r="M11" s="1"/>
      <c r="N11" s="1"/>
      <c r="O11" s="1"/>
      <c r="P11" s="1"/>
      <c r="Q11" s="1"/>
      <c r="R11" s="1">
        <v>369.33599999999979</v>
      </c>
      <c r="S11" s="20"/>
      <c r="T11" s="1">
        <v>246.2239999999999</v>
      </c>
      <c r="U11" s="20"/>
      <c r="V11" s="1">
        <f t="shared" si="6"/>
        <v>250.2</v>
      </c>
      <c r="W11" s="5">
        <f>10*V11-T11-R11-Q11-P11-O11-F11</f>
        <v>577.2000000000005</v>
      </c>
      <c r="X11" s="5">
        <v>800</v>
      </c>
      <c r="Y11" s="5">
        <f t="shared" si="9"/>
        <v>310.40000000000003</v>
      </c>
      <c r="Z11" s="5">
        <f t="shared" si="16"/>
        <v>489.59999999999997</v>
      </c>
      <c r="AA11" s="1"/>
      <c r="AB11" s="1"/>
      <c r="AC11" s="1">
        <f t="shared" si="11"/>
        <v>10.89048760991207</v>
      </c>
      <c r="AD11" s="1">
        <f t="shared" si="7"/>
        <v>7.6930455635491599</v>
      </c>
      <c r="AE11" s="1">
        <v>262.2</v>
      </c>
      <c r="AF11" s="1">
        <v>226.6</v>
      </c>
      <c r="AG11" s="1">
        <v>220.8</v>
      </c>
      <c r="AH11" s="1">
        <v>239.6</v>
      </c>
      <c r="AI11" s="1">
        <v>248.2</v>
      </c>
      <c r="AJ11" s="1">
        <v>245.2</v>
      </c>
      <c r="AK11" s="1">
        <v>245.4</v>
      </c>
      <c r="AL11" s="1">
        <v>235.2</v>
      </c>
      <c r="AM11" s="1">
        <v>216.8</v>
      </c>
      <c r="AN11" s="1">
        <v>224.44800000000001</v>
      </c>
      <c r="AO11" s="10" t="s">
        <v>47</v>
      </c>
      <c r="AP11" s="1">
        <f t="shared" si="12"/>
        <v>140</v>
      </c>
      <c r="AQ11" s="1">
        <f t="shared" si="13"/>
        <v>220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48</v>
      </c>
      <c r="B12" s="1" t="s">
        <v>43</v>
      </c>
      <c r="C12" s="1">
        <v>67</v>
      </c>
      <c r="D12" s="1">
        <v>90</v>
      </c>
      <c r="E12" s="1">
        <v>107</v>
      </c>
      <c r="F12" s="1">
        <v>20</v>
      </c>
      <c r="G12" s="7">
        <v>0.17</v>
      </c>
      <c r="H12" s="1">
        <v>180</v>
      </c>
      <c r="I12" s="1" t="s">
        <v>39</v>
      </c>
      <c r="J12" s="1"/>
      <c r="K12" s="1">
        <v>108</v>
      </c>
      <c r="L12" s="1">
        <f t="shared" si="5"/>
        <v>-1</v>
      </c>
      <c r="M12" s="1"/>
      <c r="N12" s="1"/>
      <c r="O12" s="1">
        <v>15.19999999999999</v>
      </c>
      <c r="P12" s="1"/>
      <c r="Q12" s="1"/>
      <c r="R12" s="1">
        <v>116.4</v>
      </c>
      <c r="S12" s="20"/>
      <c r="T12" s="1"/>
      <c r="U12" s="20"/>
      <c r="V12" s="1">
        <f t="shared" si="6"/>
        <v>21.4</v>
      </c>
      <c r="W12" s="5">
        <f t="shared" si="15"/>
        <v>94.5</v>
      </c>
      <c r="X12" s="5">
        <f t="shared" si="14"/>
        <v>94.5</v>
      </c>
      <c r="Y12" s="5">
        <f t="shared" si="9"/>
        <v>94.5</v>
      </c>
      <c r="Z12" s="5"/>
      <c r="AA12" s="1"/>
      <c r="AB12" s="1"/>
      <c r="AC12" s="1">
        <f t="shared" si="11"/>
        <v>11.5</v>
      </c>
      <c r="AD12" s="1">
        <f t="shared" si="7"/>
        <v>7.0841121495327108</v>
      </c>
      <c r="AE12" s="1">
        <v>18.600000000000001</v>
      </c>
      <c r="AF12" s="1">
        <v>14.2</v>
      </c>
      <c r="AG12" s="1">
        <v>15</v>
      </c>
      <c r="AH12" s="1">
        <v>13.8</v>
      </c>
      <c r="AI12" s="1">
        <v>12.8</v>
      </c>
      <c r="AJ12" s="1">
        <v>16.600000000000001</v>
      </c>
      <c r="AK12" s="1">
        <v>17.8</v>
      </c>
      <c r="AL12" s="1">
        <v>15.6</v>
      </c>
      <c r="AM12" s="1">
        <v>15</v>
      </c>
      <c r="AN12" s="1">
        <v>18.2</v>
      </c>
      <c r="AO12" s="1"/>
      <c r="AP12" s="1">
        <f t="shared" si="12"/>
        <v>16</v>
      </c>
      <c r="AQ12" s="1">
        <f t="shared" si="13"/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49</v>
      </c>
      <c r="B13" s="1" t="s">
        <v>43</v>
      </c>
      <c r="C13" s="1">
        <v>36</v>
      </c>
      <c r="D13" s="1">
        <v>30</v>
      </c>
      <c r="E13" s="1">
        <v>62</v>
      </c>
      <c r="F13" s="1"/>
      <c r="G13" s="7">
        <v>0.3</v>
      </c>
      <c r="H13" s="1">
        <v>40</v>
      </c>
      <c r="I13" s="9" t="s">
        <v>50</v>
      </c>
      <c r="J13" s="1"/>
      <c r="K13" s="1">
        <v>100</v>
      </c>
      <c r="L13" s="1">
        <f t="shared" si="5"/>
        <v>-38</v>
      </c>
      <c r="M13" s="1"/>
      <c r="N13" s="1"/>
      <c r="O13" s="1">
        <v>30</v>
      </c>
      <c r="P13" s="1"/>
      <c r="Q13" s="1"/>
      <c r="R13" s="1">
        <v>100</v>
      </c>
      <c r="S13" s="20"/>
      <c r="T13" s="1"/>
      <c r="U13" s="20"/>
      <c r="V13" s="1">
        <f t="shared" si="6"/>
        <v>12.4</v>
      </c>
      <c r="W13" s="5">
        <f t="shared" si="15"/>
        <v>12.599999999999994</v>
      </c>
      <c r="X13" s="5">
        <v>100</v>
      </c>
      <c r="Y13" s="5">
        <f>X13</f>
        <v>100</v>
      </c>
      <c r="Z13" s="5">
        <v>50</v>
      </c>
      <c r="AA13" s="1">
        <f>VLOOKUP(A13,[1]Sheet!$A:$W,22,0)</f>
        <v>150</v>
      </c>
      <c r="AB13" s="1"/>
      <c r="AC13" s="1">
        <f t="shared" si="11"/>
        <v>22.58064516129032</v>
      </c>
      <c r="AD13" s="1">
        <f t="shared" si="7"/>
        <v>10.483870967741936</v>
      </c>
      <c r="AE13" s="1">
        <v>11.2</v>
      </c>
      <c r="AF13" s="1">
        <v>3.4</v>
      </c>
      <c r="AG13" s="1">
        <v>0.4</v>
      </c>
      <c r="AH13" s="1">
        <v>12.4</v>
      </c>
      <c r="AI13" s="1">
        <v>19.2</v>
      </c>
      <c r="AJ13" s="1">
        <v>21</v>
      </c>
      <c r="AK13" s="1">
        <v>17.8</v>
      </c>
      <c r="AL13" s="1">
        <v>10.6</v>
      </c>
      <c r="AM13" s="1">
        <v>10</v>
      </c>
      <c r="AN13" s="1">
        <v>19</v>
      </c>
      <c r="AO13" s="1"/>
      <c r="AP13" s="1">
        <f t="shared" si="12"/>
        <v>30</v>
      </c>
      <c r="AQ13" s="1">
        <f t="shared" si="13"/>
        <v>15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51</v>
      </c>
      <c r="B14" s="1" t="s">
        <v>43</v>
      </c>
      <c r="C14" s="1">
        <v>232</v>
      </c>
      <c r="D14" s="1">
        <v>195</v>
      </c>
      <c r="E14" s="1">
        <v>272</v>
      </c>
      <c r="F14" s="1">
        <v>105</v>
      </c>
      <c r="G14" s="7">
        <v>0.17</v>
      </c>
      <c r="H14" s="1">
        <v>180</v>
      </c>
      <c r="I14" s="1" t="s">
        <v>39</v>
      </c>
      <c r="J14" s="1"/>
      <c r="K14" s="1">
        <v>273</v>
      </c>
      <c r="L14" s="1">
        <f t="shared" si="5"/>
        <v>-1</v>
      </c>
      <c r="M14" s="1"/>
      <c r="N14" s="1"/>
      <c r="O14" s="1">
        <v>401.25400000000002</v>
      </c>
      <c r="P14" s="1"/>
      <c r="Q14" s="1"/>
      <c r="R14" s="1">
        <v>61.4</v>
      </c>
      <c r="S14" s="20"/>
      <c r="T14" s="1"/>
      <c r="U14" s="20"/>
      <c r="V14" s="1">
        <f t="shared" si="6"/>
        <v>54.4</v>
      </c>
      <c r="W14" s="5">
        <f t="shared" si="15"/>
        <v>57.946000000000026</v>
      </c>
      <c r="X14" s="5">
        <f t="shared" si="14"/>
        <v>57.946000000000026</v>
      </c>
      <c r="Y14" s="5">
        <f>X14-Z14</f>
        <v>57.946000000000026</v>
      </c>
      <c r="Z14" s="5"/>
      <c r="AA14" s="1"/>
      <c r="AB14" s="1"/>
      <c r="AC14" s="1">
        <f t="shared" si="11"/>
        <v>11.5</v>
      </c>
      <c r="AD14" s="1">
        <f t="shared" si="7"/>
        <v>10.434816176470589</v>
      </c>
      <c r="AE14" s="1">
        <v>61.4</v>
      </c>
      <c r="AF14" s="1">
        <v>53.8</v>
      </c>
      <c r="AG14" s="1">
        <v>47.8</v>
      </c>
      <c r="AH14" s="1">
        <v>45.8</v>
      </c>
      <c r="AI14" s="1">
        <v>47.6</v>
      </c>
      <c r="AJ14" s="1">
        <v>57.6</v>
      </c>
      <c r="AK14" s="1">
        <v>60.6</v>
      </c>
      <c r="AL14" s="1">
        <v>47.6</v>
      </c>
      <c r="AM14" s="1">
        <v>44.8</v>
      </c>
      <c r="AN14" s="1">
        <v>57.2</v>
      </c>
      <c r="AO14" s="1"/>
      <c r="AP14" s="1">
        <f t="shared" si="12"/>
        <v>10</v>
      </c>
      <c r="AQ14" s="1">
        <f t="shared" si="13"/>
        <v>0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52</v>
      </c>
      <c r="B15" s="1" t="s">
        <v>38</v>
      </c>
      <c r="C15" s="1">
        <v>1669.3050000000001</v>
      </c>
      <c r="D15" s="1">
        <v>583.08299999999997</v>
      </c>
      <c r="E15" s="1">
        <v>1299.0530000000001</v>
      </c>
      <c r="F15" s="1">
        <v>785.11900000000003</v>
      </c>
      <c r="G15" s="7">
        <v>1</v>
      </c>
      <c r="H15" s="1">
        <v>70</v>
      </c>
      <c r="I15" s="9" t="s">
        <v>50</v>
      </c>
      <c r="J15" s="1"/>
      <c r="K15" s="1">
        <v>1261.825</v>
      </c>
      <c r="L15" s="1">
        <f t="shared" si="5"/>
        <v>37.228000000000065</v>
      </c>
      <c r="M15" s="1"/>
      <c r="N15" s="1"/>
      <c r="O15" s="1">
        <v>791.21729200000027</v>
      </c>
      <c r="P15" s="1"/>
      <c r="Q15" s="1"/>
      <c r="R15" s="1">
        <v>474.84930800000012</v>
      </c>
      <c r="S15" s="20"/>
      <c r="T15" s="1">
        <v>237.424654</v>
      </c>
      <c r="U15" s="20"/>
      <c r="V15" s="1">
        <f t="shared" si="6"/>
        <v>259.81060000000002</v>
      </c>
      <c r="W15" s="5">
        <f t="shared" si="15"/>
        <v>699.21164599999986</v>
      </c>
      <c r="X15" s="5">
        <v>850</v>
      </c>
      <c r="Y15" s="5">
        <f>X15</f>
        <v>850</v>
      </c>
      <c r="Z15" s="5"/>
      <c r="AA15" s="1"/>
      <c r="AB15" s="1"/>
      <c r="AC15" s="1">
        <f t="shared" si="11"/>
        <v>12.080377990736331</v>
      </c>
      <c r="AD15" s="1">
        <f t="shared" si="7"/>
        <v>8.8087639765275174</v>
      </c>
      <c r="AE15" s="1">
        <v>267.96080000000001</v>
      </c>
      <c r="AF15" s="1">
        <v>195.66640000000001</v>
      </c>
      <c r="AG15" s="1">
        <v>187.86779999999999</v>
      </c>
      <c r="AH15" s="1">
        <v>228.3366</v>
      </c>
      <c r="AI15" s="1">
        <v>217.41739999999999</v>
      </c>
      <c r="AJ15" s="1">
        <v>228.7406</v>
      </c>
      <c r="AK15" s="1">
        <v>230.5266</v>
      </c>
      <c r="AL15" s="1">
        <v>233.18360000000001</v>
      </c>
      <c r="AM15" s="1">
        <v>242.98320000000001</v>
      </c>
      <c r="AN15" s="1">
        <v>239.7028</v>
      </c>
      <c r="AO15" s="1"/>
      <c r="AP15" s="1">
        <f t="shared" si="12"/>
        <v>850</v>
      </c>
      <c r="AQ15" s="1">
        <f t="shared" si="13"/>
        <v>0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53</v>
      </c>
      <c r="B16" s="1" t="s">
        <v>38</v>
      </c>
      <c r="C16" s="1">
        <v>6251.0069999999996</v>
      </c>
      <c r="D16" s="1">
        <v>2278.7159999999999</v>
      </c>
      <c r="E16" s="1">
        <v>4141.3919999999998</v>
      </c>
      <c r="F16" s="1">
        <v>3940.1930000000002</v>
      </c>
      <c r="G16" s="7">
        <v>1</v>
      </c>
      <c r="H16" s="1">
        <v>50</v>
      </c>
      <c r="I16" s="1" t="s">
        <v>39</v>
      </c>
      <c r="J16" s="1"/>
      <c r="K16" s="1">
        <v>4148.8999999999996</v>
      </c>
      <c r="L16" s="1">
        <f t="shared" si="5"/>
        <v>-7.5079999999998108</v>
      </c>
      <c r="M16" s="1"/>
      <c r="N16" s="1"/>
      <c r="O16" s="1">
        <v>1280</v>
      </c>
      <c r="P16" s="1"/>
      <c r="Q16" s="1"/>
      <c r="R16" s="1">
        <v>896.4846</v>
      </c>
      <c r="S16" s="20"/>
      <c r="T16" s="1">
        <v>597.65640000000008</v>
      </c>
      <c r="U16" s="20">
        <v>800</v>
      </c>
      <c r="V16" s="1">
        <f t="shared" si="6"/>
        <v>828.27839999999992</v>
      </c>
      <c r="W16" s="5">
        <f t="shared" si="15"/>
        <v>2810.8675999999987</v>
      </c>
      <c r="X16" s="5">
        <f t="shared" si="14"/>
        <v>2810.8675999999987</v>
      </c>
      <c r="Y16" s="5">
        <f t="shared" ref="Y16:Y17" si="17">X16-Z16</f>
        <v>1090.6166287999995</v>
      </c>
      <c r="Z16" s="5">
        <f>X16*$Z$1</f>
        <v>1720.2509711999992</v>
      </c>
      <c r="AA16" s="1"/>
      <c r="AB16" s="1"/>
      <c r="AC16" s="1">
        <f t="shared" si="11"/>
        <v>11.5</v>
      </c>
      <c r="AD16" s="1">
        <f t="shared" si="7"/>
        <v>8.1063734126110258</v>
      </c>
      <c r="AE16" s="1">
        <v>796.69399999999996</v>
      </c>
      <c r="AF16" s="1">
        <v>602.02499999999998</v>
      </c>
      <c r="AG16" s="1">
        <v>540.52719999999999</v>
      </c>
      <c r="AH16" s="1">
        <v>666.84559999999999</v>
      </c>
      <c r="AI16" s="1">
        <v>674.39080000000001</v>
      </c>
      <c r="AJ16" s="1">
        <v>736.59320000000002</v>
      </c>
      <c r="AK16" s="1">
        <v>741.72680000000003</v>
      </c>
      <c r="AL16" s="1">
        <v>660.61159999999995</v>
      </c>
      <c r="AM16" s="1">
        <v>636.86320000000001</v>
      </c>
      <c r="AN16" s="1">
        <v>674.43259999999998</v>
      </c>
      <c r="AO16" s="1"/>
      <c r="AP16" s="1">
        <f t="shared" si="12"/>
        <v>1091</v>
      </c>
      <c r="AQ16" s="1">
        <f t="shared" si="13"/>
        <v>1720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54</v>
      </c>
      <c r="B17" s="1" t="s">
        <v>38</v>
      </c>
      <c r="C17" s="1">
        <v>139.946</v>
      </c>
      <c r="D17" s="1">
        <v>31.77</v>
      </c>
      <c r="E17" s="1">
        <v>105.881</v>
      </c>
      <c r="F17" s="1">
        <v>57.957999999999998</v>
      </c>
      <c r="G17" s="7">
        <v>1</v>
      </c>
      <c r="H17" s="1">
        <v>60</v>
      </c>
      <c r="I17" s="1" t="s">
        <v>39</v>
      </c>
      <c r="J17" s="1"/>
      <c r="K17" s="1">
        <v>102.98</v>
      </c>
      <c r="L17" s="1">
        <f t="shared" si="5"/>
        <v>2.9009999999999962</v>
      </c>
      <c r="M17" s="1"/>
      <c r="N17" s="1"/>
      <c r="O17" s="1">
        <v>0</v>
      </c>
      <c r="P17" s="1"/>
      <c r="Q17" s="1"/>
      <c r="R17" s="1">
        <v>111.2972</v>
      </c>
      <c r="S17" s="20"/>
      <c r="T17" s="1"/>
      <c r="U17" s="20"/>
      <c r="V17" s="1">
        <f t="shared" si="6"/>
        <v>21.176200000000001</v>
      </c>
      <c r="W17" s="5">
        <f t="shared" si="15"/>
        <v>74.271100000000018</v>
      </c>
      <c r="X17" s="5">
        <f t="shared" si="14"/>
        <v>74.271100000000018</v>
      </c>
      <c r="Y17" s="5">
        <f t="shared" si="17"/>
        <v>74.271100000000018</v>
      </c>
      <c r="Z17" s="5"/>
      <c r="AA17" s="1"/>
      <c r="AB17" s="1"/>
      <c r="AC17" s="1">
        <f t="shared" si="11"/>
        <v>11.5</v>
      </c>
      <c r="AD17" s="1">
        <f t="shared" si="7"/>
        <v>7.9927087957235008</v>
      </c>
      <c r="AE17" s="1">
        <v>19.1052</v>
      </c>
      <c r="AF17" s="1">
        <v>13.417199999999999</v>
      </c>
      <c r="AG17" s="1">
        <v>12.323</v>
      </c>
      <c r="AH17" s="1">
        <v>17.948399999999999</v>
      </c>
      <c r="AI17" s="1">
        <v>19.870200000000001</v>
      </c>
      <c r="AJ17" s="1">
        <v>23.232600000000001</v>
      </c>
      <c r="AK17" s="1">
        <v>23.764399999999998</v>
      </c>
      <c r="AL17" s="1">
        <v>25.488199999999999</v>
      </c>
      <c r="AM17" s="1">
        <v>23.536200000000001</v>
      </c>
      <c r="AN17" s="1">
        <v>24.895399999999999</v>
      </c>
      <c r="AO17" s="1"/>
      <c r="AP17" s="1">
        <f t="shared" si="12"/>
        <v>74</v>
      </c>
      <c r="AQ17" s="1">
        <f t="shared" si="13"/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 t="s">
        <v>55</v>
      </c>
      <c r="B18" s="1" t="s">
        <v>38</v>
      </c>
      <c r="C18" s="1">
        <v>102.449</v>
      </c>
      <c r="D18" s="1">
        <v>47.664999999999999</v>
      </c>
      <c r="E18" s="1">
        <v>103.845</v>
      </c>
      <c r="F18" s="1">
        <v>40.061999999999998</v>
      </c>
      <c r="G18" s="7">
        <v>1</v>
      </c>
      <c r="H18" s="1">
        <v>60</v>
      </c>
      <c r="I18" s="9" t="s">
        <v>50</v>
      </c>
      <c r="J18" s="1"/>
      <c r="K18" s="1">
        <v>107.51</v>
      </c>
      <c r="L18" s="1">
        <f t="shared" si="5"/>
        <v>-3.6650000000000063</v>
      </c>
      <c r="M18" s="1"/>
      <c r="N18" s="1"/>
      <c r="O18" s="1">
        <v>35.550600000000003</v>
      </c>
      <c r="P18" s="1"/>
      <c r="Q18" s="1"/>
      <c r="R18" s="1">
        <v>83.216399999999993</v>
      </c>
      <c r="S18" s="20"/>
      <c r="T18" s="1"/>
      <c r="U18" s="20"/>
      <c r="V18" s="1">
        <f t="shared" si="6"/>
        <v>20.768999999999998</v>
      </c>
      <c r="W18" s="5">
        <f t="shared" si="15"/>
        <v>80.014499999999984</v>
      </c>
      <c r="X18" s="5">
        <f t="shared" si="14"/>
        <v>80.014499999999984</v>
      </c>
      <c r="Y18" s="5">
        <f>X18</f>
        <v>80.014499999999984</v>
      </c>
      <c r="Z18" s="5">
        <v>4</v>
      </c>
      <c r="AA18" s="1"/>
      <c r="AB18" s="1"/>
      <c r="AC18" s="1">
        <f t="shared" si="11"/>
        <v>11.692594732534067</v>
      </c>
      <c r="AD18" s="1">
        <f t="shared" si="7"/>
        <v>7.6474071934132608</v>
      </c>
      <c r="AE18" s="1">
        <v>18.800599999999999</v>
      </c>
      <c r="AF18" s="1">
        <v>14.020799999999999</v>
      </c>
      <c r="AG18" s="1">
        <v>14.549200000000001</v>
      </c>
      <c r="AH18" s="1">
        <v>15.186</v>
      </c>
      <c r="AI18" s="1">
        <v>16.345400000000001</v>
      </c>
      <c r="AJ18" s="1">
        <v>19.931799999999999</v>
      </c>
      <c r="AK18" s="1">
        <v>18.4558</v>
      </c>
      <c r="AL18" s="1">
        <v>16.866199999999999</v>
      </c>
      <c r="AM18" s="1">
        <v>17.227399999999999</v>
      </c>
      <c r="AN18" s="1">
        <v>14.844200000000001</v>
      </c>
      <c r="AO18" s="1"/>
      <c r="AP18" s="1">
        <f t="shared" si="12"/>
        <v>80</v>
      </c>
      <c r="AQ18" s="1">
        <f t="shared" si="13"/>
        <v>4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56</v>
      </c>
      <c r="B19" s="1" t="s">
        <v>38</v>
      </c>
      <c r="C19" s="1">
        <v>4.8019999999999996</v>
      </c>
      <c r="D19" s="1">
        <v>25.733000000000001</v>
      </c>
      <c r="E19" s="1">
        <v>8.9939999999999998</v>
      </c>
      <c r="F19" s="1">
        <v>21.163</v>
      </c>
      <c r="G19" s="7">
        <v>1</v>
      </c>
      <c r="H19" s="1">
        <v>180</v>
      </c>
      <c r="I19" s="1" t="s">
        <v>39</v>
      </c>
      <c r="J19" s="1"/>
      <c r="K19" s="1">
        <v>9.7219999999999995</v>
      </c>
      <c r="L19" s="1">
        <f t="shared" si="5"/>
        <v>-0.72799999999999976</v>
      </c>
      <c r="M19" s="1"/>
      <c r="N19" s="1"/>
      <c r="O19" s="1">
        <v>5.1730000000000009</v>
      </c>
      <c r="P19" s="1"/>
      <c r="Q19" s="1"/>
      <c r="R19" s="1">
        <v>0</v>
      </c>
      <c r="S19" s="20"/>
      <c r="T19" s="1"/>
      <c r="U19" s="20"/>
      <c r="V19" s="1">
        <f t="shared" si="6"/>
        <v>1.7988</v>
      </c>
      <c r="W19" s="5"/>
      <c r="X19" s="5">
        <f t="shared" si="14"/>
        <v>0</v>
      </c>
      <c r="Y19" s="5">
        <f t="shared" ref="Y19:Y21" si="18">X19-Z19</f>
        <v>0</v>
      </c>
      <c r="Z19" s="5"/>
      <c r="AA19" s="1"/>
      <c r="AB19" s="1"/>
      <c r="AC19" s="1">
        <f t="shared" si="11"/>
        <v>14.640871692239273</v>
      </c>
      <c r="AD19" s="1">
        <f t="shared" si="7"/>
        <v>14.640871692239273</v>
      </c>
      <c r="AE19" s="1">
        <v>1.4292</v>
      </c>
      <c r="AF19" s="1">
        <v>2.8586</v>
      </c>
      <c r="AG19" s="1">
        <v>2.6456</v>
      </c>
      <c r="AH19" s="1">
        <v>1.0746</v>
      </c>
      <c r="AI19" s="1">
        <v>1.3657999999999999</v>
      </c>
      <c r="AJ19" s="1">
        <v>1.7043999999999999</v>
      </c>
      <c r="AK19" s="1">
        <v>1.3306</v>
      </c>
      <c r="AL19" s="1">
        <v>0.62980000000000003</v>
      </c>
      <c r="AM19" s="1">
        <v>1.0427999999999999</v>
      </c>
      <c r="AN19" s="1">
        <v>2.0901999999999998</v>
      </c>
      <c r="AO19" s="1"/>
      <c r="AP19" s="1">
        <f t="shared" si="12"/>
        <v>0</v>
      </c>
      <c r="AQ19" s="1">
        <f t="shared" si="13"/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57</v>
      </c>
      <c r="B20" s="1" t="s">
        <v>38</v>
      </c>
      <c r="C20" s="1">
        <v>1348.8910000000001</v>
      </c>
      <c r="D20" s="1">
        <v>1173.944</v>
      </c>
      <c r="E20" s="1">
        <v>1497.741</v>
      </c>
      <c r="F20" s="1">
        <v>880.91399999999999</v>
      </c>
      <c r="G20" s="7">
        <v>1</v>
      </c>
      <c r="H20" s="1">
        <v>60</v>
      </c>
      <c r="I20" s="1" t="s">
        <v>39</v>
      </c>
      <c r="J20" s="1"/>
      <c r="K20" s="1">
        <v>1449.7070000000001</v>
      </c>
      <c r="L20" s="1">
        <f t="shared" si="5"/>
        <v>48.033999999999878</v>
      </c>
      <c r="M20" s="1"/>
      <c r="N20" s="1"/>
      <c r="O20" s="1">
        <v>1103.313657147</v>
      </c>
      <c r="P20" s="1"/>
      <c r="Q20" s="1"/>
      <c r="R20" s="1">
        <v>536.81960571180025</v>
      </c>
      <c r="S20" s="20"/>
      <c r="T20" s="1">
        <v>357.87973714120022</v>
      </c>
      <c r="U20" s="20"/>
      <c r="V20" s="1">
        <f t="shared" si="6"/>
        <v>299.54820000000001</v>
      </c>
      <c r="W20" s="5">
        <f t="shared" si="15"/>
        <v>565.87729999999988</v>
      </c>
      <c r="X20" s="5">
        <v>850</v>
      </c>
      <c r="Y20" s="5">
        <f t="shared" si="18"/>
        <v>329.79999999999995</v>
      </c>
      <c r="Z20" s="5">
        <f>X20*$Z$1</f>
        <v>520.20000000000005</v>
      </c>
      <c r="AA20" s="1"/>
      <c r="AB20" s="1"/>
      <c r="AC20" s="1">
        <f t="shared" si="11"/>
        <v>12.448504113862144</v>
      </c>
      <c r="AD20" s="1">
        <f t="shared" si="7"/>
        <v>9.6108973447345054</v>
      </c>
      <c r="AE20" s="1">
        <v>310.22800000000001</v>
      </c>
      <c r="AF20" s="1">
        <v>239.51920000000001</v>
      </c>
      <c r="AG20" s="1">
        <v>213.66820000000001</v>
      </c>
      <c r="AH20" s="1">
        <v>253.92599999999999</v>
      </c>
      <c r="AI20" s="1">
        <v>253.47559999999999</v>
      </c>
      <c r="AJ20" s="1">
        <v>272.93060000000003</v>
      </c>
      <c r="AK20" s="1">
        <v>280.49860000000001</v>
      </c>
      <c r="AL20" s="1">
        <v>283.15519999999998</v>
      </c>
      <c r="AM20" s="1">
        <v>289.96379999999999</v>
      </c>
      <c r="AN20" s="1">
        <v>276.86619999999999</v>
      </c>
      <c r="AO20" s="1"/>
      <c r="AP20" s="1">
        <f t="shared" si="12"/>
        <v>330</v>
      </c>
      <c r="AQ20" s="1">
        <f t="shared" si="13"/>
        <v>520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58</v>
      </c>
      <c r="B21" s="1" t="s">
        <v>38</v>
      </c>
      <c r="C21" s="1">
        <v>231.60400000000001</v>
      </c>
      <c r="D21" s="1">
        <v>107.182</v>
      </c>
      <c r="E21" s="1">
        <v>257.60899999999998</v>
      </c>
      <c r="F21" s="1">
        <v>42.103000000000002</v>
      </c>
      <c r="G21" s="7">
        <v>1</v>
      </c>
      <c r="H21" s="1">
        <v>70</v>
      </c>
      <c r="I21" s="1" t="s">
        <v>39</v>
      </c>
      <c r="J21" s="1"/>
      <c r="K21" s="1">
        <v>251.19</v>
      </c>
      <c r="L21" s="1">
        <f t="shared" si="5"/>
        <v>6.4189999999999827</v>
      </c>
      <c r="M21" s="1"/>
      <c r="N21" s="1"/>
      <c r="O21" s="1">
        <v>231.45755600000001</v>
      </c>
      <c r="P21" s="1"/>
      <c r="Q21" s="1"/>
      <c r="R21" s="1">
        <v>199.70904400000001</v>
      </c>
      <c r="S21" s="20"/>
      <c r="T21" s="1"/>
      <c r="U21" s="20"/>
      <c r="V21" s="1">
        <f t="shared" si="6"/>
        <v>51.521799999999999</v>
      </c>
      <c r="W21" s="5">
        <f t="shared" si="15"/>
        <v>119.23109999999991</v>
      </c>
      <c r="X21" s="5">
        <f t="shared" si="14"/>
        <v>119.23109999999991</v>
      </c>
      <c r="Y21" s="5">
        <f t="shared" si="18"/>
        <v>119.23109999999991</v>
      </c>
      <c r="Z21" s="5"/>
      <c r="AA21" s="1"/>
      <c r="AB21" s="1"/>
      <c r="AC21" s="1">
        <f t="shared" si="11"/>
        <v>11.499999999999998</v>
      </c>
      <c r="AD21" s="1">
        <f t="shared" si="7"/>
        <v>9.1858126074787769</v>
      </c>
      <c r="AE21" s="1">
        <v>51.721600000000002</v>
      </c>
      <c r="AF21" s="1">
        <v>37.593200000000003</v>
      </c>
      <c r="AG21" s="1">
        <v>36.026400000000002</v>
      </c>
      <c r="AH21" s="1">
        <v>37.416800000000002</v>
      </c>
      <c r="AI21" s="1">
        <v>36.369999999999997</v>
      </c>
      <c r="AJ21" s="1">
        <v>49.895400000000002</v>
      </c>
      <c r="AK21" s="1">
        <v>49.0822</v>
      </c>
      <c r="AL21" s="1">
        <v>37.723999999999997</v>
      </c>
      <c r="AM21" s="1">
        <v>35.753</v>
      </c>
      <c r="AN21" s="1">
        <v>35.983400000000003</v>
      </c>
      <c r="AO21" s="1"/>
      <c r="AP21" s="1">
        <f t="shared" si="12"/>
        <v>119</v>
      </c>
      <c r="AQ21" s="1">
        <f t="shared" si="13"/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59</v>
      </c>
      <c r="B22" s="1" t="s">
        <v>38</v>
      </c>
      <c r="C22" s="1">
        <v>314.35399999999998</v>
      </c>
      <c r="D22" s="1">
        <v>246.63499999999999</v>
      </c>
      <c r="E22" s="1">
        <v>538.17600000000004</v>
      </c>
      <c r="F22" s="1">
        <v>-42.396000000000001</v>
      </c>
      <c r="G22" s="7">
        <v>1</v>
      </c>
      <c r="H22" s="1">
        <v>70</v>
      </c>
      <c r="I22" s="9" t="s">
        <v>50</v>
      </c>
      <c r="J22" s="1"/>
      <c r="K22" s="1">
        <v>521.98500000000001</v>
      </c>
      <c r="L22" s="1">
        <f t="shared" si="5"/>
        <v>16.191000000000031</v>
      </c>
      <c r="M22" s="1"/>
      <c r="N22" s="1"/>
      <c r="O22" s="1">
        <v>400</v>
      </c>
      <c r="P22" s="1"/>
      <c r="Q22" s="1"/>
      <c r="R22" s="1">
        <v>537.87300000000005</v>
      </c>
      <c r="S22" s="20"/>
      <c r="T22" s="1">
        <v>268.93650000000002</v>
      </c>
      <c r="U22" s="20"/>
      <c r="V22" s="1">
        <f t="shared" si="6"/>
        <v>107.63520000000001</v>
      </c>
      <c r="W22" s="5">
        <f t="shared" si="15"/>
        <v>73.391300000000044</v>
      </c>
      <c r="X22" s="5">
        <v>400</v>
      </c>
      <c r="Y22" s="5">
        <f>X22</f>
        <v>400</v>
      </c>
      <c r="Z22" s="5">
        <v>200</v>
      </c>
      <c r="AA22" s="1">
        <f>VLOOKUP(A22,[1]Sheet!$A:$W,22,0)</f>
        <v>600</v>
      </c>
      <c r="AB22" s="1" t="str">
        <f>VLOOKUP(A22,[1]Sheet!$A:$W,23,0)</f>
        <v>промо жц</v>
      </c>
      <c r="AC22" s="1">
        <f t="shared" si="11"/>
        <v>16.392532368593173</v>
      </c>
      <c r="AD22" s="1">
        <f t="shared" si="7"/>
        <v>10.818147780651682</v>
      </c>
      <c r="AE22" s="1">
        <v>111.0834</v>
      </c>
      <c r="AF22" s="1">
        <v>83.725200000000001</v>
      </c>
      <c r="AG22" s="1">
        <v>68.192800000000005</v>
      </c>
      <c r="AH22" s="1">
        <v>74.657200000000003</v>
      </c>
      <c r="AI22" s="1">
        <v>76.412599999999998</v>
      </c>
      <c r="AJ22" s="1">
        <v>86.384199999999993</v>
      </c>
      <c r="AK22" s="1">
        <v>84.844200000000001</v>
      </c>
      <c r="AL22" s="1">
        <v>79.9756</v>
      </c>
      <c r="AM22" s="1">
        <v>79.880200000000002</v>
      </c>
      <c r="AN22" s="1">
        <v>85.579599999999999</v>
      </c>
      <c r="AO22" s="1" t="s">
        <v>179</v>
      </c>
      <c r="AP22" s="1">
        <f t="shared" si="12"/>
        <v>400</v>
      </c>
      <c r="AQ22" s="1">
        <f t="shared" si="13"/>
        <v>200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1" t="s">
        <v>60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39</v>
      </c>
      <c r="J23" s="11"/>
      <c r="K23" s="11"/>
      <c r="L23" s="11">
        <f t="shared" si="5"/>
        <v>0</v>
      </c>
      <c r="M23" s="11"/>
      <c r="N23" s="11"/>
      <c r="O23" s="11">
        <v>0</v>
      </c>
      <c r="P23" s="11"/>
      <c r="Q23" s="11"/>
      <c r="R23" s="11">
        <v>0</v>
      </c>
      <c r="S23" s="22"/>
      <c r="T23" s="11"/>
      <c r="U23" s="22"/>
      <c r="V23" s="11">
        <f t="shared" si="6"/>
        <v>0</v>
      </c>
      <c r="W23" s="13"/>
      <c r="X23" s="5">
        <f t="shared" si="14"/>
        <v>0</v>
      </c>
      <c r="Y23" s="5">
        <f>X23-Z23</f>
        <v>0</v>
      </c>
      <c r="Z23" s="5"/>
      <c r="AA23" s="1"/>
      <c r="AB23" s="1"/>
      <c r="AC23" s="1" t="e">
        <f t="shared" si="11"/>
        <v>#DIV/0!</v>
      </c>
      <c r="AD23" s="11" t="e">
        <f t="shared" si="7"/>
        <v>#DIV/0!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 t="s">
        <v>44</v>
      </c>
      <c r="AP23" s="1">
        <f t="shared" si="12"/>
        <v>0</v>
      </c>
      <c r="AQ23" s="1">
        <f t="shared" si="13"/>
        <v>0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61</v>
      </c>
      <c r="B24" s="1" t="s">
        <v>38</v>
      </c>
      <c r="C24" s="1">
        <v>434.29199999999997</v>
      </c>
      <c r="D24" s="1">
        <v>691.55100000000004</v>
      </c>
      <c r="E24" s="1">
        <v>775.63</v>
      </c>
      <c r="F24" s="1">
        <v>241.482</v>
      </c>
      <c r="G24" s="7">
        <v>1</v>
      </c>
      <c r="H24" s="1">
        <v>70</v>
      </c>
      <c r="I24" s="9" t="s">
        <v>50</v>
      </c>
      <c r="J24" s="1"/>
      <c r="K24" s="1">
        <v>752.70500000000004</v>
      </c>
      <c r="L24" s="1">
        <f t="shared" si="5"/>
        <v>22.924999999999955</v>
      </c>
      <c r="M24" s="1"/>
      <c r="N24" s="1"/>
      <c r="O24" s="1">
        <v>777.03771400000005</v>
      </c>
      <c r="P24" s="1"/>
      <c r="Q24" s="1"/>
      <c r="R24" s="1">
        <v>319.04428599999989</v>
      </c>
      <c r="S24" s="20"/>
      <c r="T24" s="1">
        <v>159.522143</v>
      </c>
      <c r="U24" s="20"/>
      <c r="V24" s="1">
        <f t="shared" si="6"/>
        <v>155.126</v>
      </c>
      <c r="W24" s="5">
        <f t="shared" ref="W24:W25" si="19">11.5*V24-T24-R24-Q24-P24-O24-F24</f>
        <v>286.8628570000003</v>
      </c>
      <c r="X24" s="5">
        <v>500</v>
      </c>
      <c r="Y24" s="5">
        <f t="shared" ref="Y24:Y29" si="20">X24</f>
        <v>500</v>
      </c>
      <c r="Z24" s="5">
        <v>150</v>
      </c>
      <c r="AA24" s="1">
        <f>VLOOKUP(A24,[1]Sheet!$A:$W,22,0)</f>
        <v>500</v>
      </c>
      <c r="AB24" s="1" t="str">
        <f>VLOOKUP(A24,[1]Sheet!$A:$W,23,0)</f>
        <v>промо жц</v>
      </c>
      <c r="AC24" s="1">
        <f t="shared" si="11"/>
        <v>13.840917338163813</v>
      </c>
      <c r="AD24" s="1">
        <f t="shared" si="7"/>
        <v>9.6507751311836802</v>
      </c>
      <c r="AE24" s="1">
        <v>164.63640000000001</v>
      </c>
      <c r="AF24" s="1">
        <v>125.02379999999999</v>
      </c>
      <c r="AG24" s="1">
        <v>109.46899999999999</v>
      </c>
      <c r="AH24" s="1">
        <v>119.8348</v>
      </c>
      <c r="AI24" s="1">
        <v>117.5896</v>
      </c>
      <c r="AJ24" s="1">
        <v>135.84819999999999</v>
      </c>
      <c r="AK24" s="1">
        <v>138.06559999999999</v>
      </c>
      <c r="AL24" s="1">
        <v>123.43040000000001</v>
      </c>
      <c r="AM24" s="1">
        <v>120.05240000000001</v>
      </c>
      <c r="AN24" s="1">
        <v>127.38039999999999</v>
      </c>
      <c r="AO24" s="1" t="s">
        <v>179</v>
      </c>
      <c r="AP24" s="1">
        <f t="shared" si="12"/>
        <v>500</v>
      </c>
      <c r="AQ24" s="1">
        <f t="shared" si="13"/>
        <v>150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62</v>
      </c>
      <c r="B25" s="1" t="s">
        <v>38</v>
      </c>
      <c r="C25" s="1">
        <v>73.81</v>
      </c>
      <c r="D25" s="1">
        <v>126.465</v>
      </c>
      <c r="E25" s="1">
        <v>101.706</v>
      </c>
      <c r="F25" s="1">
        <v>75.960999999999999</v>
      </c>
      <c r="G25" s="7">
        <v>1</v>
      </c>
      <c r="H25" s="1">
        <v>40</v>
      </c>
      <c r="I25" s="9" t="s">
        <v>50</v>
      </c>
      <c r="J25" s="1"/>
      <c r="K25" s="1">
        <v>146.25</v>
      </c>
      <c r="L25" s="1">
        <f t="shared" si="5"/>
        <v>-44.543999999999997</v>
      </c>
      <c r="M25" s="1"/>
      <c r="N25" s="1"/>
      <c r="O25" s="1">
        <v>50</v>
      </c>
      <c r="P25" s="1"/>
      <c r="Q25" s="1"/>
      <c r="R25" s="1">
        <v>20</v>
      </c>
      <c r="S25" s="20"/>
      <c r="T25" s="1"/>
      <c r="U25" s="20"/>
      <c r="V25" s="1">
        <f t="shared" si="6"/>
        <v>20.341200000000001</v>
      </c>
      <c r="W25" s="5">
        <f t="shared" si="19"/>
        <v>87.962800000000001</v>
      </c>
      <c r="X25" s="5">
        <v>120</v>
      </c>
      <c r="Y25" s="5">
        <f t="shared" si="20"/>
        <v>120</v>
      </c>
      <c r="Z25" s="5"/>
      <c r="AA25" s="1">
        <f>VLOOKUP(A25,[1]Sheet!$A:$W,22,0)</f>
        <v>120</v>
      </c>
      <c r="AB25" s="1"/>
      <c r="AC25" s="1">
        <f t="shared" si="11"/>
        <v>13.074990659351464</v>
      </c>
      <c r="AD25" s="1">
        <f t="shared" si="7"/>
        <v>7.175633689261204</v>
      </c>
      <c r="AE25" s="1">
        <v>17.2774</v>
      </c>
      <c r="AF25" s="1">
        <v>12.4376</v>
      </c>
      <c r="AG25" s="1">
        <v>11.840400000000001</v>
      </c>
      <c r="AH25" s="1">
        <v>19.3386</v>
      </c>
      <c r="AI25" s="1">
        <v>18.895199999999999</v>
      </c>
      <c r="AJ25" s="1">
        <v>31.544799999999999</v>
      </c>
      <c r="AK25" s="1">
        <v>30.824200000000001</v>
      </c>
      <c r="AL25" s="1">
        <v>25.345600000000001</v>
      </c>
      <c r="AM25" s="1">
        <v>25.345600000000001</v>
      </c>
      <c r="AN25" s="1">
        <v>29.334199999999999</v>
      </c>
      <c r="AO25" s="1"/>
      <c r="AP25" s="1">
        <f t="shared" si="12"/>
        <v>120</v>
      </c>
      <c r="AQ25" s="1">
        <f t="shared" si="13"/>
        <v>0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 t="s">
        <v>63</v>
      </c>
      <c r="B26" s="1" t="s">
        <v>38</v>
      </c>
      <c r="C26" s="1">
        <v>28.45</v>
      </c>
      <c r="D26" s="1">
        <v>98.146000000000001</v>
      </c>
      <c r="E26" s="1">
        <v>68.914000000000001</v>
      </c>
      <c r="F26" s="1">
        <v>3.133</v>
      </c>
      <c r="G26" s="7">
        <v>1</v>
      </c>
      <c r="H26" s="1">
        <v>30</v>
      </c>
      <c r="I26" s="9" t="s">
        <v>50</v>
      </c>
      <c r="J26" s="1"/>
      <c r="K26" s="1">
        <v>151</v>
      </c>
      <c r="L26" s="1">
        <f t="shared" si="5"/>
        <v>-82.085999999999999</v>
      </c>
      <c r="M26" s="1"/>
      <c r="N26" s="1"/>
      <c r="O26" s="1">
        <v>200</v>
      </c>
      <c r="P26" s="1"/>
      <c r="Q26" s="1"/>
      <c r="R26" s="1">
        <v>29.032999999999991</v>
      </c>
      <c r="S26" s="20"/>
      <c r="T26" s="1">
        <v>14.51649999999999</v>
      </c>
      <c r="U26" s="20"/>
      <c r="V26" s="1">
        <f t="shared" si="6"/>
        <v>13.7828</v>
      </c>
      <c r="W26" s="5"/>
      <c r="X26" s="5">
        <v>100</v>
      </c>
      <c r="Y26" s="5">
        <f t="shared" si="20"/>
        <v>100</v>
      </c>
      <c r="Z26" s="5">
        <v>50</v>
      </c>
      <c r="AA26" s="1">
        <f>VLOOKUP(A26,[1]Sheet!$A:$W,22,0)</f>
        <v>200</v>
      </c>
      <c r="AB26" s="1"/>
      <c r="AC26" s="1">
        <f t="shared" si="11"/>
        <v>28.780980642539976</v>
      </c>
      <c r="AD26" s="1">
        <f t="shared" si="7"/>
        <v>17.897850944655655</v>
      </c>
      <c r="AE26" s="1">
        <v>31.713999999999999</v>
      </c>
      <c r="AF26" s="1">
        <v>56.964200000000012</v>
      </c>
      <c r="AG26" s="1">
        <v>51.535799999999988</v>
      </c>
      <c r="AH26" s="1">
        <v>64.481399999999994</v>
      </c>
      <c r="AI26" s="1">
        <v>63.1462</v>
      </c>
      <c r="AJ26" s="1">
        <v>55.573599999999999</v>
      </c>
      <c r="AK26" s="1">
        <v>57.696000000000012</v>
      </c>
      <c r="AL26" s="1">
        <v>53.5364</v>
      </c>
      <c r="AM26" s="1">
        <v>46.989400000000003</v>
      </c>
      <c r="AN26" s="1">
        <v>50.754199999999997</v>
      </c>
      <c r="AO26" s="1"/>
      <c r="AP26" s="1">
        <f t="shared" si="12"/>
        <v>100</v>
      </c>
      <c r="AQ26" s="1">
        <f t="shared" si="13"/>
        <v>50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64</v>
      </c>
      <c r="B27" s="1" t="s">
        <v>38</v>
      </c>
      <c r="C27" s="1"/>
      <c r="D27" s="1">
        <v>72.867000000000004</v>
      </c>
      <c r="E27" s="1">
        <v>33.521999999999998</v>
      </c>
      <c r="F27" s="1">
        <v>16.231000000000002</v>
      </c>
      <c r="G27" s="7">
        <v>1</v>
      </c>
      <c r="H27" s="1">
        <v>40</v>
      </c>
      <c r="I27" s="9" t="s">
        <v>50</v>
      </c>
      <c r="J27" s="1"/>
      <c r="K27" s="1">
        <v>42.4</v>
      </c>
      <c r="L27" s="1">
        <f t="shared" si="5"/>
        <v>-8.8780000000000001</v>
      </c>
      <c r="M27" s="1"/>
      <c r="N27" s="1"/>
      <c r="O27" s="1">
        <v>150</v>
      </c>
      <c r="P27" s="1"/>
      <c r="Q27" s="1"/>
      <c r="R27" s="1">
        <v>100</v>
      </c>
      <c r="S27" s="20"/>
      <c r="T27" s="1"/>
      <c r="U27" s="20"/>
      <c r="V27" s="1">
        <f t="shared" si="6"/>
        <v>6.7043999999999997</v>
      </c>
      <c r="W27" s="5"/>
      <c r="X27" s="5">
        <v>100</v>
      </c>
      <c r="Y27" s="5">
        <f t="shared" si="20"/>
        <v>100</v>
      </c>
      <c r="Z27" s="5">
        <v>50</v>
      </c>
      <c r="AA27" s="1">
        <f>VLOOKUP(A27,[1]Sheet!$A:$W,22,0)</f>
        <v>200</v>
      </c>
      <c r="AB27" s="1"/>
      <c r="AC27" s="1">
        <f t="shared" si="11"/>
        <v>62.083258755444191</v>
      </c>
      <c r="AD27" s="1">
        <f t="shared" si="7"/>
        <v>39.709892011216517</v>
      </c>
      <c r="AE27" s="1">
        <v>-0.26340000000000002</v>
      </c>
      <c r="AF27" s="1">
        <v>-0.60759999999999992</v>
      </c>
      <c r="AG27" s="1">
        <v>-1.0568</v>
      </c>
      <c r="AH27" s="1">
        <v>-1.4947999999999999</v>
      </c>
      <c r="AI27" s="1">
        <v>-1.6392</v>
      </c>
      <c r="AJ27" s="1">
        <v>-1.9690000000000001</v>
      </c>
      <c r="AK27" s="1">
        <v>-1.5426</v>
      </c>
      <c r="AL27" s="1">
        <v>0.627</v>
      </c>
      <c r="AM27" s="1">
        <v>13.4148</v>
      </c>
      <c r="AN27" s="1">
        <v>42.743000000000002</v>
      </c>
      <c r="AO27" s="1"/>
      <c r="AP27" s="1">
        <f t="shared" si="12"/>
        <v>100</v>
      </c>
      <c r="AQ27" s="1">
        <f t="shared" si="13"/>
        <v>50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 t="s">
        <v>65</v>
      </c>
      <c r="B28" s="1" t="s">
        <v>38</v>
      </c>
      <c r="C28" s="1">
        <v>2292.9160000000002</v>
      </c>
      <c r="D28" s="1">
        <v>1061.029</v>
      </c>
      <c r="E28" s="1">
        <v>1542.9169999999999</v>
      </c>
      <c r="F28" s="1">
        <v>1471.9059999999999</v>
      </c>
      <c r="G28" s="7">
        <v>1</v>
      </c>
      <c r="H28" s="1">
        <v>30</v>
      </c>
      <c r="I28" s="9" t="s">
        <v>50</v>
      </c>
      <c r="J28" s="1"/>
      <c r="K28" s="1">
        <v>1564.5</v>
      </c>
      <c r="L28" s="1">
        <f t="shared" si="5"/>
        <v>-21.583000000000084</v>
      </c>
      <c r="M28" s="1"/>
      <c r="N28" s="1"/>
      <c r="O28" s="1">
        <v>0</v>
      </c>
      <c r="P28" s="1"/>
      <c r="Q28" s="1"/>
      <c r="R28" s="1">
        <v>621.58879999999999</v>
      </c>
      <c r="S28" s="20"/>
      <c r="T28" s="1">
        <v>310.7944</v>
      </c>
      <c r="U28" s="20"/>
      <c r="V28" s="1">
        <f t="shared" si="6"/>
        <v>308.58339999999998</v>
      </c>
      <c r="W28" s="5">
        <f t="shared" ref="W28" si="21">10*V28-T28-R28-Q28-P28-O28-F28</f>
        <v>681.54480000000012</v>
      </c>
      <c r="X28" s="5">
        <f t="shared" si="14"/>
        <v>681.54480000000012</v>
      </c>
      <c r="Y28" s="5">
        <f t="shared" si="20"/>
        <v>681.54480000000012</v>
      </c>
      <c r="Z28" s="5"/>
      <c r="AA28" s="1"/>
      <c r="AB28" s="1"/>
      <c r="AC28" s="1">
        <f t="shared" si="11"/>
        <v>10.000000000000002</v>
      </c>
      <c r="AD28" s="1">
        <f t="shared" si="7"/>
        <v>7.7913756864432768</v>
      </c>
      <c r="AE28" s="1">
        <v>309.00920000000002</v>
      </c>
      <c r="AF28" s="1">
        <v>309.85000000000002</v>
      </c>
      <c r="AG28" s="1">
        <v>343.67439999999999</v>
      </c>
      <c r="AH28" s="1">
        <v>383.32839999999999</v>
      </c>
      <c r="AI28" s="1">
        <v>403.56360000000001</v>
      </c>
      <c r="AJ28" s="1">
        <v>375.65600000000001</v>
      </c>
      <c r="AK28" s="1">
        <v>362.08580000000001</v>
      </c>
      <c r="AL28" s="1">
        <v>409.18340000000001</v>
      </c>
      <c r="AM28" s="1">
        <v>406.64479999999998</v>
      </c>
      <c r="AN28" s="1">
        <v>471.33839999999998</v>
      </c>
      <c r="AO28" s="10" t="s">
        <v>47</v>
      </c>
      <c r="AP28" s="1">
        <f t="shared" si="12"/>
        <v>682</v>
      </c>
      <c r="AQ28" s="1">
        <f t="shared" si="13"/>
        <v>0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 t="s">
        <v>66</v>
      </c>
      <c r="B29" s="1" t="s">
        <v>38</v>
      </c>
      <c r="C29" s="1">
        <v>2608.4079999999999</v>
      </c>
      <c r="D29" s="1">
        <v>59.793999999999997</v>
      </c>
      <c r="E29" s="1">
        <v>2443.7510000000002</v>
      </c>
      <c r="F29" s="1">
        <v>9.2390000000000008</v>
      </c>
      <c r="G29" s="7">
        <v>1</v>
      </c>
      <c r="H29" s="1">
        <v>40</v>
      </c>
      <c r="I29" s="9" t="s">
        <v>50</v>
      </c>
      <c r="J29" s="1"/>
      <c r="K29" s="1">
        <v>2315.4</v>
      </c>
      <c r="L29" s="1">
        <f t="shared" si="5"/>
        <v>128.35100000000011</v>
      </c>
      <c r="M29" s="1"/>
      <c r="N29" s="1"/>
      <c r="O29" s="1">
        <v>600</v>
      </c>
      <c r="P29" s="1"/>
      <c r="Q29" s="1"/>
      <c r="R29" s="1">
        <v>1200</v>
      </c>
      <c r="S29" s="20"/>
      <c r="T29" s="1">
        <v>1000</v>
      </c>
      <c r="U29" s="20"/>
      <c r="V29" s="1">
        <f t="shared" si="6"/>
        <v>488.75020000000006</v>
      </c>
      <c r="W29" s="5">
        <v>1200</v>
      </c>
      <c r="X29" s="5">
        <f t="shared" si="14"/>
        <v>1200</v>
      </c>
      <c r="Y29" s="5">
        <f t="shared" si="20"/>
        <v>1200</v>
      </c>
      <c r="Z29" s="5">
        <v>500</v>
      </c>
      <c r="AA29" s="1"/>
      <c r="AB29" s="1"/>
      <c r="AC29" s="1">
        <f t="shared" si="11"/>
        <v>9.2260606747577789</v>
      </c>
      <c r="AD29" s="1">
        <f t="shared" si="7"/>
        <v>5.7478012285212357</v>
      </c>
      <c r="AE29" s="1">
        <v>422.90960000000001</v>
      </c>
      <c r="AF29" s="1">
        <v>262.32420000000002</v>
      </c>
      <c r="AG29" s="1">
        <v>321.25979999999998</v>
      </c>
      <c r="AH29" s="1">
        <v>287.47000000000003</v>
      </c>
      <c r="AI29" s="1">
        <v>116.49420000000001</v>
      </c>
      <c r="AJ29" s="1">
        <v>-1.4292</v>
      </c>
      <c r="AK29" s="1">
        <v>-0.58739999999999992</v>
      </c>
      <c r="AL29" s="1">
        <v>-0.2024</v>
      </c>
      <c r="AM29" s="1">
        <v>-0.22040000000000001</v>
      </c>
      <c r="AN29" s="1">
        <v>466.95479999999998</v>
      </c>
      <c r="AO29" s="10" t="s">
        <v>47</v>
      </c>
      <c r="AP29" s="1">
        <f t="shared" si="12"/>
        <v>1200</v>
      </c>
      <c r="AQ29" s="1">
        <f t="shared" si="13"/>
        <v>500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1" t="s">
        <v>67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/>
      <c r="L30" s="11">
        <f t="shared" si="5"/>
        <v>0</v>
      </c>
      <c r="M30" s="11"/>
      <c r="N30" s="11"/>
      <c r="O30" s="11">
        <v>0</v>
      </c>
      <c r="P30" s="11"/>
      <c r="Q30" s="11"/>
      <c r="R30" s="11">
        <v>0</v>
      </c>
      <c r="S30" s="22"/>
      <c r="T30" s="11"/>
      <c r="U30" s="22"/>
      <c r="V30" s="11">
        <f t="shared" si="6"/>
        <v>0</v>
      </c>
      <c r="W30" s="13"/>
      <c r="X30" s="5">
        <f t="shared" si="14"/>
        <v>0</v>
      </c>
      <c r="Y30" s="5">
        <f t="shared" ref="Y30:Y33" si="22">X30-Z30</f>
        <v>0</v>
      </c>
      <c r="Z30" s="5"/>
      <c r="AA30" s="1"/>
      <c r="AB30" s="1"/>
      <c r="AC30" s="1" t="e">
        <f t="shared" si="11"/>
        <v>#DIV/0!</v>
      </c>
      <c r="AD30" s="11" t="e">
        <f t="shared" si="7"/>
        <v>#DIV/0!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 t="s">
        <v>44</v>
      </c>
      <c r="AP30" s="1">
        <f t="shared" si="12"/>
        <v>0</v>
      </c>
      <c r="AQ30" s="1">
        <f t="shared" si="13"/>
        <v>0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" t="s">
        <v>68</v>
      </c>
      <c r="B31" s="1" t="s">
        <v>38</v>
      </c>
      <c r="C31" s="1">
        <v>87.471000000000004</v>
      </c>
      <c r="D31" s="1">
        <v>278.93799999999999</v>
      </c>
      <c r="E31" s="1">
        <v>203.17500000000001</v>
      </c>
      <c r="F31" s="1">
        <v>106.848</v>
      </c>
      <c r="G31" s="7">
        <v>1</v>
      </c>
      <c r="H31" s="1">
        <v>30</v>
      </c>
      <c r="I31" s="1" t="s">
        <v>39</v>
      </c>
      <c r="J31" s="1"/>
      <c r="K31" s="1">
        <v>234.3</v>
      </c>
      <c r="L31" s="1">
        <f t="shared" si="5"/>
        <v>-31.125</v>
      </c>
      <c r="M31" s="1"/>
      <c r="N31" s="1"/>
      <c r="O31" s="1">
        <v>99.896800000000042</v>
      </c>
      <c r="P31" s="1"/>
      <c r="Q31" s="1"/>
      <c r="R31" s="1">
        <v>154.0697999999999</v>
      </c>
      <c r="S31" s="20"/>
      <c r="T31" s="1"/>
      <c r="U31" s="20"/>
      <c r="V31" s="1">
        <f t="shared" si="6"/>
        <v>40.635000000000005</v>
      </c>
      <c r="W31" s="5">
        <f>11.5*V31-T31-R31-Q31-P31-O31-F31</f>
        <v>106.4879000000001</v>
      </c>
      <c r="X31" s="5">
        <f t="shared" si="14"/>
        <v>106.4879000000001</v>
      </c>
      <c r="Y31" s="5">
        <f t="shared" si="22"/>
        <v>106.4879000000001</v>
      </c>
      <c r="Z31" s="5"/>
      <c r="AA31" s="1"/>
      <c r="AB31" s="1"/>
      <c r="AC31" s="1">
        <f t="shared" si="11"/>
        <v>11.499999999999998</v>
      </c>
      <c r="AD31" s="1">
        <f t="shared" si="7"/>
        <v>8.8794044542881725</v>
      </c>
      <c r="AE31" s="1">
        <v>42.814599999999999</v>
      </c>
      <c r="AF31" s="1">
        <v>37.282200000000003</v>
      </c>
      <c r="AG31" s="1">
        <v>38.766399999999997</v>
      </c>
      <c r="AH31" s="1">
        <v>36.948799999999999</v>
      </c>
      <c r="AI31" s="1">
        <v>31.436399999999999</v>
      </c>
      <c r="AJ31" s="1">
        <v>41.902799999999999</v>
      </c>
      <c r="AK31" s="1">
        <v>49.4908</v>
      </c>
      <c r="AL31" s="1">
        <v>47.421799999999998</v>
      </c>
      <c r="AM31" s="1">
        <v>41.256</v>
      </c>
      <c r="AN31" s="1">
        <v>46.957599999999999</v>
      </c>
      <c r="AO31" s="1"/>
      <c r="AP31" s="1">
        <f t="shared" si="12"/>
        <v>106</v>
      </c>
      <c r="AQ31" s="1">
        <f t="shared" si="13"/>
        <v>0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1" t="s">
        <v>69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39</v>
      </c>
      <c r="J32" s="11"/>
      <c r="K32" s="11"/>
      <c r="L32" s="11">
        <f t="shared" si="5"/>
        <v>0</v>
      </c>
      <c r="M32" s="11"/>
      <c r="N32" s="11"/>
      <c r="O32" s="11">
        <v>0</v>
      </c>
      <c r="P32" s="11"/>
      <c r="Q32" s="11"/>
      <c r="R32" s="11">
        <v>0</v>
      </c>
      <c r="S32" s="22"/>
      <c r="T32" s="11"/>
      <c r="U32" s="22"/>
      <c r="V32" s="11">
        <f t="shared" si="6"/>
        <v>0</v>
      </c>
      <c r="W32" s="13"/>
      <c r="X32" s="5">
        <f t="shared" si="14"/>
        <v>0</v>
      </c>
      <c r="Y32" s="5">
        <f t="shared" si="22"/>
        <v>0</v>
      </c>
      <c r="Z32" s="5"/>
      <c r="AA32" s="1"/>
      <c r="AB32" s="1"/>
      <c r="AC32" s="1" t="e">
        <f t="shared" si="11"/>
        <v>#DIV/0!</v>
      </c>
      <c r="AD32" s="11" t="e">
        <f t="shared" si="7"/>
        <v>#DIV/0!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 t="s">
        <v>44</v>
      </c>
      <c r="AP32" s="1">
        <f t="shared" si="12"/>
        <v>0</v>
      </c>
      <c r="AQ32" s="1">
        <f t="shared" si="13"/>
        <v>0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1" t="s">
        <v>70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39</v>
      </c>
      <c r="J33" s="11"/>
      <c r="K33" s="11"/>
      <c r="L33" s="11">
        <f t="shared" si="5"/>
        <v>0</v>
      </c>
      <c r="M33" s="11"/>
      <c r="N33" s="11"/>
      <c r="O33" s="11">
        <v>0</v>
      </c>
      <c r="P33" s="11"/>
      <c r="Q33" s="11"/>
      <c r="R33" s="11">
        <v>0</v>
      </c>
      <c r="S33" s="22"/>
      <c r="T33" s="11"/>
      <c r="U33" s="22"/>
      <c r="V33" s="11">
        <f t="shared" si="6"/>
        <v>0</v>
      </c>
      <c r="W33" s="13"/>
      <c r="X33" s="5">
        <f t="shared" si="14"/>
        <v>0</v>
      </c>
      <c r="Y33" s="5">
        <f t="shared" si="22"/>
        <v>0</v>
      </c>
      <c r="Z33" s="5"/>
      <c r="AA33" s="1"/>
      <c r="AB33" s="1"/>
      <c r="AC33" s="1" t="e">
        <f t="shared" si="11"/>
        <v>#DIV/0!</v>
      </c>
      <c r="AD33" s="11" t="e">
        <f t="shared" si="7"/>
        <v>#DIV/0!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 t="s">
        <v>44</v>
      </c>
      <c r="AP33" s="1">
        <f t="shared" si="12"/>
        <v>0</v>
      </c>
      <c r="AQ33" s="1">
        <f t="shared" si="13"/>
        <v>0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71</v>
      </c>
      <c r="B34" s="1" t="s">
        <v>43</v>
      </c>
      <c r="C34" s="1">
        <v>1845</v>
      </c>
      <c r="D34" s="1">
        <v>3935</v>
      </c>
      <c r="E34" s="1">
        <v>3875</v>
      </c>
      <c r="F34" s="1">
        <v>1024</v>
      </c>
      <c r="G34" s="7">
        <v>0.4</v>
      </c>
      <c r="H34" s="1">
        <v>45</v>
      </c>
      <c r="I34" s="9" t="s">
        <v>50</v>
      </c>
      <c r="J34" s="1"/>
      <c r="K34" s="1">
        <v>4787</v>
      </c>
      <c r="L34" s="1">
        <f t="shared" si="5"/>
        <v>-912</v>
      </c>
      <c r="M34" s="1"/>
      <c r="N34" s="1"/>
      <c r="O34" s="1">
        <v>2500</v>
      </c>
      <c r="P34" s="1"/>
      <c r="Q34" s="1"/>
      <c r="R34" s="1">
        <v>1800</v>
      </c>
      <c r="S34" s="20"/>
      <c r="T34" s="1">
        <v>1500</v>
      </c>
      <c r="U34" s="20"/>
      <c r="V34" s="1">
        <f t="shared" si="6"/>
        <v>775</v>
      </c>
      <c r="W34" s="5">
        <v>1800</v>
      </c>
      <c r="X34" s="5">
        <f t="shared" si="14"/>
        <v>1800</v>
      </c>
      <c r="Y34" s="5">
        <f>X34</f>
        <v>1800</v>
      </c>
      <c r="Z34" s="5">
        <v>1600</v>
      </c>
      <c r="AA34" s="1"/>
      <c r="AB34" s="1"/>
      <c r="AC34" s="1">
        <f t="shared" si="11"/>
        <v>13.192258064516128</v>
      </c>
      <c r="AD34" s="1">
        <f t="shared" si="7"/>
        <v>8.8051612903225802</v>
      </c>
      <c r="AE34" s="1">
        <v>836.2</v>
      </c>
      <c r="AF34" s="1">
        <v>969.8</v>
      </c>
      <c r="AG34" s="1">
        <v>933.4</v>
      </c>
      <c r="AH34" s="1">
        <v>1078.5999999999999</v>
      </c>
      <c r="AI34" s="1">
        <v>761.4</v>
      </c>
      <c r="AJ34" s="1">
        <v>350.6</v>
      </c>
      <c r="AK34" s="1">
        <v>627.6</v>
      </c>
      <c r="AL34" s="1">
        <v>957.4</v>
      </c>
      <c r="AM34" s="1">
        <v>972</v>
      </c>
      <c r="AN34" s="1">
        <v>989.81200000000013</v>
      </c>
      <c r="AO34" s="1"/>
      <c r="AP34" s="1">
        <f t="shared" si="12"/>
        <v>720</v>
      </c>
      <c r="AQ34" s="1">
        <f t="shared" si="13"/>
        <v>640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72</v>
      </c>
      <c r="B35" s="1" t="s">
        <v>43</v>
      </c>
      <c r="C35" s="1">
        <v>578</v>
      </c>
      <c r="D35" s="1">
        <v>390</v>
      </c>
      <c r="E35" s="1">
        <v>628</v>
      </c>
      <c r="F35" s="1">
        <v>184</v>
      </c>
      <c r="G35" s="7">
        <v>0.45</v>
      </c>
      <c r="H35" s="1">
        <v>50</v>
      </c>
      <c r="I35" s="1" t="s">
        <v>39</v>
      </c>
      <c r="J35" s="1"/>
      <c r="K35" s="1">
        <v>631</v>
      </c>
      <c r="L35" s="1">
        <f t="shared" si="5"/>
        <v>-3</v>
      </c>
      <c r="M35" s="1"/>
      <c r="N35" s="1"/>
      <c r="O35" s="1">
        <v>285.4140000000001</v>
      </c>
      <c r="P35" s="1"/>
      <c r="Q35" s="1"/>
      <c r="R35" s="1">
        <v>256.38599999999991</v>
      </c>
      <c r="S35" s="20"/>
      <c r="T35" s="1">
        <v>300</v>
      </c>
      <c r="U35" s="20"/>
      <c r="V35" s="1">
        <f t="shared" si="6"/>
        <v>125.6</v>
      </c>
      <c r="W35" s="5">
        <f t="shared" ref="W35:W84" si="23">11.5*V35-T35-R35-Q35-P35-O35-F35</f>
        <v>418.5999999999998</v>
      </c>
      <c r="X35" s="5">
        <v>550</v>
      </c>
      <c r="Y35" s="5">
        <f>X35-Z35</f>
        <v>213.40000000000003</v>
      </c>
      <c r="Z35" s="5">
        <f>X35*$Z$1</f>
        <v>336.59999999999997</v>
      </c>
      <c r="AA35" s="1"/>
      <c r="AB35" s="1"/>
      <c r="AC35" s="1">
        <f t="shared" si="11"/>
        <v>12.546178343949045</v>
      </c>
      <c r="AD35" s="1">
        <f t="shared" si="7"/>
        <v>8.1671974522292992</v>
      </c>
      <c r="AE35" s="1">
        <v>116.8</v>
      </c>
      <c r="AF35" s="1">
        <v>77</v>
      </c>
      <c r="AG35" s="1">
        <v>84.6</v>
      </c>
      <c r="AH35" s="1">
        <v>90.2</v>
      </c>
      <c r="AI35" s="1">
        <v>85.2</v>
      </c>
      <c r="AJ35" s="1">
        <v>96.8</v>
      </c>
      <c r="AK35" s="1">
        <v>99.2</v>
      </c>
      <c r="AL35" s="1">
        <v>105.4</v>
      </c>
      <c r="AM35" s="1">
        <v>102.8</v>
      </c>
      <c r="AN35" s="1">
        <v>77.8</v>
      </c>
      <c r="AO35" s="1"/>
      <c r="AP35" s="1">
        <f t="shared" si="12"/>
        <v>96</v>
      </c>
      <c r="AQ35" s="1">
        <f t="shared" si="13"/>
        <v>151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73</v>
      </c>
      <c r="B36" s="1" t="s">
        <v>43</v>
      </c>
      <c r="C36" s="1">
        <v>14</v>
      </c>
      <c r="D36" s="1">
        <v>812</v>
      </c>
      <c r="E36" s="1">
        <v>730</v>
      </c>
      <c r="F36" s="1">
        <v>7</v>
      </c>
      <c r="G36" s="7">
        <v>0.4</v>
      </c>
      <c r="H36" s="1">
        <v>45</v>
      </c>
      <c r="I36" s="9" t="s">
        <v>50</v>
      </c>
      <c r="J36" s="1"/>
      <c r="K36" s="1">
        <v>1302</v>
      </c>
      <c r="L36" s="1">
        <f t="shared" si="5"/>
        <v>-572</v>
      </c>
      <c r="M36" s="1"/>
      <c r="N36" s="1"/>
      <c r="O36" s="1">
        <v>400</v>
      </c>
      <c r="P36" s="1"/>
      <c r="Q36" s="1"/>
      <c r="R36" s="1">
        <v>479</v>
      </c>
      <c r="S36" s="20"/>
      <c r="T36" s="1">
        <v>239.5</v>
      </c>
      <c r="U36" s="20"/>
      <c r="V36" s="1">
        <f t="shared" si="6"/>
        <v>146</v>
      </c>
      <c r="W36" s="5">
        <f t="shared" si="23"/>
        <v>553.5</v>
      </c>
      <c r="X36" s="5">
        <f t="shared" si="14"/>
        <v>553.5</v>
      </c>
      <c r="Y36" s="5">
        <f t="shared" ref="Y36:Y38" si="24">X36</f>
        <v>553.5</v>
      </c>
      <c r="Z36" s="5">
        <v>300</v>
      </c>
      <c r="AA36" s="1"/>
      <c r="AB36" s="1"/>
      <c r="AC36" s="1">
        <f t="shared" si="11"/>
        <v>13.554794520547945</v>
      </c>
      <c r="AD36" s="1">
        <f t="shared" si="7"/>
        <v>7.7089041095890414</v>
      </c>
      <c r="AE36" s="1">
        <v>110.2</v>
      </c>
      <c r="AF36" s="1">
        <v>93.4</v>
      </c>
      <c r="AG36" s="1">
        <v>36</v>
      </c>
      <c r="AH36" s="1">
        <v>-0.6</v>
      </c>
      <c r="AI36" s="1">
        <v>-1.2</v>
      </c>
      <c r="AJ36" s="1">
        <v>59</v>
      </c>
      <c r="AK36" s="1">
        <v>102.6</v>
      </c>
      <c r="AL36" s="1">
        <v>216.8</v>
      </c>
      <c r="AM36" s="1">
        <v>259</v>
      </c>
      <c r="AN36" s="1">
        <v>245.2</v>
      </c>
      <c r="AO36" s="1"/>
      <c r="AP36" s="1">
        <f t="shared" si="12"/>
        <v>221</v>
      </c>
      <c r="AQ36" s="1">
        <f t="shared" si="13"/>
        <v>120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74</v>
      </c>
      <c r="B37" s="1" t="s">
        <v>43</v>
      </c>
      <c r="C37" s="1"/>
      <c r="D37" s="1">
        <v>18</v>
      </c>
      <c r="E37" s="1">
        <v>7</v>
      </c>
      <c r="F37" s="1">
        <v>7</v>
      </c>
      <c r="G37" s="7">
        <v>0.4</v>
      </c>
      <c r="H37" s="1">
        <v>40</v>
      </c>
      <c r="I37" s="9" t="s">
        <v>50</v>
      </c>
      <c r="J37" s="1"/>
      <c r="K37" s="1">
        <v>31</v>
      </c>
      <c r="L37" s="1">
        <f t="shared" si="5"/>
        <v>-24</v>
      </c>
      <c r="M37" s="1"/>
      <c r="N37" s="1"/>
      <c r="O37" s="1">
        <v>20</v>
      </c>
      <c r="P37" s="1">
        <v>-24</v>
      </c>
      <c r="Q37" s="1"/>
      <c r="R37" s="1">
        <v>20</v>
      </c>
      <c r="S37" s="20"/>
      <c r="T37" s="1"/>
      <c r="U37" s="20"/>
      <c r="V37" s="1">
        <f t="shared" si="6"/>
        <v>1.4</v>
      </c>
      <c r="W37" s="5">
        <v>20</v>
      </c>
      <c r="X37" s="5">
        <f t="shared" si="14"/>
        <v>20</v>
      </c>
      <c r="Y37" s="5">
        <f t="shared" si="24"/>
        <v>20</v>
      </c>
      <c r="Z37" s="5"/>
      <c r="AA37" s="1"/>
      <c r="AB37" s="1"/>
      <c r="AC37" s="1">
        <f t="shared" si="11"/>
        <v>30.714285714285715</v>
      </c>
      <c r="AD37" s="1">
        <f t="shared" si="7"/>
        <v>16.428571428571431</v>
      </c>
      <c r="AE37" s="1">
        <v>0</v>
      </c>
      <c r="AF37" s="1">
        <v>0</v>
      </c>
      <c r="AG37" s="1">
        <v>-0.2</v>
      </c>
      <c r="AH37" s="1">
        <v>-0.4</v>
      </c>
      <c r="AI37" s="1">
        <v>-0.2</v>
      </c>
      <c r="AJ37" s="1">
        <v>4.4000000000000004</v>
      </c>
      <c r="AK37" s="1">
        <v>7.2</v>
      </c>
      <c r="AL37" s="1">
        <v>3.8</v>
      </c>
      <c r="AM37" s="1">
        <v>2.6</v>
      </c>
      <c r="AN37" s="1">
        <v>3.6</v>
      </c>
      <c r="AO37" s="1"/>
      <c r="AP37" s="1">
        <f t="shared" si="12"/>
        <v>8</v>
      </c>
      <c r="AQ37" s="1">
        <f t="shared" si="13"/>
        <v>0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75</v>
      </c>
      <c r="B38" s="1" t="s">
        <v>38</v>
      </c>
      <c r="C38" s="1">
        <v>262.74799999999999</v>
      </c>
      <c r="D38" s="1">
        <v>119.714</v>
      </c>
      <c r="E38" s="1">
        <v>191.387</v>
      </c>
      <c r="F38" s="1">
        <v>162.71600000000001</v>
      </c>
      <c r="G38" s="7">
        <v>1</v>
      </c>
      <c r="H38" s="1">
        <v>45</v>
      </c>
      <c r="I38" s="9" t="s">
        <v>50</v>
      </c>
      <c r="J38" s="1"/>
      <c r="K38" s="1">
        <v>180.55</v>
      </c>
      <c r="L38" s="1">
        <f t="shared" ref="L38:L69" si="25">E38-K38</f>
        <v>10.836999999999989</v>
      </c>
      <c r="M38" s="1"/>
      <c r="N38" s="1"/>
      <c r="O38" s="1">
        <v>200</v>
      </c>
      <c r="P38" s="1"/>
      <c r="Q38" s="1"/>
      <c r="R38" s="1">
        <v>38.60499999999999</v>
      </c>
      <c r="S38" s="20"/>
      <c r="T38" s="1">
        <v>19.302499999999991</v>
      </c>
      <c r="U38" s="20"/>
      <c r="V38" s="1">
        <f t="shared" ref="V38:V69" si="26">E38/5</f>
        <v>38.2774</v>
      </c>
      <c r="W38" s="5">
        <f t="shared" si="23"/>
        <v>19.566599999999994</v>
      </c>
      <c r="X38" s="5">
        <f t="shared" si="14"/>
        <v>19.566599999999994</v>
      </c>
      <c r="Y38" s="5">
        <f t="shared" si="24"/>
        <v>19.566599999999994</v>
      </c>
      <c r="Z38" s="5">
        <v>20</v>
      </c>
      <c r="AA38" s="1"/>
      <c r="AB38" s="1"/>
      <c r="AC38" s="1">
        <f t="shared" si="11"/>
        <v>12.022501528316971</v>
      </c>
      <c r="AD38" s="1">
        <f t="shared" ref="AD38:AD69" si="27">(F38+O38+P38+Q38+R38+T38)/V38</f>
        <v>10.98882107980166</v>
      </c>
      <c r="AE38" s="1">
        <v>46.067599999999999</v>
      </c>
      <c r="AF38" s="1">
        <v>41.764200000000002</v>
      </c>
      <c r="AG38" s="1">
        <v>24.267199999999999</v>
      </c>
      <c r="AH38" s="1">
        <v>39.761800000000001</v>
      </c>
      <c r="AI38" s="1">
        <v>56.673800000000007</v>
      </c>
      <c r="AJ38" s="1">
        <v>67.0672</v>
      </c>
      <c r="AK38" s="1">
        <v>44.9604</v>
      </c>
      <c r="AL38" s="1">
        <v>-1.5009999999999999</v>
      </c>
      <c r="AM38" s="1">
        <v>-2.0733999999999999</v>
      </c>
      <c r="AN38" s="1">
        <v>9.1658000000000008</v>
      </c>
      <c r="AO38" s="1"/>
      <c r="AP38" s="1">
        <f t="shared" si="12"/>
        <v>20</v>
      </c>
      <c r="AQ38" s="1">
        <f t="shared" si="13"/>
        <v>20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76</v>
      </c>
      <c r="B39" s="1" t="s">
        <v>43</v>
      </c>
      <c r="C39" s="1">
        <v>508</v>
      </c>
      <c r="D39" s="1">
        <v>700</v>
      </c>
      <c r="E39" s="1">
        <v>399</v>
      </c>
      <c r="F39" s="1">
        <v>700</v>
      </c>
      <c r="G39" s="7">
        <v>0.1</v>
      </c>
      <c r="H39" s="1">
        <v>731</v>
      </c>
      <c r="I39" s="1" t="s">
        <v>39</v>
      </c>
      <c r="J39" s="1"/>
      <c r="K39" s="1">
        <v>399</v>
      </c>
      <c r="L39" s="1">
        <f t="shared" si="25"/>
        <v>0</v>
      </c>
      <c r="M39" s="1"/>
      <c r="N39" s="1"/>
      <c r="O39" s="1">
        <v>0</v>
      </c>
      <c r="P39" s="1"/>
      <c r="Q39" s="1"/>
      <c r="R39" s="1">
        <v>0</v>
      </c>
      <c r="S39" s="20"/>
      <c r="T39" s="1"/>
      <c r="U39" s="20"/>
      <c r="V39" s="1">
        <f t="shared" si="26"/>
        <v>79.8</v>
      </c>
      <c r="W39" s="5">
        <f t="shared" si="23"/>
        <v>217.69999999999993</v>
      </c>
      <c r="X39" s="5">
        <v>300</v>
      </c>
      <c r="Y39" s="5">
        <f>X39-Z39</f>
        <v>116.4</v>
      </c>
      <c r="Z39" s="5">
        <f>X39*$Z$1</f>
        <v>183.6</v>
      </c>
      <c r="AA39" s="1"/>
      <c r="AB39" s="1"/>
      <c r="AC39" s="1">
        <f t="shared" si="11"/>
        <v>12.531328320802006</v>
      </c>
      <c r="AD39" s="1">
        <f t="shared" si="27"/>
        <v>8.7719298245614041</v>
      </c>
      <c r="AE39" s="1">
        <v>76.2</v>
      </c>
      <c r="AF39" s="1">
        <v>56.2</v>
      </c>
      <c r="AG39" s="1">
        <v>57.4</v>
      </c>
      <c r="AH39" s="1">
        <v>85</v>
      </c>
      <c r="AI39" s="1">
        <v>79.8</v>
      </c>
      <c r="AJ39" s="1">
        <v>65</v>
      </c>
      <c r="AK39" s="1">
        <v>62.8</v>
      </c>
      <c r="AL39" s="1">
        <v>64</v>
      </c>
      <c r="AM39" s="1">
        <v>69.2</v>
      </c>
      <c r="AN39" s="1">
        <v>86.4</v>
      </c>
      <c r="AO39" s="1"/>
      <c r="AP39" s="1">
        <f t="shared" si="12"/>
        <v>12</v>
      </c>
      <c r="AQ39" s="1">
        <f t="shared" si="13"/>
        <v>18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77</v>
      </c>
      <c r="B40" s="1" t="s">
        <v>43</v>
      </c>
      <c r="C40" s="1"/>
      <c r="D40" s="1">
        <v>74</v>
      </c>
      <c r="E40" s="1">
        <v>44</v>
      </c>
      <c r="F40" s="1">
        <v>18</v>
      </c>
      <c r="G40" s="7">
        <v>0.35</v>
      </c>
      <c r="H40" s="1">
        <v>40</v>
      </c>
      <c r="I40" s="9" t="s">
        <v>50</v>
      </c>
      <c r="J40" s="1"/>
      <c r="K40" s="1">
        <v>136</v>
      </c>
      <c r="L40" s="1">
        <f t="shared" si="25"/>
        <v>-92</v>
      </c>
      <c r="M40" s="1"/>
      <c r="N40" s="1"/>
      <c r="O40" s="1">
        <v>70</v>
      </c>
      <c r="P40" s="1"/>
      <c r="Q40" s="1"/>
      <c r="R40" s="1">
        <v>120</v>
      </c>
      <c r="S40" s="20"/>
      <c r="T40" s="1"/>
      <c r="U40" s="20"/>
      <c r="V40" s="1">
        <f t="shared" si="26"/>
        <v>8.8000000000000007</v>
      </c>
      <c r="W40" s="5"/>
      <c r="X40" s="5">
        <f t="shared" si="14"/>
        <v>0</v>
      </c>
      <c r="Y40" s="5">
        <f t="shared" ref="Y40:Y46" si="28">X40</f>
        <v>0</v>
      </c>
      <c r="Z40" s="5"/>
      <c r="AA40" s="1"/>
      <c r="AB40" s="1"/>
      <c r="AC40" s="1">
        <f t="shared" si="11"/>
        <v>23.636363636363633</v>
      </c>
      <c r="AD40" s="1">
        <f t="shared" si="27"/>
        <v>23.636363636363633</v>
      </c>
      <c r="AE40" s="1">
        <v>-1.8</v>
      </c>
      <c r="AF40" s="1">
        <v>-2</v>
      </c>
      <c r="AG40" s="1">
        <v>-2.4</v>
      </c>
      <c r="AH40" s="1">
        <v>-2</v>
      </c>
      <c r="AI40" s="1">
        <v>-1.8</v>
      </c>
      <c r="AJ40" s="1">
        <v>-2.6</v>
      </c>
      <c r="AK40" s="1">
        <v>-2.8</v>
      </c>
      <c r="AL40" s="1">
        <v>-2.8</v>
      </c>
      <c r="AM40" s="1">
        <v>-3</v>
      </c>
      <c r="AN40" s="1">
        <v>6.8</v>
      </c>
      <c r="AO40" s="1"/>
      <c r="AP40" s="1">
        <f t="shared" si="12"/>
        <v>0</v>
      </c>
      <c r="AQ40" s="1">
        <f t="shared" si="13"/>
        <v>0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78</v>
      </c>
      <c r="B41" s="1" t="s">
        <v>38</v>
      </c>
      <c r="C41" s="1">
        <v>3.7999999999999999E-2</v>
      </c>
      <c r="D41" s="1">
        <v>57.654000000000003</v>
      </c>
      <c r="E41" s="1">
        <v>41.210999999999999</v>
      </c>
      <c r="F41" s="1">
        <v>0.68500000000000005</v>
      </c>
      <c r="G41" s="7">
        <v>1</v>
      </c>
      <c r="H41" s="1">
        <v>40</v>
      </c>
      <c r="I41" s="9" t="s">
        <v>50</v>
      </c>
      <c r="J41" s="1"/>
      <c r="K41" s="1">
        <v>79.599999999999994</v>
      </c>
      <c r="L41" s="1">
        <f t="shared" si="25"/>
        <v>-38.388999999999996</v>
      </c>
      <c r="M41" s="1"/>
      <c r="N41" s="1"/>
      <c r="O41" s="1">
        <v>20</v>
      </c>
      <c r="P41" s="1"/>
      <c r="Q41" s="1"/>
      <c r="R41" s="1">
        <v>100</v>
      </c>
      <c r="S41" s="20"/>
      <c r="T41" s="1"/>
      <c r="U41" s="20"/>
      <c r="V41" s="1">
        <f t="shared" si="26"/>
        <v>8.2422000000000004</v>
      </c>
      <c r="W41" s="5">
        <v>20</v>
      </c>
      <c r="X41" s="5">
        <f t="shared" si="14"/>
        <v>20</v>
      </c>
      <c r="Y41" s="5">
        <f t="shared" si="28"/>
        <v>20</v>
      </c>
      <c r="Z41" s="5">
        <v>20</v>
      </c>
      <c r="AA41" s="1"/>
      <c r="AB41" s="1"/>
      <c r="AC41" s="1">
        <f t="shared" si="11"/>
        <v>19.495401713134843</v>
      </c>
      <c r="AD41" s="1">
        <f t="shared" si="27"/>
        <v>14.642328504525491</v>
      </c>
      <c r="AE41" s="1">
        <v>4.5888</v>
      </c>
      <c r="AF41" s="1">
        <v>5.1204000000000001</v>
      </c>
      <c r="AG41" s="1">
        <v>5.9737999999999998</v>
      </c>
      <c r="AH41" s="1">
        <v>5.5386000000000006</v>
      </c>
      <c r="AI41" s="1">
        <v>1.1628000000000001</v>
      </c>
      <c r="AJ41" s="1">
        <v>8.4174000000000007</v>
      </c>
      <c r="AK41" s="1">
        <v>11.9122</v>
      </c>
      <c r="AL41" s="1">
        <v>8.8938000000000006</v>
      </c>
      <c r="AM41" s="1">
        <v>8.7584</v>
      </c>
      <c r="AN41" s="1">
        <v>7.7378</v>
      </c>
      <c r="AO41" s="1"/>
      <c r="AP41" s="1">
        <f t="shared" si="12"/>
        <v>20</v>
      </c>
      <c r="AQ41" s="1">
        <f t="shared" si="13"/>
        <v>20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79</v>
      </c>
      <c r="B42" s="1" t="s">
        <v>43</v>
      </c>
      <c r="C42" s="1">
        <v>137</v>
      </c>
      <c r="D42" s="1">
        <v>216</v>
      </c>
      <c r="E42" s="1">
        <v>342</v>
      </c>
      <c r="F42" s="1">
        <v>5</v>
      </c>
      <c r="G42" s="7">
        <v>0.4</v>
      </c>
      <c r="H42" s="1">
        <v>40</v>
      </c>
      <c r="I42" s="9" t="s">
        <v>50</v>
      </c>
      <c r="J42" s="1"/>
      <c r="K42" s="1">
        <v>494</v>
      </c>
      <c r="L42" s="1">
        <f t="shared" si="25"/>
        <v>-152</v>
      </c>
      <c r="M42" s="1"/>
      <c r="N42" s="1"/>
      <c r="O42" s="1">
        <v>100</v>
      </c>
      <c r="P42" s="1"/>
      <c r="Q42" s="1"/>
      <c r="R42" s="1">
        <v>200</v>
      </c>
      <c r="S42" s="20"/>
      <c r="T42" s="1">
        <v>100</v>
      </c>
      <c r="U42" s="20"/>
      <c r="V42" s="1">
        <f t="shared" si="26"/>
        <v>68.400000000000006</v>
      </c>
      <c r="W42" s="5">
        <v>250</v>
      </c>
      <c r="X42" s="5">
        <f t="shared" si="14"/>
        <v>250</v>
      </c>
      <c r="Y42" s="5">
        <f t="shared" si="28"/>
        <v>250</v>
      </c>
      <c r="Z42" s="5">
        <v>150</v>
      </c>
      <c r="AA42" s="1"/>
      <c r="AB42" s="1"/>
      <c r="AC42" s="1">
        <f t="shared" si="11"/>
        <v>11.769005847953215</v>
      </c>
      <c r="AD42" s="1">
        <f t="shared" si="27"/>
        <v>5.9210526315789469</v>
      </c>
      <c r="AE42" s="1">
        <v>43.4</v>
      </c>
      <c r="AF42" s="1">
        <v>44.4</v>
      </c>
      <c r="AG42" s="1">
        <v>46.6</v>
      </c>
      <c r="AH42" s="1">
        <v>42.4</v>
      </c>
      <c r="AI42" s="1">
        <v>36.4</v>
      </c>
      <c r="AJ42" s="1">
        <v>46.4</v>
      </c>
      <c r="AK42" s="1">
        <v>39.4</v>
      </c>
      <c r="AL42" s="1">
        <v>7</v>
      </c>
      <c r="AM42" s="1">
        <v>3</v>
      </c>
      <c r="AN42" s="1">
        <v>44.6</v>
      </c>
      <c r="AO42" s="1"/>
      <c r="AP42" s="1">
        <f t="shared" si="12"/>
        <v>100</v>
      </c>
      <c r="AQ42" s="1">
        <f t="shared" si="13"/>
        <v>60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80</v>
      </c>
      <c r="B43" s="1" t="s">
        <v>43</v>
      </c>
      <c r="C43" s="1">
        <v>63</v>
      </c>
      <c r="D43" s="1">
        <v>222</v>
      </c>
      <c r="E43" s="1">
        <v>271</v>
      </c>
      <c r="F43" s="1">
        <v>9</v>
      </c>
      <c r="G43" s="7">
        <v>0.4</v>
      </c>
      <c r="H43" s="1">
        <v>45</v>
      </c>
      <c r="I43" s="9" t="s">
        <v>50</v>
      </c>
      <c r="J43" s="1"/>
      <c r="K43" s="1">
        <v>414</v>
      </c>
      <c r="L43" s="1">
        <f t="shared" si="25"/>
        <v>-143</v>
      </c>
      <c r="M43" s="1"/>
      <c r="N43" s="1"/>
      <c r="O43" s="1">
        <v>200</v>
      </c>
      <c r="P43" s="1">
        <v>-204</v>
      </c>
      <c r="Q43" s="1"/>
      <c r="R43" s="1">
        <v>307</v>
      </c>
      <c r="S43" s="20"/>
      <c r="T43" s="1">
        <v>153.5</v>
      </c>
      <c r="U43" s="20"/>
      <c r="V43" s="1">
        <f t="shared" si="26"/>
        <v>54.2</v>
      </c>
      <c r="W43" s="5">
        <v>100</v>
      </c>
      <c r="X43" s="5">
        <f t="shared" si="14"/>
        <v>100</v>
      </c>
      <c r="Y43" s="5">
        <f t="shared" si="28"/>
        <v>100</v>
      </c>
      <c r="Z43" s="5">
        <v>100</v>
      </c>
      <c r="AA43" s="1"/>
      <c r="AB43" s="1"/>
      <c r="AC43" s="1">
        <f t="shared" si="11"/>
        <v>12.278597785977858</v>
      </c>
      <c r="AD43" s="1">
        <f t="shared" si="27"/>
        <v>8.5885608856088549</v>
      </c>
      <c r="AE43" s="1">
        <v>52</v>
      </c>
      <c r="AF43" s="1">
        <v>47.6</v>
      </c>
      <c r="AG43" s="1">
        <v>30.8</v>
      </c>
      <c r="AH43" s="1">
        <v>30.4</v>
      </c>
      <c r="AI43" s="1">
        <v>30.2</v>
      </c>
      <c r="AJ43" s="1">
        <v>25.8</v>
      </c>
      <c r="AK43" s="1">
        <v>20.399999999999999</v>
      </c>
      <c r="AL43" s="1">
        <v>-0.8</v>
      </c>
      <c r="AM43" s="1">
        <v>23.6</v>
      </c>
      <c r="AN43" s="1">
        <v>52.4</v>
      </c>
      <c r="AO43" s="1"/>
      <c r="AP43" s="1">
        <f t="shared" si="12"/>
        <v>40</v>
      </c>
      <c r="AQ43" s="1">
        <f t="shared" si="13"/>
        <v>40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81</v>
      </c>
      <c r="B44" s="1" t="s">
        <v>38</v>
      </c>
      <c r="C44" s="1">
        <v>10.305</v>
      </c>
      <c r="D44" s="1">
        <v>78.353999999999999</v>
      </c>
      <c r="E44" s="1">
        <v>78.453999999999994</v>
      </c>
      <c r="F44" s="1">
        <v>-5.0999999999999997E-2</v>
      </c>
      <c r="G44" s="7">
        <v>1</v>
      </c>
      <c r="H44" s="1">
        <v>40</v>
      </c>
      <c r="I44" s="9" t="s">
        <v>50</v>
      </c>
      <c r="J44" s="1"/>
      <c r="K44" s="1">
        <v>225.05</v>
      </c>
      <c r="L44" s="1">
        <f t="shared" si="25"/>
        <v>-146.596</v>
      </c>
      <c r="M44" s="1"/>
      <c r="N44" s="1"/>
      <c r="O44" s="1">
        <v>125.3218</v>
      </c>
      <c r="P44" s="1"/>
      <c r="Q44" s="1"/>
      <c r="R44" s="1">
        <v>180</v>
      </c>
      <c r="S44" s="20"/>
      <c r="T44" s="1"/>
      <c r="U44" s="20"/>
      <c r="V44" s="1">
        <f t="shared" si="26"/>
        <v>15.690799999999999</v>
      </c>
      <c r="W44" s="5"/>
      <c r="X44" s="5">
        <f t="shared" si="14"/>
        <v>0</v>
      </c>
      <c r="Y44" s="5">
        <f t="shared" si="28"/>
        <v>0</v>
      </c>
      <c r="Z44" s="5"/>
      <c r="AA44" s="1"/>
      <c r="AB44" s="1"/>
      <c r="AC44" s="1">
        <f t="shared" si="11"/>
        <v>19.45540061692202</v>
      </c>
      <c r="AD44" s="1">
        <f t="shared" si="27"/>
        <v>19.45540061692202</v>
      </c>
      <c r="AE44" s="1">
        <v>19.270199999999999</v>
      </c>
      <c r="AF44" s="1">
        <v>22.2332</v>
      </c>
      <c r="AG44" s="1">
        <v>14.362</v>
      </c>
      <c r="AH44" s="1">
        <v>23.499600000000001</v>
      </c>
      <c r="AI44" s="1">
        <v>24.4682</v>
      </c>
      <c r="AJ44" s="1">
        <v>21.0944</v>
      </c>
      <c r="AK44" s="1">
        <v>18.771799999999999</v>
      </c>
      <c r="AL44" s="1">
        <v>18.388999999999999</v>
      </c>
      <c r="AM44" s="1">
        <v>21.290800000000001</v>
      </c>
      <c r="AN44" s="1">
        <v>17.810400000000001</v>
      </c>
      <c r="AO44" s="1"/>
      <c r="AP44" s="1">
        <f t="shared" si="12"/>
        <v>0</v>
      </c>
      <c r="AQ44" s="1">
        <f t="shared" si="13"/>
        <v>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82</v>
      </c>
      <c r="B45" s="1" t="s">
        <v>43</v>
      </c>
      <c r="C45" s="1">
        <v>253</v>
      </c>
      <c r="D45" s="1">
        <v>1094</v>
      </c>
      <c r="E45" s="1">
        <v>1318</v>
      </c>
      <c r="F45" s="1">
        <v>-3</v>
      </c>
      <c r="G45" s="7">
        <v>0.35</v>
      </c>
      <c r="H45" s="1">
        <v>40</v>
      </c>
      <c r="I45" s="9" t="s">
        <v>50</v>
      </c>
      <c r="J45" s="1"/>
      <c r="K45" s="1">
        <v>1838</v>
      </c>
      <c r="L45" s="1">
        <f t="shared" si="25"/>
        <v>-520</v>
      </c>
      <c r="M45" s="1"/>
      <c r="N45" s="1"/>
      <c r="O45" s="1">
        <v>500</v>
      </c>
      <c r="P45" s="1"/>
      <c r="Q45" s="1"/>
      <c r="R45" s="1">
        <v>1000</v>
      </c>
      <c r="S45" s="20"/>
      <c r="T45" s="1">
        <v>500</v>
      </c>
      <c r="U45" s="20"/>
      <c r="V45" s="1">
        <f t="shared" si="26"/>
        <v>263.60000000000002</v>
      </c>
      <c r="W45" s="5">
        <v>600</v>
      </c>
      <c r="X45" s="5">
        <f t="shared" si="14"/>
        <v>600</v>
      </c>
      <c r="Y45" s="5">
        <f t="shared" si="28"/>
        <v>600</v>
      </c>
      <c r="Z45" s="5">
        <v>500</v>
      </c>
      <c r="AA45" s="1"/>
      <c r="AB45" s="1"/>
      <c r="AC45" s="1">
        <f t="shared" si="11"/>
        <v>11.748861911987859</v>
      </c>
      <c r="AD45" s="1">
        <f t="shared" si="27"/>
        <v>7.5758725341426398</v>
      </c>
      <c r="AE45" s="1">
        <v>224.4</v>
      </c>
      <c r="AF45" s="1">
        <v>103.4</v>
      </c>
      <c r="AG45" s="1">
        <v>-5.6</v>
      </c>
      <c r="AH45" s="1">
        <v>122.6</v>
      </c>
      <c r="AI45" s="1">
        <v>238</v>
      </c>
      <c r="AJ45" s="1">
        <v>305.39999999999998</v>
      </c>
      <c r="AK45" s="1">
        <v>276</v>
      </c>
      <c r="AL45" s="1">
        <v>231</v>
      </c>
      <c r="AM45" s="1">
        <v>229.8</v>
      </c>
      <c r="AN45" s="1">
        <v>254</v>
      </c>
      <c r="AO45" s="1"/>
      <c r="AP45" s="1">
        <f t="shared" si="12"/>
        <v>210</v>
      </c>
      <c r="AQ45" s="1">
        <f t="shared" si="13"/>
        <v>175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83</v>
      </c>
      <c r="B46" s="1" t="s">
        <v>43</v>
      </c>
      <c r="C46" s="1">
        <v>668</v>
      </c>
      <c r="D46" s="1">
        <v>531</v>
      </c>
      <c r="E46" s="1">
        <v>916</v>
      </c>
      <c r="F46" s="1">
        <v>111</v>
      </c>
      <c r="G46" s="7">
        <v>0.4</v>
      </c>
      <c r="H46" s="1">
        <v>40</v>
      </c>
      <c r="I46" s="9" t="s">
        <v>50</v>
      </c>
      <c r="J46" s="1"/>
      <c r="K46" s="1">
        <v>941</v>
      </c>
      <c r="L46" s="1">
        <f t="shared" si="25"/>
        <v>-25</v>
      </c>
      <c r="M46" s="1"/>
      <c r="N46" s="1"/>
      <c r="O46" s="1">
        <v>469.69800000000009</v>
      </c>
      <c r="P46" s="1"/>
      <c r="Q46" s="1"/>
      <c r="R46" s="1">
        <v>600</v>
      </c>
      <c r="S46" s="20"/>
      <c r="T46" s="1">
        <v>300</v>
      </c>
      <c r="U46" s="20"/>
      <c r="V46" s="1">
        <f t="shared" si="26"/>
        <v>183.2</v>
      </c>
      <c r="W46" s="5">
        <v>400</v>
      </c>
      <c r="X46" s="5">
        <f t="shared" si="14"/>
        <v>400</v>
      </c>
      <c r="Y46" s="5">
        <f t="shared" si="28"/>
        <v>400</v>
      </c>
      <c r="Z46" s="5">
        <v>400</v>
      </c>
      <c r="AA46" s="1"/>
      <c r="AB46" s="1"/>
      <c r="AC46" s="1">
        <f t="shared" si="11"/>
        <v>12.449224890829697</v>
      </c>
      <c r="AD46" s="1">
        <f t="shared" si="27"/>
        <v>8.0824126637554592</v>
      </c>
      <c r="AE46" s="1">
        <v>176.6</v>
      </c>
      <c r="AF46" s="1">
        <v>127.8</v>
      </c>
      <c r="AG46" s="1">
        <v>137.6</v>
      </c>
      <c r="AH46" s="1">
        <v>146</v>
      </c>
      <c r="AI46" s="1">
        <v>142.80000000000001</v>
      </c>
      <c r="AJ46" s="1">
        <v>156.80000000000001</v>
      </c>
      <c r="AK46" s="1">
        <v>151.19999999999999</v>
      </c>
      <c r="AL46" s="1">
        <v>139.6</v>
      </c>
      <c r="AM46" s="1">
        <v>149</v>
      </c>
      <c r="AN46" s="1">
        <v>103</v>
      </c>
      <c r="AO46" s="1"/>
      <c r="AP46" s="1">
        <f t="shared" si="12"/>
        <v>160</v>
      </c>
      <c r="AQ46" s="1">
        <f t="shared" si="13"/>
        <v>160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84</v>
      </c>
      <c r="B47" s="1" t="s">
        <v>38</v>
      </c>
      <c r="C47" s="1">
        <v>652.06700000000001</v>
      </c>
      <c r="D47" s="1">
        <v>335.32900000000001</v>
      </c>
      <c r="E47" s="1">
        <v>474.29199999999997</v>
      </c>
      <c r="F47" s="1">
        <v>436.70600000000002</v>
      </c>
      <c r="G47" s="7">
        <v>1</v>
      </c>
      <c r="H47" s="1">
        <v>50</v>
      </c>
      <c r="I47" s="1" t="s">
        <v>39</v>
      </c>
      <c r="J47" s="1"/>
      <c r="K47" s="1">
        <v>463.05</v>
      </c>
      <c r="L47" s="1">
        <f t="shared" si="25"/>
        <v>11.241999999999962</v>
      </c>
      <c r="M47" s="1"/>
      <c r="N47" s="1"/>
      <c r="O47" s="1">
        <v>0</v>
      </c>
      <c r="P47" s="1"/>
      <c r="Q47" s="1"/>
      <c r="R47" s="1">
        <v>293.07679999999999</v>
      </c>
      <c r="S47" s="20"/>
      <c r="T47" s="1"/>
      <c r="U47" s="20"/>
      <c r="V47" s="1">
        <f t="shared" si="26"/>
        <v>94.858399999999989</v>
      </c>
      <c r="W47" s="5">
        <f t="shared" si="23"/>
        <v>361.08879999999988</v>
      </c>
      <c r="X47" s="5">
        <f t="shared" si="14"/>
        <v>361.08879999999988</v>
      </c>
      <c r="Y47" s="5">
        <f t="shared" ref="Y47:Y48" si="29">X47-Z47</f>
        <v>140.10245439999997</v>
      </c>
      <c r="Z47" s="5">
        <f t="shared" ref="Z47:Z48" si="30">X47*$Z$1</f>
        <v>220.98634559999991</v>
      </c>
      <c r="AA47" s="1"/>
      <c r="AB47" s="1"/>
      <c r="AC47" s="1">
        <f t="shared" si="11"/>
        <v>11.499999999999998</v>
      </c>
      <c r="AD47" s="1">
        <f t="shared" si="27"/>
        <v>7.6933914128848899</v>
      </c>
      <c r="AE47" s="1">
        <v>83.390799999999999</v>
      </c>
      <c r="AF47" s="1">
        <v>63.038800000000002</v>
      </c>
      <c r="AG47" s="1">
        <v>68.847400000000007</v>
      </c>
      <c r="AH47" s="1">
        <v>90.637199999999993</v>
      </c>
      <c r="AI47" s="1">
        <v>89.163399999999996</v>
      </c>
      <c r="AJ47" s="1">
        <v>89.271799999999999</v>
      </c>
      <c r="AK47" s="1">
        <v>90.6524</v>
      </c>
      <c r="AL47" s="1">
        <v>74.56</v>
      </c>
      <c r="AM47" s="1">
        <v>74.037400000000005</v>
      </c>
      <c r="AN47" s="1">
        <v>94.643200000000007</v>
      </c>
      <c r="AO47" s="1"/>
      <c r="AP47" s="1">
        <f t="shared" si="12"/>
        <v>140</v>
      </c>
      <c r="AQ47" s="1">
        <f t="shared" si="13"/>
        <v>221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 t="s">
        <v>85</v>
      </c>
      <c r="B48" s="1" t="s">
        <v>38</v>
      </c>
      <c r="C48" s="1">
        <v>683.30499999999995</v>
      </c>
      <c r="D48" s="1">
        <v>454.05099999999999</v>
      </c>
      <c r="E48" s="1">
        <v>730.79899999999998</v>
      </c>
      <c r="F48" s="1">
        <v>301.99200000000002</v>
      </c>
      <c r="G48" s="7">
        <v>1</v>
      </c>
      <c r="H48" s="1">
        <v>50</v>
      </c>
      <c r="I48" s="1" t="s">
        <v>39</v>
      </c>
      <c r="J48" s="1"/>
      <c r="K48" s="1">
        <v>716.35</v>
      </c>
      <c r="L48" s="1">
        <f t="shared" si="25"/>
        <v>14.448999999999955</v>
      </c>
      <c r="M48" s="1"/>
      <c r="N48" s="1"/>
      <c r="O48" s="1">
        <v>267.32264824200001</v>
      </c>
      <c r="P48" s="1"/>
      <c r="Q48" s="1"/>
      <c r="R48" s="1">
        <v>388.20309105479998</v>
      </c>
      <c r="S48" s="20"/>
      <c r="T48" s="1">
        <v>258.80206070320003</v>
      </c>
      <c r="U48" s="20"/>
      <c r="V48" s="1">
        <f t="shared" si="26"/>
        <v>146.15979999999999</v>
      </c>
      <c r="W48" s="5">
        <f t="shared" si="23"/>
        <v>464.51789999999954</v>
      </c>
      <c r="X48" s="5">
        <v>600</v>
      </c>
      <c r="Y48" s="5">
        <f t="shared" si="29"/>
        <v>232.8</v>
      </c>
      <c r="Z48" s="5">
        <f t="shared" si="30"/>
        <v>367.2</v>
      </c>
      <c r="AA48" s="1"/>
      <c r="AB48" s="1"/>
      <c r="AC48" s="1">
        <f t="shared" si="11"/>
        <v>12.426945028660413</v>
      </c>
      <c r="AD48" s="1">
        <f t="shared" si="27"/>
        <v>8.3218490994103718</v>
      </c>
      <c r="AE48" s="1">
        <v>135.85380000000001</v>
      </c>
      <c r="AF48" s="1">
        <v>91.289000000000001</v>
      </c>
      <c r="AG48" s="1">
        <v>86.8</v>
      </c>
      <c r="AH48" s="1">
        <v>108.23560000000001</v>
      </c>
      <c r="AI48" s="1">
        <v>107.86839999999999</v>
      </c>
      <c r="AJ48" s="1">
        <v>115.7372</v>
      </c>
      <c r="AK48" s="1">
        <v>120.2286</v>
      </c>
      <c r="AL48" s="1">
        <v>105.809</v>
      </c>
      <c r="AM48" s="1">
        <v>99.316400000000002</v>
      </c>
      <c r="AN48" s="1">
        <v>104.8566</v>
      </c>
      <c r="AO48" s="1"/>
      <c r="AP48" s="1">
        <f t="shared" si="12"/>
        <v>233</v>
      </c>
      <c r="AQ48" s="1">
        <f t="shared" si="13"/>
        <v>367</v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86</v>
      </c>
      <c r="B49" s="1" t="s">
        <v>38</v>
      </c>
      <c r="C49" s="1"/>
      <c r="D49" s="1"/>
      <c r="E49" s="1"/>
      <c r="F49" s="1"/>
      <c r="G49" s="7">
        <v>1</v>
      </c>
      <c r="H49" s="1">
        <v>45</v>
      </c>
      <c r="I49" s="9" t="s">
        <v>50</v>
      </c>
      <c r="J49" s="1"/>
      <c r="K49" s="1"/>
      <c r="L49" s="1">
        <f t="shared" si="25"/>
        <v>0</v>
      </c>
      <c r="M49" s="1"/>
      <c r="N49" s="1"/>
      <c r="O49" s="1">
        <v>20</v>
      </c>
      <c r="P49" s="1">
        <v>-27</v>
      </c>
      <c r="Q49" s="1"/>
      <c r="R49" s="1">
        <v>20</v>
      </c>
      <c r="S49" s="20"/>
      <c r="T49" s="1"/>
      <c r="U49" s="20"/>
      <c r="V49" s="1">
        <f t="shared" si="26"/>
        <v>0</v>
      </c>
      <c r="W49" s="5">
        <v>20</v>
      </c>
      <c r="X49" s="5">
        <f t="shared" si="14"/>
        <v>20</v>
      </c>
      <c r="Y49" s="5">
        <f>X49</f>
        <v>20</v>
      </c>
      <c r="Z49" s="5">
        <v>20</v>
      </c>
      <c r="AA49" s="1"/>
      <c r="AB49" s="1"/>
      <c r="AC49" s="1" t="e">
        <f t="shared" si="11"/>
        <v>#DIV/0!</v>
      </c>
      <c r="AD49" s="1" t="e">
        <f t="shared" si="27"/>
        <v>#DIV/0!</v>
      </c>
      <c r="AE49" s="1">
        <v>0</v>
      </c>
      <c r="AF49" s="1">
        <v>-0.28960000000000002</v>
      </c>
      <c r="AG49" s="1">
        <v>-0.28960000000000002</v>
      </c>
      <c r="AH49" s="1">
        <v>0</v>
      </c>
      <c r="AI49" s="1">
        <v>0</v>
      </c>
      <c r="AJ49" s="1">
        <v>-0.23499999999999999</v>
      </c>
      <c r="AK49" s="1">
        <v>-0.23499999999999999</v>
      </c>
      <c r="AL49" s="1">
        <v>0.58399999999999996</v>
      </c>
      <c r="AM49" s="1">
        <v>9.094199999999999</v>
      </c>
      <c r="AN49" s="1">
        <v>17.8614</v>
      </c>
      <c r="AO49" s="1" t="s">
        <v>87</v>
      </c>
      <c r="AP49" s="1">
        <f t="shared" si="12"/>
        <v>20</v>
      </c>
      <c r="AQ49" s="1">
        <f t="shared" si="13"/>
        <v>20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88</v>
      </c>
      <c r="B50" s="1" t="s">
        <v>43</v>
      </c>
      <c r="C50" s="1">
        <v>175</v>
      </c>
      <c r="D50" s="1">
        <v>300</v>
      </c>
      <c r="E50" s="1">
        <v>197</v>
      </c>
      <c r="F50" s="1">
        <v>259</v>
      </c>
      <c r="G50" s="7">
        <v>0.45</v>
      </c>
      <c r="H50" s="1">
        <v>50</v>
      </c>
      <c r="I50" s="1" t="s">
        <v>39</v>
      </c>
      <c r="J50" s="1"/>
      <c r="K50" s="1">
        <v>207</v>
      </c>
      <c r="L50" s="1">
        <f t="shared" si="25"/>
        <v>-10</v>
      </c>
      <c r="M50" s="1"/>
      <c r="N50" s="1"/>
      <c r="O50" s="1">
        <v>120</v>
      </c>
      <c r="P50" s="1"/>
      <c r="Q50" s="1"/>
      <c r="R50" s="1">
        <v>44.6</v>
      </c>
      <c r="S50" s="20"/>
      <c r="T50" s="1"/>
      <c r="U50" s="20"/>
      <c r="V50" s="1">
        <f t="shared" si="26"/>
        <v>39.4</v>
      </c>
      <c r="W50" s="5">
        <f t="shared" si="23"/>
        <v>29.499999999999943</v>
      </c>
      <c r="X50" s="5">
        <f t="shared" si="14"/>
        <v>29.499999999999943</v>
      </c>
      <c r="Y50" s="5">
        <f t="shared" ref="Y50:Y51" si="31">X50-Z50</f>
        <v>29.499999999999943</v>
      </c>
      <c r="Z50" s="5"/>
      <c r="AA50" s="1"/>
      <c r="AB50" s="1"/>
      <c r="AC50" s="1">
        <f t="shared" si="11"/>
        <v>11.5</v>
      </c>
      <c r="AD50" s="1">
        <f t="shared" si="27"/>
        <v>10.751269035532996</v>
      </c>
      <c r="AE50" s="1">
        <v>44.6</v>
      </c>
      <c r="AF50" s="1">
        <v>40</v>
      </c>
      <c r="AG50" s="1">
        <v>30.2</v>
      </c>
      <c r="AH50" s="1">
        <v>37.6</v>
      </c>
      <c r="AI50" s="1">
        <v>36.4</v>
      </c>
      <c r="AJ50" s="1">
        <v>27.2</v>
      </c>
      <c r="AK50" s="1">
        <v>29.2</v>
      </c>
      <c r="AL50" s="1">
        <v>42.4</v>
      </c>
      <c r="AM50" s="1">
        <v>40.4</v>
      </c>
      <c r="AN50" s="1">
        <v>35</v>
      </c>
      <c r="AO50" s="1"/>
      <c r="AP50" s="1">
        <f t="shared" si="12"/>
        <v>13</v>
      </c>
      <c r="AQ50" s="1">
        <f t="shared" si="13"/>
        <v>0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89</v>
      </c>
      <c r="B51" s="1" t="s">
        <v>43</v>
      </c>
      <c r="C51" s="1">
        <v>495</v>
      </c>
      <c r="D51" s="1">
        <v>620</v>
      </c>
      <c r="E51" s="1">
        <v>599</v>
      </c>
      <c r="F51" s="1">
        <v>424</v>
      </c>
      <c r="G51" s="7">
        <v>0.45</v>
      </c>
      <c r="H51" s="1">
        <v>50</v>
      </c>
      <c r="I51" s="1" t="s">
        <v>39</v>
      </c>
      <c r="J51" s="1"/>
      <c r="K51" s="1">
        <v>601</v>
      </c>
      <c r="L51" s="1">
        <f t="shared" si="25"/>
        <v>-2</v>
      </c>
      <c r="M51" s="1"/>
      <c r="N51" s="1"/>
      <c r="O51" s="1">
        <v>402.61307099999982</v>
      </c>
      <c r="P51" s="1"/>
      <c r="Q51" s="1"/>
      <c r="R51" s="1">
        <v>203.6321574000001</v>
      </c>
      <c r="S51" s="20"/>
      <c r="T51" s="1">
        <v>135.75477160000011</v>
      </c>
      <c r="U51" s="20"/>
      <c r="V51" s="1">
        <f t="shared" si="26"/>
        <v>119.8</v>
      </c>
      <c r="W51" s="5">
        <f t="shared" si="23"/>
        <v>211.70000000000005</v>
      </c>
      <c r="X51" s="5">
        <v>300</v>
      </c>
      <c r="Y51" s="5">
        <f t="shared" si="31"/>
        <v>116.4</v>
      </c>
      <c r="Z51" s="5">
        <f>X51*$Z$1</f>
        <v>183.6</v>
      </c>
      <c r="AA51" s="1"/>
      <c r="AB51" s="1"/>
      <c r="AC51" s="1">
        <f t="shared" si="11"/>
        <v>12.237061769616027</v>
      </c>
      <c r="AD51" s="1">
        <f t="shared" si="27"/>
        <v>9.7328881469115203</v>
      </c>
      <c r="AE51" s="1">
        <v>126</v>
      </c>
      <c r="AF51" s="1">
        <v>96.6</v>
      </c>
      <c r="AG51" s="1">
        <v>92.4</v>
      </c>
      <c r="AH51" s="1">
        <v>100.2</v>
      </c>
      <c r="AI51" s="1">
        <v>92.8</v>
      </c>
      <c r="AJ51" s="1">
        <v>92.4</v>
      </c>
      <c r="AK51" s="1">
        <v>101.8</v>
      </c>
      <c r="AL51" s="1">
        <v>96.8</v>
      </c>
      <c r="AM51" s="1">
        <v>93.2</v>
      </c>
      <c r="AN51" s="1">
        <v>95.8</v>
      </c>
      <c r="AO51" s="1"/>
      <c r="AP51" s="1">
        <f t="shared" si="12"/>
        <v>52</v>
      </c>
      <c r="AQ51" s="1">
        <f t="shared" si="13"/>
        <v>83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90</v>
      </c>
      <c r="B52" s="1" t="s">
        <v>43</v>
      </c>
      <c r="C52" s="1"/>
      <c r="D52" s="1"/>
      <c r="E52" s="1">
        <v>-4</v>
      </c>
      <c r="F52" s="1"/>
      <c r="G52" s="7">
        <v>0.4</v>
      </c>
      <c r="H52" s="1">
        <v>40</v>
      </c>
      <c r="I52" s="9" t="s">
        <v>50</v>
      </c>
      <c r="J52" s="1"/>
      <c r="K52" s="1">
        <v>76</v>
      </c>
      <c r="L52" s="1">
        <f t="shared" si="25"/>
        <v>-80</v>
      </c>
      <c r="M52" s="1"/>
      <c r="N52" s="1"/>
      <c r="O52" s="1">
        <v>50</v>
      </c>
      <c r="P52" s="1">
        <v>-54</v>
      </c>
      <c r="Q52" s="1"/>
      <c r="R52" s="1">
        <v>40</v>
      </c>
      <c r="S52" s="20"/>
      <c r="T52" s="1"/>
      <c r="U52" s="20"/>
      <c r="V52" s="1">
        <f t="shared" si="26"/>
        <v>-0.8</v>
      </c>
      <c r="W52" s="5">
        <v>50</v>
      </c>
      <c r="X52" s="5">
        <f t="shared" si="14"/>
        <v>50</v>
      </c>
      <c r="Y52" s="5">
        <f t="shared" ref="Y52:Y53" si="32">X52</f>
        <v>50</v>
      </c>
      <c r="Z52" s="5">
        <v>40</v>
      </c>
      <c r="AA52" s="1"/>
      <c r="AB52" s="1"/>
      <c r="AC52" s="1">
        <f t="shared" si="11"/>
        <v>-157.5</v>
      </c>
      <c r="AD52" s="1">
        <f t="shared" si="27"/>
        <v>-45</v>
      </c>
      <c r="AE52" s="1">
        <v>-0.2</v>
      </c>
      <c r="AF52" s="1">
        <v>-0.6</v>
      </c>
      <c r="AG52" s="1">
        <v>-1</v>
      </c>
      <c r="AH52" s="1">
        <v>3.2</v>
      </c>
      <c r="AI52" s="1">
        <v>17.399999999999999</v>
      </c>
      <c r="AJ52" s="1">
        <v>31.8</v>
      </c>
      <c r="AK52" s="1">
        <v>29.2</v>
      </c>
      <c r="AL52" s="1">
        <v>19</v>
      </c>
      <c r="AM52" s="1">
        <v>19.8</v>
      </c>
      <c r="AN52" s="1">
        <v>25.6</v>
      </c>
      <c r="AO52" s="1"/>
      <c r="AP52" s="1">
        <f t="shared" si="12"/>
        <v>20</v>
      </c>
      <c r="AQ52" s="1">
        <f t="shared" si="13"/>
        <v>16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91</v>
      </c>
      <c r="B53" s="1" t="s">
        <v>43</v>
      </c>
      <c r="C53" s="1">
        <v>56</v>
      </c>
      <c r="D53" s="1">
        <v>50</v>
      </c>
      <c r="E53" s="1">
        <v>83</v>
      </c>
      <c r="F53" s="1">
        <v>11</v>
      </c>
      <c r="G53" s="7">
        <v>0.4</v>
      </c>
      <c r="H53" s="1">
        <v>40</v>
      </c>
      <c r="I53" s="9" t="s">
        <v>50</v>
      </c>
      <c r="J53" s="1"/>
      <c r="K53" s="1">
        <v>101</v>
      </c>
      <c r="L53" s="1">
        <f t="shared" si="25"/>
        <v>-18</v>
      </c>
      <c r="M53" s="1"/>
      <c r="N53" s="1"/>
      <c r="O53" s="1">
        <v>60</v>
      </c>
      <c r="P53" s="1"/>
      <c r="Q53" s="1"/>
      <c r="R53" s="1">
        <v>100</v>
      </c>
      <c r="S53" s="20"/>
      <c r="T53" s="1">
        <v>50</v>
      </c>
      <c r="U53" s="20"/>
      <c r="V53" s="1">
        <f t="shared" si="26"/>
        <v>16.600000000000001</v>
      </c>
      <c r="W53" s="5"/>
      <c r="X53" s="5">
        <f t="shared" si="14"/>
        <v>0</v>
      </c>
      <c r="Y53" s="5">
        <f t="shared" si="32"/>
        <v>0</v>
      </c>
      <c r="Z53" s="5"/>
      <c r="AA53" s="1"/>
      <c r="AB53" s="1"/>
      <c r="AC53" s="1">
        <f t="shared" si="11"/>
        <v>13.313253012048191</v>
      </c>
      <c r="AD53" s="1">
        <f t="shared" si="27"/>
        <v>13.313253012048191</v>
      </c>
      <c r="AE53" s="1">
        <v>22.8</v>
      </c>
      <c r="AF53" s="1">
        <v>16.600000000000001</v>
      </c>
      <c r="AG53" s="1">
        <v>11.4</v>
      </c>
      <c r="AH53" s="1">
        <v>10.6</v>
      </c>
      <c r="AI53" s="1">
        <v>11.8</v>
      </c>
      <c r="AJ53" s="1">
        <v>13.8</v>
      </c>
      <c r="AK53" s="1">
        <v>10.199999999999999</v>
      </c>
      <c r="AL53" s="1">
        <v>8.8000000000000007</v>
      </c>
      <c r="AM53" s="1">
        <v>14.6</v>
      </c>
      <c r="AN53" s="1">
        <v>20</v>
      </c>
      <c r="AO53" s="1"/>
      <c r="AP53" s="1">
        <f t="shared" si="12"/>
        <v>0</v>
      </c>
      <c r="AQ53" s="1">
        <f t="shared" si="13"/>
        <v>0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92</v>
      </c>
      <c r="B54" s="1" t="s">
        <v>38</v>
      </c>
      <c r="C54" s="1">
        <v>836.47799999999995</v>
      </c>
      <c r="D54" s="1">
        <v>637.91600000000005</v>
      </c>
      <c r="E54" s="1">
        <v>849.20699999999999</v>
      </c>
      <c r="F54" s="1">
        <v>512.38099999999997</v>
      </c>
      <c r="G54" s="7">
        <v>1</v>
      </c>
      <c r="H54" s="1">
        <v>50</v>
      </c>
      <c r="I54" s="1" t="s">
        <v>39</v>
      </c>
      <c r="J54" s="1"/>
      <c r="K54" s="1">
        <v>835.75</v>
      </c>
      <c r="L54" s="1">
        <f t="shared" si="25"/>
        <v>13.456999999999994</v>
      </c>
      <c r="M54" s="1"/>
      <c r="N54" s="1"/>
      <c r="O54" s="1">
        <v>308.76658400000002</v>
      </c>
      <c r="P54" s="1"/>
      <c r="Q54" s="1"/>
      <c r="R54" s="1">
        <v>397.90908960000002</v>
      </c>
      <c r="S54" s="20"/>
      <c r="T54" s="1">
        <v>265.27272640000001</v>
      </c>
      <c r="U54" s="20"/>
      <c r="V54" s="1">
        <f t="shared" si="26"/>
        <v>169.84139999999999</v>
      </c>
      <c r="W54" s="5">
        <f t="shared" si="23"/>
        <v>468.84669999999994</v>
      </c>
      <c r="X54" s="5">
        <v>600</v>
      </c>
      <c r="Y54" s="5">
        <f t="shared" ref="Y54:Y59" si="33">X54-Z54</f>
        <v>232.8</v>
      </c>
      <c r="Z54" s="5">
        <f t="shared" ref="Z54:Z56" si="34">X54*$Z$1</f>
        <v>367.2</v>
      </c>
      <c r="AA54" s="1"/>
      <c r="AB54" s="1"/>
      <c r="AC54" s="1">
        <f t="shared" si="11"/>
        <v>12.272210426904159</v>
      </c>
      <c r="AD54" s="1">
        <f t="shared" si="27"/>
        <v>8.7395028538389354</v>
      </c>
      <c r="AE54" s="1">
        <v>161.1634</v>
      </c>
      <c r="AF54" s="1">
        <v>109.1048</v>
      </c>
      <c r="AG54" s="1">
        <v>121.73820000000001</v>
      </c>
      <c r="AH54" s="1">
        <v>139.08959999999999</v>
      </c>
      <c r="AI54" s="1">
        <v>135.32220000000001</v>
      </c>
      <c r="AJ54" s="1">
        <v>134.5496</v>
      </c>
      <c r="AK54" s="1">
        <v>136.10159999999999</v>
      </c>
      <c r="AL54" s="1">
        <v>125.3366</v>
      </c>
      <c r="AM54" s="1">
        <v>121.60299999999999</v>
      </c>
      <c r="AN54" s="1">
        <v>139.44720000000001</v>
      </c>
      <c r="AO54" s="1"/>
      <c r="AP54" s="1">
        <f t="shared" si="12"/>
        <v>233</v>
      </c>
      <c r="AQ54" s="1">
        <f t="shared" si="13"/>
        <v>367</v>
      </c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93</v>
      </c>
      <c r="B55" s="1" t="s">
        <v>43</v>
      </c>
      <c r="C55" s="1">
        <v>252</v>
      </c>
      <c r="D55" s="1">
        <v>468</v>
      </c>
      <c r="E55" s="14">
        <f>260+E127</f>
        <v>332</v>
      </c>
      <c r="F55" s="14">
        <f>283+F127</f>
        <v>323</v>
      </c>
      <c r="G55" s="7">
        <v>0.1</v>
      </c>
      <c r="H55" s="1">
        <v>731</v>
      </c>
      <c r="I55" s="1" t="s">
        <v>39</v>
      </c>
      <c r="J55" s="1"/>
      <c r="K55" s="1">
        <v>260</v>
      </c>
      <c r="L55" s="1">
        <f t="shared" si="25"/>
        <v>72</v>
      </c>
      <c r="M55" s="1"/>
      <c r="N55" s="1"/>
      <c r="O55" s="1">
        <v>0</v>
      </c>
      <c r="P55" s="1"/>
      <c r="Q55" s="1"/>
      <c r="R55" s="1">
        <v>91.4</v>
      </c>
      <c r="S55" s="20"/>
      <c r="T55" s="1"/>
      <c r="U55" s="20"/>
      <c r="V55" s="1">
        <f t="shared" si="26"/>
        <v>66.400000000000006</v>
      </c>
      <c r="W55" s="5">
        <f t="shared" si="23"/>
        <v>349.20000000000005</v>
      </c>
      <c r="X55" s="5">
        <v>400</v>
      </c>
      <c r="Y55" s="5">
        <f t="shared" si="33"/>
        <v>155.20000000000002</v>
      </c>
      <c r="Z55" s="5">
        <f t="shared" si="34"/>
        <v>244.79999999999998</v>
      </c>
      <c r="AA55" s="1"/>
      <c r="AB55" s="1"/>
      <c r="AC55" s="1">
        <f t="shared" si="11"/>
        <v>12.265060240963853</v>
      </c>
      <c r="AD55" s="1">
        <f t="shared" si="27"/>
        <v>6.2409638554216862</v>
      </c>
      <c r="AE55" s="1">
        <v>53.4</v>
      </c>
      <c r="AF55" s="1">
        <v>31.6</v>
      </c>
      <c r="AG55" s="1">
        <v>39.4</v>
      </c>
      <c r="AH55" s="1">
        <v>56.6</v>
      </c>
      <c r="AI55" s="1">
        <v>47.4</v>
      </c>
      <c r="AJ55" s="1">
        <v>37.200000000000003</v>
      </c>
      <c r="AK55" s="1">
        <v>40.6</v>
      </c>
      <c r="AL55" s="1">
        <v>49.6</v>
      </c>
      <c r="AM55" s="1">
        <v>52.8</v>
      </c>
      <c r="AN55" s="1">
        <v>58</v>
      </c>
      <c r="AO55" s="1"/>
      <c r="AP55" s="1">
        <f t="shared" si="12"/>
        <v>16</v>
      </c>
      <c r="AQ55" s="1">
        <f t="shared" si="13"/>
        <v>24</v>
      </c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94</v>
      </c>
      <c r="B56" s="1" t="s">
        <v>38</v>
      </c>
      <c r="C56" s="1">
        <v>1230.8030000000001</v>
      </c>
      <c r="D56" s="1">
        <v>258.16500000000002</v>
      </c>
      <c r="E56" s="1">
        <v>970.62199999999996</v>
      </c>
      <c r="F56" s="1">
        <v>401.56900000000002</v>
      </c>
      <c r="G56" s="7">
        <v>1</v>
      </c>
      <c r="H56" s="1">
        <v>50</v>
      </c>
      <c r="I56" s="1" t="s">
        <v>39</v>
      </c>
      <c r="J56" s="1"/>
      <c r="K56" s="1">
        <v>956.7</v>
      </c>
      <c r="L56" s="1">
        <f t="shared" si="25"/>
        <v>13.921999999999912</v>
      </c>
      <c r="M56" s="1"/>
      <c r="N56" s="1"/>
      <c r="O56" s="1">
        <v>333.92245400000002</v>
      </c>
      <c r="P56" s="1"/>
      <c r="Q56" s="1"/>
      <c r="R56" s="1">
        <v>585.65048760000002</v>
      </c>
      <c r="S56" s="20"/>
      <c r="T56" s="1">
        <v>390.43365840000001</v>
      </c>
      <c r="U56" s="20"/>
      <c r="V56" s="1">
        <f t="shared" si="26"/>
        <v>194.12439999999998</v>
      </c>
      <c r="W56" s="5">
        <f t="shared" si="23"/>
        <v>520.85499999999956</v>
      </c>
      <c r="X56" s="5">
        <v>700</v>
      </c>
      <c r="Y56" s="5">
        <f t="shared" si="33"/>
        <v>271.60000000000002</v>
      </c>
      <c r="Z56" s="5">
        <f t="shared" si="34"/>
        <v>428.4</v>
      </c>
      <c r="AA56" s="1"/>
      <c r="AB56" s="1"/>
      <c r="AC56" s="1">
        <f t="shared" si="11"/>
        <v>12.422836078308551</v>
      </c>
      <c r="AD56" s="1">
        <f t="shared" si="27"/>
        <v>8.816900915083318</v>
      </c>
      <c r="AE56" s="1">
        <v>183.68260000000001</v>
      </c>
      <c r="AF56" s="1">
        <v>117.99379999999999</v>
      </c>
      <c r="AG56" s="1">
        <v>124.1302</v>
      </c>
      <c r="AH56" s="1">
        <v>163.53100000000001</v>
      </c>
      <c r="AI56" s="1">
        <v>153.71940000000001</v>
      </c>
      <c r="AJ56" s="1">
        <v>178.23</v>
      </c>
      <c r="AK56" s="1">
        <v>187.59280000000001</v>
      </c>
      <c r="AL56" s="1">
        <v>186.78440000000001</v>
      </c>
      <c r="AM56" s="1">
        <v>179.19659999999999</v>
      </c>
      <c r="AN56" s="1">
        <v>169.71199999999999</v>
      </c>
      <c r="AO56" s="1"/>
      <c r="AP56" s="1">
        <f t="shared" si="12"/>
        <v>272</v>
      </c>
      <c r="AQ56" s="1">
        <f t="shared" si="13"/>
        <v>428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95</v>
      </c>
      <c r="B57" s="1" t="s">
        <v>38</v>
      </c>
      <c r="C57" s="1">
        <v>166.39400000000001</v>
      </c>
      <c r="D57" s="1">
        <v>173.893</v>
      </c>
      <c r="E57" s="1">
        <v>83.272000000000006</v>
      </c>
      <c r="F57" s="1">
        <v>240.416</v>
      </c>
      <c r="G57" s="7">
        <v>1</v>
      </c>
      <c r="H57" s="1">
        <v>55</v>
      </c>
      <c r="I57" s="1" t="s">
        <v>39</v>
      </c>
      <c r="J57" s="1"/>
      <c r="K57" s="1">
        <v>80.39</v>
      </c>
      <c r="L57" s="1">
        <f t="shared" si="25"/>
        <v>2.882000000000005</v>
      </c>
      <c r="M57" s="1"/>
      <c r="N57" s="1"/>
      <c r="O57" s="1">
        <v>0</v>
      </c>
      <c r="P57" s="1"/>
      <c r="Q57" s="1"/>
      <c r="R57" s="1">
        <v>0</v>
      </c>
      <c r="S57" s="20"/>
      <c r="T57" s="1"/>
      <c r="U57" s="20"/>
      <c r="V57" s="1">
        <f t="shared" si="26"/>
        <v>16.654400000000003</v>
      </c>
      <c r="W57" s="5"/>
      <c r="X57" s="5">
        <f t="shared" si="14"/>
        <v>0</v>
      </c>
      <c r="Y57" s="5">
        <f t="shared" si="33"/>
        <v>0</v>
      </c>
      <c r="Z57" s="5"/>
      <c r="AA57" s="1"/>
      <c r="AB57" s="1"/>
      <c r="AC57" s="1">
        <f t="shared" si="11"/>
        <v>14.435584590258427</v>
      </c>
      <c r="AD57" s="1">
        <f t="shared" si="27"/>
        <v>14.435584590258427</v>
      </c>
      <c r="AE57" s="1">
        <v>12.705399999999999</v>
      </c>
      <c r="AF57" s="1">
        <v>10.586</v>
      </c>
      <c r="AG57" s="1">
        <v>11.1212</v>
      </c>
      <c r="AH57" s="1">
        <v>21.421600000000002</v>
      </c>
      <c r="AI57" s="1">
        <v>21.666799999999999</v>
      </c>
      <c r="AJ57" s="1">
        <v>16.1006</v>
      </c>
      <c r="AK57" s="1">
        <v>20.717400000000001</v>
      </c>
      <c r="AL57" s="1">
        <v>18.250800000000002</v>
      </c>
      <c r="AM57" s="1">
        <v>15.446999999999999</v>
      </c>
      <c r="AN57" s="1">
        <v>17.9756</v>
      </c>
      <c r="AO57" s="16" t="s">
        <v>96</v>
      </c>
      <c r="AP57" s="1">
        <f t="shared" si="12"/>
        <v>0</v>
      </c>
      <c r="AQ57" s="1">
        <f t="shared" si="13"/>
        <v>0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97</v>
      </c>
      <c r="B58" s="1" t="s">
        <v>43</v>
      </c>
      <c r="C58" s="1">
        <v>195</v>
      </c>
      <c r="D58" s="1">
        <v>340</v>
      </c>
      <c r="E58" s="1">
        <v>197</v>
      </c>
      <c r="F58" s="1">
        <v>304</v>
      </c>
      <c r="G58" s="7">
        <v>0.1</v>
      </c>
      <c r="H58" s="1">
        <v>731</v>
      </c>
      <c r="I58" s="1" t="s">
        <v>39</v>
      </c>
      <c r="J58" s="1"/>
      <c r="K58" s="1">
        <v>197</v>
      </c>
      <c r="L58" s="1">
        <f t="shared" si="25"/>
        <v>0</v>
      </c>
      <c r="M58" s="1"/>
      <c r="N58" s="1"/>
      <c r="O58" s="1">
        <v>0</v>
      </c>
      <c r="P58" s="1"/>
      <c r="Q58" s="1"/>
      <c r="R58" s="1">
        <v>0</v>
      </c>
      <c r="S58" s="20"/>
      <c r="T58" s="1"/>
      <c r="U58" s="20"/>
      <c r="V58" s="1">
        <f t="shared" si="26"/>
        <v>39.4</v>
      </c>
      <c r="W58" s="5">
        <f t="shared" si="23"/>
        <v>149.09999999999997</v>
      </c>
      <c r="X58" s="5">
        <f t="shared" si="14"/>
        <v>149.09999999999997</v>
      </c>
      <c r="Y58" s="5">
        <f t="shared" si="33"/>
        <v>149.09999999999997</v>
      </c>
      <c r="Z58" s="5"/>
      <c r="AA58" s="1"/>
      <c r="AB58" s="1"/>
      <c r="AC58" s="1">
        <f t="shared" si="11"/>
        <v>11.5</v>
      </c>
      <c r="AD58" s="1">
        <f t="shared" si="27"/>
        <v>7.7157360406091371</v>
      </c>
      <c r="AE58" s="1">
        <v>37.4</v>
      </c>
      <c r="AF58" s="1">
        <v>34.200000000000003</v>
      </c>
      <c r="AG58" s="1">
        <v>34.799999999999997</v>
      </c>
      <c r="AH58" s="1">
        <v>41.6</v>
      </c>
      <c r="AI58" s="1">
        <v>38</v>
      </c>
      <c r="AJ58" s="1">
        <v>30.6</v>
      </c>
      <c r="AK58" s="1">
        <v>35.200000000000003</v>
      </c>
      <c r="AL58" s="1">
        <v>43.8</v>
      </c>
      <c r="AM58" s="1">
        <v>41.8</v>
      </c>
      <c r="AN58" s="1">
        <v>40.6</v>
      </c>
      <c r="AO58" s="1"/>
      <c r="AP58" s="1">
        <f t="shared" si="12"/>
        <v>15</v>
      </c>
      <c r="AQ58" s="1">
        <f t="shared" si="13"/>
        <v>0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98</v>
      </c>
      <c r="B59" s="1" t="s">
        <v>43</v>
      </c>
      <c r="C59" s="1">
        <v>402</v>
      </c>
      <c r="D59" s="1">
        <v>410</v>
      </c>
      <c r="E59" s="1">
        <v>274</v>
      </c>
      <c r="F59" s="1">
        <v>498</v>
      </c>
      <c r="G59" s="7">
        <v>0.4</v>
      </c>
      <c r="H59" s="1">
        <v>50</v>
      </c>
      <c r="I59" s="1" t="s">
        <v>39</v>
      </c>
      <c r="J59" s="1"/>
      <c r="K59" s="1">
        <v>278</v>
      </c>
      <c r="L59" s="1">
        <f t="shared" si="25"/>
        <v>-4</v>
      </c>
      <c r="M59" s="1"/>
      <c r="N59" s="1"/>
      <c r="O59" s="1">
        <v>0</v>
      </c>
      <c r="P59" s="1"/>
      <c r="Q59" s="1"/>
      <c r="R59" s="1">
        <v>0</v>
      </c>
      <c r="S59" s="20"/>
      <c r="T59" s="1"/>
      <c r="U59" s="20"/>
      <c r="V59" s="1">
        <f t="shared" si="26"/>
        <v>54.8</v>
      </c>
      <c r="W59" s="5">
        <f t="shared" si="23"/>
        <v>132.19999999999993</v>
      </c>
      <c r="X59" s="5">
        <f t="shared" si="14"/>
        <v>132.19999999999993</v>
      </c>
      <c r="Y59" s="5">
        <f t="shared" si="33"/>
        <v>132.19999999999993</v>
      </c>
      <c r="Z59" s="5"/>
      <c r="AA59" s="1"/>
      <c r="AB59" s="1"/>
      <c r="AC59" s="1">
        <f t="shared" si="11"/>
        <v>11.5</v>
      </c>
      <c r="AD59" s="1">
        <f t="shared" si="27"/>
        <v>9.0875912408759127</v>
      </c>
      <c r="AE59" s="1">
        <v>47.4</v>
      </c>
      <c r="AF59" s="1">
        <v>43</v>
      </c>
      <c r="AG59" s="1">
        <v>63</v>
      </c>
      <c r="AH59" s="1">
        <v>63.2</v>
      </c>
      <c r="AI59" s="1">
        <v>63.4</v>
      </c>
      <c r="AJ59" s="1">
        <v>66</v>
      </c>
      <c r="AK59" s="1">
        <v>65</v>
      </c>
      <c r="AL59" s="1">
        <v>69</v>
      </c>
      <c r="AM59" s="1">
        <v>59.8</v>
      </c>
      <c r="AN59" s="1">
        <v>59.4</v>
      </c>
      <c r="AO59" s="1"/>
      <c r="AP59" s="1">
        <f t="shared" si="12"/>
        <v>53</v>
      </c>
      <c r="AQ59" s="1">
        <f t="shared" si="13"/>
        <v>0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99</v>
      </c>
      <c r="B60" s="1" t="s">
        <v>38</v>
      </c>
      <c r="C60" s="1">
        <v>464.471</v>
      </c>
      <c r="D60" s="1">
        <v>182.30199999999999</v>
      </c>
      <c r="E60" s="1">
        <v>586.20399999999995</v>
      </c>
      <c r="F60" s="1">
        <v>29.193000000000001</v>
      </c>
      <c r="G60" s="7">
        <v>1</v>
      </c>
      <c r="H60" s="1">
        <v>40</v>
      </c>
      <c r="I60" s="9" t="s">
        <v>50</v>
      </c>
      <c r="J60" s="1"/>
      <c r="K60" s="1">
        <v>610.80399999999997</v>
      </c>
      <c r="L60" s="1">
        <f t="shared" si="25"/>
        <v>-24.600000000000023</v>
      </c>
      <c r="M60" s="1"/>
      <c r="N60" s="1"/>
      <c r="O60" s="1">
        <v>0</v>
      </c>
      <c r="P60" s="1"/>
      <c r="Q60" s="1"/>
      <c r="R60" s="1">
        <v>500</v>
      </c>
      <c r="S60" s="20"/>
      <c r="T60" s="1">
        <v>250</v>
      </c>
      <c r="U60" s="20"/>
      <c r="V60" s="1">
        <f t="shared" si="26"/>
        <v>117.24079999999999</v>
      </c>
      <c r="W60" s="5">
        <v>400</v>
      </c>
      <c r="X60" s="5">
        <f t="shared" si="14"/>
        <v>400</v>
      </c>
      <c r="Y60" s="5">
        <f t="shared" ref="Y60:Y62" si="35">X60</f>
        <v>400</v>
      </c>
      <c r="Z60" s="5">
        <v>200</v>
      </c>
      <c r="AA60" s="1"/>
      <c r="AB60" s="1"/>
      <c r="AC60" s="1">
        <f t="shared" si="11"/>
        <v>11.763763126829568</v>
      </c>
      <c r="AD60" s="1">
        <f t="shared" si="27"/>
        <v>6.6460907806838581</v>
      </c>
      <c r="AE60" s="1">
        <v>108.114</v>
      </c>
      <c r="AF60" s="1">
        <v>73.970799999999997</v>
      </c>
      <c r="AG60" s="1">
        <v>112.611</v>
      </c>
      <c r="AH60" s="1">
        <v>79.74199999999999</v>
      </c>
      <c r="AI60" s="1">
        <v>5.6125999999999996</v>
      </c>
      <c r="AJ60" s="1">
        <v>90.891600000000011</v>
      </c>
      <c r="AK60" s="1">
        <v>87.63300000000001</v>
      </c>
      <c r="AL60" s="1">
        <v>25.435600000000001</v>
      </c>
      <c r="AM60" s="1">
        <v>28.949200000000001</v>
      </c>
      <c r="AN60" s="1">
        <v>19.037400000000002</v>
      </c>
      <c r="AO60" s="1"/>
      <c r="AP60" s="1">
        <f t="shared" si="12"/>
        <v>400</v>
      </c>
      <c r="AQ60" s="1">
        <f t="shared" si="13"/>
        <v>200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100</v>
      </c>
      <c r="B61" s="1" t="s">
        <v>38</v>
      </c>
      <c r="C61" s="1">
        <v>349.71899999999999</v>
      </c>
      <c r="D61" s="1"/>
      <c r="E61" s="1">
        <v>344.72899999999998</v>
      </c>
      <c r="F61" s="1">
        <v>-2.5099999999999998</v>
      </c>
      <c r="G61" s="7">
        <v>1</v>
      </c>
      <c r="H61" s="1">
        <v>40</v>
      </c>
      <c r="I61" s="9" t="s">
        <v>50</v>
      </c>
      <c r="J61" s="1"/>
      <c r="K61" s="1">
        <v>405.05</v>
      </c>
      <c r="L61" s="1">
        <f t="shared" si="25"/>
        <v>-60.321000000000026</v>
      </c>
      <c r="M61" s="1"/>
      <c r="N61" s="1"/>
      <c r="O61" s="1">
        <v>619.41429799999992</v>
      </c>
      <c r="P61" s="1"/>
      <c r="Q61" s="1"/>
      <c r="R61" s="1">
        <v>197.26670200000001</v>
      </c>
      <c r="S61" s="20"/>
      <c r="T61" s="1">
        <v>98.633351000000019</v>
      </c>
      <c r="U61" s="20"/>
      <c r="V61" s="1">
        <f t="shared" si="26"/>
        <v>68.945799999999991</v>
      </c>
      <c r="W61" s="5">
        <v>100</v>
      </c>
      <c r="X61" s="5">
        <v>250</v>
      </c>
      <c r="Y61" s="5">
        <f t="shared" si="35"/>
        <v>250</v>
      </c>
      <c r="Z61" s="5">
        <v>100</v>
      </c>
      <c r="AA61" s="1">
        <f>VLOOKUP(A61,[1]Sheet!$A:$W,22,0)</f>
        <v>300</v>
      </c>
      <c r="AB61" s="1" t="str">
        <f>VLOOKUP(A61,[1]Sheet!$A:$W,23,0)</f>
        <v>промо жц</v>
      </c>
      <c r="AC61" s="1">
        <f t="shared" si="11"/>
        <v>18.315899605197128</v>
      </c>
      <c r="AD61" s="1">
        <f t="shared" si="27"/>
        <v>13.239448247754034</v>
      </c>
      <c r="AE61" s="1">
        <v>82.884799999999998</v>
      </c>
      <c r="AF61" s="1">
        <v>66.700599999999994</v>
      </c>
      <c r="AG61" s="1">
        <v>23.886800000000001</v>
      </c>
      <c r="AH61" s="1">
        <v>23.633800000000001</v>
      </c>
      <c r="AI61" s="1">
        <v>61.535799999999988</v>
      </c>
      <c r="AJ61" s="1">
        <v>85.055199999999999</v>
      </c>
      <c r="AK61" s="1">
        <v>46.878799999999998</v>
      </c>
      <c r="AL61" s="1">
        <v>23.079000000000001</v>
      </c>
      <c r="AM61" s="1">
        <v>22.816600000000001</v>
      </c>
      <c r="AN61" s="1">
        <v>0</v>
      </c>
      <c r="AO61" s="1" t="s">
        <v>179</v>
      </c>
      <c r="AP61" s="1">
        <f t="shared" si="12"/>
        <v>250</v>
      </c>
      <c r="AQ61" s="1">
        <f t="shared" si="13"/>
        <v>100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101</v>
      </c>
      <c r="B62" s="1" t="s">
        <v>43</v>
      </c>
      <c r="C62" s="1">
        <v>2345</v>
      </c>
      <c r="D62" s="1">
        <v>358</v>
      </c>
      <c r="E62" s="1">
        <v>1371</v>
      </c>
      <c r="F62" s="1">
        <v>1122</v>
      </c>
      <c r="G62" s="7">
        <v>0.4</v>
      </c>
      <c r="H62" s="1">
        <v>40</v>
      </c>
      <c r="I62" s="9" t="s">
        <v>50</v>
      </c>
      <c r="J62" s="1"/>
      <c r="K62" s="1">
        <v>1403</v>
      </c>
      <c r="L62" s="1">
        <f t="shared" si="25"/>
        <v>-32</v>
      </c>
      <c r="M62" s="1"/>
      <c r="N62" s="1"/>
      <c r="O62" s="1">
        <v>546.75599999999997</v>
      </c>
      <c r="P62" s="1"/>
      <c r="Q62" s="1"/>
      <c r="R62" s="1">
        <v>363.24400000000009</v>
      </c>
      <c r="S62" s="20"/>
      <c r="T62" s="1">
        <v>181.6220000000001</v>
      </c>
      <c r="U62" s="20"/>
      <c r="V62" s="1">
        <f t="shared" si="26"/>
        <v>274.2</v>
      </c>
      <c r="W62" s="5">
        <v>650</v>
      </c>
      <c r="X62" s="5">
        <f t="shared" si="14"/>
        <v>650</v>
      </c>
      <c r="Y62" s="5">
        <f t="shared" si="35"/>
        <v>650</v>
      </c>
      <c r="Z62" s="5">
        <v>500</v>
      </c>
      <c r="AA62" s="1"/>
      <c r="AB62" s="1"/>
      <c r="AC62" s="1">
        <f t="shared" si="11"/>
        <v>12.267038657913933</v>
      </c>
      <c r="AD62" s="1">
        <f t="shared" si="27"/>
        <v>8.0730196936542686</v>
      </c>
      <c r="AE62" s="1">
        <v>247.6</v>
      </c>
      <c r="AF62" s="1">
        <v>193.2</v>
      </c>
      <c r="AG62" s="1">
        <v>198.8</v>
      </c>
      <c r="AH62" s="1">
        <v>196.6</v>
      </c>
      <c r="AI62" s="1">
        <v>246.4</v>
      </c>
      <c r="AJ62" s="1">
        <v>312.2</v>
      </c>
      <c r="AK62" s="1">
        <v>247</v>
      </c>
      <c r="AL62" s="1">
        <v>179.6</v>
      </c>
      <c r="AM62" s="1">
        <v>181.2</v>
      </c>
      <c r="AN62" s="1">
        <v>180.6</v>
      </c>
      <c r="AO62" s="1"/>
      <c r="AP62" s="1">
        <f t="shared" si="12"/>
        <v>260</v>
      </c>
      <c r="AQ62" s="1">
        <f t="shared" si="13"/>
        <v>200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102</v>
      </c>
      <c r="B63" s="1" t="s">
        <v>43</v>
      </c>
      <c r="C63" s="1">
        <v>-3</v>
      </c>
      <c r="D63" s="1">
        <v>650</v>
      </c>
      <c r="E63" s="1">
        <v>368</v>
      </c>
      <c r="F63" s="1">
        <v>126</v>
      </c>
      <c r="G63" s="7">
        <v>0.4</v>
      </c>
      <c r="H63" s="1">
        <v>40</v>
      </c>
      <c r="I63" s="1" t="s">
        <v>39</v>
      </c>
      <c r="J63" s="1"/>
      <c r="K63" s="1">
        <v>390</v>
      </c>
      <c r="L63" s="1">
        <f t="shared" si="25"/>
        <v>-22</v>
      </c>
      <c r="M63" s="1"/>
      <c r="N63" s="1"/>
      <c r="O63" s="1">
        <v>250</v>
      </c>
      <c r="P63" s="1"/>
      <c r="Q63" s="1"/>
      <c r="R63" s="1">
        <v>0</v>
      </c>
      <c r="S63" s="20"/>
      <c r="T63" s="1"/>
      <c r="U63" s="20"/>
      <c r="V63" s="1">
        <f t="shared" si="26"/>
        <v>73.599999999999994</v>
      </c>
      <c r="W63" s="5">
        <f>10.5*V63-T63-R63-Q63-P63-O63-F63</f>
        <v>396.79999999999995</v>
      </c>
      <c r="X63" s="5">
        <v>450</v>
      </c>
      <c r="Y63" s="5">
        <f>X63-Z63</f>
        <v>174.60000000000002</v>
      </c>
      <c r="Z63" s="5">
        <f>X63*$Z$1</f>
        <v>275.39999999999998</v>
      </c>
      <c r="AA63" s="1"/>
      <c r="AB63" s="1"/>
      <c r="AC63" s="1">
        <f t="shared" si="11"/>
        <v>11.222826086956523</v>
      </c>
      <c r="AD63" s="1">
        <f t="shared" si="27"/>
        <v>5.1086956521739131</v>
      </c>
      <c r="AE63" s="1">
        <v>47.8</v>
      </c>
      <c r="AF63" s="1">
        <v>89.4</v>
      </c>
      <c r="AG63" s="1">
        <v>82</v>
      </c>
      <c r="AH63" s="1">
        <v>41.4</v>
      </c>
      <c r="AI63" s="1">
        <v>49.4</v>
      </c>
      <c r="AJ63" s="1">
        <v>124.2</v>
      </c>
      <c r="AK63" s="1">
        <v>129.6</v>
      </c>
      <c r="AL63" s="1">
        <v>96.4</v>
      </c>
      <c r="AM63" s="1">
        <v>59.8</v>
      </c>
      <c r="AN63" s="1">
        <v>2.2000000000000002</v>
      </c>
      <c r="AO63" s="1"/>
      <c r="AP63" s="1">
        <f t="shared" si="12"/>
        <v>70</v>
      </c>
      <c r="AQ63" s="1">
        <f t="shared" si="13"/>
        <v>110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103</v>
      </c>
      <c r="B64" s="1" t="s">
        <v>38</v>
      </c>
      <c r="C64" s="1"/>
      <c r="D64" s="1">
        <v>141.56</v>
      </c>
      <c r="E64" s="1">
        <v>136.529</v>
      </c>
      <c r="F64" s="1">
        <v>-0.42699999999999999</v>
      </c>
      <c r="G64" s="7">
        <v>1</v>
      </c>
      <c r="H64" s="1">
        <v>40</v>
      </c>
      <c r="I64" s="9" t="s">
        <v>50</v>
      </c>
      <c r="J64" s="1"/>
      <c r="K64" s="1">
        <v>201.875</v>
      </c>
      <c r="L64" s="1">
        <f t="shared" si="25"/>
        <v>-65.346000000000004</v>
      </c>
      <c r="M64" s="1"/>
      <c r="N64" s="1"/>
      <c r="O64" s="1">
        <v>200</v>
      </c>
      <c r="P64" s="1"/>
      <c r="Q64" s="1"/>
      <c r="R64" s="1">
        <v>100</v>
      </c>
      <c r="S64" s="20"/>
      <c r="T64" s="1"/>
      <c r="U64" s="20"/>
      <c r="V64" s="1">
        <f t="shared" si="26"/>
        <v>27.305799999999998</v>
      </c>
      <c r="W64" s="5">
        <v>50</v>
      </c>
      <c r="X64" s="5">
        <f t="shared" si="14"/>
        <v>50</v>
      </c>
      <c r="Y64" s="5">
        <f t="shared" ref="Y64:Y67" si="36">X64</f>
        <v>50</v>
      </c>
      <c r="Z64" s="5">
        <v>20</v>
      </c>
      <c r="AA64" s="1"/>
      <c r="AB64" s="1"/>
      <c r="AC64" s="1">
        <f t="shared" si="11"/>
        <v>13.53459704531638</v>
      </c>
      <c r="AD64" s="1">
        <f t="shared" si="27"/>
        <v>10.971039119893941</v>
      </c>
      <c r="AE64" s="1">
        <v>-1.0952</v>
      </c>
      <c r="AF64" s="1">
        <v>-0.55000000000000004</v>
      </c>
      <c r="AG64" s="1">
        <v>24.584800000000001</v>
      </c>
      <c r="AH64" s="1">
        <v>65.170600000000007</v>
      </c>
      <c r="AI64" s="1">
        <v>61.546000000000006</v>
      </c>
      <c r="AJ64" s="1">
        <v>65.935000000000002</v>
      </c>
      <c r="AK64" s="1">
        <v>67.238399999999999</v>
      </c>
      <c r="AL64" s="1">
        <v>56.559399999999997</v>
      </c>
      <c r="AM64" s="1">
        <v>55.1158</v>
      </c>
      <c r="AN64" s="1">
        <v>57.833799999999997</v>
      </c>
      <c r="AO64" s="1"/>
      <c r="AP64" s="1">
        <f t="shared" si="12"/>
        <v>50</v>
      </c>
      <c r="AQ64" s="1">
        <f t="shared" si="13"/>
        <v>20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104</v>
      </c>
      <c r="B65" s="1" t="s">
        <v>38</v>
      </c>
      <c r="C65" s="1"/>
      <c r="D65" s="1"/>
      <c r="E65" s="1">
        <v>-3.6339999999999999</v>
      </c>
      <c r="F65" s="1"/>
      <c r="G65" s="7">
        <v>1</v>
      </c>
      <c r="H65" s="1">
        <v>40</v>
      </c>
      <c r="I65" s="9" t="s">
        <v>50</v>
      </c>
      <c r="J65" s="1"/>
      <c r="K65" s="1">
        <v>49.7</v>
      </c>
      <c r="L65" s="1">
        <f t="shared" si="25"/>
        <v>-53.334000000000003</v>
      </c>
      <c r="M65" s="1"/>
      <c r="N65" s="1"/>
      <c r="O65" s="1">
        <v>140</v>
      </c>
      <c r="P65" s="1">
        <v>-140.4</v>
      </c>
      <c r="Q65" s="1"/>
      <c r="R65" s="1">
        <v>100</v>
      </c>
      <c r="S65" s="20"/>
      <c r="T65" s="1"/>
      <c r="U65" s="20"/>
      <c r="V65" s="1">
        <f t="shared" si="26"/>
        <v>-0.7268</v>
      </c>
      <c r="W65" s="5">
        <v>150</v>
      </c>
      <c r="X65" s="5">
        <f t="shared" si="14"/>
        <v>150</v>
      </c>
      <c r="Y65" s="5">
        <f t="shared" si="36"/>
        <v>150</v>
      </c>
      <c r="Z65" s="5">
        <v>100</v>
      </c>
      <c r="AA65" s="1"/>
      <c r="AB65" s="1"/>
      <c r="AC65" s="1">
        <f t="shared" si="11"/>
        <v>-481.01265822784814</v>
      </c>
      <c r="AD65" s="1">
        <f t="shared" si="27"/>
        <v>-137.03907539900933</v>
      </c>
      <c r="AE65" s="1">
        <v>-0.90999999999999992</v>
      </c>
      <c r="AF65" s="1">
        <v>-0.45700000000000002</v>
      </c>
      <c r="AG65" s="1">
        <v>2.2844000000000002</v>
      </c>
      <c r="AH65" s="1">
        <v>72.720799999999997</v>
      </c>
      <c r="AI65" s="1">
        <v>89.860799999999998</v>
      </c>
      <c r="AJ65" s="1">
        <v>74.588200000000001</v>
      </c>
      <c r="AK65" s="1">
        <v>88.295199999999994</v>
      </c>
      <c r="AL65" s="1">
        <v>74.920600000000007</v>
      </c>
      <c r="AM65" s="1">
        <v>70.786599999999993</v>
      </c>
      <c r="AN65" s="1">
        <v>88.879800000000003</v>
      </c>
      <c r="AO65" s="1"/>
      <c r="AP65" s="1">
        <f t="shared" si="12"/>
        <v>150</v>
      </c>
      <c r="AQ65" s="1">
        <f t="shared" si="13"/>
        <v>100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105</v>
      </c>
      <c r="B66" s="1" t="s">
        <v>38</v>
      </c>
      <c r="C66" s="1"/>
      <c r="D66" s="1"/>
      <c r="E66" s="1">
        <v>-13.106</v>
      </c>
      <c r="F66" s="1"/>
      <c r="G66" s="7">
        <v>1</v>
      </c>
      <c r="H66" s="1">
        <v>40</v>
      </c>
      <c r="I66" s="9" t="s">
        <v>50</v>
      </c>
      <c r="J66" s="1"/>
      <c r="K66" s="1">
        <v>16.5</v>
      </c>
      <c r="L66" s="1">
        <f t="shared" si="25"/>
        <v>-29.606000000000002</v>
      </c>
      <c r="M66" s="1"/>
      <c r="N66" s="1"/>
      <c r="O66" s="1">
        <v>300</v>
      </c>
      <c r="P66" s="1">
        <v>-302.39999999999998</v>
      </c>
      <c r="Q66" s="1"/>
      <c r="R66" s="1">
        <v>200</v>
      </c>
      <c r="S66" s="20"/>
      <c r="T66" s="1"/>
      <c r="U66" s="20"/>
      <c r="V66" s="1">
        <f t="shared" si="26"/>
        <v>-2.6212</v>
      </c>
      <c r="W66" s="5">
        <v>300</v>
      </c>
      <c r="X66" s="5">
        <f t="shared" si="14"/>
        <v>300</v>
      </c>
      <c r="Y66" s="5">
        <f t="shared" si="36"/>
        <v>300</v>
      </c>
      <c r="Z66" s="5">
        <v>200</v>
      </c>
      <c r="AA66" s="1"/>
      <c r="AB66" s="1"/>
      <c r="AC66" s="1">
        <f t="shared" si="11"/>
        <v>-266.13764687929194</v>
      </c>
      <c r="AD66" s="1">
        <f t="shared" si="27"/>
        <v>-75.385319700900354</v>
      </c>
      <c r="AE66" s="1">
        <v>-3.4367999999999999</v>
      </c>
      <c r="AF66" s="1">
        <v>-2.5032000000000001</v>
      </c>
      <c r="AG66" s="1">
        <v>28.1082</v>
      </c>
      <c r="AH66" s="1">
        <v>131.87299999999999</v>
      </c>
      <c r="AI66" s="1">
        <v>154.22540000000001</v>
      </c>
      <c r="AJ66" s="1">
        <v>177.6354</v>
      </c>
      <c r="AK66" s="1">
        <v>179.7578</v>
      </c>
      <c r="AL66" s="1">
        <v>145.75380000000001</v>
      </c>
      <c r="AM66" s="1">
        <v>144.0752</v>
      </c>
      <c r="AN66" s="1">
        <v>137.29580000000001</v>
      </c>
      <c r="AO66" s="1"/>
      <c r="AP66" s="1">
        <f t="shared" si="12"/>
        <v>300</v>
      </c>
      <c r="AQ66" s="1">
        <f t="shared" si="13"/>
        <v>200</v>
      </c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 t="s">
        <v>106</v>
      </c>
      <c r="B67" s="1" t="s">
        <v>38</v>
      </c>
      <c r="C67" s="1">
        <v>62.988</v>
      </c>
      <c r="D67" s="1">
        <v>142.10300000000001</v>
      </c>
      <c r="E67" s="1">
        <v>202.32400000000001</v>
      </c>
      <c r="F67" s="1">
        <v>-0.86199999999999999</v>
      </c>
      <c r="G67" s="7">
        <v>1</v>
      </c>
      <c r="H67" s="1">
        <v>40</v>
      </c>
      <c r="I67" s="9" t="s">
        <v>50</v>
      </c>
      <c r="J67" s="1"/>
      <c r="K67" s="1">
        <v>286</v>
      </c>
      <c r="L67" s="1">
        <f t="shared" si="25"/>
        <v>-83.675999999999988</v>
      </c>
      <c r="M67" s="1"/>
      <c r="N67" s="1"/>
      <c r="O67" s="1">
        <v>80</v>
      </c>
      <c r="P67" s="1"/>
      <c r="Q67" s="1"/>
      <c r="R67" s="1">
        <v>150</v>
      </c>
      <c r="S67" s="20"/>
      <c r="T67" s="1">
        <v>75</v>
      </c>
      <c r="U67" s="20"/>
      <c r="V67" s="1">
        <f t="shared" si="26"/>
        <v>40.464800000000004</v>
      </c>
      <c r="W67" s="5">
        <v>150</v>
      </c>
      <c r="X67" s="5">
        <f t="shared" si="14"/>
        <v>150</v>
      </c>
      <c r="Y67" s="5">
        <f t="shared" si="36"/>
        <v>150</v>
      </c>
      <c r="Z67" s="5">
        <v>100</v>
      </c>
      <c r="AA67" s="1"/>
      <c r="AB67" s="1"/>
      <c r="AC67" s="1">
        <f t="shared" si="11"/>
        <v>13.694321978608569</v>
      </c>
      <c r="AD67" s="1">
        <f t="shared" si="27"/>
        <v>7.5161127696170498</v>
      </c>
      <c r="AE67" s="1">
        <v>40.846600000000002</v>
      </c>
      <c r="AF67" s="1">
        <v>16.485800000000001</v>
      </c>
      <c r="AG67" s="1">
        <v>10.116400000000001</v>
      </c>
      <c r="AH67" s="1">
        <v>52.983400000000003</v>
      </c>
      <c r="AI67" s="1">
        <v>61.165399999999998</v>
      </c>
      <c r="AJ67" s="1">
        <v>53.972799999999992</v>
      </c>
      <c r="AK67" s="1">
        <v>54.696000000000012</v>
      </c>
      <c r="AL67" s="1">
        <v>44.735399999999998</v>
      </c>
      <c r="AM67" s="1">
        <v>40.375599999999999</v>
      </c>
      <c r="AN67" s="1">
        <v>45.681600000000003</v>
      </c>
      <c r="AO67" s="1"/>
      <c r="AP67" s="1">
        <f t="shared" si="12"/>
        <v>150</v>
      </c>
      <c r="AQ67" s="1">
        <f t="shared" si="13"/>
        <v>100</v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" t="s">
        <v>107</v>
      </c>
      <c r="B68" s="1" t="s">
        <v>43</v>
      </c>
      <c r="C68" s="1">
        <v>13</v>
      </c>
      <c r="D68" s="1">
        <v>16</v>
      </c>
      <c r="E68" s="1"/>
      <c r="F68" s="1">
        <v>29</v>
      </c>
      <c r="G68" s="7">
        <v>0.6</v>
      </c>
      <c r="H68" s="1">
        <v>70</v>
      </c>
      <c r="I68" s="1" t="s">
        <v>39</v>
      </c>
      <c r="J68" s="1"/>
      <c r="K68" s="1">
        <v>11</v>
      </c>
      <c r="L68" s="1">
        <f t="shared" si="25"/>
        <v>-11</v>
      </c>
      <c r="M68" s="1"/>
      <c r="N68" s="1"/>
      <c r="O68" s="1">
        <v>0</v>
      </c>
      <c r="P68" s="1"/>
      <c r="Q68" s="1"/>
      <c r="R68" s="1">
        <v>0</v>
      </c>
      <c r="S68" s="20"/>
      <c r="T68" s="1"/>
      <c r="U68" s="20"/>
      <c r="V68" s="1">
        <f t="shared" si="26"/>
        <v>0</v>
      </c>
      <c r="W68" s="5"/>
      <c r="X68" s="5">
        <f t="shared" si="14"/>
        <v>0</v>
      </c>
      <c r="Y68" s="5">
        <f>X68-Z68</f>
        <v>0</v>
      </c>
      <c r="Z68" s="5"/>
      <c r="AA68" s="1"/>
      <c r="AB68" s="1"/>
      <c r="AC68" s="1" t="e">
        <f t="shared" si="11"/>
        <v>#DIV/0!</v>
      </c>
      <c r="AD68" s="1" t="e">
        <f t="shared" si="27"/>
        <v>#DIV/0!</v>
      </c>
      <c r="AE68" s="1">
        <v>1.2</v>
      </c>
      <c r="AF68" s="1">
        <v>1.2</v>
      </c>
      <c r="AG68" s="1">
        <v>1.4</v>
      </c>
      <c r="AH68" s="1">
        <v>2.4</v>
      </c>
      <c r="AI68" s="1">
        <v>2.2000000000000002</v>
      </c>
      <c r="AJ68" s="1">
        <v>1.2</v>
      </c>
      <c r="AK68" s="1">
        <v>1.2</v>
      </c>
      <c r="AL68" s="1">
        <v>2</v>
      </c>
      <c r="AM68" s="1">
        <v>2</v>
      </c>
      <c r="AN68" s="1">
        <v>1.2</v>
      </c>
      <c r="AO68" s="17" t="s">
        <v>108</v>
      </c>
      <c r="AP68" s="1">
        <f t="shared" si="12"/>
        <v>0</v>
      </c>
      <c r="AQ68" s="1">
        <f t="shared" si="13"/>
        <v>0</v>
      </c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 t="s">
        <v>109</v>
      </c>
      <c r="B69" s="1" t="s">
        <v>38</v>
      </c>
      <c r="C69" s="1">
        <v>380.95800000000003</v>
      </c>
      <c r="D69" s="1">
        <v>161.24799999999999</v>
      </c>
      <c r="E69" s="1">
        <v>194.51300000000001</v>
      </c>
      <c r="F69" s="1">
        <v>252.33099999999999</v>
      </c>
      <c r="G69" s="7">
        <v>1</v>
      </c>
      <c r="H69" s="1">
        <v>30</v>
      </c>
      <c r="I69" s="9" t="s">
        <v>50</v>
      </c>
      <c r="J69" s="1"/>
      <c r="K69" s="1">
        <v>256.16500000000002</v>
      </c>
      <c r="L69" s="1">
        <f t="shared" si="25"/>
        <v>-61.652000000000015</v>
      </c>
      <c r="M69" s="1"/>
      <c r="N69" s="1"/>
      <c r="O69" s="1">
        <v>0</v>
      </c>
      <c r="P69" s="1"/>
      <c r="Q69" s="1"/>
      <c r="R69" s="1">
        <v>27.009800000000041</v>
      </c>
      <c r="S69" s="20"/>
      <c r="T69" s="1">
        <v>13.504900000000021</v>
      </c>
      <c r="U69" s="20"/>
      <c r="V69" s="1">
        <f t="shared" si="26"/>
        <v>38.9026</v>
      </c>
      <c r="W69" s="5">
        <f>10*V69-T69-R69-Q69-P69-O69-F69</f>
        <v>96.18029999999996</v>
      </c>
      <c r="X69" s="5">
        <f t="shared" si="14"/>
        <v>96.18029999999996</v>
      </c>
      <c r="Y69" s="5">
        <f>X69</f>
        <v>96.18029999999996</v>
      </c>
      <c r="Z69" s="5">
        <v>100</v>
      </c>
      <c r="AA69" s="1"/>
      <c r="AB69" s="1"/>
      <c r="AC69" s="1">
        <f t="shared" si="11"/>
        <v>12.570522278716592</v>
      </c>
      <c r="AD69" s="1">
        <f t="shared" si="27"/>
        <v>7.52766396076355</v>
      </c>
      <c r="AE69" s="1">
        <v>42.365200000000002</v>
      </c>
      <c r="AF69" s="1">
        <v>40.881999999999998</v>
      </c>
      <c r="AG69" s="1">
        <v>42.170200000000001</v>
      </c>
      <c r="AH69" s="1">
        <v>58.654400000000003</v>
      </c>
      <c r="AI69" s="1">
        <v>59.754800000000003</v>
      </c>
      <c r="AJ69" s="1">
        <v>63.089399999999998</v>
      </c>
      <c r="AK69" s="1">
        <v>62.3386</v>
      </c>
      <c r="AL69" s="1">
        <v>48.734200000000001</v>
      </c>
      <c r="AM69" s="1">
        <v>49.574399999999997</v>
      </c>
      <c r="AN69" s="1">
        <v>57.8048</v>
      </c>
      <c r="AO69" s="10" t="s">
        <v>47</v>
      </c>
      <c r="AP69" s="1">
        <f t="shared" si="12"/>
        <v>96</v>
      </c>
      <c r="AQ69" s="1">
        <f t="shared" si="13"/>
        <v>100</v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110</v>
      </c>
      <c r="B70" s="1" t="s">
        <v>43</v>
      </c>
      <c r="C70" s="1">
        <v>159</v>
      </c>
      <c r="D70" s="1">
        <v>96</v>
      </c>
      <c r="E70" s="1">
        <v>131</v>
      </c>
      <c r="F70" s="1">
        <v>114</v>
      </c>
      <c r="G70" s="7">
        <v>0.6</v>
      </c>
      <c r="H70" s="1">
        <v>60</v>
      </c>
      <c r="I70" s="1" t="s">
        <v>39</v>
      </c>
      <c r="J70" s="1"/>
      <c r="K70" s="1">
        <v>131</v>
      </c>
      <c r="L70" s="1">
        <f t="shared" ref="L70:L101" si="37">E70-K70</f>
        <v>0</v>
      </c>
      <c r="M70" s="1"/>
      <c r="N70" s="1"/>
      <c r="O70" s="1">
        <v>42</v>
      </c>
      <c r="P70" s="1"/>
      <c r="Q70" s="1"/>
      <c r="R70" s="1">
        <v>86.8</v>
      </c>
      <c r="S70" s="20"/>
      <c r="T70" s="1"/>
      <c r="U70" s="20"/>
      <c r="V70" s="1">
        <f t="shared" ref="V70:V101" si="38">E70/5</f>
        <v>26.2</v>
      </c>
      <c r="W70" s="5">
        <f t="shared" si="23"/>
        <v>58.5</v>
      </c>
      <c r="X70" s="5">
        <f t="shared" si="14"/>
        <v>58.5</v>
      </c>
      <c r="Y70" s="5">
        <f t="shared" ref="Y70:Y72" si="39">X70-Z70</f>
        <v>58.5</v>
      </c>
      <c r="Z70" s="5"/>
      <c r="AA70" s="1"/>
      <c r="AB70" s="1"/>
      <c r="AC70" s="1">
        <f t="shared" si="11"/>
        <v>11.5</v>
      </c>
      <c r="AD70" s="1">
        <f t="shared" ref="AD70:AD101" si="40">(F70+O70+P70+Q70+R70+T70)/V70</f>
        <v>9.2671755725190845</v>
      </c>
      <c r="AE70" s="1">
        <v>25.8</v>
      </c>
      <c r="AF70" s="1">
        <v>24.4</v>
      </c>
      <c r="AG70" s="1">
        <v>19.2</v>
      </c>
      <c r="AH70" s="1">
        <v>23.2</v>
      </c>
      <c r="AI70" s="1">
        <v>26.8</v>
      </c>
      <c r="AJ70" s="1">
        <v>24.8</v>
      </c>
      <c r="AK70" s="1">
        <v>28.2</v>
      </c>
      <c r="AL70" s="1">
        <v>22.8</v>
      </c>
      <c r="AM70" s="1">
        <v>19.2</v>
      </c>
      <c r="AN70" s="1">
        <v>23.4</v>
      </c>
      <c r="AO70" s="1"/>
      <c r="AP70" s="1">
        <f t="shared" si="12"/>
        <v>35</v>
      </c>
      <c r="AQ70" s="1">
        <f t="shared" si="13"/>
        <v>0</v>
      </c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 t="s">
        <v>111</v>
      </c>
      <c r="B71" s="1" t="s">
        <v>43</v>
      </c>
      <c r="C71" s="1">
        <v>6</v>
      </c>
      <c r="D71" s="1">
        <v>32</v>
      </c>
      <c r="E71" s="1">
        <v>32</v>
      </c>
      <c r="F71" s="1">
        <v>5</v>
      </c>
      <c r="G71" s="7">
        <v>0.6</v>
      </c>
      <c r="H71" s="1">
        <v>60</v>
      </c>
      <c r="I71" s="1" t="s">
        <v>39</v>
      </c>
      <c r="J71" s="1"/>
      <c r="K71" s="1">
        <v>43</v>
      </c>
      <c r="L71" s="1">
        <f t="shared" si="37"/>
        <v>-11</v>
      </c>
      <c r="M71" s="1"/>
      <c r="N71" s="1"/>
      <c r="O71" s="1">
        <v>61.8</v>
      </c>
      <c r="P71" s="1"/>
      <c r="Q71" s="1"/>
      <c r="R71" s="1">
        <v>18.8</v>
      </c>
      <c r="S71" s="20"/>
      <c r="T71" s="1"/>
      <c r="U71" s="20"/>
      <c r="V71" s="1">
        <f t="shared" si="38"/>
        <v>6.4</v>
      </c>
      <c r="W71" s="5"/>
      <c r="X71" s="5">
        <f t="shared" ref="X71:X129" si="41">W71</f>
        <v>0</v>
      </c>
      <c r="Y71" s="5">
        <f t="shared" si="39"/>
        <v>0</v>
      </c>
      <c r="Z71" s="5"/>
      <c r="AA71" s="1"/>
      <c r="AB71" s="1"/>
      <c r="AC71" s="1">
        <f t="shared" ref="AC71:AC129" si="42">(F71+O71+P71+Q71+R71+T71+Y71+Z71)/V71</f>
        <v>13.374999999999998</v>
      </c>
      <c r="AD71" s="1">
        <f t="shared" si="40"/>
        <v>13.374999999999998</v>
      </c>
      <c r="AE71" s="1">
        <v>9.6</v>
      </c>
      <c r="AF71" s="1">
        <v>10.4</v>
      </c>
      <c r="AG71" s="1">
        <v>6.6</v>
      </c>
      <c r="AH71" s="1">
        <v>6.4</v>
      </c>
      <c r="AI71" s="1">
        <v>6.4</v>
      </c>
      <c r="AJ71" s="1">
        <v>6.8</v>
      </c>
      <c r="AK71" s="1">
        <v>7.6</v>
      </c>
      <c r="AL71" s="1">
        <v>5.8</v>
      </c>
      <c r="AM71" s="1">
        <v>4</v>
      </c>
      <c r="AN71" s="1">
        <v>5.4</v>
      </c>
      <c r="AO71" s="1"/>
      <c r="AP71" s="1">
        <f t="shared" ref="AP71:AP129" si="43">ROUND(G71*Y71,0)</f>
        <v>0</v>
      </c>
      <c r="AQ71" s="1">
        <f t="shared" ref="AQ71:AQ129" si="44">ROUND(G71*Z71,0)</f>
        <v>0</v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112</v>
      </c>
      <c r="B72" s="1" t="s">
        <v>43</v>
      </c>
      <c r="C72" s="1">
        <v>121</v>
      </c>
      <c r="D72" s="1">
        <v>121</v>
      </c>
      <c r="E72" s="1">
        <v>184</v>
      </c>
      <c r="F72" s="1">
        <v>40</v>
      </c>
      <c r="G72" s="7">
        <v>0.4</v>
      </c>
      <c r="H72" s="1">
        <v>90</v>
      </c>
      <c r="I72" s="1" t="s">
        <v>39</v>
      </c>
      <c r="J72" s="1"/>
      <c r="K72" s="1">
        <v>185</v>
      </c>
      <c r="L72" s="1">
        <f t="shared" si="37"/>
        <v>-1</v>
      </c>
      <c r="M72" s="1"/>
      <c r="N72" s="1"/>
      <c r="O72" s="1">
        <v>206.398</v>
      </c>
      <c r="P72" s="1"/>
      <c r="Q72" s="1"/>
      <c r="R72" s="1">
        <v>114.202</v>
      </c>
      <c r="S72" s="20"/>
      <c r="T72" s="1"/>
      <c r="U72" s="20"/>
      <c r="V72" s="1">
        <f t="shared" si="38"/>
        <v>36.799999999999997</v>
      </c>
      <c r="W72" s="5">
        <f t="shared" si="23"/>
        <v>62.599999999999994</v>
      </c>
      <c r="X72" s="5">
        <f t="shared" si="41"/>
        <v>62.599999999999994</v>
      </c>
      <c r="Y72" s="5">
        <f t="shared" si="39"/>
        <v>62.599999999999994</v>
      </c>
      <c r="Z72" s="5"/>
      <c r="AA72" s="1"/>
      <c r="AB72" s="1"/>
      <c r="AC72" s="1">
        <f t="shared" si="42"/>
        <v>11.500000000000002</v>
      </c>
      <c r="AD72" s="1">
        <f t="shared" si="40"/>
        <v>9.7989130434782616</v>
      </c>
      <c r="AE72" s="1">
        <v>39.6</v>
      </c>
      <c r="AF72" s="1">
        <v>30.6</v>
      </c>
      <c r="AG72" s="1">
        <v>18.399999999999999</v>
      </c>
      <c r="AH72" s="1">
        <v>20.399999999999999</v>
      </c>
      <c r="AI72" s="1">
        <v>24.8</v>
      </c>
      <c r="AJ72" s="1">
        <v>20.6</v>
      </c>
      <c r="AK72" s="1">
        <v>17</v>
      </c>
      <c r="AL72" s="1">
        <v>22.8</v>
      </c>
      <c r="AM72" s="1">
        <v>25.2</v>
      </c>
      <c r="AN72" s="1">
        <v>20.6</v>
      </c>
      <c r="AO72" s="1"/>
      <c r="AP72" s="1">
        <f t="shared" si="43"/>
        <v>25</v>
      </c>
      <c r="AQ72" s="1">
        <f t="shared" si="44"/>
        <v>0</v>
      </c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" t="s">
        <v>113</v>
      </c>
      <c r="B73" s="1" t="s">
        <v>43</v>
      </c>
      <c r="C73" s="1">
        <v>24</v>
      </c>
      <c r="D73" s="1">
        <v>200</v>
      </c>
      <c r="E73" s="1">
        <v>120</v>
      </c>
      <c r="F73" s="1">
        <v>81</v>
      </c>
      <c r="G73" s="7">
        <v>0.33</v>
      </c>
      <c r="H73" s="1">
        <v>60</v>
      </c>
      <c r="I73" s="9" t="s">
        <v>50</v>
      </c>
      <c r="J73" s="1"/>
      <c r="K73" s="1">
        <v>155</v>
      </c>
      <c r="L73" s="1">
        <f t="shared" si="37"/>
        <v>-35</v>
      </c>
      <c r="M73" s="1"/>
      <c r="N73" s="1"/>
      <c r="O73" s="1">
        <v>313.37400000000002</v>
      </c>
      <c r="P73" s="1"/>
      <c r="Q73" s="1"/>
      <c r="R73" s="1">
        <v>0</v>
      </c>
      <c r="S73" s="20"/>
      <c r="T73" s="1">
        <v>0</v>
      </c>
      <c r="U73" s="20"/>
      <c r="V73" s="1">
        <f t="shared" si="38"/>
        <v>24</v>
      </c>
      <c r="W73" s="5"/>
      <c r="X73" s="5">
        <f t="shared" si="41"/>
        <v>0</v>
      </c>
      <c r="Y73" s="5">
        <f>X73</f>
        <v>0</v>
      </c>
      <c r="Z73" s="5"/>
      <c r="AA73" s="1"/>
      <c r="AB73" s="1"/>
      <c r="AC73" s="1">
        <f t="shared" si="42"/>
        <v>16.43225</v>
      </c>
      <c r="AD73" s="1">
        <f t="shared" si="40"/>
        <v>16.43225</v>
      </c>
      <c r="AE73" s="1">
        <v>30</v>
      </c>
      <c r="AF73" s="1">
        <v>37.799999999999997</v>
      </c>
      <c r="AG73" s="1">
        <v>26.4</v>
      </c>
      <c r="AH73" s="1">
        <v>26</v>
      </c>
      <c r="AI73" s="1">
        <v>27</v>
      </c>
      <c r="AJ73" s="1">
        <v>28.2</v>
      </c>
      <c r="AK73" s="1">
        <v>25.8</v>
      </c>
      <c r="AL73" s="1">
        <v>29.8</v>
      </c>
      <c r="AM73" s="1">
        <v>31.6</v>
      </c>
      <c r="AN73" s="1">
        <v>29</v>
      </c>
      <c r="AO73" s="1"/>
      <c r="AP73" s="1">
        <f t="shared" si="43"/>
        <v>0</v>
      </c>
      <c r="AQ73" s="1">
        <f t="shared" si="44"/>
        <v>0</v>
      </c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114</v>
      </c>
      <c r="B74" s="1" t="s">
        <v>43</v>
      </c>
      <c r="C74" s="1">
        <v>188</v>
      </c>
      <c r="D74" s="1"/>
      <c r="E74" s="1">
        <v>116</v>
      </c>
      <c r="F74" s="1">
        <v>54</v>
      </c>
      <c r="G74" s="7">
        <v>0.35</v>
      </c>
      <c r="H74" s="1">
        <v>90</v>
      </c>
      <c r="I74" s="1" t="s">
        <v>39</v>
      </c>
      <c r="J74" s="1"/>
      <c r="K74" s="1">
        <v>121</v>
      </c>
      <c r="L74" s="1">
        <f t="shared" si="37"/>
        <v>-5</v>
      </c>
      <c r="M74" s="1"/>
      <c r="N74" s="1"/>
      <c r="O74" s="1">
        <v>0</v>
      </c>
      <c r="P74" s="1"/>
      <c r="Q74" s="1"/>
      <c r="R74" s="1">
        <v>65</v>
      </c>
      <c r="S74" s="20"/>
      <c r="T74" s="1"/>
      <c r="U74" s="20"/>
      <c r="V74" s="1">
        <f t="shared" si="38"/>
        <v>23.2</v>
      </c>
      <c r="W74" s="5">
        <f>10.5*V74-T74-R74-Q74-P74-O74-F74</f>
        <v>124.6</v>
      </c>
      <c r="X74" s="5">
        <f t="shared" si="41"/>
        <v>124.6</v>
      </c>
      <c r="Y74" s="5">
        <f t="shared" ref="Y74:Y78" si="45">X74-Z74</f>
        <v>124.6</v>
      </c>
      <c r="Z74" s="5"/>
      <c r="AA74" s="1"/>
      <c r="AB74" s="1"/>
      <c r="AC74" s="1">
        <f t="shared" si="42"/>
        <v>10.5</v>
      </c>
      <c r="AD74" s="1">
        <f t="shared" si="40"/>
        <v>5.1293103448275863</v>
      </c>
      <c r="AE74" s="1">
        <v>17</v>
      </c>
      <c r="AF74" s="1">
        <v>15.4</v>
      </c>
      <c r="AG74" s="1">
        <v>16.600000000000001</v>
      </c>
      <c r="AH74" s="1">
        <v>20</v>
      </c>
      <c r="AI74" s="1">
        <v>29.8</v>
      </c>
      <c r="AJ74" s="1">
        <v>29</v>
      </c>
      <c r="AK74" s="1">
        <v>21.4</v>
      </c>
      <c r="AL74" s="1">
        <v>22</v>
      </c>
      <c r="AM74" s="1">
        <v>21.8</v>
      </c>
      <c r="AN74" s="1">
        <v>20</v>
      </c>
      <c r="AO74" s="1"/>
      <c r="AP74" s="1">
        <f t="shared" si="43"/>
        <v>44</v>
      </c>
      <c r="AQ74" s="1">
        <f t="shared" si="44"/>
        <v>0</v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115</v>
      </c>
      <c r="B75" s="1" t="s">
        <v>43</v>
      </c>
      <c r="C75" s="1">
        <v>621</v>
      </c>
      <c r="D75" s="1">
        <v>580</v>
      </c>
      <c r="E75" s="1">
        <v>506</v>
      </c>
      <c r="F75" s="1">
        <v>564</v>
      </c>
      <c r="G75" s="7">
        <v>0.37</v>
      </c>
      <c r="H75" s="1">
        <v>50</v>
      </c>
      <c r="I75" s="1" t="s">
        <v>39</v>
      </c>
      <c r="J75" s="1"/>
      <c r="K75" s="1">
        <v>513</v>
      </c>
      <c r="L75" s="1">
        <f t="shared" si="37"/>
        <v>-7</v>
      </c>
      <c r="M75" s="1"/>
      <c r="N75" s="1"/>
      <c r="O75" s="1">
        <v>230.36199999999999</v>
      </c>
      <c r="P75" s="1"/>
      <c r="Q75" s="1"/>
      <c r="R75" s="1">
        <v>0</v>
      </c>
      <c r="S75" s="20"/>
      <c r="T75" s="1"/>
      <c r="U75" s="20"/>
      <c r="V75" s="1">
        <f t="shared" si="38"/>
        <v>101.2</v>
      </c>
      <c r="W75" s="5">
        <f t="shared" si="23"/>
        <v>369.43799999999999</v>
      </c>
      <c r="X75" s="5">
        <v>450</v>
      </c>
      <c r="Y75" s="5">
        <f t="shared" si="45"/>
        <v>174.60000000000002</v>
      </c>
      <c r="Z75" s="5">
        <f>X75*$Z$1</f>
        <v>275.39999999999998</v>
      </c>
      <c r="AA75" s="1"/>
      <c r="AB75" s="1"/>
      <c r="AC75" s="1">
        <f t="shared" si="42"/>
        <v>12.29606719367589</v>
      </c>
      <c r="AD75" s="1">
        <f t="shared" si="40"/>
        <v>7.8494268774703553</v>
      </c>
      <c r="AE75" s="1">
        <v>91.8</v>
      </c>
      <c r="AF75" s="1">
        <v>81.400000000000006</v>
      </c>
      <c r="AG75" s="1">
        <v>102.6</v>
      </c>
      <c r="AH75" s="1">
        <v>100</v>
      </c>
      <c r="AI75" s="1">
        <v>93.6</v>
      </c>
      <c r="AJ75" s="1">
        <v>104.8</v>
      </c>
      <c r="AK75" s="1">
        <v>111.2</v>
      </c>
      <c r="AL75" s="1">
        <v>113</v>
      </c>
      <c r="AM75" s="1">
        <v>100</v>
      </c>
      <c r="AN75" s="1">
        <v>88.2</v>
      </c>
      <c r="AO75" s="1"/>
      <c r="AP75" s="1">
        <f t="shared" si="43"/>
        <v>65</v>
      </c>
      <c r="AQ75" s="1">
        <f t="shared" si="44"/>
        <v>102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116</v>
      </c>
      <c r="B76" s="1" t="s">
        <v>43</v>
      </c>
      <c r="C76" s="1">
        <v>191</v>
      </c>
      <c r="D76" s="1">
        <v>88</v>
      </c>
      <c r="E76" s="1">
        <v>151</v>
      </c>
      <c r="F76" s="1">
        <v>73</v>
      </c>
      <c r="G76" s="7">
        <v>0.6</v>
      </c>
      <c r="H76" s="1">
        <v>70</v>
      </c>
      <c r="I76" s="1" t="s">
        <v>39</v>
      </c>
      <c r="J76" s="1"/>
      <c r="K76" s="1">
        <v>151</v>
      </c>
      <c r="L76" s="1">
        <f t="shared" si="37"/>
        <v>0</v>
      </c>
      <c r="M76" s="1"/>
      <c r="N76" s="1"/>
      <c r="O76" s="1">
        <v>55.399999999999977</v>
      </c>
      <c r="P76" s="1"/>
      <c r="Q76" s="1"/>
      <c r="R76" s="1">
        <v>98.40000000000002</v>
      </c>
      <c r="S76" s="20"/>
      <c r="T76" s="1"/>
      <c r="U76" s="20"/>
      <c r="V76" s="1">
        <f t="shared" si="38"/>
        <v>30.2</v>
      </c>
      <c r="W76" s="5">
        <f t="shared" si="23"/>
        <v>120.5</v>
      </c>
      <c r="X76" s="5">
        <f t="shared" si="41"/>
        <v>120.5</v>
      </c>
      <c r="Y76" s="5">
        <f t="shared" si="45"/>
        <v>120.5</v>
      </c>
      <c r="Z76" s="5"/>
      <c r="AA76" s="1"/>
      <c r="AB76" s="1"/>
      <c r="AC76" s="1">
        <f t="shared" si="42"/>
        <v>11.5</v>
      </c>
      <c r="AD76" s="1">
        <f t="shared" si="40"/>
        <v>7.5099337748344377</v>
      </c>
      <c r="AE76" s="1">
        <v>27.8</v>
      </c>
      <c r="AF76" s="1">
        <v>25.6</v>
      </c>
      <c r="AG76" s="1">
        <v>22.8</v>
      </c>
      <c r="AH76" s="1">
        <v>23.6</v>
      </c>
      <c r="AI76" s="1">
        <v>26.2</v>
      </c>
      <c r="AJ76" s="1">
        <v>25.4</v>
      </c>
      <c r="AK76" s="1">
        <v>23.8</v>
      </c>
      <c r="AL76" s="1">
        <v>19.600000000000001</v>
      </c>
      <c r="AM76" s="1">
        <v>22.8</v>
      </c>
      <c r="AN76" s="1">
        <v>16.8</v>
      </c>
      <c r="AO76" s="1"/>
      <c r="AP76" s="1">
        <f t="shared" si="43"/>
        <v>72</v>
      </c>
      <c r="AQ76" s="1">
        <f t="shared" si="44"/>
        <v>0</v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117</v>
      </c>
      <c r="B77" s="1" t="s">
        <v>43</v>
      </c>
      <c r="C77" s="1">
        <v>59</v>
      </c>
      <c r="D77" s="1">
        <v>1</v>
      </c>
      <c r="E77" s="1">
        <v>41</v>
      </c>
      <c r="F77" s="1">
        <v>16</v>
      </c>
      <c r="G77" s="7">
        <v>0.33</v>
      </c>
      <c r="H77" s="1">
        <v>40</v>
      </c>
      <c r="I77" s="1" t="s">
        <v>39</v>
      </c>
      <c r="J77" s="1"/>
      <c r="K77" s="1">
        <v>52</v>
      </c>
      <c r="L77" s="1">
        <f t="shared" si="37"/>
        <v>-11</v>
      </c>
      <c r="M77" s="1"/>
      <c r="N77" s="1"/>
      <c r="O77" s="1">
        <v>74</v>
      </c>
      <c r="P77" s="1"/>
      <c r="Q77" s="1"/>
      <c r="R77" s="1">
        <v>22.4</v>
      </c>
      <c r="S77" s="20"/>
      <c r="T77" s="1"/>
      <c r="U77" s="20"/>
      <c r="V77" s="1">
        <f t="shared" si="38"/>
        <v>8.1999999999999993</v>
      </c>
      <c r="W77" s="5"/>
      <c r="X77" s="5">
        <f t="shared" si="41"/>
        <v>0</v>
      </c>
      <c r="Y77" s="5">
        <f t="shared" si="45"/>
        <v>0</v>
      </c>
      <c r="Z77" s="5"/>
      <c r="AA77" s="1"/>
      <c r="AB77" s="1"/>
      <c r="AC77" s="1">
        <f t="shared" si="42"/>
        <v>13.707317073170733</v>
      </c>
      <c r="AD77" s="1">
        <f t="shared" si="40"/>
        <v>13.707317073170733</v>
      </c>
      <c r="AE77" s="1">
        <v>11.4</v>
      </c>
      <c r="AF77" s="1">
        <v>12</v>
      </c>
      <c r="AG77" s="1">
        <v>5.4</v>
      </c>
      <c r="AH77" s="1">
        <v>-0.2</v>
      </c>
      <c r="AI77" s="1">
        <v>10</v>
      </c>
      <c r="AJ77" s="1">
        <v>13.8</v>
      </c>
      <c r="AK77" s="1">
        <v>6.2</v>
      </c>
      <c r="AL77" s="1">
        <v>5.6</v>
      </c>
      <c r="AM77" s="1">
        <v>8.8000000000000007</v>
      </c>
      <c r="AN77" s="1">
        <v>10.6</v>
      </c>
      <c r="AO77" s="1"/>
      <c r="AP77" s="1">
        <f t="shared" si="43"/>
        <v>0</v>
      </c>
      <c r="AQ77" s="1">
        <f t="shared" si="44"/>
        <v>0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118</v>
      </c>
      <c r="B78" s="1" t="s">
        <v>43</v>
      </c>
      <c r="C78" s="1">
        <v>276</v>
      </c>
      <c r="D78" s="1">
        <v>402</v>
      </c>
      <c r="E78" s="1">
        <v>278</v>
      </c>
      <c r="F78" s="1">
        <v>363</v>
      </c>
      <c r="G78" s="7">
        <v>0.4</v>
      </c>
      <c r="H78" s="1">
        <v>55</v>
      </c>
      <c r="I78" s="1" t="s">
        <v>39</v>
      </c>
      <c r="J78" s="1"/>
      <c r="K78" s="1">
        <v>281</v>
      </c>
      <c r="L78" s="1">
        <f t="shared" si="37"/>
        <v>-3</v>
      </c>
      <c r="M78" s="1"/>
      <c r="N78" s="1"/>
      <c r="O78" s="1">
        <v>155.65</v>
      </c>
      <c r="P78" s="1"/>
      <c r="Q78" s="1"/>
      <c r="R78" s="1">
        <v>60.4</v>
      </c>
      <c r="S78" s="20"/>
      <c r="T78" s="1"/>
      <c r="U78" s="20"/>
      <c r="V78" s="1">
        <f t="shared" si="38"/>
        <v>55.6</v>
      </c>
      <c r="W78" s="5">
        <f t="shared" si="23"/>
        <v>60.350000000000023</v>
      </c>
      <c r="X78" s="5">
        <f t="shared" si="41"/>
        <v>60.350000000000023</v>
      </c>
      <c r="Y78" s="5">
        <f t="shared" si="45"/>
        <v>60.350000000000023</v>
      </c>
      <c r="Z78" s="5"/>
      <c r="AA78" s="1"/>
      <c r="AB78" s="1"/>
      <c r="AC78" s="1">
        <f t="shared" si="42"/>
        <v>11.5</v>
      </c>
      <c r="AD78" s="1">
        <f t="shared" si="40"/>
        <v>10.41456834532374</v>
      </c>
      <c r="AE78" s="1">
        <v>60.4</v>
      </c>
      <c r="AF78" s="1">
        <v>55</v>
      </c>
      <c r="AG78" s="1">
        <v>52</v>
      </c>
      <c r="AH78" s="1">
        <v>54.4</v>
      </c>
      <c r="AI78" s="1">
        <v>57.4</v>
      </c>
      <c r="AJ78" s="1">
        <v>51.8</v>
      </c>
      <c r="AK78" s="1">
        <v>49.2</v>
      </c>
      <c r="AL78" s="1">
        <v>55.8</v>
      </c>
      <c r="AM78" s="1">
        <v>49.8</v>
      </c>
      <c r="AN78" s="1">
        <v>36.200000000000003</v>
      </c>
      <c r="AO78" s="1"/>
      <c r="AP78" s="1">
        <f t="shared" si="43"/>
        <v>24</v>
      </c>
      <c r="AQ78" s="1">
        <f t="shared" si="44"/>
        <v>0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119</v>
      </c>
      <c r="B79" s="1" t="s">
        <v>43</v>
      </c>
      <c r="C79" s="1"/>
      <c r="D79" s="1"/>
      <c r="E79" s="1">
        <v>-2</v>
      </c>
      <c r="F79" s="1"/>
      <c r="G79" s="7">
        <v>0.35</v>
      </c>
      <c r="H79" s="1">
        <v>40</v>
      </c>
      <c r="I79" s="9" t="s">
        <v>50</v>
      </c>
      <c r="J79" s="1"/>
      <c r="K79" s="1">
        <v>167</v>
      </c>
      <c r="L79" s="1">
        <f t="shared" si="37"/>
        <v>-169</v>
      </c>
      <c r="M79" s="1"/>
      <c r="N79" s="1"/>
      <c r="O79" s="1">
        <v>50</v>
      </c>
      <c r="P79" s="1">
        <v>-54</v>
      </c>
      <c r="Q79" s="1"/>
      <c r="R79" s="1">
        <v>50</v>
      </c>
      <c r="S79" s="20"/>
      <c r="T79" s="1"/>
      <c r="U79" s="20"/>
      <c r="V79" s="1">
        <f t="shared" si="38"/>
        <v>-0.4</v>
      </c>
      <c r="W79" s="5">
        <v>50</v>
      </c>
      <c r="X79" s="5">
        <f t="shared" si="41"/>
        <v>50</v>
      </c>
      <c r="Y79" s="5">
        <f t="shared" ref="Y79:Y80" si="46">X79</f>
        <v>50</v>
      </c>
      <c r="Z79" s="5">
        <v>50</v>
      </c>
      <c r="AA79" s="1"/>
      <c r="AB79" s="1"/>
      <c r="AC79" s="1">
        <f t="shared" si="42"/>
        <v>-365</v>
      </c>
      <c r="AD79" s="1">
        <f t="shared" si="40"/>
        <v>-115</v>
      </c>
      <c r="AE79" s="1">
        <v>-0.4</v>
      </c>
      <c r="AF79" s="1">
        <v>-0.2</v>
      </c>
      <c r="AG79" s="1">
        <v>6</v>
      </c>
      <c r="AH79" s="1">
        <v>17.399999999999999</v>
      </c>
      <c r="AI79" s="1">
        <v>31.2</v>
      </c>
      <c r="AJ79" s="1">
        <v>23</v>
      </c>
      <c r="AK79" s="1">
        <v>3.2</v>
      </c>
      <c r="AL79" s="1">
        <v>15</v>
      </c>
      <c r="AM79" s="1">
        <v>25.4</v>
      </c>
      <c r="AN79" s="1">
        <v>10.199999999999999</v>
      </c>
      <c r="AO79" s="1"/>
      <c r="AP79" s="1">
        <f t="shared" si="43"/>
        <v>18</v>
      </c>
      <c r="AQ79" s="1">
        <f t="shared" si="44"/>
        <v>18</v>
      </c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120</v>
      </c>
      <c r="B80" s="1" t="s">
        <v>43</v>
      </c>
      <c r="C80" s="1">
        <v>131</v>
      </c>
      <c r="D80" s="1"/>
      <c r="E80" s="1">
        <v>132</v>
      </c>
      <c r="F80" s="1">
        <v>-2</v>
      </c>
      <c r="G80" s="7">
        <v>0.35</v>
      </c>
      <c r="H80" s="1">
        <v>45</v>
      </c>
      <c r="I80" s="9" t="s">
        <v>50</v>
      </c>
      <c r="J80" s="1"/>
      <c r="K80" s="1">
        <v>285</v>
      </c>
      <c r="L80" s="1">
        <f t="shared" si="37"/>
        <v>-153</v>
      </c>
      <c r="M80" s="1"/>
      <c r="N80" s="1"/>
      <c r="O80" s="1">
        <v>80</v>
      </c>
      <c r="P80" s="1">
        <v>-84</v>
      </c>
      <c r="Q80" s="1"/>
      <c r="R80" s="1">
        <v>150</v>
      </c>
      <c r="S80" s="20"/>
      <c r="T80" s="1">
        <v>75</v>
      </c>
      <c r="U80" s="20"/>
      <c r="V80" s="1">
        <f t="shared" si="38"/>
        <v>26.4</v>
      </c>
      <c r="W80" s="5">
        <v>80</v>
      </c>
      <c r="X80" s="5">
        <f t="shared" si="41"/>
        <v>80</v>
      </c>
      <c r="Y80" s="5">
        <f t="shared" si="46"/>
        <v>80</v>
      </c>
      <c r="Z80" s="5">
        <v>50</v>
      </c>
      <c r="AA80" s="1"/>
      <c r="AB80" s="1"/>
      <c r="AC80" s="1">
        <f t="shared" si="42"/>
        <v>13.219696969696971</v>
      </c>
      <c r="AD80" s="1">
        <f t="shared" si="40"/>
        <v>8.2954545454545467</v>
      </c>
      <c r="AE80" s="1">
        <v>35.6</v>
      </c>
      <c r="AF80" s="1">
        <v>42.2</v>
      </c>
      <c r="AG80" s="1">
        <v>46.2</v>
      </c>
      <c r="AH80" s="1">
        <v>38.4</v>
      </c>
      <c r="AI80" s="1">
        <v>35.200000000000003</v>
      </c>
      <c r="AJ80" s="1">
        <v>32.200000000000003</v>
      </c>
      <c r="AK80" s="1">
        <v>24.2</v>
      </c>
      <c r="AL80" s="1">
        <v>3.6</v>
      </c>
      <c r="AM80" s="1">
        <v>9.6</v>
      </c>
      <c r="AN80" s="1">
        <v>50.6</v>
      </c>
      <c r="AO80" s="1"/>
      <c r="AP80" s="1">
        <f t="shared" si="43"/>
        <v>28</v>
      </c>
      <c r="AQ80" s="1">
        <f t="shared" si="44"/>
        <v>18</v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121</v>
      </c>
      <c r="B81" s="1" t="s">
        <v>43</v>
      </c>
      <c r="C81" s="1">
        <v>84</v>
      </c>
      <c r="D81" s="1">
        <v>300</v>
      </c>
      <c r="E81" s="1">
        <v>180</v>
      </c>
      <c r="F81" s="1">
        <v>204</v>
      </c>
      <c r="G81" s="7">
        <v>0.4</v>
      </c>
      <c r="H81" s="1">
        <v>55</v>
      </c>
      <c r="I81" s="1" t="s">
        <v>39</v>
      </c>
      <c r="J81" s="1"/>
      <c r="K81" s="1">
        <v>246</v>
      </c>
      <c r="L81" s="1">
        <f t="shared" si="37"/>
        <v>-66</v>
      </c>
      <c r="M81" s="1"/>
      <c r="N81" s="1"/>
      <c r="O81" s="1">
        <v>91.126000000000005</v>
      </c>
      <c r="P81" s="1"/>
      <c r="Q81" s="1"/>
      <c r="R81" s="1">
        <v>103.074</v>
      </c>
      <c r="S81" s="20"/>
      <c r="T81" s="1"/>
      <c r="U81" s="20"/>
      <c r="V81" s="1">
        <f t="shared" si="38"/>
        <v>36</v>
      </c>
      <c r="W81" s="5">
        <f t="shared" si="23"/>
        <v>15.799999999999983</v>
      </c>
      <c r="X81" s="5">
        <f t="shared" si="41"/>
        <v>15.799999999999983</v>
      </c>
      <c r="Y81" s="5">
        <f t="shared" ref="Y81:Y89" si="47">X81-Z81</f>
        <v>15.799999999999983</v>
      </c>
      <c r="Z81" s="5"/>
      <c r="AA81" s="1"/>
      <c r="AB81" s="1"/>
      <c r="AC81" s="1">
        <f t="shared" si="42"/>
        <v>11.5</v>
      </c>
      <c r="AD81" s="1">
        <f t="shared" si="40"/>
        <v>11.06111111111111</v>
      </c>
      <c r="AE81" s="1">
        <v>36.200000000000003</v>
      </c>
      <c r="AF81" s="1">
        <v>32.200000000000003</v>
      </c>
      <c r="AG81" s="1">
        <v>34.4</v>
      </c>
      <c r="AH81" s="1">
        <v>26.8</v>
      </c>
      <c r="AI81" s="1">
        <v>24</v>
      </c>
      <c r="AJ81" s="1">
        <v>16.399999999999999</v>
      </c>
      <c r="AK81" s="1">
        <v>27.2</v>
      </c>
      <c r="AL81" s="1">
        <v>12.6</v>
      </c>
      <c r="AM81" s="1">
        <v>11.8</v>
      </c>
      <c r="AN81" s="1">
        <v>36.200000000000003</v>
      </c>
      <c r="AO81" s="1"/>
      <c r="AP81" s="1">
        <f t="shared" si="43"/>
        <v>6</v>
      </c>
      <c r="AQ81" s="1">
        <f t="shared" si="44"/>
        <v>0</v>
      </c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122</v>
      </c>
      <c r="B82" s="1" t="s">
        <v>38</v>
      </c>
      <c r="C82" s="1">
        <v>38.563000000000002</v>
      </c>
      <c r="D82" s="1">
        <v>15.685</v>
      </c>
      <c r="E82" s="1">
        <v>15.125999999999999</v>
      </c>
      <c r="F82" s="1">
        <v>32.957000000000001</v>
      </c>
      <c r="G82" s="7">
        <v>1</v>
      </c>
      <c r="H82" s="1">
        <v>55</v>
      </c>
      <c r="I82" s="1" t="s">
        <v>39</v>
      </c>
      <c r="J82" s="1"/>
      <c r="K82" s="1">
        <v>18.2</v>
      </c>
      <c r="L82" s="1">
        <f t="shared" si="37"/>
        <v>-3.0739999999999998</v>
      </c>
      <c r="M82" s="1"/>
      <c r="N82" s="1"/>
      <c r="O82" s="1">
        <v>0</v>
      </c>
      <c r="P82" s="1"/>
      <c r="Q82" s="1"/>
      <c r="R82" s="1">
        <v>0</v>
      </c>
      <c r="S82" s="20"/>
      <c r="T82" s="1"/>
      <c r="U82" s="20"/>
      <c r="V82" s="1">
        <f t="shared" si="38"/>
        <v>3.0251999999999999</v>
      </c>
      <c r="W82" s="5"/>
      <c r="X82" s="5">
        <f t="shared" si="41"/>
        <v>0</v>
      </c>
      <c r="Y82" s="5">
        <f t="shared" si="47"/>
        <v>0</v>
      </c>
      <c r="Z82" s="5"/>
      <c r="AA82" s="1"/>
      <c r="AB82" s="1"/>
      <c r="AC82" s="1">
        <f t="shared" si="42"/>
        <v>10.894155758296973</v>
      </c>
      <c r="AD82" s="1">
        <f t="shared" si="40"/>
        <v>10.894155758296973</v>
      </c>
      <c r="AE82" s="1">
        <v>1.9418</v>
      </c>
      <c r="AF82" s="1">
        <v>2.1454</v>
      </c>
      <c r="AG82" s="1">
        <v>3.6688000000000001</v>
      </c>
      <c r="AH82" s="1">
        <v>4.3439999999999994</v>
      </c>
      <c r="AI82" s="1">
        <v>2.5808</v>
      </c>
      <c r="AJ82" s="1">
        <v>3.1728000000000001</v>
      </c>
      <c r="AK82" s="1">
        <v>2.5781999999999998</v>
      </c>
      <c r="AL82" s="1">
        <v>1.9770000000000001</v>
      </c>
      <c r="AM82" s="1">
        <v>1.7008000000000001</v>
      </c>
      <c r="AN82" s="1">
        <v>1.6816</v>
      </c>
      <c r="AO82" s="1"/>
      <c r="AP82" s="1">
        <f t="shared" si="43"/>
        <v>0</v>
      </c>
      <c r="AQ82" s="1">
        <f t="shared" si="44"/>
        <v>0</v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123</v>
      </c>
      <c r="B83" s="1" t="s">
        <v>38</v>
      </c>
      <c r="C83" s="1">
        <v>288.78199999999998</v>
      </c>
      <c r="D83" s="1">
        <v>196.96700000000001</v>
      </c>
      <c r="E83" s="1">
        <v>137.84</v>
      </c>
      <c r="F83" s="1">
        <v>304.65499999999997</v>
      </c>
      <c r="G83" s="7">
        <v>1</v>
      </c>
      <c r="H83" s="1">
        <v>55</v>
      </c>
      <c r="I83" s="1" t="s">
        <v>39</v>
      </c>
      <c r="J83" s="1"/>
      <c r="K83" s="1">
        <v>132.9</v>
      </c>
      <c r="L83" s="1">
        <f t="shared" si="37"/>
        <v>4.9399999999999977</v>
      </c>
      <c r="M83" s="1"/>
      <c r="N83" s="1"/>
      <c r="O83" s="1">
        <v>109.533452</v>
      </c>
      <c r="P83" s="1"/>
      <c r="Q83" s="1"/>
      <c r="R83" s="1">
        <v>0</v>
      </c>
      <c r="S83" s="20"/>
      <c r="T83" s="1"/>
      <c r="U83" s="20"/>
      <c r="V83" s="1">
        <f t="shared" si="38"/>
        <v>27.568000000000001</v>
      </c>
      <c r="W83" s="5"/>
      <c r="X83" s="5">
        <f t="shared" si="41"/>
        <v>0</v>
      </c>
      <c r="Y83" s="5">
        <f t="shared" si="47"/>
        <v>0</v>
      </c>
      <c r="Z83" s="5"/>
      <c r="AA83" s="1"/>
      <c r="AB83" s="1"/>
      <c r="AC83" s="1">
        <f t="shared" si="42"/>
        <v>15.024247388276262</v>
      </c>
      <c r="AD83" s="1">
        <f t="shared" si="40"/>
        <v>15.024247388276262</v>
      </c>
      <c r="AE83" s="1">
        <v>29.284600000000001</v>
      </c>
      <c r="AF83" s="1">
        <v>38.7044</v>
      </c>
      <c r="AG83" s="1">
        <v>42.098200000000013</v>
      </c>
      <c r="AH83" s="1">
        <v>51.278799999999997</v>
      </c>
      <c r="AI83" s="1">
        <v>46.261600000000001</v>
      </c>
      <c r="AJ83" s="1">
        <v>53.542400000000001</v>
      </c>
      <c r="AK83" s="1">
        <v>48.606000000000002</v>
      </c>
      <c r="AL83" s="1">
        <v>44.576599999999999</v>
      </c>
      <c r="AM83" s="1">
        <v>42.3018</v>
      </c>
      <c r="AN83" s="1">
        <v>32.957999999999998</v>
      </c>
      <c r="AO83" s="1"/>
      <c r="AP83" s="1">
        <f t="shared" si="43"/>
        <v>0</v>
      </c>
      <c r="AQ83" s="1">
        <f t="shared" si="44"/>
        <v>0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124</v>
      </c>
      <c r="B84" s="1" t="s">
        <v>38</v>
      </c>
      <c r="C84" s="1">
        <v>1071.5530000000001</v>
      </c>
      <c r="D84" s="1">
        <v>532.88400000000001</v>
      </c>
      <c r="E84" s="1">
        <v>844.42600000000004</v>
      </c>
      <c r="F84" s="1">
        <v>640.48400000000004</v>
      </c>
      <c r="G84" s="7">
        <v>1</v>
      </c>
      <c r="H84" s="1">
        <v>60</v>
      </c>
      <c r="I84" s="1" t="s">
        <v>39</v>
      </c>
      <c r="J84" s="1"/>
      <c r="K84" s="1">
        <v>845.74</v>
      </c>
      <c r="L84" s="1">
        <f t="shared" si="37"/>
        <v>-1.3139999999999645</v>
      </c>
      <c r="M84" s="1"/>
      <c r="N84" s="1"/>
      <c r="O84" s="1">
        <v>436.08160029199962</v>
      </c>
      <c r="P84" s="1"/>
      <c r="Q84" s="1"/>
      <c r="R84" s="1">
        <v>282.6797998248</v>
      </c>
      <c r="S84" s="20"/>
      <c r="T84" s="1">
        <v>188.4531998832</v>
      </c>
      <c r="U84" s="20"/>
      <c r="V84" s="1">
        <f t="shared" si="38"/>
        <v>168.8852</v>
      </c>
      <c r="W84" s="5">
        <f t="shared" si="23"/>
        <v>394.48120000000029</v>
      </c>
      <c r="X84" s="5">
        <v>550</v>
      </c>
      <c r="Y84" s="5">
        <f t="shared" si="47"/>
        <v>213.40000000000003</v>
      </c>
      <c r="Z84" s="5">
        <f>X84*$Z$1</f>
        <v>336.59999999999997</v>
      </c>
      <c r="AA84" s="1"/>
      <c r="AB84" s="1"/>
      <c r="AC84" s="1">
        <f t="shared" si="42"/>
        <v>12.420855113414317</v>
      </c>
      <c r="AD84" s="1">
        <f t="shared" si="40"/>
        <v>9.1642050339520562</v>
      </c>
      <c r="AE84" s="1">
        <v>173.46860000000001</v>
      </c>
      <c r="AF84" s="1">
        <v>131.9092</v>
      </c>
      <c r="AG84" s="1">
        <v>126.0938</v>
      </c>
      <c r="AH84" s="1">
        <v>156.63380000000001</v>
      </c>
      <c r="AI84" s="1">
        <v>149.66300000000001</v>
      </c>
      <c r="AJ84" s="1">
        <v>165.05600000000001</v>
      </c>
      <c r="AK84" s="1">
        <v>161.7576</v>
      </c>
      <c r="AL84" s="1">
        <v>146.61940000000001</v>
      </c>
      <c r="AM84" s="1">
        <v>153.85120000000001</v>
      </c>
      <c r="AN84" s="1">
        <v>151.1354</v>
      </c>
      <c r="AO84" s="1"/>
      <c r="AP84" s="1">
        <f t="shared" si="43"/>
        <v>213</v>
      </c>
      <c r="AQ84" s="1">
        <f t="shared" si="44"/>
        <v>337</v>
      </c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1" t="s">
        <v>125</v>
      </c>
      <c r="B85" s="11" t="s">
        <v>43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37"/>
        <v>0</v>
      </c>
      <c r="M85" s="11"/>
      <c r="N85" s="11"/>
      <c r="O85" s="11">
        <v>0</v>
      </c>
      <c r="P85" s="11"/>
      <c r="Q85" s="11"/>
      <c r="R85" s="11">
        <v>0</v>
      </c>
      <c r="S85" s="22"/>
      <c r="T85" s="11"/>
      <c r="U85" s="22"/>
      <c r="V85" s="11">
        <f t="shared" si="38"/>
        <v>0</v>
      </c>
      <c r="W85" s="13"/>
      <c r="X85" s="5">
        <f t="shared" si="41"/>
        <v>0</v>
      </c>
      <c r="Y85" s="5">
        <f t="shared" si="47"/>
        <v>0</v>
      </c>
      <c r="Z85" s="5"/>
      <c r="AA85" s="1"/>
      <c r="AB85" s="1"/>
      <c r="AC85" s="1" t="e">
        <f t="shared" si="42"/>
        <v>#DIV/0!</v>
      </c>
      <c r="AD85" s="11" t="e">
        <f t="shared" si="40"/>
        <v>#DIV/0!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 t="s">
        <v>44</v>
      </c>
      <c r="AP85" s="1">
        <f t="shared" si="43"/>
        <v>0</v>
      </c>
      <c r="AQ85" s="1">
        <f t="shared" si="44"/>
        <v>0</v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126</v>
      </c>
      <c r="B86" s="1" t="s">
        <v>38</v>
      </c>
      <c r="C86" s="1">
        <v>3737.5929999999998</v>
      </c>
      <c r="D86" s="1">
        <v>1537.069</v>
      </c>
      <c r="E86" s="1">
        <v>2704.0320000000002</v>
      </c>
      <c r="F86" s="1">
        <v>2271.442</v>
      </c>
      <c r="G86" s="7">
        <v>1</v>
      </c>
      <c r="H86" s="1">
        <v>60</v>
      </c>
      <c r="I86" s="1" t="s">
        <v>39</v>
      </c>
      <c r="J86" s="1"/>
      <c r="K86" s="1">
        <v>2722.9</v>
      </c>
      <c r="L86" s="1">
        <f t="shared" si="37"/>
        <v>-18.867999999999938</v>
      </c>
      <c r="M86" s="1"/>
      <c r="N86" s="1"/>
      <c r="O86" s="1">
        <v>700</v>
      </c>
      <c r="P86" s="1"/>
      <c r="Q86" s="1">
        <v>210</v>
      </c>
      <c r="R86" s="1">
        <v>419.67102000000028</v>
      </c>
      <c r="S86" s="20"/>
      <c r="T86" s="1">
        <v>279.78068000000019</v>
      </c>
      <c r="U86" s="20"/>
      <c r="V86" s="1">
        <f t="shared" si="38"/>
        <v>540.80640000000005</v>
      </c>
      <c r="W86" s="5">
        <f t="shared" ref="W86:W91" si="48">11.5*V86-T86-R86-Q86-P86-O86-F86</f>
        <v>2338.3798999999999</v>
      </c>
      <c r="X86" s="5">
        <f t="shared" si="41"/>
        <v>2338.3798999999999</v>
      </c>
      <c r="Y86" s="5">
        <f t="shared" si="47"/>
        <v>907.29140119999988</v>
      </c>
      <c r="Z86" s="5">
        <f t="shared" ref="Z86:Z88" si="49">X86*$Z$1</f>
        <v>1431.0884988</v>
      </c>
      <c r="AA86" s="1"/>
      <c r="AB86" s="1"/>
      <c r="AC86" s="1">
        <f t="shared" si="42"/>
        <v>11.5</v>
      </c>
      <c r="AD86" s="1">
        <f t="shared" si="40"/>
        <v>7.1761238402504119</v>
      </c>
      <c r="AE86" s="1">
        <v>482.77339999999998</v>
      </c>
      <c r="AF86" s="1">
        <v>374.46940000000001</v>
      </c>
      <c r="AG86" s="1">
        <v>330.53120000000001</v>
      </c>
      <c r="AH86" s="1">
        <v>384.51900000000001</v>
      </c>
      <c r="AI86" s="1">
        <v>398.24380000000002</v>
      </c>
      <c r="AJ86" s="1">
        <v>447.41399999999999</v>
      </c>
      <c r="AK86" s="1">
        <v>441.04020000000003</v>
      </c>
      <c r="AL86" s="1">
        <v>428.07299999999998</v>
      </c>
      <c r="AM86" s="1">
        <v>430.87459999999999</v>
      </c>
      <c r="AN86" s="1">
        <v>398.44540000000001</v>
      </c>
      <c r="AO86" s="1"/>
      <c r="AP86" s="1">
        <f t="shared" si="43"/>
        <v>907</v>
      </c>
      <c r="AQ86" s="1">
        <f t="shared" si="44"/>
        <v>1431</v>
      </c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 t="s">
        <v>127</v>
      </c>
      <c r="B87" s="1" t="s">
        <v>38</v>
      </c>
      <c r="C87" s="1">
        <v>3989.317</v>
      </c>
      <c r="D87" s="1">
        <v>901.726</v>
      </c>
      <c r="E87" s="1">
        <v>2422.674</v>
      </c>
      <c r="F87" s="1">
        <v>2220.37</v>
      </c>
      <c r="G87" s="7">
        <v>1</v>
      </c>
      <c r="H87" s="1">
        <v>60</v>
      </c>
      <c r="I87" s="1" t="s">
        <v>39</v>
      </c>
      <c r="J87" s="1"/>
      <c r="K87" s="1">
        <v>2450.4</v>
      </c>
      <c r="L87" s="1">
        <f t="shared" si="37"/>
        <v>-27.726000000000113</v>
      </c>
      <c r="M87" s="1"/>
      <c r="N87" s="1"/>
      <c r="O87" s="1">
        <v>0</v>
      </c>
      <c r="P87" s="1"/>
      <c r="Q87" s="1">
        <v>210</v>
      </c>
      <c r="R87" s="1">
        <v>694.91100000000029</v>
      </c>
      <c r="S87" s="20">
        <v>400</v>
      </c>
      <c r="T87" s="1">
        <v>463.27400000000023</v>
      </c>
      <c r="U87" s="20"/>
      <c r="V87" s="1">
        <f t="shared" si="38"/>
        <v>484.53480000000002</v>
      </c>
      <c r="W87" s="5">
        <f t="shared" si="48"/>
        <v>1983.5951999999997</v>
      </c>
      <c r="X87" s="5">
        <f t="shared" si="41"/>
        <v>1983.5951999999997</v>
      </c>
      <c r="Y87" s="5">
        <f t="shared" si="47"/>
        <v>769.63493759999983</v>
      </c>
      <c r="Z87" s="5">
        <f t="shared" si="49"/>
        <v>1213.9602623999999</v>
      </c>
      <c r="AA87" s="1"/>
      <c r="AB87" s="1"/>
      <c r="AC87" s="1">
        <f t="shared" si="42"/>
        <v>11.5</v>
      </c>
      <c r="AD87" s="1">
        <f t="shared" si="40"/>
        <v>7.4061863048846028</v>
      </c>
      <c r="AE87" s="1">
        <v>439.11</v>
      </c>
      <c r="AF87" s="1">
        <v>325.41399999999999</v>
      </c>
      <c r="AG87" s="1">
        <v>311.01179999999999</v>
      </c>
      <c r="AH87" s="1">
        <v>381.4794</v>
      </c>
      <c r="AI87" s="1">
        <v>377.36160000000001</v>
      </c>
      <c r="AJ87" s="1">
        <v>462.4796</v>
      </c>
      <c r="AK87" s="1">
        <v>465.33640000000003</v>
      </c>
      <c r="AL87" s="1">
        <v>430.09660000000002</v>
      </c>
      <c r="AM87" s="1">
        <v>430.392</v>
      </c>
      <c r="AN87" s="1">
        <v>397.80779999999999</v>
      </c>
      <c r="AO87" s="1"/>
      <c r="AP87" s="1">
        <f t="shared" si="43"/>
        <v>770</v>
      </c>
      <c r="AQ87" s="1">
        <f t="shared" si="44"/>
        <v>1214</v>
      </c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 t="s">
        <v>128</v>
      </c>
      <c r="B88" s="1" t="s">
        <v>38</v>
      </c>
      <c r="C88" s="1">
        <v>5564.7780000000002</v>
      </c>
      <c r="D88" s="1">
        <v>1238.8130000000001</v>
      </c>
      <c r="E88" s="1">
        <v>2992.1280000000002</v>
      </c>
      <c r="F88" s="1">
        <v>3446.5709999999999</v>
      </c>
      <c r="G88" s="7">
        <v>1</v>
      </c>
      <c r="H88" s="1">
        <v>60</v>
      </c>
      <c r="I88" s="1" t="s">
        <v>39</v>
      </c>
      <c r="J88" s="1"/>
      <c r="K88" s="1">
        <v>3004</v>
      </c>
      <c r="L88" s="1">
        <f t="shared" si="37"/>
        <v>-11.871999999999844</v>
      </c>
      <c r="M88" s="1"/>
      <c r="N88" s="1"/>
      <c r="O88" s="1">
        <v>0</v>
      </c>
      <c r="P88" s="1"/>
      <c r="Q88" s="1">
        <v>400</v>
      </c>
      <c r="R88" s="1">
        <v>428.54754000000003</v>
      </c>
      <c r="S88" s="20">
        <v>400</v>
      </c>
      <c r="T88" s="1">
        <v>285.69835999999998</v>
      </c>
      <c r="U88" s="20"/>
      <c r="V88" s="1">
        <f t="shared" si="38"/>
        <v>598.42560000000003</v>
      </c>
      <c r="W88" s="5">
        <f t="shared" si="48"/>
        <v>2321.0774999999994</v>
      </c>
      <c r="X88" s="5">
        <f t="shared" si="41"/>
        <v>2321.0774999999994</v>
      </c>
      <c r="Y88" s="5">
        <f t="shared" si="47"/>
        <v>900.5780699999998</v>
      </c>
      <c r="Z88" s="5">
        <f t="shared" si="49"/>
        <v>1420.4994299999996</v>
      </c>
      <c r="AA88" s="1"/>
      <c r="AB88" s="1"/>
      <c r="AC88" s="1">
        <f t="shared" si="42"/>
        <v>11.499999999999998</v>
      </c>
      <c r="AD88" s="1">
        <f t="shared" si="40"/>
        <v>7.6213599485048764</v>
      </c>
      <c r="AE88" s="1">
        <v>557.10379999999998</v>
      </c>
      <c r="AF88" s="1">
        <v>421.68540000000002</v>
      </c>
      <c r="AG88" s="1">
        <v>393.09879999999998</v>
      </c>
      <c r="AH88" s="1">
        <v>476.79520000000002</v>
      </c>
      <c r="AI88" s="1">
        <v>487.5804</v>
      </c>
      <c r="AJ88" s="1">
        <v>602.74900000000002</v>
      </c>
      <c r="AK88" s="1">
        <v>636.64959999999996</v>
      </c>
      <c r="AL88" s="1">
        <v>570.65219999999999</v>
      </c>
      <c r="AM88" s="1">
        <v>530.8288</v>
      </c>
      <c r="AN88" s="1">
        <v>571.27639999999997</v>
      </c>
      <c r="AO88" s="1"/>
      <c r="AP88" s="1">
        <f t="shared" si="43"/>
        <v>901</v>
      </c>
      <c r="AQ88" s="1">
        <f t="shared" si="44"/>
        <v>1420</v>
      </c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 t="s">
        <v>129</v>
      </c>
      <c r="B89" s="1" t="s">
        <v>38</v>
      </c>
      <c r="C89" s="1">
        <v>69.144999999999996</v>
      </c>
      <c r="D89" s="1"/>
      <c r="E89" s="1">
        <v>29.561</v>
      </c>
      <c r="F89" s="1">
        <v>39.584000000000003</v>
      </c>
      <c r="G89" s="7">
        <v>1</v>
      </c>
      <c r="H89" s="1">
        <v>55</v>
      </c>
      <c r="I89" s="1" t="s">
        <v>39</v>
      </c>
      <c r="J89" s="1"/>
      <c r="K89" s="1">
        <v>34.6</v>
      </c>
      <c r="L89" s="1">
        <f t="shared" si="37"/>
        <v>-5.0390000000000015</v>
      </c>
      <c r="M89" s="1"/>
      <c r="N89" s="1"/>
      <c r="O89" s="1">
        <v>0</v>
      </c>
      <c r="P89" s="1"/>
      <c r="Q89" s="1"/>
      <c r="R89" s="1">
        <v>37.316999999999993</v>
      </c>
      <c r="S89" s="20"/>
      <c r="T89" s="1"/>
      <c r="U89" s="20"/>
      <c r="V89" s="1">
        <f t="shared" si="38"/>
        <v>5.9122000000000003</v>
      </c>
      <c r="W89" s="5"/>
      <c r="X89" s="5">
        <f t="shared" si="41"/>
        <v>0</v>
      </c>
      <c r="Y89" s="5">
        <f t="shared" si="47"/>
        <v>0</v>
      </c>
      <c r="Z89" s="5"/>
      <c r="AA89" s="1"/>
      <c r="AB89" s="1"/>
      <c r="AC89" s="1">
        <f t="shared" si="42"/>
        <v>13.007171611244544</v>
      </c>
      <c r="AD89" s="1">
        <f t="shared" si="40"/>
        <v>13.007171611244544</v>
      </c>
      <c r="AE89" s="1">
        <v>6.9909999999999997</v>
      </c>
      <c r="AF89" s="1">
        <v>2.9689999999999999</v>
      </c>
      <c r="AG89" s="1">
        <v>5.1075999999999997</v>
      </c>
      <c r="AH89" s="1">
        <v>11.430400000000001</v>
      </c>
      <c r="AI89" s="1">
        <v>8.48</v>
      </c>
      <c r="AJ89" s="1">
        <v>2.9582000000000002</v>
      </c>
      <c r="AK89" s="1">
        <v>3.7658</v>
      </c>
      <c r="AL89" s="1">
        <v>7.8483999999999998</v>
      </c>
      <c r="AM89" s="1">
        <v>7.0462000000000007</v>
      </c>
      <c r="AN89" s="1">
        <v>8.6546000000000003</v>
      </c>
      <c r="AO89" s="1"/>
      <c r="AP89" s="1">
        <f t="shared" si="43"/>
        <v>0</v>
      </c>
      <c r="AQ89" s="1">
        <f t="shared" si="44"/>
        <v>0</v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 t="s">
        <v>130</v>
      </c>
      <c r="B90" s="1" t="s">
        <v>43</v>
      </c>
      <c r="C90" s="1"/>
      <c r="D90" s="1"/>
      <c r="E90" s="1">
        <v>-16</v>
      </c>
      <c r="F90" s="1"/>
      <c r="G90" s="7">
        <v>0.3</v>
      </c>
      <c r="H90" s="1">
        <v>40</v>
      </c>
      <c r="I90" s="9" t="s">
        <v>50</v>
      </c>
      <c r="J90" s="1"/>
      <c r="K90" s="1">
        <v>3</v>
      </c>
      <c r="L90" s="1">
        <f t="shared" si="37"/>
        <v>-19</v>
      </c>
      <c r="M90" s="1"/>
      <c r="N90" s="1"/>
      <c r="O90" s="1">
        <v>70</v>
      </c>
      <c r="P90" s="1">
        <v>-72.000000000000014</v>
      </c>
      <c r="Q90" s="1"/>
      <c r="R90" s="1">
        <v>70</v>
      </c>
      <c r="S90" s="20"/>
      <c r="T90" s="1"/>
      <c r="U90" s="20"/>
      <c r="V90" s="1">
        <f t="shared" si="38"/>
        <v>-3.2</v>
      </c>
      <c r="W90" s="5">
        <v>40</v>
      </c>
      <c r="X90" s="5">
        <f t="shared" si="41"/>
        <v>40</v>
      </c>
      <c r="Y90" s="5">
        <f>X90</f>
        <v>40</v>
      </c>
      <c r="Z90" s="5">
        <v>40</v>
      </c>
      <c r="AA90" s="1"/>
      <c r="AB90" s="1"/>
      <c r="AC90" s="1">
        <f t="shared" si="42"/>
        <v>-46.25</v>
      </c>
      <c r="AD90" s="1">
        <f t="shared" si="40"/>
        <v>-21.249999999999993</v>
      </c>
      <c r="AE90" s="1">
        <v>-2.2000000000000002</v>
      </c>
      <c r="AF90" s="1">
        <v>-1.2</v>
      </c>
      <c r="AG90" s="1">
        <v>-1.4</v>
      </c>
      <c r="AH90" s="1">
        <v>-1.4</v>
      </c>
      <c r="AI90" s="1">
        <v>-1.8</v>
      </c>
      <c r="AJ90" s="1">
        <v>-2.4</v>
      </c>
      <c r="AK90" s="1">
        <v>-2.8</v>
      </c>
      <c r="AL90" s="1">
        <v>41</v>
      </c>
      <c r="AM90" s="1">
        <v>73</v>
      </c>
      <c r="AN90" s="1">
        <v>35.200000000000003</v>
      </c>
      <c r="AO90" s="1"/>
      <c r="AP90" s="1">
        <f t="shared" si="43"/>
        <v>12</v>
      </c>
      <c r="AQ90" s="1">
        <f t="shared" si="44"/>
        <v>12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131</v>
      </c>
      <c r="B91" s="1" t="s">
        <v>43</v>
      </c>
      <c r="C91" s="1">
        <v>318</v>
      </c>
      <c r="D91" s="1">
        <v>174</v>
      </c>
      <c r="E91" s="1">
        <v>291</v>
      </c>
      <c r="F91" s="1">
        <v>191</v>
      </c>
      <c r="G91" s="7">
        <v>0.3</v>
      </c>
      <c r="H91" s="1">
        <v>40</v>
      </c>
      <c r="I91" s="1" t="s">
        <v>39</v>
      </c>
      <c r="J91" s="1"/>
      <c r="K91" s="1">
        <v>299</v>
      </c>
      <c r="L91" s="1">
        <f t="shared" si="37"/>
        <v>-8</v>
      </c>
      <c r="M91" s="1"/>
      <c r="N91" s="1"/>
      <c r="O91" s="1">
        <v>0</v>
      </c>
      <c r="P91" s="1"/>
      <c r="Q91" s="1"/>
      <c r="R91" s="1">
        <v>192.11999999999989</v>
      </c>
      <c r="S91" s="20"/>
      <c r="T91" s="1">
        <v>128.08000000000001</v>
      </c>
      <c r="U91" s="20"/>
      <c r="V91" s="1">
        <f t="shared" si="38"/>
        <v>58.2</v>
      </c>
      <c r="W91" s="5">
        <f t="shared" si="48"/>
        <v>158.10000000000014</v>
      </c>
      <c r="X91" s="5">
        <v>200</v>
      </c>
      <c r="Y91" s="5">
        <f t="shared" ref="Y91:Y92" si="50">X91-Z91</f>
        <v>200</v>
      </c>
      <c r="Z91" s="5"/>
      <c r="AA91" s="1"/>
      <c r="AB91" s="1"/>
      <c r="AC91" s="1">
        <f t="shared" si="42"/>
        <v>12.219931271477661</v>
      </c>
      <c r="AD91" s="1">
        <f t="shared" si="40"/>
        <v>8.7835051546391743</v>
      </c>
      <c r="AE91" s="1">
        <v>58.8</v>
      </c>
      <c r="AF91" s="1">
        <v>34.200000000000003</v>
      </c>
      <c r="AG91" s="1">
        <v>35.6</v>
      </c>
      <c r="AH91" s="1">
        <v>47.4</v>
      </c>
      <c r="AI91" s="1">
        <v>49</v>
      </c>
      <c r="AJ91" s="1">
        <v>51.8</v>
      </c>
      <c r="AK91" s="1">
        <v>50</v>
      </c>
      <c r="AL91" s="1">
        <v>29.2</v>
      </c>
      <c r="AM91" s="1">
        <v>25</v>
      </c>
      <c r="AN91" s="1">
        <v>42.4</v>
      </c>
      <c r="AO91" s="1"/>
      <c r="AP91" s="1">
        <f t="shared" si="43"/>
        <v>60</v>
      </c>
      <c r="AQ91" s="1">
        <f t="shared" si="44"/>
        <v>0</v>
      </c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1" t="s">
        <v>132</v>
      </c>
      <c r="B92" s="11" t="s">
        <v>43</v>
      </c>
      <c r="C92" s="11"/>
      <c r="D92" s="11"/>
      <c r="E92" s="11"/>
      <c r="F92" s="11"/>
      <c r="G92" s="12">
        <v>0</v>
      </c>
      <c r="H92" s="11"/>
      <c r="I92" s="11" t="s">
        <v>39</v>
      </c>
      <c r="J92" s="11"/>
      <c r="K92" s="11">
        <v>3</v>
      </c>
      <c r="L92" s="11">
        <f t="shared" si="37"/>
        <v>-3</v>
      </c>
      <c r="M92" s="11"/>
      <c r="N92" s="11"/>
      <c r="O92" s="11">
        <v>0</v>
      </c>
      <c r="P92" s="11"/>
      <c r="Q92" s="11"/>
      <c r="R92" s="11">
        <v>0</v>
      </c>
      <c r="S92" s="22"/>
      <c r="T92" s="11"/>
      <c r="U92" s="22"/>
      <c r="V92" s="11">
        <f t="shared" si="38"/>
        <v>0</v>
      </c>
      <c r="W92" s="13"/>
      <c r="X92" s="5">
        <f t="shared" si="41"/>
        <v>0</v>
      </c>
      <c r="Y92" s="5">
        <f t="shared" si="50"/>
        <v>0</v>
      </c>
      <c r="Z92" s="5"/>
      <c r="AA92" s="1"/>
      <c r="AB92" s="1"/>
      <c r="AC92" s="1" t="e">
        <f t="shared" si="42"/>
        <v>#DIV/0!</v>
      </c>
      <c r="AD92" s="11" t="e">
        <f t="shared" si="40"/>
        <v>#DIV/0!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 t="s">
        <v>44</v>
      </c>
      <c r="AP92" s="1">
        <f t="shared" si="43"/>
        <v>0</v>
      </c>
      <c r="AQ92" s="1">
        <f t="shared" si="44"/>
        <v>0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 t="s">
        <v>133</v>
      </c>
      <c r="B93" s="1" t="s">
        <v>43</v>
      </c>
      <c r="C93" s="1">
        <v>55</v>
      </c>
      <c r="D93" s="1">
        <v>180</v>
      </c>
      <c r="E93" s="1">
        <v>128</v>
      </c>
      <c r="F93" s="1">
        <v>84</v>
      </c>
      <c r="G93" s="7">
        <v>7.0000000000000007E-2</v>
      </c>
      <c r="H93" s="1">
        <v>90</v>
      </c>
      <c r="I93" s="9" t="s">
        <v>50</v>
      </c>
      <c r="J93" s="1"/>
      <c r="K93" s="1">
        <v>141</v>
      </c>
      <c r="L93" s="1">
        <f t="shared" si="37"/>
        <v>-13</v>
      </c>
      <c r="M93" s="1"/>
      <c r="N93" s="1"/>
      <c r="O93" s="1">
        <v>150</v>
      </c>
      <c r="P93" s="1"/>
      <c r="Q93" s="1"/>
      <c r="R93" s="1">
        <v>150</v>
      </c>
      <c r="S93" s="20"/>
      <c r="T93" s="1"/>
      <c r="U93" s="20"/>
      <c r="V93" s="1">
        <f t="shared" si="38"/>
        <v>25.6</v>
      </c>
      <c r="W93" s="5"/>
      <c r="X93" s="5">
        <f t="shared" si="41"/>
        <v>0</v>
      </c>
      <c r="Y93" s="5">
        <f t="shared" ref="Y93:Y94" si="51">X93</f>
        <v>0</v>
      </c>
      <c r="Z93" s="5">
        <v>30</v>
      </c>
      <c r="AA93" s="1"/>
      <c r="AB93" s="1"/>
      <c r="AC93" s="1">
        <f t="shared" si="42"/>
        <v>16.171875</v>
      </c>
      <c r="AD93" s="1">
        <f t="shared" si="40"/>
        <v>15</v>
      </c>
      <c r="AE93" s="1">
        <v>31.8</v>
      </c>
      <c r="AF93" s="1">
        <v>34.799999999999997</v>
      </c>
      <c r="AG93" s="1">
        <v>27.6</v>
      </c>
      <c r="AH93" s="1">
        <v>10.4</v>
      </c>
      <c r="AI93" s="1">
        <v>4</v>
      </c>
      <c r="AJ93" s="1">
        <v>33.4</v>
      </c>
      <c r="AK93" s="1">
        <v>39.6</v>
      </c>
      <c r="AL93" s="1">
        <v>10.4</v>
      </c>
      <c r="AM93" s="1">
        <v>7.4</v>
      </c>
      <c r="AN93" s="1">
        <v>34.200000000000003</v>
      </c>
      <c r="AO93" s="1"/>
      <c r="AP93" s="1">
        <f t="shared" si="43"/>
        <v>0</v>
      </c>
      <c r="AQ93" s="1">
        <f t="shared" si="44"/>
        <v>2</v>
      </c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134</v>
      </c>
      <c r="B94" s="1" t="s">
        <v>43</v>
      </c>
      <c r="C94" s="1">
        <v>251</v>
      </c>
      <c r="D94" s="1">
        <v>54</v>
      </c>
      <c r="E94" s="1">
        <v>166</v>
      </c>
      <c r="F94" s="1">
        <v>114</v>
      </c>
      <c r="G94" s="7">
        <v>7.0000000000000007E-2</v>
      </c>
      <c r="H94" s="1">
        <v>90</v>
      </c>
      <c r="I94" s="9" t="s">
        <v>50</v>
      </c>
      <c r="J94" s="1"/>
      <c r="K94" s="1">
        <v>169</v>
      </c>
      <c r="L94" s="1">
        <f t="shared" si="37"/>
        <v>-3</v>
      </c>
      <c r="M94" s="1"/>
      <c r="N94" s="1"/>
      <c r="O94" s="1">
        <v>62.419879999999857</v>
      </c>
      <c r="P94" s="1"/>
      <c r="Q94" s="1"/>
      <c r="R94" s="1">
        <v>84.580120000000136</v>
      </c>
      <c r="S94" s="20"/>
      <c r="T94" s="1">
        <v>42.290060000000068</v>
      </c>
      <c r="U94" s="20"/>
      <c r="V94" s="1">
        <f t="shared" si="38"/>
        <v>33.200000000000003</v>
      </c>
      <c r="W94" s="5">
        <f t="shared" ref="W94:W96" si="52">11.5*V94-T94-R94-Q94-P94-O94-F94</f>
        <v>78.509939999999915</v>
      </c>
      <c r="X94" s="5">
        <f t="shared" si="41"/>
        <v>78.509939999999915</v>
      </c>
      <c r="Y94" s="5">
        <f t="shared" si="51"/>
        <v>78.509939999999915</v>
      </c>
      <c r="Z94" s="5">
        <v>40</v>
      </c>
      <c r="AA94" s="1"/>
      <c r="AB94" s="1"/>
      <c r="AC94" s="1">
        <f t="shared" si="42"/>
        <v>12.704819277108431</v>
      </c>
      <c r="AD94" s="1">
        <f t="shared" si="40"/>
        <v>9.1352427710843376</v>
      </c>
      <c r="AE94" s="1">
        <v>32.6</v>
      </c>
      <c r="AF94" s="1">
        <v>29.4</v>
      </c>
      <c r="AG94" s="1">
        <v>26.8</v>
      </c>
      <c r="AH94" s="1">
        <v>29.8</v>
      </c>
      <c r="AI94" s="1">
        <v>36.6</v>
      </c>
      <c r="AJ94" s="1">
        <v>39.4</v>
      </c>
      <c r="AK94" s="1">
        <v>31.2</v>
      </c>
      <c r="AL94" s="1">
        <v>27.2</v>
      </c>
      <c r="AM94" s="1">
        <v>32.200000000000003</v>
      </c>
      <c r="AN94" s="1">
        <v>35.6</v>
      </c>
      <c r="AO94" s="1"/>
      <c r="AP94" s="1">
        <f t="shared" si="43"/>
        <v>5</v>
      </c>
      <c r="AQ94" s="1">
        <f t="shared" si="44"/>
        <v>3</v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 t="s">
        <v>135</v>
      </c>
      <c r="B95" s="1" t="s">
        <v>43</v>
      </c>
      <c r="C95" s="1">
        <v>76</v>
      </c>
      <c r="D95" s="1">
        <v>162</v>
      </c>
      <c r="E95" s="1">
        <v>169</v>
      </c>
      <c r="F95" s="1">
        <v>63</v>
      </c>
      <c r="G95" s="7">
        <v>0.3</v>
      </c>
      <c r="H95" s="1">
        <v>40</v>
      </c>
      <c r="I95" s="1" t="s">
        <v>39</v>
      </c>
      <c r="J95" s="1"/>
      <c r="K95" s="1">
        <v>270</v>
      </c>
      <c r="L95" s="1">
        <f t="shared" si="37"/>
        <v>-101</v>
      </c>
      <c r="M95" s="1"/>
      <c r="N95" s="1"/>
      <c r="O95" s="1">
        <v>60</v>
      </c>
      <c r="P95" s="1"/>
      <c r="Q95" s="1"/>
      <c r="R95" s="1">
        <v>210</v>
      </c>
      <c r="S95" s="20"/>
      <c r="T95" s="1"/>
      <c r="U95" s="20"/>
      <c r="V95" s="1">
        <f t="shared" si="38"/>
        <v>33.799999999999997</v>
      </c>
      <c r="W95" s="5">
        <f t="shared" si="52"/>
        <v>55.699999999999989</v>
      </c>
      <c r="X95" s="5">
        <f t="shared" si="41"/>
        <v>55.699999999999989</v>
      </c>
      <c r="Y95" s="5">
        <f>X95-Z95</f>
        <v>55.699999999999989</v>
      </c>
      <c r="Z95" s="5"/>
      <c r="AA95" s="1"/>
      <c r="AB95" s="1"/>
      <c r="AC95" s="1">
        <f t="shared" si="42"/>
        <v>11.5</v>
      </c>
      <c r="AD95" s="1">
        <f t="shared" si="40"/>
        <v>9.8520710059171606</v>
      </c>
      <c r="AE95" s="1">
        <v>32</v>
      </c>
      <c r="AF95" s="1">
        <v>3.6</v>
      </c>
      <c r="AG95" s="1">
        <v>2</v>
      </c>
      <c r="AH95" s="1">
        <v>33.4</v>
      </c>
      <c r="AI95" s="1">
        <v>38.200000000000003</v>
      </c>
      <c r="AJ95" s="1">
        <v>19</v>
      </c>
      <c r="AK95" s="1">
        <v>18.8</v>
      </c>
      <c r="AL95" s="1">
        <v>21</v>
      </c>
      <c r="AM95" s="1">
        <v>17.2</v>
      </c>
      <c r="AN95" s="1">
        <v>1.8</v>
      </c>
      <c r="AO95" s="1"/>
      <c r="AP95" s="1">
        <f t="shared" si="43"/>
        <v>17</v>
      </c>
      <c r="AQ95" s="1">
        <f t="shared" si="44"/>
        <v>0</v>
      </c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 t="s">
        <v>136</v>
      </c>
      <c r="B96" s="1" t="s">
        <v>38</v>
      </c>
      <c r="C96" s="1">
        <v>98.998000000000005</v>
      </c>
      <c r="D96" s="1">
        <v>75.656000000000006</v>
      </c>
      <c r="E96" s="1">
        <v>92.436999999999998</v>
      </c>
      <c r="F96" s="1">
        <v>54.777000000000001</v>
      </c>
      <c r="G96" s="7">
        <v>1</v>
      </c>
      <c r="H96" s="1">
        <v>55</v>
      </c>
      <c r="I96" s="9" t="s">
        <v>50</v>
      </c>
      <c r="J96" s="1"/>
      <c r="K96" s="1">
        <v>86.4</v>
      </c>
      <c r="L96" s="1">
        <f t="shared" si="37"/>
        <v>6.0369999999999919</v>
      </c>
      <c r="M96" s="1"/>
      <c r="N96" s="1"/>
      <c r="O96" s="1">
        <v>16.216400000000011</v>
      </c>
      <c r="P96" s="1"/>
      <c r="Q96" s="1"/>
      <c r="R96" s="1">
        <v>11.747600000000009</v>
      </c>
      <c r="S96" s="20"/>
      <c r="T96" s="1"/>
      <c r="U96" s="20"/>
      <c r="V96" s="1">
        <f t="shared" si="38"/>
        <v>18.487400000000001</v>
      </c>
      <c r="W96" s="5">
        <f t="shared" si="52"/>
        <v>129.86410000000001</v>
      </c>
      <c r="X96" s="5">
        <f t="shared" si="41"/>
        <v>129.86410000000001</v>
      </c>
      <c r="Y96" s="5">
        <f>X96</f>
        <v>129.86410000000001</v>
      </c>
      <c r="Z96" s="5">
        <v>40</v>
      </c>
      <c r="AA96" s="1"/>
      <c r="AB96" s="1"/>
      <c r="AC96" s="1">
        <f t="shared" si="42"/>
        <v>13.66363577355388</v>
      </c>
      <c r="AD96" s="1">
        <f t="shared" si="40"/>
        <v>4.4755346884905398</v>
      </c>
      <c r="AE96" s="1">
        <v>14.2752</v>
      </c>
      <c r="AF96" s="1">
        <v>14.007400000000001</v>
      </c>
      <c r="AG96" s="1">
        <v>16.1724</v>
      </c>
      <c r="AH96" s="1">
        <v>23.736799999999999</v>
      </c>
      <c r="AI96" s="1">
        <v>21.739000000000001</v>
      </c>
      <c r="AJ96" s="1">
        <v>21.257400000000001</v>
      </c>
      <c r="AK96" s="1">
        <v>25.684999999999999</v>
      </c>
      <c r="AL96" s="1">
        <v>22.070399999999999</v>
      </c>
      <c r="AM96" s="1">
        <v>19.931000000000001</v>
      </c>
      <c r="AN96" s="1">
        <v>16.528400000000001</v>
      </c>
      <c r="AO96" s="1"/>
      <c r="AP96" s="1">
        <f t="shared" si="43"/>
        <v>130</v>
      </c>
      <c r="AQ96" s="1">
        <f t="shared" si="44"/>
        <v>40</v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1" t="s">
        <v>137</v>
      </c>
      <c r="B97" s="11" t="s">
        <v>43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37"/>
        <v>0</v>
      </c>
      <c r="M97" s="11"/>
      <c r="N97" s="11"/>
      <c r="O97" s="11">
        <v>0</v>
      </c>
      <c r="P97" s="11"/>
      <c r="Q97" s="11"/>
      <c r="R97" s="11">
        <v>0</v>
      </c>
      <c r="S97" s="22"/>
      <c r="T97" s="11"/>
      <c r="U97" s="22"/>
      <c r="V97" s="11">
        <f t="shared" si="38"/>
        <v>0</v>
      </c>
      <c r="W97" s="13"/>
      <c r="X97" s="5">
        <f t="shared" si="41"/>
        <v>0</v>
      </c>
      <c r="Y97" s="5">
        <f>X97-Z97</f>
        <v>0</v>
      </c>
      <c r="Z97" s="5"/>
      <c r="AA97" s="1"/>
      <c r="AB97" s="1"/>
      <c r="AC97" s="1" t="e">
        <f t="shared" si="42"/>
        <v>#DIV/0!</v>
      </c>
      <c r="AD97" s="11" t="e">
        <f t="shared" si="40"/>
        <v>#DIV/0!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 t="s">
        <v>44</v>
      </c>
      <c r="AP97" s="1">
        <f t="shared" si="43"/>
        <v>0</v>
      </c>
      <c r="AQ97" s="1">
        <f t="shared" si="44"/>
        <v>0</v>
      </c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 t="s">
        <v>138</v>
      </c>
      <c r="B98" s="1" t="s">
        <v>43</v>
      </c>
      <c r="C98" s="1"/>
      <c r="D98" s="1"/>
      <c r="E98" s="1"/>
      <c r="F98" s="1"/>
      <c r="G98" s="7">
        <v>0.1</v>
      </c>
      <c r="H98" s="1">
        <v>30</v>
      </c>
      <c r="I98" s="15" t="s">
        <v>50</v>
      </c>
      <c r="J98" s="1"/>
      <c r="K98" s="1"/>
      <c r="L98" s="1">
        <f t="shared" si="37"/>
        <v>0</v>
      </c>
      <c r="M98" s="1"/>
      <c r="N98" s="1"/>
      <c r="O98" s="1">
        <v>10</v>
      </c>
      <c r="P98" s="1">
        <v>-10</v>
      </c>
      <c r="Q98" s="1"/>
      <c r="R98" s="1">
        <v>20</v>
      </c>
      <c r="S98" s="20"/>
      <c r="T98" s="1"/>
      <c r="U98" s="20"/>
      <c r="V98" s="1">
        <f t="shared" si="38"/>
        <v>0</v>
      </c>
      <c r="W98" s="5">
        <v>10</v>
      </c>
      <c r="X98" s="5">
        <f t="shared" si="41"/>
        <v>10</v>
      </c>
      <c r="Y98" s="5">
        <f>X98</f>
        <v>10</v>
      </c>
      <c r="Z98" s="5">
        <v>10</v>
      </c>
      <c r="AA98" s="1"/>
      <c r="AB98" s="1"/>
      <c r="AC98" s="1" t="e">
        <f t="shared" si="42"/>
        <v>#DIV/0!</v>
      </c>
      <c r="AD98" s="1" t="e">
        <f t="shared" si="40"/>
        <v>#DIV/0!</v>
      </c>
      <c r="AE98" s="1">
        <v>-0.2</v>
      </c>
      <c r="AF98" s="1">
        <v>-0.4</v>
      </c>
      <c r="AG98" s="1">
        <v>-0.2</v>
      </c>
      <c r="AH98" s="1">
        <v>-0.2</v>
      </c>
      <c r="AI98" s="1">
        <v>2.4</v>
      </c>
      <c r="AJ98" s="1">
        <v>3.6</v>
      </c>
      <c r="AK98" s="1">
        <v>1.8</v>
      </c>
      <c r="AL98" s="1">
        <v>1.4</v>
      </c>
      <c r="AM98" s="1">
        <v>-0.4</v>
      </c>
      <c r="AN98" s="1">
        <v>3</v>
      </c>
      <c r="AO98" s="1" t="s">
        <v>139</v>
      </c>
      <c r="AP98" s="1">
        <f t="shared" si="43"/>
        <v>1</v>
      </c>
      <c r="AQ98" s="1">
        <f t="shared" si="44"/>
        <v>1</v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 t="s">
        <v>140</v>
      </c>
      <c r="B99" s="1" t="s">
        <v>43</v>
      </c>
      <c r="C99" s="1">
        <v>276</v>
      </c>
      <c r="D99" s="1">
        <v>400</v>
      </c>
      <c r="E99" s="1">
        <v>293</v>
      </c>
      <c r="F99" s="1">
        <v>342</v>
      </c>
      <c r="G99" s="7">
        <v>0.08</v>
      </c>
      <c r="H99" s="1">
        <v>45</v>
      </c>
      <c r="I99" s="1" t="s">
        <v>39</v>
      </c>
      <c r="J99" s="1"/>
      <c r="K99" s="1">
        <v>305</v>
      </c>
      <c r="L99" s="1">
        <f t="shared" si="37"/>
        <v>-12</v>
      </c>
      <c r="M99" s="1"/>
      <c r="N99" s="1"/>
      <c r="O99" s="1">
        <v>135.84</v>
      </c>
      <c r="P99" s="1"/>
      <c r="Q99" s="1"/>
      <c r="R99" s="1">
        <v>99.159999999999968</v>
      </c>
      <c r="S99" s="20"/>
      <c r="T99" s="1"/>
      <c r="U99" s="20"/>
      <c r="V99" s="1">
        <f t="shared" si="38"/>
        <v>58.6</v>
      </c>
      <c r="W99" s="5">
        <f t="shared" ref="W99:W101" si="53">11.5*V99-T99-R99-Q99-P99-O99-F99</f>
        <v>96.899999999999977</v>
      </c>
      <c r="X99" s="5">
        <v>150</v>
      </c>
      <c r="Y99" s="5">
        <f t="shared" ref="Y99:Y101" si="54">X99-Z99</f>
        <v>150</v>
      </c>
      <c r="Z99" s="5"/>
      <c r="AA99" s="1"/>
      <c r="AB99" s="1"/>
      <c r="AC99" s="1">
        <f t="shared" si="42"/>
        <v>12.406143344709898</v>
      </c>
      <c r="AD99" s="1">
        <f t="shared" si="40"/>
        <v>9.8464163822525599</v>
      </c>
      <c r="AE99" s="1">
        <v>63</v>
      </c>
      <c r="AF99" s="1">
        <v>48</v>
      </c>
      <c r="AG99" s="1">
        <v>47</v>
      </c>
      <c r="AH99" s="1">
        <v>62</v>
      </c>
      <c r="AI99" s="1">
        <v>57.4</v>
      </c>
      <c r="AJ99" s="1">
        <v>55.6</v>
      </c>
      <c r="AK99" s="1">
        <v>57.2</v>
      </c>
      <c r="AL99" s="1">
        <v>45.8</v>
      </c>
      <c r="AM99" s="1">
        <v>48.4</v>
      </c>
      <c r="AN99" s="1">
        <v>52.4</v>
      </c>
      <c r="AO99" s="1"/>
      <c r="AP99" s="1">
        <f t="shared" si="43"/>
        <v>12</v>
      </c>
      <c r="AQ99" s="1">
        <f t="shared" si="44"/>
        <v>0</v>
      </c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 t="s">
        <v>141</v>
      </c>
      <c r="B100" s="1" t="s">
        <v>43</v>
      </c>
      <c r="C100" s="1">
        <v>131</v>
      </c>
      <c r="D100" s="1">
        <v>396</v>
      </c>
      <c r="E100" s="1">
        <v>245</v>
      </c>
      <c r="F100" s="1">
        <v>242</v>
      </c>
      <c r="G100" s="7">
        <v>0.08</v>
      </c>
      <c r="H100" s="1">
        <v>45</v>
      </c>
      <c r="I100" s="1" t="s">
        <v>39</v>
      </c>
      <c r="J100" s="1"/>
      <c r="K100" s="1">
        <v>257</v>
      </c>
      <c r="L100" s="1">
        <f t="shared" si="37"/>
        <v>-12</v>
      </c>
      <c r="M100" s="1"/>
      <c r="N100" s="1"/>
      <c r="O100" s="1">
        <v>151.44800000000001</v>
      </c>
      <c r="P100" s="1"/>
      <c r="Q100" s="1"/>
      <c r="R100" s="1">
        <v>69.152000000000015</v>
      </c>
      <c r="S100" s="20"/>
      <c r="T100" s="1"/>
      <c r="U100" s="20"/>
      <c r="V100" s="1">
        <f t="shared" si="38"/>
        <v>49</v>
      </c>
      <c r="W100" s="5">
        <f t="shared" si="53"/>
        <v>100.89999999999998</v>
      </c>
      <c r="X100" s="5">
        <v>150</v>
      </c>
      <c r="Y100" s="5">
        <f t="shared" si="54"/>
        <v>150</v>
      </c>
      <c r="Z100" s="5"/>
      <c r="AA100" s="1"/>
      <c r="AB100" s="1"/>
      <c r="AC100" s="1">
        <f t="shared" si="42"/>
        <v>12.502040816326531</v>
      </c>
      <c r="AD100" s="1">
        <f t="shared" si="40"/>
        <v>9.4408163265306122</v>
      </c>
      <c r="AE100" s="1">
        <v>51.6</v>
      </c>
      <c r="AF100" s="1">
        <v>45.6</v>
      </c>
      <c r="AG100" s="1">
        <v>43</v>
      </c>
      <c r="AH100" s="1">
        <v>55.6</v>
      </c>
      <c r="AI100" s="1">
        <v>54.2</v>
      </c>
      <c r="AJ100" s="1">
        <v>46</v>
      </c>
      <c r="AK100" s="1">
        <v>45</v>
      </c>
      <c r="AL100" s="1">
        <v>32</v>
      </c>
      <c r="AM100" s="1">
        <v>31.4</v>
      </c>
      <c r="AN100" s="1">
        <v>45</v>
      </c>
      <c r="AO100" s="1"/>
      <c r="AP100" s="1">
        <f t="shared" si="43"/>
        <v>12</v>
      </c>
      <c r="AQ100" s="1">
        <f t="shared" si="44"/>
        <v>0</v>
      </c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 t="s">
        <v>142</v>
      </c>
      <c r="B101" s="1" t="s">
        <v>43</v>
      </c>
      <c r="C101" s="1">
        <v>33</v>
      </c>
      <c r="D101" s="1"/>
      <c r="E101" s="1">
        <v>10</v>
      </c>
      <c r="F101" s="1">
        <v>2</v>
      </c>
      <c r="G101" s="7">
        <v>0.17</v>
      </c>
      <c r="H101" s="1">
        <v>30</v>
      </c>
      <c r="I101" s="1" t="s">
        <v>39</v>
      </c>
      <c r="J101" s="1"/>
      <c r="K101" s="1">
        <v>10</v>
      </c>
      <c r="L101" s="1">
        <f t="shared" si="37"/>
        <v>0</v>
      </c>
      <c r="M101" s="1"/>
      <c r="N101" s="1"/>
      <c r="O101" s="1">
        <v>0</v>
      </c>
      <c r="P101" s="1"/>
      <c r="Q101" s="1"/>
      <c r="R101" s="1">
        <v>10</v>
      </c>
      <c r="S101" s="20"/>
      <c r="T101" s="1"/>
      <c r="U101" s="20"/>
      <c r="V101" s="1">
        <f t="shared" si="38"/>
        <v>2</v>
      </c>
      <c r="W101" s="5">
        <f t="shared" si="53"/>
        <v>11</v>
      </c>
      <c r="X101" s="5">
        <f t="shared" si="41"/>
        <v>11</v>
      </c>
      <c r="Y101" s="5">
        <f t="shared" si="54"/>
        <v>11</v>
      </c>
      <c r="Z101" s="5"/>
      <c r="AA101" s="1"/>
      <c r="AB101" s="1"/>
      <c r="AC101" s="1">
        <f t="shared" si="42"/>
        <v>11.5</v>
      </c>
      <c r="AD101" s="1">
        <f t="shared" si="40"/>
        <v>6</v>
      </c>
      <c r="AE101" s="1">
        <v>2</v>
      </c>
      <c r="AF101" s="1">
        <v>1.2</v>
      </c>
      <c r="AG101" s="1">
        <v>0</v>
      </c>
      <c r="AH101" s="1">
        <v>0</v>
      </c>
      <c r="AI101" s="1">
        <v>1.4</v>
      </c>
      <c r="AJ101" s="1">
        <v>1.6</v>
      </c>
      <c r="AK101" s="1">
        <v>0.2</v>
      </c>
      <c r="AL101" s="1">
        <v>0</v>
      </c>
      <c r="AM101" s="1">
        <v>-0.2</v>
      </c>
      <c r="AN101" s="1">
        <v>2</v>
      </c>
      <c r="AO101" s="1" t="s">
        <v>143</v>
      </c>
      <c r="AP101" s="1">
        <f t="shared" si="43"/>
        <v>2</v>
      </c>
      <c r="AQ101" s="1">
        <f t="shared" si="44"/>
        <v>0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 t="s">
        <v>144</v>
      </c>
      <c r="B102" s="1" t="s">
        <v>38</v>
      </c>
      <c r="C102" s="1">
        <v>0.54500000000000004</v>
      </c>
      <c r="D102" s="1">
        <v>101.619</v>
      </c>
      <c r="E102" s="1">
        <v>96.495000000000005</v>
      </c>
      <c r="F102" s="1">
        <v>0.38900000000000001</v>
      </c>
      <c r="G102" s="7">
        <v>1</v>
      </c>
      <c r="H102" s="1">
        <v>40</v>
      </c>
      <c r="I102" s="9" t="s">
        <v>50</v>
      </c>
      <c r="J102" s="1"/>
      <c r="K102" s="1">
        <v>237.07</v>
      </c>
      <c r="L102" s="1">
        <f t="shared" ref="L102:L129" si="55">E102-K102</f>
        <v>-140.57499999999999</v>
      </c>
      <c r="M102" s="1"/>
      <c r="N102" s="1"/>
      <c r="O102" s="1">
        <v>350</v>
      </c>
      <c r="P102" s="1"/>
      <c r="Q102" s="1"/>
      <c r="R102" s="1">
        <v>100</v>
      </c>
      <c r="S102" s="20"/>
      <c r="T102" s="1"/>
      <c r="U102" s="20"/>
      <c r="V102" s="1">
        <f t="shared" ref="V102:V129" si="56">E102/5</f>
        <v>19.298999999999999</v>
      </c>
      <c r="W102" s="5">
        <v>100</v>
      </c>
      <c r="X102" s="5">
        <v>150</v>
      </c>
      <c r="Y102" s="5">
        <f t="shared" ref="Y102:Y104" si="57">X102</f>
        <v>150</v>
      </c>
      <c r="Z102" s="5">
        <v>50</v>
      </c>
      <c r="AA102" s="1">
        <f>VLOOKUP(A102,[1]Sheet!$A:$W,22,0)</f>
        <v>180</v>
      </c>
      <c r="AB102" s="1" t="str">
        <f>VLOOKUP(A102,[1]Sheet!$A:$W,23,0)</f>
        <v>промо жц</v>
      </c>
      <c r="AC102" s="1">
        <f t="shared" si="42"/>
        <v>33.700658065184726</v>
      </c>
      <c r="AD102" s="1">
        <f t="shared" ref="AD102:AD129" si="58">(F102+O102+P102+Q102+R102+T102)/V102</f>
        <v>23.337426809679258</v>
      </c>
      <c r="AE102" s="1">
        <v>3.8765999999999998</v>
      </c>
      <c r="AF102" s="1">
        <v>19.322399999999998</v>
      </c>
      <c r="AG102" s="1">
        <v>14.2462</v>
      </c>
      <c r="AH102" s="1">
        <v>43.054199999999987</v>
      </c>
      <c r="AI102" s="1">
        <v>80.952399999999997</v>
      </c>
      <c r="AJ102" s="1">
        <v>96.791799999999995</v>
      </c>
      <c r="AK102" s="1">
        <v>97.415999999999997</v>
      </c>
      <c r="AL102" s="1">
        <v>88.752200000000002</v>
      </c>
      <c r="AM102" s="1">
        <v>85.401199999999989</v>
      </c>
      <c r="AN102" s="1">
        <v>87.400199999999998</v>
      </c>
      <c r="AO102" s="1" t="s">
        <v>179</v>
      </c>
      <c r="AP102" s="1">
        <f t="shared" si="43"/>
        <v>150</v>
      </c>
      <c r="AQ102" s="1">
        <f t="shared" si="44"/>
        <v>50</v>
      </c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 t="s">
        <v>145</v>
      </c>
      <c r="B103" s="1" t="s">
        <v>38</v>
      </c>
      <c r="C103" s="1">
        <v>2.2759999999999998</v>
      </c>
      <c r="D103" s="1">
        <v>249.637</v>
      </c>
      <c r="E103" s="1">
        <v>249.358</v>
      </c>
      <c r="F103" s="1">
        <v>-1.042</v>
      </c>
      <c r="G103" s="7">
        <v>1</v>
      </c>
      <c r="H103" s="1">
        <v>40</v>
      </c>
      <c r="I103" s="9" t="s">
        <v>50</v>
      </c>
      <c r="J103" s="1"/>
      <c r="K103" s="1">
        <v>442.1</v>
      </c>
      <c r="L103" s="1">
        <f t="shared" si="55"/>
        <v>-192.74200000000002</v>
      </c>
      <c r="M103" s="1"/>
      <c r="N103" s="1"/>
      <c r="O103" s="1">
        <v>500</v>
      </c>
      <c r="P103" s="1"/>
      <c r="Q103" s="1"/>
      <c r="R103" s="1">
        <v>200</v>
      </c>
      <c r="S103" s="20"/>
      <c r="T103" s="1"/>
      <c r="U103" s="20"/>
      <c r="V103" s="1">
        <f t="shared" si="56"/>
        <v>49.871600000000001</v>
      </c>
      <c r="W103" s="5">
        <v>100</v>
      </c>
      <c r="X103" s="5">
        <v>180</v>
      </c>
      <c r="Y103" s="5">
        <f t="shared" si="57"/>
        <v>180</v>
      </c>
      <c r="Z103" s="5"/>
      <c r="AA103" s="1">
        <f>VLOOKUP(A103,[1]Sheet!$A:$W,22,0)</f>
        <v>180</v>
      </c>
      <c r="AB103" s="1" t="str">
        <f>VLOOKUP(A103,[1]Sheet!$A:$W,23,0)</f>
        <v>промо жц</v>
      </c>
      <c r="AC103" s="1">
        <f t="shared" si="42"/>
        <v>17.624419509299884</v>
      </c>
      <c r="AD103" s="1">
        <f t="shared" si="58"/>
        <v>14.01515090753054</v>
      </c>
      <c r="AE103" s="1">
        <v>59.215599999999988</v>
      </c>
      <c r="AF103" s="1">
        <v>80.884199999999993</v>
      </c>
      <c r="AG103" s="1">
        <v>78.121400000000008</v>
      </c>
      <c r="AH103" s="1">
        <v>29.4024</v>
      </c>
      <c r="AI103" s="1">
        <v>27.0656</v>
      </c>
      <c r="AJ103" s="1">
        <v>78.425399999999996</v>
      </c>
      <c r="AK103" s="1">
        <v>77.138599999999997</v>
      </c>
      <c r="AL103" s="1">
        <v>61.042400000000001</v>
      </c>
      <c r="AM103" s="1">
        <v>57.488399999999999</v>
      </c>
      <c r="AN103" s="1">
        <v>60.191400000000002</v>
      </c>
      <c r="AO103" s="1" t="s">
        <v>179</v>
      </c>
      <c r="AP103" s="1">
        <f t="shared" si="43"/>
        <v>180</v>
      </c>
      <c r="AQ103" s="1">
        <f t="shared" si="44"/>
        <v>0</v>
      </c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 t="s">
        <v>146</v>
      </c>
      <c r="B104" s="1" t="s">
        <v>38</v>
      </c>
      <c r="C104" s="1"/>
      <c r="D104" s="1"/>
      <c r="E104" s="1">
        <v>-11.433</v>
      </c>
      <c r="F104" s="1"/>
      <c r="G104" s="7">
        <v>1</v>
      </c>
      <c r="H104" s="1">
        <v>40</v>
      </c>
      <c r="I104" s="9" t="s">
        <v>50</v>
      </c>
      <c r="J104" s="1"/>
      <c r="K104" s="1">
        <v>99.3</v>
      </c>
      <c r="L104" s="1">
        <f t="shared" si="55"/>
        <v>-110.733</v>
      </c>
      <c r="M104" s="1"/>
      <c r="N104" s="1"/>
      <c r="O104" s="1">
        <v>100</v>
      </c>
      <c r="P104" s="1">
        <v>-101.5</v>
      </c>
      <c r="Q104" s="1"/>
      <c r="R104" s="1">
        <v>150</v>
      </c>
      <c r="S104" s="20"/>
      <c r="T104" s="1"/>
      <c r="U104" s="20"/>
      <c r="V104" s="1">
        <f t="shared" si="56"/>
        <v>-2.2866</v>
      </c>
      <c r="W104" s="5">
        <v>150</v>
      </c>
      <c r="X104" s="5">
        <f t="shared" si="41"/>
        <v>150</v>
      </c>
      <c r="Y104" s="5">
        <f t="shared" si="57"/>
        <v>150</v>
      </c>
      <c r="Z104" s="5">
        <v>100</v>
      </c>
      <c r="AA104" s="1"/>
      <c r="AB104" s="1"/>
      <c r="AC104" s="1">
        <f t="shared" si="42"/>
        <v>-174.27621796553836</v>
      </c>
      <c r="AD104" s="1">
        <f t="shared" si="58"/>
        <v>-64.94358436106009</v>
      </c>
      <c r="AE104" s="1">
        <v>-2.1309999999999998</v>
      </c>
      <c r="AF104" s="1">
        <v>-0.42120000000000002</v>
      </c>
      <c r="AG104" s="1">
        <v>-1.1818</v>
      </c>
      <c r="AH104" s="1">
        <v>9.0351999999999997</v>
      </c>
      <c r="AI104" s="1">
        <v>38.4574</v>
      </c>
      <c r="AJ104" s="1">
        <v>90.9636</v>
      </c>
      <c r="AK104" s="1">
        <v>99.641199999999998</v>
      </c>
      <c r="AL104" s="1">
        <v>90.812600000000003</v>
      </c>
      <c r="AM104" s="1">
        <v>87.560400000000001</v>
      </c>
      <c r="AN104" s="1">
        <v>101.8978</v>
      </c>
      <c r="AO104" s="1"/>
      <c r="AP104" s="1">
        <f t="shared" si="43"/>
        <v>150</v>
      </c>
      <c r="AQ104" s="1">
        <f t="shared" si="44"/>
        <v>100</v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1" t="s">
        <v>147</v>
      </c>
      <c r="B105" s="11" t="s">
        <v>43</v>
      </c>
      <c r="C105" s="11"/>
      <c r="D105" s="11"/>
      <c r="E105" s="11"/>
      <c r="F105" s="11"/>
      <c r="G105" s="12">
        <v>0</v>
      </c>
      <c r="H105" s="11"/>
      <c r="I105" s="11" t="s">
        <v>39</v>
      </c>
      <c r="J105" s="11"/>
      <c r="K105" s="11"/>
      <c r="L105" s="11">
        <f t="shared" si="55"/>
        <v>0</v>
      </c>
      <c r="M105" s="11"/>
      <c r="N105" s="11"/>
      <c r="O105" s="11">
        <v>0</v>
      </c>
      <c r="P105" s="11"/>
      <c r="Q105" s="11"/>
      <c r="R105" s="11">
        <v>0</v>
      </c>
      <c r="S105" s="22"/>
      <c r="T105" s="11"/>
      <c r="U105" s="22"/>
      <c r="V105" s="11">
        <f t="shared" si="56"/>
        <v>0</v>
      </c>
      <c r="W105" s="13"/>
      <c r="X105" s="5">
        <f t="shared" si="41"/>
        <v>0</v>
      </c>
      <c r="Y105" s="5">
        <f t="shared" ref="Y105:Y106" si="59">X105-Z105</f>
        <v>0</v>
      </c>
      <c r="Z105" s="5"/>
      <c r="AA105" s="1"/>
      <c r="AB105" s="1"/>
      <c r="AC105" s="1" t="e">
        <f t="shared" si="42"/>
        <v>#DIV/0!</v>
      </c>
      <c r="AD105" s="11" t="e">
        <f t="shared" si="58"/>
        <v>#DIV/0!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 t="s">
        <v>44</v>
      </c>
      <c r="AP105" s="1">
        <f t="shared" si="43"/>
        <v>0</v>
      </c>
      <c r="AQ105" s="1">
        <f t="shared" si="44"/>
        <v>0</v>
      </c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 t="s">
        <v>148</v>
      </c>
      <c r="B106" s="1" t="s">
        <v>38</v>
      </c>
      <c r="C106" s="1">
        <v>-1.373</v>
      </c>
      <c r="D106" s="1">
        <v>43.38</v>
      </c>
      <c r="E106" s="1">
        <v>4.12</v>
      </c>
      <c r="F106" s="1">
        <v>37.887</v>
      </c>
      <c r="G106" s="7">
        <v>1</v>
      </c>
      <c r="H106" s="1">
        <v>55</v>
      </c>
      <c r="I106" s="1" t="s">
        <v>39</v>
      </c>
      <c r="J106" s="1"/>
      <c r="K106" s="1">
        <v>4</v>
      </c>
      <c r="L106" s="1">
        <f t="shared" si="55"/>
        <v>0.12000000000000011</v>
      </c>
      <c r="M106" s="1"/>
      <c r="N106" s="1"/>
      <c r="O106" s="1">
        <v>0</v>
      </c>
      <c r="P106" s="1"/>
      <c r="Q106" s="1"/>
      <c r="R106" s="1">
        <v>0</v>
      </c>
      <c r="S106" s="20"/>
      <c r="T106" s="1"/>
      <c r="U106" s="20"/>
      <c r="V106" s="1">
        <f t="shared" si="56"/>
        <v>0.82400000000000007</v>
      </c>
      <c r="W106" s="5"/>
      <c r="X106" s="5">
        <f t="shared" si="41"/>
        <v>0</v>
      </c>
      <c r="Y106" s="5">
        <f t="shared" si="59"/>
        <v>0</v>
      </c>
      <c r="Z106" s="5"/>
      <c r="AA106" s="1"/>
      <c r="AB106" s="1"/>
      <c r="AC106" s="1">
        <f t="shared" si="42"/>
        <v>45.979368932038831</v>
      </c>
      <c r="AD106" s="1">
        <f t="shared" si="58"/>
        <v>45.979368932038831</v>
      </c>
      <c r="AE106" s="1">
        <v>0.27460000000000001</v>
      </c>
      <c r="AF106" s="1">
        <v>0.27460000000000001</v>
      </c>
      <c r="AG106" s="1">
        <v>2.4338000000000002</v>
      </c>
      <c r="AH106" s="1">
        <v>2.9998</v>
      </c>
      <c r="AI106" s="1">
        <v>0.56600000000000006</v>
      </c>
      <c r="AJ106" s="1">
        <v>0</v>
      </c>
      <c r="AK106" s="1">
        <v>0.26879999999999998</v>
      </c>
      <c r="AL106" s="1">
        <v>0.54180000000000006</v>
      </c>
      <c r="AM106" s="1">
        <v>0.54720000000000002</v>
      </c>
      <c r="AN106" s="1">
        <v>1.615</v>
      </c>
      <c r="AO106" s="1" t="s">
        <v>149</v>
      </c>
      <c r="AP106" s="1">
        <f t="shared" si="43"/>
        <v>0</v>
      </c>
      <c r="AQ106" s="1">
        <f t="shared" si="44"/>
        <v>0</v>
      </c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 t="s">
        <v>150</v>
      </c>
      <c r="B107" s="1" t="s">
        <v>43</v>
      </c>
      <c r="C107" s="1">
        <v>84</v>
      </c>
      <c r="D107" s="1">
        <v>2</v>
      </c>
      <c r="E107" s="1">
        <v>-14</v>
      </c>
      <c r="F107" s="1">
        <v>75</v>
      </c>
      <c r="G107" s="7">
        <v>0.28000000000000003</v>
      </c>
      <c r="H107" s="1">
        <v>40</v>
      </c>
      <c r="I107" s="9" t="s">
        <v>50</v>
      </c>
      <c r="J107" s="1"/>
      <c r="K107" s="1">
        <v>595</v>
      </c>
      <c r="L107" s="1">
        <f t="shared" si="55"/>
        <v>-609</v>
      </c>
      <c r="M107" s="1"/>
      <c r="N107" s="1"/>
      <c r="O107" s="1">
        <v>654.83799999999997</v>
      </c>
      <c r="P107" s="1"/>
      <c r="Q107" s="1"/>
      <c r="R107" s="1">
        <v>100</v>
      </c>
      <c r="S107" s="20"/>
      <c r="T107" s="1"/>
      <c r="U107" s="20"/>
      <c r="V107" s="1">
        <f t="shared" si="56"/>
        <v>-2.8</v>
      </c>
      <c r="W107" s="5"/>
      <c r="X107" s="5">
        <f t="shared" si="41"/>
        <v>0</v>
      </c>
      <c r="Y107" s="5">
        <f>X107</f>
        <v>0</v>
      </c>
      <c r="Z107" s="5">
        <v>50</v>
      </c>
      <c r="AA107" s="1"/>
      <c r="AB107" s="1"/>
      <c r="AC107" s="1">
        <f t="shared" si="42"/>
        <v>-314.22785714285715</v>
      </c>
      <c r="AD107" s="1">
        <f t="shared" si="58"/>
        <v>-296.37071428571431</v>
      </c>
      <c r="AE107" s="1">
        <v>44</v>
      </c>
      <c r="AF107" s="1">
        <v>78.599999999999994</v>
      </c>
      <c r="AG107" s="1">
        <v>33.4</v>
      </c>
      <c r="AH107" s="1">
        <v>9.6</v>
      </c>
      <c r="AI107" s="1">
        <v>43.4</v>
      </c>
      <c r="AJ107" s="1">
        <v>70.8</v>
      </c>
      <c r="AK107" s="1">
        <v>65</v>
      </c>
      <c r="AL107" s="1">
        <v>39</v>
      </c>
      <c r="AM107" s="1">
        <v>37.4</v>
      </c>
      <c r="AN107" s="1">
        <v>79.400000000000006</v>
      </c>
      <c r="AO107" s="1"/>
      <c r="AP107" s="1">
        <f t="shared" si="43"/>
        <v>0</v>
      </c>
      <c r="AQ107" s="1">
        <f t="shared" si="44"/>
        <v>14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1" t="s">
        <v>151</v>
      </c>
      <c r="B108" s="11" t="s">
        <v>43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55"/>
        <v>0</v>
      </c>
      <c r="M108" s="11"/>
      <c r="N108" s="11"/>
      <c r="O108" s="11">
        <v>0</v>
      </c>
      <c r="P108" s="11"/>
      <c r="Q108" s="11"/>
      <c r="R108" s="11">
        <v>0</v>
      </c>
      <c r="S108" s="22"/>
      <c r="T108" s="11"/>
      <c r="U108" s="22"/>
      <c r="V108" s="11">
        <f t="shared" si="56"/>
        <v>0</v>
      </c>
      <c r="W108" s="13"/>
      <c r="X108" s="5">
        <f t="shared" si="41"/>
        <v>0</v>
      </c>
      <c r="Y108" s="5">
        <f>X108-Z108</f>
        <v>0</v>
      </c>
      <c r="Z108" s="5"/>
      <c r="AA108" s="1"/>
      <c r="AB108" s="1"/>
      <c r="AC108" s="1" t="e">
        <f t="shared" si="42"/>
        <v>#DIV/0!</v>
      </c>
      <c r="AD108" s="11" t="e">
        <f t="shared" si="58"/>
        <v>#DIV/0!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 t="s">
        <v>44</v>
      </c>
      <c r="AP108" s="1">
        <f t="shared" si="43"/>
        <v>0</v>
      </c>
      <c r="AQ108" s="1">
        <f t="shared" si="44"/>
        <v>0</v>
      </c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 t="s">
        <v>152</v>
      </c>
      <c r="B109" s="1" t="s">
        <v>43</v>
      </c>
      <c r="C109" s="1">
        <v>81</v>
      </c>
      <c r="D109" s="1">
        <v>110</v>
      </c>
      <c r="E109" s="1">
        <v>93</v>
      </c>
      <c r="F109" s="1">
        <v>73</v>
      </c>
      <c r="G109" s="7">
        <v>0.28000000000000003</v>
      </c>
      <c r="H109" s="1">
        <v>40</v>
      </c>
      <c r="I109" s="9" t="s">
        <v>50</v>
      </c>
      <c r="J109" s="1"/>
      <c r="K109" s="1">
        <v>611</v>
      </c>
      <c r="L109" s="1">
        <f t="shared" si="55"/>
        <v>-518</v>
      </c>
      <c r="M109" s="1"/>
      <c r="N109" s="1"/>
      <c r="O109" s="1">
        <v>150</v>
      </c>
      <c r="P109" s="1">
        <v>-150</v>
      </c>
      <c r="Q109" s="1"/>
      <c r="R109" s="1">
        <v>200</v>
      </c>
      <c r="S109" s="20"/>
      <c r="T109" s="1"/>
      <c r="U109" s="20"/>
      <c r="V109" s="1">
        <f t="shared" si="56"/>
        <v>18.600000000000001</v>
      </c>
      <c r="W109" s="5">
        <v>100</v>
      </c>
      <c r="X109" s="5">
        <f t="shared" si="41"/>
        <v>100</v>
      </c>
      <c r="Y109" s="5">
        <f>X109</f>
        <v>100</v>
      </c>
      <c r="Z109" s="5">
        <v>100</v>
      </c>
      <c r="AA109" s="1"/>
      <c r="AB109" s="1"/>
      <c r="AC109" s="1">
        <f t="shared" si="42"/>
        <v>25.43010752688172</v>
      </c>
      <c r="AD109" s="1">
        <f t="shared" si="58"/>
        <v>14.677419354838708</v>
      </c>
      <c r="AE109" s="1">
        <v>57.8</v>
      </c>
      <c r="AF109" s="1">
        <v>35.799999999999997</v>
      </c>
      <c r="AG109" s="1">
        <v>-2</v>
      </c>
      <c r="AH109" s="1">
        <v>12</v>
      </c>
      <c r="AI109" s="1">
        <v>46.2</v>
      </c>
      <c r="AJ109" s="1">
        <v>76.400000000000006</v>
      </c>
      <c r="AK109" s="1">
        <v>75.2</v>
      </c>
      <c r="AL109" s="1">
        <v>67</v>
      </c>
      <c r="AM109" s="1">
        <v>62.4</v>
      </c>
      <c r="AN109" s="1">
        <v>67</v>
      </c>
      <c r="AO109" s="1"/>
      <c r="AP109" s="1">
        <f t="shared" si="43"/>
        <v>28</v>
      </c>
      <c r="AQ109" s="1">
        <f t="shared" si="44"/>
        <v>28</v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 t="s">
        <v>153</v>
      </c>
      <c r="B110" s="1" t="s">
        <v>43</v>
      </c>
      <c r="C110" s="1">
        <v>52</v>
      </c>
      <c r="D110" s="1">
        <v>122</v>
      </c>
      <c r="E110" s="1">
        <v>116</v>
      </c>
      <c r="F110" s="1">
        <v>30</v>
      </c>
      <c r="G110" s="7">
        <v>0.09</v>
      </c>
      <c r="H110" s="1"/>
      <c r="I110" s="1" t="s">
        <v>39</v>
      </c>
      <c r="J110" s="1"/>
      <c r="K110" s="1">
        <v>123</v>
      </c>
      <c r="L110" s="1">
        <f t="shared" si="55"/>
        <v>-7</v>
      </c>
      <c r="M110" s="1"/>
      <c r="N110" s="1"/>
      <c r="O110" s="1">
        <v>0</v>
      </c>
      <c r="P110" s="1"/>
      <c r="Q110" s="1"/>
      <c r="R110" s="1">
        <v>95.8</v>
      </c>
      <c r="S110" s="20"/>
      <c r="T110" s="1"/>
      <c r="U110" s="20"/>
      <c r="V110" s="1">
        <f t="shared" si="56"/>
        <v>23.2</v>
      </c>
      <c r="W110" s="5">
        <f>10.5*V110-T110-R110-Q110-P110-O110-F110</f>
        <v>117.80000000000001</v>
      </c>
      <c r="X110" s="5">
        <f t="shared" si="41"/>
        <v>117.80000000000001</v>
      </c>
      <c r="Y110" s="5">
        <f t="shared" ref="Y110:Y121" si="60">X110-Z110</f>
        <v>117.80000000000001</v>
      </c>
      <c r="Z110" s="5"/>
      <c r="AA110" s="1"/>
      <c r="AB110" s="1"/>
      <c r="AC110" s="1">
        <f t="shared" si="42"/>
        <v>10.500000000000002</v>
      </c>
      <c r="AD110" s="1">
        <f t="shared" si="58"/>
        <v>5.4224137931034484</v>
      </c>
      <c r="AE110" s="1">
        <v>17.8</v>
      </c>
      <c r="AF110" s="1">
        <v>6</v>
      </c>
      <c r="AG110" s="1">
        <v>6</v>
      </c>
      <c r="AH110" s="1">
        <v>14.2</v>
      </c>
      <c r="AI110" s="1">
        <v>12.6</v>
      </c>
      <c r="AJ110" s="1">
        <v>3.8</v>
      </c>
      <c r="AK110" s="1">
        <v>7.4</v>
      </c>
      <c r="AL110" s="1">
        <v>8</v>
      </c>
      <c r="AM110" s="1">
        <v>0</v>
      </c>
      <c r="AN110" s="1">
        <v>0</v>
      </c>
      <c r="AO110" s="1"/>
      <c r="AP110" s="1">
        <f t="shared" si="43"/>
        <v>11</v>
      </c>
      <c r="AQ110" s="1">
        <f t="shared" si="44"/>
        <v>0</v>
      </c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 t="s">
        <v>154</v>
      </c>
      <c r="B111" s="1" t="s">
        <v>38</v>
      </c>
      <c r="C111" s="1">
        <v>303.791</v>
      </c>
      <c r="D111" s="1">
        <v>305.63400000000001</v>
      </c>
      <c r="E111" s="1">
        <v>124.998</v>
      </c>
      <c r="F111" s="1">
        <v>473.43400000000003</v>
      </c>
      <c r="G111" s="7">
        <v>1</v>
      </c>
      <c r="H111" s="1">
        <v>60</v>
      </c>
      <c r="I111" s="1" t="s">
        <v>39</v>
      </c>
      <c r="J111" s="1"/>
      <c r="K111" s="1">
        <v>125</v>
      </c>
      <c r="L111" s="1">
        <f t="shared" si="55"/>
        <v>-1.9999999999953388E-3</v>
      </c>
      <c r="M111" s="1"/>
      <c r="N111" s="1"/>
      <c r="O111" s="1">
        <v>0</v>
      </c>
      <c r="P111" s="1"/>
      <c r="Q111" s="1"/>
      <c r="R111" s="1">
        <v>0</v>
      </c>
      <c r="S111" s="20"/>
      <c r="T111" s="1"/>
      <c r="U111" s="20"/>
      <c r="V111" s="1">
        <f t="shared" si="56"/>
        <v>24.999600000000001</v>
      </c>
      <c r="W111" s="5"/>
      <c r="X111" s="5">
        <f t="shared" si="41"/>
        <v>0</v>
      </c>
      <c r="Y111" s="5">
        <f t="shared" si="60"/>
        <v>0</v>
      </c>
      <c r="Z111" s="5"/>
      <c r="AA111" s="1"/>
      <c r="AB111" s="1"/>
      <c r="AC111" s="1">
        <f t="shared" si="42"/>
        <v>18.937663002608041</v>
      </c>
      <c r="AD111" s="1">
        <f t="shared" si="58"/>
        <v>18.937663002608041</v>
      </c>
      <c r="AE111" s="1">
        <v>21.991399999999999</v>
      </c>
      <c r="AF111" s="1">
        <v>8.8583999999999996</v>
      </c>
      <c r="AG111" s="1">
        <v>2.6758000000000002</v>
      </c>
      <c r="AH111" s="1">
        <v>38.171399999999998</v>
      </c>
      <c r="AI111" s="1">
        <v>43.339199999999998</v>
      </c>
      <c r="AJ111" s="1">
        <v>23.119599999999998</v>
      </c>
      <c r="AK111" s="1">
        <v>16.192399999999999</v>
      </c>
      <c r="AL111" s="1">
        <v>24.320599999999999</v>
      </c>
      <c r="AM111" s="1">
        <v>34.040199999999999</v>
      </c>
      <c r="AN111" s="1">
        <v>26.383400000000002</v>
      </c>
      <c r="AO111" s="16" t="s">
        <v>96</v>
      </c>
      <c r="AP111" s="1">
        <f t="shared" si="43"/>
        <v>0</v>
      </c>
      <c r="AQ111" s="1">
        <f t="shared" si="44"/>
        <v>0</v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 t="s">
        <v>155</v>
      </c>
      <c r="B112" s="1" t="s">
        <v>38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39</v>
      </c>
      <c r="J112" s="1"/>
      <c r="K112" s="1">
        <v>10</v>
      </c>
      <c r="L112" s="1">
        <f t="shared" si="55"/>
        <v>-10</v>
      </c>
      <c r="M112" s="1"/>
      <c r="N112" s="1"/>
      <c r="O112" s="1">
        <v>0</v>
      </c>
      <c r="P112" s="1"/>
      <c r="Q112" s="1"/>
      <c r="R112" s="1">
        <v>0</v>
      </c>
      <c r="S112" s="20"/>
      <c r="T112" s="1"/>
      <c r="U112" s="20"/>
      <c r="V112" s="1">
        <f t="shared" si="56"/>
        <v>0</v>
      </c>
      <c r="W112" s="5"/>
      <c r="X112" s="5">
        <f t="shared" si="41"/>
        <v>0</v>
      </c>
      <c r="Y112" s="5">
        <f t="shared" si="60"/>
        <v>0</v>
      </c>
      <c r="Z112" s="5"/>
      <c r="AA112" s="1"/>
      <c r="AB112" s="1"/>
      <c r="AC112" s="1" t="e">
        <f t="shared" si="42"/>
        <v>#DIV/0!</v>
      </c>
      <c r="AD112" s="1" t="e">
        <f t="shared" si="58"/>
        <v>#DIV/0!</v>
      </c>
      <c r="AE112" s="1">
        <v>0</v>
      </c>
      <c r="AF112" s="1">
        <v>0</v>
      </c>
      <c r="AG112" s="1">
        <v>0</v>
      </c>
      <c r="AH112" s="1">
        <v>0</v>
      </c>
      <c r="AI112" s="1">
        <v>-0.2356</v>
      </c>
      <c r="AJ112" s="1">
        <v>-0.3604</v>
      </c>
      <c r="AK112" s="1">
        <v>-0.12479999999999999</v>
      </c>
      <c r="AL112" s="1">
        <v>-0.17460000000000001</v>
      </c>
      <c r="AM112" s="1">
        <v>-0.35780000000000001</v>
      </c>
      <c r="AN112" s="1">
        <v>-0.1832</v>
      </c>
      <c r="AO112" s="17" t="s">
        <v>108</v>
      </c>
      <c r="AP112" s="1">
        <f t="shared" si="43"/>
        <v>0</v>
      </c>
      <c r="AQ112" s="1">
        <f t="shared" si="44"/>
        <v>0</v>
      </c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 t="s">
        <v>156</v>
      </c>
      <c r="B113" s="1" t="s">
        <v>43</v>
      </c>
      <c r="C113" s="1">
        <v>1</v>
      </c>
      <c r="D113" s="1">
        <v>123</v>
      </c>
      <c r="E113" s="1">
        <v>41</v>
      </c>
      <c r="F113" s="1">
        <v>65</v>
      </c>
      <c r="G113" s="7">
        <v>0.09</v>
      </c>
      <c r="H113" s="1"/>
      <c r="I113" s="1" t="s">
        <v>39</v>
      </c>
      <c r="J113" s="1"/>
      <c r="K113" s="1">
        <v>53</v>
      </c>
      <c r="L113" s="1">
        <f t="shared" si="55"/>
        <v>-12</v>
      </c>
      <c r="M113" s="1"/>
      <c r="N113" s="1"/>
      <c r="O113" s="1">
        <v>0</v>
      </c>
      <c r="P113" s="1"/>
      <c r="Q113" s="1"/>
      <c r="R113" s="1">
        <v>0</v>
      </c>
      <c r="S113" s="20"/>
      <c r="T113" s="1"/>
      <c r="U113" s="20"/>
      <c r="V113" s="1">
        <f t="shared" si="56"/>
        <v>8.1999999999999993</v>
      </c>
      <c r="W113" s="5">
        <f t="shared" ref="W113" si="61">11.5*V113-T113-R113-Q113-P113-O113-F113</f>
        <v>29.299999999999997</v>
      </c>
      <c r="X113" s="5">
        <f t="shared" si="41"/>
        <v>29.299999999999997</v>
      </c>
      <c r="Y113" s="5">
        <f t="shared" si="60"/>
        <v>29.299999999999997</v>
      </c>
      <c r="Z113" s="5"/>
      <c r="AA113" s="1"/>
      <c r="AB113" s="1"/>
      <c r="AC113" s="1">
        <f t="shared" si="42"/>
        <v>11.5</v>
      </c>
      <c r="AD113" s="1">
        <f t="shared" si="58"/>
        <v>7.9268292682926838</v>
      </c>
      <c r="AE113" s="1">
        <v>2</v>
      </c>
      <c r="AF113" s="1">
        <v>1.4</v>
      </c>
      <c r="AG113" s="1">
        <v>4</v>
      </c>
      <c r="AH113" s="1">
        <v>13.6</v>
      </c>
      <c r="AI113" s="1">
        <v>12.6</v>
      </c>
      <c r="AJ113" s="1">
        <v>2.6</v>
      </c>
      <c r="AK113" s="1">
        <v>8.1999999999999993</v>
      </c>
      <c r="AL113" s="1">
        <v>8.1999999999999993</v>
      </c>
      <c r="AM113" s="1">
        <v>0</v>
      </c>
      <c r="AN113" s="1">
        <v>0</v>
      </c>
      <c r="AO113" s="1"/>
      <c r="AP113" s="1">
        <f t="shared" si="43"/>
        <v>3</v>
      </c>
      <c r="AQ113" s="1">
        <f t="shared" si="44"/>
        <v>0</v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1" t="s">
        <v>157</v>
      </c>
      <c r="B114" s="11" t="s">
        <v>43</v>
      </c>
      <c r="C114" s="11"/>
      <c r="D114" s="11"/>
      <c r="E114" s="11"/>
      <c r="F114" s="11"/>
      <c r="G114" s="12">
        <v>0</v>
      </c>
      <c r="H114" s="11"/>
      <c r="I114" s="11" t="s">
        <v>39</v>
      </c>
      <c r="J114" s="11"/>
      <c r="K114" s="11"/>
      <c r="L114" s="11">
        <f t="shared" si="55"/>
        <v>0</v>
      </c>
      <c r="M114" s="11"/>
      <c r="N114" s="11"/>
      <c r="O114" s="11">
        <v>0</v>
      </c>
      <c r="P114" s="11"/>
      <c r="Q114" s="11"/>
      <c r="R114" s="11">
        <v>0</v>
      </c>
      <c r="S114" s="22"/>
      <c r="T114" s="11"/>
      <c r="U114" s="22"/>
      <c r="V114" s="11">
        <f t="shared" si="56"/>
        <v>0</v>
      </c>
      <c r="W114" s="13"/>
      <c r="X114" s="5">
        <f t="shared" si="41"/>
        <v>0</v>
      </c>
      <c r="Y114" s="5">
        <f t="shared" si="60"/>
        <v>0</v>
      </c>
      <c r="Z114" s="5"/>
      <c r="AA114" s="1"/>
      <c r="AB114" s="1"/>
      <c r="AC114" s="1" t="e">
        <f t="shared" si="42"/>
        <v>#DIV/0!</v>
      </c>
      <c r="AD114" s="11" t="e">
        <f t="shared" si="58"/>
        <v>#DIV/0!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 t="s">
        <v>44</v>
      </c>
      <c r="AP114" s="1">
        <f t="shared" si="43"/>
        <v>0</v>
      </c>
      <c r="AQ114" s="1">
        <f t="shared" si="44"/>
        <v>0</v>
      </c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 t="s">
        <v>158</v>
      </c>
      <c r="B115" s="1" t="s">
        <v>38</v>
      </c>
      <c r="C115" s="1">
        <v>419.38200000000001</v>
      </c>
      <c r="D115" s="1">
        <v>263.18599999999998</v>
      </c>
      <c r="E115" s="1">
        <v>471.28899999999999</v>
      </c>
      <c r="F115" s="1">
        <v>157.04300000000001</v>
      </c>
      <c r="G115" s="7">
        <v>1</v>
      </c>
      <c r="H115" s="1">
        <v>60</v>
      </c>
      <c r="I115" s="1" t="s">
        <v>39</v>
      </c>
      <c r="J115" s="1"/>
      <c r="K115" s="1">
        <v>462.2</v>
      </c>
      <c r="L115" s="1">
        <f t="shared" si="55"/>
        <v>9.0889999999999986</v>
      </c>
      <c r="M115" s="1"/>
      <c r="N115" s="1"/>
      <c r="O115" s="1">
        <v>139.087142</v>
      </c>
      <c r="P115" s="1"/>
      <c r="Q115" s="1"/>
      <c r="R115" s="1">
        <v>298.69599479999999</v>
      </c>
      <c r="S115" s="20"/>
      <c r="T115" s="1">
        <v>199.13066319999999</v>
      </c>
      <c r="U115" s="20"/>
      <c r="V115" s="1">
        <f t="shared" si="56"/>
        <v>94.257800000000003</v>
      </c>
      <c r="W115" s="5">
        <f t="shared" ref="W115:W124" si="62">11.5*V115-T115-R115-Q115-P115-O115-F115</f>
        <v>290.00790000000006</v>
      </c>
      <c r="X115" s="5">
        <v>350</v>
      </c>
      <c r="Y115" s="5">
        <f t="shared" si="60"/>
        <v>135.80000000000001</v>
      </c>
      <c r="Z115" s="5">
        <f t="shared" ref="Z115:Z118" si="63">X115*$Z$1</f>
        <v>214.2</v>
      </c>
      <c r="AA115" s="1"/>
      <c r="AB115" s="1"/>
      <c r="AC115" s="1">
        <f t="shared" si="42"/>
        <v>12.136468281670057</v>
      </c>
      <c r="AD115" s="1">
        <f t="shared" si="58"/>
        <v>8.4232477312222418</v>
      </c>
      <c r="AE115" s="1">
        <v>86.013800000000003</v>
      </c>
      <c r="AF115" s="1">
        <v>49.147399999999998</v>
      </c>
      <c r="AG115" s="1">
        <v>53.992400000000004</v>
      </c>
      <c r="AH115" s="1">
        <v>69.008799999999994</v>
      </c>
      <c r="AI115" s="1">
        <v>70.288600000000002</v>
      </c>
      <c r="AJ115" s="1">
        <v>78.236599999999996</v>
      </c>
      <c r="AK115" s="1">
        <v>83.537400000000005</v>
      </c>
      <c r="AL115" s="1">
        <v>65.344999999999999</v>
      </c>
      <c r="AM115" s="1">
        <v>56.364999999999988</v>
      </c>
      <c r="AN115" s="1">
        <v>56.581600000000002</v>
      </c>
      <c r="AO115" s="1"/>
      <c r="AP115" s="1">
        <f t="shared" si="43"/>
        <v>136</v>
      </c>
      <c r="AQ115" s="1">
        <f t="shared" si="44"/>
        <v>214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 t="s">
        <v>159</v>
      </c>
      <c r="B116" s="1" t="s">
        <v>38</v>
      </c>
      <c r="C116" s="1">
        <v>656.63900000000001</v>
      </c>
      <c r="D116" s="1">
        <v>334.34199999999998</v>
      </c>
      <c r="E116" s="1">
        <v>590.04300000000001</v>
      </c>
      <c r="F116" s="1">
        <v>329.48</v>
      </c>
      <c r="G116" s="7">
        <v>1</v>
      </c>
      <c r="H116" s="1">
        <v>60</v>
      </c>
      <c r="I116" s="1" t="s">
        <v>39</v>
      </c>
      <c r="J116" s="1"/>
      <c r="K116" s="1">
        <v>578.54999999999995</v>
      </c>
      <c r="L116" s="1">
        <f t="shared" si="55"/>
        <v>11.493000000000052</v>
      </c>
      <c r="M116" s="1"/>
      <c r="N116" s="1"/>
      <c r="O116" s="1">
        <v>192.81356</v>
      </c>
      <c r="P116" s="1"/>
      <c r="Q116" s="1"/>
      <c r="R116" s="1">
        <v>305.27378399999992</v>
      </c>
      <c r="S116" s="20"/>
      <c r="T116" s="1">
        <v>203.51585600000001</v>
      </c>
      <c r="U116" s="20"/>
      <c r="V116" s="1">
        <f t="shared" si="56"/>
        <v>118.0086</v>
      </c>
      <c r="W116" s="5">
        <f t="shared" si="62"/>
        <v>326.01569999999992</v>
      </c>
      <c r="X116" s="5">
        <v>450</v>
      </c>
      <c r="Y116" s="5">
        <f t="shared" si="60"/>
        <v>174.60000000000002</v>
      </c>
      <c r="Z116" s="5">
        <f t="shared" si="63"/>
        <v>275.39999999999998</v>
      </c>
      <c r="AA116" s="1"/>
      <c r="AB116" s="1"/>
      <c r="AC116" s="1">
        <f t="shared" si="42"/>
        <v>12.550637834869661</v>
      </c>
      <c r="AD116" s="1">
        <f t="shared" si="58"/>
        <v>8.7373564299551045</v>
      </c>
      <c r="AE116" s="1">
        <v>112.2222</v>
      </c>
      <c r="AF116" s="1">
        <v>68.132000000000005</v>
      </c>
      <c r="AG116" s="1">
        <v>70.727800000000002</v>
      </c>
      <c r="AH116" s="1">
        <v>89.804999999999993</v>
      </c>
      <c r="AI116" s="1">
        <v>93.597000000000008</v>
      </c>
      <c r="AJ116" s="1">
        <v>92.200800000000001</v>
      </c>
      <c r="AK116" s="1">
        <v>92.7684</v>
      </c>
      <c r="AL116" s="1">
        <v>92.423599999999993</v>
      </c>
      <c r="AM116" s="1">
        <v>83.889399999999995</v>
      </c>
      <c r="AN116" s="1">
        <v>75.759</v>
      </c>
      <c r="AO116" s="1"/>
      <c r="AP116" s="1">
        <f t="shared" si="43"/>
        <v>175</v>
      </c>
      <c r="AQ116" s="1">
        <f t="shared" si="44"/>
        <v>275</v>
      </c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 t="s">
        <v>160</v>
      </c>
      <c r="B117" s="1" t="s">
        <v>38</v>
      </c>
      <c r="C117" s="1">
        <v>298.93</v>
      </c>
      <c r="D117" s="1">
        <v>73.825000000000003</v>
      </c>
      <c r="E117" s="1">
        <v>230.821</v>
      </c>
      <c r="F117" s="1">
        <v>88.909000000000006</v>
      </c>
      <c r="G117" s="7">
        <v>1</v>
      </c>
      <c r="H117" s="1">
        <v>60</v>
      </c>
      <c r="I117" s="1" t="s">
        <v>39</v>
      </c>
      <c r="J117" s="1"/>
      <c r="K117" s="1">
        <v>222.45</v>
      </c>
      <c r="L117" s="1">
        <f t="shared" si="55"/>
        <v>8.3710000000000093</v>
      </c>
      <c r="M117" s="1"/>
      <c r="N117" s="1"/>
      <c r="O117" s="1">
        <v>0</v>
      </c>
      <c r="P117" s="1"/>
      <c r="Q117" s="1"/>
      <c r="R117" s="1">
        <v>198.8768</v>
      </c>
      <c r="S117" s="20"/>
      <c r="T117" s="1"/>
      <c r="U117" s="20"/>
      <c r="V117" s="1">
        <f t="shared" si="56"/>
        <v>46.164200000000001</v>
      </c>
      <c r="W117" s="5">
        <f t="shared" si="62"/>
        <v>243.10249999999996</v>
      </c>
      <c r="X117" s="5">
        <v>280</v>
      </c>
      <c r="Y117" s="5">
        <f t="shared" si="60"/>
        <v>108.64000000000001</v>
      </c>
      <c r="Z117" s="5">
        <f t="shared" si="63"/>
        <v>171.35999999999999</v>
      </c>
      <c r="AA117" s="1"/>
      <c r="AB117" s="1"/>
      <c r="AC117" s="1">
        <f t="shared" si="42"/>
        <v>12.299266531208165</v>
      </c>
      <c r="AD117" s="1">
        <f t="shared" si="58"/>
        <v>6.2339605148578334</v>
      </c>
      <c r="AE117" s="1">
        <v>43.4572</v>
      </c>
      <c r="AF117" s="1">
        <v>25.361000000000001</v>
      </c>
      <c r="AG117" s="1">
        <v>30.110399999999998</v>
      </c>
      <c r="AH117" s="1">
        <v>35.292999999999999</v>
      </c>
      <c r="AI117" s="1">
        <v>31.552</v>
      </c>
      <c r="AJ117" s="1">
        <v>45.125</v>
      </c>
      <c r="AK117" s="1">
        <v>47.799799999999998</v>
      </c>
      <c r="AL117" s="1">
        <v>34.2012</v>
      </c>
      <c r="AM117" s="1">
        <v>29.3096</v>
      </c>
      <c r="AN117" s="1">
        <v>30.529399999999999</v>
      </c>
      <c r="AO117" s="1"/>
      <c r="AP117" s="1">
        <f t="shared" si="43"/>
        <v>109</v>
      </c>
      <c r="AQ117" s="1">
        <f t="shared" si="44"/>
        <v>171</v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 t="s">
        <v>161</v>
      </c>
      <c r="B118" s="1" t="s">
        <v>38</v>
      </c>
      <c r="C118" s="1">
        <v>1867.1110000000001</v>
      </c>
      <c r="D118" s="1">
        <v>1172.779</v>
      </c>
      <c r="E118" s="1">
        <v>1676.508</v>
      </c>
      <c r="F118" s="1">
        <v>1126.222</v>
      </c>
      <c r="G118" s="7">
        <v>1</v>
      </c>
      <c r="H118" s="1">
        <v>60</v>
      </c>
      <c r="I118" s="1" t="s">
        <v>39</v>
      </c>
      <c r="J118" s="1"/>
      <c r="K118" s="1">
        <v>1695.6</v>
      </c>
      <c r="L118" s="1">
        <f t="shared" si="55"/>
        <v>-19.091999999999871</v>
      </c>
      <c r="M118" s="1"/>
      <c r="N118" s="1"/>
      <c r="O118" s="1">
        <v>894.71354917300005</v>
      </c>
      <c r="P118" s="1"/>
      <c r="Q118" s="1"/>
      <c r="R118" s="1">
        <v>242.3054104962001</v>
      </c>
      <c r="S118" s="20"/>
      <c r="T118" s="1">
        <v>161.53694033080009</v>
      </c>
      <c r="U118" s="20"/>
      <c r="V118" s="1">
        <f t="shared" si="56"/>
        <v>335.30160000000001</v>
      </c>
      <c r="W118" s="5">
        <f t="shared" si="62"/>
        <v>1431.1904999999999</v>
      </c>
      <c r="X118" s="5">
        <v>1450</v>
      </c>
      <c r="Y118" s="5">
        <f t="shared" si="60"/>
        <v>562.6</v>
      </c>
      <c r="Z118" s="5">
        <f t="shared" si="63"/>
        <v>887.4</v>
      </c>
      <c r="AA118" s="1"/>
      <c r="AB118" s="1"/>
      <c r="AC118" s="1">
        <f t="shared" si="42"/>
        <v>11.556097256917354</v>
      </c>
      <c r="AD118" s="1">
        <f t="shared" si="58"/>
        <v>7.2316323572568697</v>
      </c>
      <c r="AE118" s="1">
        <v>299.90980000000002</v>
      </c>
      <c r="AF118" s="1">
        <v>264.20240000000001</v>
      </c>
      <c r="AG118" s="1">
        <v>254.80359999999999</v>
      </c>
      <c r="AH118" s="1">
        <v>300.63580000000002</v>
      </c>
      <c r="AI118" s="1">
        <v>316.26139999999998</v>
      </c>
      <c r="AJ118" s="1">
        <v>312.13819999999998</v>
      </c>
      <c r="AK118" s="1">
        <v>312.54939999999999</v>
      </c>
      <c r="AL118" s="1">
        <v>297.05020000000002</v>
      </c>
      <c r="AM118" s="1">
        <v>289.678</v>
      </c>
      <c r="AN118" s="1">
        <v>290.18599999999998</v>
      </c>
      <c r="AO118" s="1"/>
      <c r="AP118" s="1">
        <f t="shared" si="43"/>
        <v>563</v>
      </c>
      <c r="AQ118" s="1">
        <f t="shared" si="44"/>
        <v>887</v>
      </c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 t="s">
        <v>162</v>
      </c>
      <c r="B119" s="1" t="s">
        <v>43</v>
      </c>
      <c r="C119" s="1">
        <v>417</v>
      </c>
      <c r="D119" s="1"/>
      <c r="E119" s="1">
        <v>59</v>
      </c>
      <c r="F119" s="1">
        <v>329</v>
      </c>
      <c r="G119" s="7">
        <v>0.25</v>
      </c>
      <c r="H119" s="1">
        <v>1096</v>
      </c>
      <c r="I119" s="1" t="s">
        <v>39</v>
      </c>
      <c r="J119" s="1"/>
      <c r="K119" s="1">
        <v>59</v>
      </c>
      <c r="L119" s="1">
        <f t="shared" si="55"/>
        <v>0</v>
      </c>
      <c r="M119" s="1"/>
      <c r="N119" s="1"/>
      <c r="O119" s="1">
        <v>0</v>
      </c>
      <c r="P119" s="1"/>
      <c r="Q119" s="1"/>
      <c r="R119" s="1">
        <v>0</v>
      </c>
      <c r="S119" s="20"/>
      <c r="T119" s="1"/>
      <c r="U119" s="20"/>
      <c r="V119" s="1">
        <f t="shared" si="56"/>
        <v>11.8</v>
      </c>
      <c r="W119" s="5"/>
      <c r="X119" s="5">
        <f t="shared" si="41"/>
        <v>0</v>
      </c>
      <c r="Y119" s="5">
        <f t="shared" si="60"/>
        <v>0</v>
      </c>
      <c r="Z119" s="5"/>
      <c r="AA119" s="1"/>
      <c r="AB119" s="1"/>
      <c r="AC119" s="1">
        <f t="shared" si="42"/>
        <v>27.881355932203387</v>
      </c>
      <c r="AD119" s="1">
        <f t="shared" si="58"/>
        <v>27.881355932203387</v>
      </c>
      <c r="AE119" s="1">
        <v>7.4</v>
      </c>
      <c r="AF119" s="1">
        <v>3.2</v>
      </c>
      <c r="AG119" s="1">
        <v>4.2</v>
      </c>
      <c r="AH119" s="1">
        <v>5.8</v>
      </c>
      <c r="AI119" s="1">
        <v>8</v>
      </c>
      <c r="AJ119" s="1">
        <v>4.2</v>
      </c>
      <c r="AK119" s="1">
        <v>0</v>
      </c>
      <c r="AL119" s="1">
        <v>0</v>
      </c>
      <c r="AM119" s="1">
        <v>0</v>
      </c>
      <c r="AN119" s="1">
        <v>23.2</v>
      </c>
      <c r="AO119" s="17" t="s">
        <v>108</v>
      </c>
      <c r="AP119" s="1">
        <f t="shared" si="43"/>
        <v>0</v>
      </c>
      <c r="AQ119" s="1">
        <f t="shared" si="44"/>
        <v>0</v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 t="s">
        <v>163</v>
      </c>
      <c r="B120" s="1" t="s">
        <v>43</v>
      </c>
      <c r="C120" s="1">
        <v>393</v>
      </c>
      <c r="D120" s="1">
        <v>50</v>
      </c>
      <c r="E120" s="1">
        <v>41</v>
      </c>
      <c r="F120" s="1">
        <v>385</v>
      </c>
      <c r="G120" s="7">
        <v>0.32500000000000001</v>
      </c>
      <c r="H120" s="1">
        <v>1096</v>
      </c>
      <c r="I120" s="1" t="s">
        <v>39</v>
      </c>
      <c r="J120" s="1"/>
      <c r="K120" s="1">
        <v>41</v>
      </c>
      <c r="L120" s="1">
        <f t="shared" si="55"/>
        <v>0</v>
      </c>
      <c r="M120" s="1"/>
      <c r="N120" s="1"/>
      <c r="O120" s="1">
        <v>0</v>
      </c>
      <c r="P120" s="1"/>
      <c r="Q120" s="1"/>
      <c r="R120" s="1">
        <v>0</v>
      </c>
      <c r="S120" s="20"/>
      <c r="T120" s="1"/>
      <c r="U120" s="20"/>
      <c r="V120" s="1">
        <f t="shared" si="56"/>
        <v>8.1999999999999993</v>
      </c>
      <c r="W120" s="5"/>
      <c r="X120" s="5">
        <f t="shared" si="41"/>
        <v>0</v>
      </c>
      <c r="Y120" s="5">
        <f t="shared" si="60"/>
        <v>0</v>
      </c>
      <c r="Z120" s="5"/>
      <c r="AA120" s="1"/>
      <c r="AB120" s="1"/>
      <c r="AC120" s="1">
        <f t="shared" si="42"/>
        <v>46.951219512195124</v>
      </c>
      <c r="AD120" s="1">
        <f t="shared" si="58"/>
        <v>46.951219512195124</v>
      </c>
      <c r="AE120" s="1">
        <v>6.8</v>
      </c>
      <c r="AF120" s="1">
        <v>4.4000000000000004</v>
      </c>
      <c r="AG120" s="1">
        <v>7</v>
      </c>
      <c r="AH120" s="1">
        <v>5.6</v>
      </c>
      <c r="AI120" s="1">
        <v>5.4</v>
      </c>
      <c r="AJ120" s="1">
        <v>3.4</v>
      </c>
      <c r="AK120" s="1">
        <v>0</v>
      </c>
      <c r="AL120" s="1">
        <v>0.4</v>
      </c>
      <c r="AM120" s="1">
        <v>3.6</v>
      </c>
      <c r="AN120" s="1">
        <v>24</v>
      </c>
      <c r="AO120" s="17" t="s">
        <v>108</v>
      </c>
      <c r="AP120" s="1">
        <f t="shared" si="43"/>
        <v>0</v>
      </c>
      <c r="AQ120" s="1">
        <f t="shared" si="44"/>
        <v>0</v>
      </c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 t="s">
        <v>164</v>
      </c>
      <c r="B121" s="1" t="s">
        <v>43</v>
      </c>
      <c r="C121" s="1">
        <v>73</v>
      </c>
      <c r="D121" s="1"/>
      <c r="E121" s="1">
        <v>62</v>
      </c>
      <c r="F121" s="1">
        <v>1</v>
      </c>
      <c r="G121" s="7">
        <v>0.25</v>
      </c>
      <c r="H121" s="1">
        <v>1096</v>
      </c>
      <c r="I121" s="1" t="s">
        <v>39</v>
      </c>
      <c r="J121" s="1"/>
      <c r="K121" s="1">
        <v>62</v>
      </c>
      <c r="L121" s="1">
        <f t="shared" si="55"/>
        <v>0</v>
      </c>
      <c r="M121" s="1"/>
      <c r="N121" s="1"/>
      <c r="O121" s="1">
        <v>200</v>
      </c>
      <c r="P121" s="1"/>
      <c r="Q121" s="1"/>
      <c r="R121" s="1">
        <v>0</v>
      </c>
      <c r="S121" s="20"/>
      <c r="T121" s="1"/>
      <c r="U121" s="20"/>
      <c r="V121" s="1">
        <f t="shared" si="56"/>
        <v>12.4</v>
      </c>
      <c r="W121" s="5"/>
      <c r="X121" s="5">
        <f t="shared" si="41"/>
        <v>0</v>
      </c>
      <c r="Y121" s="5">
        <f t="shared" si="60"/>
        <v>0</v>
      </c>
      <c r="Z121" s="5"/>
      <c r="AA121" s="1"/>
      <c r="AB121" s="1"/>
      <c r="AC121" s="1">
        <f t="shared" si="42"/>
        <v>16.20967741935484</v>
      </c>
      <c r="AD121" s="1">
        <f t="shared" si="58"/>
        <v>16.20967741935484</v>
      </c>
      <c r="AE121" s="1">
        <v>6.6</v>
      </c>
      <c r="AF121" s="1">
        <v>3.6</v>
      </c>
      <c r="AG121" s="1">
        <v>3.2</v>
      </c>
      <c r="AH121" s="1">
        <v>5.2</v>
      </c>
      <c r="AI121" s="1">
        <v>7.8</v>
      </c>
      <c r="AJ121" s="1">
        <v>6.4</v>
      </c>
      <c r="AK121" s="1">
        <v>2.6</v>
      </c>
      <c r="AL121" s="1">
        <v>0.4</v>
      </c>
      <c r="AM121" s="1">
        <v>9.4</v>
      </c>
      <c r="AN121" s="1">
        <v>29.8</v>
      </c>
      <c r="AO121" s="1" t="s">
        <v>165</v>
      </c>
      <c r="AP121" s="1">
        <f t="shared" si="43"/>
        <v>0</v>
      </c>
      <c r="AQ121" s="1">
        <f t="shared" si="44"/>
        <v>0</v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 t="s">
        <v>166</v>
      </c>
      <c r="B122" s="1" t="s">
        <v>43</v>
      </c>
      <c r="C122" s="1"/>
      <c r="D122" s="1">
        <v>144</v>
      </c>
      <c r="E122" s="1">
        <v>130</v>
      </c>
      <c r="F122" s="1"/>
      <c r="G122" s="7">
        <v>0.3</v>
      </c>
      <c r="H122" s="1">
        <v>40</v>
      </c>
      <c r="I122" s="9" t="s">
        <v>50</v>
      </c>
      <c r="J122" s="1"/>
      <c r="K122" s="1">
        <v>219</v>
      </c>
      <c r="L122" s="1">
        <f t="shared" si="55"/>
        <v>-89</v>
      </c>
      <c r="M122" s="1"/>
      <c r="N122" s="1"/>
      <c r="O122" s="1">
        <v>50</v>
      </c>
      <c r="P122" s="1">
        <v>-54</v>
      </c>
      <c r="Q122" s="1"/>
      <c r="R122" s="1">
        <v>100</v>
      </c>
      <c r="S122" s="20"/>
      <c r="T122" s="1"/>
      <c r="U122" s="20"/>
      <c r="V122" s="1">
        <f t="shared" si="56"/>
        <v>26</v>
      </c>
      <c r="W122" s="5">
        <v>100</v>
      </c>
      <c r="X122" s="5">
        <f t="shared" si="41"/>
        <v>100</v>
      </c>
      <c r="Y122" s="5">
        <f t="shared" ref="Y122:Y123" si="64">X122</f>
        <v>100</v>
      </c>
      <c r="Z122" s="5">
        <v>100</v>
      </c>
      <c r="AA122" s="1"/>
      <c r="AB122" s="1"/>
      <c r="AC122" s="1">
        <f t="shared" si="42"/>
        <v>11.384615384615385</v>
      </c>
      <c r="AD122" s="1">
        <f t="shared" si="58"/>
        <v>3.6923076923076925</v>
      </c>
      <c r="AE122" s="1">
        <v>17</v>
      </c>
      <c r="AF122" s="1">
        <v>-2.4</v>
      </c>
      <c r="AG122" s="1">
        <v>-1.4</v>
      </c>
      <c r="AH122" s="1">
        <v>-1.6</v>
      </c>
      <c r="AI122" s="1">
        <v>-1</v>
      </c>
      <c r="AJ122" s="1">
        <v>74.599999999999994</v>
      </c>
      <c r="AK122" s="1">
        <v>112.4</v>
      </c>
      <c r="AL122" s="1">
        <v>109.2</v>
      </c>
      <c r="AM122" s="1">
        <v>112</v>
      </c>
      <c r="AN122" s="1">
        <v>42.2</v>
      </c>
      <c r="AO122" s="1"/>
      <c r="AP122" s="1">
        <f t="shared" si="43"/>
        <v>30</v>
      </c>
      <c r="AQ122" s="1">
        <f t="shared" si="44"/>
        <v>30</v>
      </c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 t="s">
        <v>167</v>
      </c>
      <c r="B123" s="1" t="s">
        <v>43</v>
      </c>
      <c r="C123" s="1"/>
      <c r="D123" s="1"/>
      <c r="E123" s="1">
        <v>-17</v>
      </c>
      <c r="F123" s="1"/>
      <c r="G123" s="7">
        <v>0.3</v>
      </c>
      <c r="H123" s="1">
        <v>40</v>
      </c>
      <c r="I123" s="9" t="s">
        <v>50</v>
      </c>
      <c r="J123" s="1"/>
      <c r="K123" s="1">
        <v>16</v>
      </c>
      <c r="L123" s="1">
        <f t="shared" si="55"/>
        <v>-33</v>
      </c>
      <c r="M123" s="1"/>
      <c r="N123" s="1"/>
      <c r="O123" s="1">
        <v>50</v>
      </c>
      <c r="P123" s="1">
        <v>-54</v>
      </c>
      <c r="Q123" s="1"/>
      <c r="R123" s="1">
        <v>50</v>
      </c>
      <c r="S123" s="20"/>
      <c r="T123" s="1"/>
      <c r="U123" s="20"/>
      <c r="V123" s="1">
        <f t="shared" si="56"/>
        <v>-3.4</v>
      </c>
      <c r="W123" s="5">
        <v>40</v>
      </c>
      <c r="X123" s="5">
        <f t="shared" si="41"/>
        <v>40</v>
      </c>
      <c r="Y123" s="5">
        <f t="shared" si="64"/>
        <v>40</v>
      </c>
      <c r="Z123" s="5">
        <v>20</v>
      </c>
      <c r="AA123" s="1"/>
      <c r="AB123" s="1"/>
      <c r="AC123" s="1">
        <f t="shared" si="42"/>
        <v>-31.176470588235293</v>
      </c>
      <c r="AD123" s="1">
        <f t="shared" si="58"/>
        <v>-13.529411764705882</v>
      </c>
      <c r="AE123" s="1">
        <v>-4.2</v>
      </c>
      <c r="AF123" s="1">
        <v>-3.2</v>
      </c>
      <c r="AG123" s="1">
        <v>-1.8</v>
      </c>
      <c r="AH123" s="1">
        <v>-2.8</v>
      </c>
      <c r="AI123" s="1">
        <v>-3</v>
      </c>
      <c r="AJ123" s="1">
        <v>-2</v>
      </c>
      <c r="AK123" s="1">
        <v>-2.4</v>
      </c>
      <c r="AL123" s="1">
        <v>24.4</v>
      </c>
      <c r="AM123" s="1">
        <v>53.6</v>
      </c>
      <c r="AN123" s="1">
        <v>89.4</v>
      </c>
      <c r="AO123" s="1"/>
      <c r="AP123" s="1">
        <f t="shared" si="43"/>
        <v>12</v>
      </c>
      <c r="AQ123" s="1">
        <f t="shared" si="44"/>
        <v>6</v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 t="s">
        <v>168</v>
      </c>
      <c r="B124" s="1" t="s">
        <v>38</v>
      </c>
      <c r="C124" s="1">
        <v>423.00200000000001</v>
      </c>
      <c r="D124" s="1">
        <v>120.583</v>
      </c>
      <c r="E124" s="1">
        <v>274.51499999999999</v>
      </c>
      <c r="F124" s="1">
        <v>225.74600000000001</v>
      </c>
      <c r="G124" s="7">
        <v>1</v>
      </c>
      <c r="H124" s="1">
        <v>50</v>
      </c>
      <c r="I124" s="1" t="s">
        <v>39</v>
      </c>
      <c r="J124" s="1"/>
      <c r="K124" s="1">
        <v>272.85000000000002</v>
      </c>
      <c r="L124" s="1">
        <f t="shared" si="55"/>
        <v>1.6649999999999636</v>
      </c>
      <c r="M124" s="1"/>
      <c r="N124" s="1"/>
      <c r="O124" s="1">
        <v>114.88102000000001</v>
      </c>
      <c r="P124" s="1"/>
      <c r="Q124" s="1"/>
      <c r="R124" s="1">
        <v>117.20117999999999</v>
      </c>
      <c r="S124" s="20"/>
      <c r="T124" s="1"/>
      <c r="U124" s="20"/>
      <c r="V124" s="1">
        <f t="shared" si="56"/>
        <v>54.902999999999999</v>
      </c>
      <c r="W124" s="5">
        <f t="shared" si="62"/>
        <v>173.55629999999994</v>
      </c>
      <c r="X124" s="5">
        <f t="shared" si="41"/>
        <v>173.55629999999994</v>
      </c>
      <c r="Y124" s="5">
        <f>X124-Z124</f>
        <v>173.55629999999994</v>
      </c>
      <c r="Z124" s="5"/>
      <c r="AA124" s="1"/>
      <c r="AB124" s="1"/>
      <c r="AC124" s="1">
        <f t="shared" si="42"/>
        <v>11.5</v>
      </c>
      <c r="AD124" s="1">
        <f t="shared" si="58"/>
        <v>8.3388558002294957</v>
      </c>
      <c r="AE124" s="1">
        <v>50.931199999999997</v>
      </c>
      <c r="AF124" s="1">
        <v>40.594000000000001</v>
      </c>
      <c r="AG124" s="1">
        <v>43.313800000000001</v>
      </c>
      <c r="AH124" s="1">
        <v>51.1004</v>
      </c>
      <c r="AI124" s="1">
        <v>57.784999999999997</v>
      </c>
      <c r="AJ124" s="1">
        <v>63.404400000000003</v>
      </c>
      <c r="AK124" s="1">
        <v>59.213000000000001</v>
      </c>
      <c r="AL124" s="1">
        <v>48.825200000000002</v>
      </c>
      <c r="AM124" s="1">
        <v>45.4114</v>
      </c>
      <c r="AN124" s="1">
        <v>53.256399999999999</v>
      </c>
      <c r="AO124" s="1"/>
      <c r="AP124" s="1">
        <f t="shared" si="43"/>
        <v>174</v>
      </c>
      <c r="AQ124" s="1">
        <f t="shared" si="44"/>
        <v>0</v>
      </c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 t="s">
        <v>169</v>
      </c>
      <c r="B125" s="1" t="s">
        <v>43</v>
      </c>
      <c r="C125" s="1">
        <v>5</v>
      </c>
      <c r="D125" s="1"/>
      <c r="E125" s="1">
        <v>-3</v>
      </c>
      <c r="F125" s="1">
        <v>1</v>
      </c>
      <c r="G125" s="7">
        <v>0.3</v>
      </c>
      <c r="H125" s="1">
        <v>40</v>
      </c>
      <c r="I125" s="9" t="s">
        <v>50</v>
      </c>
      <c r="J125" s="1"/>
      <c r="K125" s="1">
        <v>98</v>
      </c>
      <c r="L125" s="1">
        <f t="shared" si="55"/>
        <v>-101</v>
      </c>
      <c r="M125" s="1"/>
      <c r="N125" s="1"/>
      <c r="O125" s="1">
        <v>100</v>
      </c>
      <c r="P125" s="1">
        <v>-102</v>
      </c>
      <c r="Q125" s="1"/>
      <c r="R125" s="1">
        <v>100</v>
      </c>
      <c r="S125" s="20"/>
      <c r="T125" s="1"/>
      <c r="U125" s="20"/>
      <c r="V125" s="1">
        <f t="shared" si="56"/>
        <v>-0.6</v>
      </c>
      <c r="W125" s="5">
        <v>100</v>
      </c>
      <c r="X125" s="5">
        <f t="shared" si="41"/>
        <v>100</v>
      </c>
      <c r="Y125" s="5">
        <f t="shared" ref="Y125:Y126" si="65">X125</f>
        <v>100</v>
      </c>
      <c r="Z125" s="5">
        <v>100</v>
      </c>
      <c r="AA125" s="1"/>
      <c r="AB125" s="1"/>
      <c r="AC125" s="1">
        <f t="shared" si="42"/>
        <v>-498.33333333333337</v>
      </c>
      <c r="AD125" s="1">
        <f t="shared" si="58"/>
        <v>-165</v>
      </c>
      <c r="AE125" s="1">
        <v>1.6</v>
      </c>
      <c r="AF125" s="1">
        <v>17.2</v>
      </c>
      <c r="AG125" s="1">
        <v>42.4</v>
      </c>
      <c r="AH125" s="1">
        <v>33.799999999999997</v>
      </c>
      <c r="AI125" s="1">
        <v>44.6</v>
      </c>
      <c r="AJ125" s="1">
        <v>75.2</v>
      </c>
      <c r="AK125" s="1">
        <v>37.6</v>
      </c>
      <c r="AL125" s="1">
        <v>25.8</v>
      </c>
      <c r="AM125" s="1">
        <v>48.8</v>
      </c>
      <c r="AN125" s="1">
        <v>63.2</v>
      </c>
      <c r="AO125" s="1"/>
      <c r="AP125" s="1">
        <f t="shared" si="43"/>
        <v>30</v>
      </c>
      <c r="AQ125" s="1">
        <f t="shared" si="44"/>
        <v>30</v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 t="s">
        <v>170</v>
      </c>
      <c r="B126" s="1" t="s">
        <v>43</v>
      </c>
      <c r="C126" s="1">
        <v>38</v>
      </c>
      <c r="D126" s="1">
        <v>45</v>
      </c>
      <c r="E126" s="1">
        <v>58</v>
      </c>
      <c r="F126" s="1">
        <v>8</v>
      </c>
      <c r="G126" s="7">
        <v>0.12</v>
      </c>
      <c r="H126" s="1">
        <v>45</v>
      </c>
      <c r="I126" s="9" t="s">
        <v>50</v>
      </c>
      <c r="J126" s="1"/>
      <c r="K126" s="1">
        <v>77</v>
      </c>
      <c r="L126" s="1">
        <f t="shared" si="55"/>
        <v>-19</v>
      </c>
      <c r="M126" s="1"/>
      <c r="N126" s="1"/>
      <c r="O126" s="1">
        <v>40</v>
      </c>
      <c r="P126" s="1">
        <v>-45.000000000000007</v>
      </c>
      <c r="Q126" s="1"/>
      <c r="R126" s="1">
        <v>50</v>
      </c>
      <c r="S126" s="20"/>
      <c r="T126" s="1"/>
      <c r="U126" s="20"/>
      <c r="V126" s="1">
        <f t="shared" si="56"/>
        <v>11.6</v>
      </c>
      <c r="W126" s="5">
        <v>40</v>
      </c>
      <c r="X126" s="5">
        <f t="shared" si="41"/>
        <v>40</v>
      </c>
      <c r="Y126" s="5">
        <f t="shared" si="65"/>
        <v>40</v>
      </c>
      <c r="Z126" s="5">
        <v>40</v>
      </c>
      <c r="AA126" s="1"/>
      <c r="AB126" s="1"/>
      <c r="AC126" s="1">
        <f t="shared" si="42"/>
        <v>11.465517241379311</v>
      </c>
      <c r="AD126" s="1">
        <f t="shared" si="58"/>
        <v>4.568965517241379</v>
      </c>
      <c r="AE126" s="1">
        <v>10.4</v>
      </c>
      <c r="AF126" s="1">
        <v>9.1999999999999993</v>
      </c>
      <c r="AG126" s="1">
        <v>12.4</v>
      </c>
      <c r="AH126" s="1">
        <v>20.6</v>
      </c>
      <c r="AI126" s="1">
        <v>19.8</v>
      </c>
      <c r="AJ126" s="1">
        <v>13.6</v>
      </c>
      <c r="AK126" s="1">
        <v>12.4</v>
      </c>
      <c r="AL126" s="1">
        <v>11.6</v>
      </c>
      <c r="AM126" s="1">
        <v>13.4</v>
      </c>
      <c r="AN126" s="1">
        <v>14.2</v>
      </c>
      <c r="AO126" s="1"/>
      <c r="AP126" s="1">
        <f t="shared" si="43"/>
        <v>5</v>
      </c>
      <c r="AQ126" s="1">
        <f t="shared" si="44"/>
        <v>5</v>
      </c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1" t="s">
        <v>171</v>
      </c>
      <c r="B127" s="11" t="s">
        <v>43</v>
      </c>
      <c r="C127" s="11">
        <v>16</v>
      </c>
      <c r="D127" s="11">
        <v>130</v>
      </c>
      <c r="E127" s="14">
        <v>72</v>
      </c>
      <c r="F127" s="14">
        <v>40</v>
      </c>
      <c r="G127" s="12">
        <v>0</v>
      </c>
      <c r="H127" s="11"/>
      <c r="I127" s="11" t="s">
        <v>172</v>
      </c>
      <c r="J127" s="11" t="s">
        <v>93</v>
      </c>
      <c r="K127" s="11">
        <v>81</v>
      </c>
      <c r="L127" s="11">
        <f t="shared" si="55"/>
        <v>-9</v>
      </c>
      <c r="M127" s="11"/>
      <c r="N127" s="11"/>
      <c r="O127" s="11">
        <v>0</v>
      </c>
      <c r="P127" s="11"/>
      <c r="Q127" s="11"/>
      <c r="R127" s="11">
        <v>0</v>
      </c>
      <c r="S127" s="22"/>
      <c r="T127" s="11"/>
      <c r="U127" s="22"/>
      <c r="V127" s="11">
        <f t="shared" si="56"/>
        <v>14.4</v>
      </c>
      <c r="W127" s="13"/>
      <c r="X127" s="5">
        <f t="shared" si="41"/>
        <v>0</v>
      </c>
      <c r="Y127" s="5">
        <f t="shared" ref="Y127:Y129" si="66">X127-Z127</f>
        <v>0</v>
      </c>
      <c r="Z127" s="5"/>
      <c r="AA127" s="1"/>
      <c r="AB127" s="1"/>
      <c r="AC127" s="1">
        <f t="shared" si="42"/>
        <v>2.7777777777777777</v>
      </c>
      <c r="AD127" s="11">
        <f t="shared" si="58"/>
        <v>2.7777777777777777</v>
      </c>
      <c r="AE127" s="11">
        <v>9.4</v>
      </c>
      <c r="AF127" s="11">
        <v>0.8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/>
      <c r="AP127" s="1">
        <f t="shared" si="43"/>
        <v>0</v>
      </c>
      <c r="AQ127" s="1">
        <f t="shared" si="44"/>
        <v>0</v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1" t="s">
        <v>173</v>
      </c>
      <c r="B128" s="11" t="s">
        <v>43</v>
      </c>
      <c r="C128" s="11">
        <v>49</v>
      </c>
      <c r="D128" s="11">
        <v>1</v>
      </c>
      <c r="E128" s="11"/>
      <c r="F128" s="11"/>
      <c r="G128" s="12">
        <v>0</v>
      </c>
      <c r="H128" s="11"/>
      <c r="I128" s="11" t="s">
        <v>172</v>
      </c>
      <c r="J128" s="11" t="s">
        <v>163</v>
      </c>
      <c r="K128" s="11">
        <v>3</v>
      </c>
      <c r="L128" s="11">
        <f t="shared" si="55"/>
        <v>-3</v>
      </c>
      <c r="M128" s="11"/>
      <c r="N128" s="11"/>
      <c r="O128" s="11">
        <v>0</v>
      </c>
      <c r="P128" s="11"/>
      <c r="Q128" s="11"/>
      <c r="R128" s="11">
        <v>0</v>
      </c>
      <c r="S128" s="22"/>
      <c r="T128" s="11"/>
      <c r="U128" s="22"/>
      <c r="V128" s="11">
        <f t="shared" si="56"/>
        <v>0</v>
      </c>
      <c r="W128" s="13"/>
      <c r="X128" s="5">
        <f t="shared" si="41"/>
        <v>0</v>
      </c>
      <c r="Y128" s="5">
        <f t="shared" si="66"/>
        <v>0</v>
      </c>
      <c r="Z128" s="5"/>
      <c r="AA128" s="1"/>
      <c r="AB128" s="1"/>
      <c r="AC128" s="1" t="e">
        <f t="shared" si="42"/>
        <v>#DIV/0!</v>
      </c>
      <c r="AD128" s="11" t="e">
        <f t="shared" si="58"/>
        <v>#DIV/0!</v>
      </c>
      <c r="AE128" s="11">
        <v>0</v>
      </c>
      <c r="AF128" s="11">
        <v>0.2</v>
      </c>
      <c r="AG128" s="11">
        <v>0.4</v>
      </c>
      <c r="AH128" s="11">
        <v>0.4</v>
      </c>
      <c r="AI128" s="11">
        <v>0.4</v>
      </c>
      <c r="AJ128" s="11">
        <v>0.2</v>
      </c>
      <c r="AK128" s="11">
        <v>0</v>
      </c>
      <c r="AL128" s="11">
        <v>0</v>
      </c>
      <c r="AM128" s="11">
        <v>0</v>
      </c>
      <c r="AN128" s="11">
        <v>1</v>
      </c>
      <c r="AO128" s="11"/>
      <c r="AP128" s="1">
        <f t="shared" si="43"/>
        <v>0</v>
      </c>
      <c r="AQ128" s="1">
        <f t="shared" si="44"/>
        <v>0</v>
      </c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1" t="s">
        <v>174</v>
      </c>
      <c r="B129" s="11" t="s">
        <v>38</v>
      </c>
      <c r="C129" s="11"/>
      <c r="D129" s="11">
        <v>96.81</v>
      </c>
      <c r="E129" s="11"/>
      <c r="F129" s="11">
        <v>96.81</v>
      </c>
      <c r="G129" s="12">
        <v>0</v>
      </c>
      <c r="H129" s="11"/>
      <c r="I129" s="11" t="s">
        <v>175</v>
      </c>
      <c r="J129" s="11"/>
      <c r="K129" s="11"/>
      <c r="L129" s="11">
        <f t="shared" si="55"/>
        <v>0</v>
      </c>
      <c r="M129" s="11"/>
      <c r="N129" s="11"/>
      <c r="O129" s="11"/>
      <c r="P129" s="11"/>
      <c r="Q129" s="11"/>
      <c r="R129" s="11">
        <v>0</v>
      </c>
      <c r="S129" s="22"/>
      <c r="T129" s="11"/>
      <c r="U129" s="22"/>
      <c r="V129" s="11">
        <f t="shared" si="56"/>
        <v>0</v>
      </c>
      <c r="W129" s="13"/>
      <c r="X129" s="5">
        <f t="shared" si="41"/>
        <v>0</v>
      </c>
      <c r="Y129" s="5">
        <f t="shared" si="66"/>
        <v>0</v>
      </c>
      <c r="Z129" s="5"/>
      <c r="AA129" s="1"/>
      <c r="AB129" s="1"/>
      <c r="AC129" s="1" t="e">
        <f t="shared" si="42"/>
        <v>#DIV/0!</v>
      </c>
      <c r="AD129" s="11" t="e">
        <f t="shared" si="58"/>
        <v>#DIV/0!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 t="s">
        <v>176</v>
      </c>
      <c r="AP129" s="1">
        <f t="shared" si="43"/>
        <v>0</v>
      </c>
      <c r="AQ129" s="1">
        <f t="shared" si="44"/>
        <v>0</v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0"/>
      <c r="T130" s="1"/>
      <c r="U130" s="20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0"/>
      <c r="T131" s="1"/>
      <c r="U131" s="20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0"/>
      <c r="T132" s="1"/>
      <c r="U132" s="20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0"/>
      <c r="T133" s="1"/>
      <c r="U133" s="20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0"/>
      <c r="T134" s="1"/>
      <c r="U134" s="20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0"/>
      <c r="T135" s="1"/>
      <c r="U135" s="20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0"/>
      <c r="T136" s="1"/>
      <c r="U136" s="20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0"/>
      <c r="T137" s="1"/>
      <c r="U137" s="20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0"/>
      <c r="T138" s="1"/>
      <c r="U138" s="20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0"/>
      <c r="T139" s="1"/>
      <c r="U139" s="20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0"/>
      <c r="T140" s="1"/>
      <c r="U140" s="20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0"/>
      <c r="T141" s="1"/>
      <c r="U141" s="20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0"/>
      <c r="T142" s="1"/>
      <c r="U142" s="20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0"/>
      <c r="T143" s="1"/>
      <c r="U143" s="20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0"/>
      <c r="T144" s="1"/>
      <c r="U144" s="20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0"/>
      <c r="T145" s="1"/>
      <c r="U145" s="20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0"/>
      <c r="T146" s="1"/>
      <c r="U146" s="20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0"/>
      <c r="T147" s="1"/>
      <c r="U147" s="20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0"/>
      <c r="T148" s="1"/>
      <c r="U148" s="20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0"/>
      <c r="T149" s="1"/>
      <c r="U149" s="20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0"/>
      <c r="T150" s="1"/>
      <c r="U150" s="20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0"/>
      <c r="T151" s="1"/>
      <c r="U151" s="20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0"/>
      <c r="T152" s="1"/>
      <c r="U152" s="20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0"/>
      <c r="T153" s="1"/>
      <c r="U153" s="20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0"/>
      <c r="T154" s="1"/>
      <c r="U154" s="20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0"/>
      <c r="T155" s="1"/>
      <c r="U155" s="20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0"/>
      <c r="T156" s="1"/>
      <c r="U156" s="20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0"/>
      <c r="T157" s="1"/>
      <c r="U157" s="20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0"/>
      <c r="T158" s="1"/>
      <c r="U158" s="20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0"/>
      <c r="T159" s="1"/>
      <c r="U159" s="20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0"/>
      <c r="T160" s="1"/>
      <c r="U160" s="20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0"/>
      <c r="T161" s="1"/>
      <c r="U161" s="20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0"/>
      <c r="T162" s="1"/>
      <c r="U162" s="20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0"/>
      <c r="T163" s="1"/>
      <c r="U163" s="20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0"/>
      <c r="T164" s="1"/>
      <c r="U164" s="20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0"/>
      <c r="T165" s="1"/>
      <c r="U165" s="20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0"/>
      <c r="T166" s="1"/>
      <c r="U166" s="20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0"/>
      <c r="T167" s="1"/>
      <c r="U167" s="20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0"/>
      <c r="T168" s="1"/>
      <c r="U168" s="20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0"/>
      <c r="T169" s="1"/>
      <c r="U169" s="20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0"/>
      <c r="T170" s="1"/>
      <c r="U170" s="20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0"/>
      <c r="T171" s="1"/>
      <c r="U171" s="20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0"/>
      <c r="T172" s="1"/>
      <c r="U172" s="20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0"/>
      <c r="T173" s="1"/>
      <c r="U173" s="20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0"/>
      <c r="T174" s="1"/>
      <c r="U174" s="20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0"/>
      <c r="T175" s="1"/>
      <c r="U175" s="20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0"/>
      <c r="T176" s="1"/>
      <c r="U176" s="20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0"/>
      <c r="T177" s="1"/>
      <c r="U177" s="20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0"/>
      <c r="T178" s="1"/>
      <c r="U178" s="20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0"/>
      <c r="T179" s="1"/>
      <c r="U179" s="20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0"/>
      <c r="T180" s="1"/>
      <c r="U180" s="20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0"/>
      <c r="T181" s="1"/>
      <c r="U181" s="20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0"/>
      <c r="T182" s="1"/>
      <c r="U182" s="20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0"/>
      <c r="T183" s="1"/>
      <c r="U183" s="20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0"/>
      <c r="T184" s="1"/>
      <c r="U184" s="20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0"/>
      <c r="T185" s="1"/>
      <c r="U185" s="20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0"/>
      <c r="T186" s="1"/>
      <c r="U186" s="20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0"/>
      <c r="T187" s="1"/>
      <c r="U187" s="20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0"/>
      <c r="T188" s="1"/>
      <c r="U188" s="20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0"/>
      <c r="T189" s="1"/>
      <c r="U189" s="20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0"/>
      <c r="T190" s="1"/>
      <c r="U190" s="20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0"/>
      <c r="T191" s="1"/>
      <c r="U191" s="20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0"/>
      <c r="T192" s="1"/>
      <c r="U192" s="20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0"/>
      <c r="T193" s="1"/>
      <c r="U193" s="20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0"/>
      <c r="T194" s="1"/>
      <c r="U194" s="20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0"/>
      <c r="T195" s="1"/>
      <c r="U195" s="20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0"/>
      <c r="T196" s="1"/>
      <c r="U196" s="20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0"/>
      <c r="T197" s="1"/>
      <c r="U197" s="20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0"/>
      <c r="T198" s="1"/>
      <c r="U198" s="20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0"/>
      <c r="T199" s="1"/>
      <c r="U199" s="20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0"/>
      <c r="T200" s="1"/>
      <c r="U200" s="20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0"/>
      <c r="T201" s="1"/>
      <c r="U201" s="20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0"/>
      <c r="T202" s="1"/>
      <c r="U202" s="20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0"/>
      <c r="T203" s="1"/>
      <c r="U203" s="20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0"/>
      <c r="T204" s="1"/>
      <c r="U204" s="20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0"/>
      <c r="T205" s="1"/>
      <c r="U205" s="20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0"/>
      <c r="T206" s="1"/>
      <c r="U206" s="20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0"/>
      <c r="T207" s="1"/>
      <c r="U207" s="20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0"/>
      <c r="T208" s="1"/>
      <c r="U208" s="20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0"/>
      <c r="T209" s="1"/>
      <c r="U209" s="20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0"/>
      <c r="T210" s="1"/>
      <c r="U210" s="20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0"/>
      <c r="T211" s="1"/>
      <c r="U211" s="20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0"/>
      <c r="T212" s="1"/>
      <c r="U212" s="20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0"/>
      <c r="T213" s="1"/>
      <c r="U213" s="20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0"/>
      <c r="T214" s="1"/>
      <c r="U214" s="20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0"/>
      <c r="T215" s="1"/>
      <c r="U215" s="20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0"/>
      <c r="T216" s="1"/>
      <c r="U216" s="20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0"/>
      <c r="T217" s="1"/>
      <c r="U217" s="20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0"/>
      <c r="T218" s="1"/>
      <c r="U218" s="20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0"/>
      <c r="T219" s="1"/>
      <c r="U219" s="20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0"/>
      <c r="T220" s="1"/>
      <c r="U220" s="20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0"/>
      <c r="T221" s="1"/>
      <c r="U221" s="20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0"/>
      <c r="T222" s="1"/>
      <c r="U222" s="20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0"/>
      <c r="T223" s="1"/>
      <c r="U223" s="20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0"/>
      <c r="T224" s="1"/>
      <c r="U224" s="20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0"/>
      <c r="T225" s="1"/>
      <c r="U225" s="20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0"/>
      <c r="T226" s="1"/>
      <c r="U226" s="20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0"/>
      <c r="T227" s="1"/>
      <c r="U227" s="20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0"/>
      <c r="T228" s="1"/>
      <c r="U228" s="20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0"/>
      <c r="T229" s="1"/>
      <c r="U229" s="20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0"/>
      <c r="T230" s="1"/>
      <c r="U230" s="20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0"/>
      <c r="T231" s="1"/>
      <c r="U231" s="20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0"/>
      <c r="T232" s="1"/>
      <c r="U232" s="20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0"/>
      <c r="T233" s="1"/>
      <c r="U233" s="20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0"/>
      <c r="T234" s="1"/>
      <c r="U234" s="20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0"/>
      <c r="T235" s="1"/>
      <c r="U235" s="20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0"/>
      <c r="T236" s="1"/>
      <c r="U236" s="20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0"/>
      <c r="T237" s="1"/>
      <c r="U237" s="20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0"/>
      <c r="T238" s="1"/>
      <c r="U238" s="20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0"/>
      <c r="T239" s="1"/>
      <c r="U239" s="20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0"/>
      <c r="T240" s="1"/>
      <c r="U240" s="20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0"/>
      <c r="T241" s="1"/>
      <c r="U241" s="20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0"/>
      <c r="T242" s="1"/>
      <c r="U242" s="20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0"/>
      <c r="T243" s="1"/>
      <c r="U243" s="20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0"/>
      <c r="T244" s="1"/>
      <c r="U244" s="20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0"/>
      <c r="T245" s="1"/>
      <c r="U245" s="20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0"/>
      <c r="T246" s="1"/>
      <c r="U246" s="20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0"/>
      <c r="T247" s="1"/>
      <c r="U247" s="20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0"/>
      <c r="T248" s="1"/>
      <c r="U248" s="20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0"/>
      <c r="T249" s="1"/>
      <c r="U249" s="20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0"/>
      <c r="T250" s="1"/>
      <c r="U250" s="20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0"/>
      <c r="T251" s="1"/>
      <c r="U251" s="20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0"/>
      <c r="T252" s="1"/>
      <c r="U252" s="20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0"/>
      <c r="T253" s="1"/>
      <c r="U253" s="20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0"/>
      <c r="T254" s="1"/>
      <c r="U254" s="20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0"/>
      <c r="T255" s="1"/>
      <c r="U255" s="20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0"/>
      <c r="T256" s="1"/>
      <c r="U256" s="20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0"/>
      <c r="T257" s="1"/>
      <c r="U257" s="20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0"/>
      <c r="T258" s="1"/>
      <c r="U258" s="20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0"/>
      <c r="T259" s="1"/>
      <c r="U259" s="20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0"/>
      <c r="T260" s="1"/>
      <c r="U260" s="20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0"/>
      <c r="T261" s="1"/>
      <c r="U261" s="20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0"/>
      <c r="T262" s="1"/>
      <c r="U262" s="20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0"/>
      <c r="T263" s="1"/>
      <c r="U263" s="20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0"/>
      <c r="T264" s="1"/>
      <c r="U264" s="20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0"/>
      <c r="T265" s="1"/>
      <c r="U265" s="20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0"/>
      <c r="T266" s="1"/>
      <c r="U266" s="20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0"/>
      <c r="T267" s="1"/>
      <c r="U267" s="20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0"/>
      <c r="T268" s="1"/>
      <c r="U268" s="20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0"/>
      <c r="T269" s="1"/>
      <c r="U269" s="20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0"/>
      <c r="T270" s="1"/>
      <c r="U270" s="20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0"/>
      <c r="T271" s="1"/>
      <c r="U271" s="20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0"/>
      <c r="T272" s="1"/>
      <c r="U272" s="20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0"/>
      <c r="T273" s="1"/>
      <c r="U273" s="20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0"/>
      <c r="T274" s="1"/>
      <c r="U274" s="20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0"/>
      <c r="T275" s="1"/>
      <c r="U275" s="20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0"/>
      <c r="T276" s="1"/>
      <c r="U276" s="20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0"/>
      <c r="T277" s="1"/>
      <c r="U277" s="20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0"/>
      <c r="T278" s="1"/>
      <c r="U278" s="20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0"/>
      <c r="T279" s="1"/>
      <c r="U279" s="20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0"/>
      <c r="T280" s="1"/>
      <c r="U280" s="20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0"/>
      <c r="T281" s="1"/>
      <c r="U281" s="20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0"/>
      <c r="T282" s="1"/>
      <c r="U282" s="20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0"/>
      <c r="T283" s="1"/>
      <c r="U283" s="20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0"/>
      <c r="T284" s="1"/>
      <c r="U284" s="20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0"/>
      <c r="T285" s="1"/>
      <c r="U285" s="20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0"/>
      <c r="T286" s="1"/>
      <c r="U286" s="20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0"/>
      <c r="T287" s="1"/>
      <c r="U287" s="20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0"/>
      <c r="T288" s="1"/>
      <c r="U288" s="20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0"/>
      <c r="T289" s="1"/>
      <c r="U289" s="20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0"/>
      <c r="T290" s="1"/>
      <c r="U290" s="20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0"/>
      <c r="T291" s="1"/>
      <c r="U291" s="20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0"/>
      <c r="T292" s="1"/>
      <c r="U292" s="20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0"/>
      <c r="T293" s="1"/>
      <c r="U293" s="20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0"/>
      <c r="T294" s="1"/>
      <c r="U294" s="20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0"/>
      <c r="T295" s="1"/>
      <c r="U295" s="20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0"/>
      <c r="T296" s="1"/>
      <c r="U296" s="20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0"/>
      <c r="T297" s="1"/>
      <c r="U297" s="20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0"/>
      <c r="T298" s="1"/>
      <c r="U298" s="20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0"/>
      <c r="T299" s="1"/>
      <c r="U299" s="20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0"/>
      <c r="T300" s="1"/>
      <c r="U300" s="20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0"/>
      <c r="T301" s="1"/>
      <c r="U301" s="20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0"/>
      <c r="T302" s="1"/>
      <c r="U302" s="20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0"/>
      <c r="T303" s="1"/>
      <c r="U303" s="20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0"/>
      <c r="T304" s="1"/>
      <c r="U304" s="20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0"/>
      <c r="T305" s="1"/>
      <c r="U305" s="20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0"/>
      <c r="T306" s="1"/>
      <c r="U306" s="20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0"/>
      <c r="T307" s="1"/>
      <c r="U307" s="20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0"/>
      <c r="T308" s="1"/>
      <c r="U308" s="20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0"/>
      <c r="T309" s="1"/>
      <c r="U309" s="20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0"/>
      <c r="T310" s="1"/>
      <c r="U310" s="20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0"/>
      <c r="T311" s="1"/>
      <c r="U311" s="20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0"/>
      <c r="T312" s="1"/>
      <c r="U312" s="20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0"/>
      <c r="T313" s="1"/>
      <c r="U313" s="20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0"/>
      <c r="T314" s="1"/>
      <c r="U314" s="20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0"/>
      <c r="T315" s="1"/>
      <c r="U315" s="20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0"/>
      <c r="T316" s="1"/>
      <c r="U316" s="20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0"/>
      <c r="T317" s="1"/>
      <c r="U317" s="20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0"/>
      <c r="T318" s="1"/>
      <c r="U318" s="20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0"/>
      <c r="T319" s="1"/>
      <c r="U319" s="20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0"/>
      <c r="T320" s="1"/>
      <c r="U320" s="20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0"/>
      <c r="T321" s="1"/>
      <c r="U321" s="20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0"/>
      <c r="T322" s="1"/>
      <c r="U322" s="20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0"/>
      <c r="T323" s="1"/>
      <c r="U323" s="20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0"/>
      <c r="T324" s="1"/>
      <c r="U324" s="20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0"/>
      <c r="T325" s="1"/>
      <c r="U325" s="20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0"/>
      <c r="T326" s="1"/>
      <c r="U326" s="20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0"/>
      <c r="T327" s="1"/>
      <c r="U327" s="20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0"/>
      <c r="T328" s="1"/>
      <c r="U328" s="20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0"/>
      <c r="T329" s="1"/>
      <c r="U329" s="20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0"/>
      <c r="T330" s="1"/>
      <c r="U330" s="20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0"/>
      <c r="T331" s="1"/>
      <c r="U331" s="20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0"/>
      <c r="T332" s="1"/>
      <c r="U332" s="20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0"/>
      <c r="T333" s="1"/>
      <c r="U333" s="20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0"/>
      <c r="T334" s="1"/>
      <c r="U334" s="20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0"/>
      <c r="T335" s="1"/>
      <c r="U335" s="20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0"/>
      <c r="T336" s="1"/>
      <c r="U336" s="20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0"/>
      <c r="T337" s="1"/>
      <c r="U337" s="20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0"/>
      <c r="T338" s="1"/>
      <c r="U338" s="20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0"/>
      <c r="T339" s="1"/>
      <c r="U339" s="20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0"/>
      <c r="T340" s="1"/>
      <c r="U340" s="20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0"/>
      <c r="T341" s="1"/>
      <c r="U341" s="20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0"/>
      <c r="T342" s="1"/>
      <c r="U342" s="20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0"/>
      <c r="T343" s="1"/>
      <c r="U343" s="20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0"/>
      <c r="T344" s="1"/>
      <c r="U344" s="20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0"/>
      <c r="T345" s="1"/>
      <c r="U345" s="20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0"/>
      <c r="T346" s="1"/>
      <c r="U346" s="20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0"/>
      <c r="T347" s="1"/>
      <c r="U347" s="20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0"/>
      <c r="T348" s="1"/>
      <c r="U348" s="20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0"/>
      <c r="T349" s="1"/>
      <c r="U349" s="20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0"/>
      <c r="T350" s="1"/>
      <c r="U350" s="20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0"/>
      <c r="T351" s="1"/>
      <c r="U351" s="20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0"/>
      <c r="T352" s="1"/>
      <c r="U352" s="20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0"/>
      <c r="T353" s="1"/>
      <c r="U353" s="20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0"/>
      <c r="T354" s="1"/>
      <c r="U354" s="20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0"/>
      <c r="T355" s="1"/>
      <c r="U355" s="20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0"/>
      <c r="T356" s="1"/>
      <c r="U356" s="20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0"/>
      <c r="T357" s="1"/>
      <c r="U357" s="20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0"/>
      <c r="T358" s="1"/>
      <c r="U358" s="20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0"/>
      <c r="T359" s="1"/>
      <c r="U359" s="20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0"/>
      <c r="T360" s="1"/>
      <c r="U360" s="20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0"/>
      <c r="T361" s="1"/>
      <c r="U361" s="20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0"/>
      <c r="T362" s="1"/>
      <c r="U362" s="20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0"/>
      <c r="T363" s="1"/>
      <c r="U363" s="20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0"/>
      <c r="T364" s="1"/>
      <c r="U364" s="20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0"/>
      <c r="T365" s="1"/>
      <c r="U365" s="20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0"/>
      <c r="T366" s="1"/>
      <c r="U366" s="20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0"/>
      <c r="T367" s="1"/>
      <c r="U367" s="20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0"/>
      <c r="T368" s="1"/>
      <c r="U368" s="20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0"/>
      <c r="T369" s="1"/>
      <c r="U369" s="20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0"/>
      <c r="T370" s="1"/>
      <c r="U370" s="20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0"/>
      <c r="T371" s="1"/>
      <c r="U371" s="20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0"/>
      <c r="T372" s="1"/>
      <c r="U372" s="20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0"/>
      <c r="T373" s="1"/>
      <c r="U373" s="20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0"/>
      <c r="T374" s="1"/>
      <c r="U374" s="20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0"/>
      <c r="T375" s="1"/>
      <c r="U375" s="20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0"/>
      <c r="T376" s="1"/>
      <c r="U376" s="20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0"/>
      <c r="T377" s="1"/>
      <c r="U377" s="20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0"/>
      <c r="T378" s="1"/>
      <c r="U378" s="20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0"/>
      <c r="T379" s="1"/>
      <c r="U379" s="20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0"/>
      <c r="T380" s="1"/>
      <c r="U380" s="20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0"/>
      <c r="T381" s="1"/>
      <c r="U381" s="20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0"/>
      <c r="T382" s="1"/>
      <c r="U382" s="20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0"/>
      <c r="T383" s="1"/>
      <c r="U383" s="20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0"/>
      <c r="T384" s="1"/>
      <c r="U384" s="20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0"/>
      <c r="T385" s="1"/>
      <c r="U385" s="20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0"/>
      <c r="T386" s="1"/>
      <c r="U386" s="20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0"/>
      <c r="T387" s="1"/>
      <c r="U387" s="20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0"/>
      <c r="T388" s="1"/>
      <c r="U388" s="20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0"/>
      <c r="T389" s="1"/>
      <c r="U389" s="20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0"/>
      <c r="T390" s="1"/>
      <c r="U390" s="20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0"/>
      <c r="T391" s="1"/>
      <c r="U391" s="20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0"/>
      <c r="T392" s="1"/>
      <c r="U392" s="20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0"/>
      <c r="T393" s="1"/>
      <c r="U393" s="20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0"/>
      <c r="T394" s="1"/>
      <c r="U394" s="20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0"/>
      <c r="T395" s="1"/>
      <c r="U395" s="20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0"/>
      <c r="T396" s="1"/>
      <c r="U396" s="20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0"/>
      <c r="T397" s="1"/>
      <c r="U397" s="20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0"/>
      <c r="T398" s="1"/>
      <c r="U398" s="20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0"/>
      <c r="T399" s="1"/>
      <c r="U399" s="20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0"/>
      <c r="T400" s="1"/>
      <c r="U400" s="20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0"/>
      <c r="T401" s="1"/>
      <c r="U401" s="20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0"/>
      <c r="T402" s="1"/>
      <c r="U402" s="20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0"/>
      <c r="T403" s="1"/>
      <c r="U403" s="20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0"/>
      <c r="T404" s="1"/>
      <c r="U404" s="20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0"/>
      <c r="T405" s="1"/>
      <c r="U405" s="20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0"/>
      <c r="T406" s="1"/>
      <c r="U406" s="20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0"/>
      <c r="T407" s="1"/>
      <c r="U407" s="20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0"/>
      <c r="T408" s="1"/>
      <c r="U408" s="20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0"/>
      <c r="T409" s="1"/>
      <c r="U409" s="20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0"/>
      <c r="T410" s="1"/>
      <c r="U410" s="20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0"/>
      <c r="T411" s="1"/>
      <c r="U411" s="20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0"/>
      <c r="T412" s="1"/>
      <c r="U412" s="20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0"/>
      <c r="T413" s="1"/>
      <c r="U413" s="20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0"/>
      <c r="T414" s="1"/>
      <c r="U414" s="20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0"/>
      <c r="T415" s="1"/>
      <c r="U415" s="20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0"/>
      <c r="T416" s="1"/>
      <c r="U416" s="20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0"/>
      <c r="T417" s="1"/>
      <c r="U417" s="20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0"/>
      <c r="T418" s="1"/>
      <c r="U418" s="20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0"/>
      <c r="T419" s="1"/>
      <c r="U419" s="20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0"/>
      <c r="T420" s="1"/>
      <c r="U420" s="20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0"/>
      <c r="T421" s="1"/>
      <c r="U421" s="20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0"/>
      <c r="T422" s="1"/>
      <c r="U422" s="20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0"/>
      <c r="T423" s="1"/>
      <c r="U423" s="20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0"/>
      <c r="T424" s="1"/>
      <c r="U424" s="20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0"/>
      <c r="T425" s="1"/>
      <c r="U425" s="20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0"/>
      <c r="T426" s="1"/>
      <c r="U426" s="20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0"/>
      <c r="T427" s="1"/>
      <c r="U427" s="20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0"/>
      <c r="T428" s="1"/>
      <c r="U428" s="20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0"/>
      <c r="T429" s="1"/>
      <c r="U429" s="20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0"/>
      <c r="T430" s="1"/>
      <c r="U430" s="20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0"/>
      <c r="T431" s="1"/>
      <c r="U431" s="20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0"/>
      <c r="T432" s="1"/>
      <c r="U432" s="20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0"/>
      <c r="T433" s="1"/>
      <c r="U433" s="20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0"/>
      <c r="T434" s="1"/>
      <c r="U434" s="20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0"/>
      <c r="T435" s="1"/>
      <c r="U435" s="20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0"/>
      <c r="T436" s="1"/>
      <c r="U436" s="20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0"/>
      <c r="T437" s="1"/>
      <c r="U437" s="20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0"/>
      <c r="T438" s="1"/>
      <c r="U438" s="20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0"/>
      <c r="T439" s="1"/>
      <c r="U439" s="20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0"/>
      <c r="T440" s="1"/>
      <c r="U440" s="20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0"/>
      <c r="T441" s="1"/>
      <c r="U441" s="20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0"/>
      <c r="T442" s="1"/>
      <c r="U442" s="20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0"/>
      <c r="T443" s="1"/>
      <c r="U443" s="20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0"/>
      <c r="T444" s="1"/>
      <c r="U444" s="20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0"/>
      <c r="T445" s="1"/>
      <c r="U445" s="20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0"/>
      <c r="T446" s="1"/>
      <c r="U446" s="20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0"/>
      <c r="T447" s="1"/>
      <c r="U447" s="20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0"/>
      <c r="T448" s="1"/>
      <c r="U448" s="20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0"/>
      <c r="T449" s="1"/>
      <c r="U449" s="20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0"/>
      <c r="T450" s="1"/>
      <c r="U450" s="20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0"/>
      <c r="T451" s="1"/>
      <c r="U451" s="20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0"/>
      <c r="T452" s="1"/>
      <c r="U452" s="20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0"/>
      <c r="T453" s="1"/>
      <c r="U453" s="20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0"/>
      <c r="T454" s="1"/>
      <c r="U454" s="20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0"/>
      <c r="T455" s="1"/>
      <c r="U455" s="20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0"/>
      <c r="T456" s="1"/>
      <c r="U456" s="20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0"/>
      <c r="T457" s="1"/>
      <c r="U457" s="20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0"/>
      <c r="T458" s="1"/>
      <c r="U458" s="20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0"/>
      <c r="T459" s="1"/>
      <c r="U459" s="20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0"/>
      <c r="T460" s="1"/>
      <c r="U460" s="20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0"/>
      <c r="T461" s="1"/>
      <c r="U461" s="20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0"/>
      <c r="T462" s="1"/>
      <c r="U462" s="20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0"/>
      <c r="T463" s="1"/>
      <c r="U463" s="20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0"/>
      <c r="T464" s="1"/>
      <c r="U464" s="20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0"/>
      <c r="T465" s="1"/>
      <c r="U465" s="20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0"/>
      <c r="T466" s="1"/>
      <c r="U466" s="20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0"/>
      <c r="T467" s="1"/>
      <c r="U467" s="20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0"/>
      <c r="T468" s="1"/>
      <c r="U468" s="20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0"/>
      <c r="T469" s="1"/>
      <c r="U469" s="20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0"/>
      <c r="T470" s="1"/>
      <c r="U470" s="20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0"/>
      <c r="T471" s="1"/>
      <c r="U471" s="20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0"/>
      <c r="T472" s="1"/>
      <c r="U472" s="20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0"/>
      <c r="T473" s="1"/>
      <c r="U473" s="20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0"/>
      <c r="T474" s="1"/>
      <c r="U474" s="20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0"/>
      <c r="T475" s="1"/>
      <c r="U475" s="20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0"/>
      <c r="T476" s="1"/>
      <c r="U476" s="20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0"/>
      <c r="T477" s="1"/>
      <c r="U477" s="20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0"/>
      <c r="T478" s="1"/>
      <c r="U478" s="20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0"/>
      <c r="T479" s="1"/>
      <c r="U479" s="20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0"/>
      <c r="T480" s="1"/>
      <c r="U480" s="20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0"/>
      <c r="T481" s="1"/>
      <c r="U481" s="20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0"/>
      <c r="T482" s="1"/>
      <c r="U482" s="20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0"/>
      <c r="T483" s="1"/>
      <c r="U483" s="20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0"/>
      <c r="T484" s="1"/>
      <c r="U484" s="20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0"/>
      <c r="T485" s="1"/>
      <c r="U485" s="20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0"/>
      <c r="T486" s="1"/>
      <c r="U486" s="20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0"/>
      <c r="T487" s="1"/>
      <c r="U487" s="20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0"/>
      <c r="T488" s="1"/>
      <c r="U488" s="20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0"/>
      <c r="T489" s="1"/>
      <c r="U489" s="20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0"/>
      <c r="T490" s="1"/>
      <c r="U490" s="20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0"/>
      <c r="T491" s="1"/>
      <c r="U491" s="20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0"/>
      <c r="T492" s="1"/>
      <c r="U492" s="20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0"/>
      <c r="T493" s="1"/>
      <c r="U493" s="20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0"/>
      <c r="T494" s="1"/>
      <c r="U494" s="20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0"/>
      <c r="T495" s="1"/>
      <c r="U495" s="20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0"/>
      <c r="T496" s="1"/>
      <c r="U496" s="20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0"/>
      <c r="T497" s="1"/>
      <c r="U497" s="20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0"/>
      <c r="T498" s="1"/>
      <c r="U498" s="20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0"/>
      <c r="T499" s="1"/>
      <c r="U499" s="20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</sheetData>
  <autoFilter ref="A3:AP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2026-09-10T13:03:48Z</dcterms:created>
  <dcterms:modified xsi:type="dcterms:W3CDTF">2026-09-13T07:39:59Z</dcterms:modified>
</cp:coreProperties>
</file>