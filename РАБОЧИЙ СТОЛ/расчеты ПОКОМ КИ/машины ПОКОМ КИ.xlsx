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AA18680F-5213-4193-88C5-A04CFE64045E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4" i="1" l="1"/>
  <c r="Q5" i="1"/>
  <c r="Q6" i="1"/>
  <c r="Q7" i="1"/>
  <c r="Q3" i="1"/>
  <c r="Q8" i="1" l="1"/>
  <c r="P8" i="1"/>
  <c r="O8" i="1"/>
  <c r="N8" i="1"/>
  <c r="C8" i="1" l="1"/>
  <c r="D8" i="1"/>
  <c r="E8" i="1" l="1"/>
  <c r="F8" i="1" l="1"/>
  <c r="G8" i="1"/>
  <c r="H8" i="1"/>
  <c r="I8" i="1"/>
  <c r="J8" i="1"/>
  <c r="K8" i="1"/>
  <c r="L8" i="1"/>
  <c r="M8" i="1"/>
  <c r="B8" i="1" l="1"/>
</calcChain>
</file>

<file path=xl/sharedStrings.xml><?xml version="1.0" encoding="utf-8"?>
<sst xmlns="http://schemas.openxmlformats.org/spreadsheetml/2006/main" count="36" uniqueCount="21">
  <si>
    <t>Бердянск</t>
  </si>
  <si>
    <t>Донецк</t>
  </si>
  <si>
    <t>Луганск</t>
  </si>
  <si>
    <t>Мелитополь</t>
  </si>
  <si>
    <t>ПОЛУЧАТЕЛЬ</t>
  </si>
  <si>
    <t>Остаток</t>
  </si>
  <si>
    <t>ИТОГОВЫЕ ДАННЫЕ</t>
  </si>
  <si>
    <t>нетто</t>
  </si>
  <si>
    <t>брутто</t>
  </si>
  <si>
    <t>паллеты</t>
  </si>
  <si>
    <t>НПК ЛП</t>
  </si>
  <si>
    <t>ВЕС НЕТТО</t>
  </si>
  <si>
    <t>ВЕС БРУТТО</t>
  </si>
  <si>
    <t>ПАЛЛЕТЫ</t>
  </si>
  <si>
    <t>1 машина на 03,08</t>
  </si>
  <si>
    <t>2 машина на 03,08</t>
  </si>
  <si>
    <t>1 машина на 04,08</t>
  </si>
  <si>
    <t>2 машина на 04,08</t>
  </si>
  <si>
    <t>СЫРЫ</t>
  </si>
  <si>
    <t>НВ</t>
  </si>
  <si>
    <t>НВ_ЛП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</si>
</sst>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1" fillId="0" borderId="21" xfId="0" applyFont="1" applyBorder="1"/>
    <xf numFmtId="0" fontId="1" fillId="0" borderId="22" xfId="0" applyFont="1" applyBorder="1"/>
    <xf numFmtId="0" fontId="1" fillId="0" borderId="23" xfId="0" applyFont="1" applyBorder="1"/>
    <xf numFmtId="0" fontId="1" fillId="0" borderId="24" xfId="0" applyFont="1" applyBorder="1"/>
    <xf numFmtId="0" fontId="1" fillId="0" borderId="25" xfId="0" applyFont="1" applyBorder="1"/>
    <xf numFmtId="0" fontId="1" fillId="2" borderId="8" xfId="0" applyFont="1" applyFill="1" applyBorder="1" applyAlignment="1">
      <alignment wrapText="1"/>
    </xf>
    <xf numFmtId="0" fontId="1" fillId="2" borderId="9" xfId="0" applyFont="1" applyFill="1" applyBorder="1" applyAlignment="1">
      <alignment wrapText="1"/>
    </xf>
    <xf numFmtId="0" fontId="1" fillId="2" borderId="10" xfId="0" applyFont="1" applyFill="1" applyBorder="1" applyAlignment="1">
      <alignment wrapText="1"/>
    </xf>
    <xf numFmtId="0" fontId="0" fillId="0" borderId="11" xfId="0" applyFill="1" applyBorder="1"/>
    <xf numFmtId="0" fontId="0" fillId="0" borderId="2" xfId="0" applyFill="1" applyBorder="1"/>
    <xf numFmtId="0" fontId="0" fillId="0" borderId="12" xfId="0" applyFill="1" applyBorder="1"/>
    <xf numFmtId="0" fontId="0" fillId="0" borderId="6" xfId="0" applyFill="1" applyBorder="1"/>
    <xf numFmtId="0" fontId="0" fillId="0" borderId="1" xfId="0" applyFill="1" applyBorder="1"/>
    <xf numFmtId="0" fontId="0" fillId="0" borderId="7" xfId="0" applyFill="1" applyBorder="1"/>
    <xf numFmtId="0" fontId="0" fillId="0" borderId="18" xfId="0" applyFill="1" applyBorder="1"/>
    <xf numFmtId="0" fontId="0" fillId="0" borderId="19" xfId="0" applyFill="1" applyBorder="1"/>
    <xf numFmtId="0" fontId="0" fillId="0" borderId="20" xfId="0" applyFill="1" applyBorder="1"/>
    <xf numFmtId="0" fontId="0" fillId="3" borderId="18" xfId="0" applyFill="1" applyBorder="1"/>
    <xf numFmtId="0" fontId="0" fillId="3" borderId="6" xfId="0" applyFill="1" applyBorder="1"/>
    <xf numFmtId="0" fontId="0" fillId="4" borderId="11" xfId="0" applyFill="1" applyBorder="1"/>
    <xf numFmtId="0" fontId="0" fillId="4" borderId="6" xfId="0" applyFill="1" applyBorder="1"/>
    <xf numFmtId="0" fontId="1" fillId="2" borderId="15" xfId="0" applyFont="1" applyFill="1" applyBorder="1" applyAlignment="1">
      <alignment horizontal="center" wrapText="1"/>
    </xf>
    <xf numFmtId="0" fontId="1" fillId="2" borderId="16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" fillId="2" borderId="13" xfId="0" applyFont="1" applyFill="1" applyBorder="1" applyAlignment="1">
      <alignment horizontal="center" wrapText="1"/>
    </xf>
    <xf numFmtId="0" fontId="1" fillId="2" borderId="14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4"/>
  <sheetViews>
    <sheetView tabSelected="1" zoomScale="115" zoomScaleNormal="115" workbookViewId="0">
      <selection activeCell="R16" sqref="R16"/>
    </sheetView>
  </sheetViews>
  <sheetFormatPr defaultRowHeight="15" x14ac:dyDescent="0.25"/>
  <cols>
    <col min="1" max="1" width="23.7109375" bestFit="1" customWidth="1"/>
    <col min="2" max="2" width="7.42578125" customWidth="1"/>
    <col min="3" max="3" width="8.140625" customWidth="1"/>
    <col min="4" max="4" width="6.5703125" customWidth="1"/>
    <col min="5" max="6" width="7.28515625" customWidth="1"/>
    <col min="7" max="7" width="6" customWidth="1"/>
    <col min="8" max="9" width="7.28515625" customWidth="1"/>
    <col min="10" max="10" width="6" customWidth="1"/>
    <col min="11" max="12" width="7.28515625" customWidth="1"/>
    <col min="13" max="13" width="6" customWidth="1"/>
    <col min="14" max="15" width="7.28515625" customWidth="1"/>
    <col min="16" max="16" width="6" customWidth="1"/>
    <col min="17" max="17" width="8.140625" bestFit="1" customWidth="1"/>
  </cols>
  <sheetData>
    <row r="1" spans="1:17" ht="15" customHeight="1" x14ac:dyDescent="0.25">
      <c r="A1" s="35" t="s">
        <v>4</v>
      </c>
      <c r="B1" s="37" t="s">
        <v>11</v>
      </c>
      <c r="C1" s="37" t="s">
        <v>12</v>
      </c>
      <c r="D1" s="37" t="s">
        <v>13</v>
      </c>
      <c r="E1" s="35" t="s">
        <v>14</v>
      </c>
      <c r="F1" s="39"/>
      <c r="G1" s="40"/>
      <c r="H1" s="35" t="s">
        <v>15</v>
      </c>
      <c r="I1" s="39"/>
      <c r="J1" s="40"/>
      <c r="K1" s="35" t="s">
        <v>16</v>
      </c>
      <c r="L1" s="39"/>
      <c r="M1" s="40"/>
      <c r="N1" s="35" t="s">
        <v>17</v>
      </c>
      <c r="O1" s="39"/>
      <c r="P1" s="40"/>
      <c r="Q1" s="33" t="s">
        <v>5</v>
      </c>
    </row>
    <row r="2" spans="1:17" ht="30.75" thickBot="1" x14ac:dyDescent="0.3">
      <c r="A2" s="36"/>
      <c r="B2" s="38"/>
      <c r="C2" s="38"/>
      <c r="D2" s="38"/>
      <c r="E2" s="17" t="s">
        <v>7</v>
      </c>
      <c r="F2" s="18" t="s">
        <v>8</v>
      </c>
      <c r="G2" s="19" t="s">
        <v>9</v>
      </c>
      <c r="H2" s="17" t="s">
        <v>7</v>
      </c>
      <c r="I2" s="18" t="s">
        <v>8</v>
      </c>
      <c r="J2" s="19" t="s">
        <v>9</v>
      </c>
      <c r="K2" s="17" t="s">
        <v>7</v>
      </c>
      <c r="L2" s="18" t="s">
        <v>8</v>
      </c>
      <c r="M2" s="19" t="s">
        <v>9</v>
      </c>
      <c r="N2" s="17" t="s">
        <v>7</v>
      </c>
      <c r="O2" s="18" t="s">
        <v>8</v>
      </c>
      <c r="P2" s="19" t="s">
        <v>9</v>
      </c>
      <c r="Q2" s="34"/>
    </row>
    <row r="3" spans="1:17" x14ac:dyDescent="0.25">
      <c r="A3" s="31" t="s">
        <v>0</v>
      </c>
      <c r="B3" s="20">
        <v>5142</v>
      </c>
      <c r="C3" s="21">
        <v>5920</v>
      </c>
      <c r="D3" s="22">
        <v>10</v>
      </c>
      <c r="E3" s="20">
        <v>5142</v>
      </c>
      <c r="F3" s="21">
        <v>5920</v>
      </c>
      <c r="G3" s="22">
        <v>10</v>
      </c>
      <c r="H3" s="6"/>
      <c r="I3" s="3"/>
      <c r="J3" s="7"/>
      <c r="K3" s="6"/>
      <c r="L3" s="3"/>
      <c r="M3" s="7"/>
      <c r="N3" s="6"/>
      <c r="O3" s="3"/>
      <c r="P3" s="7"/>
      <c r="Q3" s="8">
        <f>B3-E3-H3-K3-N3</f>
        <v>0</v>
      </c>
    </row>
    <row r="4" spans="1:17" x14ac:dyDescent="0.25">
      <c r="A4" s="30" t="s">
        <v>1</v>
      </c>
      <c r="B4" s="23">
        <v>29379</v>
      </c>
      <c r="C4" s="24"/>
      <c r="D4" s="25"/>
      <c r="E4" s="23"/>
      <c r="F4" s="24"/>
      <c r="G4" s="25"/>
      <c r="H4" s="4">
        <v>12664</v>
      </c>
      <c r="I4" s="2">
        <v>14447</v>
      </c>
      <c r="J4" s="5">
        <v>25</v>
      </c>
      <c r="K4" s="4">
        <v>16715</v>
      </c>
      <c r="L4" s="2"/>
      <c r="M4" s="5"/>
      <c r="N4" s="4"/>
      <c r="O4" s="2"/>
      <c r="P4" s="5"/>
      <c r="Q4" s="8">
        <f t="shared" ref="Q4:Q7" si="0">B4-E4-H4-K4-N4</f>
        <v>0</v>
      </c>
    </row>
    <row r="5" spans="1:17" x14ac:dyDescent="0.25">
      <c r="A5" s="4" t="s">
        <v>2</v>
      </c>
      <c r="B5" s="23">
        <v>16703</v>
      </c>
      <c r="C5" s="24">
        <v>18820</v>
      </c>
      <c r="D5" s="25">
        <v>32</v>
      </c>
      <c r="E5" s="23"/>
      <c r="F5" s="24"/>
      <c r="G5" s="25"/>
      <c r="H5" s="4"/>
      <c r="I5" s="2"/>
      <c r="J5" s="5"/>
      <c r="K5" s="4"/>
      <c r="L5" s="2"/>
      <c r="M5" s="5"/>
      <c r="N5" s="23">
        <v>16703</v>
      </c>
      <c r="O5" s="24">
        <v>18820</v>
      </c>
      <c r="P5" s="25">
        <v>32</v>
      </c>
      <c r="Q5" s="8">
        <f t="shared" si="0"/>
        <v>0</v>
      </c>
    </row>
    <row r="6" spans="1:17" x14ac:dyDescent="0.25">
      <c r="A6" s="32" t="s">
        <v>3</v>
      </c>
      <c r="B6" s="23">
        <v>11551</v>
      </c>
      <c r="C6" s="24">
        <v>12823</v>
      </c>
      <c r="D6" s="25">
        <v>20</v>
      </c>
      <c r="E6" s="23">
        <v>11551</v>
      </c>
      <c r="F6" s="24">
        <v>12823</v>
      </c>
      <c r="G6" s="25">
        <v>20</v>
      </c>
      <c r="H6" s="4"/>
      <c r="I6" s="2"/>
      <c r="J6" s="5"/>
      <c r="K6" s="4"/>
      <c r="L6" s="2"/>
      <c r="M6" s="5"/>
      <c r="N6" s="4"/>
      <c r="O6" s="2"/>
      <c r="P6" s="5"/>
      <c r="Q6" s="8">
        <f t="shared" si="0"/>
        <v>0</v>
      </c>
    </row>
    <row r="7" spans="1:17" ht="15.75" thickBot="1" x14ac:dyDescent="0.3">
      <c r="A7" s="29" t="s">
        <v>10</v>
      </c>
      <c r="B7" s="26">
        <v>4730</v>
      </c>
      <c r="C7" s="27">
        <v>5393</v>
      </c>
      <c r="D7" s="28">
        <v>9</v>
      </c>
      <c r="E7" s="26"/>
      <c r="F7" s="27"/>
      <c r="G7" s="28"/>
      <c r="H7" s="9">
        <v>4730</v>
      </c>
      <c r="I7" s="27">
        <v>5393</v>
      </c>
      <c r="J7" s="28">
        <v>9</v>
      </c>
      <c r="K7" s="9"/>
      <c r="L7" s="10"/>
      <c r="M7" s="11"/>
      <c r="N7" s="9"/>
      <c r="O7" s="10"/>
      <c r="P7" s="11"/>
      <c r="Q7" s="8">
        <f t="shared" si="0"/>
        <v>0</v>
      </c>
    </row>
    <row r="8" spans="1:17" s="1" customFormat="1" ht="15.75" thickBot="1" x14ac:dyDescent="0.3">
      <c r="A8" s="12" t="s">
        <v>6</v>
      </c>
      <c r="B8" s="13">
        <f t="shared" ref="B8:Q8" si="1">SUM(B3:B7)</f>
        <v>67505</v>
      </c>
      <c r="C8" s="13">
        <f t="shared" si="1"/>
        <v>42956</v>
      </c>
      <c r="D8" s="13">
        <f t="shared" si="1"/>
        <v>71</v>
      </c>
      <c r="E8" s="12">
        <f t="shared" si="1"/>
        <v>16693</v>
      </c>
      <c r="F8" s="14">
        <f t="shared" si="1"/>
        <v>18743</v>
      </c>
      <c r="G8" s="15">
        <f t="shared" si="1"/>
        <v>30</v>
      </c>
      <c r="H8" s="12">
        <f t="shared" si="1"/>
        <v>17394</v>
      </c>
      <c r="I8" s="14">
        <f t="shared" si="1"/>
        <v>19840</v>
      </c>
      <c r="J8" s="15">
        <f t="shared" si="1"/>
        <v>34</v>
      </c>
      <c r="K8" s="12">
        <f t="shared" si="1"/>
        <v>16715</v>
      </c>
      <c r="L8" s="14">
        <f t="shared" si="1"/>
        <v>0</v>
      </c>
      <c r="M8" s="15">
        <f t="shared" si="1"/>
        <v>0</v>
      </c>
      <c r="N8" s="12">
        <f t="shared" si="1"/>
        <v>16703</v>
      </c>
      <c r="O8" s="14">
        <f t="shared" si="1"/>
        <v>18820</v>
      </c>
      <c r="P8" s="15">
        <f t="shared" si="1"/>
        <v>32</v>
      </c>
      <c r="Q8" s="16">
        <f t="shared" si="1"/>
        <v>0</v>
      </c>
    </row>
    <row r="9" spans="1:17" x14ac:dyDescent="0.25">
      <c r="A9" t="s">
        <v>18</v>
      </c>
      <c r="E9">
        <v>16700</v>
      </c>
      <c r="G9">
        <v>30</v>
      </c>
      <c r="K9">
        <v>16700</v>
      </c>
      <c r="M9">
        <v>30</v>
      </c>
      <c r="N9">
        <v>16700</v>
      </c>
      <c r="P9">
        <v>30</v>
      </c>
    </row>
    <row r="10" spans="1:17" x14ac:dyDescent="0.25">
      <c r="A10" t="s">
        <v>0</v>
      </c>
      <c r="B10">
        <v>713</v>
      </c>
      <c r="D10">
        <v>2</v>
      </c>
      <c r="E10">
        <v>713</v>
      </c>
      <c r="G10">
        <v>2</v>
      </c>
    </row>
    <row r="11" spans="1:17" x14ac:dyDescent="0.25">
      <c r="A11" t="s">
        <v>1</v>
      </c>
      <c r="B11">
        <v>878</v>
      </c>
      <c r="D11">
        <v>2</v>
      </c>
      <c r="K11">
        <v>878</v>
      </c>
      <c r="M11">
        <v>2</v>
      </c>
    </row>
    <row r="12" spans="1:17" x14ac:dyDescent="0.25">
      <c r="A12" t="s">
        <v>2</v>
      </c>
      <c r="B12">
        <v>657</v>
      </c>
      <c r="D12">
        <v>2</v>
      </c>
      <c r="N12">
        <v>657</v>
      </c>
      <c r="P12">
        <v>2</v>
      </c>
    </row>
    <row r="13" spans="1:17" x14ac:dyDescent="0.25">
      <c r="A13" t="s">
        <v>3</v>
      </c>
      <c r="B13">
        <v>117</v>
      </c>
      <c r="D13">
        <v>1</v>
      </c>
      <c r="E13">
        <v>117</v>
      </c>
      <c r="G13">
        <v>1</v>
      </c>
    </row>
    <row r="14" spans="1:17" x14ac:dyDescent="0.25">
      <c r="E14" t="s">
        <v>19</v>
      </c>
      <c r="H14" t="s">
        <v>20</v>
      </c>
      <c r="K14" t="s">
        <v>19</v>
      </c>
      <c r="N14" t="s">
        <v>19</v>
      </c>
    </row>
  </sheetData>
  <mergeCells count="9">
    <mergeCell ref="Q1:Q2"/>
    <mergeCell ref="A1:A2"/>
    <mergeCell ref="B1:B2"/>
    <mergeCell ref="E1:G1"/>
    <mergeCell ref="H1:J1"/>
    <mergeCell ref="K1:M1"/>
    <mergeCell ref="C1:C2"/>
    <mergeCell ref="D1:D2"/>
    <mergeCell ref="N1:P1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2026-07-31T09:54:51Z</dcterms:modified>
</cp:coreProperties>
</file>