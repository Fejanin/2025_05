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F972AA59-DAB7-4A39-A55A-4282EB4C62A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2" i="2" s="1"/>
  <c r="P530" i="2"/>
  <c r="X528" i="2"/>
  <c r="X527" i="2"/>
  <c r="BO526" i="2"/>
  <c r="BM526" i="2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BO516" i="2"/>
  <c r="BM516" i="2"/>
  <c r="Y516" i="2"/>
  <c r="P516" i="2"/>
  <c r="BO515" i="2"/>
  <c r="BM515" i="2"/>
  <c r="Y515" i="2"/>
  <c r="Z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Y512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N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BN497" i="2" s="1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P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P478" i="2"/>
  <c r="X476" i="2"/>
  <c r="X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BO469" i="2"/>
  <c r="BM469" i="2"/>
  <c r="Y469" i="2"/>
  <c r="P469" i="2"/>
  <c r="X465" i="2"/>
  <c r="X464" i="2"/>
  <c r="BO463" i="2"/>
  <c r="BM463" i="2"/>
  <c r="Y463" i="2"/>
  <c r="BP463" i="2" s="1"/>
  <c r="P463" i="2"/>
  <c r="BO462" i="2"/>
  <c r="BM462" i="2"/>
  <c r="Y462" i="2"/>
  <c r="BP462" i="2" s="1"/>
  <c r="P462" i="2"/>
  <c r="BO461" i="2"/>
  <c r="BM461" i="2"/>
  <c r="Y461" i="2"/>
  <c r="Y465" i="2" s="1"/>
  <c r="P461" i="2"/>
  <c r="X459" i="2"/>
  <c r="X458" i="2"/>
  <c r="BO457" i="2"/>
  <c r="BM457" i="2"/>
  <c r="Y457" i="2"/>
  <c r="P457" i="2"/>
  <c r="X455" i="2"/>
  <c r="X454" i="2"/>
  <c r="BO453" i="2"/>
  <c r="BM453" i="2"/>
  <c r="Y453" i="2"/>
  <c r="BP453" i="2" s="1"/>
  <c r="P453" i="2"/>
  <c r="BO452" i="2"/>
  <c r="BM452" i="2"/>
  <c r="Y452" i="2"/>
  <c r="P452" i="2"/>
  <c r="X449" i="2"/>
  <c r="X448" i="2"/>
  <c r="BO447" i="2"/>
  <c r="BM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N442" i="2" s="1"/>
  <c r="P442" i="2"/>
  <c r="BO441" i="2"/>
  <c r="BM441" i="2"/>
  <c r="Y441" i="2"/>
  <c r="BN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Y434" i="2"/>
  <c r="BP434" i="2" s="1"/>
  <c r="P434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N428" i="2" s="1"/>
  <c r="P428" i="2"/>
  <c r="BO427" i="2"/>
  <c r="BM427" i="2"/>
  <c r="Y427" i="2"/>
  <c r="P427" i="2"/>
  <c r="BO426" i="2"/>
  <c r="BM426" i="2"/>
  <c r="Y426" i="2"/>
  <c r="BN426" i="2" s="1"/>
  <c r="P426" i="2"/>
  <c r="BO425" i="2"/>
  <c r="BM425" i="2"/>
  <c r="Y425" i="2"/>
  <c r="P425" i="2"/>
  <c r="BO424" i="2"/>
  <c r="BM424" i="2"/>
  <c r="Y424" i="2"/>
  <c r="P424" i="2"/>
  <c r="BO423" i="2"/>
  <c r="BM423" i="2"/>
  <c r="Y423" i="2"/>
  <c r="BP423" i="2" s="1"/>
  <c r="P423" i="2"/>
  <c r="X419" i="2"/>
  <c r="X418" i="2"/>
  <c r="BO417" i="2"/>
  <c r="BM417" i="2"/>
  <c r="Y417" i="2"/>
  <c r="Z417" i="2" s="1"/>
  <c r="P417" i="2"/>
  <c r="BO416" i="2"/>
  <c r="BM416" i="2"/>
  <c r="Y416" i="2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P391" i="2"/>
  <c r="BO390" i="2"/>
  <c r="BM390" i="2"/>
  <c r="Y390" i="2"/>
  <c r="P390" i="2"/>
  <c r="BO389" i="2"/>
  <c r="BM389" i="2"/>
  <c r="Y389" i="2"/>
  <c r="BN389" i="2" s="1"/>
  <c r="P389" i="2"/>
  <c r="X387" i="2"/>
  <c r="X386" i="2"/>
  <c r="BO385" i="2"/>
  <c r="BM385" i="2"/>
  <c r="Y385" i="2"/>
  <c r="Z385" i="2" s="1"/>
  <c r="P385" i="2"/>
  <c r="BO384" i="2"/>
  <c r="BM384" i="2"/>
  <c r="Y384" i="2"/>
  <c r="Z384" i="2" s="1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P372" i="2"/>
  <c r="X370" i="2"/>
  <c r="X369" i="2"/>
  <c r="BO368" i="2"/>
  <c r="BM368" i="2"/>
  <c r="Y368" i="2"/>
  <c r="BN368" i="2" s="1"/>
  <c r="P368" i="2"/>
  <c r="BO367" i="2"/>
  <c r="BM367" i="2"/>
  <c r="Y367" i="2"/>
  <c r="BP367" i="2" s="1"/>
  <c r="P367" i="2"/>
  <c r="BO366" i="2"/>
  <c r="BM366" i="2"/>
  <c r="Y366" i="2"/>
  <c r="BN366" i="2" s="1"/>
  <c r="P366" i="2"/>
  <c r="BO365" i="2"/>
  <c r="BM365" i="2"/>
  <c r="Y365" i="2"/>
  <c r="Z365" i="2" s="1"/>
  <c r="P365" i="2"/>
  <c r="BO364" i="2"/>
  <c r="BM364" i="2"/>
  <c r="Y364" i="2"/>
  <c r="Z364" i="2" s="1"/>
  <c r="P364" i="2"/>
  <c r="BO363" i="2"/>
  <c r="BM363" i="2"/>
  <c r="Y363" i="2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P346" i="2" s="1"/>
  <c r="P346" i="2"/>
  <c r="BO345" i="2"/>
  <c r="BM345" i="2"/>
  <c r="Y345" i="2"/>
  <c r="P345" i="2"/>
  <c r="BO344" i="2"/>
  <c r="BM344" i="2"/>
  <c r="Y344" i="2"/>
  <c r="P344" i="2"/>
  <c r="BO343" i="2"/>
  <c r="BM343" i="2"/>
  <c r="Y343" i="2"/>
  <c r="P343" i="2"/>
  <c r="BO342" i="2"/>
  <c r="BM342" i="2"/>
  <c r="Y342" i="2"/>
  <c r="BP342" i="2" s="1"/>
  <c r="P342" i="2"/>
  <c r="X339" i="2"/>
  <c r="X338" i="2"/>
  <c r="BO337" i="2"/>
  <c r="BM337" i="2"/>
  <c r="Y337" i="2"/>
  <c r="P337" i="2"/>
  <c r="BO336" i="2"/>
  <c r="BM336" i="2"/>
  <c r="Y336" i="2"/>
  <c r="P336" i="2"/>
  <c r="BO335" i="2"/>
  <c r="BM335" i="2"/>
  <c r="Y335" i="2"/>
  <c r="Z335" i="2" s="1"/>
  <c r="P335" i="2"/>
  <c r="X332" i="2"/>
  <c r="X331" i="2"/>
  <c r="BO330" i="2"/>
  <c r="BM330" i="2"/>
  <c r="Y330" i="2"/>
  <c r="P330" i="2"/>
  <c r="BO329" i="2"/>
  <c r="BM329" i="2"/>
  <c r="Y329" i="2"/>
  <c r="P329" i="2"/>
  <c r="BO328" i="2"/>
  <c r="BM328" i="2"/>
  <c r="Y328" i="2"/>
  <c r="Z328" i="2" s="1"/>
  <c r="P328" i="2"/>
  <c r="BO327" i="2"/>
  <c r="BM327" i="2"/>
  <c r="Y327" i="2"/>
  <c r="BN327" i="2" s="1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P306" i="2"/>
  <c r="BO305" i="2"/>
  <c r="BM305" i="2"/>
  <c r="Y305" i="2"/>
  <c r="Z305" i="2" s="1"/>
  <c r="P305" i="2"/>
  <c r="BO304" i="2"/>
  <c r="BM304" i="2"/>
  <c r="Y304" i="2"/>
  <c r="BN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P296" i="2"/>
  <c r="BO295" i="2"/>
  <c r="BM295" i="2"/>
  <c r="Y295" i="2"/>
  <c r="BP295" i="2" s="1"/>
  <c r="P295" i="2"/>
  <c r="X293" i="2"/>
  <c r="X292" i="2"/>
  <c r="BO291" i="2"/>
  <c r="BM291" i="2"/>
  <c r="Y291" i="2"/>
  <c r="BP291" i="2" s="1"/>
  <c r="P291" i="2"/>
  <c r="BO290" i="2"/>
  <c r="BM290" i="2"/>
  <c r="Y290" i="2"/>
  <c r="Z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P281" i="2"/>
  <c r="BO280" i="2"/>
  <c r="BM280" i="2"/>
  <c r="Y280" i="2"/>
  <c r="Z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P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P269" i="2" s="1"/>
  <c r="P269" i="2"/>
  <c r="X267" i="2"/>
  <c r="X266" i="2"/>
  <c r="BO265" i="2"/>
  <c r="BM265" i="2"/>
  <c r="Y265" i="2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P250" i="2"/>
  <c r="BO249" i="2"/>
  <c r="BM249" i="2"/>
  <c r="Y249" i="2"/>
  <c r="BN249" i="2" s="1"/>
  <c r="P249" i="2"/>
  <c r="BO248" i="2"/>
  <c r="BM248" i="2"/>
  <c r="Y248" i="2"/>
  <c r="BP248" i="2" s="1"/>
  <c r="P248" i="2"/>
  <c r="X246" i="2"/>
  <c r="X245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P242" i="2"/>
  <c r="BO241" i="2"/>
  <c r="BM241" i="2"/>
  <c r="Y241" i="2"/>
  <c r="Z241" i="2" s="1"/>
  <c r="P241" i="2"/>
  <c r="BO240" i="2"/>
  <c r="BM240" i="2"/>
  <c r="Y240" i="2"/>
  <c r="BN240" i="2" s="1"/>
  <c r="P240" i="2"/>
  <c r="X238" i="2"/>
  <c r="X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Z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N226" i="2" s="1"/>
  <c r="P226" i="2"/>
  <c r="BO225" i="2"/>
  <c r="BM225" i="2"/>
  <c r="Y225" i="2"/>
  <c r="BN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X203" i="2"/>
  <c r="BO202" i="2"/>
  <c r="BM202" i="2"/>
  <c r="Y202" i="2"/>
  <c r="P202" i="2"/>
  <c r="X200" i="2"/>
  <c r="X199" i="2"/>
  <c r="BO198" i="2"/>
  <c r="BM198" i="2"/>
  <c r="Y198" i="2"/>
  <c r="BN198" i="2" s="1"/>
  <c r="P198" i="2"/>
  <c r="BO197" i="2"/>
  <c r="BM197" i="2"/>
  <c r="Y197" i="2"/>
  <c r="Y200" i="2" s="1"/>
  <c r="P197" i="2"/>
  <c r="X195" i="2"/>
  <c r="X194" i="2"/>
  <c r="BO193" i="2"/>
  <c r="BM193" i="2"/>
  <c r="Y193" i="2"/>
  <c r="BN193" i="2" s="1"/>
  <c r="P193" i="2"/>
  <c r="BO192" i="2"/>
  <c r="BM192" i="2"/>
  <c r="Y192" i="2"/>
  <c r="P192" i="2"/>
  <c r="BO191" i="2"/>
  <c r="BM191" i="2"/>
  <c r="Y191" i="2"/>
  <c r="P191" i="2"/>
  <c r="X189" i="2"/>
  <c r="X188" i="2"/>
  <c r="BO187" i="2"/>
  <c r="BM187" i="2"/>
  <c r="Y187" i="2"/>
  <c r="P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BN178" i="2" s="1"/>
  <c r="P178" i="2"/>
  <c r="BO177" i="2"/>
  <c r="BM177" i="2"/>
  <c r="Y177" i="2"/>
  <c r="P177" i="2"/>
  <c r="X175" i="2"/>
  <c r="X174" i="2"/>
  <c r="BO173" i="2"/>
  <c r="BM173" i="2"/>
  <c r="Y173" i="2"/>
  <c r="BN173" i="2" s="1"/>
  <c r="P173" i="2"/>
  <c r="BO172" i="2"/>
  <c r="BM172" i="2"/>
  <c r="Y172" i="2"/>
  <c r="Y175" i="2" s="1"/>
  <c r="X170" i="2"/>
  <c r="X169" i="2"/>
  <c r="BO168" i="2"/>
  <c r="BM168" i="2"/>
  <c r="Y168" i="2"/>
  <c r="BN168" i="2" s="1"/>
  <c r="P168" i="2"/>
  <c r="BO167" i="2"/>
  <c r="BM167" i="2"/>
  <c r="Y167" i="2"/>
  <c r="P167" i="2"/>
  <c r="BO166" i="2"/>
  <c r="BM166" i="2"/>
  <c r="Y166" i="2"/>
  <c r="BP166" i="2" s="1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P157" i="2"/>
  <c r="BO156" i="2"/>
  <c r="BM156" i="2"/>
  <c r="Y156" i="2"/>
  <c r="Z156" i="2" s="1"/>
  <c r="P156" i="2"/>
  <c r="BO155" i="2"/>
  <c r="BM155" i="2"/>
  <c r="Y155" i="2"/>
  <c r="Z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Y150" i="2" s="1"/>
  <c r="P146" i="2"/>
  <c r="X144" i="2"/>
  <c r="X143" i="2"/>
  <c r="BO142" i="2"/>
  <c r="BM142" i="2"/>
  <c r="Y142" i="2"/>
  <c r="P142" i="2"/>
  <c r="BO141" i="2"/>
  <c r="BM141" i="2"/>
  <c r="Y141" i="2"/>
  <c r="P141" i="2"/>
  <c r="BO140" i="2"/>
  <c r="BM140" i="2"/>
  <c r="Y140" i="2"/>
  <c r="Z140" i="2" s="1"/>
  <c r="P140" i="2"/>
  <c r="BO139" i="2"/>
  <c r="BM139" i="2"/>
  <c r="Y139" i="2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P123" i="2"/>
  <c r="BO122" i="2"/>
  <c r="BM122" i="2"/>
  <c r="Y122" i="2"/>
  <c r="Z122" i="2" s="1"/>
  <c r="P122" i="2"/>
  <c r="BO121" i="2"/>
  <c r="BM121" i="2"/>
  <c r="Y121" i="2"/>
  <c r="Z121" i="2" s="1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BP88" i="2" s="1"/>
  <c r="P88" i="2"/>
  <c r="X85" i="2"/>
  <c r="X84" i="2"/>
  <c r="BO83" i="2"/>
  <c r="BM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Z78" i="2" s="1"/>
  <c r="P78" i="2"/>
  <c r="BO77" i="2"/>
  <c r="BM77" i="2"/>
  <c r="Y77" i="2"/>
  <c r="Z77" i="2" s="1"/>
  <c r="P77" i="2"/>
  <c r="X75" i="2"/>
  <c r="X74" i="2"/>
  <c r="BO73" i="2"/>
  <c r="BM73" i="2"/>
  <c r="Y73" i="2"/>
  <c r="Z73" i="2" s="1"/>
  <c r="P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Z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D561" i="2" s="1"/>
  <c r="P51" i="2"/>
  <c r="X47" i="2"/>
  <c r="X46" i="2"/>
  <c r="BO45" i="2"/>
  <c r="BM45" i="2"/>
  <c r="Y45" i="2"/>
  <c r="BN45" i="2" s="1"/>
  <c r="P45" i="2"/>
  <c r="BO44" i="2"/>
  <c r="BM44" i="2"/>
  <c r="Y44" i="2"/>
  <c r="BN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P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Y405" i="2" l="1"/>
  <c r="Z91" i="2"/>
  <c r="Z211" i="2"/>
  <c r="BN211" i="2"/>
  <c r="Z225" i="2"/>
  <c r="Z342" i="2"/>
  <c r="BN342" i="2"/>
  <c r="Z273" i="2"/>
  <c r="BN273" i="2"/>
  <c r="Z423" i="2"/>
  <c r="BN423" i="2"/>
  <c r="Z181" i="2"/>
  <c r="Z240" i="2"/>
  <c r="Z304" i="2"/>
  <c r="Z367" i="2"/>
  <c r="Z441" i="2"/>
  <c r="Z62" i="2"/>
  <c r="Z116" i="2"/>
  <c r="Z198" i="2"/>
  <c r="Z249" i="2"/>
  <c r="Z283" i="2"/>
  <c r="Z327" i="2"/>
  <c r="Z428" i="2"/>
  <c r="Z503" i="2"/>
  <c r="BN503" i="2"/>
  <c r="X555" i="2"/>
  <c r="Z28" i="2"/>
  <c r="Z88" i="2"/>
  <c r="BN88" i="2"/>
  <c r="Y93" i="2"/>
  <c r="Z98" i="2"/>
  <c r="Z135" i="2"/>
  <c r="Z166" i="2"/>
  <c r="BN166" i="2"/>
  <c r="Y170" i="2"/>
  <c r="Z178" i="2"/>
  <c r="Z185" i="2"/>
  <c r="BN185" i="2"/>
  <c r="Z208" i="2"/>
  <c r="Z226" i="2"/>
  <c r="BP234" i="2"/>
  <c r="BP244" i="2"/>
  <c r="Z269" i="2"/>
  <c r="BN269" i="2"/>
  <c r="Z295" i="2"/>
  <c r="BN295" i="2"/>
  <c r="Z307" i="2"/>
  <c r="BN307" i="2"/>
  <c r="Z311" i="2"/>
  <c r="Z312" i="2" s="1"/>
  <c r="Z346" i="2"/>
  <c r="Z366" i="2"/>
  <c r="Z383" i="2"/>
  <c r="BN383" i="2"/>
  <c r="Z415" i="2"/>
  <c r="BP426" i="2"/>
  <c r="Z501" i="2"/>
  <c r="Z538" i="2"/>
  <c r="Z539" i="2" s="1"/>
  <c r="BN29" i="2"/>
  <c r="Y47" i="2"/>
  <c r="Y55" i="2"/>
  <c r="BP83" i="2"/>
  <c r="BN120" i="2"/>
  <c r="H561" i="2"/>
  <c r="BP132" i="2"/>
  <c r="BN139" i="2"/>
  <c r="Y143" i="2"/>
  <c r="Z139" i="2"/>
  <c r="BN141" i="2"/>
  <c r="Z141" i="2"/>
  <c r="BN187" i="2"/>
  <c r="Z187" i="2"/>
  <c r="BP202" i="2"/>
  <c r="Y204" i="2"/>
  <c r="Y203" i="2"/>
  <c r="BN202" i="2"/>
  <c r="BN235" i="2"/>
  <c r="BP242" i="2"/>
  <c r="Z242" i="2"/>
  <c r="BN260" i="2"/>
  <c r="BN272" i="2"/>
  <c r="Z272" i="2"/>
  <c r="BN282" i="2"/>
  <c r="Z282" i="2"/>
  <c r="BP306" i="2"/>
  <c r="Z306" i="2"/>
  <c r="BN329" i="2"/>
  <c r="Z329" i="2"/>
  <c r="BN337" i="2"/>
  <c r="Z337" i="2"/>
  <c r="Y370" i="2"/>
  <c r="Z363" i="2"/>
  <c r="BN384" i="2"/>
  <c r="BN391" i="2"/>
  <c r="BP391" i="2"/>
  <c r="Y412" i="2"/>
  <c r="Z408" i="2"/>
  <c r="BN416" i="2"/>
  <c r="Z416" i="2"/>
  <c r="BP427" i="2"/>
  <c r="Z427" i="2"/>
  <c r="Y437" i="2"/>
  <c r="Y459" i="2"/>
  <c r="Z457" i="2"/>
  <c r="Z458" i="2" s="1"/>
  <c r="BN504" i="2"/>
  <c r="BN30" i="2"/>
  <c r="Z41" i="2"/>
  <c r="BN41" i="2"/>
  <c r="BN42" i="2"/>
  <c r="Z51" i="2"/>
  <c r="BN52" i="2"/>
  <c r="Z53" i="2"/>
  <c r="BN53" i="2"/>
  <c r="BN54" i="2"/>
  <c r="Z64" i="2"/>
  <c r="BN64" i="2"/>
  <c r="BN65" i="2"/>
  <c r="Z72" i="2"/>
  <c r="BN77" i="2"/>
  <c r="Z83" i="2"/>
  <c r="Z84" i="2" s="1"/>
  <c r="Y85" i="2"/>
  <c r="BP90" i="2"/>
  <c r="Z95" i="2"/>
  <c r="BP98" i="2"/>
  <c r="BN121" i="2"/>
  <c r="Z132" i="2"/>
  <c r="BP141" i="2"/>
  <c r="BP142" i="2"/>
  <c r="BN142" i="2"/>
  <c r="Z142" i="2"/>
  <c r="BN149" i="2"/>
  <c r="Z149" i="2"/>
  <c r="Y162" i="2"/>
  <c r="Y163" i="2"/>
  <c r="Z161" i="2"/>
  <c r="Z162" i="2" s="1"/>
  <c r="BN184" i="2"/>
  <c r="Z184" i="2"/>
  <c r="BP187" i="2"/>
  <c r="BN191" i="2"/>
  <c r="Z191" i="2"/>
  <c r="BP230" i="2"/>
  <c r="BN230" i="2"/>
  <c r="Z230" i="2"/>
  <c r="BP232" i="2"/>
  <c r="Z232" i="2"/>
  <c r="BP265" i="2"/>
  <c r="Z265" i="2"/>
  <c r="Z266" i="2" s="1"/>
  <c r="BP275" i="2"/>
  <c r="Z275" i="2"/>
  <c r="BN290" i="2"/>
  <c r="BP319" i="2"/>
  <c r="Z319" i="2"/>
  <c r="BP329" i="2"/>
  <c r="BP330" i="2"/>
  <c r="Z330" i="2"/>
  <c r="BP344" i="2"/>
  <c r="BN344" i="2"/>
  <c r="Z344" i="2"/>
  <c r="BP363" i="2"/>
  <c r="BN364" i="2"/>
  <c r="BP372" i="2"/>
  <c r="Z372" i="2"/>
  <c r="BP377" i="2"/>
  <c r="Z377" i="2"/>
  <c r="BP408" i="2"/>
  <c r="BP409" i="2"/>
  <c r="Z409" i="2"/>
  <c r="BP416" i="2"/>
  <c r="BN417" i="2"/>
  <c r="BN425" i="2"/>
  <c r="Z425" i="2"/>
  <c r="BN434" i="2"/>
  <c r="Z434" i="2"/>
  <c r="BP457" i="2"/>
  <c r="BP469" i="2"/>
  <c r="Z469" i="2"/>
  <c r="BP478" i="2"/>
  <c r="BN478" i="2"/>
  <c r="Z478" i="2"/>
  <c r="Y486" i="2"/>
  <c r="BP484" i="2"/>
  <c r="Y531" i="2"/>
  <c r="BN140" i="2"/>
  <c r="BN156" i="2"/>
  <c r="BP225" i="2"/>
  <c r="BP226" i="2"/>
  <c r="BN231" i="2"/>
  <c r="BP240" i="2"/>
  <c r="BN241" i="2"/>
  <c r="BN264" i="2"/>
  <c r="BP283" i="2"/>
  <c r="BN284" i="2"/>
  <c r="Y298" i="2"/>
  <c r="BP304" i="2"/>
  <c r="BN305" i="2"/>
  <c r="Y331" i="2"/>
  <c r="BP327" i="2"/>
  <c r="BN328" i="2"/>
  <c r="Y369" i="2"/>
  <c r="BP365" i="2"/>
  <c r="BP366" i="2"/>
  <c r="BN375" i="2"/>
  <c r="Y387" i="2"/>
  <c r="BP385" i="2"/>
  <c r="BN396" i="2"/>
  <c r="BP428" i="2"/>
  <c r="BN429" i="2"/>
  <c r="BP441" i="2"/>
  <c r="W561" i="2"/>
  <c r="BN453" i="2"/>
  <c r="BN470" i="2"/>
  <c r="BN479" i="2"/>
  <c r="BN489" i="2"/>
  <c r="BP501" i="2"/>
  <c r="BN515" i="2"/>
  <c r="Y37" i="2"/>
  <c r="BP209" i="2"/>
  <c r="Z209" i="2"/>
  <c r="BN250" i="2"/>
  <c r="BP250" i="2"/>
  <c r="Z250" i="2"/>
  <c r="B561" i="2"/>
  <c r="X551" i="2"/>
  <c r="Y32" i="2"/>
  <c r="BP82" i="2"/>
  <c r="BP97" i="2"/>
  <c r="G561" i="2"/>
  <c r="BP106" i="2"/>
  <c r="BN107" i="2"/>
  <c r="Z108" i="2"/>
  <c r="Y117" i="2"/>
  <c r="BP116" i="2"/>
  <c r="Y125" i="2"/>
  <c r="Y124" i="2"/>
  <c r="Z127" i="2"/>
  <c r="Z128" i="2" s="1"/>
  <c r="BP127" i="2"/>
  <c r="Y129" i="2"/>
  <c r="BP134" i="2"/>
  <c r="BN161" i="2"/>
  <c r="J561" i="2"/>
  <c r="BP173" i="2"/>
  <c r="BP184" i="2"/>
  <c r="Z210" i="2"/>
  <c r="BN210" i="2"/>
  <c r="BN229" i="2"/>
  <c r="Z229" i="2"/>
  <c r="Y252" i="2"/>
  <c r="BP259" i="2"/>
  <c r="Y261" i="2"/>
  <c r="BN259" i="2"/>
  <c r="BN281" i="2"/>
  <c r="BP281" i="2"/>
  <c r="BP285" i="2"/>
  <c r="BN285" i="2"/>
  <c r="Z285" i="2"/>
  <c r="BP289" i="2"/>
  <c r="BN289" i="2"/>
  <c r="BN303" i="2"/>
  <c r="Z303" i="2"/>
  <c r="BP326" i="2"/>
  <c r="BN336" i="2"/>
  <c r="BP336" i="2"/>
  <c r="BN376" i="2"/>
  <c r="BP376" i="2"/>
  <c r="Z376" i="2"/>
  <c r="BP390" i="2"/>
  <c r="Z390" i="2"/>
  <c r="BN398" i="2"/>
  <c r="BP398" i="2"/>
  <c r="Z398" i="2"/>
  <c r="BN430" i="2"/>
  <c r="BP430" i="2"/>
  <c r="Z430" i="2"/>
  <c r="BP446" i="2"/>
  <c r="BN446" i="2"/>
  <c r="BN542" i="2"/>
  <c r="BP542" i="2"/>
  <c r="BN373" i="2"/>
  <c r="BP373" i="2"/>
  <c r="Z373" i="2"/>
  <c r="J9" i="2"/>
  <c r="X552" i="2"/>
  <c r="BP30" i="2"/>
  <c r="BN31" i="2"/>
  <c r="BN35" i="2"/>
  <c r="Y36" i="2"/>
  <c r="C561" i="2"/>
  <c r="Z42" i="2"/>
  <c r="Z54" i="2"/>
  <c r="Z65" i="2"/>
  <c r="BP72" i="2"/>
  <c r="BN73" i="2"/>
  <c r="Y79" i="2"/>
  <c r="Y84" i="2"/>
  <c r="F561" i="2"/>
  <c r="BP91" i="2"/>
  <c r="BP95" i="2"/>
  <c r="BN96" i="2"/>
  <c r="Z97" i="2"/>
  <c r="Y99" i="2"/>
  <c r="Z106" i="2"/>
  <c r="BN112" i="2"/>
  <c r="BP121" i="2"/>
  <c r="BN122" i="2"/>
  <c r="BN132" i="2"/>
  <c r="Y137" i="2"/>
  <c r="BN155" i="2"/>
  <c r="Z179" i="2"/>
  <c r="BN179" i="2"/>
  <c r="BP180" i="2"/>
  <c r="Z180" i="2"/>
  <c r="Z186" i="2"/>
  <c r="BN186" i="2"/>
  <c r="BN209" i="2"/>
  <c r="BN219" i="2"/>
  <c r="Y221" i="2"/>
  <c r="Z219" i="2"/>
  <c r="Z220" i="2" s="1"/>
  <c r="BN326" i="2"/>
  <c r="Z326" i="2"/>
  <c r="BN345" i="2"/>
  <c r="BP345" i="2"/>
  <c r="Z345" i="2"/>
  <c r="BN378" i="2"/>
  <c r="BP378" i="2"/>
  <c r="Y432" i="2"/>
  <c r="BP35" i="2"/>
  <c r="BP108" i="2"/>
  <c r="BP155" i="2"/>
  <c r="BP214" i="2"/>
  <c r="BN214" i="2"/>
  <c r="Z274" i="2"/>
  <c r="BN274" i="2"/>
  <c r="BN320" i="2"/>
  <c r="BP320" i="2"/>
  <c r="Z516" i="2"/>
  <c r="BN516" i="2"/>
  <c r="X553" i="2"/>
  <c r="BP28" i="2"/>
  <c r="BP44" i="2"/>
  <c r="BP51" i="2"/>
  <c r="E561" i="2"/>
  <c r="BP62" i="2"/>
  <c r="BN63" i="2"/>
  <c r="BP77" i="2"/>
  <c r="BN78" i="2"/>
  <c r="BN82" i="2"/>
  <c r="BN127" i="2"/>
  <c r="BP135" i="2"/>
  <c r="BP139" i="2"/>
  <c r="BP149" i="2"/>
  <c r="I561" i="2"/>
  <c r="Y159" i="2"/>
  <c r="Y158" i="2"/>
  <c r="BP168" i="2"/>
  <c r="BP181" i="2"/>
  <c r="BP191" i="2"/>
  <c r="Y278" i="2"/>
  <c r="Z270" i="2"/>
  <c r="BP274" i="2"/>
  <c r="Z343" i="2"/>
  <c r="BN343" i="2"/>
  <c r="Y360" i="2"/>
  <c r="BN356" i="2"/>
  <c r="BP356" i="2"/>
  <c r="Z356" i="2"/>
  <c r="BN424" i="2"/>
  <c r="BP424" i="2"/>
  <c r="Z424" i="2"/>
  <c r="BP514" i="2"/>
  <c r="BN514" i="2"/>
  <c r="Z514" i="2"/>
  <c r="BP516" i="2"/>
  <c r="AA561" i="2"/>
  <c r="Z526" i="2"/>
  <c r="Z527" i="2" s="1"/>
  <c r="Y189" i="2"/>
  <c r="BP178" i="2"/>
  <c r="BP183" i="2"/>
  <c r="BP193" i="2"/>
  <c r="BP198" i="2"/>
  <c r="BP223" i="2"/>
  <c r="BP227" i="2"/>
  <c r="BP231" i="2"/>
  <c r="BN236" i="2"/>
  <c r="BP241" i="2"/>
  <c r="Y251" i="2"/>
  <c r="BP264" i="2"/>
  <c r="Y266" i="2"/>
  <c r="BP271" i="2"/>
  <c r="BN275" i="2"/>
  <c r="BP282" i="2"/>
  <c r="BP287" i="2"/>
  <c r="BN288" i="2"/>
  <c r="Y309" i="2"/>
  <c r="BP301" i="2"/>
  <c r="BP305" i="2"/>
  <c r="BN319" i="2"/>
  <c r="BP328" i="2"/>
  <c r="BN330" i="2"/>
  <c r="BP337" i="2"/>
  <c r="R561" i="2"/>
  <c r="BN363" i="2"/>
  <c r="BP364" i="2"/>
  <c r="BP368" i="2"/>
  <c r="BN374" i="2"/>
  <c r="Y379" i="2"/>
  <c r="BP384" i="2"/>
  <c r="Y393" i="2"/>
  <c r="Y399" i="2"/>
  <c r="BN410" i="2"/>
  <c r="Y411" i="2"/>
  <c r="BP417" i="2"/>
  <c r="V561" i="2"/>
  <c r="BP435" i="2"/>
  <c r="BN452" i="2"/>
  <c r="Y455" i="2"/>
  <c r="BP470" i="2"/>
  <c r="Y195" i="2"/>
  <c r="BP208" i="2"/>
  <c r="BP213" i="2"/>
  <c r="Y216" i="2"/>
  <c r="Z223" i="2"/>
  <c r="Z227" i="2"/>
  <c r="BP228" i="2"/>
  <c r="BN232" i="2"/>
  <c r="BN242" i="2"/>
  <c r="BP249" i="2"/>
  <c r="BN265" i="2"/>
  <c r="Y293" i="2"/>
  <c r="BP280" i="2"/>
  <c r="BP284" i="2"/>
  <c r="Y292" i="2"/>
  <c r="BP302" i="2"/>
  <c r="BN306" i="2"/>
  <c r="Y323" i="2"/>
  <c r="T561" i="2"/>
  <c r="BN365" i="2"/>
  <c r="Z375" i="2"/>
  <c r="Z382" i="2"/>
  <c r="BN385" i="2"/>
  <c r="Z389" i="2"/>
  <c r="BP389" i="2"/>
  <c r="Y392" i="2"/>
  <c r="Z396" i="2"/>
  <c r="BN408" i="2"/>
  <c r="BP429" i="2"/>
  <c r="Y438" i="2"/>
  <c r="Z435" i="2"/>
  <c r="BP436" i="2"/>
  <c r="Z453" i="2"/>
  <c r="BN457" i="2"/>
  <c r="Y458" i="2"/>
  <c r="BN469" i="2"/>
  <c r="Z479" i="2"/>
  <c r="Y485" i="2"/>
  <c r="Z489" i="2"/>
  <c r="Y505" i="2"/>
  <c r="Z504" i="2"/>
  <c r="BP515" i="2"/>
  <c r="BP530" i="2"/>
  <c r="Y246" i="2"/>
  <c r="Y267" i="2"/>
  <c r="BP272" i="2"/>
  <c r="Q561" i="2"/>
  <c r="Y359" i="2"/>
  <c r="BP374" i="2"/>
  <c r="Y380" i="2"/>
  <c r="BP410" i="2"/>
  <c r="BP425" i="2"/>
  <c r="BP452" i="2"/>
  <c r="Y475" i="2"/>
  <c r="Z480" i="2"/>
  <c r="Z79" i="2"/>
  <c r="Z66" i="2"/>
  <c r="BP52" i="2"/>
  <c r="Z61" i="2"/>
  <c r="Z71" i="2"/>
  <c r="BP96" i="2"/>
  <c r="Z105" i="2"/>
  <c r="BP107" i="2"/>
  <c r="Z115" i="2"/>
  <c r="BP140" i="2"/>
  <c r="Z148" i="2"/>
  <c r="Z177" i="2"/>
  <c r="BP179" i="2"/>
  <c r="Z197" i="2"/>
  <c r="BP224" i="2"/>
  <c r="Y245" i="2"/>
  <c r="BP254" i="2"/>
  <c r="BP343" i="2"/>
  <c r="Z351" i="2"/>
  <c r="Z395" i="2"/>
  <c r="BP397" i="2"/>
  <c r="Y419" i="2"/>
  <c r="Z440" i="2"/>
  <c r="BP442" i="2"/>
  <c r="Z463" i="2"/>
  <c r="Y480" i="2"/>
  <c r="Z488" i="2"/>
  <c r="BP490" i="2"/>
  <c r="Z500" i="2"/>
  <c r="BP502" i="2"/>
  <c r="Z510" i="2"/>
  <c r="Z520" i="2"/>
  <c r="Y527" i="2"/>
  <c r="Z534" i="2"/>
  <c r="Z535" i="2" s="1"/>
  <c r="Y539" i="2"/>
  <c r="Y118" i="2"/>
  <c r="Z89" i="2"/>
  <c r="Z133" i="2"/>
  <c r="Z167" i="2"/>
  <c r="Z172" i="2"/>
  <c r="Z182" i="2"/>
  <c r="Z192" i="2"/>
  <c r="Y316" i="2"/>
  <c r="F10" i="2"/>
  <c r="BP63" i="2"/>
  <c r="BP73" i="2"/>
  <c r="Z29" i="2"/>
  <c r="BP31" i="2"/>
  <c r="BN43" i="2"/>
  <c r="Y46" i="2"/>
  <c r="Y56" i="2"/>
  <c r="BN66" i="2"/>
  <c r="BP78" i="2"/>
  <c r="BN89" i="2"/>
  <c r="Y92" i="2"/>
  <c r="Y100" i="2"/>
  <c r="BP112" i="2"/>
  <c r="Z120" i="2"/>
  <c r="BP122" i="2"/>
  <c r="BN133" i="2"/>
  <c r="Y136" i="2"/>
  <c r="Y144" i="2"/>
  <c r="Z154" i="2"/>
  <c r="BP156" i="2"/>
  <c r="BN167" i="2"/>
  <c r="BN172" i="2"/>
  <c r="BN182" i="2"/>
  <c r="BN192" i="2"/>
  <c r="Z202" i="2"/>
  <c r="Z203" i="2" s="1"/>
  <c r="Z214" i="2"/>
  <c r="Y220" i="2"/>
  <c r="Z235" i="2"/>
  <c r="BP260" i="2"/>
  <c r="BN270" i="2"/>
  <c r="BN280" i="2"/>
  <c r="Z288" i="2"/>
  <c r="BP290" i="2"/>
  <c r="BN301" i="2"/>
  <c r="BN311" i="2"/>
  <c r="Z321" i="2"/>
  <c r="BN335" i="2"/>
  <c r="Y338" i="2"/>
  <c r="BN346" i="2"/>
  <c r="Z357" i="2"/>
  <c r="Z368" i="2"/>
  <c r="Z369" i="2" s="1"/>
  <c r="Z378" i="2"/>
  <c r="BN390" i="2"/>
  <c r="BP402" i="2"/>
  <c r="BP447" i="2"/>
  <c r="BP472" i="2"/>
  <c r="BP497" i="2"/>
  <c r="Y506" i="2"/>
  <c r="BP517" i="2"/>
  <c r="Y544" i="2"/>
  <c r="K561" i="2"/>
  <c r="Y151" i="2"/>
  <c r="Y238" i="2"/>
  <c r="Y25" i="2"/>
  <c r="BN61" i="2"/>
  <c r="BN71" i="2"/>
  <c r="Y74" i="2"/>
  <c r="BN105" i="2"/>
  <c r="BN115" i="2"/>
  <c r="BN148" i="2"/>
  <c r="BN177" i="2"/>
  <c r="BN197" i="2"/>
  <c r="Y255" i="2"/>
  <c r="Y317" i="2"/>
  <c r="BN351" i="2"/>
  <c r="BN395" i="2"/>
  <c r="Y406" i="2"/>
  <c r="BN440" i="2"/>
  <c r="Y443" i="2"/>
  <c r="BN463" i="2"/>
  <c r="Y476" i="2"/>
  <c r="BN488" i="2"/>
  <c r="Y491" i="2"/>
  <c r="BN500" i="2"/>
  <c r="BN510" i="2"/>
  <c r="BN520" i="2"/>
  <c r="BN534" i="2"/>
  <c r="L561" i="2"/>
  <c r="BP311" i="2"/>
  <c r="BN321" i="2"/>
  <c r="BP335" i="2"/>
  <c r="BN357" i="2"/>
  <c r="Y448" i="2"/>
  <c r="Y481" i="2"/>
  <c r="Y528" i="2"/>
  <c r="Y540" i="2"/>
  <c r="M561" i="2"/>
  <c r="BP89" i="2"/>
  <c r="Y339" i="2"/>
  <c r="Y386" i="2"/>
  <c r="BP395" i="2"/>
  <c r="Z403" i="2"/>
  <c r="Y431" i="2"/>
  <c r="Y454" i="2"/>
  <c r="Z461" i="2"/>
  <c r="Z473" i="2"/>
  <c r="Z498" i="2"/>
  <c r="Z508" i="2"/>
  <c r="Z518" i="2"/>
  <c r="BP534" i="2"/>
  <c r="Y545" i="2"/>
  <c r="O561" i="2"/>
  <c r="Z22" i="2"/>
  <c r="Z103" i="2"/>
  <c r="BP177" i="2"/>
  <c r="Y188" i="2"/>
  <c r="BP197" i="2"/>
  <c r="Z27" i="2"/>
  <c r="Y67" i="2"/>
  <c r="Y75" i="2"/>
  <c r="BP154" i="2"/>
  <c r="Z212" i="2"/>
  <c r="Z233" i="2"/>
  <c r="Z243" i="2"/>
  <c r="Y256" i="2"/>
  <c r="Z276" i="2"/>
  <c r="Z286" i="2"/>
  <c r="Z296" i="2"/>
  <c r="Y312" i="2"/>
  <c r="Y347" i="2"/>
  <c r="Y444" i="2"/>
  <c r="Y492" i="2"/>
  <c r="P561" i="2"/>
  <c r="A10" i="2"/>
  <c r="BP133" i="2"/>
  <c r="BP192" i="2"/>
  <c r="Z59" i="2"/>
  <c r="Z113" i="2"/>
  <c r="Z123" i="2"/>
  <c r="Z291" i="2"/>
  <c r="BN22" i="2"/>
  <c r="Y33" i="2"/>
  <c r="Z44" i="2"/>
  <c r="BN59" i="2"/>
  <c r="Y80" i="2"/>
  <c r="Z90" i="2"/>
  <c r="BN103" i="2"/>
  <c r="BN113" i="2"/>
  <c r="BN123" i="2"/>
  <c r="Z134" i="2"/>
  <c r="BN146" i="2"/>
  <c r="BN157" i="2"/>
  <c r="Z168" i="2"/>
  <c r="Z173" i="2"/>
  <c r="Z183" i="2"/>
  <c r="Z193" i="2"/>
  <c r="Z228" i="2"/>
  <c r="Z248" i="2"/>
  <c r="Z251" i="2" s="1"/>
  <c r="Y262" i="2"/>
  <c r="Z271" i="2"/>
  <c r="Z281" i="2"/>
  <c r="BN291" i="2"/>
  <c r="Z302" i="2"/>
  <c r="Z336" i="2"/>
  <c r="Y352" i="2"/>
  <c r="Z391" i="2"/>
  <c r="BN403" i="2"/>
  <c r="Z426" i="2"/>
  <c r="Z436" i="2"/>
  <c r="Y449" i="2"/>
  <c r="BN461" i="2"/>
  <c r="Y464" i="2"/>
  <c r="BN473" i="2"/>
  <c r="Z484" i="2"/>
  <c r="Z485" i="2" s="1"/>
  <c r="BN498" i="2"/>
  <c r="BN508" i="2"/>
  <c r="Y511" i="2"/>
  <c r="BN518" i="2"/>
  <c r="Y521" i="2"/>
  <c r="Z530" i="2"/>
  <c r="Z531" i="2" s="1"/>
  <c r="Y535" i="2"/>
  <c r="Z542" i="2"/>
  <c r="Y24" i="2"/>
  <c r="Z43" i="2"/>
  <c r="BP43" i="2"/>
  <c r="BP172" i="2"/>
  <c r="Z146" i="2"/>
  <c r="Z157" i="2"/>
  <c r="BN27" i="2"/>
  <c r="BN296" i="2"/>
  <c r="Y322" i="2"/>
  <c r="Z548" i="2"/>
  <c r="Z549" i="2" s="1"/>
  <c r="BN212" i="2"/>
  <c r="Y215" i="2"/>
  <c r="BN233" i="2"/>
  <c r="BN243" i="2"/>
  <c r="BN286" i="2"/>
  <c r="BP59" i="2"/>
  <c r="BP103" i="2"/>
  <c r="BP123" i="2"/>
  <c r="BP146" i="2"/>
  <c r="BP157" i="2"/>
  <c r="Z236" i="2"/>
  <c r="BN248" i="2"/>
  <c r="Z259" i="2"/>
  <c r="Z261" i="2" s="1"/>
  <c r="Z289" i="2"/>
  <c r="Y348" i="2"/>
  <c r="Z358" i="2"/>
  <c r="Z446" i="2"/>
  <c r="BP461" i="2"/>
  <c r="Z471" i="2"/>
  <c r="BN484" i="2"/>
  <c r="Z496" i="2"/>
  <c r="BP508" i="2"/>
  <c r="BN530" i="2"/>
  <c r="S561" i="2"/>
  <c r="BP45" i="2"/>
  <c r="BP167" i="2"/>
  <c r="BN276" i="2"/>
  <c r="BP22" i="2"/>
  <c r="Y68" i="2"/>
  <c r="BP113" i="2"/>
  <c r="BN51" i="2"/>
  <c r="Y109" i="2"/>
  <c r="BP296" i="2"/>
  <c r="Y353" i="2"/>
  <c r="Z452" i="2"/>
  <c r="Y522" i="2"/>
  <c r="BN548" i="2"/>
  <c r="U561" i="2"/>
  <c r="Z23" i="2"/>
  <c r="Z60" i="2"/>
  <c r="Z70" i="2"/>
  <c r="Z104" i="2"/>
  <c r="Z114" i="2"/>
  <c r="Z147" i="2"/>
  <c r="Y277" i="2"/>
  <c r="Y297" i="2"/>
  <c r="Y308" i="2"/>
  <c r="Z315" i="2"/>
  <c r="Z316" i="2" s="1"/>
  <c r="Z350" i="2"/>
  <c r="Z352" i="2" s="1"/>
  <c r="Z404" i="2"/>
  <c r="Z462" i="2"/>
  <c r="Z474" i="2"/>
  <c r="Z499" i="2"/>
  <c r="Z509" i="2"/>
  <c r="Z519" i="2"/>
  <c r="BP548" i="2"/>
  <c r="Y110" i="2"/>
  <c r="Y169" i="2"/>
  <c r="Y174" i="2"/>
  <c r="Y194" i="2"/>
  <c r="Z213" i="2"/>
  <c r="Z234" i="2"/>
  <c r="Z244" i="2"/>
  <c r="Z287" i="2"/>
  <c r="Z320" i="2"/>
  <c r="BP358" i="2"/>
  <c r="Y400" i="2"/>
  <c r="BP471" i="2"/>
  <c r="BP496" i="2"/>
  <c r="BN114" i="2"/>
  <c r="BN315" i="2"/>
  <c r="BN404" i="2"/>
  <c r="BN462" i="2"/>
  <c r="BN474" i="2"/>
  <c r="BN499" i="2"/>
  <c r="BN509" i="2"/>
  <c r="BN519" i="2"/>
  <c r="Z543" i="2"/>
  <c r="Y549" i="2"/>
  <c r="X561" i="2"/>
  <c r="BN23" i="2"/>
  <c r="BN60" i="2"/>
  <c r="BN70" i="2"/>
  <c r="BN104" i="2"/>
  <c r="BN147" i="2"/>
  <c r="Y199" i="2"/>
  <c r="BN350" i="2"/>
  <c r="F9" i="2"/>
  <c r="Y237" i="2"/>
  <c r="Z254" i="2"/>
  <c r="Z255" i="2" s="1"/>
  <c r="Y332" i="2"/>
  <c r="BN367" i="2"/>
  <c r="BN377" i="2"/>
  <c r="Z397" i="2"/>
  <c r="BN409" i="2"/>
  <c r="Z442" i="2"/>
  <c r="Z490" i="2"/>
  <c r="Z502" i="2"/>
  <c r="BN526" i="2"/>
  <c r="BN538" i="2"/>
  <c r="Y561" i="2"/>
  <c r="Z45" i="2"/>
  <c r="Z224" i="2"/>
  <c r="BN372" i="2"/>
  <c r="BN382" i="2"/>
  <c r="Z402" i="2"/>
  <c r="BN415" i="2"/>
  <c r="Y418" i="2"/>
  <c r="BN427" i="2"/>
  <c r="Z447" i="2"/>
  <c r="Z472" i="2"/>
  <c r="Z497" i="2"/>
  <c r="Z517" i="2"/>
  <c r="BN543" i="2"/>
  <c r="Z561" i="2"/>
  <c r="BP526" i="2"/>
  <c r="Y550" i="2"/>
  <c r="BN402" i="2"/>
  <c r="Z386" i="2" l="1"/>
  <c r="Z199" i="2"/>
  <c r="Z99" i="2"/>
  <c r="Z418" i="2"/>
  <c r="Z322" i="2"/>
  <c r="Z454" i="2"/>
  <c r="Z437" i="2"/>
  <c r="Z347" i="2"/>
  <c r="Z143" i="2"/>
  <c r="Z297" i="2"/>
  <c r="X554" i="2"/>
  <c r="Z292" i="2"/>
  <c r="Z431" i="2"/>
  <c r="Z338" i="2"/>
  <c r="Z277" i="2"/>
  <c r="Z136" i="2"/>
  <c r="Z379" i="2"/>
  <c r="Z331" i="2"/>
  <c r="Z55" i="2"/>
  <c r="Z411" i="2"/>
  <c r="Z237" i="2"/>
  <c r="Z245" i="2"/>
  <c r="Z521" i="2"/>
  <c r="Z475" i="2"/>
  <c r="Z308" i="2"/>
  <c r="Z92" i="2"/>
  <c r="Z194" i="2"/>
  <c r="Z544" i="2"/>
  <c r="Z392" i="2"/>
  <c r="Z117" i="2"/>
  <c r="Z215" i="2"/>
  <c r="Z109" i="2"/>
  <c r="Z359" i="2"/>
  <c r="Z46" i="2"/>
  <c r="Z67" i="2"/>
  <c r="Z24" i="2"/>
  <c r="Z158" i="2"/>
  <c r="Z169" i="2"/>
  <c r="Z491" i="2"/>
  <c r="Z188" i="2"/>
  <c r="Z32" i="2"/>
  <c r="Y551" i="2"/>
  <c r="Z405" i="2"/>
  <c r="Z448" i="2"/>
  <c r="Z443" i="2"/>
  <c r="Z124" i="2"/>
  <c r="Z174" i="2"/>
  <c r="Z150" i="2"/>
  <c r="Z399" i="2"/>
  <c r="Y555" i="2"/>
  <c r="Z511" i="2"/>
  <c r="Z74" i="2"/>
  <c r="Y553" i="2"/>
  <c r="Z505" i="2"/>
  <c r="Y552" i="2"/>
  <c r="Y554" i="2" s="1"/>
  <c r="Z464" i="2"/>
  <c r="Z556" i="2" l="1"/>
</calcChain>
</file>

<file path=xl/sharedStrings.xml><?xml version="1.0" encoding="utf-8"?>
<sst xmlns="http://schemas.openxmlformats.org/spreadsheetml/2006/main" count="4201" uniqueCount="895">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</sst>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1"/>
  <sheetViews>
    <sheetView showGridLines="0" tabSelected="1" topLeftCell="A528" zoomScaleNormal="100" zoomScaleSheetLayoutView="100" workbookViewId="0">
      <selection activeCell="X557" sqref="X55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67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68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/>
      <c r="I5" s="643"/>
      <c r="J5" s="643"/>
      <c r="K5" s="643"/>
      <c r="L5" s="643"/>
      <c r="M5" s="643"/>
      <c r="N5" s="72"/>
      <c r="P5" s="27" t="s">
        <v>4</v>
      </c>
      <c r="Q5" s="645">
        <v>46233</v>
      </c>
      <c r="R5" s="645"/>
      <c r="T5" s="646" t="s">
        <v>3</v>
      </c>
      <c r="U5" s="647"/>
      <c r="V5" s="648" t="s">
        <v>871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878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Четверг</v>
      </c>
      <c r="R6" s="651"/>
      <c r="T6" s="652" t="s">
        <v>5</v>
      </c>
      <c r="U6" s="653"/>
      <c r="V6" s="654" t="s">
        <v>70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3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58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0.41666666666666669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71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55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72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73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74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75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61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59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66</v>
      </c>
      <c r="L17" s="684" t="s">
        <v>64</v>
      </c>
      <c r="M17" s="684" t="s">
        <v>2</v>
      </c>
      <c r="N17" s="684" t="s">
        <v>63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56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60</v>
      </c>
      <c r="AB17" s="698" t="s">
        <v>19</v>
      </c>
      <c r="AC17" s="698" t="s">
        <v>65</v>
      </c>
      <c r="AD17" s="700" t="s">
        <v>57</v>
      </c>
      <c r="AE17" s="701"/>
      <c r="AF17" s="702"/>
      <c r="AG17" s="82"/>
      <c r="BD17" s="81" t="s">
        <v>62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customHeight="1" x14ac:dyDescent="0.2">
      <c r="A19" s="706" t="s">
        <v>76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customHeight="1" x14ac:dyDescent="0.25">
      <c r="A20" s="707" t="s">
        <v>76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customHeight="1" x14ac:dyDescent="0.25">
      <c r="A21" s="708" t="s">
        <v>77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708" t="s">
        <v>86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54.6</v>
      </c>
      <c r="Y30" s="55">
        <f>IFERROR(IF(X30="",0,CEILING((X30/$H30),1)*$H30),"")</f>
        <v>55.800000000000004</v>
      </c>
      <c r="Z30" s="41">
        <f>IFERROR(IF(Y30=0,"",ROUNDUP(Y30/H30,0)*0.00651),"")</f>
        <v>0.20181000000000002</v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96.460000000000008</v>
      </c>
      <c r="BN30" s="78">
        <f>IFERROR(Y30*I30/H30,"0")</f>
        <v>98.580000000000013</v>
      </c>
      <c r="BO30" s="78">
        <f>IFERROR(1/J30*(X30/H30),"0")</f>
        <v>0.16666666666666669</v>
      </c>
      <c r="BP30" s="78">
        <f>IFERROR(1/J30*(Y30/H30),"0")</f>
        <v>0.17032967032967034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30.333333333333332</v>
      </c>
      <c r="Y32" s="43">
        <f>IFERROR(Y27/H27,"0")+IFERROR(Y28/H28,"0")+IFERROR(Y29/H29,"0")+IFERROR(Y30/H30,"0")+IFERROR(Y31/H31,"0")</f>
        <v>31</v>
      </c>
      <c r="Z32" s="43">
        <f>IFERROR(IF(Z27="",0,Z27),"0")+IFERROR(IF(Z28="",0,Z28),"0")+IFERROR(IF(Z29="",0,Z29),"0")+IFERROR(IF(Z30="",0,Z30),"0")+IFERROR(IF(Z31="",0,Z31),"0")</f>
        <v>0.20181000000000002</v>
      </c>
      <c r="AA32" s="67"/>
      <c r="AB32" s="67"/>
      <c r="AC32" s="67"/>
    </row>
    <row r="33" spans="1:68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54.6</v>
      </c>
      <c r="Y33" s="43">
        <f>IFERROR(SUM(Y27:Y31),"0")</f>
        <v>55.800000000000004</v>
      </c>
      <c r="Z33" s="42"/>
      <c r="AA33" s="67"/>
      <c r="AB33" s="67"/>
      <c r="AC33" s="67"/>
    </row>
    <row r="34" spans="1:68" ht="14.25" customHeight="1" x14ac:dyDescent="0.25">
      <c r="A34" s="708" t="s">
        <v>104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customHeight="1" x14ac:dyDescent="0.25">
      <c r="A39" s="707" t="s">
        <v>110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customHeight="1" x14ac:dyDescent="0.25">
      <c r="A40" s="708" t="s">
        <v>86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123</v>
      </c>
      <c r="B45" s="63" t="s">
        <v>124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706" t="s">
        <v>126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customHeight="1" x14ac:dyDescent="0.25">
      <c r="A49" s="707" t="s">
        <v>127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customHeight="1" x14ac:dyDescent="0.25">
      <c r="A50" s="708" t="s">
        <v>128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134</v>
      </c>
      <c r="B52" s="63" t="s">
        <v>135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83.72</v>
      </c>
      <c r="Y53" s="55">
        <f>IFERROR(IF(X53="",0,CEILING((X53/$H53),1)*$H53),"")</f>
        <v>84</v>
      </c>
      <c r="Z53" s="41">
        <f>IFERROR(IF(Y53=0,"",ROUNDUP(Y53/H53,0)*0.00902),"")</f>
        <v>0.18942000000000001</v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87.696700000000007</v>
      </c>
      <c r="BN53" s="78">
        <f>IFERROR(Y53*I53/H53,"0")</f>
        <v>87.990000000000009</v>
      </c>
      <c r="BO53" s="78">
        <f>IFERROR(1/J53*(X53/H53),"0")</f>
        <v>0.15856060606060607</v>
      </c>
      <c r="BP53" s="78">
        <f>IFERROR(1/J53*(Y53/H53),"0")</f>
        <v>0.15909090909090909</v>
      </c>
    </row>
    <row r="54" spans="1:68" ht="27" customHeight="1" x14ac:dyDescent="0.25">
      <c r="A54" s="63" t="s">
        <v>141</v>
      </c>
      <c r="B54" s="63" t="s">
        <v>142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20.93</v>
      </c>
      <c r="Y55" s="43">
        <f>IFERROR(Y51/H51,"0")+IFERROR(Y52/H52,"0")+IFERROR(Y53/H53,"0")+IFERROR(Y54/H54,"0")</f>
        <v>21</v>
      </c>
      <c r="Z55" s="43">
        <f>IFERROR(IF(Z51="",0,Z51),"0")+IFERROR(IF(Z52="",0,Z52),"0")+IFERROR(IF(Z53="",0,Z53),"0")+IFERROR(IF(Z54="",0,Z54),"0")</f>
        <v>0.18942000000000001</v>
      </c>
      <c r="AA55" s="67"/>
      <c r="AB55" s="67"/>
      <c r="AC55" s="67"/>
    </row>
    <row r="56" spans="1:68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83.72</v>
      </c>
      <c r="Y56" s="43">
        <f>IFERROR(SUM(Y51:Y54),"0")</f>
        <v>84</v>
      </c>
      <c r="Z56" s="42"/>
      <c r="AA56" s="67"/>
      <c r="AB56" s="67"/>
      <c r="AC56" s="67"/>
    </row>
    <row r="57" spans="1:68" ht="16.5" customHeight="1" x14ac:dyDescent="0.25">
      <c r="A57" s="707" t="s">
        <v>143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customHeight="1" x14ac:dyDescent="0.25">
      <c r="A58" s="708" t="s">
        <v>128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144</v>
      </c>
      <c r="B60" s="63" t="s">
        <v>147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152</v>
      </c>
      <c r="B63" s="63" t="s">
        <v>155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156</v>
      </c>
      <c r="B64" s="63" t="s">
        <v>157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159</v>
      </c>
      <c r="B65" s="63" t="s">
        <v>160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customHeight="1" x14ac:dyDescent="0.25">
      <c r="A69" s="708" t="s">
        <v>164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168</v>
      </c>
      <c r="B71" s="63" t="s">
        <v>169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170</v>
      </c>
      <c r="B72" s="63" t="s">
        <v>171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65.507000000000005</v>
      </c>
      <c r="Y73" s="55">
        <f>IFERROR(IF(X73="",0,CEILING((X73/$H73),1)*$H73),"")</f>
        <v>67.5</v>
      </c>
      <c r="Z73" s="41">
        <f>IFERROR(IF(Y73=0,"",ROUNDUP(Y73/H73,0)*0.00651),"")</f>
        <v>0.16275000000000001</v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69.874133333333333</v>
      </c>
      <c r="BN73" s="78">
        <f>IFERROR(Y73*I73/H73,"0")</f>
        <v>72</v>
      </c>
      <c r="BO73" s="78">
        <f>IFERROR(1/J73*(X73/H73),"0")</f>
        <v>0.13330687830687832</v>
      </c>
      <c r="BP73" s="78">
        <f>IFERROR(1/J73*(Y73/H73),"0")</f>
        <v>0.13736263736263737</v>
      </c>
    </row>
    <row r="74" spans="1:68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24.261851851851851</v>
      </c>
      <c r="Y74" s="43">
        <f>IFERROR(Y70/H70,"0")+IFERROR(Y71/H71,"0")+IFERROR(Y72/H72,"0")+IFERROR(Y73/H73,"0")</f>
        <v>25</v>
      </c>
      <c r="Z74" s="43">
        <f>IFERROR(IF(Z70="",0,Z70),"0")+IFERROR(IF(Z71="",0,Z71),"0")+IFERROR(IF(Z72="",0,Z72),"0")+IFERROR(IF(Z73="",0,Z73),"0")</f>
        <v>0.16275000000000001</v>
      </c>
      <c r="AA74" s="67"/>
      <c r="AB74" s="67"/>
      <c r="AC74" s="67"/>
    </row>
    <row r="75" spans="1:68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65.507000000000005</v>
      </c>
      <c r="Y75" s="43">
        <f>IFERROR(SUM(Y70:Y73),"0")</f>
        <v>67.5</v>
      </c>
      <c r="Z75" s="42"/>
      <c r="AA75" s="67"/>
      <c r="AB75" s="67"/>
      <c r="AC75" s="67"/>
    </row>
    <row r="76" spans="1:68" ht="14.25" customHeight="1" x14ac:dyDescent="0.25">
      <c r="A76" s="708" t="s">
        <v>86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customHeight="1" x14ac:dyDescent="0.25">
      <c r="A77" s="63" t="s">
        <v>175</v>
      </c>
      <c r="B77" s="63" t="s">
        <v>176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45.08</v>
      </c>
      <c r="Y77" s="55">
        <f>IFERROR(IF(X77="",0,CEILING((X77/$H77),1)*$H77),"")</f>
        <v>46.800000000000004</v>
      </c>
      <c r="Z77" s="41">
        <f>IFERROR(IF(Y77=0,"",ROUNDUP(Y77/H77,0)*0.00651),"")</f>
        <v>0.16925999999999999</v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51.240933333333331</v>
      </c>
      <c r="BN77" s="78">
        <f>IFERROR(Y77*I77/H77,"0")</f>
        <v>53.195999999999998</v>
      </c>
      <c r="BO77" s="78">
        <f>IFERROR(1/J77*(X77/H77),"0")</f>
        <v>0.13760683760683762</v>
      </c>
      <c r="BP77" s="78">
        <f>IFERROR(1/J77*(Y77/H77),"0")</f>
        <v>0.14285714285714288</v>
      </c>
    </row>
    <row r="78" spans="1:68" ht="27" customHeight="1" x14ac:dyDescent="0.25">
      <c r="A78" s="63" t="s">
        <v>178</v>
      </c>
      <c r="B78" s="63" t="s">
        <v>179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42.262999999999998</v>
      </c>
      <c r="Y78" s="55">
        <f>IFERROR(IF(X78="",0,CEILING((X78/$H78),1)*$H78),"")</f>
        <v>43.2</v>
      </c>
      <c r="Z78" s="41">
        <f>IFERROR(IF(Y78=0,"",ROUNDUP(Y78/H78,0)*0.00651),"")</f>
        <v>0.15623999999999999</v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46.4893</v>
      </c>
      <c r="BN78" s="78">
        <f>IFERROR(Y78*I78/H78,"0")</f>
        <v>47.52</v>
      </c>
      <c r="BO78" s="78">
        <f>IFERROR(1/J78*(X78/H78),"0")</f>
        <v>0.12900793650793652</v>
      </c>
      <c r="BP78" s="78">
        <f>IFERROR(1/J78*(Y78/H78),"0")</f>
        <v>0.13186813186813187</v>
      </c>
    </row>
    <row r="79" spans="1:68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48.523888888888891</v>
      </c>
      <c r="Y79" s="43">
        <f>IFERROR(Y77/H77,"0")+IFERROR(Y78/H78,"0")</f>
        <v>50</v>
      </c>
      <c r="Z79" s="43">
        <f>IFERROR(IF(Z77="",0,Z77),"0")+IFERROR(IF(Z78="",0,Z78),"0")</f>
        <v>0.32550000000000001</v>
      </c>
      <c r="AA79" s="67"/>
      <c r="AB79" s="67"/>
      <c r="AC79" s="67"/>
    </row>
    <row r="80" spans="1:68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87.342999999999989</v>
      </c>
      <c r="Y80" s="43">
        <f>IFERROR(SUM(Y77:Y78),"0")</f>
        <v>90</v>
      </c>
      <c r="Z80" s="42"/>
      <c r="AA80" s="67"/>
      <c r="AB80" s="67"/>
      <c r="AC80" s="67"/>
    </row>
    <row r="81" spans="1:68" ht="14.25" customHeight="1" x14ac:dyDescent="0.25">
      <c r="A81" s="708" t="s">
        <v>181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customHeight="1" x14ac:dyDescent="0.25">
      <c r="A82" s="63" t="s">
        <v>182</v>
      </c>
      <c r="B82" s="63" t="s">
        <v>183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185</v>
      </c>
      <c r="B83" s="63" t="s">
        <v>186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41.32</v>
      </c>
      <c r="Y83" s="55">
        <f>IFERROR(IF(X83="",0,CEILING((X83/$H83),1)*$H83),"")</f>
        <v>43.199999999999996</v>
      </c>
      <c r="Z83" s="41">
        <f>IFERROR(IF(Y83=0,"",ROUNDUP(Y83/H83,0)*0.00902),"")</f>
        <v>0.16236</v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44.591166666666666</v>
      </c>
      <c r="BN83" s="78">
        <f>IFERROR(Y83*I83/H83,"0")</f>
        <v>46.61999999999999</v>
      </c>
      <c r="BO83" s="78">
        <f>IFERROR(1/J83*(X83/H83),"0")</f>
        <v>0.13042929292929295</v>
      </c>
      <c r="BP83" s="78">
        <f>IFERROR(1/J83*(Y83/H83),"0")</f>
        <v>0.13636363636363635</v>
      </c>
    </row>
    <row r="84" spans="1:68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17.216666666666669</v>
      </c>
      <c r="Y84" s="43">
        <f>IFERROR(Y82/H82,"0")+IFERROR(Y83/H83,"0")</f>
        <v>18</v>
      </c>
      <c r="Z84" s="43">
        <f>IFERROR(IF(Z82="",0,Z82),"0")+IFERROR(IF(Z83="",0,Z83),"0")</f>
        <v>0.16236</v>
      </c>
      <c r="AA84" s="67"/>
      <c r="AB84" s="67"/>
      <c r="AC84" s="67"/>
    </row>
    <row r="85" spans="1:68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41.32</v>
      </c>
      <c r="Y85" s="43">
        <f>IFERROR(SUM(Y82:Y83),"0")</f>
        <v>43.199999999999996</v>
      </c>
      <c r="Z85" s="42"/>
      <c r="AA85" s="67"/>
      <c r="AB85" s="67"/>
      <c r="AC85" s="67"/>
    </row>
    <row r="86" spans="1:68" ht="16.5" customHeight="1" x14ac:dyDescent="0.25">
      <c r="A86" s="707" t="s">
        <v>188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customHeight="1" x14ac:dyDescent="0.25">
      <c r="A87" s="708" t="s">
        <v>128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192</v>
      </c>
      <c r="B89" s="63" t="s">
        <v>193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15.64</v>
      </c>
      <c r="Y89" s="55">
        <f>IFERROR(IF(X89="",0,CEILING((X89/$H89),1)*$H89),"")</f>
        <v>17</v>
      </c>
      <c r="Z89" s="41">
        <f>IFERROR(IF(Y89=0,"",ROUNDUP(Y89/H89,0)*0.00726),"")</f>
        <v>7.2599999999999998E-2</v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16.560000000000002</v>
      </c>
      <c r="BN89" s="78">
        <f>IFERROR(Y89*I89/H89,"0")</f>
        <v>18</v>
      </c>
      <c r="BO89" s="78">
        <f>IFERROR(1/J89*(X89/H89),"0")</f>
        <v>4.791666666666667E-2</v>
      </c>
      <c r="BP89" s="78">
        <f>IFERROR(1/J89*(Y89/H89),"0")</f>
        <v>5.2083333333333329E-2</v>
      </c>
    </row>
    <row r="90" spans="1:68" ht="27" customHeight="1" x14ac:dyDescent="0.25">
      <c r="A90" s="63" t="s">
        <v>195</v>
      </c>
      <c r="B90" s="63" t="s">
        <v>196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9.2000000000000011</v>
      </c>
      <c r="Y92" s="43">
        <f>IFERROR(Y88/H88,"0")+IFERROR(Y89/H89,"0")+IFERROR(Y90/H90,"0")+IFERROR(Y91/H91,"0")</f>
        <v>10</v>
      </c>
      <c r="Z92" s="43">
        <f>IFERROR(IF(Z88="",0,Z88),"0")+IFERROR(IF(Z89="",0,Z89),"0")+IFERROR(IF(Z90="",0,Z90),"0")+IFERROR(IF(Z91="",0,Z91),"0")</f>
        <v>7.2599999999999998E-2</v>
      </c>
      <c r="AA92" s="67"/>
      <c r="AB92" s="67"/>
      <c r="AC92" s="67"/>
    </row>
    <row r="93" spans="1:68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15.64</v>
      </c>
      <c r="Y93" s="43">
        <f>IFERROR(SUM(Y88:Y91),"0")</f>
        <v>17</v>
      </c>
      <c r="Z93" s="42"/>
      <c r="AA93" s="67"/>
      <c r="AB93" s="67"/>
      <c r="AC93" s="67"/>
    </row>
    <row r="94" spans="1:68" ht="14.25" customHeight="1" x14ac:dyDescent="0.25">
      <c r="A94" s="708" t="s">
        <v>86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202</v>
      </c>
      <c r="B96" s="63" t="s">
        <v>203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156.37100000000001</v>
      </c>
      <c r="Y97" s="55">
        <f>IFERROR(IF(X97="",0,CEILING((X97/$H97),1)*$H97),"")</f>
        <v>156.60000000000002</v>
      </c>
      <c r="Z97" s="41">
        <f>IFERROR(IF(Y97=0,"",ROUNDUP(Y97/H97,0)*0.00651),"")</f>
        <v>0.37758000000000003</v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170.96562666666665</v>
      </c>
      <c r="BN97" s="78">
        <f>IFERROR(Y97*I97/H97,"0")</f>
        <v>171.21600000000001</v>
      </c>
      <c r="BO97" s="78">
        <f>IFERROR(1/J97*(X97/H97),"0")</f>
        <v>0.31821530321530322</v>
      </c>
      <c r="BP97" s="78">
        <f>IFERROR(1/J97*(Y97/H97),"0")</f>
        <v>0.31868131868131877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57.915185185185187</v>
      </c>
      <c r="Y99" s="43">
        <f>IFERROR(Y95/H95,"0")+IFERROR(Y96/H96,"0")+IFERROR(Y97/H97,"0")+IFERROR(Y98/H98,"0")</f>
        <v>58.000000000000007</v>
      </c>
      <c r="Z99" s="43">
        <f>IFERROR(IF(Z95="",0,Z95),"0")+IFERROR(IF(Z96="",0,Z96),"0")+IFERROR(IF(Z97="",0,Z97),"0")+IFERROR(IF(Z98="",0,Z98),"0")</f>
        <v>0.37758000000000003</v>
      </c>
      <c r="AA99" s="67"/>
      <c r="AB99" s="67"/>
      <c r="AC99" s="67"/>
    </row>
    <row r="100" spans="1:68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156.37100000000001</v>
      </c>
      <c r="Y100" s="43">
        <f>IFERROR(SUM(Y95:Y98),"0")</f>
        <v>156.60000000000002</v>
      </c>
      <c r="Z100" s="42"/>
      <c r="AA100" s="67"/>
      <c r="AB100" s="67"/>
      <c r="AC100" s="67"/>
    </row>
    <row r="101" spans="1:68" ht="16.5" customHeight="1" x14ac:dyDescent="0.25">
      <c r="A101" s="707" t="s">
        <v>209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customHeight="1" x14ac:dyDescent="0.25">
      <c r="A102" s="708" t="s">
        <v>128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 x14ac:dyDescent="0.25">
      <c r="A104" s="63" t="s">
        <v>213</v>
      </c>
      <c r="B104" s="63" t="s">
        <v>214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11.88</v>
      </c>
      <c r="Y104" s="55">
        <f t="shared" si="5"/>
        <v>12.100000000000001</v>
      </c>
      <c r="Z104" s="41">
        <f>IFERROR(IF(Y104=0,"",ROUNDUP(Y104/H104,0)*0.00726),"")</f>
        <v>7.986E-2</v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14.148</v>
      </c>
      <c r="BN104" s="78">
        <f t="shared" si="7"/>
        <v>14.410000000000002</v>
      </c>
      <c r="BO104" s="78">
        <f t="shared" si="8"/>
        <v>5.6250000000000001E-2</v>
      </c>
      <c r="BP104" s="78">
        <f t="shared" si="9"/>
        <v>5.7291666666666664E-2</v>
      </c>
    </row>
    <row r="105" spans="1:68" ht="27" customHeight="1" x14ac:dyDescent="0.25">
      <c r="A105" s="63" t="s">
        <v>213</v>
      </c>
      <c r="B105" s="63" t="s">
        <v>216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217</v>
      </c>
      <c r="B106" s="63" t="s">
        <v>218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 x14ac:dyDescent="0.25">
      <c r="A108" s="63" t="s">
        <v>221</v>
      </c>
      <c r="B108" s="63" t="s">
        <v>222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10.8</v>
      </c>
      <c r="Y109" s="43">
        <f>IFERROR(Y103/H103,"0")+IFERROR(Y104/H104,"0")+IFERROR(Y105/H105,"0")+IFERROR(Y106/H106,"0")+IFERROR(Y107/H107,"0")+IFERROR(Y108/H108,"0")</f>
        <v>11</v>
      </c>
      <c r="Z109" s="43">
        <f>IFERROR(IF(Z103="",0,Z103),"0")+IFERROR(IF(Z104="",0,Z104),"0")+IFERROR(IF(Z105="",0,Z105),"0")+IFERROR(IF(Z106="",0,Z106),"0")+IFERROR(IF(Z107="",0,Z107),"0")+IFERROR(IF(Z108="",0,Z108),"0")</f>
        <v>7.986E-2</v>
      </c>
      <c r="AA109" s="67"/>
      <c r="AB109" s="67"/>
      <c r="AC109" s="67"/>
    </row>
    <row r="110" spans="1:68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11.88</v>
      </c>
      <c r="Y110" s="43">
        <f>IFERROR(SUM(Y103:Y108),"0")</f>
        <v>12.100000000000001</v>
      </c>
      <c r="Z110" s="42"/>
      <c r="AA110" s="67"/>
      <c r="AB110" s="67"/>
      <c r="AC110" s="67"/>
    </row>
    <row r="111" spans="1:68" ht="14.25" customHeight="1" x14ac:dyDescent="0.25">
      <c r="A111" s="708" t="s">
        <v>164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customHeight="1" x14ac:dyDescent="0.25">
      <c r="A112" s="63" t="s">
        <v>223</v>
      </c>
      <c r="B112" s="63" t="s">
        <v>224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226</v>
      </c>
      <c r="B113" s="63" t="s">
        <v>227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11.605</v>
      </c>
      <c r="Y113" s="55">
        <f>IFERROR(IF(X113="",0,CEILING((X113/$H113),1)*$H113),"")</f>
        <v>12</v>
      </c>
      <c r="Z113" s="41">
        <f>IFERROR(IF(Y113=0,"",ROUNDUP(Y113/H113,0)*0.00358),"")</f>
        <v>4.2959999999999998E-2</v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14.04205</v>
      </c>
      <c r="BN113" s="78">
        <f>IFERROR(Y113*I113/H113,"0")</f>
        <v>14.52</v>
      </c>
      <c r="BO113" s="78">
        <f>IFERROR(1/J113*(X113/H113),"0")</f>
        <v>2.9604591836734691E-2</v>
      </c>
      <c r="BP113" s="78">
        <f>IFERROR(1/J113*(Y113/H113),"0")</f>
        <v>3.0612244897959183E-2</v>
      </c>
    </row>
    <row r="114" spans="1:68" ht="27" customHeight="1" x14ac:dyDescent="0.25">
      <c r="A114" s="63" t="s">
        <v>226</v>
      </c>
      <c r="B114" s="63" t="s">
        <v>230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231</v>
      </c>
      <c r="B115" s="63" t="s">
        <v>232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11.605</v>
      </c>
      <c r="Y117" s="43">
        <f>IFERROR(Y112/H112,"0")+IFERROR(Y113/H113,"0")+IFERROR(Y114/H114,"0")+IFERROR(Y115/H115,"0")+IFERROR(Y116/H116,"0")</f>
        <v>12</v>
      </c>
      <c r="Z117" s="43">
        <f>IFERROR(IF(Z112="",0,Z112),"0")+IFERROR(IF(Z113="",0,Z113),"0")+IFERROR(IF(Z114="",0,Z114),"0")+IFERROR(IF(Z115="",0,Z115),"0")+IFERROR(IF(Z116="",0,Z116),"0")</f>
        <v>4.2959999999999998E-2</v>
      </c>
      <c r="AA117" s="67"/>
      <c r="AB117" s="67"/>
      <c r="AC117" s="67"/>
    </row>
    <row r="118" spans="1:68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11.605</v>
      </c>
      <c r="Y118" s="43">
        <f>IFERROR(SUM(Y112:Y116),"0")</f>
        <v>12</v>
      </c>
      <c r="Z118" s="42"/>
      <c r="AA118" s="67"/>
      <c r="AB118" s="67"/>
      <c r="AC118" s="67"/>
    </row>
    <row r="119" spans="1:68" ht="14.25" customHeight="1" x14ac:dyDescent="0.25">
      <c r="A119" s="708" t="s">
        <v>86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customHeight="1" x14ac:dyDescent="0.25">
      <c r="A121" s="63" t="s">
        <v>238</v>
      </c>
      <c r="B121" s="63" t="s">
        <v>239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78.688999999999993</v>
      </c>
      <c r="Y123" s="55">
        <f>IFERROR(IF(X123="",0,CEILING((X123/$H123),1)*$H123),"")</f>
        <v>79.2</v>
      </c>
      <c r="Z123" s="41">
        <f>IFERROR(IF(Y123=0,"",ROUNDUP(Y123/H123,0)*0.00651),"")</f>
        <v>0.28644000000000003</v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86.557899999999989</v>
      </c>
      <c r="BN123" s="78">
        <f>IFERROR(Y123*I123/H123,"0")</f>
        <v>87.12</v>
      </c>
      <c r="BO123" s="78">
        <f>IFERROR(1/J123*(X123/H123),"0")</f>
        <v>0.24019841269841269</v>
      </c>
      <c r="BP123" s="78">
        <f>IFERROR(1/J123*(Y123/H123),"0")</f>
        <v>0.24175824175824179</v>
      </c>
    </row>
    <row r="124" spans="1:68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43.716111111111104</v>
      </c>
      <c r="Y124" s="43">
        <f>IFERROR(Y120/H120,"0")+IFERROR(Y121/H121,"0")+IFERROR(Y122/H122,"0")+IFERROR(Y123/H123,"0")</f>
        <v>44</v>
      </c>
      <c r="Z124" s="43">
        <f>IFERROR(IF(Z120="",0,Z120),"0")+IFERROR(IF(Z121="",0,Z121),"0")+IFERROR(IF(Z122="",0,Z122),"0")+IFERROR(IF(Z123="",0,Z123),"0")</f>
        <v>0.28644000000000003</v>
      </c>
      <c r="AA124" s="67"/>
      <c r="AB124" s="67"/>
      <c r="AC124" s="67"/>
    </row>
    <row r="125" spans="1:68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78.688999999999993</v>
      </c>
      <c r="Y125" s="43">
        <f>IFERROR(SUM(Y120:Y123),"0")</f>
        <v>79.2</v>
      </c>
      <c r="Z125" s="42"/>
      <c r="AA125" s="67"/>
      <c r="AB125" s="67"/>
      <c r="AC125" s="67"/>
    </row>
    <row r="126" spans="1:68" ht="14.25" customHeight="1" x14ac:dyDescent="0.25">
      <c r="A126" s="708" t="s">
        <v>181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customHeight="1" x14ac:dyDescent="0.25">
      <c r="A127" s="63" t="s">
        <v>245</v>
      </c>
      <c r="B127" s="63" t="s">
        <v>246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customHeight="1" x14ac:dyDescent="0.25">
      <c r="A130" s="707" t="s">
        <v>248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customHeight="1" x14ac:dyDescent="0.25">
      <c r="A131" s="708" t="s">
        <v>128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customHeight="1" x14ac:dyDescent="0.25">
      <c r="A132" s="63" t="s">
        <v>249</v>
      </c>
      <c r="B132" s="63" t="s">
        <v>250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254</v>
      </c>
      <c r="B133" s="63" t="s">
        <v>255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256</v>
      </c>
      <c r="B134" s="63" t="s">
        <v>257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256</v>
      </c>
      <c r="B135" s="63" t="s">
        <v>259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customHeight="1" x14ac:dyDescent="0.25">
      <c r="A138" s="708" t="s">
        <v>77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customHeight="1" x14ac:dyDescent="0.25">
      <c r="A139" s="63" t="s">
        <v>260</v>
      </c>
      <c r="B139" s="63" t="s">
        <v>261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customHeight="1" x14ac:dyDescent="0.25">
      <c r="A140" s="63" t="s">
        <v>263</v>
      </c>
      <c r="B140" s="63" t="s">
        <v>264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265</v>
      </c>
      <c r="B141" s="63" t="s">
        <v>266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265</v>
      </c>
      <c r="B142" s="63" t="s">
        <v>268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customHeight="1" x14ac:dyDescent="0.25">
      <c r="A145" s="708" t="s">
        <v>86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customHeight="1" x14ac:dyDescent="0.25">
      <c r="A146" s="63" t="s">
        <v>269</v>
      </c>
      <c r="B146" s="63" t="s">
        <v>270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271</v>
      </c>
      <c r="B147" s="63" t="s">
        <v>272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customHeight="1" x14ac:dyDescent="0.25">
      <c r="A148" s="63" t="s">
        <v>273</v>
      </c>
      <c r="B148" s="63" t="s">
        <v>274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customHeight="1" x14ac:dyDescent="0.25">
      <c r="A149" s="63" t="s">
        <v>273</v>
      </c>
      <c r="B149" s="63" t="s">
        <v>275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customHeight="1" x14ac:dyDescent="0.25">
      <c r="A152" s="707" t="s">
        <v>276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customHeight="1" x14ac:dyDescent="0.25">
      <c r="A153" s="708" t="s">
        <v>86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customHeight="1" x14ac:dyDescent="0.25">
      <c r="A154" s="63" t="s">
        <v>277</v>
      </c>
      <c r="B154" s="63" t="s">
        <v>278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customHeight="1" x14ac:dyDescent="0.25">
      <c r="A155" s="63" t="s">
        <v>280</v>
      </c>
      <c r="B155" s="63" t="s">
        <v>281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customHeight="1" x14ac:dyDescent="0.25">
      <c r="A156" s="63" t="s">
        <v>283</v>
      </c>
      <c r="B156" s="63" t="s">
        <v>284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customHeight="1" x14ac:dyDescent="0.25">
      <c r="A157" s="63" t="s">
        <v>286</v>
      </c>
      <c r="B157" s="63" t="s">
        <v>287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customHeight="1" x14ac:dyDescent="0.25">
      <c r="A160" s="708" t="s">
        <v>104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customHeight="1" x14ac:dyDescent="0.25">
      <c r="A161" s="63" t="s">
        <v>289</v>
      </c>
      <c r="B161" s="63" t="s">
        <v>290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customHeight="1" x14ac:dyDescent="0.25">
      <c r="A164" s="707" t="s">
        <v>126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customHeight="1" x14ac:dyDescent="0.25">
      <c r="A165" s="708" t="s">
        <v>128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customHeight="1" x14ac:dyDescent="0.25">
      <c r="A166" s="63" t="s">
        <v>294</v>
      </c>
      <c r="B166" s="63" t="s">
        <v>295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customHeight="1" x14ac:dyDescent="0.25">
      <c r="A167" s="63" t="s">
        <v>297</v>
      </c>
      <c r="B167" s="63" t="s">
        <v>298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customHeight="1" x14ac:dyDescent="0.25">
      <c r="A168" s="63" t="s">
        <v>300</v>
      </c>
      <c r="B168" s="63" t="s">
        <v>301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customHeight="1" x14ac:dyDescent="0.25">
      <c r="A171" s="708" t="s">
        <v>164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customHeight="1" x14ac:dyDescent="0.25">
      <c r="A172" s="63" t="s">
        <v>303</v>
      </c>
      <c r="B172" s="63" t="s">
        <v>304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794" t="s">
        <v>305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customHeight="1" x14ac:dyDescent="0.25">
      <c r="A176" s="708" t="s">
        <v>77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customHeight="1" x14ac:dyDescent="0.25">
      <c r="A177" s="63" t="s">
        <v>310</v>
      </c>
      <c r="B177" s="63" t="s">
        <v>311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customHeight="1" x14ac:dyDescent="0.25">
      <c r="A178" s="63" t="s">
        <v>313</v>
      </c>
      <c r="B178" s="63" t="s">
        <v>314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316</v>
      </c>
      <c r="B179" s="63" t="s">
        <v>317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customHeight="1" x14ac:dyDescent="0.25">
      <c r="A180" s="63" t="s">
        <v>319</v>
      </c>
      <c r="B180" s="63" t="s">
        <v>320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customHeight="1" x14ac:dyDescent="0.25">
      <c r="A181" s="63" t="s">
        <v>322</v>
      </c>
      <c r="B181" s="63" t="s">
        <v>323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customHeight="1" x14ac:dyDescent="0.25">
      <c r="A182" s="63" t="s">
        <v>325</v>
      </c>
      <c r="B182" s="63" t="s">
        <v>326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customHeight="1" x14ac:dyDescent="0.25">
      <c r="A183" s="63" t="s">
        <v>327</v>
      </c>
      <c r="B183" s="63" t="s">
        <v>328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customHeight="1" x14ac:dyDescent="0.25">
      <c r="A184" s="63" t="s">
        <v>327</v>
      </c>
      <c r="B184" s="63" t="s">
        <v>330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customHeight="1" x14ac:dyDescent="0.25">
      <c r="A186" s="63" t="s">
        <v>333</v>
      </c>
      <c r="B186" s="63" t="s">
        <v>334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customHeight="1" x14ac:dyDescent="0.25">
      <c r="A187" s="63" t="s">
        <v>336</v>
      </c>
      <c r="B187" s="63" t="s">
        <v>337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customHeight="1" x14ac:dyDescent="0.25">
      <c r="A190" s="708" t="s">
        <v>86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customHeight="1" x14ac:dyDescent="0.25">
      <c r="A191" s="63" t="s">
        <v>338</v>
      </c>
      <c r="B191" s="63" t="s">
        <v>339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341</v>
      </c>
      <c r="B192" s="63" t="s">
        <v>342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customHeight="1" x14ac:dyDescent="0.25">
      <c r="A193" s="63" t="s">
        <v>344</v>
      </c>
      <c r="B193" s="63" t="s">
        <v>345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customHeight="1" x14ac:dyDescent="0.25">
      <c r="A196" s="708" t="s">
        <v>104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customHeight="1" x14ac:dyDescent="0.25">
      <c r="A197" s="63" t="s">
        <v>347</v>
      </c>
      <c r="B197" s="63" t="s">
        <v>348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customHeight="1" x14ac:dyDescent="0.25">
      <c r="A198" s="63" t="s">
        <v>351</v>
      </c>
      <c r="B198" s="63" t="s">
        <v>352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customHeight="1" x14ac:dyDescent="0.25">
      <c r="A201" s="708" t="s">
        <v>354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customHeight="1" x14ac:dyDescent="0.25">
      <c r="A202" s="63" t="s">
        <v>355</v>
      </c>
      <c r="B202" s="63" t="s">
        <v>356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customHeight="1" x14ac:dyDescent="0.2">
      <c r="A205" s="706" t="s">
        <v>358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customHeight="1" x14ac:dyDescent="0.25">
      <c r="A206" s="707" t="s">
        <v>359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customHeight="1" x14ac:dyDescent="0.25">
      <c r="A207" s="708" t="s">
        <v>128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customHeight="1" x14ac:dyDescent="0.25">
      <c r="A208" s="63" t="s">
        <v>360</v>
      </c>
      <c r="B208" s="63" t="s">
        <v>361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customHeight="1" x14ac:dyDescent="0.25">
      <c r="A209" s="63" t="s">
        <v>362</v>
      </c>
      <c r="B209" s="63" t="s">
        <v>363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customHeight="1" x14ac:dyDescent="0.25">
      <c r="A210" s="63" t="s">
        <v>365</v>
      </c>
      <c r="B210" s="63" t="s">
        <v>366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customHeight="1" x14ac:dyDescent="0.25">
      <c r="A211" s="63" t="s">
        <v>368</v>
      </c>
      <c r="B211" s="63" t="s">
        <v>369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customHeight="1" x14ac:dyDescent="0.25">
      <c r="A212" s="63" t="s">
        <v>371</v>
      </c>
      <c r="B212" s="63" t="s">
        <v>372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customHeight="1" x14ac:dyDescent="0.25">
      <c r="A213" s="63" t="s">
        <v>374</v>
      </c>
      <c r="B213" s="63" t="s">
        <v>375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customHeight="1" x14ac:dyDescent="0.25">
      <c r="A214" s="63" t="s">
        <v>377</v>
      </c>
      <c r="B214" s="63" t="s">
        <v>378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customHeight="1" x14ac:dyDescent="0.25">
      <c r="A217" s="707" t="s">
        <v>380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customHeight="1" x14ac:dyDescent="0.25">
      <c r="A218" s="708" t="s">
        <v>164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customHeight="1" x14ac:dyDescent="0.25">
      <c r="A219" s="63" t="s">
        <v>381</v>
      </c>
      <c r="B219" s="63" t="s">
        <v>382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customHeight="1" x14ac:dyDescent="0.25">
      <c r="A222" s="708" t="s">
        <v>77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customHeight="1" x14ac:dyDescent="0.25">
      <c r="A223" s="63" t="s">
        <v>384</v>
      </c>
      <c r="B223" s="63" t="s">
        <v>385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customHeight="1" x14ac:dyDescent="0.25">
      <c r="A224" s="63" t="s">
        <v>387</v>
      </c>
      <c r="B224" s="63" t="s">
        <v>388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390</v>
      </c>
      <c r="B225" s="63" t="s">
        <v>391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customHeight="1" x14ac:dyDescent="0.25">
      <c r="A226" s="63" t="s">
        <v>393</v>
      </c>
      <c r="B226" s="63" t="s">
        <v>394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10.25</v>
      </c>
      <c r="Y226" s="55">
        <f t="shared" si="21"/>
        <v>10.4</v>
      </c>
      <c r="Z226" s="41">
        <f>IFERROR(IF(Y226=0,"",ROUNDUP(Y226/H226,0)*0.00556),"")</f>
        <v>7.2279999999999997E-2</v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11.915625</v>
      </c>
      <c r="BN226" s="78">
        <f t="shared" si="23"/>
        <v>12.09</v>
      </c>
      <c r="BO226" s="78">
        <f t="shared" si="24"/>
        <v>5.0843253968253968E-2</v>
      </c>
      <c r="BP226" s="78">
        <f t="shared" si="25"/>
        <v>5.1587301587301584E-2</v>
      </c>
    </row>
    <row r="227" spans="1:68" ht="27" customHeight="1" x14ac:dyDescent="0.25">
      <c r="A227" s="63" t="s">
        <v>396</v>
      </c>
      <c r="B227" s="63" t="s">
        <v>397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403</v>
      </c>
      <c r="B230" s="63" t="s">
        <v>404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406</v>
      </c>
      <c r="B231" s="63" t="s">
        <v>407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409</v>
      </c>
      <c r="B232" s="63" t="s">
        <v>410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10.95</v>
      </c>
      <c r="Y233" s="55">
        <f t="shared" si="21"/>
        <v>11.200000000000001</v>
      </c>
      <c r="Z233" s="41">
        <f>IFERROR(IF(Y233=0,"",ROUNDUP(Y233/H233,0)*0.00417),"")</f>
        <v>5.8380000000000001E-2</v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13.824375</v>
      </c>
      <c r="BN233" s="78">
        <f t="shared" si="23"/>
        <v>14.14</v>
      </c>
      <c r="BO233" s="78">
        <f t="shared" si="24"/>
        <v>4.0736607142857137E-2</v>
      </c>
      <c r="BP233" s="78">
        <f t="shared" si="25"/>
        <v>4.1666666666666664E-2</v>
      </c>
    </row>
    <row r="234" spans="1:68" ht="37.5" customHeight="1" x14ac:dyDescent="0.25">
      <c r="A234" s="63" t="s">
        <v>415</v>
      </c>
      <c r="B234" s="63" t="s">
        <v>416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25">
      <c r="A235" s="63" t="s">
        <v>417</v>
      </c>
      <c r="B235" s="63" t="s">
        <v>418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419</v>
      </c>
      <c r="B236" s="63" t="s">
        <v>420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26.5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27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0.13066</v>
      </c>
      <c r="AA237" s="67"/>
      <c r="AB237" s="67"/>
      <c r="AC237" s="67"/>
    </row>
    <row r="238" spans="1:68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21.2</v>
      </c>
      <c r="Y238" s="43">
        <f>IFERROR(SUM(Y223:Y236),"0")</f>
        <v>21.6</v>
      </c>
      <c r="Z238" s="42"/>
      <c r="AA238" s="67"/>
      <c r="AB238" s="67"/>
      <c r="AC238" s="67"/>
    </row>
    <row r="239" spans="1:68" ht="14.25" customHeight="1" x14ac:dyDescent="0.25">
      <c r="A239" s="708" t="s">
        <v>86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customHeight="1" x14ac:dyDescent="0.25">
      <c r="A240" s="63" t="s">
        <v>422</v>
      </c>
      <c r="B240" s="63" t="s">
        <v>423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425</v>
      </c>
      <c r="B241" s="63" t="s">
        <v>426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428</v>
      </c>
      <c r="B242" s="63" t="s">
        <v>429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customHeight="1" x14ac:dyDescent="0.25">
      <c r="A243" s="63" t="s">
        <v>431</v>
      </c>
      <c r="B243" s="63" t="s">
        <v>432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customHeight="1" x14ac:dyDescent="0.25">
      <c r="A244" s="63" t="s">
        <v>434</v>
      </c>
      <c r="B244" s="63" t="s">
        <v>435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customHeight="1" x14ac:dyDescent="0.25">
      <c r="A247" s="708" t="s">
        <v>104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customHeight="1" x14ac:dyDescent="0.25">
      <c r="A248" s="63" t="s">
        <v>436</v>
      </c>
      <c r="B248" s="63" t="s">
        <v>437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439</v>
      </c>
      <c r="B249" s="63" t="s">
        <v>440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442</v>
      </c>
      <c r="B250" s="63" t="s">
        <v>443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customHeight="1" x14ac:dyDescent="0.25">
      <c r="A253" s="708" t="s">
        <v>444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customHeight="1" x14ac:dyDescent="0.25">
      <c r="A254" s="63" t="s">
        <v>445</v>
      </c>
      <c r="B254" s="63" t="s">
        <v>446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customHeight="1" x14ac:dyDescent="0.25">
      <c r="A257" s="707" t="s">
        <v>447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customHeight="1" x14ac:dyDescent="0.25">
      <c r="A258" s="708" t="s">
        <v>128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customHeight="1" x14ac:dyDescent="0.25">
      <c r="A259" s="63" t="s">
        <v>448</v>
      </c>
      <c r="B259" s="63" t="s">
        <v>449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customHeight="1" x14ac:dyDescent="0.25">
      <c r="A260" s="63" t="s">
        <v>451</v>
      </c>
      <c r="B260" s="63" t="s">
        <v>452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customHeight="1" x14ac:dyDescent="0.25">
      <c r="A263" s="708" t="s">
        <v>164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customHeight="1" x14ac:dyDescent="0.25">
      <c r="A264" s="63" t="s">
        <v>453</v>
      </c>
      <c r="B264" s="63" t="s">
        <v>454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customHeight="1" x14ac:dyDescent="0.25">
      <c r="A265" s="63" t="s">
        <v>456</v>
      </c>
      <c r="B265" s="63" t="s">
        <v>457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customHeight="1" x14ac:dyDescent="0.25">
      <c r="A268" s="708" t="s">
        <v>77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customHeight="1" x14ac:dyDescent="0.25">
      <c r="A269" s="63" t="s">
        <v>458</v>
      </c>
      <c r="B269" s="63" t="s">
        <v>459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customHeight="1" x14ac:dyDescent="0.25">
      <c r="A270" s="63" t="s">
        <v>461</v>
      </c>
      <c r="B270" s="63" t="s">
        <v>462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customHeight="1" x14ac:dyDescent="0.25">
      <c r="A271" s="63" t="s">
        <v>464</v>
      </c>
      <c r="B271" s="63" t="s">
        <v>465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customHeight="1" x14ac:dyDescent="0.25">
      <c r="A273" s="63" t="s">
        <v>470</v>
      </c>
      <c r="B273" s="63" t="s">
        <v>471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customHeight="1" x14ac:dyDescent="0.25">
      <c r="A274" s="63" t="s">
        <v>472</v>
      </c>
      <c r="B274" s="63" t="s">
        <v>473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customHeight="1" x14ac:dyDescent="0.25">
      <c r="A275" s="63" t="s">
        <v>474</v>
      </c>
      <c r="B275" s="63" t="s">
        <v>475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customHeight="1" x14ac:dyDescent="0.25">
      <c r="A276" s="63" t="s">
        <v>476</v>
      </c>
      <c r="B276" s="63" t="s">
        <v>477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customHeight="1" x14ac:dyDescent="0.25">
      <c r="A279" s="708" t="s">
        <v>86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customHeight="1" x14ac:dyDescent="0.25">
      <c r="A280" s="63" t="s">
        <v>478</v>
      </c>
      <c r="B280" s="63" t="s">
        <v>479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customHeight="1" x14ac:dyDescent="0.25">
      <c r="A281" s="63" t="s">
        <v>481</v>
      </c>
      <c r="B281" s="63" t="s">
        <v>482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customHeight="1" x14ac:dyDescent="0.25">
      <c r="A283" s="63" t="s">
        <v>487</v>
      </c>
      <c r="B283" s="63" t="s">
        <v>488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146.51</v>
      </c>
      <c r="Y286" s="55">
        <f t="shared" si="32"/>
        <v>148.79999999999998</v>
      </c>
      <c r="Z286" s="41">
        <f>IFERROR(IF(Y286=0,"",ROUNDUP(Y286/H286,0)*0.00651),"")</f>
        <v>0.40362000000000003</v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161.89355</v>
      </c>
      <c r="BN286" s="78">
        <f t="shared" si="34"/>
        <v>164.42400000000001</v>
      </c>
      <c r="BO286" s="78">
        <f t="shared" si="35"/>
        <v>0.3354166666666667</v>
      </c>
      <c r="BP286" s="78">
        <f t="shared" si="36"/>
        <v>0.34065934065934067</v>
      </c>
    </row>
    <row r="287" spans="1:68" ht="27" customHeight="1" x14ac:dyDescent="0.25">
      <c r="A287" s="63" t="s">
        <v>496</v>
      </c>
      <c r="B287" s="63" t="s">
        <v>497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112.7</v>
      </c>
      <c r="Y288" s="55">
        <f t="shared" si="32"/>
        <v>112.8</v>
      </c>
      <c r="Z288" s="41">
        <f>IFERROR(IF(Y288=0,"",ROUNDUP(Y288/H288,0)*0.00651),"")</f>
        <v>0.30597000000000002</v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124.5335</v>
      </c>
      <c r="BN288" s="78">
        <f t="shared" si="34"/>
        <v>124.64400000000001</v>
      </c>
      <c r="BO288" s="78">
        <f t="shared" si="35"/>
        <v>0.25801282051282054</v>
      </c>
      <c r="BP288" s="78">
        <f t="shared" si="36"/>
        <v>0.25824175824175827</v>
      </c>
    </row>
    <row r="289" spans="1:68" ht="27" customHeight="1" x14ac:dyDescent="0.25">
      <c r="A289" s="63" t="s">
        <v>500</v>
      </c>
      <c r="B289" s="63" t="s">
        <v>501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customHeight="1" x14ac:dyDescent="0.25">
      <c r="A290" s="63" t="s">
        <v>503</v>
      </c>
      <c r="B290" s="63" t="s">
        <v>504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customHeight="1" x14ac:dyDescent="0.25">
      <c r="A291" s="63" t="s">
        <v>506</v>
      </c>
      <c r="B291" s="63" t="s">
        <v>507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108.00416666666666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109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0.70959000000000005</v>
      </c>
      <c r="AA292" s="67"/>
      <c r="AB292" s="67"/>
      <c r="AC292" s="67"/>
    </row>
    <row r="293" spans="1:68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259.20999999999998</v>
      </c>
      <c r="Y293" s="43">
        <f>IFERROR(SUM(Y280:Y291),"0")</f>
        <v>261.59999999999997</v>
      </c>
      <c r="Z293" s="42"/>
      <c r="AA293" s="67"/>
      <c r="AB293" s="67"/>
      <c r="AC293" s="67"/>
    </row>
    <row r="294" spans="1:68" ht="14.25" customHeight="1" x14ac:dyDescent="0.25">
      <c r="A294" s="708" t="s">
        <v>181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customHeight="1" x14ac:dyDescent="0.25">
      <c r="A295" s="63" t="s">
        <v>509</v>
      </c>
      <c r="B295" s="63" t="s">
        <v>510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customHeight="1" x14ac:dyDescent="0.25">
      <c r="A296" s="63" t="s">
        <v>512</v>
      </c>
      <c r="B296" s="63" t="s">
        <v>513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customHeight="1" x14ac:dyDescent="0.25">
      <c r="A299" s="707" t="s">
        <v>515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customHeight="1" x14ac:dyDescent="0.25">
      <c r="A300" s="708" t="s">
        <v>128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customHeight="1" x14ac:dyDescent="0.25">
      <c r="A301" s="63" t="s">
        <v>516</v>
      </c>
      <c r="B301" s="63" t="s">
        <v>517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customHeight="1" x14ac:dyDescent="0.25">
      <c r="A303" s="63" t="s">
        <v>522</v>
      </c>
      <c r="B303" s="63" t="s">
        <v>523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102.5</v>
      </c>
      <c r="Y304" s="55">
        <f t="shared" si="37"/>
        <v>104</v>
      </c>
      <c r="Z304" s="41">
        <f>IFERROR(IF(Y304=0,"",ROUNDUP(Y304/H304,0)*0.00902),"")</f>
        <v>0.23452000000000001</v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107.36875000000001</v>
      </c>
      <c r="BN304" s="78">
        <f t="shared" si="39"/>
        <v>108.94000000000001</v>
      </c>
      <c r="BO304" s="78">
        <f t="shared" si="40"/>
        <v>0.19412878787878787</v>
      </c>
      <c r="BP304" s="78">
        <f t="shared" si="41"/>
        <v>0.19696969696969696</v>
      </c>
    </row>
    <row r="305" spans="1:68" ht="27" customHeight="1" x14ac:dyDescent="0.25">
      <c r="A305" s="63" t="s">
        <v>526</v>
      </c>
      <c r="B305" s="63" t="s">
        <v>527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customHeight="1" x14ac:dyDescent="0.25">
      <c r="A306" s="63" t="s">
        <v>529</v>
      </c>
      <c r="B306" s="63" t="s">
        <v>530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customHeight="1" x14ac:dyDescent="0.25">
      <c r="A307" s="63" t="s">
        <v>532</v>
      </c>
      <c r="B307" s="63" t="s">
        <v>533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90.16</v>
      </c>
      <c r="Y307" s="55">
        <f t="shared" si="37"/>
        <v>92</v>
      </c>
      <c r="Z307" s="41">
        <f>IFERROR(IF(Y307=0,"",ROUNDUP(Y307/H307,0)*0.00902),"")</f>
        <v>0.20746000000000001</v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94.442599999999999</v>
      </c>
      <c r="BN307" s="78">
        <f t="shared" si="39"/>
        <v>96.37</v>
      </c>
      <c r="BO307" s="78">
        <f t="shared" si="40"/>
        <v>0.17075757575757575</v>
      </c>
      <c r="BP307" s="78">
        <f t="shared" si="41"/>
        <v>0.17424242424242425</v>
      </c>
    </row>
    <row r="308" spans="1:68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48.164999999999999</v>
      </c>
      <c r="Y308" s="43">
        <f>IFERROR(Y301/H301,"0")+IFERROR(Y302/H302,"0")+IFERROR(Y303/H303,"0")+IFERROR(Y304/H304,"0")+IFERROR(Y305/H305,"0")+IFERROR(Y306/H306,"0")+IFERROR(Y307/H307,"0")</f>
        <v>49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0.44198000000000004</v>
      </c>
      <c r="AA308" s="67"/>
      <c r="AB308" s="67"/>
      <c r="AC308" s="67"/>
    </row>
    <row r="309" spans="1:68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192.66</v>
      </c>
      <c r="Y309" s="43">
        <f>IFERROR(SUM(Y301:Y307),"0")</f>
        <v>196</v>
      </c>
      <c r="Z309" s="42"/>
      <c r="AA309" s="67"/>
      <c r="AB309" s="67"/>
      <c r="AC309" s="67"/>
    </row>
    <row r="310" spans="1:68" ht="14.25" customHeight="1" x14ac:dyDescent="0.25">
      <c r="A310" s="708" t="s">
        <v>164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customHeight="1" x14ac:dyDescent="0.25">
      <c r="A311" s="63" t="s">
        <v>534</v>
      </c>
      <c r="B311" s="63" t="s">
        <v>535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customHeight="1" x14ac:dyDescent="0.25">
      <c r="A314" s="708" t="s">
        <v>537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customHeight="1" x14ac:dyDescent="0.25">
      <c r="A315" s="63" t="s">
        <v>538</v>
      </c>
      <c r="B315" s="63" t="s">
        <v>539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customHeight="1" x14ac:dyDescent="0.25">
      <c r="A318" s="708" t="s">
        <v>354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customHeight="1" x14ac:dyDescent="0.25">
      <c r="A319" s="63" t="s">
        <v>541</v>
      </c>
      <c r="B319" s="63" t="s">
        <v>542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544</v>
      </c>
      <c r="B320" s="63" t="s">
        <v>545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546</v>
      </c>
      <c r="B321" s="63" t="s">
        <v>547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customHeight="1" x14ac:dyDescent="0.25">
      <c r="A324" s="707" t="s">
        <v>548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customHeight="1" x14ac:dyDescent="0.25">
      <c r="A325" s="708" t="s">
        <v>128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customHeight="1" x14ac:dyDescent="0.25">
      <c r="A326" s="63" t="s">
        <v>549</v>
      </c>
      <c r="B326" s="63" t="s">
        <v>550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customHeight="1" x14ac:dyDescent="0.25">
      <c r="A327" s="63" t="s">
        <v>552</v>
      </c>
      <c r="B327" s="63" t="s">
        <v>553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555</v>
      </c>
      <c r="B328" s="63" t="s">
        <v>556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558</v>
      </c>
      <c r="B329" s="63" t="s">
        <v>559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customHeight="1" x14ac:dyDescent="0.25">
      <c r="A330" s="63" t="s">
        <v>561</v>
      </c>
      <c r="B330" s="63" t="s">
        <v>562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34</v>
      </c>
      <c r="Y330" s="55">
        <f>IFERROR(IF(X330="",0,CEILING((X330/$H330),1)*$H330),"")</f>
        <v>36</v>
      </c>
      <c r="Z330" s="41">
        <f>IFERROR(IF(Y330=0,"",ROUNDUP(Y330/H330,0)*0.00902),"")</f>
        <v>8.1180000000000002E-2</v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35.615000000000002</v>
      </c>
      <c r="BN330" s="78">
        <f>IFERROR(Y330*I330/H330,"0")</f>
        <v>37.71</v>
      </c>
      <c r="BO330" s="78">
        <f>IFERROR(1/J330*(X330/H330),"0")</f>
        <v>6.4393939393939392E-2</v>
      </c>
      <c r="BP330" s="78">
        <f>IFERROR(1/J330*(Y330/H330),"0")</f>
        <v>6.8181818181818177E-2</v>
      </c>
    </row>
    <row r="331" spans="1:68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8.5</v>
      </c>
      <c r="Y331" s="43">
        <f>IFERROR(Y326/H326,"0")+IFERROR(Y327/H327,"0")+IFERROR(Y328/H328,"0")+IFERROR(Y329/H329,"0")+IFERROR(Y330/H330,"0")</f>
        <v>9</v>
      </c>
      <c r="Z331" s="43">
        <f>IFERROR(IF(Z326="",0,Z326),"0")+IFERROR(IF(Z327="",0,Z327),"0")+IFERROR(IF(Z328="",0,Z328),"0")+IFERROR(IF(Z329="",0,Z329),"0")+IFERROR(IF(Z330="",0,Z330),"0")</f>
        <v>8.1180000000000002E-2</v>
      </c>
      <c r="AA331" s="67"/>
      <c r="AB331" s="67"/>
      <c r="AC331" s="67"/>
    </row>
    <row r="332" spans="1:68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34</v>
      </c>
      <c r="Y332" s="43">
        <f>IFERROR(SUM(Y326:Y330),"0")</f>
        <v>36</v>
      </c>
      <c r="Z332" s="42"/>
      <c r="AA332" s="67"/>
      <c r="AB332" s="67"/>
      <c r="AC332" s="67"/>
    </row>
    <row r="333" spans="1:68" ht="16.5" customHeight="1" x14ac:dyDescent="0.25">
      <c r="A333" s="707" t="s">
        <v>564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customHeight="1" x14ac:dyDescent="0.25">
      <c r="A334" s="708" t="s">
        <v>86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customHeight="1" x14ac:dyDescent="0.25">
      <c r="A335" s="63" t="s">
        <v>565</v>
      </c>
      <c r="B335" s="63" t="s">
        <v>566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568</v>
      </c>
      <c r="B336" s="63" t="s">
        <v>569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5.37</v>
      </c>
      <c r="Y336" s="55">
        <f>IFERROR(IF(X336="",0,CEILING((X336/$H336),1)*$H336),"")</f>
        <v>7.1999999999999993</v>
      </c>
      <c r="Z336" s="41">
        <f>IFERROR(IF(Y336=0,"",ROUNDUP(Y336/H336,0)*0.00651),"")</f>
        <v>1.9529999999999999E-2</v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5.9338500000000005</v>
      </c>
      <c r="BN336" s="78">
        <f>IFERROR(Y336*I336/H336,"0")</f>
        <v>7.9560000000000004</v>
      </c>
      <c r="BO336" s="78">
        <f>IFERROR(1/J336*(X336/H336),"0")</f>
        <v>1.2293956043956047E-2</v>
      </c>
      <c r="BP336" s="78">
        <f>IFERROR(1/J336*(Y336/H336),"0")</f>
        <v>1.6483516483516484E-2</v>
      </c>
    </row>
    <row r="337" spans="1:68" ht="27" customHeight="1" x14ac:dyDescent="0.25">
      <c r="A337" s="63" t="s">
        <v>571</v>
      </c>
      <c r="B337" s="63" t="s">
        <v>572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56.8</v>
      </c>
      <c r="Y337" s="55">
        <f>IFERROR(IF(X337="",0,CEILING((X337/$H337),1)*$H337),"")</f>
        <v>57.599999999999994</v>
      </c>
      <c r="Z337" s="41">
        <f>IFERROR(IF(Y337=0,"",ROUNDUP(Y337/H337,0)*0.00651),"")</f>
        <v>0.15623999999999999</v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61.059999999999995</v>
      </c>
      <c r="BN337" s="78">
        <f>IFERROR(Y337*I337/H337,"0")</f>
        <v>61.919999999999995</v>
      </c>
      <c r="BO337" s="78">
        <f>IFERROR(1/J337*(X337/H337),"0")</f>
        <v>0.13003663003663005</v>
      </c>
      <c r="BP337" s="78">
        <f>IFERROR(1/J337*(Y337/H337),"0")</f>
        <v>0.13186813186813187</v>
      </c>
    </row>
    <row r="338" spans="1:68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25.904166666666669</v>
      </c>
      <c r="Y338" s="43">
        <f>IFERROR(Y335/H335,"0")+IFERROR(Y336/H336,"0")+IFERROR(Y337/H337,"0")</f>
        <v>27</v>
      </c>
      <c r="Z338" s="43">
        <f>IFERROR(IF(Z335="",0,Z335),"0")+IFERROR(IF(Z336="",0,Z336),"0")+IFERROR(IF(Z337="",0,Z337),"0")</f>
        <v>0.17576999999999998</v>
      </c>
      <c r="AA338" s="67"/>
      <c r="AB338" s="67"/>
      <c r="AC338" s="67"/>
    </row>
    <row r="339" spans="1:68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62.169999999999995</v>
      </c>
      <c r="Y339" s="43">
        <f>IFERROR(SUM(Y335:Y337),"0")</f>
        <v>64.8</v>
      </c>
      <c r="Z339" s="42"/>
      <c r="AA339" s="67"/>
      <c r="AB339" s="67"/>
      <c r="AC339" s="67"/>
    </row>
    <row r="340" spans="1:68" ht="16.5" customHeight="1" x14ac:dyDescent="0.25">
      <c r="A340" s="707" t="s">
        <v>573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customHeight="1" x14ac:dyDescent="0.25">
      <c r="A341" s="708" t="s">
        <v>77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customHeight="1" x14ac:dyDescent="0.25">
      <c r="A342" s="63" t="s">
        <v>574</v>
      </c>
      <c r="B342" s="63" t="s">
        <v>575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576</v>
      </c>
      <c r="B343" s="63" t="s">
        <v>577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579</v>
      </c>
      <c r="B344" s="63" t="s">
        <v>580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582</v>
      </c>
      <c r="B345" s="63" t="s">
        <v>583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585</v>
      </c>
      <c r="B346" s="63" t="s">
        <v>586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customHeight="1" x14ac:dyDescent="0.25">
      <c r="A349" s="708" t="s">
        <v>86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customHeight="1" x14ac:dyDescent="0.25">
      <c r="A350" s="63" t="s">
        <v>588</v>
      </c>
      <c r="B350" s="63" t="s">
        <v>589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80.5</v>
      </c>
      <c r="Y350" s="55">
        <f>IFERROR(IF(X350="",0,CEILING((X350/$H350),1)*$H350),"")</f>
        <v>82.8</v>
      </c>
      <c r="Z350" s="41">
        <f>IFERROR(IF(Y350=0,"",ROUNDUP(Y350/H350,0)*0.00902),"")</f>
        <v>0.20746000000000001</v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84.748611111111117</v>
      </c>
      <c r="BN350" s="78">
        <f>IFERROR(Y350*I350/H350,"0")</f>
        <v>87.17</v>
      </c>
      <c r="BO350" s="78">
        <f>IFERROR(1/J350*(X350/H350),"0")</f>
        <v>0.16940235690235692</v>
      </c>
      <c r="BP350" s="78">
        <f>IFERROR(1/J350*(Y350/H350),"0")</f>
        <v>0.17424242424242425</v>
      </c>
    </row>
    <row r="351" spans="1:68" ht="27" customHeight="1" x14ac:dyDescent="0.25">
      <c r="A351" s="63" t="s">
        <v>591</v>
      </c>
      <c r="B351" s="63" t="s">
        <v>592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22.361111111111111</v>
      </c>
      <c r="Y352" s="43">
        <f>IFERROR(Y350/H350,"0")+IFERROR(Y351/H351,"0")</f>
        <v>23</v>
      </c>
      <c r="Z352" s="43">
        <f>IFERROR(IF(Z350="",0,Z350),"0")+IFERROR(IF(Z351="",0,Z351),"0")</f>
        <v>0.20746000000000001</v>
      </c>
      <c r="AA352" s="67"/>
      <c r="AB352" s="67"/>
      <c r="AC352" s="67"/>
    </row>
    <row r="353" spans="1:68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80.5</v>
      </c>
      <c r="Y353" s="43">
        <f>IFERROR(SUM(Y350:Y351),"0")</f>
        <v>82.8</v>
      </c>
      <c r="Z353" s="42"/>
      <c r="AA353" s="67"/>
      <c r="AB353" s="67"/>
      <c r="AC353" s="67"/>
    </row>
    <row r="354" spans="1:68" ht="16.5" customHeight="1" x14ac:dyDescent="0.25">
      <c r="A354" s="707" t="s">
        <v>594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customHeight="1" x14ac:dyDescent="0.25">
      <c r="A355" s="708" t="s">
        <v>128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customHeight="1" x14ac:dyDescent="0.25">
      <c r="A356" s="63" t="s">
        <v>595</v>
      </c>
      <c r="B356" s="63" t="s">
        <v>596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customHeight="1" x14ac:dyDescent="0.25">
      <c r="A357" s="63" t="s">
        <v>597</v>
      </c>
      <c r="B357" s="63" t="s">
        <v>598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600</v>
      </c>
      <c r="B358" s="63" t="s">
        <v>601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customHeight="1" x14ac:dyDescent="0.25">
      <c r="A361" s="707" t="s">
        <v>603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customHeight="1" x14ac:dyDescent="0.25">
      <c r="A362" s="708" t="s">
        <v>128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customHeight="1" x14ac:dyDescent="0.25">
      <c r="A363" s="63" t="s">
        <v>604</v>
      </c>
      <c r="B363" s="63" t="s">
        <v>605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customHeight="1" x14ac:dyDescent="0.25">
      <c r="A364" s="63" t="s">
        <v>607</v>
      </c>
      <c r="B364" s="63" t="s">
        <v>608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customHeight="1" x14ac:dyDescent="0.25">
      <c r="A365" s="63" t="s">
        <v>610</v>
      </c>
      <c r="B365" s="63" t="s">
        <v>611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customHeight="1" x14ac:dyDescent="0.25">
      <c r="A366" s="63" t="s">
        <v>613</v>
      </c>
      <c r="B366" s="63" t="s">
        <v>614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customHeight="1" x14ac:dyDescent="0.25">
      <c r="A367" s="63" t="s">
        <v>616</v>
      </c>
      <c r="B367" s="63" t="s">
        <v>617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customHeight="1" x14ac:dyDescent="0.25">
      <c r="A368" s="63" t="s">
        <v>618</v>
      </c>
      <c r="B368" s="63" t="s">
        <v>619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55</v>
      </c>
      <c r="Y368" s="55">
        <f t="shared" si="42"/>
        <v>56</v>
      </c>
      <c r="Z368" s="41">
        <f>IFERROR(IF(Y368=0,"",ROUNDUP(Y368/H368,0)*0.00902),"")</f>
        <v>0.12628</v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57.612500000000004</v>
      </c>
      <c r="BN368" s="78">
        <f t="shared" si="44"/>
        <v>58.660000000000004</v>
      </c>
      <c r="BO368" s="78">
        <f t="shared" si="45"/>
        <v>0.10416666666666667</v>
      </c>
      <c r="BP368" s="78">
        <f t="shared" si="46"/>
        <v>0.10606060606060606</v>
      </c>
    </row>
    <row r="369" spans="1:68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13.75</v>
      </c>
      <c r="Y369" s="43">
        <f>IFERROR(Y363/H363,"0")+IFERROR(Y364/H364,"0")+IFERROR(Y365/H365,"0")+IFERROR(Y366/H366,"0")+IFERROR(Y367/H367,"0")+IFERROR(Y368/H368,"0")</f>
        <v>14</v>
      </c>
      <c r="Z369" s="43">
        <f>IFERROR(IF(Z363="",0,Z363),"0")+IFERROR(IF(Z364="",0,Z364),"0")+IFERROR(IF(Z365="",0,Z365),"0")+IFERROR(IF(Z366="",0,Z366),"0")+IFERROR(IF(Z367="",0,Z367),"0")+IFERROR(IF(Z368="",0,Z368),"0")</f>
        <v>0.12628</v>
      </c>
      <c r="AA369" s="67"/>
      <c r="AB369" s="67"/>
      <c r="AC369" s="67"/>
    </row>
    <row r="370" spans="1:68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55</v>
      </c>
      <c r="Y370" s="43">
        <f>IFERROR(SUM(Y363:Y368),"0")</f>
        <v>56</v>
      </c>
      <c r="Z370" s="42"/>
      <c r="AA370" s="67"/>
      <c r="AB370" s="67"/>
      <c r="AC370" s="67"/>
    </row>
    <row r="371" spans="1:68" ht="14.25" customHeight="1" x14ac:dyDescent="0.25">
      <c r="A371" s="708" t="s">
        <v>77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customHeight="1" x14ac:dyDescent="0.25">
      <c r="A372" s="63" t="s">
        <v>621</v>
      </c>
      <c r="B372" s="63" t="s">
        <v>622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customHeight="1" x14ac:dyDescent="0.25">
      <c r="A373" s="63" t="s">
        <v>624</v>
      </c>
      <c r="B373" s="63" t="s">
        <v>625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customHeight="1" x14ac:dyDescent="0.25">
      <c r="A375" s="63" t="s">
        <v>630</v>
      </c>
      <c r="B375" s="63" t="s">
        <v>631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73.5</v>
      </c>
      <c r="Y376" s="55">
        <f t="shared" si="47"/>
        <v>73.5</v>
      </c>
      <c r="Z376" s="41">
        <f>IFERROR(IF(Y376=0,"",ROUNDUP(Y376/H376,0)*0.00502),"")</f>
        <v>0.1757</v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77</v>
      </c>
      <c r="BN376" s="78">
        <f t="shared" si="49"/>
        <v>77</v>
      </c>
      <c r="BO376" s="78">
        <f t="shared" si="50"/>
        <v>0.1495726495726496</v>
      </c>
      <c r="BP376" s="78">
        <f t="shared" si="51"/>
        <v>0.1495726495726496</v>
      </c>
    </row>
    <row r="377" spans="1:68" ht="27" customHeight="1" x14ac:dyDescent="0.25">
      <c r="A377" s="63" t="s">
        <v>635</v>
      </c>
      <c r="B377" s="63" t="s">
        <v>636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customHeight="1" x14ac:dyDescent="0.25">
      <c r="A378" s="63" t="s">
        <v>637</v>
      </c>
      <c r="B378" s="63" t="s">
        <v>638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53.3</v>
      </c>
      <c r="Y378" s="55">
        <f t="shared" si="47"/>
        <v>54</v>
      </c>
      <c r="Z378" s="41">
        <f>IFERROR(IF(Y378=0,"",ROUNDUP(Y378/H378,0)*0.00651),"")</f>
        <v>0.1953</v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60.051333333333332</v>
      </c>
      <c r="BN378" s="78">
        <f t="shared" si="49"/>
        <v>60.839999999999996</v>
      </c>
      <c r="BO378" s="78">
        <f t="shared" si="50"/>
        <v>0.1626984126984127</v>
      </c>
      <c r="BP378" s="78">
        <f t="shared" si="51"/>
        <v>0.16483516483516486</v>
      </c>
    </row>
    <row r="379" spans="1:68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64.611111111111114</v>
      </c>
      <c r="Y379" s="43">
        <f>IFERROR(Y372/H372,"0")+IFERROR(Y373/H373,"0")+IFERROR(Y374/H374,"0")+IFERROR(Y375/H375,"0")+IFERROR(Y376/H376,"0")+IFERROR(Y377/H377,"0")+IFERROR(Y378/H378,"0")</f>
        <v>65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0.371</v>
      </c>
      <c r="AA379" s="67"/>
      <c r="AB379" s="67"/>
      <c r="AC379" s="67"/>
    </row>
    <row r="380" spans="1:68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126.8</v>
      </c>
      <c r="Y380" s="43">
        <f>IFERROR(SUM(Y372:Y378),"0")</f>
        <v>127.5</v>
      </c>
      <c r="Z380" s="42"/>
      <c r="AA380" s="67"/>
      <c r="AB380" s="67"/>
      <c r="AC380" s="67"/>
    </row>
    <row r="381" spans="1:68" ht="14.25" customHeight="1" x14ac:dyDescent="0.25">
      <c r="A381" s="708" t="s">
        <v>86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customHeight="1" x14ac:dyDescent="0.25">
      <c r="A382" s="63" t="s">
        <v>640</v>
      </c>
      <c r="B382" s="63" t="s">
        <v>641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643</v>
      </c>
      <c r="B383" s="63" t="s">
        <v>644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646</v>
      </c>
      <c r="B384" s="63" t="s">
        <v>647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649</v>
      </c>
      <c r="B385" s="63" t="s">
        <v>650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customHeight="1" x14ac:dyDescent="0.25">
      <c r="A388" s="708" t="s">
        <v>181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customHeight="1" x14ac:dyDescent="0.25">
      <c r="A389" s="63" t="s">
        <v>651</v>
      </c>
      <c r="B389" s="63" t="s">
        <v>652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654</v>
      </c>
      <c r="B390" s="63" t="s">
        <v>655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customHeight="1" x14ac:dyDescent="0.25">
      <c r="A391" s="63" t="s">
        <v>657</v>
      </c>
      <c r="B391" s="63" t="s">
        <v>658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customHeight="1" x14ac:dyDescent="0.25">
      <c r="A394" s="708" t="s">
        <v>104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customHeight="1" x14ac:dyDescent="0.25">
      <c r="A395" s="63" t="s">
        <v>660</v>
      </c>
      <c r="B395" s="63" t="s">
        <v>661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663</v>
      </c>
      <c r="B396" s="63" t="s">
        <v>664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665</v>
      </c>
      <c r="B397" s="63" t="s">
        <v>666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12.2</v>
      </c>
      <c r="Y397" s="55">
        <f>IFERROR(IF(X397="",0,CEILING((X397/$H397),1)*$H397),"")</f>
        <v>12.75</v>
      </c>
      <c r="Z397" s="41">
        <f>IFERROR(IF(Y397=0,"",ROUNDUP(Y397/H397,0)*0.00651),"")</f>
        <v>3.2550000000000003E-2</v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14.13764705882353</v>
      </c>
      <c r="BN397" s="78">
        <f>IFERROR(Y397*I397/H397,"0")</f>
        <v>14.775000000000002</v>
      </c>
      <c r="BO397" s="78">
        <f>IFERROR(1/J397*(X397/H397),"0")</f>
        <v>2.6287438052143935E-2</v>
      </c>
      <c r="BP397" s="78">
        <f>IFERROR(1/J397*(Y397/H397),"0")</f>
        <v>2.7472527472527476E-2</v>
      </c>
    </row>
    <row r="398" spans="1:68" ht="27" customHeight="1" x14ac:dyDescent="0.25">
      <c r="A398" s="63" t="s">
        <v>667</v>
      </c>
      <c r="B398" s="63" t="s">
        <v>668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13</v>
      </c>
      <c r="Y398" s="55">
        <f>IFERROR(IF(X398="",0,CEILING((X398/$H398),1)*$H398),"")</f>
        <v>15.299999999999999</v>
      </c>
      <c r="Z398" s="41">
        <f>IFERROR(IF(Y398=0,"",ROUNDUP(Y398/H398,0)*0.00651),"")</f>
        <v>3.9059999999999997E-2</v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14.68235294117647</v>
      </c>
      <c r="BN398" s="78">
        <f>IFERROR(Y398*I398/H398,"0")</f>
        <v>17.279999999999998</v>
      </c>
      <c r="BO398" s="78">
        <f>IFERROR(1/J398*(X398/H398),"0")</f>
        <v>2.8011204481792722E-2</v>
      </c>
      <c r="BP398" s="78">
        <f>IFERROR(1/J398*(Y398/H398),"0")</f>
        <v>3.2967032967032968E-2</v>
      </c>
    </row>
    <row r="399" spans="1:68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9.882352941176471</v>
      </c>
      <c r="Y399" s="43">
        <f>IFERROR(Y395/H395,"0")+IFERROR(Y396/H396,"0")+IFERROR(Y397/H397,"0")+IFERROR(Y398/H398,"0")</f>
        <v>11</v>
      </c>
      <c r="Z399" s="43">
        <f>IFERROR(IF(Z395="",0,Z395),"0")+IFERROR(IF(Z396="",0,Z396),"0")+IFERROR(IF(Z397="",0,Z397),"0")+IFERROR(IF(Z398="",0,Z398),"0")</f>
        <v>7.1610000000000007E-2</v>
      </c>
      <c r="AA399" s="67"/>
      <c r="AB399" s="67"/>
      <c r="AC399" s="67"/>
    </row>
    <row r="400" spans="1:68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25.2</v>
      </c>
      <c r="Y400" s="43">
        <f>IFERROR(SUM(Y395:Y398),"0")</f>
        <v>28.049999999999997</v>
      </c>
      <c r="Z400" s="42"/>
      <c r="AA400" s="67"/>
      <c r="AB400" s="67"/>
      <c r="AC400" s="67"/>
    </row>
    <row r="401" spans="1:68" ht="14.25" customHeight="1" x14ac:dyDescent="0.25">
      <c r="A401" s="708" t="s">
        <v>669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customHeight="1" x14ac:dyDescent="0.25">
      <c r="A402" s="63" t="s">
        <v>670</v>
      </c>
      <c r="B402" s="63" t="s">
        <v>671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674</v>
      </c>
      <c r="B403" s="63" t="s">
        <v>675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676</v>
      </c>
      <c r="B404" s="63" t="s">
        <v>677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22.741</v>
      </c>
      <c r="Y404" s="55">
        <f>IFERROR(IF(X404="",0,CEILING((X404/$H404),1)*$H404),"")</f>
        <v>24</v>
      </c>
      <c r="Z404" s="41">
        <f>IFERROR(IF(Y404=0,"",ROUNDUP(Y404/H404,0)*0.00474),"")</f>
        <v>5.688E-2</v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25.469920000000002</v>
      </c>
      <c r="BN404" s="78">
        <f>IFERROR(Y404*I404/H404,"0")</f>
        <v>26.880000000000003</v>
      </c>
      <c r="BO404" s="78">
        <f>IFERROR(1/J404*(X404/H404),"0")</f>
        <v>4.7775210084033612E-2</v>
      </c>
      <c r="BP404" s="78">
        <f>IFERROR(1/J404*(Y404/H404),"0")</f>
        <v>5.0420168067226892E-2</v>
      </c>
    </row>
    <row r="405" spans="1:68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11.3705</v>
      </c>
      <c r="Y405" s="43">
        <f>IFERROR(Y402/H402,"0")+IFERROR(Y403/H403,"0")+IFERROR(Y404/H404,"0")</f>
        <v>12</v>
      </c>
      <c r="Z405" s="43">
        <f>IFERROR(IF(Z402="",0,Z402),"0")+IFERROR(IF(Z403="",0,Z403),"0")+IFERROR(IF(Z404="",0,Z404),"0")</f>
        <v>5.688E-2</v>
      </c>
      <c r="AA405" s="67"/>
      <c r="AB405" s="67"/>
      <c r="AC405" s="67"/>
    </row>
    <row r="406" spans="1:68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22.741</v>
      </c>
      <c r="Y406" s="43">
        <f>IFERROR(SUM(Y402:Y404),"0")</f>
        <v>24</v>
      </c>
      <c r="Z406" s="42"/>
      <c r="AA406" s="67"/>
      <c r="AB406" s="67"/>
      <c r="AC406" s="67"/>
    </row>
    <row r="407" spans="1:68" ht="14.25" customHeight="1" x14ac:dyDescent="0.25">
      <c r="A407" s="708" t="s">
        <v>678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customHeight="1" x14ac:dyDescent="0.25">
      <c r="A408" s="63" t="s">
        <v>679</v>
      </c>
      <c r="B408" s="63" t="s">
        <v>680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682</v>
      </c>
      <c r="B409" s="63" t="s">
        <v>683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685</v>
      </c>
      <c r="B410" s="63" t="s">
        <v>686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customHeight="1" x14ac:dyDescent="0.25">
      <c r="A413" s="707" t="s">
        <v>687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customHeight="1" x14ac:dyDescent="0.25">
      <c r="A414" s="708" t="s">
        <v>86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customHeight="1" x14ac:dyDescent="0.25">
      <c r="A415" s="63" t="s">
        <v>688</v>
      </c>
      <c r="B415" s="63" t="s">
        <v>689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691</v>
      </c>
      <c r="B416" s="63" t="s">
        <v>692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98</v>
      </c>
      <c r="Y416" s="55">
        <f>IFERROR(IF(X416="",0,CEILING((X416/$H416),1)*$H416),"")</f>
        <v>98.7</v>
      </c>
      <c r="Z416" s="41">
        <f>IFERROR(IF(Y416=0,"",ROUNDUP(Y416/H416,0)*0.00651),"")</f>
        <v>0.30597000000000002</v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109.75999999999999</v>
      </c>
      <c r="BN416" s="78">
        <f>IFERROR(Y416*I416/H416,"0")</f>
        <v>110.54399999999998</v>
      </c>
      <c r="BO416" s="78">
        <f>IFERROR(1/J416*(X416/H416),"0")</f>
        <v>0.25641025641025644</v>
      </c>
      <c r="BP416" s="78">
        <f>IFERROR(1/J416*(Y416/H416),"0")</f>
        <v>0.25824175824175827</v>
      </c>
    </row>
    <row r="417" spans="1:68" ht="27" customHeight="1" x14ac:dyDescent="0.25">
      <c r="A417" s="63" t="s">
        <v>694</v>
      </c>
      <c r="B417" s="63" t="s">
        <v>695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57.75</v>
      </c>
      <c r="Y417" s="55">
        <f>IFERROR(IF(X417="",0,CEILING((X417/$H417),1)*$H417),"")</f>
        <v>58.800000000000004</v>
      </c>
      <c r="Z417" s="41">
        <f>IFERROR(IF(Y417=0,"",ROUNDUP(Y417/H417,0)*0.00651),"")</f>
        <v>0.18228</v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64.349999999999994</v>
      </c>
      <c r="BN417" s="78">
        <f>IFERROR(Y417*I417/H417,"0")</f>
        <v>65.52000000000001</v>
      </c>
      <c r="BO417" s="78">
        <f>IFERROR(1/J417*(X417/H417),"0")</f>
        <v>0.15109890109890112</v>
      </c>
      <c r="BP417" s="78">
        <f>IFERROR(1/J417*(Y417/H417),"0")</f>
        <v>0.15384615384615385</v>
      </c>
    </row>
    <row r="418" spans="1:68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74.166666666666657</v>
      </c>
      <c r="Y418" s="43">
        <f>IFERROR(Y415/H415,"0")+IFERROR(Y416/H416,"0")+IFERROR(Y417/H417,"0")</f>
        <v>75</v>
      </c>
      <c r="Z418" s="43">
        <f>IFERROR(IF(Z415="",0,Z415),"0")+IFERROR(IF(Z416="",0,Z416),"0")+IFERROR(IF(Z417="",0,Z417),"0")</f>
        <v>0.48825000000000002</v>
      </c>
      <c r="AA418" s="67"/>
      <c r="AB418" s="67"/>
      <c r="AC418" s="67"/>
    </row>
    <row r="419" spans="1:68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155.75</v>
      </c>
      <c r="Y419" s="43">
        <f>IFERROR(SUM(Y415:Y417),"0")</f>
        <v>157.5</v>
      </c>
      <c r="Z419" s="42"/>
      <c r="AA419" s="67"/>
      <c r="AB419" s="67"/>
      <c r="AC419" s="67"/>
    </row>
    <row r="420" spans="1:68" ht="27.75" customHeight="1" x14ac:dyDescent="0.2">
      <c r="A420" s="706" t="s">
        <v>697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customHeight="1" x14ac:dyDescent="0.25">
      <c r="A421" s="707" t="s">
        <v>698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customHeight="1" x14ac:dyDescent="0.25">
      <c r="A422" s="708" t="s">
        <v>128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customHeight="1" x14ac:dyDescent="0.25">
      <c r="A423" s="63" t="s">
        <v>699</v>
      </c>
      <c r="B423" s="63" t="s">
        <v>700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702</v>
      </c>
      <c r="B424" s="63" t="s">
        <v>703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52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0</v>
      </c>
      <c r="BN424" s="78">
        <f t="shared" si="54"/>
        <v>0</v>
      </c>
      <c r="BO424" s="78">
        <f t="shared" si="55"/>
        <v>0</v>
      </c>
      <c r="BP424" s="78">
        <f t="shared" si="56"/>
        <v>0</v>
      </c>
    </row>
    <row r="425" spans="1:68" ht="27" customHeight="1" x14ac:dyDescent="0.25">
      <c r="A425" s="63" t="s">
        <v>705</v>
      </c>
      <c r="B425" s="63" t="s">
        <v>706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customHeight="1" x14ac:dyDescent="0.25">
      <c r="A426" s="63" t="s">
        <v>708</v>
      </c>
      <c r="B426" s="63" t="s">
        <v>709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2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0</v>
      </c>
      <c r="BN426" s="78">
        <f t="shared" si="54"/>
        <v>0</v>
      </c>
      <c r="BO426" s="78">
        <f t="shared" si="55"/>
        <v>0</v>
      </c>
      <c r="BP426" s="78">
        <f t="shared" si="56"/>
        <v>0</v>
      </c>
    </row>
    <row r="427" spans="1:68" ht="27" customHeight="1" x14ac:dyDescent="0.25">
      <c r="A427" s="63" t="s">
        <v>711</v>
      </c>
      <c r="B427" s="63" t="s">
        <v>712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customHeight="1" x14ac:dyDescent="0.25">
      <c r="A428" s="63" t="s">
        <v>714</v>
      </c>
      <c r="B428" s="63" t="s">
        <v>715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customHeight="1" x14ac:dyDescent="0.25">
      <c r="A429" s="63" t="s">
        <v>717</v>
      </c>
      <c r="B429" s="63" t="s">
        <v>718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customHeight="1" x14ac:dyDescent="0.25">
      <c r="A430" s="63" t="s">
        <v>720</v>
      </c>
      <c r="B430" s="63" t="s">
        <v>721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144.9</v>
      </c>
      <c r="Y430" s="55">
        <f t="shared" si="52"/>
        <v>145</v>
      </c>
      <c r="Z430" s="41">
        <f>IFERROR(IF(Y430=0,"",ROUNDUP(Y430/H430,0)*0.00902),"")</f>
        <v>0.26158000000000003</v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150.40620000000001</v>
      </c>
      <c r="BN430" s="78">
        <f t="shared" si="54"/>
        <v>150.51000000000002</v>
      </c>
      <c r="BO430" s="78">
        <f t="shared" si="55"/>
        <v>0.21954545454545454</v>
      </c>
      <c r="BP430" s="78">
        <f t="shared" si="56"/>
        <v>0.2196969696969697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28.98</v>
      </c>
      <c r="Y431" s="43">
        <f>IFERROR(Y423/H423,"0")+IFERROR(Y424/H424,"0")+IFERROR(Y425/H425,"0")+IFERROR(Y426/H426,"0")+IFERROR(Y427/H427,"0")+IFERROR(Y428/H428,"0")+IFERROR(Y429/H429,"0")+IFERROR(Y430/H430,"0")</f>
        <v>29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0.26158000000000003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144.9</v>
      </c>
      <c r="Y432" s="43">
        <f>IFERROR(SUM(Y423:Y430),"0")</f>
        <v>145</v>
      </c>
      <c r="Z432" s="42"/>
      <c r="AA432" s="67"/>
      <c r="AB432" s="67"/>
      <c r="AC432" s="67"/>
    </row>
    <row r="433" spans="1:68" ht="14.25" customHeight="1" x14ac:dyDescent="0.25">
      <c r="A433" s="708" t="s">
        <v>164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customHeight="1" x14ac:dyDescent="0.25">
      <c r="A434" s="63" t="s">
        <v>723</v>
      </c>
      <c r="B434" s="63" t="s">
        <v>724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customHeight="1" x14ac:dyDescent="0.25">
      <c r="A435" s="63" t="s">
        <v>726</v>
      </c>
      <c r="B435" s="63" t="s">
        <v>727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customHeight="1" x14ac:dyDescent="0.25">
      <c r="A436" s="63" t="s">
        <v>729</v>
      </c>
      <c r="B436" s="63" t="s">
        <v>730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33</v>
      </c>
      <c r="Y436" s="55">
        <f>IFERROR(IF(X436="",0,CEILING((X436/$H436),1)*$H436),"")</f>
        <v>36</v>
      </c>
      <c r="Z436" s="41">
        <f>IFERROR(IF(Y436=0,"",ROUNDUP(Y436/H436,0)*0.00902),"")</f>
        <v>8.1180000000000002E-2</v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34.567500000000003</v>
      </c>
      <c r="BN436" s="78">
        <f>IFERROR(Y436*I436/H436,"0")</f>
        <v>37.71</v>
      </c>
      <c r="BO436" s="78">
        <f>IFERROR(1/J436*(X436/H436),"0")</f>
        <v>6.25E-2</v>
      </c>
      <c r="BP436" s="78">
        <f>IFERROR(1/J436*(Y436/H436),"0")</f>
        <v>6.8181818181818177E-2</v>
      </c>
    </row>
    <row r="437" spans="1:68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8.25</v>
      </c>
      <c r="Y437" s="43">
        <f>IFERROR(Y434/H434,"0")+IFERROR(Y435/H435,"0")+IFERROR(Y436/H436,"0")</f>
        <v>9</v>
      </c>
      <c r="Z437" s="43">
        <f>IFERROR(IF(Z434="",0,Z434),"0")+IFERROR(IF(Z435="",0,Z435),"0")+IFERROR(IF(Z436="",0,Z436),"0")</f>
        <v>8.1180000000000002E-2</v>
      </c>
      <c r="AA437" s="67"/>
      <c r="AB437" s="67"/>
      <c r="AC437" s="67"/>
    </row>
    <row r="438" spans="1:68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33</v>
      </c>
      <c r="Y438" s="43">
        <f>IFERROR(SUM(Y434:Y436),"0")</f>
        <v>36</v>
      </c>
      <c r="Z438" s="42"/>
      <c r="AA438" s="67"/>
      <c r="AB438" s="67"/>
      <c r="AC438" s="67"/>
    </row>
    <row r="439" spans="1:68" ht="14.25" customHeight="1" x14ac:dyDescent="0.25">
      <c r="A439" s="708" t="s">
        <v>86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customHeight="1" x14ac:dyDescent="0.25">
      <c r="A440" s="63" t="s">
        <v>732</v>
      </c>
      <c r="B440" s="63" t="s">
        <v>733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customHeight="1" x14ac:dyDescent="0.25">
      <c r="A441" s="63" t="s">
        <v>735</v>
      </c>
      <c r="B441" s="63" t="s">
        <v>736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customHeight="1" x14ac:dyDescent="0.25">
      <c r="A442" s="63" t="s">
        <v>738</v>
      </c>
      <c r="B442" s="63" t="s">
        <v>739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customHeight="1" x14ac:dyDescent="0.25">
      <c r="A445" s="708" t="s">
        <v>181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customHeight="1" x14ac:dyDescent="0.25">
      <c r="A446" s="63" t="s">
        <v>741</v>
      </c>
      <c r="B446" s="63" t="s">
        <v>742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customHeight="1" x14ac:dyDescent="0.25">
      <c r="A447" s="63" t="s">
        <v>744</v>
      </c>
      <c r="B447" s="63" t="s">
        <v>745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customHeight="1" x14ac:dyDescent="0.25">
      <c r="A450" s="707" t="s">
        <v>747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customHeight="1" x14ac:dyDescent="0.25">
      <c r="A451" s="708" t="s">
        <v>128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customHeight="1" x14ac:dyDescent="0.25">
      <c r="A452" s="63" t="s">
        <v>748</v>
      </c>
      <c r="B452" s="63" t="s">
        <v>749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customHeight="1" x14ac:dyDescent="0.25">
      <c r="A453" s="63" t="s">
        <v>751</v>
      </c>
      <c r="B453" s="63" t="s">
        <v>752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customHeight="1" x14ac:dyDescent="0.25">
      <c r="A456" s="708" t="s">
        <v>77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customHeight="1" x14ac:dyDescent="0.25">
      <c r="A457" s="63" t="s">
        <v>753</v>
      </c>
      <c r="B457" s="63" t="s">
        <v>754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customHeight="1" x14ac:dyDescent="0.25">
      <c r="A460" s="708" t="s">
        <v>86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customHeight="1" x14ac:dyDescent="0.25">
      <c r="A461" s="63" t="s">
        <v>756</v>
      </c>
      <c r="B461" s="63" t="s">
        <v>757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759</v>
      </c>
      <c r="B462" s="63" t="s">
        <v>760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customHeight="1" x14ac:dyDescent="0.25">
      <c r="A463" s="63" t="s">
        <v>759</v>
      </c>
      <c r="B463" s="63" t="s">
        <v>761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customHeight="1" x14ac:dyDescent="0.2">
      <c r="A466" s="706" t="s">
        <v>763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customHeight="1" x14ac:dyDescent="0.25">
      <c r="A467" s="707" t="s">
        <v>764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customHeight="1" x14ac:dyDescent="0.25">
      <c r="A468" s="708" t="s">
        <v>77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customHeight="1" x14ac:dyDescent="0.25">
      <c r="A469" s="63" t="s">
        <v>765</v>
      </c>
      <c r="B469" s="63" t="s">
        <v>766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customHeight="1" x14ac:dyDescent="0.25">
      <c r="A470" s="63" t="s">
        <v>768</v>
      </c>
      <c r="B470" s="63" t="s">
        <v>769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customHeight="1" x14ac:dyDescent="0.25">
      <c r="A471" s="63" t="s">
        <v>771</v>
      </c>
      <c r="B471" s="63" t="s">
        <v>772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84</v>
      </c>
      <c r="Y471" s="55">
        <f t="shared" si="57"/>
        <v>84</v>
      </c>
      <c r="Z471" s="41">
        <f>IFERROR(IF(Y471=0,"",ROUNDUP(Y471/H471,0)*0.00502),"")</f>
        <v>0.20080000000000001</v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89.199999999999989</v>
      </c>
      <c r="BN471" s="78">
        <f t="shared" si="59"/>
        <v>89.199999999999989</v>
      </c>
      <c r="BO471" s="78">
        <f t="shared" si="60"/>
        <v>0.17094017094017094</v>
      </c>
      <c r="BP471" s="78">
        <f t="shared" si="61"/>
        <v>0.17094017094017094</v>
      </c>
    </row>
    <row r="472" spans="1:68" ht="27" customHeight="1" x14ac:dyDescent="0.25">
      <c r="A472" s="63" t="s">
        <v>773</v>
      </c>
      <c r="B472" s="63" t="s">
        <v>774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customHeight="1" x14ac:dyDescent="0.25">
      <c r="A473" s="63" t="s">
        <v>776</v>
      </c>
      <c r="B473" s="63" t="s">
        <v>777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31.23</v>
      </c>
      <c r="Y473" s="55">
        <f t="shared" si="57"/>
        <v>31.5</v>
      </c>
      <c r="Z473" s="41">
        <f>IFERROR(IF(Y473=0,"",ROUNDUP(Y473/H473,0)*0.00502),"")</f>
        <v>7.5300000000000006E-2</v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33.163285714285713</v>
      </c>
      <c r="BN473" s="78">
        <f t="shared" si="59"/>
        <v>33.450000000000003</v>
      </c>
      <c r="BO473" s="78">
        <f t="shared" si="60"/>
        <v>6.3553113553113563E-2</v>
      </c>
      <c r="BP473" s="78">
        <f t="shared" si="61"/>
        <v>6.4102564102564111E-2</v>
      </c>
    </row>
    <row r="474" spans="1:68" ht="37.5" customHeight="1" x14ac:dyDescent="0.25">
      <c r="A474" s="63" t="s">
        <v>779</v>
      </c>
      <c r="B474" s="63" t="s">
        <v>780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38.270000000000003</v>
      </c>
      <c r="Y474" s="55">
        <f t="shared" si="57"/>
        <v>39.9</v>
      </c>
      <c r="Z474" s="41">
        <f>IFERROR(IF(Y474=0,"",ROUNDUP(Y474/H474,0)*0.00502),"")</f>
        <v>9.5380000000000006E-2</v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40.639095238095237</v>
      </c>
      <c r="BN474" s="78">
        <f t="shared" si="59"/>
        <v>42.36999999999999</v>
      </c>
      <c r="BO474" s="78">
        <f t="shared" si="60"/>
        <v>7.7879527879527885E-2</v>
      </c>
      <c r="BP474" s="78">
        <f t="shared" si="61"/>
        <v>8.11965811965812E-2</v>
      </c>
    </row>
    <row r="475" spans="1:68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73.095238095238102</v>
      </c>
      <c r="Y475" s="43">
        <f>IFERROR(Y469/H469,"0")+IFERROR(Y470/H470,"0")+IFERROR(Y471/H471,"0")+IFERROR(Y472/H472,"0")+IFERROR(Y473/H473,"0")+IFERROR(Y474/H474,"0")</f>
        <v>74</v>
      </c>
      <c r="Z475" s="43">
        <f>IFERROR(IF(Z469="",0,Z469),"0")+IFERROR(IF(Z470="",0,Z470),"0")+IFERROR(IF(Z471="",0,Z471),"0")+IFERROR(IF(Z472="",0,Z472),"0")+IFERROR(IF(Z473="",0,Z473),"0")+IFERROR(IF(Z474="",0,Z474),"0")</f>
        <v>0.37148000000000003</v>
      </c>
      <c r="AA475" s="67"/>
      <c r="AB475" s="67"/>
      <c r="AC475" s="67"/>
    </row>
    <row r="476" spans="1:68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153.5</v>
      </c>
      <c r="Y476" s="43">
        <f>IFERROR(SUM(Y469:Y474),"0")</f>
        <v>155.4</v>
      </c>
      <c r="Z476" s="42"/>
      <c r="AA476" s="67"/>
      <c r="AB476" s="67"/>
      <c r="AC476" s="67"/>
    </row>
    <row r="477" spans="1:68" ht="14.25" customHeight="1" x14ac:dyDescent="0.25">
      <c r="A477" s="708" t="s">
        <v>86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customHeight="1" x14ac:dyDescent="0.25">
      <c r="A478" s="63" t="s">
        <v>781</v>
      </c>
      <c r="B478" s="63" t="s">
        <v>782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27.78</v>
      </c>
      <c r="Y478" s="55">
        <f>IFERROR(IF(X478="",0,CEILING((X478/$H478),1)*$H478),"")</f>
        <v>28.799999999999997</v>
      </c>
      <c r="Z478" s="41">
        <f>IFERROR(IF(Y478=0,"",ROUNDUP(Y478/H478,0)*0.00902),"")</f>
        <v>0.10824</v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30.395950000000003</v>
      </c>
      <c r="BN478" s="78">
        <f>IFERROR(Y478*I478/H478,"0")</f>
        <v>31.511999999999993</v>
      </c>
      <c r="BO478" s="78">
        <f>IFERROR(1/J478*(X478/H478),"0")</f>
        <v>8.7689393939393956E-2</v>
      </c>
      <c r="BP478" s="78">
        <f>IFERROR(1/J478*(Y478/H478),"0")</f>
        <v>9.0909090909090912E-2</v>
      </c>
    </row>
    <row r="479" spans="1:68" ht="27" customHeight="1" x14ac:dyDescent="0.25">
      <c r="A479" s="63" t="s">
        <v>784</v>
      </c>
      <c r="B479" s="63" t="s">
        <v>785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31.88</v>
      </c>
      <c r="Y479" s="55">
        <f>IFERROR(IF(X479="",0,CEILING((X479/$H479),1)*$H479),"")</f>
        <v>33.659999999999997</v>
      </c>
      <c r="Z479" s="41">
        <f>IFERROR(IF(Y479=0,"",ROUNDUP(Y479/H479,0)*0.00651),"")</f>
        <v>0.11067</v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36.034060606060599</v>
      </c>
      <c r="BN479" s="78">
        <f>IFERROR(Y479*I479/H479,"0")</f>
        <v>38.045999999999992</v>
      </c>
      <c r="BO479" s="78">
        <f>IFERROR(1/J479*(X479/H479),"0")</f>
        <v>8.8467088467088464E-2</v>
      </c>
      <c r="BP479" s="78">
        <f>IFERROR(1/J479*(Y479/H479),"0")</f>
        <v>9.3406593406593408E-2</v>
      </c>
    </row>
    <row r="480" spans="1:68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27.6760101010101</v>
      </c>
      <c r="Y480" s="43">
        <f>IFERROR(Y478/H478,"0")+IFERROR(Y479/H479,"0")</f>
        <v>29</v>
      </c>
      <c r="Z480" s="43">
        <f>IFERROR(IF(Z478="",0,Z478),"0")+IFERROR(IF(Z479="",0,Z479),"0")</f>
        <v>0.21890999999999999</v>
      </c>
      <c r="AA480" s="67"/>
      <c r="AB480" s="67"/>
      <c r="AC480" s="67"/>
    </row>
    <row r="481" spans="1:68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59.66</v>
      </c>
      <c r="Y481" s="43">
        <f>IFERROR(SUM(Y478:Y479),"0")</f>
        <v>62.459999999999994</v>
      </c>
      <c r="Z481" s="42"/>
      <c r="AA481" s="67"/>
      <c r="AB481" s="67"/>
      <c r="AC481" s="67"/>
    </row>
    <row r="482" spans="1:68" ht="16.5" customHeight="1" x14ac:dyDescent="0.25">
      <c r="A482" s="707" t="s">
        <v>787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customHeight="1" x14ac:dyDescent="0.25">
      <c r="A483" s="708" t="s">
        <v>164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customHeight="1" x14ac:dyDescent="0.25">
      <c r="A484" s="63" t="s">
        <v>788</v>
      </c>
      <c r="B484" s="63" t="s">
        <v>789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customHeight="1" x14ac:dyDescent="0.25">
      <c r="A487" s="708" t="s">
        <v>77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customHeight="1" x14ac:dyDescent="0.25">
      <c r="A488" s="63" t="s">
        <v>791</v>
      </c>
      <c r="B488" s="63" t="s">
        <v>792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customHeight="1" x14ac:dyDescent="0.25">
      <c r="A489" s="63" t="s">
        <v>794</v>
      </c>
      <c r="B489" s="63" t="s">
        <v>795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customHeight="1" x14ac:dyDescent="0.25">
      <c r="A490" s="63" t="s">
        <v>797</v>
      </c>
      <c r="B490" s="63" t="s">
        <v>798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customHeight="1" x14ac:dyDescent="0.2">
      <c r="A493" s="706" t="s">
        <v>799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customHeight="1" x14ac:dyDescent="0.25">
      <c r="A494" s="707" t="s">
        <v>799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customHeight="1" x14ac:dyDescent="0.25">
      <c r="A495" s="708" t="s">
        <v>128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customHeight="1" x14ac:dyDescent="0.25">
      <c r="A496" s="63" t="s">
        <v>800</v>
      </c>
      <c r="B496" s="63" t="s">
        <v>801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customHeight="1" x14ac:dyDescent="0.25">
      <c r="A497" s="63" t="s">
        <v>802</v>
      </c>
      <c r="B497" s="63" t="s">
        <v>803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customHeight="1" x14ac:dyDescent="0.25">
      <c r="A498" s="63" t="s">
        <v>805</v>
      </c>
      <c r="B498" s="63" t="s">
        <v>806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customHeight="1" x14ac:dyDescent="0.25">
      <c r="A499" s="63" t="s">
        <v>808</v>
      </c>
      <c r="B499" s="63" t="s">
        <v>809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customHeight="1" x14ac:dyDescent="0.25">
      <c r="A500" s="63" t="s">
        <v>811</v>
      </c>
      <c r="B500" s="63" t="s">
        <v>812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customHeight="1" x14ac:dyDescent="0.25">
      <c r="A501" s="63" t="s">
        <v>814</v>
      </c>
      <c r="B501" s="63" t="s">
        <v>815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customHeight="1" x14ac:dyDescent="0.25">
      <c r="A502" s="63" t="s">
        <v>817</v>
      </c>
      <c r="B502" s="63" t="s">
        <v>818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customHeight="1" x14ac:dyDescent="0.25">
      <c r="A503" s="63" t="s">
        <v>819</v>
      </c>
      <c r="B503" s="63" t="s">
        <v>820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135.643</v>
      </c>
      <c r="Y503" s="55">
        <f t="shared" si="62"/>
        <v>139.19999999999999</v>
      </c>
      <c r="Z503" s="41">
        <f>IFERROR(IF(Y503=0,"",ROUNDUP(Y503/H503,0)*0.00902),"")</f>
        <v>0.26158000000000003</v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195.26940208333335</v>
      </c>
      <c r="BN503" s="78">
        <f t="shared" si="65"/>
        <v>200.39</v>
      </c>
      <c r="BO503" s="78">
        <f t="shared" si="66"/>
        <v>0.21408301767676771</v>
      </c>
      <c r="BP503" s="78">
        <f t="shared" si="67"/>
        <v>0.2196969696969697</v>
      </c>
    </row>
    <row r="504" spans="1:68" ht="27" customHeight="1" x14ac:dyDescent="0.25">
      <c r="A504" s="63" t="s">
        <v>821</v>
      </c>
      <c r="B504" s="63" t="s">
        <v>822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205.28</v>
      </c>
      <c r="Y504" s="55">
        <f t="shared" si="62"/>
        <v>206.4</v>
      </c>
      <c r="Z504" s="41">
        <f>IFERROR(IF(Y504=0,"",ROUNDUP(Y504/H504,0)*0.00902),"")</f>
        <v>0.38785999999999998</v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295.51766666666668</v>
      </c>
      <c r="BN504" s="78">
        <f t="shared" si="65"/>
        <v>297.13000000000005</v>
      </c>
      <c r="BO504" s="78">
        <f t="shared" si="66"/>
        <v>0.32398989898989899</v>
      </c>
      <c r="BP504" s="78">
        <f t="shared" si="67"/>
        <v>0.32575757575757575</v>
      </c>
    </row>
    <row r="505" spans="1:68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71.025625000000005</v>
      </c>
      <c r="Y505" s="43">
        <f>IFERROR(Y496/H496,"0")+IFERROR(Y497/H497,"0")+IFERROR(Y498/H498,"0")+IFERROR(Y499/H499,"0")+IFERROR(Y500/H500,"0")+IFERROR(Y501/H501,"0")+IFERROR(Y502/H502,"0")+IFERROR(Y503/H503,"0")+IFERROR(Y504/H504,"0")</f>
        <v>72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0.64944000000000002</v>
      </c>
      <c r="AA505" s="67"/>
      <c r="AB505" s="67"/>
      <c r="AC505" s="67"/>
    </row>
    <row r="506" spans="1:68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340.923</v>
      </c>
      <c r="Y506" s="43">
        <f>IFERROR(SUM(Y496:Y504),"0")</f>
        <v>345.6</v>
      </c>
      <c r="Z506" s="42"/>
      <c r="AA506" s="67"/>
      <c r="AB506" s="67"/>
      <c r="AC506" s="67"/>
    </row>
    <row r="507" spans="1:68" ht="14.25" customHeight="1" x14ac:dyDescent="0.25">
      <c r="A507" s="708" t="s">
        <v>164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customHeight="1" x14ac:dyDescent="0.25">
      <c r="A508" s="63" t="s">
        <v>823</v>
      </c>
      <c r="B508" s="63" t="s">
        <v>824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customHeight="1" x14ac:dyDescent="0.25">
      <c r="A509" s="63" t="s">
        <v>826</v>
      </c>
      <c r="B509" s="63" t="s">
        <v>827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customHeight="1" x14ac:dyDescent="0.25">
      <c r="A510" s="63" t="s">
        <v>828</v>
      </c>
      <c r="B510" s="63" t="s">
        <v>829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customHeight="1" x14ac:dyDescent="0.25">
      <c r="A513" s="708" t="s">
        <v>77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customHeight="1" x14ac:dyDescent="0.25">
      <c r="A514" s="63" t="s">
        <v>830</v>
      </c>
      <c r="B514" s="63" t="s">
        <v>831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customHeight="1" x14ac:dyDescent="0.25">
      <c r="A515" s="63" t="s">
        <v>833</v>
      </c>
      <c r="B515" s="63" t="s">
        <v>834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customHeight="1" x14ac:dyDescent="0.25">
      <c r="A516" s="63" t="s">
        <v>836</v>
      </c>
      <c r="B516" s="63" t="s">
        <v>837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customHeight="1" x14ac:dyDescent="0.25">
      <c r="A517" s="63" t="s">
        <v>839</v>
      </c>
      <c r="B517" s="63" t="s">
        <v>840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customHeight="1" x14ac:dyDescent="0.25">
      <c r="A518" s="63" t="s">
        <v>841</v>
      </c>
      <c r="B518" s="63" t="s">
        <v>842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customHeight="1" x14ac:dyDescent="0.25">
      <c r="A519" s="63" t="s">
        <v>841</v>
      </c>
      <c r="B519" s="63" t="s">
        <v>843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customHeight="1" x14ac:dyDescent="0.25">
      <c r="A520" s="63" t="s">
        <v>844</v>
      </c>
      <c r="B520" s="63" t="s">
        <v>845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customHeight="1" x14ac:dyDescent="0.2">
      <c r="A523" s="706" t="s">
        <v>846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customHeight="1" x14ac:dyDescent="0.25">
      <c r="A524" s="707" t="s">
        <v>846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customHeight="1" x14ac:dyDescent="0.25">
      <c r="A525" s="708" t="s">
        <v>128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customHeight="1" x14ac:dyDescent="0.25">
      <c r="A526" s="63" t="s">
        <v>847</v>
      </c>
      <c r="B526" s="63" t="s">
        <v>848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customHeight="1" x14ac:dyDescent="0.25">
      <c r="A529" s="708" t="s">
        <v>164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customHeight="1" x14ac:dyDescent="0.25">
      <c r="A530" s="63" t="s">
        <v>850</v>
      </c>
      <c r="B530" s="63" t="s">
        <v>851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customHeight="1" x14ac:dyDescent="0.25">
      <c r="A533" s="708" t="s">
        <v>77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customHeight="1" x14ac:dyDescent="0.25">
      <c r="A534" s="63" t="s">
        <v>853</v>
      </c>
      <c r="B534" s="63" t="s">
        <v>854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customHeight="1" x14ac:dyDescent="0.25">
      <c r="A537" s="708" t="s">
        <v>86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customHeight="1" x14ac:dyDescent="0.25">
      <c r="A538" s="63" t="s">
        <v>856</v>
      </c>
      <c r="B538" s="63" t="s">
        <v>857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customHeight="1" x14ac:dyDescent="0.25">
      <c r="A541" s="708" t="s">
        <v>181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customHeight="1" x14ac:dyDescent="0.25">
      <c r="A542" s="63" t="s">
        <v>859</v>
      </c>
      <c r="B542" s="63" t="s">
        <v>860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customHeight="1" x14ac:dyDescent="0.25">
      <c r="A543" s="63" t="s">
        <v>862</v>
      </c>
      <c r="B543" s="63" t="s">
        <v>863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customHeight="1" x14ac:dyDescent="0.25">
      <c r="A546" s="707" t="s">
        <v>865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customHeight="1" x14ac:dyDescent="0.25">
      <c r="A547" s="708" t="s">
        <v>164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customHeight="1" x14ac:dyDescent="0.25">
      <c r="A548" s="63" t="s">
        <v>866</v>
      </c>
      <c r="B548" s="63" t="s">
        <v>867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2373.8890000000001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2417.71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2728.2185847528858</v>
      </c>
      <c r="Y552" s="43">
        <f>IFERROR(SUM(BN22:BN548),"0")</f>
        <v>2778.3530000000001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6</v>
      </c>
      <c r="Y553" s="44">
        <f>ROUNDUP(SUM(BP22:BP548),0)</f>
        <v>6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2878.2185847528858</v>
      </c>
      <c r="Y554" s="43">
        <f>GrossWeightTotalR+PalletQtyTotalR*25</f>
        <v>2928.3530000000001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896.7439853966838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914</v>
      </c>
      <c r="Z555" s="42"/>
      <c r="AA555" s="67"/>
      <c r="AB555" s="67"/>
      <c r="AC555" s="67"/>
    </row>
    <row r="556" spans="1:68" ht="14.25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6.3445299999999998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999" t="s">
        <v>126</v>
      </c>
      <c r="E558" s="999" t="s">
        <v>126</v>
      </c>
      <c r="F558" s="999" t="s">
        <v>126</v>
      </c>
      <c r="G558" s="999" t="s">
        <v>126</v>
      </c>
      <c r="H558" s="999" t="s">
        <v>126</v>
      </c>
      <c r="I558" s="999" t="s">
        <v>126</v>
      </c>
      <c r="J558" s="999" t="s">
        <v>126</v>
      </c>
      <c r="K558" s="999" t="s">
        <v>358</v>
      </c>
      <c r="L558" s="999" t="s">
        <v>358</v>
      </c>
      <c r="M558" s="999" t="s">
        <v>358</v>
      </c>
      <c r="N558" s="1000"/>
      <c r="O558" s="999" t="s">
        <v>358</v>
      </c>
      <c r="P558" s="999" t="s">
        <v>358</v>
      </c>
      <c r="Q558" s="999" t="s">
        <v>358</v>
      </c>
      <c r="R558" s="999" t="s">
        <v>358</v>
      </c>
      <c r="S558" s="999" t="s">
        <v>358</v>
      </c>
      <c r="T558" s="999" t="s">
        <v>358</v>
      </c>
      <c r="U558" s="999" t="s">
        <v>358</v>
      </c>
      <c r="V558" s="999" t="s">
        <v>697</v>
      </c>
      <c r="W558" s="999" t="s">
        <v>697</v>
      </c>
      <c r="X558" s="999" t="s">
        <v>763</v>
      </c>
      <c r="Y558" s="999" t="s">
        <v>763</v>
      </c>
      <c r="Z558" s="85" t="s">
        <v>799</v>
      </c>
      <c r="AA558" s="999" t="s">
        <v>846</v>
      </c>
      <c r="AB558" s="999" t="s">
        <v>846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76</v>
      </c>
      <c r="C559" s="999" t="s">
        <v>110</v>
      </c>
      <c r="D559" s="999" t="s">
        <v>127</v>
      </c>
      <c r="E559" s="999" t="s">
        <v>143</v>
      </c>
      <c r="F559" s="999" t="s">
        <v>188</v>
      </c>
      <c r="G559" s="999" t="s">
        <v>209</v>
      </c>
      <c r="H559" s="999" t="s">
        <v>248</v>
      </c>
      <c r="I559" s="999" t="s">
        <v>276</v>
      </c>
      <c r="J559" s="999" t="s">
        <v>126</v>
      </c>
      <c r="K559" s="999" t="s">
        <v>359</v>
      </c>
      <c r="L559" s="999" t="s">
        <v>380</v>
      </c>
      <c r="M559" s="999" t="s">
        <v>447</v>
      </c>
      <c r="N559" s="1"/>
      <c r="O559" s="999" t="s">
        <v>515</v>
      </c>
      <c r="P559" s="999" t="s">
        <v>548</v>
      </c>
      <c r="Q559" s="999" t="s">
        <v>564</v>
      </c>
      <c r="R559" s="999" t="s">
        <v>573</v>
      </c>
      <c r="S559" s="999" t="s">
        <v>594</v>
      </c>
      <c r="T559" s="999" t="s">
        <v>603</v>
      </c>
      <c r="U559" s="999" t="s">
        <v>687</v>
      </c>
      <c r="V559" s="999" t="s">
        <v>698</v>
      </c>
      <c r="W559" s="999" t="s">
        <v>747</v>
      </c>
      <c r="X559" s="999" t="s">
        <v>764</v>
      </c>
      <c r="Y559" s="999" t="s">
        <v>787</v>
      </c>
      <c r="Z559" s="999" t="s">
        <v>799</v>
      </c>
      <c r="AA559" s="999" t="s">
        <v>846</v>
      </c>
      <c r="AB559" s="999" t="s">
        <v>865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55.800000000000004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84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200.7</v>
      </c>
      <c r="F561" s="52">
        <f>IFERROR(Y88*1,"0")+IFERROR(Y89*1,"0")+IFERROR(Y90*1,"0")+IFERROR(Y91*1,"0")+IFERROR(Y95*1,"0")+IFERROR(Y96*1,"0")+IFERROR(Y97*1,"0")+IFERROR(Y98*1,"0")</f>
        <v>173.60000000000002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103.30000000000001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21.6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261.59999999999997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196</v>
      </c>
      <c r="P561" s="52">
        <f>IFERROR(Y326*1,"0")+IFERROR(Y327*1,"0")+IFERROR(Y328*1,"0")+IFERROR(Y329*1,"0")+IFERROR(Y330*1,"0")</f>
        <v>36</v>
      </c>
      <c r="Q561" s="52">
        <f>IFERROR(Y335*1,"0")+IFERROR(Y336*1,"0")+IFERROR(Y337*1,"0")</f>
        <v>64.8</v>
      </c>
      <c r="R561" s="52">
        <f>IFERROR(Y342*1,"0")+IFERROR(Y343*1,"0")+IFERROR(Y344*1,"0")+IFERROR(Y345*1,"0")+IFERROR(Y346*1,"0")+IFERROR(Y350*1,"0")+IFERROR(Y351*1,"0")</f>
        <v>82.8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235.55</v>
      </c>
      <c r="U561" s="52">
        <f>IFERROR(Y415*1,"0")+IFERROR(Y416*1,"0")+IFERROR(Y417*1,"0")</f>
        <v>157.5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181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217.85999999999999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345.6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T7xSE20UqUr4ycvLYNUEH0mgfle55rnWrkRSUgpr9uZTcHRoR7LvwWd1KSCiZLan3xuWyPSjpScbmZEjZiLqZQ==" saltValue="h/DgYzqWWIKnkGstEyghhA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8" spans="2:8" x14ac:dyDescent="0.2">
      <c r="B8" s="53" t="s">
        <v>878</v>
      </c>
      <c r="C8" s="53" t="s">
        <v>879</v>
      </c>
      <c r="D8" s="53" t="s">
        <v>880</v>
      </c>
      <c r="E8" s="53" t="s">
        <v>46</v>
      </c>
    </row>
    <row r="10" spans="2:8" x14ac:dyDescent="0.2">
      <c r="B10" s="53" t="s">
        <v>881</v>
      </c>
      <c r="C10" s="53" t="s">
        <v>873</v>
      </c>
      <c r="D10" s="53" t="s">
        <v>46</v>
      </c>
      <c r="E10" s="53" t="s">
        <v>46</v>
      </c>
    </row>
    <row r="12" spans="2:8" x14ac:dyDescent="0.2">
      <c r="B12" s="53" t="s">
        <v>882</v>
      </c>
      <c r="C12" s="53" t="s">
        <v>876</v>
      </c>
      <c r="D12" s="53" t="s">
        <v>46</v>
      </c>
      <c r="E12" s="53" t="s">
        <v>46</v>
      </c>
    </row>
    <row r="14" spans="2:8" x14ac:dyDescent="0.2">
      <c r="B14" s="53" t="s">
        <v>883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894</v>
      </c>
      <c r="C26" s="53" t="s">
        <v>46</v>
      </c>
      <c r="D26" s="53" t="s">
        <v>46</v>
      </c>
      <c r="E26" s="53" t="s">
        <v>46</v>
      </c>
    </row>
  </sheetData>
  <sheetProtection algorithmName="SHA-512" hashValue="suTgqx5KhQpN1BmhuYsCwvUQHKnY5zlK6ru3EnRNq8q9fIDHhna5P7d4PpywUaKtwW4HDNhu8Jhd19KUzDGn5g==" saltValue="x9AfwdVgygcJbnLgmMPc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1149</vt:i4>
      </vt:variant>
    </vt:vector>
  </HeadingPairs>
  <TitlesOfParts>
    <vt:vector size="11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2026-07-28T11:33:48Z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