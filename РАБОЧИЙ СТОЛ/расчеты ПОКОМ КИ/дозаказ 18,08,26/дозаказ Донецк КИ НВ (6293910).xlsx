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C6FDA41-9EDA-45C2-A97B-6B99105893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P418" i="2"/>
  <c r="BO418" i="2"/>
  <c r="BN418" i="2"/>
  <c r="BM418" i="2"/>
  <c r="Z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Z387" i="2"/>
  <c r="Y387" i="2"/>
  <c r="BP387" i="2" s="1"/>
  <c r="P387" i="2"/>
  <c r="BO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Z365" i="2"/>
  <c r="Y365" i="2"/>
  <c r="BN365" i="2" s="1"/>
  <c r="P365" i="2"/>
  <c r="BO364" i="2"/>
  <c r="BM364" i="2"/>
  <c r="Z364" i="2"/>
  <c r="Y364" i="2"/>
  <c r="BN364" i="2" s="1"/>
  <c r="P364" i="2"/>
  <c r="BO363" i="2"/>
  <c r="BM363" i="2"/>
  <c r="Y363" i="2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P356" i="2"/>
  <c r="BP355" i="2"/>
  <c r="BO355" i="2"/>
  <c r="BM355" i="2"/>
  <c r="Y355" i="2"/>
  <c r="BN355" i="2" s="1"/>
  <c r="P355" i="2"/>
  <c r="BO354" i="2"/>
  <c r="BM354" i="2"/>
  <c r="Z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P344" i="2"/>
  <c r="BO343" i="2"/>
  <c r="BM343" i="2"/>
  <c r="Z343" i="2"/>
  <c r="Y343" i="2"/>
  <c r="BN343" i="2" s="1"/>
  <c r="P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Z335" i="2"/>
  <c r="Y335" i="2"/>
  <c r="BN335" i="2" s="1"/>
  <c r="P335" i="2"/>
  <c r="BO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P319" i="2"/>
  <c r="BO318" i="2"/>
  <c r="BM318" i="2"/>
  <c r="Y318" i="2"/>
  <c r="P318" i="2"/>
  <c r="BP317" i="2"/>
  <c r="BO317" i="2"/>
  <c r="BN317" i="2"/>
  <c r="BM317" i="2"/>
  <c r="Z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P274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P258" i="2"/>
  <c r="BO257" i="2"/>
  <c r="BM257" i="2"/>
  <c r="Z257" i="2"/>
  <c r="Y257" i="2"/>
  <c r="BN257" i="2" s="1"/>
  <c r="P257" i="2"/>
  <c r="X254" i="2"/>
  <c r="X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P232" i="2"/>
  <c r="BO232" i="2"/>
  <c r="BM232" i="2"/>
  <c r="Y232" i="2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Y217" i="2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Z155" i="2"/>
  <c r="Y155" i="2"/>
  <c r="BN155" i="2" s="1"/>
  <c r="P155" i="2"/>
  <c r="BO154" i="2"/>
  <c r="BM154" i="2"/>
  <c r="Y154" i="2"/>
  <c r="BP154" i="2" s="1"/>
  <c r="P154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P149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BO142" i="2"/>
  <c r="BM142" i="2"/>
  <c r="Z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Z113" i="2"/>
  <c r="Y113" i="2"/>
  <c r="BP113" i="2" s="1"/>
  <c r="P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Y92" i="2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BP57" i="2" l="1"/>
  <c r="BN57" i="2"/>
  <c r="Z57" i="2"/>
  <c r="BN85" i="2"/>
  <c r="BP92" i="2"/>
  <c r="Z92" i="2"/>
  <c r="BN112" i="2"/>
  <c r="Z112" i="2"/>
  <c r="BN137" i="2"/>
  <c r="BN191" i="2"/>
  <c r="BP210" i="2"/>
  <c r="BN210" i="2"/>
  <c r="Z210" i="2"/>
  <c r="BP223" i="2"/>
  <c r="BN223" i="2"/>
  <c r="Z223" i="2"/>
  <c r="BN234" i="2"/>
  <c r="Z234" i="2"/>
  <c r="BN241" i="2"/>
  <c r="Z241" i="2"/>
  <c r="BP258" i="2"/>
  <c r="Z258" i="2"/>
  <c r="Z259" i="2" s="1"/>
  <c r="BP309" i="2"/>
  <c r="Y311" i="2"/>
  <c r="Y310" i="2"/>
  <c r="Z309" i="2"/>
  <c r="Z310" i="2" s="1"/>
  <c r="BN334" i="2"/>
  <c r="BP344" i="2"/>
  <c r="Z344" i="2"/>
  <c r="BN356" i="2"/>
  <c r="Z356" i="2"/>
  <c r="BN375" i="2"/>
  <c r="Z375" i="2"/>
  <c r="BP388" i="2"/>
  <c r="Z388" i="2"/>
  <c r="BP406" i="2"/>
  <c r="BN406" i="2"/>
  <c r="Z406" i="2"/>
  <c r="BN430" i="2"/>
  <c r="BN445" i="2"/>
  <c r="BP474" i="2"/>
  <c r="Z474" i="2"/>
  <c r="BN500" i="2"/>
  <c r="BN521" i="2"/>
  <c r="BN22" i="2"/>
  <c r="BP22" i="2"/>
  <c r="BP31" i="2"/>
  <c r="BN31" i="2"/>
  <c r="Z31" i="2"/>
  <c r="BP38" i="2"/>
  <c r="BN38" i="2"/>
  <c r="Z38" i="2"/>
  <c r="BP48" i="2"/>
  <c r="Z48" i="2"/>
  <c r="Y80" i="2"/>
  <c r="BP78" i="2"/>
  <c r="BN78" i="2"/>
  <c r="Z78" i="2"/>
  <c r="BP101" i="2"/>
  <c r="BN101" i="2"/>
  <c r="Z101" i="2"/>
  <c r="BN151" i="2"/>
  <c r="BP170" i="2"/>
  <c r="Z170" i="2"/>
  <c r="Z172" i="2" s="1"/>
  <c r="BP180" i="2"/>
  <c r="Z180" i="2"/>
  <c r="Y219" i="2"/>
  <c r="Z217" i="2"/>
  <c r="Z218" i="2" s="1"/>
  <c r="BN232" i="2"/>
  <c r="Z232" i="2"/>
  <c r="BP241" i="2"/>
  <c r="Y253" i="2"/>
  <c r="Y254" i="2"/>
  <c r="BN274" i="2"/>
  <c r="Z274" i="2"/>
  <c r="BP288" i="2"/>
  <c r="BN288" i="2"/>
  <c r="Z288" i="2"/>
  <c r="BP299" i="2"/>
  <c r="Z299" i="2"/>
  <c r="BN319" i="2"/>
  <c r="BP319" i="2"/>
  <c r="BP327" i="2"/>
  <c r="Z327" i="2"/>
  <c r="Y358" i="2"/>
  <c r="BP363" i="2"/>
  <c r="Z363" i="2"/>
  <c r="BP375" i="2"/>
  <c r="BN380" i="2"/>
  <c r="Z389" i="2"/>
  <c r="BN419" i="2"/>
  <c r="BP512" i="2"/>
  <c r="BN512" i="2"/>
  <c r="Z512" i="2"/>
  <c r="BP513" i="2"/>
  <c r="Z513" i="2"/>
  <c r="Y25" i="2"/>
  <c r="BN27" i="2"/>
  <c r="BN37" i="2"/>
  <c r="BN39" i="2"/>
  <c r="BP119" i="2"/>
  <c r="BP138" i="2"/>
  <c r="BP142" i="2"/>
  <c r="BP144" i="2"/>
  <c r="I564" i="2"/>
  <c r="BP153" i="2"/>
  <c r="BP155" i="2"/>
  <c r="BP176" i="2"/>
  <c r="BN238" i="2"/>
  <c r="BP280" i="2"/>
  <c r="BP335" i="2"/>
  <c r="BP342" i="2"/>
  <c r="S564" i="2"/>
  <c r="BP354" i="2"/>
  <c r="BP364" i="2"/>
  <c r="BP365" i="2"/>
  <c r="Y389" i="2"/>
  <c r="BP386" i="2"/>
  <c r="Y396" i="2"/>
  <c r="BN407" i="2"/>
  <c r="Y421" i="2"/>
  <c r="BN493" i="2"/>
  <c r="BN505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82" i="2"/>
  <c r="Z483" i="2" s="1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167" i="2" l="1"/>
  <c r="Z446" i="2"/>
  <c r="Z51" i="2"/>
  <c r="Z547" i="2"/>
  <c r="Z478" i="2"/>
  <c r="Z243" i="2"/>
  <c r="Z80" i="2"/>
  <c r="Z345" i="2"/>
  <c r="X557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s="1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<sst xmlns="http://schemas.openxmlformats.org/spreadsheetml/2006/main" count="4262" uniqueCount="913">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</sst>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11" sqref="AA5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420</v>
      </c>
      <c r="Y47" s="55">
        <f>IFERROR(IF(X47="",0,CEILING((X47/$H47),1)*$H47),"")</f>
        <v>421.20000000000005</v>
      </c>
      <c r="Z47" s="41">
        <f>IFERROR(IF(Y47=0,"",ROUNDUP(Y47/H47,0)*0.01898),"")</f>
        <v>0.74021999999999999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435.94444444444446</v>
      </c>
      <c r="BN47" s="78">
        <f>IFERROR(Y47*I47/H47,"0")</f>
        <v>437.19000000000005</v>
      </c>
      <c r="BO47" s="78">
        <f>IFERROR(1/J47*(X47/H47),"0")</f>
        <v>0.60763888888888884</v>
      </c>
      <c r="BP47" s="78">
        <f>IFERROR(1/J47*(Y47/H47),"0")</f>
        <v>0.609375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38.888888888888886</v>
      </c>
      <c r="Y51" s="43">
        <f>IFERROR(Y47/H47,"0")+IFERROR(Y48/H48,"0")+IFERROR(Y49/H49,"0")+IFERROR(Y50/H50,"0")</f>
        <v>39</v>
      </c>
      <c r="Z51" s="43">
        <f>IFERROR(IF(Z47="",0,Z47),"0")+IFERROR(IF(Z48="",0,Z48),"0")+IFERROR(IF(Z49="",0,Z49),"0")+IFERROR(IF(Z50="",0,Z50),"0")</f>
        <v>0.74021999999999999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420</v>
      </c>
      <c r="Y52" s="43">
        <f>IFERROR(SUM(Y47:Y50),"0")</f>
        <v>421.20000000000005</v>
      </c>
      <c r="Z52" s="42"/>
      <c r="AA52" s="67"/>
      <c r="AB52" s="67"/>
      <c r="AC52" s="67"/>
    </row>
    <row r="53" spans="1:68" ht="16.5" hidden="1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420</v>
      </c>
      <c r="Y511" s="55">
        <f>IFERROR(IF(X511="",0,CEILING((X511/$H511),1)*$H511),"")</f>
        <v>422.40000000000003</v>
      </c>
      <c r="Z511" s="41">
        <f>IFERROR(IF(Y511=0,"",ROUNDUP(Y511/H511,0)*0.01196),"")</f>
        <v>0.95679999999999998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447.84090909090907</v>
      </c>
      <c r="BN511" s="78">
        <f>IFERROR(Y511*I511/H511,"0")</f>
        <v>450.4</v>
      </c>
      <c r="BO511" s="78">
        <f>IFERROR(1/J511*(X511/H511),"0")</f>
        <v>0.7648601398601399</v>
      </c>
      <c r="BP511" s="78">
        <f>IFERROR(1/J511*(Y511/H511),"0")</f>
        <v>0.76923076923076927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79.545454545454547</v>
      </c>
      <c r="Y514" s="43">
        <f>IFERROR(Y511/H511,"0")+IFERROR(Y512/H512,"0")+IFERROR(Y513/H513,"0")</f>
        <v>80</v>
      </c>
      <c r="Z514" s="43">
        <f>IFERROR(IF(Z511="",0,Z511),"0")+IFERROR(IF(Z512="",0,Z512),"0")+IFERROR(IF(Z513="",0,Z513),"0")</f>
        <v>0.95679999999999998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420</v>
      </c>
      <c r="Y515" s="43">
        <f>IFERROR(SUM(Y511:Y513),"0")</f>
        <v>422.40000000000003</v>
      </c>
      <c r="Z515" s="42"/>
      <c r="AA515" s="67"/>
      <c r="AB515" s="67"/>
      <c r="AC515" s="67"/>
    </row>
    <row r="516" spans="1:68" ht="14.25" hidden="1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840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843.60000000000014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883.78535353535358</v>
      </c>
      <c r="Y555" s="43">
        <f>IFERROR(SUM(BN22:BN551),"0")</f>
        <v>887.59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933.78535353535358</v>
      </c>
      <c r="Y557" s="43">
        <f>GrossWeightTotalR+PalletQtyTotalR*25</f>
        <v>937.59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118.43434343434343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119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1.69702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421.20000000000005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8,43"/>
        <filter val="2"/>
        <filter val="38,89"/>
        <filter val="420,00"/>
        <filter val="79,55"/>
        <filter val="840,00"/>
        <filter val="883,79"/>
        <filter val="933,79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