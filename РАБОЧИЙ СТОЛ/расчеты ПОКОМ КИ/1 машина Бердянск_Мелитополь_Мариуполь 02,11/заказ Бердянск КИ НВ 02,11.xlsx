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7CEF5D1-6D99-46C1-877B-B1EC5E042E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Y411" i="1" s="1"/>
  <c r="P407" i="1"/>
  <c r="X405" i="1"/>
  <c r="X404" i="1"/>
  <c r="BO403" i="1"/>
  <c r="BM403" i="1"/>
  <c r="Y403" i="1"/>
  <c r="BP403" i="1" s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BO400" i="1"/>
  <c r="BM400" i="1"/>
  <c r="Y400" i="1"/>
  <c r="P400" i="1"/>
  <c r="X398" i="1"/>
  <c r="X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BP362" i="1" s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X357" i="1"/>
  <c r="X356" i="1"/>
  <c r="BO355" i="1"/>
  <c r="BM355" i="1"/>
  <c r="Y355" i="1"/>
  <c r="Y357" i="1" s="1"/>
  <c r="P355" i="1"/>
  <c r="X353" i="1"/>
  <c r="X352" i="1"/>
  <c r="BO351" i="1"/>
  <c r="BM351" i="1"/>
  <c r="Y351" i="1"/>
  <c r="S572" i="1" s="1"/>
  <c r="P351" i="1"/>
  <c r="X348" i="1"/>
  <c r="X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Y348" i="1" s="1"/>
  <c r="P344" i="1"/>
  <c r="X342" i="1"/>
  <c r="X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P572" i="1" s="1"/>
  <c r="P318" i="1"/>
  <c r="X315" i="1"/>
  <c r="X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Y314" i="1" s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Y288" i="1" s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P251" i="1"/>
  <c r="BO251" i="1"/>
  <c r="BN251" i="1"/>
  <c r="BM251" i="1"/>
  <c r="Z251" i="1"/>
  <c r="Y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1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7" i="1" s="1"/>
  <c r="P214" i="1"/>
  <c r="X212" i="1"/>
  <c r="X211" i="1"/>
  <c r="BO210" i="1"/>
  <c r="BM210" i="1"/>
  <c r="Y210" i="1"/>
  <c r="L572" i="1" s="1"/>
  <c r="P210" i="1"/>
  <c r="X207" i="1"/>
  <c r="X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Y18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Y168" i="1" s="1"/>
  <c r="P165" i="1"/>
  <c r="X163" i="1"/>
  <c r="X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X155" i="1"/>
  <c r="Y154" i="1"/>
  <c r="X154" i="1"/>
  <c r="BP153" i="1"/>
  <c r="BO153" i="1"/>
  <c r="BN153" i="1"/>
  <c r="BM153" i="1"/>
  <c r="Z153" i="1"/>
  <c r="Z154" i="1" s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7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323" i="1" l="1"/>
  <c r="BN323" i="1"/>
  <c r="Q572" i="1"/>
  <c r="BP330" i="1"/>
  <c r="BN330" i="1"/>
  <c r="Z330" i="1"/>
  <c r="BP345" i="1"/>
  <c r="BN345" i="1"/>
  <c r="Z345" i="1"/>
  <c r="BP372" i="1"/>
  <c r="BN372" i="1"/>
  <c r="Z372" i="1"/>
  <c r="BP388" i="1"/>
  <c r="BN388" i="1"/>
  <c r="Z388" i="1"/>
  <c r="Y404" i="1"/>
  <c r="BP400" i="1"/>
  <c r="BN400" i="1"/>
  <c r="Z400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3" i="1"/>
  <c r="BN113" i="1"/>
  <c r="Z121" i="1"/>
  <c r="BN121" i="1"/>
  <c r="Z136" i="1"/>
  <c r="BN136" i="1"/>
  <c r="Z140" i="1"/>
  <c r="BN140" i="1"/>
  <c r="BP140" i="1"/>
  <c r="I572" i="1"/>
  <c r="Z149" i="1"/>
  <c r="BN149" i="1"/>
  <c r="Z160" i="1"/>
  <c r="BN160" i="1"/>
  <c r="Z170" i="1"/>
  <c r="BN170" i="1"/>
  <c r="BP170" i="1"/>
  <c r="Z174" i="1"/>
  <c r="BN174" i="1"/>
  <c r="Z178" i="1"/>
  <c r="BN178" i="1"/>
  <c r="Z184" i="1"/>
  <c r="BN184" i="1"/>
  <c r="BP184" i="1"/>
  <c r="K572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M572" i="1"/>
  <c r="Z255" i="1"/>
  <c r="BN255" i="1"/>
  <c r="BP255" i="1"/>
  <c r="Y269" i="1"/>
  <c r="Z263" i="1"/>
  <c r="BN263" i="1"/>
  <c r="Z267" i="1"/>
  <c r="BN267" i="1"/>
  <c r="Z273" i="1"/>
  <c r="BN273" i="1"/>
  <c r="Z277" i="1"/>
  <c r="BN277" i="1"/>
  <c r="Z281" i="1"/>
  <c r="BN281" i="1"/>
  <c r="Z292" i="1"/>
  <c r="BN292" i="1"/>
  <c r="Y299" i="1"/>
  <c r="Z296" i="1"/>
  <c r="BN296" i="1"/>
  <c r="Z302" i="1"/>
  <c r="Z303" i="1" s="1"/>
  <c r="BN302" i="1"/>
  <c r="BP302" i="1"/>
  <c r="Y303" i="1"/>
  <c r="Z306" i="1"/>
  <c r="Z307" i="1" s="1"/>
  <c r="BN306" i="1"/>
  <c r="BP306" i="1"/>
  <c r="Y307" i="1"/>
  <c r="Z310" i="1"/>
  <c r="BN310" i="1"/>
  <c r="BP310" i="1"/>
  <c r="Y315" i="1"/>
  <c r="Z319" i="1"/>
  <c r="BN319" i="1"/>
  <c r="Z323" i="1"/>
  <c r="BP337" i="1"/>
  <c r="BN337" i="1"/>
  <c r="Z337" i="1"/>
  <c r="U572" i="1"/>
  <c r="BP368" i="1"/>
  <c r="BN368" i="1"/>
  <c r="Z368" i="1"/>
  <c r="BP380" i="1"/>
  <c r="BN380" i="1"/>
  <c r="Z380" i="1"/>
  <c r="Y398" i="1"/>
  <c r="BP394" i="1"/>
  <c r="BN394" i="1"/>
  <c r="Z394" i="1"/>
  <c r="BP409" i="1"/>
  <c r="BN409" i="1"/>
  <c r="Z409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33" i="1"/>
  <c r="Y342" i="1"/>
  <c r="T572" i="1"/>
  <c r="Y385" i="1"/>
  <c r="Y397" i="1"/>
  <c r="Y405" i="1"/>
  <c r="Y417" i="1"/>
  <c r="Y478" i="1"/>
  <c r="Y477" i="1"/>
  <c r="Y555" i="1"/>
  <c r="AC572" i="1"/>
  <c r="Z32" i="1"/>
  <c r="Z14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6" i="1"/>
  <c r="Y123" i="1"/>
  <c r="BP118" i="1"/>
  <c r="BN118" i="1"/>
  <c r="Z118" i="1"/>
  <c r="Y122" i="1"/>
  <c r="BP131" i="1"/>
  <c r="BN131" i="1"/>
  <c r="Z131" i="1"/>
  <c r="Z132" i="1" s="1"/>
  <c r="Y133" i="1"/>
  <c r="Y138" i="1"/>
  <c r="BP135" i="1"/>
  <c r="BN135" i="1"/>
  <c r="Z135" i="1"/>
  <c r="Z137" i="1" s="1"/>
  <c r="H9" i="1"/>
  <c r="B572" i="1"/>
  <c r="X563" i="1"/>
  <c r="X564" i="1"/>
  <c r="Z23" i="1"/>
  <c r="BN23" i="1"/>
  <c r="Z25" i="1"/>
  <c r="BN25" i="1"/>
  <c r="X566" i="1"/>
  <c r="Y28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1" i="1" s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BP120" i="1"/>
  <c r="BN120" i="1"/>
  <c r="Z120" i="1"/>
  <c r="BP141" i="1"/>
  <c r="BN141" i="1"/>
  <c r="Z141" i="1"/>
  <c r="Y143" i="1"/>
  <c r="Y150" i="1"/>
  <c r="Y163" i="1"/>
  <c r="Y167" i="1"/>
  <c r="Y181" i="1"/>
  <c r="Y187" i="1"/>
  <c r="Y191" i="1"/>
  <c r="Y195" i="1"/>
  <c r="Y207" i="1"/>
  <c r="Y212" i="1"/>
  <c r="Y228" i="1"/>
  <c r="Y236" i="1"/>
  <c r="Y242" i="1"/>
  <c r="Y246" i="1"/>
  <c r="Y252" i="1"/>
  <c r="Y258" i="1"/>
  <c r="Y268" i="1"/>
  <c r="BP272" i="1"/>
  <c r="BN272" i="1"/>
  <c r="Z272" i="1"/>
  <c r="BP276" i="1"/>
  <c r="BN276" i="1"/>
  <c r="Z276" i="1"/>
  <c r="BP280" i="1"/>
  <c r="BN280" i="1"/>
  <c r="Z280" i="1"/>
  <c r="H572" i="1"/>
  <c r="Y132" i="1"/>
  <c r="Z146" i="1"/>
  <c r="BN146" i="1"/>
  <c r="BP146" i="1"/>
  <c r="Z148" i="1"/>
  <c r="BN148" i="1"/>
  <c r="Y151" i="1"/>
  <c r="J572" i="1"/>
  <c r="Z159" i="1"/>
  <c r="BN159" i="1"/>
  <c r="Z161" i="1"/>
  <c r="BN161" i="1"/>
  <c r="Y162" i="1"/>
  <c r="Z165" i="1"/>
  <c r="Z167" i="1" s="1"/>
  <c r="BN165" i="1"/>
  <c r="BP165" i="1"/>
  <c r="Z171" i="1"/>
  <c r="BN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Z206" i="1" s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Z241" i="1" s="1"/>
  <c r="BN238" i="1"/>
  <c r="BP238" i="1"/>
  <c r="Z240" i="1"/>
  <c r="BN240" i="1"/>
  <c r="Z244" i="1"/>
  <c r="Z245" i="1" s="1"/>
  <c r="BN244" i="1"/>
  <c r="BP244" i="1"/>
  <c r="Z249" i="1"/>
  <c r="Z252" i="1" s="1"/>
  <c r="BN249" i="1"/>
  <c r="BP249" i="1"/>
  <c r="Y253" i="1"/>
  <c r="Z256" i="1"/>
  <c r="Z257" i="1" s="1"/>
  <c r="BN256" i="1"/>
  <c r="Z260" i="1"/>
  <c r="Z268" i="1" s="1"/>
  <c r="BN260" i="1"/>
  <c r="BP260" i="1"/>
  <c r="Z262" i="1"/>
  <c r="BN262" i="1"/>
  <c r="Z264" i="1"/>
  <c r="BN264" i="1"/>
  <c r="Z266" i="1"/>
  <c r="BN266" i="1"/>
  <c r="Y283" i="1"/>
  <c r="BP274" i="1"/>
  <c r="BN274" i="1"/>
  <c r="Z274" i="1"/>
  <c r="BP278" i="1"/>
  <c r="BN278" i="1"/>
  <c r="Z278" i="1"/>
  <c r="BP282" i="1"/>
  <c r="BN282" i="1"/>
  <c r="Z282" i="1"/>
  <c r="Y284" i="1"/>
  <c r="Z333" i="1"/>
  <c r="Z286" i="1"/>
  <c r="Z288" i="1" s="1"/>
  <c r="BN286" i="1"/>
  <c r="BP286" i="1"/>
  <c r="Y289" i="1"/>
  <c r="O572" i="1"/>
  <c r="Z293" i="1"/>
  <c r="Z299" i="1" s="1"/>
  <c r="BN293" i="1"/>
  <c r="BP293" i="1"/>
  <c r="Z295" i="1"/>
  <c r="BN295" i="1"/>
  <c r="Z297" i="1"/>
  <c r="BN297" i="1"/>
  <c r="Y300" i="1"/>
  <c r="Z311" i="1"/>
  <c r="Z314" i="1" s="1"/>
  <c r="BN311" i="1"/>
  <c r="BP311" i="1"/>
  <c r="Z313" i="1"/>
  <c r="BN313" i="1"/>
  <c r="Z318" i="1"/>
  <c r="BN318" i="1"/>
  <c r="BP318" i="1"/>
  <c r="Z320" i="1"/>
  <c r="BN320" i="1"/>
  <c r="Z322" i="1"/>
  <c r="BN322" i="1"/>
  <c r="Z324" i="1"/>
  <c r="BN324" i="1"/>
  <c r="Y327" i="1"/>
  <c r="Z331" i="1"/>
  <c r="BN331" i="1"/>
  <c r="BP331" i="1"/>
  <c r="Y334" i="1"/>
  <c r="R572" i="1"/>
  <c r="Z338" i="1"/>
  <c r="Z341" i="1" s="1"/>
  <c r="BN338" i="1"/>
  <c r="BP338" i="1"/>
  <c r="Z340" i="1"/>
  <c r="BN340" i="1"/>
  <c r="Y341" i="1"/>
  <c r="Z344" i="1"/>
  <c r="Z347" i="1" s="1"/>
  <c r="BN344" i="1"/>
  <c r="BP344" i="1"/>
  <c r="Z346" i="1"/>
  <c r="BN346" i="1"/>
  <c r="Y347" i="1"/>
  <c r="Z351" i="1"/>
  <c r="Z352" i="1" s="1"/>
  <c r="BN351" i="1"/>
  <c r="BP351" i="1"/>
  <c r="Y352" i="1"/>
  <c r="Z355" i="1"/>
  <c r="Z356" i="1" s="1"/>
  <c r="BN355" i="1"/>
  <c r="BP355" i="1"/>
  <c r="Y356" i="1"/>
  <c r="Z360" i="1"/>
  <c r="Z363" i="1" s="1"/>
  <c r="BN360" i="1"/>
  <c r="BP360" i="1"/>
  <c r="Z362" i="1"/>
  <c r="BN362" i="1"/>
  <c r="Y363" i="1"/>
  <c r="Z367" i="1"/>
  <c r="Z374" i="1" s="1"/>
  <c r="BN367" i="1"/>
  <c r="BP367" i="1"/>
  <c r="Z369" i="1"/>
  <c r="BN369" i="1"/>
  <c r="Z371" i="1"/>
  <c r="BN371" i="1"/>
  <c r="Z373" i="1"/>
  <c r="BN373" i="1"/>
  <c r="Y374" i="1"/>
  <c r="Z377" i="1"/>
  <c r="Z384" i="1" s="1"/>
  <c r="BN377" i="1"/>
  <c r="BP377" i="1"/>
  <c r="Z379" i="1"/>
  <c r="BN379" i="1"/>
  <c r="Z381" i="1"/>
  <c r="BN381" i="1"/>
  <c r="Z383" i="1"/>
  <c r="BN383" i="1"/>
  <c r="Y384" i="1"/>
  <c r="Z387" i="1"/>
  <c r="Z391" i="1" s="1"/>
  <c r="BN387" i="1"/>
  <c r="BP387" i="1"/>
  <c r="Z389" i="1"/>
  <c r="BN389" i="1"/>
  <c r="Y392" i="1"/>
  <c r="Z395" i="1"/>
  <c r="Z397" i="1" s="1"/>
  <c r="BN395" i="1"/>
  <c r="BP395" i="1"/>
  <c r="Z401" i="1"/>
  <c r="BN401" i="1"/>
  <c r="BP401" i="1"/>
  <c r="Z403" i="1"/>
  <c r="BN403" i="1"/>
  <c r="Z407" i="1"/>
  <c r="BN407" i="1"/>
  <c r="BP407" i="1"/>
  <c r="Y410" i="1"/>
  <c r="Y416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BP460" i="1"/>
  <c r="BN460" i="1"/>
  <c r="Z460" i="1"/>
  <c r="Z461" i="1" s="1"/>
  <c r="Y462" i="1"/>
  <c r="Y468" i="1"/>
  <c r="BP465" i="1"/>
  <c r="BN465" i="1"/>
  <c r="Z465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Y572" i="1"/>
  <c r="Y326" i="1"/>
  <c r="Y353" i="1"/>
  <c r="Y364" i="1"/>
  <c r="Y375" i="1"/>
  <c r="Z408" i="1"/>
  <c r="BN408" i="1"/>
  <c r="Z414" i="1"/>
  <c r="Z416" i="1" s="1"/>
  <c r="BN414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BP438" i="1"/>
  <c r="BN438" i="1"/>
  <c r="Z438" i="1"/>
  <c r="BP442" i="1"/>
  <c r="BN442" i="1"/>
  <c r="Z442" i="1"/>
  <c r="Y451" i="1"/>
  <c r="Y450" i="1"/>
  <c r="BP454" i="1"/>
  <c r="BN454" i="1"/>
  <c r="Z454" i="1"/>
  <c r="Z456" i="1" s="1"/>
  <c r="Y461" i="1"/>
  <c r="Y46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Z516" i="1" s="1"/>
  <c r="BP512" i="1"/>
  <c r="BN512" i="1"/>
  <c r="Z512" i="1"/>
  <c r="Y516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410" i="1" l="1"/>
  <c r="Z181" i="1"/>
  <c r="Z162" i="1"/>
  <c r="Z63" i="1"/>
  <c r="Y563" i="1"/>
  <c r="Z532" i="1"/>
  <c r="Z522" i="1"/>
  <c r="Z477" i="1"/>
  <c r="Z431" i="1"/>
  <c r="Z503" i="1"/>
  <c r="Z488" i="1"/>
  <c r="Z467" i="1"/>
  <c r="Z450" i="1"/>
  <c r="Z404" i="1"/>
  <c r="Z283" i="1"/>
  <c r="Z98" i="1"/>
  <c r="Y564" i="1"/>
  <c r="Z27" i="1"/>
  <c r="Y565" i="1"/>
  <c r="Z444" i="1"/>
  <c r="Y562" i="1"/>
  <c r="Y566" i="1"/>
  <c r="Z424" i="1"/>
  <c r="Z326" i="1"/>
  <c r="Z235" i="1"/>
  <c r="Z150" i="1"/>
  <c r="Z115" i="1"/>
  <c r="Z109" i="1"/>
  <c r="Z91" i="1"/>
  <c r="Z70" i="1"/>
  <c r="Z51" i="1"/>
  <c r="Z42" i="1"/>
  <c r="X565" i="1"/>
  <c r="Z122" i="1"/>
  <c r="Z567" i="1" l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<sst xmlns="http://schemas.openxmlformats.org/spreadsheetml/2006/main" count="2531" uniqueCount="914">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</sst>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1</v>
      </c>
      <c r="Y24" s="636">
        <f>IFERROR(IF(X24="",0,CEILING((X24/$H24),1)*$H24),"")</f>
        <v>1.8</v>
      </c>
      <c r="Z24" s="36">
        <f>IFERROR(IF(Y24=0,"",ROUNDUP(Y24/H24,0)*0.00651),"")</f>
        <v>6.5100000000000002E-3</v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1.7666666666666666</v>
      </c>
      <c r="BN24" s="64">
        <f>IFERROR(Y24*I24/H24,"0")</f>
        <v>3.18</v>
      </c>
      <c r="BO24" s="64">
        <f>IFERROR(1/J24*(X24/H24),"0")</f>
        <v>3.0525030525030529E-3</v>
      </c>
      <c r="BP24" s="64">
        <f>IFERROR(1/J24*(Y24/H24),"0")</f>
        <v>5.4945054945054949E-3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0.55555555555555558</v>
      </c>
      <c r="Y27" s="637">
        <f>IFERROR(Y22/H22,"0")+IFERROR(Y23/H23,"0")+IFERROR(Y24/H24,"0")+IFERROR(Y25/H25,"0")+IFERROR(Y26/H26,"0")</f>
        <v>1</v>
      </c>
      <c r="Z27" s="637">
        <f>IFERROR(IF(Z22="",0,Z22),"0")+IFERROR(IF(Z23="",0,Z23),"0")+IFERROR(IF(Z24="",0,Z24),"0")+IFERROR(IF(Z25="",0,Z25),"0")+IFERROR(IF(Z26="",0,Z26),"0")</f>
        <v>6.5100000000000002E-3</v>
      </c>
      <c r="AA27" s="638"/>
      <c r="AB27" s="638"/>
      <c r="AC27" s="638"/>
    </row>
    <row r="28" spans="1:68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1</v>
      </c>
      <c r="Y28" s="637">
        <f>IFERROR(SUM(Y22:Y26),"0")</f>
        <v>1.8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25</v>
      </c>
      <c r="Y47" s="636">
        <f>IFERROR(IF(X47="",0,CEILING((X47/$H47),1)*$H47),"")</f>
        <v>32.400000000000006</v>
      </c>
      <c r="Z47" s="36">
        <f>IFERROR(IF(Y47=0,"",ROUNDUP(Y47/H47,0)*0.01898),"")</f>
        <v>5.6940000000000004E-2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25.949074074074073</v>
      </c>
      <c r="BN47" s="64">
        <f>IFERROR(Y47*I47/H47,"0")</f>
        <v>33.630000000000003</v>
      </c>
      <c r="BO47" s="64">
        <f>IFERROR(1/J47*(X47/H47),"0")</f>
        <v>3.6168981481481483E-2</v>
      </c>
      <c r="BP47" s="64">
        <f>IFERROR(1/J47*(Y47/H47),"0")</f>
        <v>4.6875000000000007E-2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12</v>
      </c>
      <c r="Y50" s="636">
        <f>IFERROR(IF(X50="",0,CEILING((X50/$H50),1)*$H50),"")</f>
        <v>14.8</v>
      </c>
      <c r="Z50" s="36">
        <f>IFERROR(IF(Y50=0,"",ROUNDUP(Y50/H50,0)*0.00902),"")</f>
        <v>3.6080000000000001E-2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12.616216216216216</v>
      </c>
      <c r="BN50" s="64">
        <f>IFERROR(Y50*I50/H50,"0")</f>
        <v>15.56</v>
      </c>
      <c r="BO50" s="64">
        <f>IFERROR(1/J50*(X50/H50),"0")</f>
        <v>2.4570024570024569E-2</v>
      </c>
      <c r="BP50" s="64">
        <f>IFERROR(1/J50*(Y50/H50),"0")</f>
        <v>3.0303030303030304E-2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5.5580580580580579</v>
      </c>
      <c r="Y51" s="637">
        <f>IFERROR(Y47/H47,"0")+IFERROR(Y48/H48,"0")+IFERROR(Y49/H49,"0")+IFERROR(Y50/H50,"0")</f>
        <v>7</v>
      </c>
      <c r="Z51" s="637">
        <f>IFERROR(IF(Z47="",0,Z47),"0")+IFERROR(IF(Z48="",0,Z48),"0")+IFERROR(IF(Z49="",0,Z49),"0")+IFERROR(IF(Z50="",0,Z50),"0")</f>
        <v>9.3020000000000005E-2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37</v>
      </c>
      <c r="Y52" s="637">
        <f>IFERROR(SUM(Y47:Y50),"0")</f>
        <v>47.2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14</v>
      </c>
      <c r="Y55" s="636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14.512500000000001</v>
      </c>
      <c r="BN55" s="64">
        <f t="shared" ref="BN55:BN62" si="2">IFERROR(Y55*I55/H55,"0")</f>
        <v>23.22</v>
      </c>
      <c r="BO55" s="64">
        <f t="shared" ref="BO55:BO62" si="3">IFERROR(1/J55*(X55/H55),"0")</f>
        <v>1.953125E-2</v>
      </c>
      <c r="BP55" s="64">
        <f t="shared" ref="BP55:BP62" si="4">IFERROR(1/J55*(Y55/H55),"0")</f>
        <v>3.125E-2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60</v>
      </c>
      <c r="Y56" s="636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62.277777777777779</v>
      </c>
      <c r="BN56" s="64">
        <f t="shared" si="2"/>
        <v>67.260000000000005</v>
      </c>
      <c r="BO56" s="64">
        <f t="shared" si="3"/>
        <v>8.6805555555555552E-2</v>
      </c>
      <c r="BP56" s="64">
        <f t="shared" si="4"/>
        <v>9.3750000000000014E-2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26</v>
      </c>
      <c r="Y62" s="636">
        <f t="shared" si="0"/>
        <v>27</v>
      </c>
      <c r="Z62" s="36">
        <f>IFERROR(IF(Y62=0,"",ROUNDUP(Y62/H62,0)*0.00902),"")</f>
        <v>5.4120000000000001E-2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27.097777777777779</v>
      </c>
      <c r="BN62" s="64">
        <f t="shared" si="2"/>
        <v>28.14</v>
      </c>
      <c r="BO62" s="64">
        <f t="shared" si="3"/>
        <v>4.3771043771043773E-2</v>
      </c>
      <c r="BP62" s="64">
        <f t="shared" si="4"/>
        <v>4.5454545454545456E-2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12.583333333333332</v>
      </c>
      <c r="Y63" s="637">
        <f>IFERROR(Y55/H55,"0")+IFERROR(Y56/H56,"0")+IFERROR(Y57/H57,"0")+IFERROR(Y58/H58,"0")+IFERROR(Y59/H59,"0")+IFERROR(Y60/H60,"0")+IFERROR(Y61/H61,"0")+IFERROR(Y62/H62,"0")</f>
        <v>14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0.20596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100</v>
      </c>
      <c r="Y64" s="637">
        <f>IFERROR(SUM(Y55:Y62),"0")</f>
        <v>114.20000000000002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23</v>
      </c>
      <c r="Y66" s="636">
        <f>IFERROR(IF(X66="",0,CEILING((X66/$H66),1)*$H66),"")</f>
        <v>32.400000000000006</v>
      </c>
      <c r="Z66" s="36">
        <f>IFERROR(IF(Y66=0,"",ROUNDUP(Y66/H66,0)*0.01898),"")</f>
        <v>5.6940000000000004E-2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23.87314814814815</v>
      </c>
      <c r="BN66" s="64">
        <f>IFERROR(Y66*I66/H66,"0")</f>
        <v>33.630000000000003</v>
      </c>
      <c r="BO66" s="64">
        <f>IFERROR(1/J66*(X66/H66),"0")</f>
        <v>3.3275462962962958E-2</v>
      </c>
      <c r="BP66" s="64">
        <f>IFERROR(1/J66*(Y66/H66),"0")</f>
        <v>4.6875000000000007E-2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2.1296296296296293</v>
      </c>
      <c r="Y70" s="637">
        <f>IFERROR(Y66/H66,"0")+IFERROR(Y67/H67,"0")+IFERROR(Y68/H68,"0")+IFERROR(Y69/H69,"0")</f>
        <v>3.0000000000000004</v>
      </c>
      <c r="Z70" s="637">
        <f>IFERROR(IF(Z66="",0,Z66),"0")+IFERROR(IF(Z67="",0,Z67),"0")+IFERROR(IF(Z68="",0,Z68),"0")+IFERROR(IF(Z69="",0,Z69),"0")</f>
        <v>5.6940000000000004E-2</v>
      </c>
      <c r="AA70" s="638"/>
      <c r="AB70" s="638"/>
      <c r="AC70" s="638"/>
    </row>
    <row r="71" spans="1:68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23</v>
      </c>
      <c r="Y71" s="637">
        <f>IFERROR(SUM(Y66:Y69),"0")</f>
        <v>32.400000000000006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42</v>
      </c>
      <c r="Y85" s="636">
        <f t="shared" ref="Y85:Y90" si="5"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43.594444444444449</v>
      </c>
      <c r="BN85" s="64">
        <f t="shared" ref="BN85:BN90" si="7">IFERROR(Y85*I85/H85,"0")</f>
        <v>44.84</v>
      </c>
      <c r="BO85" s="64">
        <f t="shared" ref="BO85:BO90" si="8">IFERROR(1/J85*(X85/H85),"0")</f>
        <v>6.0763888888888888E-2</v>
      </c>
      <c r="BP85" s="64">
        <f t="shared" ref="BP85:BP90" si="9">IFERROR(1/J85*(Y85/H85),"0")</f>
        <v>6.25E-2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19</v>
      </c>
      <c r="Y90" s="636">
        <f t="shared" si="5"/>
        <v>22.5</v>
      </c>
      <c r="Z90" s="36">
        <f>IFERROR(IF(Y90=0,"",ROUNDUP(Y90/H90,0)*0.00902),"")</f>
        <v>4.5100000000000001E-2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19.802222222222227</v>
      </c>
      <c r="BN90" s="64">
        <f t="shared" si="7"/>
        <v>23.450000000000003</v>
      </c>
      <c r="BO90" s="64">
        <f t="shared" si="8"/>
        <v>3.1986531986531987E-2</v>
      </c>
      <c r="BP90" s="64">
        <f t="shared" si="9"/>
        <v>3.787878787878788E-2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8.1111111111111107</v>
      </c>
      <c r="Y91" s="637">
        <f>IFERROR(Y85/H85,"0")+IFERROR(Y86/H86,"0")+IFERROR(Y87/H87,"0")+IFERROR(Y88/H88,"0")+IFERROR(Y89/H89,"0")+IFERROR(Y90/H90,"0")</f>
        <v>9</v>
      </c>
      <c r="Z91" s="637">
        <f>IFERROR(IF(Z85="",0,Z85),"0")+IFERROR(IF(Z86="",0,Z86),"0")+IFERROR(IF(Z87="",0,Z87),"0")+IFERROR(IF(Z88="",0,Z88),"0")+IFERROR(IF(Z89="",0,Z89),"0")+IFERROR(IF(Z90="",0,Z90),"0")</f>
        <v>0.12102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61</v>
      </c>
      <c r="Y92" s="637">
        <f>IFERROR(SUM(Y85:Y90),"0")</f>
        <v>65.7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hidden="1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0</v>
      </c>
      <c r="Y94" s="636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0</v>
      </c>
      <c r="Y96" s="63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idden="1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0</v>
      </c>
      <c r="Y98" s="637">
        <f>IFERROR(Y94/H94,"0")+IFERROR(Y95/H95,"0")+IFERROR(Y96/H96,"0")+IFERROR(Y97/H97,"0")</f>
        <v>0</v>
      </c>
      <c r="Z98" s="637">
        <f>IFERROR(IF(Z94="",0,Z94),"0")+IFERROR(IF(Z95="",0,Z95),"0")+IFERROR(IF(Z96="",0,Z96),"0")+IFERROR(IF(Z97="",0,Z97),"0")</f>
        <v>0</v>
      </c>
      <c r="AA98" s="638"/>
      <c r="AB98" s="638"/>
      <c r="AC98" s="638"/>
    </row>
    <row r="99" spans="1:68" hidden="1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0</v>
      </c>
      <c r="Y99" s="637">
        <f>IFERROR(SUM(Y94:Y97),"0")</f>
        <v>0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idden="1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0</v>
      </c>
      <c r="Y109" s="637">
        <f>IFERROR(Y102/H102,"0")+IFERROR(Y103/H103,"0")+IFERROR(Y104/H104,"0")+IFERROR(Y105/H105,"0")+IFERROR(Y106/H106,"0")+IFERROR(Y107/H107,"0")+IFERROR(Y108/H108,"0")</f>
        <v>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38"/>
      <c r="AB109" s="638"/>
      <c r="AC109" s="638"/>
    </row>
    <row r="110" spans="1:68" hidden="1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0</v>
      </c>
      <c r="Y110" s="637">
        <f>IFERROR(SUM(Y102:Y108),"0")</f>
        <v>0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20</v>
      </c>
      <c r="Y112" s="63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20.75925925925926</v>
      </c>
      <c r="BN112" s="64">
        <f>IFERROR(Y112*I112/H112,"0")</f>
        <v>22.42</v>
      </c>
      <c r="BO112" s="64">
        <f>IFERROR(1/J112*(X112/H112),"0")</f>
        <v>2.8935185185185182E-2</v>
      </c>
      <c r="BP112" s="64">
        <f>IFERROR(1/J112*(Y112/H112),"0")</f>
        <v>3.125E-2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9</v>
      </c>
      <c r="Y114" s="636">
        <f>IFERROR(IF(X114="",0,CEILING((X114/$H114),1)*$H114),"")</f>
        <v>9.6</v>
      </c>
      <c r="Z114" s="36">
        <f>IFERROR(IF(Y114=0,"",ROUNDUP(Y114/H114,0)*0.00651),"")</f>
        <v>2.6040000000000001E-2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9.6750000000000007</v>
      </c>
      <c r="BN114" s="64">
        <f>IFERROR(Y114*I114/H114,"0")</f>
        <v>10.32</v>
      </c>
      <c r="BO114" s="64">
        <f>IFERROR(1/J114*(X114/H114),"0")</f>
        <v>2.0604395604395608E-2</v>
      </c>
      <c r="BP114" s="64">
        <f>IFERROR(1/J114*(Y114/H114),"0")</f>
        <v>2.197802197802198E-2</v>
      </c>
    </row>
    <row r="115" spans="1:68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5.6018518518518512</v>
      </c>
      <c r="Y115" s="637">
        <f>IFERROR(Y112/H112,"0")+IFERROR(Y113/H113,"0")+IFERROR(Y114/H114,"0")</f>
        <v>6</v>
      </c>
      <c r="Z115" s="637">
        <f>IFERROR(IF(Z112="",0,Z112),"0")+IFERROR(IF(Z113="",0,Z113),"0")+IFERROR(IF(Z114="",0,Z114),"0")</f>
        <v>6.4000000000000001E-2</v>
      </c>
      <c r="AA115" s="638"/>
      <c r="AB115" s="638"/>
      <c r="AC115" s="638"/>
    </row>
    <row r="116" spans="1:68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29</v>
      </c>
      <c r="Y116" s="637">
        <f>IFERROR(SUM(Y112:Y114),"0")</f>
        <v>31.200000000000003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137</v>
      </c>
      <c r="Y118" s="636">
        <f>IFERROR(IF(X118="",0,CEILING((X118/$H118),1)*$H118),"")</f>
        <v>137.69999999999999</v>
      </c>
      <c r="Z118" s="36">
        <f>IFERROR(IF(Y118=0,"",ROUNDUP(Y118/H118,0)*0.01898),"")</f>
        <v>0.32266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145.25382716049381</v>
      </c>
      <c r="BN118" s="64">
        <f>IFERROR(Y118*I118/H118,"0")</f>
        <v>145.99599999999998</v>
      </c>
      <c r="BO118" s="64">
        <f>IFERROR(1/J118*(X118/H118),"0")</f>
        <v>0.26427469135802473</v>
      </c>
      <c r="BP118" s="64">
        <f>IFERROR(1/J118*(Y118/H118),"0")</f>
        <v>0.265625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113</v>
      </c>
      <c r="Y120" s="636">
        <f>IFERROR(IF(X120="",0,CEILING((X120/$H120),1)*$H120),"")</f>
        <v>113.4</v>
      </c>
      <c r="Z120" s="36">
        <f>IFERROR(IF(Y120=0,"",ROUNDUP(Y120/H120,0)*0.00651),"")</f>
        <v>0.27342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123.54666666666667</v>
      </c>
      <c r="BN120" s="64">
        <f>IFERROR(Y120*I120/H120,"0")</f>
        <v>123.98399999999999</v>
      </c>
      <c r="BO120" s="64">
        <f>IFERROR(1/J120*(X120/H120),"0")</f>
        <v>0.22995522995522996</v>
      </c>
      <c r="BP120" s="64">
        <f>IFERROR(1/J120*(Y120/H120),"0")</f>
        <v>0.23076923076923078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58.76543209876543</v>
      </c>
      <c r="Y122" s="637">
        <f>IFERROR(Y118/H118,"0")+IFERROR(Y119/H119,"0")+IFERROR(Y120/H120,"0")+IFERROR(Y121/H121,"0")</f>
        <v>59</v>
      </c>
      <c r="Z122" s="637">
        <f>IFERROR(IF(Z118="",0,Z118),"0")+IFERROR(IF(Z119="",0,Z119),"0")+IFERROR(IF(Z120="",0,Z120),"0")+IFERROR(IF(Z121="",0,Z121),"0")</f>
        <v>0.59607999999999994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250</v>
      </c>
      <c r="Y123" s="637">
        <f>IFERROR(SUM(Y118:Y121),"0")</f>
        <v>251.1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2</v>
      </c>
      <c r="Y125" s="636">
        <f>IFERROR(IF(X125="",0,CEILING((X125/$H125),1)*$H125),"")</f>
        <v>3.96</v>
      </c>
      <c r="Z125" s="36">
        <f>IFERROR(IF(Y125=0,"",ROUNDUP(Y125/H125,0)*0.00651),"")</f>
        <v>1.302E-2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2.2606060606060607</v>
      </c>
      <c r="BN125" s="64">
        <f>IFERROR(Y125*I125/H125,"0")</f>
        <v>4.476</v>
      </c>
      <c r="BO125" s="64">
        <f>IFERROR(1/J125*(X125/H125),"0")</f>
        <v>5.5500055500055509E-3</v>
      </c>
      <c r="BP125" s="64">
        <f>IFERROR(1/J125*(Y125/H125),"0")</f>
        <v>1.098901098901099E-2</v>
      </c>
    </row>
    <row r="126" spans="1:68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1.0101010101010102</v>
      </c>
      <c r="Y126" s="637">
        <f>IFERROR(Y125/H125,"0")</f>
        <v>2</v>
      </c>
      <c r="Z126" s="637">
        <f>IFERROR(IF(Z125="",0,Z125),"0")</f>
        <v>1.302E-2</v>
      </c>
      <c r="AA126" s="638"/>
      <c r="AB126" s="638"/>
      <c r="AC126" s="638"/>
    </row>
    <row r="127" spans="1:68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2</v>
      </c>
      <c r="Y127" s="637">
        <f>IFERROR(SUM(Y125:Y125),"0")</f>
        <v>3.96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23</v>
      </c>
      <c r="Y130" s="636">
        <f>IFERROR(IF(X130="",0,CEILING((X130/$H130),1)*$H130),"")</f>
        <v>25.6</v>
      </c>
      <c r="Z130" s="36">
        <f>IFERROR(IF(Y130=0,"",ROUNDUP(Y130/H130,0)*0.00651),"")</f>
        <v>5.2080000000000001E-2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24.293749999999996</v>
      </c>
      <c r="BN130" s="64">
        <f>IFERROR(Y130*I130/H130,"0")</f>
        <v>27.04</v>
      </c>
      <c r="BO130" s="64">
        <f>IFERROR(1/J130*(X130/H130),"0")</f>
        <v>3.9491758241758247E-2</v>
      </c>
      <c r="BP130" s="64">
        <f>IFERROR(1/J130*(Y130/H130),"0")</f>
        <v>4.3956043956043959E-2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7.1875</v>
      </c>
      <c r="Y132" s="637">
        <f>IFERROR(Y130/H130,"0")+IFERROR(Y131/H131,"0")</f>
        <v>8</v>
      </c>
      <c r="Z132" s="637">
        <f>IFERROR(IF(Z130="",0,Z130),"0")+IFERROR(IF(Z131="",0,Z131),"0")</f>
        <v>5.2080000000000001E-2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23</v>
      </c>
      <c r="Y133" s="637">
        <f>IFERROR(SUM(Y130:Y131),"0")</f>
        <v>25.6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7</v>
      </c>
      <c r="Y135" s="636">
        <f>IFERROR(IF(X135="",0,CEILING((X135/$H135),1)*$H135),"")</f>
        <v>8.3999999999999986</v>
      </c>
      <c r="Z135" s="36">
        <f>IFERROR(IF(Y135=0,"",ROUNDUP(Y135/H135,0)*0.00651),"")</f>
        <v>1.9529999999999999E-2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7.67</v>
      </c>
      <c r="BN135" s="64">
        <f>IFERROR(Y135*I135/H135,"0")</f>
        <v>9.2039999999999988</v>
      </c>
      <c r="BO135" s="64">
        <f>IFERROR(1/J135*(X135/H135),"0")</f>
        <v>1.3736263736263738E-2</v>
      </c>
      <c r="BP135" s="64">
        <f>IFERROR(1/J135*(Y135/H135),"0")</f>
        <v>1.6483516483516484E-2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2.5</v>
      </c>
      <c r="Y137" s="637">
        <f>IFERROR(Y135/H135,"0")+IFERROR(Y136/H136,"0")</f>
        <v>2.9999999999999996</v>
      </c>
      <c r="Z137" s="637">
        <f>IFERROR(IF(Z135="",0,Z135),"0")+IFERROR(IF(Z136="",0,Z136),"0")</f>
        <v>1.9529999999999999E-2</v>
      </c>
      <c r="AA137" s="638"/>
      <c r="AB137" s="638"/>
      <c r="AC137" s="638"/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7</v>
      </c>
      <c r="Y138" s="637">
        <f>IFERROR(SUM(Y135:Y136),"0")</f>
        <v>8.3999999999999986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137</v>
      </c>
      <c r="Y171" s="636">
        <f t="shared" si="15"/>
        <v>140</v>
      </c>
      <c r="Z171" s="36">
        <f>IFERROR(IF(Y171=0,"",ROUNDUP(Y171/H171,0)*0.00902),"")</f>
        <v>0.36080000000000001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144.43714285714285</v>
      </c>
      <c r="BN171" s="64">
        <f t="shared" si="17"/>
        <v>147.6</v>
      </c>
      <c r="BO171" s="64">
        <f t="shared" si="18"/>
        <v>0.29653679653679654</v>
      </c>
      <c r="BP171" s="64">
        <f t="shared" si="19"/>
        <v>0.30303030303030304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0</v>
      </c>
      <c r="Y174" s="636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39.142857142857146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40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0.36080000000000001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137</v>
      </c>
      <c r="Y182" s="637">
        <f>IFERROR(SUM(Y170:Y180),"0")</f>
        <v>140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38"/>
      <c r="AB227" s="638"/>
      <c r="AC227" s="638"/>
    </row>
    <row r="228" spans="1:68" hidden="1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0</v>
      </c>
      <c r="Y228" s="637">
        <f>IFERROR(SUM(Y214:Y226),"0")</f>
        <v>0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3</v>
      </c>
      <c r="Y239" s="636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4</v>
      </c>
      <c r="Y240" s="63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5.5555555555555554</v>
      </c>
      <c r="Y241" s="637">
        <f>IFERROR(Y238/H238,"0")+IFERROR(Y239/H239,"0")+IFERROR(Y240/H240,"0")</f>
        <v>7</v>
      </c>
      <c r="Z241" s="637">
        <f>IFERROR(IF(Z238="",0,Z238),"0")+IFERROR(IF(Z239="",0,Z239),"0")+IFERROR(IF(Z240="",0,Z240),"0")</f>
        <v>4.1300000000000003E-2</v>
      </c>
      <c r="AA241" s="638"/>
      <c r="AB241" s="638"/>
      <c r="AC241" s="638"/>
    </row>
    <row r="242" spans="1:68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7</v>
      </c>
      <c r="Y242" s="637">
        <f>IFERROR(SUM(Y238:Y240),"0")</f>
        <v>8.82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161</v>
      </c>
      <c r="Y261" s="636">
        <f t="shared" si="31"/>
        <v>162</v>
      </c>
      <c r="Z261" s="36">
        <f>IFERROR(IF(Y261=0,"",ROUNDUP(Y261/H261,0)*0.00902),"")</f>
        <v>0.27060000000000001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166.6648148148148</v>
      </c>
      <c r="BN261" s="64">
        <f t="shared" si="33"/>
        <v>167.7</v>
      </c>
      <c r="BO261" s="64">
        <f t="shared" si="34"/>
        <v>0.22586980920314254</v>
      </c>
      <c r="BP261" s="64">
        <f t="shared" si="35"/>
        <v>0.22727272727272727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7</v>
      </c>
      <c r="Y263" s="636">
        <f t="shared" si="31"/>
        <v>10.8</v>
      </c>
      <c r="Z263" s="36">
        <f>IFERROR(IF(Y263=0,"",ROUNDUP(Y263/H263,0)*0.00902),"")</f>
        <v>1.804E-2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7.2462962962962951</v>
      </c>
      <c r="BN263" s="64">
        <f t="shared" si="33"/>
        <v>11.18</v>
      </c>
      <c r="BO263" s="64">
        <f t="shared" si="34"/>
        <v>9.8204264870931542E-3</v>
      </c>
      <c r="BP263" s="64">
        <f t="shared" si="35"/>
        <v>1.5151515151515152E-2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4</v>
      </c>
      <c r="Y265" s="636">
        <f t="shared" si="31"/>
        <v>5.4</v>
      </c>
      <c r="Z265" s="36">
        <f>IFERROR(IF(Y265=0,"",ROUNDUP(Y265/H265,0)*0.00502),"")</f>
        <v>1.506E-2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4.2222222222222223</v>
      </c>
      <c r="BN265" s="64">
        <f t="shared" si="33"/>
        <v>5.7</v>
      </c>
      <c r="BO265" s="64">
        <f t="shared" si="34"/>
        <v>9.4966761633428314E-3</v>
      </c>
      <c r="BP265" s="64">
        <f t="shared" si="35"/>
        <v>1.2820512820512822E-2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33.333333333333336</v>
      </c>
      <c r="Y268" s="637">
        <f>IFERROR(Y260/H260,"0")+IFERROR(Y261/H261,"0")+IFERROR(Y262/H262,"0")+IFERROR(Y263/H263,"0")+IFERROR(Y264/H264,"0")+IFERROR(Y265/H265,"0")+IFERROR(Y266/H266,"0")+IFERROR(Y267/H267,"0")</f>
        <v>35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0.30370000000000003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172</v>
      </c>
      <c r="Y269" s="637">
        <f>IFERROR(SUM(Y260:Y267),"0")</f>
        <v>178.20000000000002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173</v>
      </c>
      <c r="Y272" s="636">
        <f t="shared" si="36"/>
        <v>178.2</v>
      </c>
      <c r="Z272" s="36">
        <f>IFERROR(IF(Y272=0,"",ROUNDUP(Y272/H272,0)*0.01898),"")</f>
        <v>0.41755999999999999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183.55086419753087</v>
      </c>
      <c r="BN272" s="64">
        <f t="shared" si="38"/>
        <v>189.06799999999998</v>
      </c>
      <c r="BO272" s="64">
        <f t="shared" si="39"/>
        <v>0.33371913580246915</v>
      </c>
      <c r="BP272" s="64">
        <f t="shared" si="40"/>
        <v>0.34375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91</v>
      </c>
      <c r="Y273" s="636">
        <f t="shared" si="36"/>
        <v>97.199999999999989</v>
      </c>
      <c r="Z273" s="36">
        <f>IFERROR(IF(Y273=0,"",ROUNDUP(Y273/H273,0)*0.01898),"")</f>
        <v>0.22776000000000002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96.347654320987658</v>
      </c>
      <c r="BN273" s="64">
        <f t="shared" si="38"/>
        <v>102.91199999999999</v>
      </c>
      <c r="BO273" s="64">
        <f t="shared" si="39"/>
        <v>0.17554012345679013</v>
      </c>
      <c r="BP273" s="64">
        <f t="shared" si="40"/>
        <v>0.1875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262</v>
      </c>
      <c r="Y277" s="636">
        <f t="shared" si="36"/>
        <v>264</v>
      </c>
      <c r="Z277" s="36">
        <f>IFERROR(IF(Y277=0,"",ROUNDUP(Y277/H277,0)*0.00651),"")</f>
        <v>0.71610000000000007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289.51000000000005</v>
      </c>
      <c r="BN277" s="64">
        <f t="shared" si="38"/>
        <v>291.72000000000003</v>
      </c>
      <c r="BO277" s="64">
        <f t="shared" si="39"/>
        <v>0.59981684981684991</v>
      </c>
      <c r="BP277" s="64">
        <f t="shared" si="40"/>
        <v>0.60439560439560447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85</v>
      </c>
      <c r="Y280" s="636">
        <f t="shared" si="36"/>
        <v>86.399999999999991</v>
      </c>
      <c r="Z280" s="36">
        <f>IFERROR(IF(Y280=0,"",ROUNDUP(Y280/H280,0)*0.00651),"")</f>
        <v>0.23436000000000001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93.925000000000011</v>
      </c>
      <c r="BN280" s="64">
        <f t="shared" si="38"/>
        <v>95.472000000000008</v>
      </c>
      <c r="BO280" s="64">
        <f t="shared" si="39"/>
        <v>0.19459706959706963</v>
      </c>
      <c r="BP280" s="64">
        <f t="shared" si="40"/>
        <v>0.19780219780219782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177.17592592592592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180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1.59578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611</v>
      </c>
      <c r="Y284" s="637">
        <f>IFERROR(SUM(Y271:Y282),"0")</f>
        <v>625.79999999999995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9</v>
      </c>
      <c r="Y287" s="636">
        <f>IFERROR(IF(X287="",0,CEILING((X287/$H287),1)*$H287),"")</f>
        <v>9.6</v>
      </c>
      <c r="Z287" s="36">
        <f>IFERROR(IF(Y287=0,"",ROUNDUP(Y287/H287,0)*0.00651),"")</f>
        <v>2.6040000000000001E-2</v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9.9450000000000021</v>
      </c>
      <c r="BN287" s="64">
        <f>IFERROR(Y287*I287/H287,"0")</f>
        <v>10.608000000000001</v>
      </c>
      <c r="BO287" s="64">
        <f>IFERROR(1/J287*(X287/H287),"0")</f>
        <v>2.0604395604395608E-2</v>
      </c>
      <c r="BP287" s="64">
        <f>IFERROR(1/J287*(Y287/H287),"0")</f>
        <v>2.197802197802198E-2</v>
      </c>
    </row>
    <row r="288" spans="1:68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3.75</v>
      </c>
      <c r="Y288" s="637">
        <f>IFERROR(Y286/H286,"0")+IFERROR(Y287/H287,"0")</f>
        <v>4</v>
      </c>
      <c r="Z288" s="637">
        <f>IFERROR(IF(Z286="",0,Z286),"0")+IFERROR(IF(Z287="",0,Z287),"0")</f>
        <v>2.6040000000000001E-2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9</v>
      </c>
      <c r="Y289" s="637">
        <f>IFERROR(SUM(Y286:Y287),"0")</f>
        <v>9.6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0</v>
      </c>
      <c r="Y333" s="637">
        <f>IFERROR(Y330/H330,"0")+IFERROR(Y331/H331,"0")+IFERROR(Y332/H332,"0")</f>
        <v>0</v>
      </c>
      <c r="Z333" s="637">
        <f>IFERROR(IF(Z330="",0,Z330),"0")+IFERROR(IF(Z331="",0,Z331),"0")+IFERROR(IF(Z332="",0,Z332),"0")</f>
        <v>0</v>
      </c>
      <c r="AA333" s="638"/>
      <c r="AB333" s="638"/>
      <c r="AC333" s="638"/>
    </row>
    <row r="334" spans="1:68" hidden="1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0</v>
      </c>
      <c r="Y334" s="637">
        <f>IFERROR(SUM(Y330:Y332),"0")</f>
        <v>0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82</v>
      </c>
      <c r="Y360" s="636">
        <f>IFERROR(IF(X360="",0,CEILING((X360/$H360),1)*$H360),"")</f>
        <v>85.8</v>
      </c>
      <c r="Z360" s="36">
        <f>IFERROR(IF(Y360=0,"",ROUNDUP(Y360/H360,0)*0.01898),"")</f>
        <v>0.20877999999999999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86.310256410256414</v>
      </c>
      <c r="BN360" s="64">
        <f>IFERROR(Y360*I360/H360,"0")</f>
        <v>90.31</v>
      </c>
      <c r="BO360" s="64">
        <f>IFERROR(1/J360*(X360/H360),"0")</f>
        <v>0.16426282051282051</v>
      </c>
      <c r="BP360" s="64">
        <f>IFERROR(1/J360*(Y360/H360),"0")</f>
        <v>0.171875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63</v>
      </c>
      <c r="Y361" s="636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66.311538461538461</v>
      </c>
      <c r="BN361" s="64">
        <f>IFERROR(Y361*I361/H361,"0")</f>
        <v>73.890000000000015</v>
      </c>
      <c r="BO361" s="64">
        <f>IFERROR(1/J361*(X361/H361),"0")</f>
        <v>0.12620192307692307</v>
      </c>
      <c r="BP361" s="64">
        <f>IFERROR(1/J361*(Y361/H361),"0")</f>
        <v>0.140625</v>
      </c>
    </row>
    <row r="362" spans="1:68" ht="27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4</v>
      </c>
      <c r="Y362" s="636">
        <f>IFERROR(IF(X362="",0,CEILING((X362/$H362),1)*$H362),"")</f>
        <v>7.8</v>
      </c>
      <c r="Z362" s="36">
        <f>IFERROR(IF(Y362=0,"",ROUNDUP(Y362/H362,0)*0.01898),"")</f>
        <v>1.898E-2</v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4.2102564102564104</v>
      </c>
      <c r="BN362" s="64">
        <f>IFERROR(Y362*I362/H362,"0")</f>
        <v>8.2100000000000009</v>
      </c>
      <c r="BO362" s="64">
        <f>IFERROR(1/J362*(X362/H362),"0")</f>
        <v>8.0128205128205138E-3</v>
      </c>
      <c r="BP362" s="64">
        <f>IFERROR(1/J362*(Y362/H362),"0")</f>
        <v>1.5625E-2</v>
      </c>
    </row>
    <row r="363" spans="1:68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19.102564102564106</v>
      </c>
      <c r="Y363" s="637">
        <f>IFERROR(Y360/H360,"0")+IFERROR(Y361/H361,"0")+IFERROR(Y362/H362,"0")</f>
        <v>21</v>
      </c>
      <c r="Z363" s="637">
        <f>IFERROR(IF(Z360="",0,Z360),"0")+IFERROR(IF(Z361="",0,Z361),"0")+IFERROR(IF(Z362="",0,Z362),"0")</f>
        <v>0.39857999999999999</v>
      </c>
      <c r="AA363" s="638"/>
      <c r="AB363" s="638"/>
      <c r="AC363" s="638"/>
    </row>
    <row r="364" spans="1:68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149</v>
      </c>
      <c r="Y364" s="637">
        <f>IFERROR(SUM(Y360:Y362),"0")</f>
        <v>163.80000000000001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30</v>
      </c>
      <c r="Y383" s="636">
        <f t="shared" si="57"/>
        <v>30.6</v>
      </c>
      <c r="Z383" s="36">
        <f>IFERROR(IF(Y383=0,"",ROUNDUP(Y383/H383,0)*0.00651),"")</f>
        <v>0.11067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33.800000000000004</v>
      </c>
      <c r="BN383" s="64">
        <f t="shared" si="59"/>
        <v>34.475999999999999</v>
      </c>
      <c r="BO383" s="64">
        <f t="shared" si="60"/>
        <v>9.1575091575091583E-2</v>
      </c>
      <c r="BP383" s="64">
        <f t="shared" si="61"/>
        <v>9.3406593406593408E-2</v>
      </c>
    </row>
    <row r="384" spans="1:68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16.666666666666668</v>
      </c>
      <c r="Y384" s="637">
        <f>IFERROR(Y377/H377,"0")+IFERROR(Y378/H378,"0")+IFERROR(Y379/H379,"0")+IFERROR(Y380/H380,"0")+IFERROR(Y381/H381,"0")+IFERROR(Y382/H382,"0")+IFERROR(Y383/H383,"0")</f>
        <v>17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0.11067</v>
      </c>
      <c r="AA384" s="638"/>
      <c r="AB384" s="638"/>
      <c r="AC384" s="638"/>
    </row>
    <row r="385" spans="1:68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30</v>
      </c>
      <c r="Y385" s="637">
        <f>IFERROR(SUM(Y377:Y383),"0")</f>
        <v>30.6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7</v>
      </c>
      <c r="Y407" s="636">
        <f>IFERROR(IF(X407="",0,CEILING((X407/$H407),1)*$H407),"")</f>
        <v>8</v>
      </c>
      <c r="Z407" s="36">
        <f>IFERROR(IF(Y407=0,"",ROUNDUP(Y407/H407,0)*0.00474),"")</f>
        <v>1.8960000000000001E-2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7.8400000000000007</v>
      </c>
      <c r="BN407" s="64">
        <f>IFERROR(Y407*I407/H407,"0")</f>
        <v>8.9600000000000009</v>
      </c>
      <c r="BO407" s="64">
        <f>IFERROR(1/J407*(X407/H407),"0")</f>
        <v>1.4705882352941176E-2</v>
      </c>
      <c r="BP407" s="64">
        <f>IFERROR(1/J407*(Y407/H407),"0")</f>
        <v>1.680672268907563E-2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3.5</v>
      </c>
      <c r="Y410" s="637">
        <f>IFERROR(Y407/H407,"0")+IFERROR(Y408/H408,"0")+IFERROR(Y409/H409,"0")</f>
        <v>4</v>
      </c>
      <c r="Z410" s="637">
        <f>IFERROR(IF(Z407="",0,Z407),"0")+IFERROR(IF(Z408="",0,Z408),"0")+IFERROR(IF(Z409="",0,Z409),"0")</f>
        <v>1.8960000000000001E-2</v>
      </c>
      <c r="AA410" s="638"/>
      <c r="AB410" s="638"/>
      <c r="AC410" s="638"/>
    </row>
    <row r="411" spans="1:68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7</v>
      </c>
      <c r="Y411" s="637">
        <f>IFERROR(SUM(Y407:Y409),"0")</f>
        <v>8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78</v>
      </c>
      <c r="Y436" s="636">
        <f t="shared" ref="Y436:Y443" si="62">IFERROR(IF(X436="",0,CEILING((X436/$H436),1)*$H436),"")</f>
        <v>90</v>
      </c>
      <c r="Z436" s="36">
        <f>IFERROR(IF(Y436=0,"",ROUNDUP(Y436/H436,0)*0.02175),"")</f>
        <v>0.1305</v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80.444000000000003</v>
      </c>
      <c r="BN436" s="64">
        <f t="shared" ref="BN436:BN443" si="64">IFERROR(Y436*I436/H436,"0")</f>
        <v>92.82</v>
      </c>
      <c r="BO436" s="64">
        <f t="shared" ref="BO436:BO443" si="65">IFERROR(1/J436*(X436/H436),"0")</f>
        <v>0.10833333333333334</v>
      </c>
      <c r="BP436" s="64">
        <f t="shared" ref="BP436:BP443" si="66">IFERROR(1/J436*(Y436/H436),"0")</f>
        <v>0.125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792</v>
      </c>
      <c r="Y437" s="636">
        <f t="shared" si="62"/>
        <v>795</v>
      </c>
      <c r="Z437" s="36">
        <f>IFERROR(IF(Y437=0,"",ROUNDUP(Y437/H437,0)*0.02175),"")</f>
        <v>1.1527499999999999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816.81600000000003</v>
      </c>
      <c r="BN437" s="64">
        <f t="shared" si="64"/>
        <v>819.91</v>
      </c>
      <c r="BO437" s="64">
        <f t="shared" si="65"/>
        <v>1.0999999999999999</v>
      </c>
      <c r="BP437" s="64">
        <f t="shared" si="66"/>
        <v>1.1041666666666665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842</v>
      </c>
      <c r="Y438" s="636">
        <f t="shared" si="62"/>
        <v>855</v>
      </c>
      <c r="Z438" s="36">
        <f>IFERROR(IF(Y438=0,"",ROUNDUP(Y438/H438,0)*0.02175),"")</f>
        <v>1.2397499999999999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868.38266666666664</v>
      </c>
      <c r="BN438" s="64">
        <f t="shared" si="64"/>
        <v>881.79000000000008</v>
      </c>
      <c r="BO438" s="64">
        <f t="shared" si="65"/>
        <v>1.1694444444444443</v>
      </c>
      <c r="BP438" s="64">
        <f t="shared" si="66"/>
        <v>1.1875</v>
      </c>
    </row>
    <row r="439" spans="1:68" ht="27" hidden="1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0</v>
      </c>
      <c r="Y439" s="636">
        <f t="shared" si="62"/>
        <v>0</v>
      </c>
      <c r="Z439" s="36" t="str">
        <f>IFERROR(IF(Y439=0,"",ROUNDUP(Y439/H439,0)*0.02175),"")</f>
        <v/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0</v>
      </c>
      <c r="Y440" s="636">
        <f t="shared" si="62"/>
        <v>0</v>
      </c>
      <c r="Z440" s="36" t="str">
        <f>IFERROR(IF(Y440=0,"",ROUNDUP(Y440/H440,0)*0.02175),"")</f>
        <v/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114.13333333333333</v>
      </c>
      <c r="Y444" s="637">
        <f>IFERROR(Y436/H436,"0")+IFERROR(Y437/H437,"0")+IFERROR(Y438/H438,"0")+IFERROR(Y439/H439,"0")+IFERROR(Y440/H440,"0")+IFERROR(Y441/H441,"0")+IFERROR(Y442/H442,"0")+IFERROR(Y443/H443,"0")</f>
        <v>116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2.5229999999999997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1712</v>
      </c>
      <c r="Y445" s="637">
        <f>IFERROR(SUM(Y436:Y443),"0")</f>
        <v>1740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hidden="1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0</v>
      </c>
      <c r="Y447" s="636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87</v>
      </c>
      <c r="Y448" s="636">
        <f>IFERROR(IF(X448="",0,CEILING((X448/$H448),1)*$H448),"")</f>
        <v>90</v>
      </c>
      <c r="Z448" s="36">
        <f>IFERROR(IF(Y448=0,"",ROUNDUP(Y448/H448,0)*0.02175),"")</f>
        <v>0.1305</v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89.726000000000013</v>
      </c>
      <c r="BN448" s="64">
        <f>IFERROR(Y448*I448/H448,"0")</f>
        <v>92.82</v>
      </c>
      <c r="BO448" s="64">
        <f>IFERROR(1/J448*(X448/H448),"0")</f>
        <v>0.12083333333333332</v>
      </c>
      <c r="BP448" s="64">
        <f>IFERROR(1/J448*(Y448/H448),"0")</f>
        <v>0.125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5.8</v>
      </c>
      <c r="Y450" s="637">
        <f>IFERROR(Y447/H447,"0")+IFERROR(Y448/H448,"0")+IFERROR(Y449/H449,"0")</f>
        <v>6</v>
      </c>
      <c r="Z450" s="637">
        <f>IFERROR(IF(Z447="",0,Z447),"0")+IFERROR(IF(Z448="",0,Z448),"0")+IFERROR(IF(Z449="",0,Z449),"0")</f>
        <v>0.1305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87</v>
      </c>
      <c r="Y451" s="637">
        <f>IFERROR(SUM(Y447:Y449),"0")</f>
        <v>90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32</v>
      </c>
      <c r="Y454" s="636">
        <f>IFERROR(IF(X454="",0,CEILING((X454/$H454),1)*$H454),"")</f>
        <v>36</v>
      </c>
      <c r="Z454" s="36">
        <f>IFERROR(IF(Y454=0,"",ROUNDUP(Y454/H454,0)*0.01898),"")</f>
        <v>7.5920000000000001E-2</v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33.75644444444444</v>
      </c>
      <c r="BN454" s="64">
        <f>IFERROR(Y454*I454/H454,"0")</f>
        <v>37.975999999999999</v>
      </c>
      <c r="BO454" s="64">
        <f>IFERROR(1/J454*(X454/H454),"0")</f>
        <v>5.5555555555555552E-2</v>
      </c>
      <c r="BP454" s="64">
        <f>IFERROR(1/J454*(Y454/H454),"0")</f>
        <v>6.25E-2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3.5555555555555554</v>
      </c>
      <c r="Y456" s="637">
        <f>IFERROR(Y453/H453,"0")+IFERROR(Y454/H454,"0")+IFERROR(Y455/H455,"0")</f>
        <v>4</v>
      </c>
      <c r="Z456" s="637">
        <f>IFERROR(IF(Z453="",0,Z453),"0")+IFERROR(IF(Z454="",0,Z454),"0")+IFERROR(IF(Z455="",0,Z455),"0")</f>
        <v>7.5920000000000001E-2</v>
      </c>
      <c r="AA456" s="638"/>
      <c r="AB456" s="638"/>
      <c r="AC456" s="638"/>
    </row>
    <row r="457" spans="1:68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32</v>
      </c>
      <c r="Y457" s="637">
        <f>IFERROR(SUM(Y453:Y455),"0")</f>
        <v>36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121</v>
      </c>
      <c r="Y460" s="636">
        <f>IFERROR(IF(X460="",0,CEILING((X460/$H460),1)*$H460),"")</f>
        <v>126</v>
      </c>
      <c r="Z460" s="36">
        <f>IFERROR(IF(Y460=0,"",ROUNDUP(Y460/H460,0)*0.01898),"")</f>
        <v>0.26572000000000001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127.64155555555554</v>
      </c>
      <c r="BN460" s="64">
        <f>IFERROR(Y460*I460/H460,"0")</f>
        <v>132.916</v>
      </c>
      <c r="BO460" s="64">
        <f>IFERROR(1/J460*(X460/H460),"0")</f>
        <v>0.21006944444444445</v>
      </c>
      <c r="BP460" s="64">
        <f>IFERROR(1/J460*(Y460/H460),"0")</f>
        <v>0.21875</v>
      </c>
    </row>
    <row r="461" spans="1:68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13.444444444444445</v>
      </c>
      <c r="Y461" s="637">
        <f>IFERROR(Y459/H459,"0")+IFERROR(Y460/H460,"0")</f>
        <v>14</v>
      </c>
      <c r="Z461" s="637">
        <f>IFERROR(IF(Z459="",0,Z459),"0")+IFERROR(IF(Z460="",0,Z460),"0")</f>
        <v>0.26572000000000001</v>
      </c>
      <c r="AA461" s="638"/>
      <c r="AB461" s="638"/>
      <c r="AC461" s="638"/>
    </row>
    <row r="462" spans="1:68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121</v>
      </c>
      <c r="Y462" s="637">
        <f>IFERROR(SUM(Y459:Y460),"0")</f>
        <v>126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hidden="1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0</v>
      </c>
      <c r="Y474" s="63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27</v>
      </c>
      <c r="Y475" s="636">
        <f>IFERROR(IF(X475="",0,CEILING((X475/$H475),1)*$H475),"")</f>
        <v>28.799999999999997</v>
      </c>
      <c r="Z475" s="36">
        <f>IFERROR(IF(Y475=0,"",ROUNDUP(Y475/H475,0)*0.00651),"")</f>
        <v>7.8119999999999995E-2</v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29.97</v>
      </c>
      <c r="BN475" s="64">
        <f>IFERROR(Y475*I475/H475,"0")</f>
        <v>31.967999999999996</v>
      </c>
      <c r="BO475" s="64">
        <f>IFERROR(1/J475*(X475/H475),"0")</f>
        <v>6.1813186813186816E-2</v>
      </c>
      <c r="BP475" s="64">
        <f>IFERROR(1/J475*(Y475/H475),"0")</f>
        <v>6.5934065934065936E-2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11.25</v>
      </c>
      <c r="Y477" s="637">
        <f>IFERROR(Y474/H474,"0")+IFERROR(Y475/H475,"0")+IFERROR(Y476/H476,"0")</f>
        <v>12</v>
      </c>
      <c r="Z477" s="637">
        <f>IFERROR(IF(Z474="",0,Z474),"0")+IFERROR(IF(Z475="",0,Z475),"0")+IFERROR(IF(Z476="",0,Z476),"0")</f>
        <v>7.8119999999999995E-2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27</v>
      </c>
      <c r="Y478" s="637">
        <f>IFERROR(SUM(Y474:Y476),"0")</f>
        <v>28.799999999999997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18</v>
      </c>
      <c r="Y482" s="636">
        <f t="shared" ref="Y482:Y487" si="67">IFERROR(IF(X482="",0,CEILING((X482/$H482),1)*$H482),"")</f>
        <v>21.6</v>
      </c>
      <c r="Z482" s="36">
        <f>IFERROR(IF(Y482=0,"",ROUNDUP(Y482/H482,0)*0.00902),"")</f>
        <v>3.6080000000000001E-2</v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18.633333333333333</v>
      </c>
      <c r="BN482" s="64">
        <f t="shared" ref="BN482:BN487" si="69">IFERROR(Y482*I482/H482,"0")</f>
        <v>22.36</v>
      </c>
      <c r="BO482" s="64">
        <f t="shared" ref="BO482:BO487" si="70">IFERROR(1/J482*(X482/H482),"0")</f>
        <v>2.5252525252525252E-2</v>
      </c>
      <c r="BP482" s="64">
        <f t="shared" ref="BP482:BP487" si="71">IFERROR(1/J482*(Y482/H482),"0")</f>
        <v>3.0303030303030304E-2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3.333333333333333</v>
      </c>
      <c r="Y488" s="637">
        <f>IFERROR(Y482/H482,"0")+IFERROR(Y483/H483,"0")+IFERROR(Y484/H484,"0")+IFERROR(Y485/H485,"0")+IFERROR(Y486/H486,"0")+IFERROR(Y487/H487,"0")</f>
        <v>4</v>
      </c>
      <c r="Z488" s="637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38"/>
      <c r="AB488" s="638"/>
      <c r="AC488" s="638"/>
    </row>
    <row r="489" spans="1:68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18</v>
      </c>
      <c r="Y489" s="637">
        <f>IFERROR(SUM(Y482:Y487),"0")</f>
        <v>21.6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80</v>
      </c>
      <c r="Y500" s="636">
        <f>IFERROR(IF(X500="",0,CEILING((X500/$H500),1)*$H500),"")</f>
        <v>81</v>
      </c>
      <c r="Z500" s="36">
        <f>IFERROR(IF(Y500=0,"",ROUNDUP(Y500/H500,0)*0.00902),"")</f>
        <v>0.1353</v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82.81481481481481</v>
      </c>
      <c r="BN500" s="64">
        <f>IFERROR(Y500*I500/H500,"0")</f>
        <v>83.85</v>
      </c>
      <c r="BO500" s="64">
        <f>IFERROR(1/J500*(X500/H500),"0")</f>
        <v>0.11223344556677889</v>
      </c>
      <c r="BP500" s="64">
        <f>IFERROR(1/J500*(Y500/H500),"0")</f>
        <v>0.11363636363636363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14.814814814814813</v>
      </c>
      <c r="Y503" s="637">
        <f>IFERROR(Y500/H500,"0")+IFERROR(Y501/H501,"0")+IFERROR(Y502/H502,"0")</f>
        <v>14.999999999999998</v>
      </c>
      <c r="Z503" s="637">
        <f>IFERROR(IF(Z500="",0,Z500),"0")+IFERROR(IF(Z501="",0,Z501),"0")+IFERROR(IF(Z502="",0,Z502),"0")</f>
        <v>0.1353</v>
      </c>
      <c r="AA503" s="638"/>
      <c r="AB503" s="638"/>
      <c r="AC503" s="638"/>
    </row>
    <row r="504" spans="1:68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80</v>
      </c>
      <c r="Y504" s="637">
        <f>IFERROR(SUM(Y500:Y502),"0")</f>
        <v>81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5</v>
      </c>
      <c r="Y510" s="636">
        <f t="shared" si="72"/>
        <v>5.28</v>
      </c>
      <c r="Z510" s="36">
        <f>IFERROR(IF(Y510=0,"",ROUNDUP(Y510/H510,0)*0.01196),"")</f>
        <v>1.196E-2</v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5.3314393939393936</v>
      </c>
      <c r="BN510" s="64">
        <f t="shared" si="74"/>
        <v>5.63</v>
      </c>
      <c r="BO510" s="64">
        <f t="shared" si="75"/>
        <v>9.1054778554778559E-3</v>
      </c>
      <c r="BP510" s="64">
        <f t="shared" si="76"/>
        <v>9.6153846153846159E-3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26</v>
      </c>
      <c r="Y511" s="636">
        <f t="shared" si="72"/>
        <v>26.400000000000002</v>
      </c>
      <c r="Z511" s="36">
        <f>IFERROR(IF(Y511=0,"",ROUNDUP(Y511/H511,0)*0.01196),"")</f>
        <v>5.9799999999999999E-2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27.723484848484848</v>
      </c>
      <c r="BN511" s="64">
        <f t="shared" si="74"/>
        <v>28.15</v>
      </c>
      <c r="BO511" s="64">
        <f t="shared" si="75"/>
        <v>4.7348484848484848E-2</v>
      </c>
      <c r="BP511" s="64">
        <f t="shared" si="76"/>
        <v>4.807692307692308E-2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108</v>
      </c>
      <c r="Y512" s="636">
        <f t="shared" si="72"/>
        <v>110.88000000000001</v>
      </c>
      <c r="Z512" s="36">
        <f>IFERROR(IF(Y512=0,"",ROUNDUP(Y512/H512,0)*0.01196),"")</f>
        <v>0.25115999999999999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115.15909090909089</v>
      </c>
      <c r="BN512" s="64">
        <f t="shared" si="74"/>
        <v>118.23</v>
      </c>
      <c r="BO512" s="64">
        <f t="shared" si="75"/>
        <v>0.19667832167832167</v>
      </c>
      <c r="BP512" s="64">
        <f t="shared" si="76"/>
        <v>0.20192307692307693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26.325757575757574</v>
      </c>
      <c r="Y516" s="637">
        <f>IFERROR(Y508/H508,"0")+IFERROR(Y509/H509,"0")+IFERROR(Y510/H510,"0")+IFERROR(Y511/H511,"0")+IFERROR(Y512/H512,"0")+IFERROR(Y513/H513,"0")+IFERROR(Y514/H514,"0")+IFERROR(Y515/H515,"0")</f>
        <v>27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0.32291999999999998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139</v>
      </c>
      <c r="Y517" s="637">
        <f>IFERROR(SUM(Y508:Y515),"0")</f>
        <v>142.56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141</v>
      </c>
      <c r="Y519" s="636">
        <f>IFERROR(IF(X519="",0,CEILING((X519/$H519),1)*$H519),"")</f>
        <v>142.56</v>
      </c>
      <c r="Z519" s="36">
        <f>IFERROR(IF(Y519=0,"",ROUNDUP(Y519/H519,0)*0.01196),"")</f>
        <v>0.32291999999999998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150.34659090909091</v>
      </c>
      <c r="BN519" s="64">
        <f>IFERROR(Y519*I519/H519,"0")</f>
        <v>152.01</v>
      </c>
      <c r="BO519" s="64">
        <f>IFERROR(1/J519*(X519/H519),"0")</f>
        <v>0.25677447552447552</v>
      </c>
      <c r="BP519" s="64">
        <f>IFERROR(1/J519*(Y519/H519),"0")</f>
        <v>0.25961538461538464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26.704545454545453</v>
      </c>
      <c r="Y522" s="637">
        <f>IFERROR(Y519/H519,"0")+IFERROR(Y520/H520,"0")+IFERROR(Y521/H521,"0")</f>
        <v>27</v>
      </c>
      <c r="Z522" s="637">
        <f>IFERROR(IF(Z519="",0,Z519),"0")+IFERROR(IF(Z520="",0,Z520),"0")+IFERROR(IF(Z521="",0,Z521),"0")</f>
        <v>0.32291999999999998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141</v>
      </c>
      <c r="Y523" s="637">
        <f>IFERROR(SUM(Y519:Y521),"0")</f>
        <v>142.56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0</v>
      </c>
      <c r="Y527" s="636">
        <f t="shared" si="77"/>
        <v>0</v>
      </c>
      <c r="Z527" s="36" t="str">
        <f>IFERROR(IF(Y527=0,"",ROUNDUP(Y527/H527,0)*0.01196),"")</f>
        <v/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0</v>
      </c>
      <c r="BN527" s="64">
        <f t="shared" si="79"/>
        <v>0</v>
      </c>
      <c r="BO527" s="64">
        <f t="shared" si="80"/>
        <v>0</v>
      </c>
      <c r="BP527" s="64">
        <f t="shared" si="81"/>
        <v>0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hidden="1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0</v>
      </c>
      <c r="Y532" s="637">
        <f>IFERROR(Y525/H525,"0")+IFERROR(Y526/H526,"0")+IFERROR(Y527/H527,"0")+IFERROR(Y528/H528,"0")+IFERROR(Y529/H529,"0")+IFERROR(Y530/H530,"0")+IFERROR(Y531/H531,"0")</f>
        <v>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38"/>
      <c r="AB532" s="638"/>
      <c r="AC532" s="638"/>
    </row>
    <row r="533" spans="1:68" hidden="1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0</v>
      </c>
      <c r="Y533" s="637">
        <f>IFERROR(SUM(Y525:Y531),"0")</f>
        <v>0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4012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4154.9000000000005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4214.0709588963746</v>
      </c>
      <c r="Y563" s="637">
        <f>IFERROR(SUM(BN22:BN559),"0")</f>
        <v>4364.7360000000008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7</v>
      </c>
      <c r="Y564" s="38">
        <f>ROUNDUP(SUM(BP22:BP559),0)</f>
        <v>7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4389.0709588963746</v>
      </c>
      <c r="Y565" s="637">
        <f>GrossWeightTotalR+PalletQtyTotalR*25</f>
        <v>4539.7360000000008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621.5912598870932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645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7.9744699999999993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1.8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47.2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146.60000000000002</v>
      </c>
      <c r="F572" s="46">
        <f>IFERROR(Y85*1,"0")+IFERROR(Y86*1,"0")+IFERROR(Y87*1,"0")+IFERROR(Y88*1,"0")+IFERROR(Y89*1,"0")+IFERROR(Y90*1,"0")+IFERROR(Y94*1,"0")+IFERROR(Y95*1,"0")+IFERROR(Y96*1,"0")+IFERROR(Y97*1,"0")</f>
        <v>65.7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286.25999999999993</v>
      </c>
      <c r="H572" s="46">
        <f>IFERROR(Y130*1,"0")+IFERROR(Y131*1,"0")+IFERROR(Y135*1,"0")+IFERROR(Y136*1,"0")+IFERROR(Y140*1,"0")+IFERROR(Y141*1,"0")</f>
        <v>34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140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8.82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813.59999999999991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163.80000000000001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38.6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1992</v>
      </c>
      <c r="Y572" s="46">
        <f>IFERROR(Y465*1,"0")+IFERROR(Y466*1,"0")+IFERROR(Y470*1,"0")+IFERROR(Y474*1,"0")+IFERROR(Y475*1,"0")+IFERROR(Y476*1,"0")</f>
        <v>28.799999999999997</v>
      </c>
      <c r="Z572" s="46">
        <f>IFERROR(Y482*1,"0")+IFERROR(Y483*1,"0")+IFERROR(Y484*1,"0")+IFERROR(Y485*1,"0")+IFERROR(Y486*1,"0")+IFERROR(Y487*1,"0")+IFERROR(Y491*1,"0")</f>
        <v>21.6</v>
      </c>
      <c r="AA572" s="46">
        <f>IFERROR(Y496*1,"0")+IFERROR(Y500*1,"0")+IFERROR(Y501*1,"0")+IFERROR(Y502*1,"0")</f>
        <v>81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285.12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712,00"/>
        <filter val="1,00"/>
        <filter val="1,01"/>
        <filter val="100,00"/>
        <filter val="108,00"/>
        <filter val="11,25"/>
        <filter val="113,00"/>
        <filter val="114,13"/>
        <filter val="12,00"/>
        <filter val="12,58"/>
        <filter val="121,00"/>
        <filter val="13,44"/>
        <filter val="137,00"/>
        <filter val="139,00"/>
        <filter val="14,00"/>
        <filter val="14,81"/>
        <filter val="141,00"/>
        <filter val="149,00"/>
        <filter val="16,67"/>
        <filter val="161,00"/>
        <filter val="172,00"/>
        <filter val="173,00"/>
        <filter val="177,18"/>
        <filter val="18,00"/>
        <filter val="19,00"/>
        <filter val="19,10"/>
        <filter val="2,00"/>
        <filter val="2,13"/>
        <filter val="2,50"/>
        <filter val="20,00"/>
        <filter val="23,00"/>
        <filter val="25,00"/>
        <filter val="250,00"/>
        <filter val="26,00"/>
        <filter val="26,33"/>
        <filter val="26,70"/>
        <filter val="262,00"/>
        <filter val="27,00"/>
        <filter val="29,00"/>
        <filter val="3,00"/>
        <filter val="3,33"/>
        <filter val="3,50"/>
        <filter val="3,56"/>
        <filter val="3,75"/>
        <filter val="30,00"/>
        <filter val="32,00"/>
        <filter val="33,33"/>
        <filter val="37,00"/>
        <filter val="39,14"/>
        <filter val="4 012,00"/>
        <filter val="4 214,07"/>
        <filter val="4 389,07"/>
        <filter val="4,00"/>
        <filter val="42,00"/>
        <filter val="5,00"/>
        <filter val="5,56"/>
        <filter val="5,60"/>
        <filter val="5,80"/>
        <filter val="58,77"/>
        <filter val="60,00"/>
        <filter val="61,00"/>
        <filter val="611,00"/>
        <filter val="621,59"/>
        <filter val="63,00"/>
        <filter val="7"/>
        <filter val="7,00"/>
        <filter val="7,19"/>
        <filter val="78,00"/>
        <filter val="792,00"/>
        <filter val="8,11"/>
        <filter val="80,00"/>
        <filter val="82,00"/>
        <filter val="842,00"/>
        <filter val="85,00"/>
        <filter val="87,00"/>
        <filter val="9,00"/>
        <filter val="91,00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