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CA1A95D-A8F4-424E-84A9-CAEB3E3EA43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BP554" i="2" s="1"/>
  <c r="P554" i="2"/>
  <c r="BO553" i="2"/>
  <c r="BM553" i="2"/>
  <c r="Y553" i="2"/>
  <c r="Y555" i="2" s="1"/>
  <c r="P553" i="2"/>
  <c r="X551" i="2"/>
  <c r="X550" i="2"/>
  <c r="BO549" i="2"/>
  <c r="BM549" i="2"/>
  <c r="Y549" i="2"/>
  <c r="Y550" i="2" s="1"/>
  <c r="P549" i="2"/>
  <c r="X547" i="2"/>
  <c r="X546" i="2"/>
  <c r="BO545" i="2"/>
  <c r="BM545" i="2"/>
  <c r="Y545" i="2"/>
  <c r="P545" i="2"/>
  <c r="X543" i="2"/>
  <c r="X542" i="2"/>
  <c r="BO541" i="2"/>
  <c r="BM541" i="2"/>
  <c r="Y541" i="2"/>
  <c r="Y543" i="2" s="1"/>
  <c r="P541" i="2"/>
  <c r="X539" i="2"/>
  <c r="X538" i="2"/>
  <c r="BO537" i="2"/>
  <c r="BM537" i="2"/>
  <c r="Y537" i="2"/>
  <c r="P537" i="2"/>
  <c r="X533" i="2"/>
  <c r="X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P519" i="2"/>
  <c r="X517" i="2"/>
  <c r="X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BP513" i="2" s="1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P500" i="2" s="1"/>
  <c r="P500" i="2"/>
  <c r="X498" i="2"/>
  <c r="X497" i="2"/>
  <c r="BO496" i="2"/>
  <c r="BM496" i="2"/>
  <c r="Y496" i="2"/>
  <c r="P496" i="2"/>
  <c r="X493" i="2"/>
  <c r="X492" i="2"/>
  <c r="BO491" i="2"/>
  <c r="BM491" i="2"/>
  <c r="Y491" i="2"/>
  <c r="Y493" i="2" s="1"/>
  <c r="P491" i="2"/>
  <c r="X489" i="2"/>
  <c r="X488" i="2"/>
  <c r="BO487" i="2"/>
  <c r="BM487" i="2"/>
  <c r="Y487" i="2"/>
  <c r="P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Y467" i="2" s="1"/>
  <c r="P465" i="2"/>
  <c r="X462" i="2"/>
  <c r="X461" i="2"/>
  <c r="BO460" i="2"/>
  <c r="BM460" i="2"/>
  <c r="Y460" i="2"/>
  <c r="P460" i="2"/>
  <c r="BO459" i="2"/>
  <c r="BM459" i="2"/>
  <c r="Y459" i="2"/>
  <c r="Z459" i="2" s="1"/>
  <c r="P459" i="2"/>
  <c r="X457" i="2"/>
  <c r="X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Y457" i="2" s="1"/>
  <c r="P453" i="2"/>
  <c r="X451" i="2"/>
  <c r="X450" i="2"/>
  <c r="BO449" i="2"/>
  <c r="BM449" i="2"/>
  <c r="Y449" i="2"/>
  <c r="BP449" i="2" s="1"/>
  <c r="P449" i="2"/>
  <c r="BO448" i="2"/>
  <c r="BM448" i="2"/>
  <c r="Y448" i="2"/>
  <c r="BN448" i="2" s="1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N441" i="2" s="1"/>
  <c r="P441" i="2"/>
  <c r="BO440" i="2"/>
  <c r="BM440" i="2"/>
  <c r="Y440" i="2"/>
  <c r="BN440" i="2" s="1"/>
  <c r="P440" i="2"/>
  <c r="BO439" i="2"/>
  <c r="BM439" i="2"/>
  <c r="Y439" i="2"/>
  <c r="Z439" i="2" s="1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Z423" i="2" s="1"/>
  <c r="BO422" i="2"/>
  <c r="BM422" i="2"/>
  <c r="Y422" i="2"/>
  <c r="BN422" i="2" s="1"/>
  <c r="P422" i="2"/>
  <c r="BO421" i="2"/>
  <c r="BM421" i="2"/>
  <c r="Y421" i="2"/>
  <c r="BN421" i="2" s="1"/>
  <c r="P421" i="2"/>
  <c r="BO420" i="2"/>
  <c r="BM420" i="2"/>
  <c r="Y420" i="2"/>
  <c r="BN420" i="2" s="1"/>
  <c r="P420" i="2"/>
  <c r="X417" i="2"/>
  <c r="X416" i="2"/>
  <c r="BO415" i="2"/>
  <c r="BM415" i="2"/>
  <c r="Y415" i="2"/>
  <c r="P415" i="2"/>
  <c r="BO414" i="2"/>
  <c r="BM414" i="2"/>
  <c r="Y414" i="2"/>
  <c r="BP414" i="2" s="1"/>
  <c r="P414" i="2"/>
  <c r="BO413" i="2"/>
  <c r="BM413" i="2"/>
  <c r="Y413" i="2"/>
  <c r="Y417" i="2" s="1"/>
  <c r="P413" i="2"/>
  <c r="X411" i="2"/>
  <c r="X410" i="2"/>
  <c r="BO409" i="2"/>
  <c r="BM409" i="2"/>
  <c r="Y409" i="2"/>
  <c r="P409" i="2"/>
  <c r="BO408" i="2"/>
  <c r="BM408" i="2"/>
  <c r="Y408" i="2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P402" i="2" s="1"/>
  <c r="P402" i="2"/>
  <c r="BO401" i="2"/>
  <c r="BM401" i="2"/>
  <c r="Y401" i="2"/>
  <c r="P401" i="2"/>
  <c r="BO400" i="2"/>
  <c r="BM400" i="2"/>
  <c r="Y400" i="2"/>
  <c r="Z400" i="2" s="1"/>
  <c r="P400" i="2"/>
  <c r="X398" i="2"/>
  <c r="X397" i="2"/>
  <c r="BO396" i="2"/>
  <c r="BM396" i="2"/>
  <c r="Y396" i="2"/>
  <c r="P396" i="2"/>
  <c r="BO395" i="2"/>
  <c r="BM395" i="2"/>
  <c r="Y395" i="2"/>
  <c r="BN395" i="2" s="1"/>
  <c r="P395" i="2"/>
  <c r="BO394" i="2"/>
  <c r="BM394" i="2"/>
  <c r="Y394" i="2"/>
  <c r="P394" i="2"/>
  <c r="X392" i="2"/>
  <c r="X391" i="2"/>
  <c r="BO390" i="2"/>
  <c r="BM390" i="2"/>
  <c r="Y390" i="2"/>
  <c r="P390" i="2"/>
  <c r="BO389" i="2"/>
  <c r="BM389" i="2"/>
  <c r="Y389" i="2"/>
  <c r="BN389" i="2" s="1"/>
  <c r="P389" i="2"/>
  <c r="BO388" i="2"/>
  <c r="BM388" i="2"/>
  <c r="Y388" i="2"/>
  <c r="BN388" i="2" s="1"/>
  <c r="P388" i="2"/>
  <c r="BO387" i="2"/>
  <c r="BM387" i="2"/>
  <c r="Y387" i="2"/>
  <c r="BN387" i="2" s="1"/>
  <c r="P387" i="2"/>
  <c r="X385" i="2"/>
  <c r="X384" i="2"/>
  <c r="BO383" i="2"/>
  <c r="BM383" i="2"/>
  <c r="Y383" i="2"/>
  <c r="BN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P378" i="2"/>
  <c r="BO377" i="2"/>
  <c r="BM377" i="2"/>
  <c r="Y377" i="2"/>
  <c r="P377" i="2"/>
  <c r="X375" i="2"/>
  <c r="X374" i="2"/>
  <c r="BO373" i="2"/>
  <c r="BM373" i="2"/>
  <c r="Y373" i="2"/>
  <c r="BN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BN368" i="2" s="1"/>
  <c r="P368" i="2"/>
  <c r="BO367" i="2"/>
  <c r="BM367" i="2"/>
  <c r="Y367" i="2"/>
  <c r="BN367" i="2" s="1"/>
  <c r="P367" i="2"/>
  <c r="X364" i="2"/>
  <c r="X363" i="2"/>
  <c r="BO362" i="2"/>
  <c r="BM362" i="2"/>
  <c r="Y362" i="2"/>
  <c r="BN362" i="2" s="1"/>
  <c r="P362" i="2"/>
  <c r="BO361" i="2"/>
  <c r="BM361" i="2"/>
  <c r="Y361" i="2"/>
  <c r="BP361" i="2" s="1"/>
  <c r="P361" i="2"/>
  <c r="BO360" i="2"/>
  <c r="BM360" i="2"/>
  <c r="Y360" i="2"/>
  <c r="Y364" i="2" s="1"/>
  <c r="P360" i="2"/>
  <c r="X357" i="2"/>
  <c r="X356" i="2"/>
  <c r="BO355" i="2"/>
  <c r="BM355" i="2"/>
  <c r="Y355" i="2"/>
  <c r="Z355" i="2" s="1"/>
  <c r="Z356" i="2" s="1"/>
  <c r="P355" i="2"/>
  <c r="X353" i="2"/>
  <c r="X352" i="2"/>
  <c r="BO351" i="2"/>
  <c r="BM351" i="2"/>
  <c r="Y351" i="2"/>
  <c r="Y352" i="2" s="1"/>
  <c r="P351" i="2"/>
  <c r="X348" i="2"/>
  <c r="X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X342" i="2"/>
  <c r="X341" i="2"/>
  <c r="BO340" i="2"/>
  <c r="BM340" i="2"/>
  <c r="Y340" i="2"/>
  <c r="Z340" i="2" s="1"/>
  <c r="P340" i="2"/>
  <c r="BO339" i="2"/>
  <c r="BM339" i="2"/>
  <c r="Y339" i="2"/>
  <c r="P339" i="2"/>
  <c r="BO338" i="2"/>
  <c r="BM338" i="2"/>
  <c r="Y338" i="2"/>
  <c r="P338" i="2"/>
  <c r="BO337" i="2"/>
  <c r="BM337" i="2"/>
  <c r="Y337" i="2"/>
  <c r="BP337" i="2" s="1"/>
  <c r="P337" i="2"/>
  <c r="X334" i="2"/>
  <c r="X333" i="2"/>
  <c r="BO332" i="2"/>
  <c r="BM332" i="2"/>
  <c r="Y332" i="2"/>
  <c r="P332" i="2"/>
  <c r="BO331" i="2"/>
  <c r="BM331" i="2"/>
  <c r="Y331" i="2"/>
  <c r="P331" i="2"/>
  <c r="BO330" i="2"/>
  <c r="BM330" i="2"/>
  <c r="Y330" i="2"/>
  <c r="Y334" i="2" s="1"/>
  <c r="P330" i="2"/>
  <c r="X327" i="2"/>
  <c r="X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BO321" i="2"/>
  <c r="BM321" i="2"/>
  <c r="Y321" i="2"/>
  <c r="P321" i="2"/>
  <c r="BO320" i="2"/>
  <c r="BM320" i="2"/>
  <c r="Y320" i="2"/>
  <c r="P320" i="2"/>
  <c r="BO319" i="2"/>
  <c r="BM319" i="2"/>
  <c r="Y319" i="2"/>
  <c r="P319" i="2"/>
  <c r="BO318" i="2"/>
  <c r="BM318" i="2"/>
  <c r="Y318" i="2"/>
  <c r="Z318" i="2" s="1"/>
  <c r="P318" i="2"/>
  <c r="X315" i="2"/>
  <c r="X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P311" i="2"/>
  <c r="BO310" i="2"/>
  <c r="BM310" i="2"/>
  <c r="Y310" i="2"/>
  <c r="Z310" i="2" s="1"/>
  <c r="P310" i="2"/>
  <c r="X308" i="2"/>
  <c r="X307" i="2"/>
  <c r="BP306" i="2"/>
  <c r="BO306" i="2"/>
  <c r="BM306" i="2"/>
  <c r="Y306" i="2"/>
  <c r="Y308" i="2" s="1"/>
  <c r="P306" i="2"/>
  <c r="X304" i="2"/>
  <c r="X303" i="2"/>
  <c r="BO302" i="2"/>
  <c r="BM302" i="2"/>
  <c r="Y302" i="2"/>
  <c r="Y303" i="2" s="1"/>
  <c r="P302" i="2"/>
  <c r="X300" i="2"/>
  <c r="X299" i="2"/>
  <c r="BO298" i="2"/>
  <c r="BM298" i="2"/>
  <c r="Y298" i="2"/>
  <c r="Z298" i="2" s="1"/>
  <c r="P298" i="2"/>
  <c r="BO297" i="2"/>
  <c r="BM297" i="2"/>
  <c r="Y297" i="2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BP292" i="2" s="1"/>
  <c r="P292" i="2"/>
  <c r="X289" i="2"/>
  <c r="X288" i="2"/>
  <c r="BO287" i="2"/>
  <c r="BM287" i="2"/>
  <c r="Y287" i="2"/>
  <c r="P287" i="2"/>
  <c r="BO286" i="2"/>
  <c r="BM286" i="2"/>
  <c r="Y286" i="2"/>
  <c r="P286" i="2"/>
  <c r="X284" i="2"/>
  <c r="X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P271" i="2" s="1"/>
  <c r="P271" i="2"/>
  <c r="X269" i="2"/>
  <c r="X268" i="2"/>
  <c r="BO267" i="2"/>
  <c r="BM267" i="2"/>
  <c r="Y267" i="2"/>
  <c r="Z267" i="2" s="1"/>
  <c r="P267" i="2"/>
  <c r="BO266" i="2"/>
  <c r="BM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BP261" i="2" s="1"/>
  <c r="P261" i="2"/>
  <c r="BO260" i="2"/>
  <c r="BM260" i="2"/>
  <c r="Y260" i="2"/>
  <c r="P260" i="2"/>
  <c r="X258" i="2"/>
  <c r="X257" i="2"/>
  <c r="BO256" i="2"/>
  <c r="BM256" i="2"/>
  <c r="Y256" i="2"/>
  <c r="Z256" i="2" s="1"/>
  <c r="P256" i="2"/>
  <c r="BO255" i="2"/>
  <c r="BM255" i="2"/>
  <c r="Y255" i="2"/>
  <c r="P255" i="2"/>
  <c r="X253" i="2"/>
  <c r="X252" i="2"/>
  <c r="BO251" i="2"/>
  <c r="BM251" i="2"/>
  <c r="Y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BN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P199" i="2"/>
  <c r="X195" i="2"/>
  <c r="X194" i="2"/>
  <c r="BO193" i="2"/>
  <c r="BM193" i="2"/>
  <c r="Y193" i="2"/>
  <c r="Z193" i="2" s="1"/>
  <c r="Z194" i="2" s="1"/>
  <c r="P193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Y187" i="2" s="1"/>
  <c r="P184" i="2"/>
  <c r="X182" i="2"/>
  <c r="X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P170" i="2"/>
  <c r="X168" i="2"/>
  <c r="X167" i="2"/>
  <c r="BO166" i="2"/>
  <c r="BM166" i="2"/>
  <c r="Y166" i="2"/>
  <c r="BP166" i="2" s="1"/>
  <c r="P166" i="2"/>
  <c r="BO165" i="2"/>
  <c r="BM165" i="2"/>
  <c r="Y165" i="2"/>
  <c r="Y167" i="2" s="1"/>
  <c r="P165" i="2"/>
  <c r="X163" i="2"/>
  <c r="X162" i="2"/>
  <c r="BO161" i="2"/>
  <c r="BM161" i="2"/>
  <c r="Y161" i="2"/>
  <c r="Z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J572" i="2" s="1"/>
  <c r="P158" i="2"/>
  <c r="X155" i="2"/>
  <c r="X154" i="2"/>
  <c r="BP153" i="2"/>
  <c r="BO153" i="2"/>
  <c r="BM153" i="2"/>
  <c r="Y153" i="2"/>
  <c r="Z153" i="2" s="1"/>
  <c r="Z154" i="2" s="1"/>
  <c r="P153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BP146" i="2" s="1"/>
  <c r="P146" i="2"/>
  <c r="X143" i="2"/>
  <c r="X142" i="2"/>
  <c r="BO141" i="2"/>
  <c r="BM141" i="2"/>
  <c r="Y141" i="2"/>
  <c r="BN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X127" i="2"/>
  <c r="X126" i="2"/>
  <c r="BO125" i="2"/>
  <c r="BM125" i="2"/>
  <c r="Y125" i="2"/>
  <c r="Y127" i="2" s="1"/>
  <c r="P125" i="2"/>
  <c r="X123" i="2"/>
  <c r="X122" i="2"/>
  <c r="BO121" i="2"/>
  <c r="BM121" i="2"/>
  <c r="Y121" i="2"/>
  <c r="BP121" i="2" s="1"/>
  <c r="P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X116" i="2"/>
  <c r="X115" i="2"/>
  <c r="BO114" i="2"/>
  <c r="BM114" i="2"/>
  <c r="Y114" i="2"/>
  <c r="Z114" i="2" s="1"/>
  <c r="P114" i="2"/>
  <c r="BO113" i="2"/>
  <c r="BM113" i="2"/>
  <c r="Y113" i="2"/>
  <c r="BP113" i="2" s="1"/>
  <c r="P113" i="2"/>
  <c r="BO112" i="2"/>
  <c r="BM112" i="2"/>
  <c r="Y112" i="2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O103" i="2"/>
  <c r="BM103" i="2"/>
  <c r="Y103" i="2"/>
  <c r="BN103" i="2" s="1"/>
  <c r="P103" i="2"/>
  <c r="BO102" i="2"/>
  <c r="BM102" i="2"/>
  <c r="Y102" i="2"/>
  <c r="BN102" i="2" s="1"/>
  <c r="P102" i="2"/>
  <c r="X99" i="2"/>
  <c r="X98" i="2"/>
  <c r="BO97" i="2"/>
  <c r="BM97" i="2"/>
  <c r="Y97" i="2"/>
  <c r="BP97" i="2" s="1"/>
  <c r="P97" i="2"/>
  <c r="BO96" i="2"/>
  <c r="BM96" i="2"/>
  <c r="Y96" i="2"/>
  <c r="Z96" i="2" s="1"/>
  <c r="P96" i="2"/>
  <c r="BO95" i="2"/>
  <c r="BM95" i="2"/>
  <c r="Y95" i="2"/>
  <c r="BP95" i="2" s="1"/>
  <c r="P95" i="2"/>
  <c r="BO94" i="2"/>
  <c r="BM94" i="2"/>
  <c r="Y94" i="2"/>
  <c r="Y99" i="2" s="1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BP78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Z49" i="2" s="1"/>
  <c r="P49" i="2"/>
  <c r="BO48" i="2"/>
  <c r="BM48" i="2"/>
  <c r="Y48" i="2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Z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X28" i="2"/>
  <c r="X27" i="2"/>
  <c r="BO26" i="2"/>
  <c r="BM26" i="2"/>
  <c r="Y26" i="2"/>
  <c r="BP26" i="2" s="1"/>
  <c r="P26" i="2"/>
  <c r="BO25" i="2"/>
  <c r="BM25" i="2"/>
  <c r="Y25" i="2"/>
  <c r="BN25" i="2" s="1"/>
  <c r="P25" i="2"/>
  <c r="BO24" i="2"/>
  <c r="BM24" i="2"/>
  <c r="Y24" i="2"/>
  <c r="BN24" i="2" s="1"/>
  <c r="P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Z78" i="2" l="1"/>
  <c r="BN78" i="2"/>
  <c r="Z230" i="2"/>
  <c r="Z266" i="2"/>
  <c r="Z420" i="2"/>
  <c r="Z428" i="2"/>
  <c r="BN428" i="2"/>
  <c r="Z25" i="2"/>
  <c r="BP130" i="2"/>
  <c r="Z185" i="2"/>
  <c r="BN185" i="2"/>
  <c r="Z276" i="2"/>
  <c r="BP395" i="2"/>
  <c r="Z68" i="2"/>
  <c r="Z89" i="2"/>
  <c r="BN89" i="2"/>
  <c r="Z146" i="2"/>
  <c r="BN146" i="2"/>
  <c r="Z171" i="2"/>
  <c r="BN171" i="2"/>
  <c r="Z216" i="2"/>
  <c r="BN216" i="2"/>
  <c r="Z280" i="2"/>
  <c r="BN280" i="2"/>
  <c r="Z324" i="2"/>
  <c r="BN324" i="2"/>
  <c r="Z325" i="2"/>
  <c r="BP400" i="2"/>
  <c r="BP436" i="2"/>
  <c r="Y492" i="2"/>
  <c r="BN23" i="2"/>
  <c r="BN37" i="2"/>
  <c r="Y52" i="2"/>
  <c r="BN55" i="2"/>
  <c r="BN60" i="2"/>
  <c r="BN74" i="2"/>
  <c r="BN104" i="2"/>
  <c r="BN113" i="2"/>
  <c r="Y211" i="2"/>
  <c r="Y212" i="2"/>
  <c r="BP210" i="2"/>
  <c r="BN210" i="2"/>
  <c r="Z210" i="2"/>
  <c r="Z211" i="2" s="1"/>
  <c r="BP275" i="2"/>
  <c r="Z275" i="2"/>
  <c r="Z287" i="2"/>
  <c r="BP287" i="2"/>
  <c r="BP297" i="2"/>
  <c r="Z297" i="2"/>
  <c r="BP331" i="2"/>
  <c r="BN331" i="2"/>
  <c r="Z331" i="2"/>
  <c r="Z332" i="2"/>
  <c r="BP332" i="2"/>
  <c r="BN351" i="2"/>
  <c r="BN396" i="2"/>
  <c r="BP396" i="2"/>
  <c r="BN423" i="2"/>
  <c r="BN429" i="2"/>
  <c r="Y472" i="2"/>
  <c r="BP470" i="2"/>
  <c r="BN487" i="2"/>
  <c r="BP487" i="2"/>
  <c r="BP510" i="2"/>
  <c r="BN510" i="2"/>
  <c r="Z510" i="2"/>
  <c r="BN512" i="2"/>
  <c r="BP512" i="2"/>
  <c r="Z545" i="2"/>
  <c r="Z546" i="2" s="1"/>
  <c r="Y546" i="2"/>
  <c r="BP545" i="2"/>
  <c r="X566" i="2"/>
  <c r="Y43" i="2"/>
  <c r="BN41" i="2"/>
  <c r="Z47" i="2"/>
  <c r="Y63" i="2"/>
  <c r="BN59" i="2"/>
  <c r="Y71" i="2"/>
  <c r="Z80" i="2"/>
  <c r="BN80" i="2"/>
  <c r="BP86" i="2"/>
  <c r="BP96" i="2"/>
  <c r="BN97" i="2"/>
  <c r="Z102" i="2"/>
  <c r="Y115" i="2"/>
  <c r="BN112" i="2"/>
  <c r="BN118" i="2"/>
  <c r="BP125" i="2"/>
  <c r="Z148" i="2"/>
  <c r="BN148" i="2"/>
  <c r="Z165" i="2"/>
  <c r="BN165" i="2"/>
  <c r="BP165" i="2"/>
  <c r="Y181" i="2"/>
  <c r="Z173" i="2"/>
  <c r="Z176" i="2"/>
  <c r="BN176" i="2"/>
  <c r="K572" i="2"/>
  <c r="BN218" i="2"/>
  <c r="Z218" i="2"/>
  <c r="BP221" i="2"/>
  <c r="BN221" i="2"/>
  <c r="Z221" i="2"/>
  <c r="BN226" i="2"/>
  <c r="BP231" i="2"/>
  <c r="BN231" i="2"/>
  <c r="Z231" i="2"/>
  <c r="Y246" i="2"/>
  <c r="BN244" i="2"/>
  <c r="Z244" i="2"/>
  <c r="Z245" i="2" s="1"/>
  <c r="BN249" i="2"/>
  <c r="BN264" i="2"/>
  <c r="BP272" i="2"/>
  <c r="BN272" i="2"/>
  <c r="Z272" i="2"/>
  <c r="BN278" i="2"/>
  <c r="BP278" i="2"/>
  <c r="BN311" i="2"/>
  <c r="BP311" i="2"/>
  <c r="BP320" i="2"/>
  <c r="BN320" i="2"/>
  <c r="Z320" i="2"/>
  <c r="Z321" i="2"/>
  <c r="BP321" i="2"/>
  <c r="BP370" i="2"/>
  <c r="BN370" i="2"/>
  <c r="Z370" i="2"/>
  <c r="BN377" i="2"/>
  <c r="Z377" i="2"/>
  <c r="BP380" i="2"/>
  <c r="BN380" i="2"/>
  <c r="Z380" i="2"/>
  <c r="BP390" i="2"/>
  <c r="BN390" i="2"/>
  <c r="Z390" i="2"/>
  <c r="BN401" i="2"/>
  <c r="BP401" i="2"/>
  <c r="BP409" i="2"/>
  <c r="BN409" i="2"/>
  <c r="Z409" i="2"/>
  <c r="BP415" i="2"/>
  <c r="BN415" i="2"/>
  <c r="Z415" i="2"/>
  <c r="BN475" i="2"/>
  <c r="BP475" i="2"/>
  <c r="BN483" i="2"/>
  <c r="BN204" i="2"/>
  <c r="BN225" i="2"/>
  <c r="Y236" i="2"/>
  <c r="BN295" i="2"/>
  <c r="BN318" i="2"/>
  <c r="BN345" i="2"/>
  <c r="Y398" i="2"/>
  <c r="BN407" i="2"/>
  <c r="Y431" i="2"/>
  <c r="BN439" i="2"/>
  <c r="BN485" i="2"/>
  <c r="BN491" i="2"/>
  <c r="BN520" i="2"/>
  <c r="BN526" i="2"/>
  <c r="BN530" i="2"/>
  <c r="X563" i="2"/>
  <c r="Z23" i="2"/>
  <c r="BP25" i="2"/>
  <c r="BN26" i="2"/>
  <c r="Y28" i="2"/>
  <c r="BP37" i="2"/>
  <c r="Z41" i="2"/>
  <c r="D572" i="2"/>
  <c r="BN48" i="2"/>
  <c r="Z55" i="2"/>
  <c r="BN68" i="2"/>
  <c r="BN73" i="2"/>
  <c r="Z74" i="2"/>
  <c r="Y82" i="2"/>
  <c r="Z79" i="2"/>
  <c r="BP104" i="2"/>
  <c r="Z108" i="2"/>
  <c r="Z112" i="2"/>
  <c r="BN114" i="2"/>
  <c r="Z118" i="2"/>
  <c r="Y138" i="2"/>
  <c r="BN161" i="2"/>
  <c r="Y162" i="2"/>
  <c r="Y168" i="2"/>
  <c r="BN184" i="2"/>
  <c r="BN193" i="2"/>
  <c r="Y194" i="2"/>
  <c r="Z205" i="2"/>
  <c r="BN205" i="2"/>
  <c r="BP219" i="2"/>
  <c r="BN219" i="2"/>
  <c r="BP220" i="2"/>
  <c r="Z220" i="2"/>
  <c r="BP224" i="2"/>
  <c r="BP234" i="2"/>
  <c r="Z234" i="2"/>
  <c r="Y242" i="2"/>
  <c r="BN239" i="2"/>
  <c r="BP240" i="2"/>
  <c r="Z240" i="2"/>
  <c r="BP249" i="2"/>
  <c r="BP255" i="2"/>
  <c r="Z255" i="2"/>
  <c r="Z257" i="2" s="1"/>
  <c r="BP263" i="2"/>
  <c r="BN263" i="2"/>
  <c r="BP264" i="2"/>
  <c r="BN273" i="2"/>
  <c r="BP313" i="2"/>
  <c r="BN313" i="2"/>
  <c r="BP338" i="2"/>
  <c r="Z338" i="2"/>
  <c r="BP403" i="2"/>
  <c r="BN403" i="2"/>
  <c r="BP441" i="2"/>
  <c r="Y450" i="2"/>
  <c r="Y451" i="2"/>
  <c r="BP454" i="2"/>
  <c r="Z454" i="2"/>
  <c r="Z486" i="2"/>
  <c r="BN486" i="2"/>
  <c r="AA572" i="2"/>
  <c r="Y497" i="2"/>
  <c r="Z496" i="2"/>
  <c r="Z497" i="2" s="1"/>
  <c r="Y517" i="2"/>
  <c r="BN508" i="2"/>
  <c r="BP519" i="2"/>
  <c r="BN519" i="2"/>
  <c r="Y522" i="2"/>
  <c r="Y523" i="2"/>
  <c r="X564" i="2"/>
  <c r="BN31" i="2"/>
  <c r="Y32" i="2"/>
  <c r="BP40" i="2"/>
  <c r="BN49" i="2"/>
  <c r="Y51" i="2"/>
  <c r="BN58" i="2"/>
  <c r="BP60" i="2"/>
  <c r="BN69" i="2"/>
  <c r="Y92" i="2"/>
  <c r="BN87" i="2"/>
  <c r="Z90" i="2"/>
  <c r="Z97" i="2"/>
  <c r="Y110" i="2"/>
  <c r="BP107" i="2"/>
  <c r="BN119" i="2"/>
  <c r="Y122" i="2"/>
  <c r="Z131" i="2"/>
  <c r="Z132" i="2" s="1"/>
  <c r="BP131" i="2"/>
  <c r="BN135" i="2"/>
  <c r="Z141" i="2"/>
  <c r="BP141" i="2"/>
  <c r="I572" i="2"/>
  <c r="Z147" i="2"/>
  <c r="BN159" i="2"/>
  <c r="BN166" i="2"/>
  <c r="BP172" i="2"/>
  <c r="Y182" i="2"/>
  <c r="BN175" i="2"/>
  <c r="Z179" i="2"/>
  <c r="BP179" i="2"/>
  <c r="BN180" i="2"/>
  <c r="Z189" i="2"/>
  <c r="Z190" i="2" s="1"/>
  <c r="BP189" i="2"/>
  <c r="Z199" i="2"/>
  <c r="BP199" i="2"/>
  <c r="Z203" i="2"/>
  <c r="BP203" i="2"/>
  <c r="BP217" i="2"/>
  <c r="Z224" i="2"/>
  <c r="BP251" i="2"/>
  <c r="Z251" i="2"/>
  <c r="BP277" i="2"/>
  <c r="BP293" i="2"/>
  <c r="Z293" i="2"/>
  <c r="Z296" i="2"/>
  <c r="BP298" i="2"/>
  <c r="BP310" i="2"/>
  <c r="Z313" i="2"/>
  <c r="Y327" i="2"/>
  <c r="Z319" i="2"/>
  <c r="BP339" i="2"/>
  <c r="BN339" i="2"/>
  <c r="BP340" i="2"/>
  <c r="Y348" i="2"/>
  <c r="BP344" i="2"/>
  <c r="Z344" i="2"/>
  <c r="Y347" i="2"/>
  <c r="BP369" i="2"/>
  <c r="BP389" i="2"/>
  <c r="Z403" i="2"/>
  <c r="Y410" i="2"/>
  <c r="Z408" i="2"/>
  <c r="BP422" i="2"/>
  <c r="BN437" i="2"/>
  <c r="BP437" i="2"/>
  <c r="BN438" i="2"/>
  <c r="Z438" i="2"/>
  <c r="Z441" i="2"/>
  <c r="Z449" i="2"/>
  <c r="BN449" i="2"/>
  <c r="BP460" i="2"/>
  <c r="BN460" i="2"/>
  <c r="Z474" i="2"/>
  <c r="BN474" i="2"/>
  <c r="BP502" i="2"/>
  <c r="BN502" i="2"/>
  <c r="BP514" i="2"/>
  <c r="BN514" i="2"/>
  <c r="Z519" i="2"/>
  <c r="Z531" i="2"/>
  <c r="BP531" i="2"/>
  <c r="H9" i="2"/>
  <c r="BP24" i="2"/>
  <c r="BP114" i="2"/>
  <c r="Y123" i="2"/>
  <c r="BP161" i="2"/>
  <c r="BP193" i="2"/>
  <c r="Y195" i="2"/>
  <c r="BP214" i="2"/>
  <c r="BN214" i="2"/>
  <c r="Y252" i="2"/>
  <c r="Z250" i="2"/>
  <c r="Y253" i="2"/>
  <c r="BP286" i="2"/>
  <c r="Z286" i="2"/>
  <c r="Z288" i="2" s="1"/>
  <c r="BP294" i="2"/>
  <c r="BN294" i="2"/>
  <c r="BP295" i="2"/>
  <c r="BN338" i="2"/>
  <c r="BP362" i="2"/>
  <c r="BP367" i="2"/>
  <c r="Z369" i="2"/>
  <c r="Y375" i="2"/>
  <c r="BP373" i="2"/>
  <c r="Z373" i="2"/>
  <c r="Y384" i="2"/>
  <c r="BN378" i="2"/>
  <c r="BP379" i="2"/>
  <c r="Z379" i="2"/>
  <c r="Y385" i="2"/>
  <c r="BP383" i="2"/>
  <c r="BP387" i="2"/>
  <c r="Z389" i="2"/>
  <c r="Y391" i="2"/>
  <c r="Z394" i="2"/>
  <c r="BP420" i="2"/>
  <c r="Z422" i="2"/>
  <c r="BN454" i="2"/>
  <c r="Z455" i="2"/>
  <c r="Z460" i="2"/>
  <c r="Z461" i="2" s="1"/>
  <c r="Y498" i="2"/>
  <c r="Z502" i="2"/>
  <c r="Z514" i="2"/>
  <c r="Z521" i="2"/>
  <c r="BN521" i="2"/>
  <c r="J9" i="2"/>
  <c r="Z22" i="2"/>
  <c r="Z24" i="2"/>
  <c r="X562" i="2"/>
  <c r="Z31" i="2"/>
  <c r="BP49" i="2"/>
  <c r="E572" i="2"/>
  <c r="Z58" i="2"/>
  <c r="Z87" i="2"/>
  <c r="Y109" i="2"/>
  <c r="BP108" i="2"/>
  <c r="Y116" i="2"/>
  <c r="Z119" i="2"/>
  <c r="Y132" i="2"/>
  <c r="Z135" i="2"/>
  <c r="Y143" i="2"/>
  <c r="BP149" i="2"/>
  <c r="Z159" i="2"/>
  <c r="BN160" i="2"/>
  <c r="Z166" i="2"/>
  <c r="Z170" i="2"/>
  <c r="BP173" i="2"/>
  <c r="Z175" i="2"/>
  <c r="BN189" i="2"/>
  <c r="BN199" i="2"/>
  <c r="BP200" i="2"/>
  <c r="Z200" i="2"/>
  <c r="BP205" i="2"/>
  <c r="Z214" i="2"/>
  <c r="BP215" i="2"/>
  <c r="Z215" i="2"/>
  <c r="BP226" i="2"/>
  <c r="BP230" i="2"/>
  <c r="Y269" i="2"/>
  <c r="BP262" i="2"/>
  <c r="Z262" i="2"/>
  <c r="Z265" i="2"/>
  <c r="BP267" i="2"/>
  <c r="Z274" i="2"/>
  <c r="BN274" i="2"/>
  <c r="Z281" i="2"/>
  <c r="BN282" i="2"/>
  <c r="Z282" i="2"/>
  <c r="BN293" i="2"/>
  <c r="BP318" i="2"/>
  <c r="BP322" i="2"/>
  <c r="Z330" i="2"/>
  <c r="BN340" i="2"/>
  <c r="BN344" i="2"/>
  <c r="Z345" i="2"/>
  <c r="S572" i="2"/>
  <c r="BP351" i="2"/>
  <c r="Z351" i="2"/>
  <c r="Z352" i="2" s="1"/>
  <c r="Y356" i="2"/>
  <c r="BN355" i="2"/>
  <c r="Z362" i="2"/>
  <c r="Z367" i="2"/>
  <c r="Z383" i="2"/>
  <c r="Z387" i="2"/>
  <c r="BP407" i="2"/>
  <c r="Y424" i="2"/>
  <c r="BP440" i="2"/>
  <c r="Z440" i="2"/>
  <c r="BP447" i="2"/>
  <c r="BP484" i="2"/>
  <c r="Z484" i="2"/>
  <c r="BP486" i="2"/>
  <c r="BP496" i="2"/>
  <c r="BP508" i="2"/>
  <c r="Z511" i="2"/>
  <c r="BN511" i="2"/>
  <c r="BP529" i="2"/>
  <c r="BN529" i="2"/>
  <c r="Y425" i="2"/>
  <c r="BP421" i="2"/>
  <c r="BP423" i="2"/>
  <c r="BP448" i="2"/>
  <c r="Y489" i="2"/>
  <c r="Y516" i="2"/>
  <c r="BP526" i="2"/>
  <c r="BP218" i="2"/>
  <c r="Y241" i="2"/>
  <c r="BP238" i="2"/>
  <c r="Y257" i="2"/>
  <c r="Y374" i="2"/>
  <c r="BP377" i="2"/>
  <c r="Y392" i="2"/>
  <c r="Y432" i="2"/>
  <c r="Z429" i="2"/>
  <c r="BP439" i="2"/>
  <c r="Z448" i="2"/>
  <c r="Y461" i="2"/>
  <c r="BP483" i="2"/>
  <c r="Z485" i="2"/>
  <c r="Y488" i="2"/>
  <c r="Z491" i="2"/>
  <c r="Z492" i="2" s="1"/>
  <c r="BP491" i="2"/>
  <c r="Y504" i="2"/>
  <c r="Z509" i="2"/>
  <c r="Z520" i="2"/>
  <c r="Z530" i="2"/>
  <c r="AC572" i="2"/>
  <c r="F9" i="2"/>
  <c r="Z26" i="2"/>
  <c r="BN40" i="2"/>
  <c r="Y64" i="2"/>
  <c r="Z73" i="2"/>
  <c r="BN86" i="2"/>
  <c r="BN96" i="2"/>
  <c r="BN107" i="2"/>
  <c r="BN130" i="2"/>
  <c r="Z140" i="2"/>
  <c r="BN153" i="2"/>
  <c r="Z174" i="2"/>
  <c r="Z184" i="2"/>
  <c r="Z219" i="2"/>
  <c r="Z239" i="2"/>
  <c r="Z241" i="2" s="1"/>
  <c r="Y258" i="2"/>
  <c r="BN267" i="2"/>
  <c r="BN277" i="2"/>
  <c r="BN287" i="2"/>
  <c r="BN298" i="2"/>
  <c r="BN310" i="2"/>
  <c r="BN321" i="2"/>
  <c r="BN332" i="2"/>
  <c r="Y357" i="2"/>
  <c r="Z368" i="2"/>
  <c r="Z378" i="2"/>
  <c r="Z388" i="2"/>
  <c r="BN400" i="2"/>
  <c r="Y411" i="2"/>
  <c r="Z421" i="2"/>
  <c r="Z424" i="2" s="1"/>
  <c r="Y462" i="2"/>
  <c r="Y477" i="2"/>
  <c r="BN531" i="2"/>
  <c r="BN545" i="2"/>
  <c r="L572" i="2"/>
  <c r="Y206" i="2"/>
  <c r="Y227" i="2"/>
  <c r="Y304" i="2"/>
  <c r="Y341" i="2"/>
  <c r="Y445" i="2"/>
  <c r="Y468" i="2"/>
  <c r="Y539" i="2"/>
  <c r="Y551" i="2"/>
  <c r="M572" i="2"/>
  <c r="Z94" i="2"/>
  <c r="Y556" i="2"/>
  <c r="O572" i="2"/>
  <c r="Z38" i="2"/>
  <c r="Z50" i="2"/>
  <c r="Z105" i="2"/>
  <c r="A10" i="2"/>
  <c r="BP47" i="2"/>
  <c r="Z56" i="2"/>
  <c r="Z66" i="2"/>
  <c r="Y81" i="2"/>
  <c r="BP102" i="2"/>
  <c r="BP112" i="2"/>
  <c r="Z120" i="2"/>
  <c r="BP135" i="2"/>
  <c r="Z177" i="2"/>
  <c r="Z201" i="2"/>
  <c r="Z222" i="2"/>
  <c r="Z232" i="2"/>
  <c r="Z260" i="2"/>
  <c r="Y283" i="2"/>
  <c r="Z346" i="2"/>
  <c r="Z360" i="2"/>
  <c r="Z371" i="2"/>
  <c r="Z381" i="2"/>
  <c r="Z413" i="2"/>
  <c r="Z430" i="2"/>
  <c r="Z442" i="2"/>
  <c r="Z465" i="2"/>
  <c r="Y478" i="2"/>
  <c r="P572" i="2"/>
  <c r="BN38" i="2"/>
  <c r="BN50" i="2"/>
  <c r="BN61" i="2"/>
  <c r="BP73" i="2"/>
  <c r="BN94" i="2"/>
  <c r="BN105" i="2"/>
  <c r="Z125" i="2"/>
  <c r="Z126" i="2" s="1"/>
  <c r="BP140" i="2"/>
  <c r="Z149" i="2"/>
  <c r="Y154" i="2"/>
  <c r="Y163" i="2"/>
  <c r="Z172" i="2"/>
  <c r="BP174" i="2"/>
  <c r="BP184" i="2"/>
  <c r="Y207" i="2"/>
  <c r="Z217" i="2"/>
  <c r="Y228" i="2"/>
  <c r="BP239" i="2"/>
  <c r="BN250" i="2"/>
  <c r="BN255" i="2"/>
  <c r="BN265" i="2"/>
  <c r="Y268" i="2"/>
  <c r="BN275" i="2"/>
  <c r="Y288" i="2"/>
  <c r="BN296" i="2"/>
  <c r="Y299" i="2"/>
  <c r="Z306" i="2"/>
  <c r="Z307" i="2" s="1"/>
  <c r="BN319" i="2"/>
  <c r="BN330" i="2"/>
  <c r="Y333" i="2"/>
  <c r="Y342" i="2"/>
  <c r="BP368" i="2"/>
  <c r="BP378" i="2"/>
  <c r="BP388" i="2"/>
  <c r="Z396" i="2"/>
  <c r="BN408" i="2"/>
  <c r="Z437" i="2"/>
  <c r="Z447" i="2"/>
  <c r="BN459" i="2"/>
  <c r="Z470" i="2"/>
  <c r="Z471" i="2" s="1"/>
  <c r="BN484" i="2"/>
  <c r="BN509" i="2"/>
  <c r="Y532" i="2"/>
  <c r="Z541" i="2"/>
  <c r="Z542" i="2" s="1"/>
  <c r="Z553" i="2"/>
  <c r="Q572" i="2"/>
  <c r="BN56" i="2"/>
  <c r="BN201" i="2"/>
  <c r="BN222" i="2"/>
  <c r="BN232" i="2"/>
  <c r="Y235" i="2"/>
  <c r="BP244" i="2"/>
  <c r="BN260" i="2"/>
  <c r="Z278" i="2"/>
  <c r="Z311" i="2"/>
  <c r="Z322" i="2"/>
  <c r="BN346" i="2"/>
  <c r="BN360" i="2"/>
  <c r="Y363" i="2"/>
  <c r="BN371" i="2"/>
  <c r="BN381" i="2"/>
  <c r="Z401" i="2"/>
  <c r="BN413" i="2"/>
  <c r="Y416" i="2"/>
  <c r="BN430" i="2"/>
  <c r="BN442" i="2"/>
  <c r="BN465" i="2"/>
  <c r="Z475" i="2"/>
  <c r="Z487" i="2"/>
  <c r="Z500" i="2"/>
  <c r="Z512" i="2"/>
  <c r="Z559" i="2"/>
  <c r="Z560" i="2" s="1"/>
  <c r="R572" i="2"/>
  <c r="Z61" i="2"/>
  <c r="BN66" i="2"/>
  <c r="BN120" i="2"/>
  <c r="BN177" i="2"/>
  <c r="Y27" i="2"/>
  <c r="BP38" i="2"/>
  <c r="Z48" i="2"/>
  <c r="BP50" i="2"/>
  <c r="Z59" i="2"/>
  <c r="Z69" i="2"/>
  <c r="BP94" i="2"/>
  <c r="Z103" i="2"/>
  <c r="Z113" i="2"/>
  <c r="Z115" i="2" s="1"/>
  <c r="BN125" i="2"/>
  <c r="Z136" i="2"/>
  <c r="Z137" i="2" s="1"/>
  <c r="Z160" i="2"/>
  <c r="Z180" i="2"/>
  <c r="Z204" i="2"/>
  <c r="Z225" i="2"/>
  <c r="BP250" i="2"/>
  <c r="Z263" i="2"/>
  <c r="Z273" i="2"/>
  <c r="Y284" i="2"/>
  <c r="Z294" i="2"/>
  <c r="BN306" i="2"/>
  <c r="BP319" i="2"/>
  <c r="BP330" i="2"/>
  <c r="Z339" i="2"/>
  <c r="Y353" i="2"/>
  <c r="BP408" i="2"/>
  <c r="BN447" i="2"/>
  <c r="BP459" i="2"/>
  <c r="BN470" i="2"/>
  <c r="Z482" i="2"/>
  <c r="BP509" i="2"/>
  <c r="Z527" i="2"/>
  <c r="BN541" i="2"/>
  <c r="BN553" i="2"/>
  <c r="BP56" i="2"/>
  <c r="BP66" i="2"/>
  <c r="BP120" i="2"/>
  <c r="Y155" i="2"/>
  <c r="Y190" i="2"/>
  <c r="BP232" i="2"/>
  <c r="Y245" i="2"/>
  <c r="BP260" i="2"/>
  <c r="Y289" i="2"/>
  <c r="Y300" i="2"/>
  <c r="Y314" i="2"/>
  <c r="BP346" i="2"/>
  <c r="BP360" i="2"/>
  <c r="BP371" i="2"/>
  <c r="BP381" i="2"/>
  <c r="Y404" i="2"/>
  <c r="BP413" i="2"/>
  <c r="BP430" i="2"/>
  <c r="BP465" i="2"/>
  <c r="BN500" i="2"/>
  <c r="Y503" i="2"/>
  <c r="Y533" i="2"/>
  <c r="Y547" i="2"/>
  <c r="BN559" i="2"/>
  <c r="T572" i="2"/>
  <c r="Z515" i="2"/>
  <c r="BN527" i="2"/>
  <c r="BP541" i="2"/>
  <c r="BP553" i="2"/>
  <c r="B572" i="2"/>
  <c r="U572" i="2"/>
  <c r="BP559" i="2"/>
  <c r="C572" i="2"/>
  <c r="V572" i="2"/>
  <c r="Z62" i="2"/>
  <c r="Z106" i="2"/>
  <c r="BN22" i="2"/>
  <c r="Y33" i="2"/>
  <c r="BP48" i="2"/>
  <c r="Z57" i="2"/>
  <c r="Z67" i="2"/>
  <c r="BN79" i="2"/>
  <c r="BN90" i="2"/>
  <c r="BP103" i="2"/>
  <c r="Z121" i="2"/>
  <c r="Y126" i="2"/>
  <c r="BP136" i="2"/>
  <c r="BN147" i="2"/>
  <c r="Y150" i="2"/>
  <c r="Z158" i="2"/>
  <c r="BN170" i="2"/>
  <c r="Z178" i="2"/>
  <c r="Z202" i="2"/>
  <c r="BN215" i="2"/>
  <c r="Z223" i="2"/>
  <c r="Z233" i="2"/>
  <c r="BN251" i="2"/>
  <c r="Z261" i="2"/>
  <c r="Z271" i="2"/>
  <c r="BN281" i="2"/>
  <c r="Z292" i="2"/>
  <c r="Z302" i="2"/>
  <c r="Z303" i="2" s="1"/>
  <c r="Y307" i="2"/>
  <c r="Y315" i="2"/>
  <c r="BN325" i="2"/>
  <c r="Z337" i="2"/>
  <c r="Z361" i="2"/>
  <c r="Z372" i="2"/>
  <c r="Z382" i="2"/>
  <c r="BN394" i="2"/>
  <c r="Y397" i="2"/>
  <c r="Y405" i="2"/>
  <c r="Z414" i="2"/>
  <c r="Z443" i="2"/>
  <c r="BN455" i="2"/>
  <c r="Z466" i="2"/>
  <c r="Y471" i="2"/>
  <c r="BP482" i="2"/>
  <c r="BN515" i="2"/>
  <c r="Z525" i="2"/>
  <c r="Z537" i="2"/>
  <c r="Z538" i="2" s="1"/>
  <c r="Y542" i="2"/>
  <c r="Z549" i="2"/>
  <c r="Z550" i="2" s="1"/>
  <c r="W572" i="2"/>
  <c r="Z95" i="2"/>
  <c r="BN39" i="2"/>
  <c r="BN62" i="2"/>
  <c r="BN85" i="2"/>
  <c r="Y98" i="2"/>
  <c r="Z554" i="2"/>
  <c r="Y560" i="2"/>
  <c r="X572" i="2"/>
  <c r="Z85" i="2"/>
  <c r="Y42" i="2"/>
  <c r="BN95" i="2"/>
  <c r="BN106" i="2"/>
  <c r="BN256" i="2"/>
  <c r="BN286" i="2"/>
  <c r="Z30" i="2"/>
  <c r="Z32" i="2" s="1"/>
  <c r="BN57" i="2"/>
  <c r="BN67" i="2"/>
  <c r="Y70" i="2"/>
  <c r="Z88" i="2"/>
  <c r="BN121" i="2"/>
  <c r="BN158" i="2"/>
  <c r="BP170" i="2"/>
  <c r="BN178" i="2"/>
  <c r="BN202" i="2"/>
  <c r="BN223" i="2"/>
  <c r="BN233" i="2"/>
  <c r="BN261" i="2"/>
  <c r="BN271" i="2"/>
  <c r="Z279" i="2"/>
  <c r="BN292" i="2"/>
  <c r="BN302" i="2"/>
  <c r="Z312" i="2"/>
  <c r="Z323" i="2"/>
  <c r="BN337" i="2"/>
  <c r="BN361" i="2"/>
  <c r="BN372" i="2"/>
  <c r="BN382" i="2"/>
  <c r="BP394" i="2"/>
  <c r="Z402" i="2"/>
  <c r="BN414" i="2"/>
  <c r="BN443" i="2"/>
  <c r="Z453" i="2"/>
  <c r="BN466" i="2"/>
  <c r="Z476" i="2"/>
  <c r="Z501" i="2"/>
  <c r="Z513" i="2"/>
  <c r="BN525" i="2"/>
  <c r="BN537" i="2"/>
  <c r="BN549" i="2"/>
  <c r="F572" i="2"/>
  <c r="Y572" i="2"/>
  <c r="Z39" i="2"/>
  <c r="BN266" i="2"/>
  <c r="BN276" i="2"/>
  <c r="BN297" i="2"/>
  <c r="Y75" i="2"/>
  <c r="BP85" i="2"/>
  <c r="Y142" i="2"/>
  <c r="Y151" i="2"/>
  <c r="Y186" i="2"/>
  <c r="BN238" i="2"/>
  <c r="BP256" i="2"/>
  <c r="BP355" i="2"/>
  <c r="BN496" i="2"/>
  <c r="Z508" i="2"/>
  <c r="Z528" i="2"/>
  <c r="BN554" i="2"/>
  <c r="G572" i="2"/>
  <c r="Z572" i="2"/>
  <c r="BN30" i="2"/>
  <c r="BN88" i="2"/>
  <c r="Y91" i="2"/>
  <c r="Y133" i="2"/>
  <c r="BP158" i="2"/>
  <c r="BN279" i="2"/>
  <c r="BP302" i="2"/>
  <c r="BN312" i="2"/>
  <c r="BN323" i="2"/>
  <c r="Y326" i="2"/>
  <c r="BN402" i="2"/>
  <c r="BN453" i="2"/>
  <c r="Y456" i="2"/>
  <c r="BN476" i="2"/>
  <c r="BN501" i="2"/>
  <c r="BN513" i="2"/>
  <c r="BP537" i="2"/>
  <c r="BP549" i="2"/>
  <c r="Y561" i="2"/>
  <c r="H572" i="2"/>
  <c r="Z395" i="2"/>
  <c r="Z436" i="2"/>
  <c r="BN528" i="2"/>
  <c r="AB572" i="2"/>
  <c r="Y444" i="2"/>
  <c r="BP453" i="2"/>
  <c r="Y538" i="2"/>
  <c r="Z450" i="2" l="1"/>
  <c r="Z431" i="2"/>
  <c r="Z391" i="2"/>
  <c r="Z186" i="2"/>
  <c r="Z75" i="2"/>
  <c r="Z252" i="2"/>
  <c r="Z410" i="2"/>
  <c r="X565" i="2"/>
  <c r="Z81" i="2"/>
  <c r="Z522" i="2"/>
  <c r="Z488" i="2"/>
  <c r="Z142" i="2"/>
  <c r="Z167" i="2"/>
  <c r="Z326" i="2"/>
  <c r="Z162" i="2"/>
  <c r="Z347" i="2"/>
  <c r="Z122" i="2"/>
  <c r="Z384" i="2"/>
  <c r="Z27" i="2"/>
  <c r="Z374" i="2"/>
  <c r="Z333" i="2"/>
  <c r="Z397" i="2"/>
  <c r="Z456" i="2"/>
  <c r="Z341" i="2"/>
  <c r="Y562" i="2"/>
  <c r="Z109" i="2"/>
  <c r="Z555" i="2"/>
  <c r="Z150" i="2"/>
  <c r="Z42" i="2"/>
  <c r="Z181" i="2"/>
  <c r="Y564" i="2"/>
  <c r="Z314" i="2"/>
  <c r="Z283" i="2"/>
  <c r="Z404" i="2"/>
  <c r="Z98" i="2"/>
  <c r="Z516" i="2"/>
  <c r="Z91" i="2"/>
  <c r="Z299" i="2"/>
  <c r="Z51" i="2"/>
  <c r="Z477" i="2"/>
  <c r="Z227" i="2"/>
  <c r="Z363" i="2"/>
  <c r="Z235" i="2"/>
  <c r="Z268" i="2"/>
  <c r="Z206" i="2"/>
  <c r="Y563" i="2"/>
  <c r="Y566" i="2"/>
  <c r="Z444" i="2"/>
  <c r="Z503" i="2"/>
  <c r="Z467" i="2"/>
  <c r="Z70" i="2"/>
  <c r="Z63" i="2"/>
  <c r="Z416" i="2"/>
  <c r="Z532" i="2"/>
  <c r="Z567" i="2" l="1"/>
  <c r="Y565" i="2"/>
</calcChain>
</file>

<file path=xl/sharedStrings.xml><?xml version="1.0" encoding="utf-8"?>
<sst xmlns="http://schemas.openxmlformats.org/spreadsheetml/2006/main" count="4280" uniqueCount="915">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</sst>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85" sqref="AA8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46328</v>
      </c>
      <c r="R5" s="988"/>
      <c r="T5" s="989" t="s">
        <v>3</v>
      </c>
      <c r="U5" s="990"/>
      <c r="V5" s="991" t="s">
        <v>879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/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0.41666666666666669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73" t="s">
        <v>48</v>
      </c>
      <c r="D17" s="975" t="s">
        <v>50</v>
      </c>
      <c r="E17" s="976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74"/>
      <c r="D18" s="977"/>
      <c r="E18" s="978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5"/>
      <c r="AB20" s="65"/>
      <c r="AC20" s="79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4301051866</v>
      </c>
      <c r="D22" s="649">
        <v>4680115885912</v>
      </c>
      <c r="E22" s="649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4301051776</v>
      </c>
      <c r="D23" s="649">
        <v>4607091388237</v>
      </c>
      <c r="E23" s="649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hidden="1" customHeight="1" x14ac:dyDescent="0.25">
      <c r="A24" s="63" t="s">
        <v>85</v>
      </c>
      <c r="B24" s="63" t="s">
        <v>86</v>
      </c>
      <c r="C24" s="36">
        <v>4301052063</v>
      </c>
      <c r="D24" s="649">
        <v>4680115887350</v>
      </c>
      <c r="E24" s="649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51"/>
      <c r="R24" s="651"/>
      <c r="S24" s="651"/>
      <c r="T24" s="65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IFERROR(IF(Y24=0,"",ROUNDUP(Y24/H24,0)*0.00651),"")</f>
        <v/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ht="27" hidden="1" customHeight="1" x14ac:dyDescent="0.25">
      <c r="A25" s="63" t="s">
        <v>89</v>
      </c>
      <c r="B25" s="63" t="s">
        <v>90</v>
      </c>
      <c r="C25" s="36">
        <v>4301051863</v>
      </c>
      <c r="D25" s="649">
        <v>4680115885905</v>
      </c>
      <c r="E25" s="649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9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51"/>
      <c r="R25" s="651"/>
      <c r="S25" s="651"/>
      <c r="T25" s="652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hidden="1" customHeight="1" x14ac:dyDescent="0.25">
      <c r="A26" s="63" t="s">
        <v>92</v>
      </c>
      <c r="B26" s="63" t="s">
        <v>93</v>
      </c>
      <c r="C26" s="36">
        <v>4301052071</v>
      </c>
      <c r="D26" s="649">
        <v>4680115887619</v>
      </c>
      <c r="E26" s="649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9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51"/>
      <c r="R26" s="651"/>
      <c r="S26" s="651"/>
      <c r="T26" s="65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idden="1" x14ac:dyDescent="0.2">
      <c r="A27" s="656"/>
      <c r="B27" s="656"/>
      <c r="C27" s="656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7"/>
      <c r="P27" s="653" t="s">
        <v>40</v>
      </c>
      <c r="Q27" s="654"/>
      <c r="R27" s="654"/>
      <c r="S27" s="654"/>
      <c r="T27" s="654"/>
      <c r="U27" s="654"/>
      <c r="V27" s="655"/>
      <c r="W27" s="42" t="s">
        <v>39</v>
      </c>
      <c r="X27" s="43">
        <f>IFERROR(X22/H22,"0")+IFERROR(X23/H23,"0")+IFERROR(X24/H24,"0")+IFERROR(X25/H25,"0")+IFERROR(X26/H26,"0")</f>
        <v>0</v>
      </c>
      <c r="Y27" s="43">
        <f>IFERROR(Y22/H22,"0")+IFERROR(Y23/H23,"0")+IFERROR(Y24/H24,"0")+IFERROR(Y25/H25,"0")+IFERROR(Y26/H26,"0")</f>
        <v>0</v>
      </c>
      <c r="Z27" s="43">
        <f>IFERROR(IF(Z22="",0,Z22),"0")+IFERROR(IF(Z23="",0,Z23),"0")+IFERROR(IF(Z24="",0,Z24),"0")+IFERROR(IF(Z25="",0,Z25),"0")+IFERROR(IF(Z26="",0,Z26),"0")</f>
        <v>0</v>
      </c>
      <c r="AA27" s="67"/>
      <c r="AB27" s="67"/>
      <c r="AC27" s="67"/>
    </row>
    <row r="28" spans="1:68" hidden="1" x14ac:dyDescent="0.2">
      <c r="A28" s="656"/>
      <c r="B28" s="656"/>
      <c r="C28" s="656"/>
      <c r="D28" s="656"/>
      <c r="E28" s="656"/>
      <c r="F28" s="656"/>
      <c r="G28" s="656"/>
      <c r="H28" s="656"/>
      <c r="I28" s="656"/>
      <c r="J28" s="656"/>
      <c r="K28" s="656"/>
      <c r="L28" s="656"/>
      <c r="M28" s="656"/>
      <c r="N28" s="656"/>
      <c r="O28" s="657"/>
      <c r="P28" s="653" t="s">
        <v>40</v>
      </c>
      <c r="Q28" s="654"/>
      <c r="R28" s="654"/>
      <c r="S28" s="654"/>
      <c r="T28" s="654"/>
      <c r="U28" s="654"/>
      <c r="V28" s="655"/>
      <c r="W28" s="42" t="s">
        <v>0</v>
      </c>
      <c r="X28" s="43">
        <f>IFERROR(SUM(X22:X26),"0")</f>
        <v>0</v>
      </c>
      <c r="Y28" s="43">
        <f>IFERROR(SUM(Y22:Y26),"0")</f>
        <v>0</v>
      </c>
      <c r="Z28" s="42"/>
      <c r="AA28" s="67"/>
      <c r="AB28" s="67"/>
      <c r="AC28" s="67"/>
    </row>
    <row r="29" spans="1:68" ht="14.25" hidden="1" customHeight="1" x14ac:dyDescent="0.25">
      <c r="A29" s="648" t="s">
        <v>95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6"/>
      <c r="AB29" s="66"/>
      <c r="AC29" s="80"/>
    </row>
    <row r="30" spans="1:68" ht="27" hidden="1" customHeight="1" x14ac:dyDescent="0.25">
      <c r="A30" s="63" t="s">
        <v>96</v>
      </c>
      <c r="B30" s="63" t="s">
        <v>97</v>
      </c>
      <c r="C30" s="36">
        <v>4301032059</v>
      </c>
      <c r="D30" s="649">
        <v>4680115889262</v>
      </c>
      <c r="E30" s="649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93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103</v>
      </c>
      <c r="B31" s="63" t="s">
        <v>104</v>
      </c>
      <c r="C31" s="36">
        <v>4301032063</v>
      </c>
      <c r="D31" s="649">
        <v>4680115889040</v>
      </c>
      <c r="E31" s="649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93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47" t="s">
        <v>106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5"/>
      <c r="AB35" s="65"/>
      <c r="AC35" s="79"/>
    </row>
    <row r="36" spans="1:68" ht="14.25" hidden="1" customHeight="1" x14ac:dyDescent="0.25">
      <c r="A36" s="648" t="s">
        <v>77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6"/>
      <c r="AB36" s="66"/>
      <c r="AC36" s="80"/>
    </row>
    <row r="37" spans="1:68" ht="27" hidden="1" customHeight="1" x14ac:dyDescent="0.25">
      <c r="A37" s="63" t="s">
        <v>107</v>
      </c>
      <c r="B37" s="63" t="s">
        <v>108</v>
      </c>
      <c r="C37" s="36">
        <v>4301052187</v>
      </c>
      <c r="D37" s="649">
        <v>4680115889354</v>
      </c>
      <c r="E37" s="64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110</v>
      </c>
      <c r="B38" s="63" t="s">
        <v>111</v>
      </c>
      <c r="C38" s="36">
        <v>4301052198</v>
      </c>
      <c r="D38" s="649">
        <v>4680115888463</v>
      </c>
      <c r="E38" s="64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113</v>
      </c>
      <c r="B39" s="63" t="s">
        <v>114</v>
      </c>
      <c r="C39" s="36">
        <v>4301052259</v>
      </c>
      <c r="D39" s="649">
        <v>4680115889590</v>
      </c>
      <c r="E39" s="64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116</v>
      </c>
      <c r="B40" s="63" t="s">
        <v>117</v>
      </c>
      <c r="C40" s="36">
        <v>4301052184</v>
      </c>
      <c r="D40" s="649">
        <v>4680115888272</v>
      </c>
      <c r="E40" s="64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119</v>
      </c>
      <c r="B41" s="63" t="s">
        <v>120</v>
      </c>
      <c r="C41" s="36">
        <v>4301052188</v>
      </c>
      <c r="D41" s="649">
        <v>4680115888364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122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47" t="s">
        <v>123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5"/>
      <c r="AB45" s="65"/>
      <c r="AC45" s="79"/>
    </row>
    <row r="46" spans="1:68" ht="14.25" hidden="1" customHeight="1" x14ac:dyDescent="0.25">
      <c r="A46" s="648" t="s">
        <v>124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6"/>
      <c r="AB46" s="66"/>
      <c r="AC46" s="80"/>
    </row>
    <row r="47" spans="1:68" ht="16.5" hidden="1" customHeight="1" x14ac:dyDescent="0.25">
      <c r="A47" s="63" t="s">
        <v>125</v>
      </c>
      <c r="B47" s="63" t="s">
        <v>126</v>
      </c>
      <c r="C47" s="36">
        <v>4301011380</v>
      </c>
      <c r="D47" s="649">
        <v>4607091385670</v>
      </c>
      <c r="E47" s="64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130</v>
      </c>
      <c r="B48" s="63" t="s">
        <v>131</v>
      </c>
      <c r="C48" s="36">
        <v>4301012053</v>
      </c>
      <c r="D48" s="649">
        <v>4680115887725</v>
      </c>
      <c r="E48" s="64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135</v>
      </c>
      <c r="B49" s="63" t="s">
        <v>136</v>
      </c>
      <c r="C49" s="36">
        <v>4301011382</v>
      </c>
      <c r="D49" s="649">
        <v>4607091385687</v>
      </c>
      <c r="E49" s="64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138</v>
      </c>
      <c r="B50" s="63" t="s">
        <v>139</v>
      </c>
      <c r="C50" s="36">
        <v>4301011565</v>
      </c>
      <c r="D50" s="649">
        <v>4680115882539</v>
      </c>
      <c r="E50" s="64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47" t="s">
        <v>140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5"/>
      <c r="AB53" s="65"/>
      <c r="AC53" s="79"/>
    </row>
    <row r="54" spans="1:68" ht="14.25" hidden="1" customHeight="1" x14ac:dyDescent="0.25">
      <c r="A54" s="648" t="s">
        <v>124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6"/>
      <c r="AB54" s="66"/>
      <c r="AC54" s="80"/>
    </row>
    <row r="55" spans="1:68" ht="27" hidden="1" customHeight="1" x14ac:dyDescent="0.25">
      <c r="A55" s="63" t="s">
        <v>141</v>
      </c>
      <c r="B55" s="63" t="s">
        <v>142</v>
      </c>
      <c r="C55" s="36">
        <v>4301012161</v>
      </c>
      <c r="D55" s="649">
        <v>4680115885882</v>
      </c>
      <c r="E55" s="64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144</v>
      </c>
      <c r="B56" s="63" t="s">
        <v>145</v>
      </c>
      <c r="C56" s="36">
        <v>4301011816</v>
      </c>
      <c r="D56" s="649">
        <v>4680115881426</v>
      </c>
      <c r="E56" s="64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9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37.5" hidden="1" customHeight="1" x14ac:dyDescent="0.25">
      <c r="A57" s="63" t="s">
        <v>144</v>
      </c>
      <c r="B57" s="63" t="s">
        <v>147</v>
      </c>
      <c r="C57" s="36">
        <v>4301012162</v>
      </c>
      <c r="D57" s="649">
        <v>4680115881426</v>
      </c>
      <c r="E57" s="64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91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1"/>
      <c r="R57" s="651"/>
      <c r="S57" s="651"/>
      <c r="T57" s="65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149</v>
      </c>
      <c r="B58" s="63" t="s">
        <v>150</v>
      </c>
      <c r="C58" s="36">
        <v>4301012259</v>
      </c>
      <c r="D58" s="649">
        <v>4680115880283</v>
      </c>
      <c r="E58" s="64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1"/>
      <c r="R58" s="651"/>
      <c r="S58" s="651"/>
      <c r="T58" s="65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152</v>
      </c>
      <c r="B59" s="63" t="s">
        <v>153</v>
      </c>
      <c r="C59" s="36">
        <v>4301011806</v>
      </c>
      <c r="D59" s="649">
        <v>4680115881525</v>
      </c>
      <c r="E59" s="64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155</v>
      </c>
      <c r="C60" s="36">
        <v>4301012159</v>
      </c>
      <c r="D60" s="649">
        <v>4680115881525</v>
      </c>
      <c r="E60" s="649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92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157</v>
      </c>
      <c r="B61" s="63" t="s">
        <v>158</v>
      </c>
      <c r="C61" s="36">
        <v>4301012165</v>
      </c>
      <c r="D61" s="649">
        <v>4680115885899</v>
      </c>
      <c r="E61" s="649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92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159</v>
      </c>
      <c r="B62" s="63" t="s">
        <v>160</v>
      </c>
      <c r="C62" s="36">
        <v>4301012158</v>
      </c>
      <c r="D62" s="649">
        <v>4680115881419</v>
      </c>
      <c r="E62" s="649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92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48" t="s">
        <v>161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6"/>
      <c r="AB65" s="66"/>
      <c r="AC65" s="80"/>
    </row>
    <row r="66" spans="1:68" ht="27" hidden="1" customHeight="1" x14ac:dyDescent="0.25">
      <c r="A66" s="63" t="s">
        <v>162</v>
      </c>
      <c r="B66" s="63" t="s">
        <v>163</v>
      </c>
      <c r="C66" s="36">
        <v>4301020390</v>
      </c>
      <c r="D66" s="649">
        <v>4680115881440</v>
      </c>
      <c r="E66" s="649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92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165</v>
      </c>
      <c r="B67" s="63" t="s">
        <v>166</v>
      </c>
      <c r="C67" s="36">
        <v>4301020403</v>
      </c>
      <c r="D67" s="649">
        <v>4680115885950</v>
      </c>
      <c r="E67" s="649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51"/>
      <c r="R67" s="651"/>
      <c r="S67" s="651"/>
      <c r="T67" s="65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168</v>
      </c>
      <c r="B68" s="63" t="s">
        <v>169</v>
      </c>
      <c r="C68" s="36">
        <v>4301020371</v>
      </c>
      <c r="D68" s="649">
        <v>4680115887688</v>
      </c>
      <c r="E68" s="649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1"/>
      <c r="R68" s="651"/>
      <c r="S68" s="651"/>
      <c r="T68" s="65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171</v>
      </c>
      <c r="B69" s="63" t="s">
        <v>172</v>
      </c>
      <c r="C69" s="36">
        <v>4301020389</v>
      </c>
      <c r="D69" s="649">
        <v>4680115881433</v>
      </c>
      <c r="E69" s="649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51"/>
      <c r="R69" s="651"/>
      <c r="S69" s="651"/>
      <c r="T69" s="652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6"/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7"/>
      <c r="P71" s="653" t="s">
        <v>40</v>
      </c>
      <c r="Q71" s="654"/>
      <c r="R71" s="654"/>
      <c r="S71" s="654"/>
      <c r="T71" s="654"/>
      <c r="U71" s="654"/>
      <c r="V71" s="655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48" t="s">
        <v>77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6"/>
      <c r="AB72" s="66"/>
      <c r="AC72" s="80"/>
    </row>
    <row r="73" spans="1:68" ht="16.5" hidden="1" customHeight="1" x14ac:dyDescent="0.25">
      <c r="A73" s="63" t="s">
        <v>173</v>
      </c>
      <c r="B73" s="63" t="s">
        <v>174</v>
      </c>
      <c r="C73" s="36">
        <v>4301051837</v>
      </c>
      <c r="D73" s="649">
        <v>4680115884311</v>
      </c>
      <c r="E73" s="64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176</v>
      </c>
      <c r="B74" s="63" t="s">
        <v>177</v>
      </c>
      <c r="C74" s="36">
        <v>4301052083</v>
      </c>
      <c r="D74" s="649">
        <v>4680115884403</v>
      </c>
      <c r="E74" s="64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48" t="s">
        <v>179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6"/>
      <c r="AB77" s="66"/>
      <c r="AC77" s="80"/>
    </row>
    <row r="78" spans="1:68" ht="27" hidden="1" customHeight="1" x14ac:dyDescent="0.25">
      <c r="A78" s="63" t="s">
        <v>180</v>
      </c>
      <c r="B78" s="63" t="s">
        <v>181</v>
      </c>
      <c r="C78" s="36">
        <v>4301060455</v>
      </c>
      <c r="D78" s="649">
        <v>4680115881532</v>
      </c>
      <c r="E78" s="64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180</v>
      </c>
      <c r="B79" s="63" t="s">
        <v>183</v>
      </c>
      <c r="C79" s="36">
        <v>4301060526</v>
      </c>
      <c r="D79" s="649">
        <v>4680115881532</v>
      </c>
      <c r="E79" s="64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90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184</v>
      </c>
      <c r="B80" s="63" t="s">
        <v>185</v>
      </c>
      <c r="C80" s="36">
        <v>4301060527</v>
      </c>
      <c r="D80" s="649">
        <v>4680115881464</v>
      </c>
      <c r="E80" s="64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90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47" t="s">
        <v>187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5"/>
      <c r="AB83" s="65"/>
      <c r="AC83" s="79"/>
    </row>
    <row r="84" spans="1:68" ht="14.25" hidden="1" customHeight="1" x14ac:dyDescent="0.25">
      <c r="A84" s="648" t="s">
        <v>124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6"/>
      <c r="AB84" s="66"/>
      <c r="AC84" s="80"/>
    </row>
    <row r="85" spans="1:68" ht="27" customHeight="1" x14ac:dyDescent="0.25">
      <c r="A85" s="63" t="s">
        <v>188</v>
      </c>
      <c r="B85" s="63" t="s">
        <v>189</v>
      </c>
      <c r="C85" s="36">
        <v>4301011468</v>
      </c>
      <c r="D85" s="649">
        <v>4680115881327</v>
      </c>
      <c r="E85" s="64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9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9" t="s">
        <v>46</v>
      </c>
      <c r="V85" s="39" t="s">
        <v>46</v>
      </c>
      <c r="W85" s="40" t="s">
        <v>0</v>
      </c>
      <c r="X85" s="58">
        <v>100</v>
      </c>
      <c r="Y85" s="55">
        <f t="shared" ref="Y85:Y90" si="5"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103.79629629629629</v>
      </c>
      <c r="BN85" s="78">
        <f t="shared" ref="BN85:BN90" si="7">IFERROR(Y85*I85/H85,"0")</f>
        <v>112.1</v>
      </c>
      <c r="BO85" s="78">
        <f t="shared" ref="BO85:BO90" si="8">IFERROR(1/J85*(X85/H85),"0")</f>
        <v>0.14467592592592593</v>
      </c>
      <c r="BP85" s="78">
        <f t="shared" ref="BP85:BP90" si="9">IFERROR(1/J85*(Y85/H85),"0")</f>
        <v>0.15625</v>
      </c>
    </row>
    <row r="86" spans="1:68" ht="27" hidden="1" customHeight="1" x14ac:dyDescent="0.25">
      <c r="A86" s="63" t="s">
        <v>188</v>
      </c>
      <c r="B86" s="63" t="s">
        <v>191</v>
      </c>
      <c r="C86" s="36">
        <v>4301012251</v>
      </c>
      <c r="D86" s="649">
        <v>4680115881327</v>
      </c>
      <c r="E86" s="649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91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51"/>
      <c r="R86" s="651"/>
      <c r="S86" s="651"/>
      <c r="T86" s="65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192</v>
      </c>
      <c r="B87" s="63" t="s">
        <v>193</v>
      </c>
      <c r="C87" s="36">
        <v>4301012392</v>
      </c>
      <c r="D87" s="649">
        <v>4680115887732</v>
      </c>
      <c r="E87" s="64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91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195</v>
      </c>
      <c r="B88" s="63" t="s">
        <v>196</v>
      </c>
      <c r="C88" s="36">
        <v>4301011476</v>
      </c>
      <c r="D88" s="649">
        <v>4680115881518</v>
      </c>
      <c r="E88" s="64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195</v>
      </c>
      <c r="B89" s="63" t="s">
        <v>197</v>
      </c>
      <c r="C89" s="36">
        <v>4301012252</v>
      </c>
      <c r="D89" s="649">
        <v>4680115881518</v>
      </c>
      <c r="E89" s="64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198</v>
      </c>
      <c r="B90" s="63" t="s">
        <v>199</v>
      </c>
      <c r="C90" s="36">
        <v>4301012250</v>
      </c>
      <c r="D90" s="649">
        <v>4680115881303</v>
      </c>
      <c r="E90" s="64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39</v>
      </c>
      <c r="X91" s="43">
        <f>IFERROR(X85/H85,"0")+IFERROR(X86/H86,"0")+IFERROR(X87/H87,"0")+IFERROR(X88/H88,"0")+IFERROR(X89/H89,"0")+IFERROR(X90/H90,"0")</f>
        <v>9.2592592592592595</v>
      </c>
      <c r="Y91" s="43">
        <f>IFERROR(Y85/H85,"0")+IFERROR(Y86/H86,"0")+IFERROR(Y87/H87,"0")+IFERROR(Y88/H88,"0")+IFERROR(Y89/H89,"0")+IFERROR(Y90/H90,"0")</f>
        <v>10</v>
      </c>
      <c r="Z91" s="43">
        <f>IFERROR(IF(Z85="",0,Z85),"0")+IFERROR(IF(Z86="",0,Z86),"0")+IFERROR(IF(Z87="",0,Z87),"0")+IFERROR(IF(Z88="",0,Z88),"0")+IFERROR(IF(Z89="",0,Z89),"0")+IFERROR(IF(Z90="",0,Z90),"0")</f>
        <v>0.1898</v>
      </c>
      <c r="AA91" s="67"/>
      <c r="AB91" s="67"/>
      <c r="AC91" s="67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0</v>
      </c>
      <c r="X92" s="43">
        <f>IFERROR(SUM(X85:X90),"0")</f>
        <v>100</v>
      </c>
      <c r="Y92" s="43">
        <f>IFERROR(SUM(Y85:Y90),"0")</f>
        <v>108</v>
      </c>
      <c r="Z92" s="42"/>
      <c r="AA92" s="67"/>
      <c r="AB92" s="67"/>
      <c r="AC92" s="67"/>
    </row>
    <row r="93" spans="1:68" ht="14.25" hidden="1" customHeight="1" x14ac:dyDescent="0.25">
      <c r="A93" s="648" t="s">
        <v>77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6"/>
      <c r="AB93" s="66"/>
      <c r="AC93" s="80"/>
    </row>
    <row r="94" spans="1:68" ht="27" hidden="1" customHeight="1" x14ac:dyDescent="0.25">
      <c r="A94" s="63" t="s">
        <v>200</v>
      </c>
      <c r="B94" s="63" t="s">
        <v>201</v>
      </c>
      <c r="C94" s="36">
        <v>4301052101</v>
      </c>
      <c r="D94" s="649">
        <v>4607091386967</v>
      </c>
      <c r="E94" s="64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1"/>
      <c r="R94" s="651"/>
      <c r="S94" s="651"/>
      <c r="T94" s="65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203</v>
      </c>
      <c r="B95" s="63" t="s">
        <v>204</v>
      </c>
      <c r="C95" s="36">
        <v>4301052090</v>
      </c>
      <c r="D95" s="649">
        <v>4680115884953</v>
      </c>
      <c r="E95" s="64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206</v>
      </c>
      <c r="B96" s="63" t="s">
        <v>207</v>
      </c>
      <c r="C96" s="36">
        <v>4301052094</v>
      </c>
      <c r="D96" s="649">
        <v>4607091385731</v>
      </c>
      <c r="E96" s="64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208</v>
      </c>
      <c r="B97" s="63" t="s">
        <v>209</v>
      </c>
      <c r="C97" s="36">
        <v>4301052092</v>
      </c>
      <c r="D97" s="649">
        <v>4680115880894</v>
      </c>
      <c r="E97" s="64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647" t="s">
        <v>211</v>
      </c>
      <c r="B100" s="647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  <c r="Y100" s="647"/>
      <c r="Z100" s="647"/>
      <c r="AA100" s="65"/>
      <c r="AB100" s="65"/>
      <c r="AC100" s="79"/>
    </row>
    <row r="101" spans="1:68" ht="14.25" hidden="1" customHeight="1" x14ac:dyDescent="0.25">
      <c r="A101" s="648" t="s">
        <v>124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6"/>
      <c r="AB101" s="66"/>
      <c r="AC101" s="80"/>
    </row>
    <row r="102" spans="1:68" ht="37.5" hidden="1" customHeight="1" x14ac:dyDescent="0.25">
      <c r="A102" s="63" t="s">
        <v>212</v>
      </c>
      <c r="B102" s="63" t="s">
        <v>213</v>
      </c>
      <c r="C102" s="36">
        <v>4301011514</v>
      </c>
      <c r="D102" s="649">
        <v>4680115882133</v>
      </c>
      <c r="E102" s="64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1"/>
      <c r="R102" s="651"/>
      <c r="S102" s="651"/>
      <c r="T102" s="65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0</v>
      </c>
      <c r="BN102" s="78">
        <f t="shared" ref="BN102:BN108" si="12">IFERROR(Y102*I102/H102,"0")</f>
        <v>0</v>
      </c>
      <c r="BO102" s="78">
        <f t="shared" ref="BO102:BO108" si="13">IFERROR(1/J102*(X102/H102),"0")</f>
        <v>0</v>
      </c>
      <c r="BP102" s="78">
        <f t="shared" ref="BP102:BP108" si="14">IFERROR(1/J102*(Y102/H102),"0")</f>
        <v>0</v>
      </c>
    </row>
    <row r="103" spans="1:68" ht="27" hidden="1" customHeight="1" x14ac:dyDescent="0.25">
      <c r="A103" s="63" t="s">
        <v>212</v>
      </c>
      <c r="B103" s="63" t="s">
        <v>215</v>
      </c>
      <c r="C103" s="36">
        <v>4301012256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217</v>
      </c>
      <c r="B104" s="63" t="s">
        <v>218</v>
      </c>
      <c r="C104" s="36">
        <v>4301012379</v>
      </c>
      <c r="D104" s="649">
        <v>4680115887718</v>
      </c>
      <c r="E104" s="649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220</v>
      </c>
      <c r="B105" s="63" t="s">
        <v>221</v>
      </c>
      <c r="C105" s="36">
        <v>4301012253</v>
      </c>
      <c r="D105" s="649">
        <v>4680115880269</v>
      </c>
      <c r="E105" s="649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222</v>
      </c>
      <c r="B106" s="63" t="s">
        <v>223</v>
      </c>
      <c r="C106" s="36">
        <v>4301012254</v>
      </c>
      <c r="D106" s="649">
        <v>4680115880429</v>
      </c>
      <c r="E106" s="649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89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224</v>
      </c>
      <c r="B107" s="63" t="s">
        <v>225</v>
      </c>
      <c r="C107" s="36">
        <v>4301012255</v>
      </c>
      <c r="D107" s="649">
        <v>4680115881457</v>
      </c>
      <c r="E107" s="64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89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226</v>
      </c>
      <c r="B108" s="63" t="s">
        <v>227</v>
      </c>
      <c r="C108" s="36">
        <v>4301012366</v>
      </c>
      <c r="D108" s="649">
        <v>4680115889477</v>
      </c>
      <c r="E108" s="64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8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idden="1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2" t="s">
        <v>39</v>
      </c>
      <c r="X109" s="43">
        <f>IFERROR(X102/H102,"0")+IFERROR(X103/H103,"0")+IFERROR(X104/H104,"0")+IFERROR(X105/H105,"0")+IFERROR(X106/H106,"0")+IFERROR(X107/H107,"0")+IFERROR(X108/H108,"0")</f>
        <v>0</v>
      </c>
      <c r="Y109" s="43">
        <f>IFERROR(Y102/H102,"0")+IFERROR(Y103/H103,"0")+IFERROR(Y104/H104,"0")+IFERROR(Y105/H105,"0")+IFERROR(Y106/H106,"0")+IFERROR(Y107/H107,"0")+IFERROR(Y108/H108,"0")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2" t="s">
        <v>0</v>
      </c>
      <c r="X110" s="43">
        <f>IFERROR(SUM(X102:X108),"0")</f>
        <v>0</v>
      </c>
      <c r="Y110" s="43">
        <f>IFERROR(SUM(Y102:Y108),"0")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48" t="s">
        <v>161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6"/>
      <c r="AB111" s="66"/>
      <c r="AC111" s="80"/>
    </row>
    <row r="112" spans="1:68" ht="27" hidden="1" customHeight="1" x14ac:dyDescent="0.25">
      <c r="A112" s="63" t="s">
        <v>229</v>
      </c>
      <c r="B112" s="63" t="s">
        <v>230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232</v>
      </c>
      <c r="B113" s="63" t="s">
        <v>233</v>
      </c>
      <c r="C113" s="36">
        <v>4301020393</v>
      </c>
      <c r="D113" s="649">
        <v>4680115882775</v>
      </c>
      <c r="E113" s="649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235</v>
      </c>
      <c r="B114" s="63" t="s">
        <v>236</v>
      </c>
      <c r="C114" s="36">
        <v>4301020392</v>
      </c>
      <c r="D114" s="649">
        <v>4680115880658</v>
      </c>
      <c r="E114" s="649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656"/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7"/>
      <c r="P115" s="653" t="s">
        <v>40</v>
      </c>
      <c r="Q115" s="654"/>
      <c r="R115" s="654"/>
      <c r="S115" s="654"/>
      <c r="T115" s="654"/>
      <c r="U115" s="654"/>
      <c r="V115" s="655"/>
      <c r="W115" s="42" t="s">
        <v>39</v>
      </c>
      <c r="X115" s="43">
        <f>IFERROR(X112/H112,"0")+IFERROR(X113/H113,"0")+IFERROR(X114/H114,"0")</f>
        <v>0</v>
      </c>
      <c r="Y115" s="43">
        <f>IFERROR(Y112/H112,"0")+IFERROR(Y113/H113,"0")+IFERROR(Y114/H114,"0")</f>
        <v>0</v>
      </c>
      <c r="Z115" s="43">
        <f>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656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53" t="s">
        <v>40</v>
      </c>
      <c r="Q116" s="654"/>
      <c r="R116" s="654"/>
      <c r="S116" s="654"/>
      <c r="T116" s="654"/>
      <c r="U116" s="654"/>
      <c r="V116" s="655"/>
      <c r="W116" s="42" t="s">
        <v>0</v>
      </c>
      <c r="X116" s="43">
        <f>IFERROR(SUM(X112:X114),"0")</f>
        <v>0</v>
      </c>
      <c r="Y116" s="43">
        <f>IFERROR(SUM(Y112:Y114),"0")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648" t="s">
        <v>77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6"/>
      <c r="AB117" s="66"/>
      <c r="AC117" s="80"/>
    </row>
    <row r="118" spans="1:68" ht="27" hidden="1" customHeight="1" x14ac:dyDescent="0.25">
      <c r="A118" s="63" t="s">
        <v>237</v>
      </c>
      <c r="B118" s="63" t="s">
        <v>238</v>
      </c>
      <c r="C118" s="36">
        <v>4301052088</v>
      </c>
      <c r="D118" s="649">
        <v>4607091385168</v>
      </c>
      <c r="E118" s="649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8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51"/>
      <c r="R118" s="651"/>
      <c r="S118" s="651"/>
      <c r="T118" s="652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IFERROR(IF(Y118=0,"",ROUNDUP(Y118/H118,0)*0.01898),"")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4301052087</v>
      </c>
      <c r="D119" s="649">
        <v>4607091383256</v>
      </c>
      <c r="E119" s="649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51"/>
      <c r="R119" s="651"/>
      <c r="S119" s="651"/>
      <c r="T119" s="65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242</v>
      </c>
      <c r="B120" s="63" t="s">
        <v>243</v>
      </c>
      <c r="C120" s="36">
        <v>4301052086</v>
      </c>
      <c r="D120" s="649">
        <v>4607091385748</v>
      </c>
      <c r="E120" s="649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16.5" hidden="1" customHeight="1" x14ac:dyDescent="0.25">
      <c r="A121" s="63" t="s">
        <v>244</v>
      </c>
      <c r="B121" s="63" t="s">
        <v>245</v>
      </c>
      <c r="C121" s="36">
        <v>4301052085</v>
      </c>
      <c r="D121" s="649">
        <v>4680115884533</v>
      </c>
      <c r="E121" s="649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idden="1" x14ac:dyDescent="0.2">
      <c r="A122" s="656"/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7"/>
      <c r="P122" s="653" t="s">
        <v>40</v>
      </c>
      <c r="Q122" s="654"/>
      <c r="R122" s="654"/>
      <c r="S122" s="654"/>
      <c r="T122" s="654"/>
      <c r="U122" s="654"/>
      <c r="V122" s="655"/>
      <c r="W122" s="42" t="s">
        <v>39</v>
      </c>
      <c r="X122" s="43">
        <f>IFERROR(X118/H118,"0")+IFERROR(X119/H119,"0")+IFERROR(X120/H120,"0")+IFERROR(X121/H121,"0")</f>
        <v>0</v>
      </c>
      <c r="Y122" s="43">
        <f>IFERROR(Y118/H118,"0")+IFERROR(Y119/H119,"0")+IFERROR(Y120/H120,"0")+IFERROR(Y121/H121,"0")</f>
        <v>0</v>
      </c>
      <c r="Z122" s="43">
        <f>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hidden="1" x14ac:dyDescent="0.2">
      <c r="A123" s="656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53" t="s">
        <v>40</v>
      </c>
      <c r="Q123" s="654"/>
      <c r="R123" s="654"/>
      <c r="S123" s="654"/>
      <c r="T123" s="654"/>
      <c r="U123" s="654"/>
      <c r="V123" s="655"/>
      <c r="W123" s="42" t="s">
        <v>0</v>
      </c>
      <c r="X123" s="43">
        <f>IFERROR(SUM(X118:X121),"0")</f>
        <v>0</v>
      </c>
      <c r="Y123" s="43">
        <f>IFERROR(SUM(Y118:Y121),"0")</f>
        <v>0</v>
      </c>
      <c r="Z123" s="42"/>
      <c r="AA123" s="67"/>
      <c r="AB123" s="67"/>
      <c r="AC123" s="67"/>
    </row>
    <row r="124" spans="1:68" ht="14.25" hidden="1" customHeight="1" x14ac:dyDescent="0.25">
      <c r="A124" s="648" t="s">
        <v>179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6"/>
      <c r="AB124" s="66"/>
      <c r="AC124" s="80"/>
    </row>
    <row r="125" spans="1:68" ht="16.5" hidden="1" customHeight="1" x14ac:dyDescent="0.25">
      <c r="A125" s="63" t="s">
        <v>247</v>
      </c>
      <c r="B125" s="63" t="s">
        <v>248</v>
      </c>
      <c r="C125" s="36">
        <v>4301060525</v>
      </c>
      <c r="D125" s="649">
        <v>4680115880238</v>
      </c>
      <c r="E125" s="649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8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51"/>
      <c r="R125" s="651"/>
      <c r="S125" s="651"/>
      <c r="T125" s="65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656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53" t="s">
        <v>40</v>
      </c>
      <c r="Q127" s="654"/>
      <c r="R127" s="654"/>
      <c r="S127" s="654"/>
      <c r="T127" s="654"/>
      <c r="U127" s="654"/>
      <c r="V127" s="655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647" t="s">
        <v>250</v>
      </c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  <c r="Y128" s="647"/>
      <c r="Z128" s="647"/>
      <c r="AA128" s="65"/>
      <c r="AB128" s="65"/>
      <c r="AC128" s="79"/>
    </row>
    <row r="129" spans="1:68" ht="14.25" hidden="1" customHeight="1" x14ac:dyDescent="0.25">
      <c r="A129" s="648" t="s">
        <v>124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6"/>
      <c r="AB129" s="66"/>
      <c r="AC129" s="80"/>
    </row>
    <row r="130" spans="1:68" ht="27" hidden="1" customHeight="1" x14ac:dyDescent="0.25">
      <c r="A130" s="63" t="s">
        <v>251</v>
      </c>
      <c r="B130" s="63" t="s">
        <v>252</v>
      </c>
      <c r="C130" s="36">
        <v>4301011562</v>
      </c>
      <c r="D130" s="649">
        <v>4680115882577</v>
      </c>
      <c r="E130" s="64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1"/>
      <c r="R130" s="651"/>
      <c r="S130" s="651"/>
      <c r="T130" s="65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251</v>
      </c>
      <c r="B131" s="63" t="s">
        <v>255</v>
      </c>
      <c r="C131" s="36">
        <v>4301011564</v>
      </c>
      <c r="D131" s="649">
        <v>4680115882577</v>
      </c>
      <c r="E131" s="64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1"/>
      <c r="R131" s="651"/>
      <c r="S131" s="651"/>
      <c r="T131" s="65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6"/>
      <c r="B132" s="656"/>
      <c r="C132" s="656"/>
      <c r="D132" s="656"/>
      <c r="E132" s="656"/>
      <c r="F132" s="656"/>
      <c r="G132" s="656"/>
      <c r="H132" s="656"/>
      <c r="I132" s="656"/>
      <c r="J132" s="656"/>
      <c r="K132" s="656"/>
      <c r="L132" s="656"/>
      <c r="M132" s="656"/>
      <c r="N132" s="656"/>
      <c r="O132" s="657"/>
      <c r="P132" s="653" t="s">
        <v>40</v>
      </c>
      <c r="Q132" s="654"/>
      <c r="R132" s="654"/>
      <c r="S132" s="654"/>
      <c r="T132" s="654"/>
      <c r="U132" s="654"/>
      <c r="V132" s="655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656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53" t="s">
        <v>40</v>
      </c>
      <c r="Q133" s="654"/>
      <c r="R133" s="654"/>
      <c r="S133" s="654"/>
      <c r="T133" s="654"/>
      <c r="U133" s="654"/>
      <c r="V133" s="655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48" t="s">
        <v>256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4301031234</v>
      </c>
      <c r="D135" s="649">
        <v>4680115883444</v>
      </c>
      <c r="E135" s="64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4301031235</v>
      </c>
      <c r="D136" s="649">
        <v>4680115883444</v>
      </c>
      <c r="E136" s="64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8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1"/>
      <c r="R136" s="651"/>
      <c r="S136" s="651"/>
      <c r="T136" s="65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56"/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7"/>
      <c r="P137" s="653" t="s">
        <v>40</v>
      </c>
      <c r="Q137" s="654"/>
      <c r="R137" s="654"/>
      <c r="S137" s="654"/>
      <c r="T137" s="654"/>
      <c r="U137" s="654"/>
      <c r="V137" s="655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56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53" t="s">
        <v>40</v>
      </c>
      <c r="Q138" s="654"/>
      <c r="R138" s="654"/>
      <c r="S138" s="654"/>
      <c r="T138" s="654"/>
      <c r="U138" s="654"/>
      <c r="V138" s="655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48" t="s">
        <v>77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6"/>
      <c r="AB139" s="66"/>
      <c r="AC139" s="80"/>
    </row>
    <row r="140" spans="1:68" ht="16.5" hidden="1" customHeight="1" x14ac:dyDescent="0.25">
      <c r="A140" s="63" t="s">
        <v>261</v>
      </c>
      <c r="B140" s="63" t="s">
        <v>262</v>
      </c>
      <c r="C140" s="36">
        <v>4301051476</v>
      </c>
      <c r="D140" s="649">
        <v>4680115882584</v>
      </c>
      <c r="E140" s="649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8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hidden="1" customHeight="1" x14ac:dyDescent="0.25">
      <c r="A141" s="63" t="s">
        <v>261</v>
      </c>
      <c r="B141" s="63" t="s">
        <v>263</v>
      </c>
      <c r="C141" s="36">
        <v>4301051477</v>
      </c>
      <c r="D141" s="649">
        <v>4680115882584</v>
      </c>
      <c r="E141" s="64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56"/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7"/>
      <c r="P142" s="653" t="s">
        <v>40</v>
      </c>
      <c r="Q142" s="654"/>
      <c r="R142" s="654"/>
      <c r="S142" s="654"/>
      <c r="T142" s="654"/>
      <c r="U142" s="654"/>
      <c r="V142" s="65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56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53" t="s">
        <v>40</v>
      </c>
      <c r="Q143" s="654"/>
      <c r="R143" s="654"/>
      <c r="S143" s="654"/>
      <c r="T143" s="654"/>
      <c r="U143" s="654"/>
      <c r="V143" s="65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hidden="1" customHeight="1" x14ac:dyDescent="0.25">
      <c r="A144" s="647" t="s">
        <v>264</v>
      </c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5"/>
      <c r="AB144" s="65"/>
      <c r="AC144" s="79"/>
    </row>
    <row r="145" spans="1:68" ht="14.25" hidden="1" customHeight="1" x14ac:dyDescent="0.25">
      <c r="A145" s="648" t="s">
        <v>77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6"/>
      <c r="AB145" s="66"/>
      <c r="AC145" s="80"/>
    </row>
    <row r="146" spans="1:68" ht="27" hidden="1" customHeight="1" x14ac:dyDescent="0.25">
      <c r="A146" s="63" t="s">
        <v>265</v>
      </c>
      <c r="B146" s="63" t="s">
        <v>266</v>
      </c>
      <c r="C146" s="36">
        <v>4301052254</v>
      </c>
      <c r="D146" s="649">
        <v>4680115888203</v>
      </c>
      <c r="E146" s="649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268</v>
      </c>
      <c r="B147" s="63" t="s">
        <v>269</v>
      </c>
      <c r="C147" s="36">
        <v>4301052252</v>
      </c>
      <c r="D147" s="649">
        <v>4680115888180</v>
      </c>
      <c r="E147" s="64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8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271</v>
      </c>
      <c r="B148" s="63" t="s">
        <v>272</v>
      </c>
      <c r="C148" s="36">
        <v>4301052253</v>
      </c>
      <c r="D148" s="649">
        <v>4680115888197</v>
      </c>
      <c r="E148" s="64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274</v>
      </c>
      <c r="B149" s="63" t="s">
        <v>275</v>
      </c>
      <c r="C149" s="36">
        <v>4301052255</v>
      </c>
      <c r="D149" s="649">
        <v>4680115888210</v>
      </c>
      <c r="E149" s="64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hidden="1" customHeight="1" x14ac:dyDescent="0.25">
      <c r="A152" s="648" t="s">
        <v>95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6"/>
      <c r="AB152" s="66"/>
      <c r="AC152" s="80"/>
    </row>
    <row r="153" spans="1:68" ht="27" hidden="1" customHeight="1" x14ac:dyDescent="0.25">
      <c r="A153" s="63" t="s">
        <v>277</v>
      </c>
      <c r="B153" s="63" t="s">
        <v>278</v>
      </c>
      <c r="C153" s="36">
        <v>4301032067</v>
      </c>
      <c r="D153" s="649">
        <v>4680115889132</v>
      </c>
      <c r="E153" s="649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51"/>
      <c r="R153" s="651"/>
      <c r="S153" s="651"/>
      <c r="T153" s="65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47" t="s">
        <v>122</v>
      </c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  <c r="Y156" s="647"/>
      <c r="Z156" s="647"/>
      <c r="AA156" s="65"/>
      <c r="AB156" s="65"/>
      <c r="AC156" s="79"/>
    </row>
    <row r="157" spans="1:68" ht="14.25" hidden="1" customHeight="1" x14ac:dyDescent="0.25">
      <c r="A157" s="648" t="s">
        <v>124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6"/>
      <c r="AB157" s="66"/>
      <c r="AC157" s="80"/>
    </row>
    <row r="158" spans="1:68" ht="27" hidden="1" customHeight="1" x14ac:dyDescent="0.25">
      <c r="A158" s="63" t="s">
        <v>280</v>
      </c>
      <c r="B158" s="63" t="s">
        <v>281</v>
      </c>
      <c r="C158" s="36">
        <v>4301012338</v>
      </c>
      <c r="D158" s="649">
        <v>4680115887374</v>
      </c>
      <c r="E158" s="649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51"/>
      <c r="R158" s="651"/>
      <c r="S158" s="651"/>
      <c r="T158" s="65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283</v>
      </c>
      <c r="B159" s="63" t="s">
        <v>284</v>
      </c>
      <c r="C159" s="36">
        <v>4301011705</v>
      </c>
      <c r="D159" s="649">
        <v>4607091384604</v>
      </c>
      <c r="E159" s="64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51"/>
      <c r="R159" s="651"/>
      <c r="S159" s="651"/>
      <c r="T159" s="65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283</v>
      </c>
      <c r="B160" s="63" t="s">
        <v>286</v>
      </c>
      <c r="C160" s="36">
        <v>4301012258</v>
      </c>
      <c r="D160" s="649">
        <v>4607091384604</v>
      </c>
      <c r="E160" s="64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87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51"/>
      <c r="R160" s="651"/>
      <c r="S160" s="651"/>
      <c r="T160" s="65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hidden="1" customHeight="1" x14ac:dyDescent="0.25">
      <c r="A161" s="63" t="s">
        <v>287</v>
      </c>
      <c r="B161" s="63" t="s">
        <v>288</v>
      </c>
      <c r="C161" s="36">
        <v>4301012344</v>
      </c>
      <c r="D161" s="649">
        <v>4680115888876</v>
      </c>
      <c r="E161" s="649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8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hidden="1" x14ac:dyDescent="0.2">
      <c r="A163" s="656"/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7"/>
      <c r="P163" s="653" t="s">
        <v>40</v>
      </c>
      <c r="Q163" s="654"/>
      <c r="R163" s="654"/>
      <c r="S163" s="654"/>
      <c r="T163" s="654"/>
      <c r="U163" s="654"/>
      <c r="V163" s="65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hidden="1" customHeight="1" x14ac:dyDescent="0.25">
      <c r="A164" s="648" t="s">
        <v>161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6"/>
      <c r="AB164" s="66"/>
      <c r="AC164" s="80"/>
    </row>
    <row r="165" spans="1:68" ht="16.5" hidden="1" customHeight="1" x14ac:dyDescent="0.25">
      <c r="A165" s="63" t="s">
        <v>290</v>
      </c>
      <c r="B165" s="63" t="s">
        <v>291</v>
      </c>
      <c r="C165" s="36">
        <v>4301020410</v>
      </c>
      <c r="D165" s="649">
        <v>4680115887695</v>
      </c>
      <c r="E165" s="649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51"/>
      <c r="R165" s="651"/>
      <c r="S165" s="651"/>
      <c r="T165" s="65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4301020439</v>
      </c>
      <c r="D166" s="649">
        <v>4680115889491</v>
      </c>
      <c r="E166" s="649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IFERROR(X165/H165,"0")+IFERROR(X166/H166,"0")</f>
        <v>0</v>
      </c>
      <c r="Y167" s="43">
        <f>IFERROR(Y165/H165,"0")+IFERROR(Y166/H166,"0")</f>
        <v>0</v>
      </c>
      <c r="Z167" s="43">
        <f>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IFERROR(SUM(X165:X166),"0")</f>
        <v>0</v>
      </c>
      <c r="Y168" s="43">
        <f>IFERROR(SUM(Y165:Y166),"0")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48" t="s">
        <v>256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6"/>
      <c r="AB169" s="66"/>
      <c r="AC169" s="80"/>
    </row>
    <row r="170" spans="1:68" ht="27" hidden="1" customHeight="1" x14ac:dyDescent="0.25">
      <c r="A170" s="63" t="s">
        <v>296</v>
      </c>
      <c r="B170" s="63" t="s">
        <v>297</v>
      </c>
      <c r="C170" s="36">
        <v>4301031527</v>
      </c>
      <c r="D170" s="649">
        <v>4680115889613</v>
      </c>
      <c r="E170" s="649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865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51"/>
      <c r="R170" s="651"/>
      <c r="S170" s="651"/>
      <c r="T170" s="65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hidden="1" customHeight="1" x14ac:dyDescent="0.25">
      <c r="A171" s="63" t="s">
        <v>299</v>
      </c>
      <c r="B171" s="63" t="s">
        <v>300</v>
      </c>
      <c r="C171" s="36">
        <v>4301031496</v>
      </c>
      <c r="D171" s="649">
        <v>4680115887428</v>
      </c>
      <c r="E171" s="64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86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51"/>
      <c r="R171" s="651"/>
      <c r="S171" s="651"/>
      <c r="T171" s="65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4301031509</v>
      </c>
      <c r="D172" s="649">
        <v>4680115889170</v>
      </c>
      <c r="E172" s="64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4301031522</v>
      </c>
      <c r="D173" s="649">
        <v>4680115887398</v>
      </c>
      <c r="E173" s="64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308</v>
      </c>
      <c r="B174" s="63" t="s">
        <v>309</v>
      </c>
      <c r="C174" s="36">
        <v>4301031520</v>
      </c>
      <c r="D174" s="649">
        <v>4680115887336</v>
      </c>
      <c r="E174" s="64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5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51"/>
      <c r="R174" s="651"/>
      <c r="S174" s="651"/>
      <c r="T174" s="65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311</v>
      </c>
      <c r="B175" s="63" t="s">
        <v>312</v>
      </c>
      <c r="C175" s="36">
        <v>4301031528</v>
      </c>
      <c r="D175" s="649">
        <v>4680115887787</v>
      </c>
      <c r="E175" s="64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5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51"/>
      <c r="R175" s="651"/>
      <c r="S175" s="651"/>
      <c r="T175" s="65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314</v>
      </c>
      <c r="B176" s="63" t="s">
        <v>315</v>
      </c>
      <c r="C176" s="36">
        <v>4301031448</v>
      </c>
      <c r="D176" s="649">
        <v>4680115887503</v>
      </c>
      <c r="E176" s="64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51"/>
      <c r="R176" s="651"/>
      <c r="S176" s="651"/>
      <c r="T176" s="65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316</v>
      </c>
      <c r="B177" s="63" t="s">
        <v>317</v>
      </c>
      <c r="C177" s="36">
        <v>4301031389</v>
      </c>
      <c r="D177" s="649">
        <v>4680115887763</v>
      </c>
      <c r="E177" s="64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319</v>
      </c>
      <c r="B178" s="63" t="s">
        <v>320</v>
      </c>
      <c r="C178" s="36">
        <v>4301031521</v>
      </c>
      <c r="D178" s="649">
        <v>4680115887480</v>
      </c>
      <c r="E178" s="64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6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321</v>
      </c>
      <c r="B179" s="63" t="s">
        <v>322</v>
      </c>
      <c r="C179" s="36">
        <v>4301031434</v>
      </c>
      <c r="D179" s="649">
        <v>4680115888067</v>
      </c>
      <c r="E179" s="649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324</v>
      </c>
      <c r="B180" s="63" t="s">
        <v>325</v>
      </c>
      <c r="C180" s="36">
        <v>4301031519</v>
      </c>
      <c r="D180" s="649">
        <v>4680115887435</v>
      </c>
      <c r="E180" s="64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656"/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7"/>
      <c r="P181" s="653" t="s">
        <v>40</v>
      </c>
      <c r="Q181" s="654"/>
      <c r="R181" s="654"/>
      <c r="S181" s="654"/>
      <c r="T181" s="654"/>
      <c r="U181" s="654"/>
      <c r="V181" s="65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656"/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7"/>
      <c r="P182" s="653" t="s">
        <v>40</v>
      </c>
      <c r="Q182" s="654"/>
      <c r="R182" s="654"/>
      <c r="S182" s="654"/>
      <c r="T182" s="654"/>
      <c r="U182" s="654"/>
      <c r="V182" s="655"/>
      <c r="W182" s="42" t="s">
        <v>0</v>
      </c>
      <c r="X182" s="43">
        <f>IFERROR(SUM(X170:X180),"0")</f>
        <v>0</v>
      </c>
      <c r="Y182" s="43">
        <f>IFERROR(SUM(Y170:Y180),"0")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48" t="s">
        <v>77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6"/>
      <c r="AB183" s="66"/>
      <c r="AC183" s="80"/>
    </row>
    <row r="184" spans="1:68" ht="16.5" hidden="1" customHeight="1" x14ac:dyDescent="0.25">
      <c r="A184" s="63" t="s">
        <v>326</v>
      </c>
      <c r="B184" s="63" t="s">
        <v>327</v>
      </c>
      <c r="C184" s="36">
        <v>4301052193</v>
      </c>
      <c r="D184" s="649">
        <v>4680115888395</v>
      </c>
      <c r="E184" s="64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5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329</v>
      </c>
      <c r="B185" s="63" t="s">
        <v>330</v>
      </c>
      <c r="C185" s="36">
        <v>4301052191</v>
      </c>
      <c r="D185" s="649">
        <v>4680115888371</v>
      </c>
      <c r="E185" s="64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5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8" t="s">
        <v>95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4301032058</v>
      </c>
      <c r="D189" s="649">
        <v>4680115889026</v>
      </c>
      <c r="E189" s="64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51"/>
      <c r="R189" s="651"/>
      <c r="S189" s="651"/>
      <c r="T189" s="65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56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53" t="s">
        <v>40</v>
      </c>
      <c r="Q190" s="654"/>
      <c r="R190" s="654"/>
      <c r="S190" s="654"/>
      <c r="T190" s="654"/>
      <c r="U190" s="654"/>
      <c r="V190" s="65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8" t="s">
        <v>336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6"/>
      <c r="AB192" s="66"/>
      <c r="AC192" s="80"/>
    </row>
    <row r="193" spans="1:68" ht="27" hidden="1" customHeight="1" x14ac:dyDescent="0.25">
      <c r="A193" s="63" t="s">
        <v>337</v>
      </c>
      <c r="B193" s="63" t="s">
        <v>338</v>
      </c>
      <c r="C193" s="36">
        <v>4301041009</v>
      </c>
      <c r="D193" s="649">
        <v>4680115889033</v>
      </c>
      <c r="E193" s="64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56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53" t="s">
        <v>40</v>
      </c>
      <c r="Q194" s="654"/>
      <c r="R194" s="654"/>
      <c r="S194" s="654"/>
      <c r="T194" s="654"/>
      <c r="U194" s="654"/>
      <c r="V194" s="65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66" t="s">
        <v>340</v>
      </c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54"/>
      <c r="AB196" s="54"/>
      <c r="AC196" s="54"/>
    </row>
    <row r="197" spans="1:68" ht="16.5" hidden="1" customHeight="1" x14ac:dyDescent="0.25">
      <c r="A197" s="647" t="s">
        <v>341</v>
      </c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  <c r="Y197" s="647"/>
      <c r="Z197" s="647"/>
      <c r="AA197" s="65"/>
      <c r="AB197" s="65"/>
      <c r="AC197" s="79"/>
    </row>
    <row r="198" spans="1:68" ht="14.25" hidden="1" customHeight="1" x14ac:dyDescent="0.25">
      <c r="A198" s="648" t="s">
        <v>124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4301011223</v>
      </c>
      <c r="D199" s="649">
        <v>4607091383423</v>
      </c>
      <c r="E199" s="64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51"/>
      <c r="R199" s="651"/>
      <c r="S199" s="651"/>
      <c r="T199" s="65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4301012340</v>
      </c>
      <c r="D200" s="649">
        <v>4680115888760</v>
      </c>
      <c r="E200" s="64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51"/>
      <c r="R200" s="651"/>
      <c r="S200" s="651"/>
      <c r="T200" s="65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4301012341</v>
      </c>
      <c r="D201" s="649">
        <v>4680115888807</v>
      </c>
      <c r="E201" s="64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51"/>
      <c r="R201" s="651"/>
      <c r="S201" s="651"/>
      <c r="T201" s="65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4301012342</v>
      </c>
      <c r="D202" s="649">
        <v>4680115888852</v>
      </c>
      <c r="E202" s="64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353</v>
      </c>
      <c r="B203" s="63" t="s">
        <v>354</v>
      </c>
      <c r="C203" s="36">
        <v>4301012370</v>
      </c>
      <c r="D203" s="649">
        <v>4680115886957</v>
      </c>
      <c r="E203" s="64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51"/>
      <c r="R203" s="651"/>
      <c r="S203" s="651"/>
      <c r="T203" s="65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356</v>
      </c>
      <c r="B204" s="63" t="s">
        <v>357</v>
      </c>
      <c r="C204" s="36">
        <v>4301012098</v>
      </c>
      <c r="D204" s="649">
        <v>4680115885660</v>
      </c>
      <c r="E204" s="64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51"/>
      <c r="R204" s="651"/>
      <c r="S204" s="651"/>
      <c r="T204" s="65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359</v>
      </c>
      <c r="B205" s="63" t="s">
        <v>360</v>
      </c>
      <c r="C205" s="36">
        <v>4301012369</v>
      </c>
      <c r="D205" s="649">
        <v>4680115886773</v>
      </c>
      <c r="E205" s="64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51"/>
      <c r="R205" s="651"/>
      <c r="S205" s="651"/>
      <c r="T205" s="65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7" t="s">
        <v>362</v>
      </c>
      <c r="B208" s="647"/>
      <c r="C208" s="647"/>
      <c r="D208" s="647"/>
      <c r="E208" s="647"/>
      <c r="F208" s="647"/>
      <c r="G208" s="647"/>
      <c r="H208" s="647"/>
      <c r="I208" s="647"/>
      <c r="J208" s="647"/>
      <c r="K208" s="647"/>
      <c r="L208" s="647"/>
      <c r="M208" s="647"/>
      <c r="N208" s="647"/>
      <c r="O208" s="647"/>
      <c r="P208" s="647"/>
      <c r="Q208" s="647"/>
      <c r="R208" s="647"/>
      <c r="S208" s="647"/>
      <c r="T208" s="647"/>
      <c r="U208" s="647"/>
      <c r="V208" s="647"/>
      <c r="W208" s="647"/>
      <c r="X208" s="647"/>
      <c r="Y208" s="647"/>
      <c r="Z208" s="647"/>
      <c r="AA208" s="65"/>
      <c r="AB208" s="65"/>
      <c r="AC208" s="79"/>
    </row>
    <row r="209" spans="1:68" ht="14.25" hidden="1" customHeight="1" x14ac:dyDescent="0.25">
      <c r="A209" s="648" t="s">
        <v>161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6"/>
      <c r="AB209" s="66"/>
      <c r="AC209" s="80"/>
    </row>
    <row r="210" spans="1:68" ht="27" hidden="1" customHeight="1" x14ac:dyDescent="0.25">
      <c r="A210" s="63" t="s">
        <v>363</v>
      </c>
      <c r="B210" s="63" t="s">
        <v>364</v>
      </c>
      <c r="C210" s="36">
        <v>4301020323</v>
      </c>
      <c r="D210" s="649">
        <v>4680115886223</v>
      </c>
      <c r="E210" s="64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53" t="s">
        <v>40</v>
      </c>
      <c r="Q211" s="654"/>
      <c r="R211" s="654"/>
      <c r="S211" s="654"/>
      <c r="T211" s="654"/>
      <c r="U211" s="654"/>
      <c r="V211" s="65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8" t="s">
        <v>256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4301031191</v>
      </c>
      <c r="D214" s="649">
        <v>4680115880993</v>
      </c>
      <c r="E214" s="64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369</v>
      </c>
      <c r="B215" s="63" t="s">
        <v>370</v>
      </c>
      <c r="C215" s="36">
        <v>4301031204</v>
      </c>
      <c r="D215" s="649">
        <v>4680115881761</v>
      </c>
      <c r="E215" s="64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51"/>
      <c r="R215" s="651"/>
      <c r="S215" s="651"/>
      <c r="T215" s="65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372</v>
      </c>
      <c r="B216" s="63" t="s">
        <v>373</v>
      </c>
      <c r="C216" s="36">
        <v>4301031532</v>
      </c>
      <c r="D216" s="649">
        <v>4680115881563</v>
      </c>
      <c r="E216" s="64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3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51"/>
      <c r="R216" s="651"/>
      <c r="S216" s="651"/>
      <c r="T216" s="65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hidden="1" customHeight="1" x14ac:dyDescent="0.25">
      <c r="A217" s="63" t="s">
        <v>375</v>
      </c>
      <c r="B217" s="63" t="s">
        <v>376</v>
      </c>
      <c r="C217" s="36">
        <v>4301031447</v>
      </c>
      <c r="D217" s="649">
        <v>4680115887565</v>
      </c>
      <c r="E217" s="649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51"/>
      <c r="R217" s="651"/>
      <c r="S217" s="651"/>
      <c r="T217" s="65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4301031199</v>
      </c>
      <c r="D218" s="649">
        <v>4680115880986</v>
      </c>
      <c r="E218" s="64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51"/>
      <c r="R218" s="651"/>
      <c r="S218" s="651"/>
      <c r="T218" s="65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4301031443</v>
      </c>
      <c r="D219" s="649">
        <v>4680115887213</v>
      </c>
      <c r="E219" s="64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4301031205</v>
      </c>
      <c r="D220" s="649">
        <v>4680115881785</v>
      </c>
      <c r="E220" s="64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51"/>
      <c r="R220" s="651"/>
      <c r="S220" s="651"/>
      <c r="T220" s="65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4301031499</v>
      </c>
      <c r="D221" s="649">
        <v>4680115888432</v>
      </c>
      <c r="E221" s="64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51"/>
      <c r="R221" s="651"/>
      <c r="S221" s="651"/>
      <c r="T221" s="65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4301031503</v>
      </c>
      <c r="D222" s="649">
        <v>4680115886537</v>
      </c>
      <c r="E222" s="64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51"/>
      <c r="R222" s="651"/>
      <c r="S222" s="651"/>
      <c r="T222" s="65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4301031279</v>
      </c>
      <c r="D223" s="649">
        <v>4680115887596</v>
      </c>
      <c r="E223" s="649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394</v>
      </c>
      <c r="B224" s="63" t="s">
        <v>395</v>
      </c>
      <c r="C224" s="36">
        <v>4301031530</v>
      </c>
      <c r="D224" s="649">
        <v>4680115881679</v>
      </c>
      <c r="E224" s="64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4301031531</v>
      </c>
      <c r="D225" s="649">
        <v>4680115880191</v>
      </c>
      <c r="E225" s="64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2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49">
        <v>4680115883963</v>
      </c>
      <c r="E226" s="64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56"/>
      <c r="B227" s="656"/>
      <c r="C227" s="656"/>
      <c r="D227" s="656"/>
      <c r="E227" s="656"/>
      <c r="F227" s="656"/>
      <c r="G227" s="656"/>
      <c r="H227" s="656"/>
      <c r="I227" s="656"/>
      <c r="J227" s="656"/>
      <c r="K227" s="656"/>
      <c r="L227" s="656"/>
      <c r="M227" s="656"/>
      <c r="N227" s="656"/>
      <c r="O227" s="657"/>
      <c r="P227" s="653" t="s">
        <v>40</v>
      </c>
      <c r="Q227" s="654"/>
      <c r="R227" s="654"/>
      <c r="S227" s="654"/>
      <c r="T227" s="654"/>
      <c r="U227" s="654"/>
      <c r="V227" s="65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56"/>
      <c r="B228" s="656"/>
      <c r="C228" s="656"/>
      <c r="D228" s="656"/>
      <c r="E228" s="656"/>
      <c r="F228" s="656"/>
      <c r="G228" s="656"/>
      <c r="H228" s="656"/>
      <c r="I228" s="656"/>
      <c r="J228" s="656"/>
      <c r="K228" s="656"/>
      <c r="L228" s="656"/>
      <c r="M228" s="656"/>
      <c r="N228" s="656"/>
      <c r="O228" s="657"/>
      <c r="P228" s="653" t="s">
        <v>40</v>
      </c>
      <c r="Q228" s="654"/>
      <c r="R228" s="654"/>
      <c r="S228" s="654"/>
      <c r="T228" s="654"/>
      <c r="U228" s="654"/>
      <c r="V228" s="655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48" t="s">
        <v>77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6"/>
      <c r="AB229" s="66"/>
      <c r="AC229" s="80"/>
    </row>
    <row r="230" spans="1:68" ht="16.5" hidden="1" customHeight="1" x14ac:dyDescent="0.25">
      <c r="A230" s="63" t="s">
        <v>401</v>
      </c>
      <c r="B230" s="63" t="s">
        <v>402</v>
      </c>
      <c r="C230" s="36">
        <v>4301052279</v>
      </c>
      <c r="D230" s="649">
        <v>4680115888692</v>
      </c>
      <c r="E230" s="64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4301052280</v>
      </c>
      <c r="D231" s="649">
        <v>4680115888722</v>
      </c>
      <c r="E231" s="64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407</v>
      </c>
      <c r="B232" s="63" t="s">
        <v>408</v>
      </c>
      <c r="C232" s="36">
        <v>4301052276</v>
      </c>
      <c r="D232" s="649">
        <v>4680115888951</v>
      </c>
      <c r="E232" s="64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4301052278</v>
      </c>
      <c r="D233" s="649">
        <v>4680115888975</v>
      </c>
      <c r="E233" s="64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4301052277</v>
      </c>
      <c r="D234" s="649">
        <v>4680115888982</v>
      </c>
      <c r="E234" s="64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8" t="s">
        <v>95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49">
        <v>4680115886780</v>
      </c>
      <c r="E238" s="64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51"/>
      <c r="R238" s="651"/>
      <c r="S238" s="651"/>
      <c r="T238" s="65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49">
        <v>4680115886742</v>
      </c>
      <c r="E239" s="64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51"/>
      <c r="R239" s="651"/>
      <c r="S239" s="651"/>
      <c r="T239" s="65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49">
        <v>4680115886766</v>
      </c>
      <c r="E240" s="64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48" t="s">
        <v>422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49">
        <v>4680115886797</v>
      </c>
      <c r="E244" s="64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56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53" t="s">
        <v>40</v>
      </c>
      <c r="Q245" s="654"/>
      <c r="R245" s="654"/>
      <c r="S245" s="654"/>
      <c r="T245" s="654"/>
      <c r="U245" s="654"/>
      <c r="V245" s="65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53" t="s">
        <v>40</v>
      </c>
      <c r="Q246" s="654"/>
      <c r="R246" s="654"/>
      <c r="S246" s="654"/>
      <c r="T246" s="654"/>
      <c r="U246" s="654"/>
      <c r="V246" s="65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7" t="s">
        <v>425</v>
      </c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7"/>
      <c r="P247" s="647"/>
      <c r="Q247" s="647"/>
      <c r="R247" s="647"/>
      <c r="S247" s="647"/>
      <c r="T247" s="647"/>
      <c r="U247" s="647"/>
      <c r="V247" s="647"/>
      <c r="W247" s="647"/>
      <c r="X247" s="647"/>
      <c r="Y247" s="647"/>
      <c r="Z247" s="647"/>
      <c r="AA247" s="65"/>
      <c r="AB247" s="65"/>
      <c r="AC247" s="79"/>
    </row>
    <row r="248" spans="1:68" ht="14.25" hidden="1" customHeight="1" x14ac:dyDescent="0.25">
      <c r="A248" s="648" t="s">
        <v>124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49">
        <v>4680115881402</v>
      </c>
      <c r="E249" s="64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49">
        <v>4680115881396</v>
      </c>
      <c r="E250" s="64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429</v>
      </c>
      <c r="B251" s="63" t="s">
        <v>431</v>
      </c>
      <c r="C251" s="36">
        <v>4301012403</v>
      </c>
      <c r="D251" s="649">
        <v>4680115889903</v>
      </c>
      <c r="E251" s="649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19" t="s">
        <v>432</v>
      </c>
      <c r="Q251" s="651"/>
      <c r="R251" s="651"/>
      <c r="S251" s="651"/>
      <c r="T251" s="65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48" t="s">
        <v>161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6"/>
      <c r="AB254" s="66"/>
      <c r="AC254" s="80"/>
    </row>
    <row r="255" spans="1:68" ht="16.5" hidden="1" customHeight="1" x14ac:dyDescent="0.25">
      <c r="A255" s="63" t="s">
        <v>434</v>
      </c>
      <c r="B255" s="63" t="s">
        <v>435</v>
      </c>
      <c r="C255" s="36">
        <v>4301020261</v>
      </c>
      <c r="D255" s="649">
        <v>4680115882935</v>
      </c>
      <c r="E255" s="64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51"/>
      <c r="R255" s="651"/>
      <c r="S255" s="651"/>
      <c r="T255" s="65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hidden="1" customHeight="1" x14ac:dyDescent="0.25">
      <c r="A256" s="63" t="s">
        <v>437</v>
      </c>
      <c r="B256" s="63" t="s">
        <v>438</v>
      </c>
      <c r="C256" s="36">
        <v>4301020220</v>
      </c>
      <c r="D256" s="649">
        <v>4680115880764</v>
      </c>
      <c r="E256" s="649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51"/>
      <c r="R256" s="651"/>
      <c r="S256" s="651"/>
      <c r="T256" s="65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8" t="s">
        <v>256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6"/>
      <c r="AB259" s="66"/>
      <c r="AC259" s="80"/>
    </row>
    <row r="260" spans="1:68" ht="27" hidden="1" customHeight="1" x14ac:dyDescent="0.25">
      <c r="A260" s="63" t="s">
        <v>439</v>
      </c>
      <c r="B260" s="63" t="s">
        <v>440</v>
      </c>
      <c r="C260" s="36">
        <v>4301031224</v>
      </c>
      <c r="D260" s="649">
        <v>4680115882683</v>
      </c>
      <c r="E260" s="64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ref="Y260:Y267" si="31">IFERROR(IF(X260="",0,CEILING((X260/$H260),1)*$H260),"")</f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0</v>
      </c>
      <c r="BN260" s="78">
        <f t="shared" ref="BN260:BN267" si="33">IFERROR(Y260*I260/H260,"0")</f>
        <v>0</v>
      </c>
      <c r="BO260" s="78">
        <f t="shared" ref="BO260:BO267" si="34">IFERROR(1/J260*(X260/H260),"0")</f>
        <v>0</v>
      </c>
      <c r="BP260" s="78">
        <f t="shared" ref="BP260:BP267" si="35">IFERROR(1/J260*(Y260/H260),"0")</f>
        <v>0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4301031230</v>
      </c>
      <c r="D261" s="649">
        <v>4680115882690</v>
      </c>
      <c r="E261" s="64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51"/>
      <c r="R261" s="651"/>
      <c r="S261" s="651"/>
      <c r="T261" s="65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4301031220</v>
      </c>
      <c r="D262" s="649">
        <v>4680115882669</v>
      </c>
      <c r="E262" s="64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51"/>
      <c r="R262" s="651"/>
      <c r="S262" s="651"/>
      <c r="T262" s="65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4301031221</v>
      </c>
      <c r="D263" s="649">
        <v>4680115882676</v>
      </c>
      <c r="E263" s="649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51"/>
      <c r="R263" s="651"/>
      <c r="S263" s="651"/>
      <c r="T263" s="65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IFERROR(IF(Y263=0,"",ROUNDUP(Y263/H263,0)*0.00902),"")</f>
        <v/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4301031223</v>
      </c>
      <c r="D264" s="649">
        <v>4680115884014</v>
      </c>
      <c r="E264" s="649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453</v>
      </c>
      <c r="B265" s="63" t="s">
        <v>454</v>
      </c>
      <c r="C265" s="36">
        <v>4301031222</v>
      </c>
      <c r="D265" s="649">
        <v>4680115884007</v>
      </c>
      <c r="E265" s="64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455</v>
      </c>
      <c r="B266" s="63" t="s">
        <v>456</v>
      </c>
      <c r="C266" s="36">
        <v>4301031229</v>
      </c>
      <c r="D266" s="649">
        <v>4680115884038</v>
      </c>
      <c r="E266" s="64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51"/>
      <c r="R266" s="651"/>
      <c r="S266" s="651"/>
      <c r="T266" s="65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457</v>
      </c>
      <c r="B267" s="63" t="s">
        <v>458</v>
      </c>
      <c r="C267" s="36">
        <v>4301031225</v>
      </c>
      <c r="D267" s="649">
        <v>4680115884021</v>
      </c>
      <c r="E267" s="649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51"/>
      <c r="R267" s="651"/>
      <c r="S267" s="651"/>
      <c r="T267" s="65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IFERROR(IF(Y267=0,"",ROUNDUP(Y267/H267,0)*0.00502),"")</f>
        <v/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idden="1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0</v>
      </c>
      <c r="Y268" s="43">
        <f>IFERROR(Y260/H260,"0")+IFERROR(Y261/H261,"0")+IFERROR(Y262/H262,"0")+IFERROR(Y263/H263,"0")+IFERROR(Y264/H264,"0")+IFERROR(Y265/H265,"0")+IFERROR(Y266/H266,"0")+IFERROR(Y267/H267,"0")</f>
        <v>0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IFERROR(SUM(X260:X267),"0")</f>
        <v>0</v>
      </c>
      <c r="Y269" s="43">
        <f>IFERROR(SUM(Y260:Y267),"0")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48" t="s">
        <v>77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6"/>
      <c r="AB270" s="66"/>
      <c r="AC270" s="80"/>
    </row>
    <row r="271" spans="1:68" ht="27" hidden="1" customHeight="1" x14ac:dyDescent="0.25">
      <c r="A271" s="63" t="s">
        <v>459</v>
      </c>
      <c r="B271" s="63" t="s">
        <v>460</v>
      </c>
      <c r="C271" s="36">
        <v>4301052272</v>
      </c>
      <c r="D271" s="649">
        <v>4680115889873</v>
      </c>
      <c r="E271" s="649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4301051408</v>
      </c>
      <c r="D272" s="649">
        <v>4680115881594</v>
      </c>
      <c r="E272" s="649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4301051411</v>
      </c>
      <c r="D273" s="649">
        <v>4680115881617</v>
      </c>
      <c r="E273" s="649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468</v>
      </c>
      <c r="B274" s="63" t="s">
        <v>469</v>
      </c>
      <c r="C274" s="36">
        <v>4301051656</v>
      </c>
      <c r="D274" s="649">
        <v>4680115880573</v>
      </c>
      <c r="E274" s="649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470</v>
      </c>
      <c r="B275" s="63" t="s">
        <v>471</v>
      </c>
      <c r="C275" s="36">
        <v>4301051407</v>
      </c>
      <c r="D275" s="649">
        <v>4680115882195</v>
      </c>
      <c r="E275" s="649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4301051752</v>
      </c>
      <c r="D276" s="649">
        <v>4680115882607</v>
      </c>
      <c r="E276" s="649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4301051666</v>
      </c>
      <c r="D277" s="649">
        <v>4680115880092</v>
      </c>
      <c r="E277" s="64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51"/>
      <c r="R277" s="651"/>
      <c r="S277" s="651"/>
      <c r="T277" s="65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4301052214</v>
      </c>
      <c r="D278" s="649">
        <v>4680115889064</v>
      </c>
      <c r="E278" s="649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51"/>
      <c r="R278" s="651"/>
      <c r="S278" s="651"/>
      <c r="T278" s="65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4301051668</v>
      </c>
      <c r="D279" s="649">
        <v>4680115880221</v>
      </c>
      <c r="E279" s="64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51"/>
      <c r="R279" s="651"/>
      <c r="S279" s="651"/>
      <c r="T279" s="65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4301051945</v>
      </c>
      <c r="D280" s="649">
        <v>4680115880504</v>
      </c>
      <c r="E280" s="64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4301051410</v>
      </c>
      <c r="D281" s="649">
        <v>4680115882164</v>
      </c>
      <c r="E281" s="649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4301052180</v>
      </c>
      <c r="D282" s="649">
        <v>4680115888340</v>
      </c>
      <c r="E282" s="64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idden="1" x14ac:dyDescent="0.2">
      <c r="A283" s="656"/>
      <c r="B283" s="656"/>
      <c r="C283" s="656"/>
      <c r="D283" s="656"/>
      <c r="E283" s="656"/>
      <c r="F283" s="656"/>
      <c r="G283" s="656"/>
      <c r="H283" s="656"/>
      <c r="I283" s="656"/>
      <c r="J283" s="656"/>
      <c r="K283" s="656"/>
      <c r="L283" s="656"/>
      <c r="M283" s="656"/>
      <c r="N283" s="656"/>
      <c r="O283" s="657"/>
      <c r="P283" s="653" t="s">
        <v>40</v>
      </c>
      <c r="Q283" s="654"/>
      <c r="R283" s="654"/>
      <c r="S283" s="654"/>
      <c r="T283" s="654"/>
      <c r="U283" s="654"/>
      <c r="V283" s="65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0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0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0</v>
      </c>
      <c r="AA283" s="67"/>
      <c r="AB283" s="67"/>
      <c r="AC283" s="67"/>
    </row>
    <row r="284" spans="1:68" hidden="1" x14ac:dyDescent="0.2">
      <c r="A284" s="656"/>
      <c r="B284" s="656"/>
      <c r="C284" s="656"/>
      <c r="D284" s="656"/>
      <c r="E284" s="656"/>
      <c r="F284" s="656"/>
      <c r="G284" s="656"/>
      <c r="H284" s="656"/>
      <c r="I284" s="656"/>
      <c r="J284" s="656"/>
      <c r="K284" s="656"/>
      <c r="L284" s="656"/>
      <c r="M284" s="656"/>
      <c r="N284" s="656"/>
      <c r="O284" s="657"/>
      <c r="P284" s="653" t="s">
        <v>40</v>
      </c>
      <c r="Q284" s="654"/>
      <c r="R284" s="654"/>
      <c r="S284" s="654"/>
      <c r="T284" s="654"/>
      <c r="U284" s="654"/>
      <c r="V284" s="655"/>
      <c r="W284" s="42" t="s">
        <v>0</v>
      </c>
      <c r="X284" s="43">
        <f>IFERROR(SUM(X271:X282),"0")</f>
        <v>0</v>
      </c>
      <c r="Y284" s="43">
        <f>IFERROR(SUM(Y271:Y282),"0")</f>
        <v>0</v>
      </c>
      <c r="Z284" s="42"/>
      <c r="AA284" s="67"/>
      <c r="AB284" s="67"/>
      <c r="AC284" s="67"/>
    </row>
    <row r="285" spans="1:68" ht="14.25" hidden="1" customHeight="1" x14ac:dyDescent="0.25">
      <c r="A285" s="648" t="s">
        <v>179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6"/>
      <c r="AB285" s="66"/>
      <c r="AC285" s="80"/>
    </row>
    <row r="286" spans="1:68" ht="27" hidden="1" customHeight="1" x14ac:dyDescent="0.25">
      <c r="A286" s="63" t="s">
        <v>490</v>
      </c>
      <c r="B286" s="63" t="s">
        <v>491</v>
      </c>
      <c r="C286" s="36">
        <v>4301060463</v>
      </c>
      <c r="D286" s="649">
        <v>4680115880818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4301060389</v>
      </c>
      <c r="D287" s="649">
        <v>4680115880801</v>
      </c>
      <c r="E287" s="64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56"/>
      <c r="B288" s="656"/>
      <c r="C288" s="656"/>
      <c r="D288" s="656"/>
      <c r="E288" s="656"/>
      <c r="F288" s="656"/>
      <c r="G288" s="656"/>
      <c r="H288" s="656"/>
      <c r="I288" s="656"/>
      <c r="J288" s="656"/>
      <c r="K288" s="656"/>
      <c r="L288" s="656"/>
      <c r="M288" s="656"/>
      <c r="N288" s="656"/>
      <c r="O288" s="657"/>
      <c r="P288" s="653" t="s">
        <v>40</v>
      </c>
      <c r="Q288" s="654"/>
      <c r="R288" s="654"/>
      <c r="S288" s="654"/>
      <c r="T288" s="654"/>
      <c r="U288" s="654"/>
      <c r="V288" s="655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6.5" hidden="1" customHeight="1" x14ac:dyDescent="0.25">
      <c r="A290" s="647" t="s">
        <v>496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5"/>
      <c r="AB290" s="65"/>
      <c r="AC290" s="79"/>
    </row>
    <row r="291" spans="1:68" ht="14.25" hidden="1" customHeight="1" x14ac:dyDescent="0.25">
      <c r="A291" s="648" t="s">
        <v>124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6"/>
      <c r="AB291" s="66"/>
      <c r="AC291" s="80"/>
    </row>
    <row r="292" spans="1:68" ht="27" hidden="1" customHeight="1" x14ac:dyDescent="0.25">
      <c r="A292" s="63" t="s">
        <v>497</v>
      </c>
      <c r="B292" s="63" t="s">
        <v>498</v>
      </c>
      <c r="C292" s="36">
        <v>4301011826</v>
      </c>
      <c r="D292" s="649">
        <v>4680115884137</v>
      </c>
      <c r="E292" s="64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51"/>
      <c r="R292" s="651"/>
      <c r="S292" s="651"/>
      <c r="T292" s="65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4301011724</v>
      </c>
      <c r="D293" s="649">
        <v>4680115884236</v>
      </c>
      <c r="E293" s="64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51"/>
      <c r="R293" s="651"/>
      <c r="S293" s="651"/>
      <c r="T293" s="65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4301011721</v>
      </c>
      <c r="D294" s="649">
        <v>4680115884175</v>
      </c>
      <c r="E294" s="649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51"/>
      <c r="R294" s="651"/>
      <c r="S294" s="651"/>
      <c r="T294" s="65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IFERROR(IF(Y294=0,"",ROUNDUP(Y294/H294,0)*0.01898),"")</f>
        <v/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4301011824</v>
      </c>
      <c r="D295" s="649">
        <v>4680115884144</v>
      </c>
      <c r="E295" s="64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4301012149</v>
      </c>
      <c r="D296" s="649">
        <v>4680115886551</v>
      </c>
      <c r="E296" s="649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4301012228</v>
      </c>
      <c r="D297" s="649">
        <v>4680115887282</v>
      </c>
      <c r="E297" s="649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51"/>
      <c r="R297" s="651"/>
      <c r="S297" s="651"/>
      <c r="T297" s="65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513</v>
      </c>
      <c r="B298" s="63" t="s">
        <v>514</v>
      </c>
      <c r="C298" s="36">
        <v>4301011722</v>
      </c>
      <c r="D298" s="649">
        <v>4680115884205</v>
      </c>
      <c r="E298" s="649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51"/>
      <c r="R298" s="651"/>
      <c r="S298" s="651"/>
      <c r="T298" s="65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IFERROR(X292/H292,"0")+IFERROR(X293/H293,"0")+IFERROR(X294/H294,"0")+IFERROR(X295/H295,"0")+IFERROR(X296/H296,"0")+IFERROR(X297/H297,"0")+IFERROR(X298/H298,"0")</f>
        <v>0</v>
      </c>
      <c r="Y299" s="43">
        <f>IFERROR(Y292/H292,"0")+IFERROR(Y293/H293,"0")+IFERROR(Y294/H294,"0")+IFERROR(Y295/H295,"0")+IFERROR(Y296/H296,"0")+IFERROR(Y297/H297,"0")+IFERROR(Y298/H298,"0")</f>
        <v>0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IFERROR(SUM(X292:X298),"0")</f>
        <v>0</v>
      </c>
      <c r="Y300" s="43">
        <f>IFERROR(SUM(Y292:Y298),"0")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48" t="s">
        <v>161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6"/>
      <c r="AB301" s="66"/>
      <c r="AC301" s="80"/>
    </row>
    <row r="302" spans="1:68" ht="27" hidden="1" customHeight="1" x14ac:dyDescent="0.25">
      <c r="A302" s="63" t="s">
        <v>515</v>
      </c>
      <c r="B302" s="63" t="s">
        <v>516</v>
      </c>
      <c r="C302" s="36">
        <v>4301020377</v>
      </c>
      <c r="D302" s="649">
        <v>4680115885981</v>
      </c>
      <c r="E302" s="649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IFERROR(IF(Y302=0,"",ROUNDUP(Y302/H302,0)*0.00502),"")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idden="1" x14ac:dyDescent="0.2">
      <c r="A303" s="656"/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7"/>
      <c r="P303" s="653" t="s">
        <v>40</v>
      </c>
      <c r="Q303" s="654"/>
      <c r="R303" s="654"/>
      <c r="S303" s="654"/>
      <c r="T303" s="654"/>
      <c r="U303" s="654"/>
      <c r="V303" s="655"/>
      <c r="W303" s="42" t="s">
        <v>39</v>
      </c>
      <c r="X303" s="43">
        <f>IFERROR(X302/H302,"0")</f>
        <v>0</v>
      </c>
      <c r="Y303" s="43">
        <f>IFERROR(Y302/H302,"0")</f>
        <v>0</v>
      </c>
      <c r="Z303" s="43">
        <f>IFERROR(IF(Z302="",0,Z302),"0")</f>
        <v>0</v>
      </c>
      <c r="AA303" s="67"/>
      <c r="AB303" s="67"/>
      <c r="AC303" s="67"/>
    </row>
    <row r="304" spans="1:68" hidden="1" x14ac:dyDescent="0.2">
      <c r="A304" s="656"/>
      <c r="B304" s="656"/>
      <c r="C304" s="656"/>
      <c r="D304" s="656"/>
      <c r="E304" s="656"/>
      <c r="F304" s="656"/>
      <c r="G304" s="656"/>
      <c r="H304" s="656"/>
      <c r="I304" s="656"/>
      <c r="J304" s="656"/>
      <c r="K304" s="656"/>
      <c r="L304" s="656"/>
      <c r="M304" s="656"/>
      <c r="N304" s="656"/>
      <c r="O304" s="657"/>
      <c r="P304" s="653" t="s">
        <v>40</v>
      </c>
      <c r="Q304" s="654"/>
      <c r="R304" s="654"/>
      <c r="S304" s="654"/>
      <c r="T304" s="654"/>
      <c r="U304" s="654"/>
      <c r="V304" s="655"/>
      <c r="W304" s="42" t="s">
        <v>0</v>
      </c>
      <c r="X304" s="43">
        <f>IFERROR(SUM(X302:X302),"0")</f>
        <v>0</v>
      </c>
      <c r="Y304" s="43">
        <f>IFERROR(SUM(Y302:Y302),"0")</f>
        <v>0</v>
      </c>
      <c r="Z304" s="42"/>
      <c r="AA304" s="67"/>
      <c r="AB304" s="67"/>
      <c r="AC304" s="67"/>
    </row>
    <row r="305" spans="1:68" ht="14.25" hidden="1" customHeight="1" x14ac:dyDescent="0.25">
      <c r="A305" s="648" t="s">
        <v>518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6"/>
      <c r="AB305" s="66"/>
      <c r="AC305" s="80"/>
    </row>
    <row r="306" spans="1:68" ht="27" hidden="1" customHeight="1" x14ac:dyDescent="0.25">
      <c r="A306" s="63" t="s">
        <v>519</v>
      </c>
      <c r="B306" s="63" t="s">
        <v>520</v>
      </c>
      <c r="C306" s="36">
        <v>4301040362</v>
      </c>
      <c r="D306" s="649">
        <v>4680115886803</v>
      </c>
      <c r="E306" s="64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idden="1" x14ac:dyDescent="0.2">
      <c r="A307" s="656"/>
      <c r="B307" s="656"/>
      <c r="C307" s="656"/>
      <c r="D307" s="656"/>
      <c r="E307" s="656"/>
      <c r="F307" s="656"/>
      <c r="G307" s="656"/>
      <c r="H307" s="656"/>
      <c r="I307" s="656"/>
      <c r="J307" s="656"/>
      <c r="K307" s="656"/>
      <c r="L307" s="656"/>
      <c r="M307" s="656"/>
      <c r="N307" s="656"/>
      <c r="O307" s="657"/>
      <c r="P307" s="653" t="s">
        <v>40</v>
      </c>
      <c r="Q307" s="654"/>
      <c r="R307" s="654"/>
      <c r="S307" s="654"/>
      <c r="T307" s="654"/>
      <c r="U307" s="654"/>
      <c r="V307" s="655"/>
      <c r="W307" s="42" t="s">
        <v>39</v>
      </c>
      <c r="X307" s="43">
        <f>IFERROR(X306/H306,"0")</f>
        <v>0</v>
      </c>
      <c r="Y307" s="43">
        <f>IFERROR(Y306/H306,"0")</f>
        <v>0</v>
      </c>
      <c r="Z307" s="43">
        <f>IFERROR(IF(Z306="",0,Z306),"0")</f>
        <v>0</v>
      </c>
      <c r="AA307" s="67"/>
      <c r="AB307" s="67"/>
      <c r="AC307" s="67"/>
    </row>
    <row r="308" spans="1:68" hidden="1" x14ac:dyDescent="0.2">
      <c r="A308" s="656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53" t="s">
        <v>40</v>
      </c>
      <c r="Q308" s="654"/>
      <c r="R308" s="654"/>
      <c r="S308" s="654"/>
      <c r="T308" s="654"/>
      <c r="U308" s="654"/>
      <c r="V308" s="655"/>
      <c r="W308" s="42" t="s">
        <v>0</v>
      </c>
      <c r="X308" s="43">
        <f>IFERROR(SUM(X306:X306),"0")</f>
        <v>0</v>
      </c>
      <c r="Y308" s="43">
        <f>IFERROR(SUM(Y306:Y306),"0")</f>
        <v>0</v>
      </c>
      <c r="Z308" s="42"/>
      <c r="AA308" s="67"/>
      <c r="AB308" s="67"/>
      <c r="AC308" s="67"/>
    </row>
    <row r="309" spans="1:68" ht="14.25" hidden="1" customHeight="1" x14ac:dyDescent="0.25">
      <c r="A309" s="648" t="s">
        <v>336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6"/>
      <c r="AB309" s="66"/>
      <c r="AC309" s="80"/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49">
        <v>4680115886681</v>
      </c>
      <c r="E310" s="649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51"/>
      <c r="R310" s="651"/>
      <c r="S310" s="651"/>
      <c r="T310" s="65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49">
        <v>4680115886735</v>
      </c>
      <c r="E311" s="649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hidden="1" customHeight="1" x14ac:dyDescent="0.25">
      <c r="A312" s="63" t="s">
        <v>527</v>
      </c>
      <c r="B312" s="63" t="s">
        <v>528</v>
      </c>
      <c r="C312" s="36">
        <v>4301041006</v>
      </c>
      <c r="D312" s="649">
        <v>4680115886728</v>
      </c>
      <c r="E312" s="649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7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51"/>
      <c r="R312" s="651"/>
      <c r="S312" s="651"/>
      <c r="T312" s="65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hidden="1" customHeight="1" x14ac:dyDescent="0.25">
      <c r="A313" s="63" t="s">
        <v>529</v>
      </c>
      <c r="B313" s="63" t="s">
        <v>530</v>
      </c>
      <c r="C313" s="36">
        <v>4301041005</v>
      </c>
      <c r="D313" s="649">
        <v>4680115886711</v>
      </c>
      <c r="E313" s="649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7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51"/>
      <c r="R313" s="651"/>
      <c r="S313" s="651"/>
      <c r="T313" s="65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IFERROR(X310/H310,"0")+IFERROR(X311/H311,"0")+IFERROR(X312/H312,"0")+IFERROR(X313/H313,"0")</f>
        <v>0</v>
      </c>
      <c r="Y314" s="43">
        <f>IFERROR(Y310/H310,"0")+IFERROR(Y311/H311,"0")+IFERROR(Y312/H312,"0")+IFERROR(Y313/H313,"0")</f>
        <v>0</v>
      </c>
      <c r="Z314" s="43">
        <f>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IFERROR(SUM(X310:X313),"0")</f>
        <v>0</v>
      </c>
      <c r="Y315" s="43">
        <f>IFERROR(SUM(Y310:Y313),"0")</f>
        <v>0</v>
      </c>
      <c r="Z315" s="42"/>
      <c r="AA315" s="67"/>
      <c r="AB315" s="67"/>
      <c r="AC315" s="67"/>
    </row>
    <row r="316" spans="1:68" ht="16.5" hidden="1" customHeight="1" x14ac:dyDescent="0.25">
      <c r="A316" s="647" t="s">
        <v>531</v>
      </c>
      <c r="B316" s="647"/>
      <c r="C316" s="647"/>
      <c r="D316" s="647"/>
      <c r="E316" s="647"/>
      <c r="F316" s="647"/>
      <c r="G316" s="647"/>
      <c r="H316" s="647"/>
      <c r="I316" s="647"/>
      <c r="J316" s="647"/>
      <c r="K316" s="647"/>
      <c r="L316" s="647"/>
      <c r="M316" s="647"/>
      <c r="N316" s="647"/>
      <c r="O316" s="647"/>
      <c r="P316" s="647"/>
      <c r="Q316" s="647"/>
      <c r="R316" s="647"/>
      <c r="S316" s="647"/>
      <c r="T316" s="647"/>
      <c r="U316" s="647"/>
      <c r="V316" s="647"/>
      <c r="W316" s="647"/>
      <c r="X316" s="647"/>
      <c r="Y316" s="647"/>
      <c r="Z316" s="647"/>
      <c r="AA316" s="65"/>
      <c r="AB316" s="65"/>
      <c r="AC316" s="79"/>
    </row>
    <row r="317" spans="1:68" ht="14.25" hidden="1" customHeight="1" x14ac:dyDescent="0.25">
      <c r="A317" s="648" t="s">
        <v>124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4301012362</v>
      </c>
      <c r="D318" s="649">
        <v>4680115889507</v>
      </c>
      <c r="E318" s="64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784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51"/>
      <c r="R318" s="651"/>
      <c r="S318" s="651"/>
      <c r="T318" s="65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4301011855</v>
      </c>
      <c r="D319" s="649">
        <v>4680115885837</v>
      </c>
      <c r="E319" s="649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 t="shared" si="47"/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0</v>
      </c>
      <c r="BN319" s="78">
        <f t="shared" si="49"/>
        <v>0</v>
      </c>
      <c r="BO319" s="78">
        <f t="shared" si="50"/>
        <v>0</v>
      </c>
      <c r="BP319" s="78">
        <f t="shared" si="51"/>
        <v>0</v>
      </c>
    </row>
    <row r="320" spans="1:68" ht="27" hidden="1" customHeight="1" x14ac:dyDescent="0.25">
      <c r="A320" s="63" t="s">
        <v>538</v>
      </c>
      <c r="B320" s="63" t="s">
        <v>539</v>
      </c>
      <c r="C320" s="36">
        <v>4301012212</v>
      </c>
      <c r="D320" s="649">
        <v>4680115887077</v>
      </c>
      <c r="E320" s="649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77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hidden="1" customHeight="1" x14ac:dyDescent="0.25">
      <c r="A321" s="63" t="s">
        <v>541</v>
      </c>
      <c r="B321" s="63" t="s">
        <v>542</v>
      </c>
      <c r="C321" s="36">
        <v>4301012390</v>
      </c>
      <c r="D321" s="649">
        <v>4680115889637</v>
      </c>
      <c r="E321" s="64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7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hidden="1" customHeight="1" x14ac:dyDescent="0.25">
      <c r="A322" s="63" t="s">
        <v>544</v>
      </c>
      <c r="B322" s="63" t="s">
        <v>545</v>
      </c>
      <c r="C322" s="36">
        <v>4301012234</v>
      </c>
      <c r="D322" s="649">
        <v>4680115887237</v>
      </c>
      <c r="E322" s="64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51"/>
      <c r="R322" s="651"/>
      <c r="S322" s="651"/>
      <c r="T322" s="65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 t="shared" si="47"/>
        <v/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0</v>
      </c>
      <c r="BN322" s="78">
        <f t="shared" si="49"/>
        <v>0</v>
      </c>
      <c r="BO322" s="78">
        <f t="shared" si="50"/>
        <v>0</v>
      </c>
      <c r="BP322" s="78">
        <f t="shared" si="51"/>
        <v>0</v>
      </c>
    </row>
    <row r="323" spans="1:68" ht="27" hidden="1" customHeight="1" x14ac:dyDescent="0.25">
      <c r="A323" s="63" t="s">
        <v>547</v>
      </c>
      <c r="B323" s="63" t="s">
        <v>548</v>
      </c>
      <c r="C323" s="36">
        <v>4301011850</v>
      </c>
      <c r="D323" s="649">
        <v>4680115885806</v>
      </c>
      <c r="E323" s="64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51"/>
      <c r="R323" s="651"/>
      <c r="S323" s="651"/>
      <c r="T323" s="65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 t="shared" si="47"/>
        <v/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0</v>
      </c>
      <c r="BN323" s="78">
        <f t="shared" si="49"/>
        <v>0</v>
      </c>
      <c r="BO323" s="78">
        <f t="shared" si="50"/>
        <v>0</v>
      </c>
      <c r="BP323" s="78">
        <f t="shared" si="51"/>
        <v>0</v>
      </c>
    </row>
    <row r="324" spans="1:68" ht="27" hidden="1" customHeight="1" x14ac:dyDescent="0.25">
      <c r="A324" s="63" t="s">
        <v>550</v>
      </c>
      <c r="B324" s="63" t="s">
        <v>551</v>
      </c>
      <c r="C324" s="36">
        <v>4301011852</v>
      </c>
      <c r="D324" s="649">
        <v>4680115885844</v>
      </c>
      <c r="E324" s="649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51"/>
      <c r="R324" s="651"/>
      <c r="S324" s="651"/>
      <c r="T324" s="65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hidden="1" customHeight="1" x14ac:dyDescent="0.25">
      <c r="A325" s="63" t="s">
        <v>553</v>
      </c>
      <c r="B325" s="63" t="s">
        <v>554</v>
      </c>
      <c r="C325" s="36">
        <v>4301011851</v>
      </c>
      <c r="D325" s="649">
        <v>4680115885820</v>
      </c>
      <c r="E325" s="64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51"/>
      <c r="R325" s="651"/>
      <c r="S325" s="651"/>
      <c r="T325" s="65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0</v>
      </c>
      <c r="Y326" s="43">
        <f>IFERROR(Y318/H318,"0")+IFERROR(Y319/H319,"0")+IFERROR(Y320/H320,"0")+IFERROR(Y321/H321,"0")+IFERROR(Y322/H322,"0")+IFERROR(Y323/H323,"0")+IFERROR(Y324/H324,"0")+IFERROR(Y325/H325,"0")</f>
        <v>0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2" t="s">
        <v>0</v>
      </c>
      <c r="X327" s="43">
        <f>IFERROR(SUM(X318:X325),"0")</f>
        <v>0</v>
      </c>
      <c r="Y327" s="43">
        <f>IFERROR(SUM(Y318:Y325),"0")</f>
        <v>0</v>
      </c>
      <c r="Z327" s="42"/>
      <c r="AA327" s="67"/>
      <c r="AB327" s="67"/>
      <c r="AC327" s="67"/>
    </row>
    <row r="328" spans="1:68" ht="16.5" hidden="1" customHeight="1" x14ac:dyDescent="0.25">
      <c r="A328" s="647" t="s">
        <v>556</v>
      </c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7"/>
      <c r="P328" s="647"/>
      <c r="Q328" s="647"/>
      <c r="R328" s="647"/>
      <c r="S328" s="647"/>
      <c r="T328" s="647"/>
      <c r="U328" s="647"/>
      <c r="V328" s="647"/>
      <c r="W328" s="647"/>
      <c r="X328" s="647"/>
      <c r="Y328" s="647"/>
      <c r="Z328" s="647"/>
      <c r="AA328" s="65"/>
      <c r="AB328" s="65"/>
      <c r="AC328" s="79"/>
    </row>
    <row r="329" spans="1:68" ht="14.25" hidden="1" customHeight="1" x14ac:dyDescent="0.25">
      <c r="A329" s="648" t="s">
        <v>77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6"/>
      <c r="AB329" s="66"/>
      <c r="AC329" s="80"/>
    </row>
    <row r="330" spans="1:68" ht="27" hidden="1" customHeight="1" x14ac:dyDescent="0.25">
      <c r="A330" s="63" t="s">
        <v>557</v>
      </c>
      <c r="B330" s="63" t="s">
        <v>558</v>
      </c>
      <c r="C330" s="36">
        <v>4301051893</v>
      </c>
      <c r="D330" s="649">
        <v>4680115886186</v>
      </c>
      <c r="E330" s="649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560</v>
      </c>
      <c r="B331" s="63" t="s">
        <v>561</v>
      </c>
      <c r="C331" s="36">
        <v>4301051795</v>
      </c>
      <c r="D331" s="649">
        <v>4680115881228</v>
      </c>
      <c r="E331" s="649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51"/>
      <c r="R331" s="651"/>
      <c r="S331" s="651"/>
      <c r="T331" s="65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563</v>
      </c>
      <c r="B332" s="63" t="s">
        <v>564</v>
      </c>
      <c r="C332" s="36">
        <v>4301051388</v>
      </c>
      <c r="D332" s="649">
        <v>4680115881211</v>
      </c>
      <c r="E332" s="64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51"/>
      <c r="R332" s="651"/>
      <c r="S332" s="651"/>
      <c r="T332" s="65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39</v>
      </c>
      <c r="X333" s="43">
        <f>IFERROR(X330/H330,"0")+IFERROR(X331/H331,"0")+IFERROR(X332/H332,"0")</f>
        <v>0</v>
      </c>
      <c r="Y333" s="43">
        <f>IFERROR(Y330/H330,"0")+IFERROR(Y331/H331,"0")+IFERROR(Y332/H332,"0")</f>
        <v>0</v>
      </c>
      <c r="Z333" s="43">
        <f>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0</v>
      </c>
      <c r="X334" s="43">
        <f>IFERROR(SUM(X330:X332),"0")</f>
        <v>0</v>
      </c>
      <c r="Y334" s="43">
        <f>IFERROR(SUM(Y330:Y332),"0")</f>
        <v>0</v>
      </c>
      <c r="Z334" s="42"/>
      <c r="AA334" s="67"/>
      <c r="AB334" s="67"/>
      <c r="AC334" s="67"/>
    </row>
    <row r="335" spans="1:68" ht="16.5" hidden="1" customHeight="1" x14ac:dyDescent="0.25">
      <c r="A335" s="647" t="s">
        <v>565</v>
      </c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7"/>
      <c r="P335" s="647"/>
      <c r="Q335" s="647"/>
      <c r="R335" s="647"/>
      <c r="S335" s="647"/>
      <c r="T335" s="647"/>
      <c r="U335" s="647"/>
      <c r="V335" s="647"/>
      <c r="W335" s="647"/>
      <c r="X335" s="647"/>
      <c r="Y335" s="647"/>
      <c r="Z335" s="647"/>
      <c r="AA335" s="65"/>
      <c r="AB335" s="65"/>
      <c r="AC335" s="79"/>
    </row>
    <row r="336" spans="1:68" ht="14.25" hidden="1" customHeight="1" x14ac:dyDescent="0.25">
      <c r="A336" s="648" t="s">
        <v>256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6"/>
      <c r="AB336" s="66"/>
      <c r="AC336" s="80"/>
    </row>
    <row r="337" spans="1:68" ht="27" hidden="1" customHeight="1" x14ac:dyDescent="0.25">
      <c r="A337" s="63" t="s">
        <v>566</v>
      </c>
      <c r="B337" s="63" t="s">
        <v>567</v>
      </c>
      <c r="C337" s="36">
        <v>4301031445</v>
      </c>
      <c r="D337" s="649">
        <v>4680115888319</v>
      </c>
      <c r="E337" s="649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569</v>
      </c>
      <c r="B338" s="63" t="s">
        <v>570</v>
      </c>
      <c r="C338" s="36">
        <v>4301031502</v>
      </c>
      <c r="D338" s="649">
        <v>4680115884700</v>
      </c>
      <c r="E338" s="649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51"/>
      <c r="R338" s="651"/>
      <c r="S338" s="651"/>
      <c r="T338" s="65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572</v>
      </c>
      <c r="B339" s="63" t="s">
        <v>573</v>
      </c>
      <c r="C339" s="36">
        <v>4301031307</v>
      </c>
      <c r="D339" s="649">
        <v>4680115880344</v>
      </c>
      <c r="E339" s="649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51"/>
      <c r="R339" s="651"/>
      <c r="S339" s="651"/>
      <c r="T339" s="65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575</v>
      </c>
      <c r="B340" s="63" t="s">
        <v>576</v>
      </c>
      <c r="C340" s="36">
        <v>4301031501</v>
      </c>
      <c r="D340" s="649">
        <v>4680115886919</v>
      </c>
      <c r="E340" s="649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51"/>
      <c r="R340" s="651"/>
      <c r="S340" s="651"/>
      <c r="T340" s="65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hidden="1" customHeight="1" x14ac:dyDescent="0.25">
      <c r="A343" s="648" t="s">
        <v>77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6"/>
      <c r="AB343" s="66"/>
      <c r="AC343" s="80"/>
    </row>
    <row r="344" spans="1:68" ht="27" hidden="1" customHeight="1" x14ac:dyDescent="0.25">
      <c r="A344" s="63" t="s">
        <v>578</v>
      </c>
      <c r="B344" s="63" t="s">
        <v>579</v>
      </c>
      <c r="C344" s="36">
        <v>4301051782</v>
      </c>
      <c r="D344" s="649">
        <v>4680115884618</v>
      </c>
      <c r="E344" s="649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4301052057</v>
      </c>
      <c r="D345" s="649">
        <v>4680115887114</v>
      </c>
      <c r="E345" s="649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hidden="1" customHeight="1" x14ac:dyDescent="0.25">
      <c r="A346" s="63" t="s">
        <v>584</v>
      </c>
      <c r="B346" s="63" t="s">
        <v>585</v>
      </c>
      <c r="C346" s="36">
        <v>4301052066</v>
      </c>
      <c r="D346" s="649">
        <v>4680115887466</v>
      </c>
      <c r="E346" s="649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56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53" t="s">
        <v>40</v>
      </c>
      <c r="Q347" s="654"/>
      <c r="R347" s="654"/>
      <c r="S347" s="654"/>
      <c r="T347" s="654"/>
      <c r="U347" s="654"/>
      <c r="V347" s="65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hidden="1" customHeight="1" x14ac:dyDescent="0.25">
      <c r="A349" s="647" t="s">
        <v>587</v>
      </c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7"/>
      <c r="P349" s="647"/>
      <c r="Q349" s="647"/>
      <c r="R349" s="647"/>
      <c r="S349" s="647"/>
      <c r="T349" s="647"/>
      <c r="U349" s="647"/>
      <c r="V349" s="647"/>
      <c r="W349" s="647"/>
      <c r="X349" s="647"/>
      <c r="Y349" s="647"/>
      <c r="Z349" s="647"/>
      <c r="AA349" s="65"/>
      <c r="AB349" s="65"/>
      <c r="AC349" s="79"/>
    </row>
    <row r="350" spans="1:68" ht="14.25" hidden="1" customHeight="1" x14ac:dyDescent="0.25">
      <c r="A350" s="648" t="s">
        <v>256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6"/>
      <c r="AB350" s="66"/>
      <c r="AC350" s="80"/>
    </row>
    <row r="351" spans="1:68" ht="37.5" hidden="1" customHeight="1" x14ac:dyDescent="0.25">
      <c r="A351" s="63" t="s">
        <v>588</v>
      </c>
      <c r="B351" s="63" t="s">
        <v>589</v>
      </c>
      <c r="C351" s="36">
        <v>4301031283</v>
      </c>
      <c r="D351" s="649">
        <v>4680115886001</v>
      </c>
      <c r="E351" s="649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76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56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53" t="s">
        <v>40</v>
      </c>
      <c r="Q352" s="654"/>
      <c r="R352" s="654"/>
      <c r="S352" s="654"/>
      <c r="T352" s="654"/>
      <c r="U352" s="654"/>
      <c r="V352" s="65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hidden="1" customHeight="1" x14ac:dyDescent="0.25">
      <c r="A354" s="648" t="s">
        <v>77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6"/>
      <c r="AB354" s="66"/>
      <c r="AC354" s="80"/>
    </row>
    <row r="355" spans="1:68" ht="27" hidden="1" customHeight="1" x14ac:dyDescent="0.25">
      <c r="A355" s="63" t="s">
        <v>591</v>
      </c>
      <c r="B355" s="63" t="s">
        <v>592</v>
      </c>
      <c r="C355" s="36">
        <v>4301051597</v>
      </c>
      <c r="D355" s="649">
        <v>4680115886087</v>
      </c>
      <c r="E355" s="649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761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51"/>
      <c r="R355" s="651"/>
      <c r="S355" s="651"/>
      <c r="T355" s="652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56"/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7"/>
      <c r="P357" s="653" t="s">
        <v>40</v>
      </c>
      <c r="Q357" s="654"/>
      <c r="R357" s="654"/>
      <c r="S357" s="654"/>
      <c r="T357" s="654"/>
      <c r="U357" s="654"/>
      <c r="V357" s="65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hidden="1" customHeight="1" x14ac:dyDescent="0.25">
      <c r="A358" s="647" t="s">
        <v>594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5"/>
      <c r="AB358" s="65"/>
      <c r="AC358" s="79"/>
    </row>
    <row r="359" spans="1:68" ht="14.25" hidden="1" customHeight="1" x14ac:dyDescent="0.25">
      <c r="A359" s="648" t="s">
        <v>124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6"/>
      <c r="AB359" s="66"/>
      <c r="AC359" s="80"/>
    </row>
    <row r="360" spans="1:68" ht="27" hidden="1" customHeight="1" x14ac:dyDescent="0.25">
      <c r="A360" s="63" t="s">
        <v>595</v>
      </c>
      <c r="B360" s="63" t="s">
        <v>596</v>
      </c>
      <c r="C360" s="36">
        <v>4301012324</v>
      </c>
      <c r="D360" s="649">
        <v>4680115887947</v>
      </c>
      <c r="E360" s="649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51"/>
      <c r="R360" s="651"/>
      <c r="S360" s="651"/>
      <c r="T360" s="652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597</v>
      </c>
      <c r="B361" s="63" t="s">
        <v>598</v>
      </c>
      <c r="C361" s="36">
        <v>4301012325</v>
      </c>
      <c r="D361" s="649">
        <v>4680115887978</v>
      </c>
      <c r="E361" s="649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51"/>
      <c r="R361" s="651"/>
      <c r="S361" s="651"/>
      <c r="T361" s="652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hidden="1" customHeight="1" x14ac:dyDescent="0.25">
      <c r="A362" s="63" t="s">
        <v>600</v>
      </c>
      <c r="B362" s="63" t="s">
        <v>601</v>
      </c>
      <c r="C362" s="36">
        <v>4301012327</v>
      </c>
      <c r="D362" s="649">
        <v>4680115887992</v>
      </c>
      <c r="E362" s="649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51"/>
      <c r="R362" s="651"/>
      <c r="S362" s="651"/>
      <c r="T362" s="65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39</v>
      </c>
      <c r="X363" s="43">
        <f>IFERROR(X360/H360,"0")+IFERROR(X361/H361,"0")+IFERROR(X362/H362,"0")</f>
        <v>0</v>
      </c>
      <c r="Y363" s="43">
        <f>IFERROR(Y360/H360,"0")+IFERROR(Y361/H361,"0")+IFERROR(Y362/H362,"0")</f>
        <v>0</v>
      </c>
      <c r="Z363" s="43">
        <f>IFERROR(IF(Z360="",0,Z360),"0")+IFERROR(IF(Z361="",0,Z361),"0")+IFERROR(IF(Z362="",0,Z362),"0")</f>
        <v>0</v>
      </c>
      <c r="AA363" s="67"/>
      <c r="AB363" s="67"/>
      <c r="AC363" s="67"/>
    </row>
    <row r="364" spans="1:68" hidden="1" x14ac:dyDescent="0.2">
      <c r="A364" s="656"/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7"/>
      <c r="P364" s="653" t="s">
        <v>40</v>
      </c>
      <c r="Q364" s="654"/>
      <c r="R364" s="654"/>
      <c r="S364" s="654"/>
      <c r="T364" s="654"/>
      <c r="U364" s="654"/>
      <c r="V364" s="655"/>
      <c r="W364" s="42" t="s">
        <v>0</v>
      </c>
      <c r="X364" s="43">
        <f>IFERROR(SUM(X360:X362),"0")</f>
        <v>0</v>
      </c>
      <c r="Y364" s="43">
        <f>IFERROR(SUM(Y360:Y362),"0")</f>
        <v>0</v>
      </c>
      <c r="Z364" s="42"/>
      <c r="AA364" s="67"/>
      <c r="AB364" s="67"/>
      <c r="AC364" s="67"/>
    </row>
    <row r="365" spans="1:68" ht="16.5" hidden="1" customHeight="1" x14ac:dyDescent="0.25">
      <c r="A365" s="647" t="s">
        <v>603</v>
      </c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7"/>
      <c r="P365" s="647"/>
      <c r="Q365" s="647"/>
      <c r="R365" s="647"/>
      <c r="S365" s="647"/>
      <c r="T365" s="647"/>
      <c r="U365" s="647"/>
      <c r="V365" s="647"/>
      <c r="W365" s="647"/>
      <c r="X365" s="647"/>
      <c r="Y365" s="647"/>
      <c r="Z365" s="647"/>
      <c r="AA365" s="65"/>
      <c r="AB365" s="65"/>
      <c r="AC365" s="79"/>
    </row>
    <row r="366" spans="1:68" ht="14.25" hidden="1" customHeight="1" x14ac:dyDescent="0.25">
      <c r="A366" s="648" t="s">
        <v>124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6"/>
      <c r="AB366" s="66"/>
      <c r="AC366" s="80"/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49">
        <v>4680115889293</v>
      </c>
      <c r="E367" s="649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2"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0</v>
      </c>
      <c r="BN367" s="78">
        <f t="shared" ref="BN367:BN373" si="54">IFERROR(Y367*I367/H367,"0")</f>
        <v>0</v>
      </c>
      <c r="BO367" s="78">
        <f t="shared" ref="BO367:BO373" si="55">IFERROR(1/J367*(X367/H367),"0")</f>
        <v>0</v>
      </c>
      <c r="BP367" s="78">
        <f t="shared" ref="BP367:BP373" si="56">IFERROR(1/J367*(Y367/H367),"0")</f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49">
        <v>4680115887190</v>
      </c>
      <c r="E368" s="649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1"/>
      <c r="R368" s="651"/>
      <c r="S368" s="651"/>
      <c r="T368" s="65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4301012400</v>
      </c>
      <c r="D369" s="649">
        <v>4680115889880</v>
      </c>
      <c r="E369" s="649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51"/>
      <c r="R369" s="651"/>
      <c r="S369" s="651"/>
      <c r="T369" s="65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hidden="1" customHeight="1" x14ac:dyDescent="0.25">
      <c r="A370" s="63" t="s">
        <v>612</v>
      </c>
      <c r="B370" s="63" t="s">
        <v>613</v>
      </c>
      <c r="C370" s="36">
        <v>4301012233</v>
      </c>
      <c r="D370" s="649">
        <v>4680115887138</v>
      </c>
      <c r="E370" s="649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51"/>
      <c r="R370" s="651"/>
      <c r="S370" s="651"/>
      <c r="T370" s="65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4301012016</v>
      </c>
      <c r="D371" s="649">
        <v>4680115885554</v>
      </c>
      <c r="E371" s="649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2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0</v>
      </c>
      <c r="BN371" s="78">
        <f t="shared" si="54"/>
        <v>0</v>
      </c>
      <c r="BO371" s="78">
        <f t="shared" si="55"/>
        <v>0</v>
      </c>
      <c r="BP371" s="78">
        <f t="shared" si="56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4301012236</v>
      </c>
      <c r="D372" s="649">
        <v>4680115887220</v>
      </c>
      <c r="E372" s="649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hidden="1" customHeight="1" x14ac:dyDescent="0.25">
      <c r="A373" s="63" t="s">
        <v>620</v>
      </c>
      <c r="B373" s="63" t="s">
        <v>621</v>
      </c>
      <c r="C373" s="36">
        <v>4301011859</v>
      </c>
      <c r="D373" s="649">
        <v>4680115885608</v>
      </c>
      <c r="E373" s="649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hidden="1" x14ac:dyDescent="0.2">
      <c r="A374" s="656"/>
      <c r="B374" s="656"/>
      <c r="C374" s="656"/>
      <c r="D374" s="656"/>
      <c r="E374" s="656"/>
      <c r="F374" s="656"/>
      <c r="G374" s="656"/>
      <c r="H374" s="656"/>
      <c r="I374" s="656"/>
      <c r="J374" s="656"/>
      <c r="K374" s="656"/>
      <c r="L374" s="656"/>
      <c r="M374" s="656"/>
      <c r="N374" s="656"/>
      <c r="O374" s="657"/>
      <c r="P374" s="653" t="s">
        <v>40</v>
      </c>
      <c r="Q374" s="654"/>
      <c r="R374" s="654"/>
      <c r="S374" s="654"/>
      <c r="T374" s="654"/>
      <c r="U374" s="654"/>
      <c r="V374" s="655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hidden="1" x14ac:dyDescent="0.2">
      <c r="A375" s="656"/>
      <c r="B375" s="656"/>
      <c r="C375" s="656"/>
      <c r="D375" s="656"/>
      <c r="E375" s="656"/>
      <c r="F375" s="656"/>
      <c r="G375" s="656"/>
      <c r="H375" s="656"/>
      <c r="I375" s="656"/>
      <c r="J375" s="656"/>
      <c r="K375" s="656"/>
      <c r="L375" s="656"/>
      <c r="M375" s="656"/>
      <c r="N375" s="656"/>
      <c r="O375" s="657"/>
      <c r="P375" s="653" t="s">
        <v>40</v>
      </c>
      <c r="Q375" s="654"/>
      <c r="R375" s="654"/>
      <c r="S375" s="654"/>
      <c r="T375" s="654"/>
      <c r="U375" s="654"/>
      <c r="V375" s="655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hidden="1" customHeight="1" x14ac:dyDescent="0.25">
      <c r="A376" s="648" t="s">
        <v>256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6"/>
      <c r="AB376" s="66"/>
      <c r="AC376" s="80"/>
    </row>
    <row r="377" spans="1:68" ht="27" hidden="1" customHeight="1" x14ac:dyDescent="0.25">
      <c r="A377" s="63" t="s">
        <v>623</v>
      </c>
      <c r="B377" s="63" t="s">
        <v>624</v>
      </c>
      <c r="C377" s="36">
        <v>4301030878</v>
      </c>
      <c r="D377" s="649">
        <v>4607091387193</v>
      </c>
      <c r="E377" s="649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ref="Y377:Y383" si="57"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0</v>
      </c>
      <c r="BN377" s="78">
        <f t="shared" ref="BN377:BN383" si="59">IFERROR(Y377*I377/H377,"0")</f>
        <v>0</v>
      </c>
      <c r="BO377" s="78">
        <f t="shared" ref="BO377:BO383" si="60">IFERROR(1/J377*(X377/H377),"0")</f>
        <v>0</v>
      </c>
      <c r="BP377" s="78">
        <f t="shared" ref="BP377:BP383" si="61">IFERROR(1/J377*(Y377/H377),"0")</f>
        <v>0</v>
      </c>
    </row>
    <row r="378" spans="1:68" ht="27" hidden="1" customHeight="1" x14ac:dyDescent="0.25">
      <c r="A378" s="63" t="s">
        <v>626</v>
      </c>
      <c r="B378" s="63" t="s">
        <v>627</v>
      </c>
      <c r="C378" s="36">
        <v>4301031153</v>
      </c>
      <c r="D378" s="649">
        <v>4607091387230</v>
      </c>
      <c r="E378" s="649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51"/>
      <c r="R378" s="651"/>
      <c r="S378" s="651"/>
      <c r="T378" s="65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0</v>
      </c>
      <c r="BN378" s="78">
        <f t="shared" si="59"/>
        <v>0</v>
      </c>
      <c r="BO378" s="78">
        <f t="shared" si="60"/>
        <v>0</v>
      </c>
      <c r="BP378" s="78">
        <f t="shared" si="61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4301031154</v>
      </c>
      <c r="D379" s="649">
        <v>4607091387292</v>
      </c>
      <c r="E379" s="649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51"/>
      <c r="R379" s="651"/>
      <c r="S379" s="651"/>
      <c r="T379" s="652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4301031152</v>
      </c>
      <c r="D380" s="649">
        <v>4607091387285</v>
      </c>
      <c r="E380" s="649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51"/>
      <c r="R380" s="651"/>
      <c r="S380" s="651"/>
      <c r="T380" s="652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4301031305</v>
      </c>
      <c r="D381" s="649">
        <v>4607091389845</v>
      </c>
      <c r="E381" s="649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7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0</v>
      </c>
      <c r="BN381" s="78">
        <f t="shared" si="59"/>
        <v>0</v>
      </c>
      <c r="BO381" s="78">
        <f t="shared" si="60"/>
        <v>0</v>
      </c>
      <c r="BP381" s="78">
        <f t="shared" si="61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4301031460</v>
      </c>
      <c r="D382" s="649">
        <v>4680115887442</v>
      </c>
      <c r="E382" s="649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7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hidden="1" customHeight="1" x14ac:dyDescent="0.25">
      <c r="A383" s="63" t="s">
        <v>639</v>
      </c>
      <c r="B383" s="63" t="s">
        <v>640</v>
      </c>
      <c r="C383" s="36">
        <v>4301031066</v>
      </c>
      <c r="D383" s="649">
        <v>4607091383836</v>
      </c>
      <c r="E383" s="649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7"/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0</v>
      </c>
      <c r="BN383" s="78">
        <f t="shared" si="59"/>
        <v>0</v>
      </c>
      <c r="BO383" s="78">
        <f t="shared" si="60"/>
        <v>0</v>
      </c>
      <c r="BP383" s="78">
        <f t="shared" si="61"/>
        <v>0</v>
      </c>
    </row>
    <row r="384" spans="1:68" hidden="1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2" t="s">
        <v>39</v>
      </c>
      <c r="X384" s="43">
        <f>IFERROR(X377/H377,"0")+IFERROR(X378/H378,"0")+IFERROR(X379/H379,"0")+IFERROR(X380/H380,"0")+IFERROR(X381/H381,"0")+IFERROR(X382/H382,"0")+IFERROR(X383/H383,"0")</f>
        <v>0</v>
      </c>
      <c r="Y384" s="43">
        <f>IFERROR(Y377/H377,"0")+IFERROR(Y378/H378,"0")+IFERROR(Y379/H379,"0")+IFERROR(Y380/H380,"0")+IFERROR(Y381/H381,"0")+IFERROR(Y382/H382,"0")+IFERROR(Y383/H383,"0")</f>
        <v>0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6"/>
      <c r="B385" s="656"/>
      <c r="C385" s="656"/>
      <c r="D385" s="656"/>
      <c r="E385" s="656"/>
      <c r="F385" s="656"/>
      <c r="G385" s="656"/>
      <c r="H385" s="656"/>
      <c r="I385" s="656"/>
      <c r="J385" s="656"/>
      <c r="K385" s="656"/>
      <c r="L385" s="656"/>
      <c r="M385" s="656"/>
      <c r="N385" s="656"/>
      <c r="O385" s="657"/>
      <c r="P385" s="653" t="s">
        <v>40</v>
      </c>
      <c r="Q385" s="654"/>
      <c r="R385" s="654"/>
      <c r="S385" s="654"/>
      <c r="T385" s="654"/>
      <c r="U385" s="654"/>
      <c r="V385" s="655"/>
      <c r="W385" s="42" t="s">
        <v>0</v>
      </c>
      <c r="X385" s="43">
        <f>IFERROR(SUM(X377:X383),"0")</f>
        <v>0</v>
      </c>
      <c r="Y385" s="43">
        <f>IFERROR(SUM(Y377:Y383),"0")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48" t="s">
        <v>77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6"/>
      <c r="AB386" s="66"/>
      <c r="AC386" s="80"/>
    </row>
    <row r="387" spans="1:68" ht="27" hidden="1" customHeight="1" x14ac:dyDescent="0.25">
      <c r="A387" s="63" t="s">
        <v>642</v>
      </c>
      <c r="B387" s="63" t="s">
        <v>643</v>
      </c>
      <c r="C387" s="36">
        <v>4301051100</v>
      </c>
      <c r="D387" s="649">
        <v>4607091387766</v>
      </c>
      <c r="E387" s="649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51"/>
      <c r="R387" s="651"/>
      <c r="S387" s="651"/>
      <c r="T387" s="65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4301051818</v>
      </c>
      <c r="D388" s="649">
        <v>4607091387957</v>
      </c>
      <c r="E388" s="649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4301051819</v>
      </c>
      <c r="D389" s="649">
        <v>4607091387964</v>
      </c>
      <c r="E389" s="649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651</v>
      </c>
      <c r="B390" s="63" t="s">
        <v>652</v>
      </c>
      <c r="C390" s="36">
        <v>4301051734</v>
      </c>
      <c r="D390" s="649">
        <v>4680115884588</v>
      </c>
      <c r="E390" s="649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656"/>
      <c r="B391" s="656"/>
      <c r="C391" s="656"/>
      <c r="D391" s="656"/>
      <c r="E391" s="656"/>
      <c r="F391" s="656"/>
      <c r="G391" s="656"/>
      <c r="H391" s="656"/>
      <c r="I391" s="656"/>
      <c r="J391" s="656"/>
      <c r="K391" s="656"/>
      <c r="L391" s="656"/>
      <c r="M391" s="656"/>
      <c r="N391" s="656"/>
      <c r="O391" s="657"/>
      <c r="P391" s="653" t="s">
        <v>40</v>
      </c>
      <c r="Q391" s="654"/>
      <c r="R391" s="654"/>
      <c r="S391" s="654"/>
      <c r="T391" s="654"/>
      <c r="U391" s="654"/>
      <c r="V391" s="655"/>
      <c r="W391" s="42" t="s">
        <v>39</v>
      </c>
      <c r="X391" s="43">
        <f>IFERROR(X387/H387,"0")+IFERROR(X388/H388,"0")+IFERROR(X389/H389,"0")+IFERROR(X390/H390,"0")</f>
        <v>0</v>
      </c>
      <c r="Y391" s="43">
        <f>IFERROR(Y387/H387,"0")+IFERROR(Y388/H388,"0")+IFERROR(Y389/H389,"0")+IFERROR(Y390/H390,"0")</f>
        <v>0</v>
      </c>
      <c r="Z391" s="43">
        <f>IFERROR(IF(Z387="",0,Z387),"0")+IFERROR(IF(Z388="",0,Z388),"0")+IFERROR(IF(Z389="",0,Z389),"0")+IFERROR(IF(Z390="",0,Z390),"0")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656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53" t="s">
        <v>40</v>
      </c>
      <c r="Q392" s="654"/>
      <c r="R392" s="654"/>
      <c r="S392" s="654"/>
      <c r="T392" s="654"/>
      <c r="U392" s="654"/>
      <c r="V392" s="655"/>
      <c r="W392" s="42" t="s">
        <v>0</v>
      </c>
      <c r="X392" s="43">
        <f>IFERROR(SUM(X387:X390),"0")</f>
        <v>0</v>
      </c>
      <c r="Y392" s="43">
        <f>IFERROR(SUM(Y387:Y390),"0")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648" t="s">
        <v>179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6"/>
      <c r="AB393" s="66"/>
      <c r="AC393" s="80"/>
    </row>
    <row r="394" spans="1:68" ht="27" hidden="1" customHeight="1" x14ac:dyDescent="0.25">
      <c r="A394" s="63" t="s">
        <v>653</v>
      </c>
      <c r="B394" s="63" t="s">
        <v>654</v>
      </c>
      <c r="C394" s="36">
        <v>4301060387</v>
      </c>
      <c r="D394" s="649">
        <v>4607091380880</v>
      </c>
      <c r="E394" s="649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7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4301060406</v>
      </c>
      <c r="D395" s="649">
        <v>4607091384482</v>
      </c>
      <c r="E395" s="649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7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659</v>
      </c>
      <c r="B396" s="63" t="s">
        <v>660</v>
      </c>
      <c r="C396" s="36">
        <v>4301060484</v>
      </c>
      <c r="D396" s="649">
        <v>4607091380897</v>
      </c>
      <c r="E396" s="649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2" t="s">
        <v>39</v>
      </c>
      <c r="X397" s="43">
        <f>IFERROR(X394/H394,"0")+IFERROR(X395/H395,"0")+IFERROR(X396/H396,"0")</f>
        <v>0</v>
      </c>
      <c r="Y397" s="43">
        <f>IFERROR(Y394/H394,"0")+IFERROR(Y395/H395,"0")+IFERROR(Y396/H396,"0")</f>
        <v>0</v>
      </c>
      <c r="Z397" s="43">
        <f>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6"/>
      <c r="B398" s="656"/>
      <c r="C398" s="656"/>
      <c r="D398" s="656"/>
      <c r="E398" s="656"/>
      <c r="F398" s="656"/>
      <c r="G398" s="656"/>
      <c r="H398" s="656"/>
      <c r="I398" s="656"/>
      <c r="J398" s="656"/>
      <c r="K398" s="656"/>
      <c r="L398" s="656"/>
      <c r="M398" s="656"/>
      <c r="N398" s="656"/>
      <c r="O398" s="657"/>
      <c r="P398" s="653" t="s">
        <v>40</v>
      </c>
      <c r="Q398" s="654"/>
      <c r="R398" s="654"/>
      <c r="S398" s="654"/>
      <c r="T398" s="654"/>
      <c r="U398" s="654"/>
      <c r="V398" s="655"/>
      <c r="W398" s="42" t="s">
        <v>0</v>
      </c>
      <c r="X398" s="43">
        <f>IFERROR(SUM(X394:X396),"0")</f>
        <v>0</v>
      </c>
      <c r="Y398" s="43">
        <f>IFERROR(SUM(Y394:Y396),"0")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48" t="s">
        <v>95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6"/>
      <c r="AB399" s="66"/>
      <c r="AC399" s="80"/>
    </row>
    <row r="400" spans="1:68" ht="27" hidden="1" customHeight="1" x14ac:dyDescent="0.25">
      <c r="A400" s="63" t="s">
        <v>662</v>
      </c>
      <c r="B400" s="63" t="s">
        <v>663</v>
      </c>
      <c r="C400" s="36">
        <v>4301030235</v>
      </c>
      <c r="D400" s="649">
        <v>4607091388381</v>
      </c>
      <c r="E400" s="649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51"/>
      <c r="R400" s="651"/>
      <c r="S400" s="651"/>
      <c r="T400" s="65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4301030232</v>
      </c>
      <c r="D401" s="649">
        <v>4607091388374</v>
      </c>
      <c r="E401" s="649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4301032015</v>
      </c>
      <c r="D402" s="649">
        <v>4607091383102</v>
      </c>
      <c r="E402" s="649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669</v>
      </c>
      <c r="B403" s="63" t="s">
        <v>670</v>
      </c>
      <c r="C403" s="36">
        <v>4301030233</v>
      </c>
      <c r="D403" s="649">
        <v>4607091388404</v>
      </c>
      <c r="E403" s="649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656"/>
      <c r="B404" s="656"/>
      <c r="C404" s="656"/>
      <c r="D404" s="656"/>
      <c r="E404" s="656"/>
      <c r="F404" s="656"/>
      <c r="G404" s="656"/>
      <c r="H404" s="656"/>
      <c r="I404" s="656"/>
      <c r="J404" s="656"/>
      <c r="K404" s="656"/>
      <c r="L404" s="656"/>
      <c r="M404" s="656"/>
      <c r="N404" s="656"/>
      <c r="O404" s="657"/>
      <c r="P404" s="653" t="s">
        <v>40</v>
      </c>
      <c r="Q404" s="654"/>
      <c r="R404" s="654"/>
      <c r="S404" s="654"/>
      <c r="T404" s="654"/>
      <c r="U404" s="654"/>
      <c r="V404" s="655"/>
      <c r="W404" s="42" t="s">
        <v>39</v>
      </c>
      <c r="X404" s="43">
        <f>IFERROR(X400/H400,"0")+IFERROR(X401/H401,"0")+IFERROR(X402/H402,"0")+IFERROR(X403/H403,"0")</f>
        <v>0</v>
      </c>
      <c r="Y404" s="43">
        <f>IFERROR(Y400/H400,"0")+IFERROR(Y401/H401,"0")+IFERROR(Y402/H402,"0")+IFERROR(Y403/H403,"0")</f>
        <v>0</v>
      </c>
      <c r="Z404" s="43">
        <f>IFERROR(IF(Z400="",0,Z400),"0")+IFERROR(IF(Z401="",0,Z401),"0")+IFERROR(IF(Z402="",0,Z402),"0")+IFERROR(IF(Z403="",0,Z403),"0")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656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53" t="s">
        <v>40</v>
      </c>
      <c r="Q405" s="654"/>
      <c r="R405" s="654"/>
      <c r="S405" s="654"/>
      <c r="T405" s="654"/>
      <c r="U405" s="654"/>
      <c r="V405" s="655"/>
      <c r="W405" s="42" t="s">
        <v>0</v>
      </c>
      <c r="X405" s="43">
        <f>IFERROR(SUM(X400:X403),"0")</f>
        <v>0</v>
      </c>
      <c r="Y405" s="43">
        <f>IFERROR(SUM(Y400:Y403),"0")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648" t="s">
        <v>671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6"/>
      <c r="AB406" s="66"/>
      <c r="AC406" s="80"/>
    </row>
    <row r="407" spans="1:68" ht="16.5" hidden="1" customHeight="1" x14ac:dyDescent="0.25">
      <c r="A407" s="63" t="s">
        <v>672</v>
      </c>
      <c r="B407" s="63" t="s">
        <v>673</v>
      </c>
      <c r="C407" s="36">
        <v>4301180007</v>
      </c>
      <c r="D407" s="649">
        <v>4680115881808</v>
      </c>
      <c r="E407" s="649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4301180006</v>
      </c>
      <c r="D408" s="649">
        <v>4680115881822</v>
      </c>
      <c r="E408" s="649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678</v>
      </c>
      <c r="B409" s="63" t="s">
        <v>679</v>
      </c>
      <c r="C409" s="36">
        <v>4301180001</v>
      </c>
      <c r="D409" s="649">
        <v>4680115880016</v>
      </c>
      <c r="E409" s="649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656"/>
      <c r="B410" s="656"/>
      <c r="C410" s="656"/>
      <c r="D410" s="656"/>
      <c r="E410" s="656"/>
      <c r="F410" s="656"/>
      <c r="G410" s="656"/>
      <c r="H410" s="656"/>
      <c r="I410" s="656"/>
      <c r="J410" s="656"/>
      <c r="K410" s="656"/>
      <c r="L410" s="656"/>
      <c r="M410" s="656"/>
      <c r="N410" s="656"/>
      <c r="O410" s="657"/>
      <c r="P410" s="653" t="s">
        <v>40</v>
      </c>
      <c r="Q410" s="654"/>
      <c r="R410" s="654"/>
      <c r="S410" s="654"/>
      <c r="T410" s="654"/>
      <c r="U410" s="654"/>
      <c r="V410" s="655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656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53" t="s">
        <v>40</v>
      </c>
      <c r="Q411" s="654"/>
      <c r="R411" s="654"/>
      <c r="S411" s="654"/>
      <c r="T411" s="654"/>
      <c r="U411" s="654"/>
      <c r="V411" s="655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4.25" hidden="1" customHeight="1" x14ac:dyDescent="0.25">
      <c r="A412" s="648" t="s">
        <v>680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6"/>
      <c r="AB412" s="66"/>
      <c r="AC412" s="80"/>
    </row>
    <row r="413" spans="1:68" ht="27" hidden="1" customHeight="1" x14ac:dyDescent="0.25">
      <c r="A413" s="63" t="s">
        <v>681</v>
      </c>
      <c r="B413" s="63" t="s">
        <v>682</v>
      </c>
      <c r="C413" s="36">
        <v>4301220003</v>
      </c>
      <c r="D413" s="649">
        <v>4680115888678</v>
      </c>
      <c r="E413" s="649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51"/>
      <c r="R413" s="651"/>
      <c r="S413" s="651"/>
      <c r="T413" s="65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4301220001</v>
      </c>
      <c r="D414" s="649">
        <v>4680115888654</v>
      </c>
      <c r="E414" s="649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4301220002</v>
      </c>
      <c r="D415" s="649">
        <v>4680115888753</v>
      </c>
      <c r="E415" s="649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idden="1" x14ac:dyDescent="0.2">
      <c r="A416" s="656"/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7"/>
      <c r="P416" s="653" t="s">
        <v>40</v>
      </c>
      <c r="Q416" s="654"/>
      <c r="R416" s="654"/>
      <c r="S416" s="654"/>
      <c r="T416" s="654"/>
      <c r="U416" s="654"/>
      <c r="V416" s="655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hidden="1" x14ac:dyDescent="0.2">
      <c r="A417" s="656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53" t="s">
        <v>40</v>
      </c>
      <c r="Q417" s="654"/>
      <c r="R417" s="654"/>
      <c r="S417" s="654"/>
      <c r="T417" s="654"/>
      <c r="U417" s="654"/>
      <c r="V417" s="655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6.5" hidden="1" customHeight="1" x14ac:dyDescent="0.25">
      <c r="A418" s="647" t="s">
        <v>689</v>
      </c>
      <c r="B418" s="647"/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  <c r="M418" s="647"/>
      <c r="N418" s="647"/>
      <c r="O418" s="647"/>
      <c r="P418" s="647"/>
      <c r="Q418" s="647"/>
      <c r="R418" s="647"/>
      <c r="S418" s="647"/>
      <c r="T418" s="647"/>
      <c r="U418" s="647"/>
      <c r="V418" s="647"/>
      <c r="W418" s="647"/>
      <c r="X418" s="647"/>
      <c r="Y418" s="647"/>
      <c r="Z418" s="647"/>
      <c r="AA418" s="65"/>
      <c r="AB418" s="65"/>
      <c r="AC418" s="79"/>
    </row>
    <row r="419" spans="1:68" ht="14.25" hidden="1" customHeight="1" x14ac:dyDescent="0.25">
      <c r="A419" s="648" t="s">
        <v>77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6"/>
      <c r="AB419" s="66"/>
      <c r="AC419" s="80"/>
    </row>
    <row r="420" spans="1:68" ht="16.5" hidden="1" customHeight="1" x14ac:dyDescent="0.25">
      <c r="A420" s="63" t="s">
        <v>690</v>
      </c>
      <c r="B420" s="63" t="s">
        <v>691</v>
      </c>
      <c r="C420" s="36">
        <v>4301052283</v>
      </c>
      <c r="D420" s="649">
        <v>4660663720026</v>
      </c>
      <c r="E420" s="649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726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51"/>
      <c r="R420" s="651"/>
      <c r="S420" s="651"/>
      <c r="T420" s="65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hidden="1" customHeight="1" x14ac:dyDescent="0.25">
      <c r="A421" s="63" t="s">
        <v>693</v>
      </c>
      <c r="B421" s="63" t="s">
        <v>694</v>
      </c>
      <c r="C421" s="36">
        <v>4301052236</v>
      </c>
      <c r="D421" s="649">
        <v>4680115889422</v>
      </c>
      <c r="E421" s="649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51"/>
      <c r="R421" s="651"/>
      <c r="S421" s="651"/>
      <c r="T421" s="65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693</v>
      </c>
      <c r="B422" s="63" t="s">
        <v>696</v>
      </c>
      <c r="C422" s="36">
        <v>4301052284</v>
      </c>
      <c r="D422" s="649">
        <v>4680115889972</v>
      </c>
      <c r="E422" s="649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72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698</v>
      </c>
      <c r="B423" s="63" t="s">
        <v>699</v>
      </c>
      <c r="C423" s="36">
        <v>4301052281</v>
      </c>
      <c r="D423" s="649">
        <v>4660663720163</v>
      </c>
      <c r="E423" s="649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729" t="s">
        <v>700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56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53" t="s">
        <v>40</v>
      </c>
      <c r="Q424" s="654"/>
      <c r="R424" s="654"/>
      <c r="S424" s="654"/>
      <c r="T424" s="654"/>
      <c r="U424" s="654"/>
      <c r="V424" s="65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53" t="s">
        <v>40</v>
      </c>
      <c r="Q425" s="654"/>
      <c r="R425" s="654"/>
      <c r="S425" s="654"/>
      <c r="T425" s="654"/>
      <c r="U425" s="654"/>
      <c r="V425" s="65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47" t="s">
        <v>702</v>
      </c>
      <c r="B426" s="647"/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  <c r="M426" s="647"/>
      <c r="N426" s="647"/>
      <c r="O426" s="647"/>
      <c r="P426" s="647"/>
      <c r="Q426" s="647"/>
      <c r="R426" s="647"/>
      <c r="S426" s="647"/>
      <c r="T426" s="647"/>
      <c r="U426" s="647"/>
      <c r="V426" s="647"/>
      <c r="W426" s="647"/>
      <c r="X426" s="647"/>
      <c r="Y426" s="647"/>
      <c r="Z426" s="647"/>
      <c r="AA426" s="65"/>
      <c r="AB426" s="65"/>
      <c r="AC426" s="79"/>
    </row>
    <row r="427" spans="1:68" ht="14.25" hidden="1" customHeight="1" x14ac:dyDescent="0.25">
      <c r="A427" s="648" t="s">
        <v>77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6"/>
      <c r="AB427" s="66"/>
      <c r="AC427" s="80"/>
    </row>
    <row r="428" spans="1:68" ht="27" hidden="1" customHeight="1" x14ac:dyDescent="0.25">
      <c r="A428" s="63" t="s">
        <v>703</v>
      </c>
      <c r="B428" s="63" t="s">
        <v>704</v>
      </c>
      <c r="C428" s="36">
        <v>4301051489</v>
      </c>
      <c r="D428" s="649">
        <v>4607091387919</v>
      </c>
      <c r="E428" s="649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706</v>
      </c>
      <c r="B429" s="63" t="s">
        <v>707</v>
      </c>
      <c r="C429" s="36">
        <v>4301051461</v>
      </c>
      <c r="D429" s="649">
        <v>4680115883604</v>
      </c>
      <c r="E429" s="649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709</v>
      </c>
      <c r="B430" s="63" t="s">
        <v>710</v>
      </c>
      <c r="C430" s="36">
        <v>4301051864</v>
      </c>
      <c r="D430" s="649">
        <v>4680115883567</v>
      </c>
      <c r="E430" s="649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7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51"/>
      <c r="R430" s="651"/>
      <c r="S430" s="651"/>
      <c r="T430" s="65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56"/>
      <c r="B431" s="656"/>
      <c r="C431" s="656"/>
      <c r="D431" s="656"/>
      <c r="E431" s="656"/>
      <c r="F431" s="656"/>
      <c r="G431" s="656"/>
      <c r="H431" s="656"/>
      <c r="I431" s="656"/>
      <c r="J431" s="656"/>
      <c r="K431" s="656"/>
      <c r="L431" s="656"/>
      <c r="M431" s="656"/>
      <c r="N431" s="656"/>
      <c r="O431" s="657"/>
      <c r="P431" s="653" t="s">
        <v>40</v>
      </c>
      <c r="Q431" s="654"/>
      <c r="R431" s="654"/>
      <c r="S431" s="654"/>
      <c r="T431" s="654"/>
      <c r="U431" s="654"/>
      <c r="V431" s="655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56"/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7"/>
      <c r="P432" s="653" t="s">
        <v>40</v>
      </c>
      <c r="Q432" s="654"/>
      <c r="R432" s="654"/>
      <c r="S432" s="654"/>
      <c r="T432" s="654"/>
      <c r="U432" s="654"/>
      <c r="V432" s="655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66" t="s">
        <v>712</v>
      </c>
      <c r="B433" s="666"/>
      <c r="C433" s="666"/>
      <c r="D433" s="666"/>
      <c r="E433" s="666"/>
      <c r="F433" s="666"/>
      <c r="G433" s="666"/>
      <c r="H433" s="666"/>
      <c r="I433" s="666"/>
      <c r="J433" s="666"/>
      <c r="K433" s="666"/>
      <c r="L433" s="666"/>
      <c r="M433" s="666"/>
      <c r="N433" s="666"/>
      <c r="O433" s="666"/>
      <c r="P433" s="666"/>
      <c r="Q433" s="666"/>
      <c r="R433" s="666"/>
      <c r="S433" s="666"/>
      <c r="T433" s="666"/>
      <c r="U433" s="666"/>
      <c r="V433" s="666"/>
      <c r="W433" s="666"/>
      <c r="X433" s="666"/>
      <c r="Y433" s="666"/>
      <c r="Z433" s="666"/>
      <c r="AA433" s="54"/>
      <c r="AB433" s="54"/>
      <c r="AC433" s="54"/>
    </row>
    <row r="434" spans="1:68" ht="16.5" hidden="1" customHeight="1" x14ac:dyDescent="0.25">
      <c r="A434" s="647" t="s">
        <v>713</v>
      </c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7"/>
      <c r="P434" s="647"/>
      <c r="Q434" s="647"/>
      <c r="R434" s="647"/>
      <c r="S434" s="647"/>
      <c r="T434" s="647"/>
      <c r="U434" s="647"/>
      <c r="V434" s="647"/>
      <c r="W434" s="647"/>
      <c r="X434" s="647"/>
      <c r="Y434" s="647"/>
      <c r="Z434" s="647"/>
      <c r="AA434" s="65"/>
      <c r="AB434" s="65"/>
      <c r="AC434" s="79"/>
    </row>
    <row r="435" spans="1:68" ht="14.25" hidden="1" customHeight="1" x14ac:dyDescent="0.25">
      <c r="A435" s="648" t="s">
        <v>124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6"/>
      <c r="AB435" s="66"/>
      <c r="AC435" s="80"/>
    </row>
    <row r="436" spans="1:68" ht="27" hidden="1" customHeight="1" x14ac:dyDescent="0.25">
      <c r="A436" s="63" t="s">
        <v>714</v>
      </c>
      <c r="B436" s="63" t="s">
        <v>715</v>
      </c>
      <c r="C436" s="36">
        <v>4301012332</v>
      </c>
      <c r="D436" s="649">
        <v>4680115888401</v>
      </c>
      <c r="E436" s="64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51"/>
      <c r="R436" s="651"/>
      <c r="S436" s="651"/>
      <c r="T436" s="652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62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0</v>
      </c>
      <c r="BN436" s="78">
        <f t="shared" ref="BN436:BN443" si="64">IFERROR(Y436*I436/H436,"0")</f>
        <v>0</v>
      </c>
      <c r="BO436" s="78">
        <f t="shared" ref="BO436:BO443" si="65">IFERROR(1/J436*(X436/H436),"0")</f>
        <v>0</v>
      </c>
      <c r="BP436" s="78">
        <f t="shared" ref="BP436:BP443" si="66">IFERROR(1/J436*(Y436/H436),"0")</f>
        <v>0</v>
      </c>
    </row>
    <row r="437" spans="1:68" ht="37.5" hidden="1" customHeight="1" x14ac:dyDescent="0.25">
      <c r="A437" s="63" t="s">
        <v>717</v>
      </c>
      <c r="B437" s="63" t="s">
        <v>718</v>
      </c>
      <c r="C437" s="36">
        <v>4301011869</v>
      </c>
      <c r="D437" s="649">
        <v>4680115884847</v>
      </c>
      <c r="E437" s="64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51"/>
      <c r="R437" s="651"/>
      <c r="S437" s="651"/>
      <c r="T437" s="652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2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0</v>
      </c>
      <c r="BN437" s="78">
        <f t="shared" si="64"/>
        <v>0</v>
      </c>
      <c r="BO437" s="78">
        <f t="shared" si="65"/>
        <v>0</v>
      </c>
      <c r="BP437" s="78">
        <f t="shared" si="66"/>
        <v>0</v>
      </c>
    </row>
    <row r="438" spans="1:68" ht="27" customHeight="1" x14ac:dyDescent="0.25">
      <c r="A438" s="63" t="s">
        <v>720</v>
      </c>
      <c r="B438" s="63" t="s">
        <v>721</v>
      </c>
      <c r="C438" s="36">
        <v>4301012083</v>
      </c>
      <c r="D438" s="649">
        <v>4680115884854</v>
      </c>
      <c r="E438" s="64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51"/>
      <c r="R438" s="651"/>
      <c r="S438" s="651"/>
      <c r="T438" s="652"/>
      <c r="U438" s="39" t="s">
        <v>46</v>
      </c>
      <c r="V438" s="39" t="s">
        <v>46</v>
      </c>
      <c r="W438" s="40" t="s">
        <v>0</v>
      </c>
      <c r="X438" s="58">
        <v>500</v>
      </c>
      <c r="Y438" s="55">
        <f t="shared" si="62"/>
        <v>510</v>
      </c>
      <c r="Z438" s="41">
        <f>IFERROR(IF(Y438=0,"",ROUNDUP(Y438/H438,0)*0.02175),"")</f>
        <v>0.73949999999999994</v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515.66666666666663</v>
      </c>
      <c r="BN438" s="78">
        <f t="shared" si="64"/>
        <v>525.98</v>
      </c>
      <c r="BO438" s="78">
        <f t="shared" si="65"/>
        <v>0.69444444444444442</v>
      </c>
      <c r="BP438" s="78">
        <f t="shared" si="66"/>
        <v>0.70833333333333326</v>
      </c>
    </row>
    <row r="439" spans="1:68" ht="27" customHeight="1" x14ac:dyDescent="0.25">
      <c r="A439" s="63" t="s">
        <v>723</v>
      </c>
      <c r="B439" s="63" t="s">
        <v>724</v>
      </c>
      <c r="C439" s="36">
        <v>4301011867</v>
      </c>
      <c r="D439" s="649">
        <v>4680115884830</v>
      </c>
      <c r="E439" s="649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500</v>
      </c>
      <c r="Y439" s="55">
        <f t="shared" si="62"/>
        <v>510</v>
      </c>
      <c r="Z439" s="41">
        <f>IFERROR(IF(Y439=0,"",ROUNDUP(Y439/H439,0)*0.02175),"")</f>
        <v>0.73949999999999994</v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515.66666666666663</v>
      </c>
      <c r="BN439" s="78">
        <f t="shared" si="64"/>
        <v>525.98</v>
      </c>
      <c r="BO439" s="78">
        <f t="shared" si="65"/>
        <v>0.69444444444444442</v>
      </c>
      <c r="BP439" s="78">
        <f t="shared" si="66"/>
        <v>0.70833333333333326</v>
      </c>
    </row>
    <row r="440" spans="1:68" ht="27" customHeight="1" x14ac:dyDescent="0.25">
      <c r="A440" s="63" t="s">
        <v>726</v>
      </c>
      <c r="B440" s="63" t="s">
        <v>727</v>
      </c>
      <c r="C440" s="36">
        <v>4301012356</v>
      </c>
      <c r="D440" s="649">
        <v>4680115889231</v>
      </c>
      <c r="E440" s="649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7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1000</v>
      </c>
      <c r="Y440" s="55">
        <f t="shared" si="62"/>
        <v>1005</v>
      </c>
      <c r="Z440" s="41">
        <f>IFERROR(IF(Y440=0,"",ROUNDUP(Y440/H440,0)*0.02175),"")</f>
        <v>1.4572499999999999</v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1031.3333333333333</v>
      </c>
      <c r="BN440" s="78">
        <f t="shared" si="64"/>
        <v>1036.49</v>
      </c>
      <c r="BO440" s="78">
        <f t="shared" si="65"/>
        <v>1.3888888888888888</v>
      </c>
      <c r="BP440" s="78">
        <f t="shared" si="66"/>
        <v>1.3958333333333333</v>
      </c>
    </row>
    <row r="441" spans="1:68" ht="27" hidden="1" customHeight="1" x14ac:dyDescent="0.25">
      <c r="A441" s="63" t="s">
        <v>729</v>
      </c>
      <c r="B441" s="63" t="s">
        <v>730</v>
      </c>
      <c r="C441" s="36">
        <v>4301011433</v>
      </c>
      <c r="D441" s="649">
        <v>4680115882638</v>
      </c>
      <c r="E441" s="649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7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hidden="1" customHeight="1" x14ac:dyDescent="0.25">
      <c r="A442" s="63" t="s">
        <v>732</v>
      </c>
      <c r="B442" s="63" t="s">
        <v>733</v>
      </c>
      <c r="C442" s="36">
        <v>4301011952</v>
      </c>
      <c r="D442" s="649">
        <v>4680115884922</v>
      </c>
      <c r="E442" s="649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51"/>
      <c r="R442" s="651"/>
      <c r="S442" s="651"/>
      <c r="T442" s="652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hidden="1" customHeight="1" x14ac:dyDescent="0.25">
      <c r="A443" s="63" t="s">
        <v>735</v>
      </c>
      <c r="B443" s="63" t="s">
        <v>736</v>
      </c>
      <c r="C443" s="36">
        <v>4301011868</v>
      </c>
      <c r="D443" s="649">
        <v>4680115884861</v>
      </c>
      <c r="E443" s="649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7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51"/>
      <c r="R443" s="651"/>
      <c r="S443" s="651"/>
      <c r="T443" s="652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2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0</v>
      </c>
      <c r="BN443" s="78">
        <f t="shared" si="64"/>
        <v>0</v>
      </c>
      <c r="BO443" s="78">
        <f t="shared" si="65"/>
        <v>0</v>
      </c>
      <c r="BP443" s="78">
        <f t="shared" si="66"/>
        <v>0</v>
      </c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53" t="s">
        <v>40</v>
      </c>
      <c r="Q444" s="654"/>
      <c r="R444" s="654"/>
      <c r="S444" s="654"/>
      <c r="T444" s="654"/>
      <c r="U444" s="654"/>
      <c r="V444" s="65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133.33333333333334</v>
      </c>
      <c r="Y444" s="43">
        <f>IFERROR(Y436/H436,"0")+IFERROR(Y437/H437,"0")+IFERROR(Y438/H438,"0")+IFERROR(Y439/H439,"0")+IFERROR(Y440/H440,"0")+IFERROR(Y441/H441,"0")+IFERROR(Y442/H442,"0")+IFERROR(Y443/H443,"0")</f>
        <v>135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2.9362499999999998</v>
      </c>
      <c r="AA444" s="67"/>
      <c r="AB444" s="67"/>
      <c r="AC444" s="67"/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0</v>
      </c>
      <c r="X445" s="43">
        <f>IFERROR(SUM(X436:X443),"0")</f>
        <v>2000</v>
      </c>
      <c r="Y445" s="43">
        <f>IFERROR(SUM(Y436:Y443),"0")</f>
        <v>2025</v>
      </c>
      <c r="Z445" s="42"/>
      <c r="AA445" s="67"/>
      <c r="AB445" s="67"/>
      <c r="AC445" s="67"/>
    </row>
    <row r="446" spans="1:68" ht="14.25" hidden="1" customHeight="1" x14ac:dyDescent="0.25">
      <c r="A446" s="648" t="s">
        <v>161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6"/>
      <c r="AB446" s="66"/>
      <c r="AC446" s="80"/>
    </row>
    <row r="447" spans="1:68" ht="27" customHeight="1" x14ac:dyDescent="0.25">
      <c r="A447" s="63" t="s">
        <v>738</v>
      </c>
      <c r="B447" s="63" t="s">
        <v>739</v>
      </c>
      <c r="C447" s="36">
        <v>4301020178</v>
      </c>
      <c r="D447" s="649">
        <v>4607091383980</v>
      </c>
      <c r="E447" s="649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51"/>
      <c r="R447" s="651"/>
      <c r="S447" s="651"/>
      <c r="T447" s="652"/>
      <c r="U447" s="39" t="s">
        <v>46</v>
      </c>
      <c r="V447" s="39" t="s">
        <v>46</v>
      </c>
      <c r="W447" s="40" t="s">
        <v>0</v>
      </c>
      <c r="X447" s="58">
        <v>1000</v>
      </c>
      <c r="Y447" s="55">
        <f>IFERROR(IF(X447="",0,CEILING((X447/$H447),1)*$H447),"")</f>
        <v>1005</v>
      </c>
      <c r="Z447" s="41">
        <f>IFERROR(IF(Y447=0,"",ROUNDUP(Y447/H447,0)*0.02175),"")</f>
        <v>1.4572499999999999</v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1031.3333333333333</v>
      </c>
      <c r="BN447" s="78">
        <f>IFERROR(Y447*I447/H447,"0")</f>
        <v>1036.49</v>
      </c>
      <c r="BO447" s="78">
        <f>IFERROR(1/J447*(X447/H447),"0")</f>
        <v>1.3888888888888888</v>
      </c>
      <c r="BP447" s="78">
        <f>IFERROR(1/J447*(Y447/H447),"0")</f>
        <v>1.3958333333333333</v>
      </c>
    </row>
    <row r="448" spans="1:68" ht="27" hidden="1" customHeight="1" x14ac:dyDescent="0.25">
      <c r="A448" s="63" t="s">
        <v>741</v>
      </c>
      <c r="B448" s="63" t="s">
        <v>742</v>
      </c>
      <c r="C448" s="36">
        <v>4301020355</v>
      </c>
      <c r="D448" s="649">
        <v>4680115888425</v>
      </c>
      <c r="E448" s="649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51"/>
      <c r="R448" s="651"/>
      <c r="S448" s="651"/>
      <c r="T448" s="65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744</v>
      </c>
      <c r="B449" s="63" t="s">
        <v>745</v>
      </c>
      <c r="C449" s="36">
        <v>4301020179</v>
      </c>
      <c r="D449" s="649">
        <v>4607091384178</v>
      </c>
      <c r="E449" s="649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51"/>
      <c r="R449" s="651"/>
      <c r="S449" s="651"/>
      <c r="T449" s="65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53" t="s">
        <v>40</v>
      </c>
      <c r="Q450" s="654"/>
      <c r="R450" s="654"/>
      <c r="S450" s="654"/>
      <c r="T450" s="654"/>
      <c r="U450" s="654"/>
      <c r="V450" s="655"/>
      <c r="W450" s="42" t="s">
        <v>39</v>
      </c>
      <c r="X450" s="43">
        <f>IFERROR(X447/H447,"0")+IFERROR(X448/H448,"0")+IFERROR(X449/H449,"0")</f>
        <v>66.666666666666671</v>
      </c>
      <c r="Y450" s="43">
        <f>IFERROR(Y447/H447,"0")+IFERROR(Y448/H448,"0")+IFERROR(Y449/H449,"0")</f>
        <v>67</v>
      </c>
      <c r="Z450" s="43">
        <f>IFERROR(IF(Z447="",0,Z447),"0")+IFERROR(IF(Z448="",0,Z448),"0")+IFERROR(IF(Z449="",0,Z449),"0")</f>
        <v>1.4572499999999999</v>
      </c>
      <c r="AA450" s="67"/>
      <c r="AB450" s="67"/>
      <c r="AC450" s="67"/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0</v>
      </c>
      <c r="X451" s="43">
        <f>IFERROR(SUM(X447:X449),"0")</f>
        <v>1000</v>
      </c>
      <c r="Y451" s="43">
        <f>IFERROR(SUM(Y447:Y449),"0")</f>
        <v>1005</v>
      </c>
      <c r="Z451" s="42"/>
      <c r="AA451" s="67"/>
      <c r="AB451" s="67"/>
      <c r="AC451" s="67"/>
    </row>
    <row r="452" spans="1:68" ht="14.25" hidden="1" customHeight="1" x14ac:dyDescent="0.25">
      <c r="A452" s="648" t="s">
        <v>77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6"/>
      <c r="AB452" s="66"/>
      <c r="AC452" s="80"/>
    </row>
    <row r="453" spans="1:68" ht="27" hidden="1" customHeight="1" x14ac:dyDescent="0.25">
      <c r="A453" s="63" t="s">
        <v>747</v>
      </c>
      <c r="B453" s="63" t="s">
        <v>748</v>
      </c>
      <c r="C453" s="36">
        <v>4301051903</v>
      </c>
      <c r="D453" s="649">
        <v>4607091383928</v>
      </c>
      <c r="E453" s="649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51"/>
      <c r="R453" s="651"/>
      <c r="S453" s="651"/>
      <c r="T453" s="65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750</v>
      </c>
      <c r="B454" s="63" t="s">
        <v>751</v>
      </c>
      <c r="C454" s="36">
        <v>4301051897</v>
      </c>
      <c r="D454" s="649">
        <v>4607091384260</v>
      </c>
      <c r="E454" s="649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51"/>
      <c r="R454" s="651"/>
      <c r="S454" s="651"/>
      <c r="T454" s="65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753</v>
      </c>
      <c r="B455" s="63" t="s">
        <v>754</v>
      </c>
      <c r="C455" s="36">
        <v>4301052220</v>
      </c>
      <c r="D455" s="649">
        <v>4680115889538</v>
      </c>
      <c r="E455" s="649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51"/>
      <c r="R455" s="651"/>
      <c r="S455" s="651"/>
      <c r="T455" s="65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48" t="s">
        <v>179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6"/>
      <c r="AB458" s="66"/>
      <c r="AC458" s="80"/>
    </row>
    <row r="459" spans="1:68" ht="27" hidden="1" customHeight="1" x14ac:dyDescent="0.25">
      <c r="A459" s="63" t="s">
        <v>756</v>
      </c>
      <c r="B459" s="63" t="s">
        <v>757</v>
      </c>
      <c r="C459" s="36">
        <v>4301060537</v>
      </c>
      <c r="D459" s="649">
        <v>4680115889545</v>
      </c>
      <c r="E459" s="649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51"/>
      <c r="R459" s="651"/>
      <c r="S459" s="651"/>
      <c r="T459" s="65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759</v>
      </c>
      <c r="B460" s="63" t="s">
        <v>760</v>
      </c>
      <c r="C460" s="36">
        <v>4301060524</v>
      </c>
      <c r="D460" s="649">
        <v>4607091384673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47" t="s">
        <v>762</v>
      </c>
      <c r="B463" s="647"/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  <c r="M463" s="647"/>
      <c r="N463" s="647"/>
      <c r="O463" s="647"/>
      <c r="P463" s="647"/>
      <c r="Q463" s="647"/>
      <c r="R463" s="647"/>
      <c r="S463" s="647"/>
      <c r="T463" s="647"/>
      <c r="U463" s="647"/>
      <c r="V463" s="647"/>
      <c r="W463" s="647"/>
      <c r="X463" s="647"/>
      <c r="Y463" s="647"/>
      <c r="Z463" s="647"/>
      <c r="AA463" s="65"/>
      <c r="AB463" s="65"/>
      <c r="AC463" s="79"/>
    </row>
    <row r="464" spans="1:68" ht="14.25" hidden="1" customHeight="1" x14ac:dyDescent="0.25">
      <c r="A464" s="648" t="s">
        <v>124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6"/>
      <c r="AB464" s="66"/>
      <c r="AC464" s="80"/>
    </row>
    <row r="465" spans="1:68" ht="27" hidden="1" customHeight="1" x14ac:dyDescent="0.25">
      <c r="A465" s="63" t="s">
        <v>763</v>
      </c>
      <c r="B465" s="63" t="s">
        <v>764</v>
      </c>
      <c r="C465" s="36">
        <v>4301011875</v>
      </c>
      <c r="D465" s="649">
        <v>4680115884885</v>
      </c>
      <c r="E465" s="649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51"/>
      <c r="R465" s="651"/>
      <c r="S465" s="651"/>
      <c r="T465" s="65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766</v>
      </c>
      <c r="B466" s="63" t="s">
        <v>767</v>
      </c>
      <c r="C466" s="36">
        <v>4301011871</v>
      </c>
      <c r="D466" s="649">
        <v>4680115884908</v>
      </c>
      <c r="E466" s="64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51"/>
      <c r="R466" s="651"/>
      <c r="S466" s="651"/>
      <c r="T466" s="65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48" t="s">
        <v>256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6"/>
      <c r="AB469" s="66"/>
      <c r="AC469" s="80"/>
    </row>
    <row r="470" spans="1:68" ht="27" hidden="1" customHeight="1" x14ac:dyDescent="0.25">
      <c r="A470" s="63" t="s">
        <v>768</v>
      </c>
      <c r="B470" s="63" t="s">
        <v>769</v>
      </c>
      <c r="C470" s="36">
        <v>4301031533</v>
      </c>
      <c r="D470" s="649">
        <v>4607091384802</v>
      </c>
      <c r="E470" s="64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69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53" t="s">
        <v>40</v>
      </c>
      <c r="Q471" s="654"/>
      <c r="R471" s="654"/>
      <c r="S471" s="654"/>
      <c r="T471" s="654"/>
      <c r="U471" s="654"/>
      <c r="V471" s="65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48" t="s">
        <v>77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6"/>
      <c r="AB473" s="66"/>
      <c r="AC473" s="80"/>
    </row>
    <row r="474" spans="1:68" ht="27" hidden="1" customHeight="1" x14ac:dyDescent="0.25">
      <c r="A474" s="63" t="s">
        <v>771</v>
      </c>
      <c r="B474" s="63" t="s">
        <v>772</v>
      </c>
      <c r="C474" s="36">
        <v>4301051899</v>
      </c>
      <c r="D474" s="649">
        <v>4607091384246</v>
      </c>
      <c r="E474" s="649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51"/>
      <c r="R474" s="651"/>
      <c r="S474" s="651"/>
      <c r="T474" s="652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4301051660</v>
      </c>
      <c r="D475" s="649">
        <v>4607091384253</v>
      </c>
      <c r="E475" s="649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7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51"/>
      <c r="R475" s="651"/>
      <c r="S475" s="651"/>
      <c r="T475" s="65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774</v>
      </c>
      <c r="B476" s="63" t="s">
        <v>776</v>
      </c>
      <c r="C476" s="36">
        <v>4301052069</v>
      </c>
      <c r="D476" s="649">
        <v>4607091384253</v>
      </c>
      <c r="E476" s="649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51"/>
      <c r="R476" s="651"/>
      <c r="S476" s="651"/>
      <c r="T476" s="652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56"/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7"/>
      <c r="P477" s="653" t="s">
        <v>40</v>
      </c>
      <c r="Q477" s="654"/>
      <c r="R477" s="654"/>
      <c r="S477" s="654"/>
      <c r="T477" s="654"/>
      <c r="U477" s="654"/>
      <c r="V477" s="655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66" t="s">
        <v>778</v>
      </c>
      <c r="B479" s="666"/>
      <c r="C479" s="666"/>
      <c r="D479" s="666"/>
      <c r="E479" s="666"/>
      <c r="F479" s="666"/>
      <c r="G479" s="666"/>
      <c r="H479" s="666"/>
      <c r="I479" s="666"/>
      <c r="J479" s="666"/>
      <c r="K479" s="666"/>
      <c r="L479" s="666"/>
      <c r="M479" s="666"/>
      <c r="N479" s="666"/>
      <c r="O479" s="666"/>
      <c r="P479" s="666"/>
      <c r="Q479" s="666"/>
      <c r="R479" s="666"/>
      <c r="S479" s="666"/>
      <c r="T479" s="666"/>
      <c r="U479" s="666"/>
      <c r="V479" s="666"/>
      <c r="W479" s="666"/>
      <c r="X479" s="666"/>
      <c r="Y479" s="666"/>
      <c r="Z479" s="666"/>
      <c r="AA479" s="54"/>
      <c r="AB479" s="54"/>
      <c r="AC479" s="54"/>
    </row>
    <row r="480" spans="1:68" ht="16.5" hidden="1" customHeight="1" x14ac:dyDescent="0.25">
      <c r="A480" s="647" t="s">
        <v>779</v>
      </c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47"/>
      <c r="P480" s="647"/>
      <c r="Q480" s="647"/>
      <c r="R480" s="647"/>
      <c r="S480" s="647"/>
      <c r="T480" s="647"/>
      <c r="U480" s="647"/>
      <c r="V480" s="647"/>
      <c r="W480" s="647"/>
      <c r="X480" s="647"/>
      <c r="Y480" s="647"/>
      <c r="Z480" s="647"/>
      <c r="AA480" s="65"/>
      <c r="AB480" s="65"/>
      <c r="AC480" s="79"/>
    </row>
    <row r="481" spans="1:68" ht="14.25" hidden="1" customHeight="1" x14ac:dyDescent="0.25">
      <c r="A481" s="648" t="s">
        <v>256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6"/>
      <c r="AB481" s="66"/>
      <c r="AC481" s="80"/>
    </row>
    <row r="482" spans="1:68" ht="27" hidden="1" customHeight="1" x14ac:dyDescent="0.25">
      <c r="A482" s="63" t="s">
        <v>780</v>
      </c>
      <c r="B482" s="63" t="s">
        <v>781</v>
      </c>
      <c r="C482" s="36">
        <v>4301031405</v>
      </c>
      <c r="D482" s="649">
        <v>4680115886100</v>
      </c>
      <c r="E482" s="649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51"/>
      <c r="R482" s="651"/>
      <c r="S482" s="651"/>
      <c r="T482" s="65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67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0</v>
      </c>
      <c r="BN482" s="78">
        <f t="shared" ref="BN482:BN487" si="69">IFERROR(Y482*I482/H482,"0")</f>
        <v>0</v>
      </c>
      <c r="BO482" s="78">
        <f t="shared" ref="BO482:BO487" si="70">IFERROR(1/J482*(X482/H482),"0")</f>
        <v>0</v>
      </c>
      <c r="BP482" s="78">
        <f t="shared" ref="BP482:BP487" si="71">IFERROR(1/J482*(Y482/H482),"0")</f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4301031402</v>
      </c>
      <c r="D483" s="649">
        <v>4680115886124</v>
      </c>
      <c r="E483" s="649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69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0</v>
      </c>
      <c r="BN483" s="78">
        <f t="shared" si="69"/>
        <v>0</v>
      </c>
      <c r="BO483" s="78">
        <f t="shared" si="70"/>
        <v>0</v>
      </c>
      <c r="BP483" s="78">
        <f t="shared" si="71"/>
        <v>0</v>
      </c>
    </row>
    <row r="484" spans="1:68" ht="27" hidden="1" customHeight="1" x14ac:dyDescent="0.25">
      <c r="A484" s="63" t="s">
        <v>786</v>
      </c>
      <c r="B484" s="63" t="s">
        <v>787</v>
      </c>
      <c r="C484" s="36">
        <v>4301031362</v>
      </c>
      <c r="D484" s="649">
        <v>4607091384338</v>
      </c>
      <c r="E484" s="649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6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51"/>
      <c r="R484" s="651"/>
      <c r="S484" s="651"/>
      <c r="T484" s="652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hidden="1" customHeight="1" x14ac:dyDescent="0.25">
      <c r="A485" s="63" t="s">
        <v>788</v>
      </c>
      <c r="B485" s="63" t="s">
        <v>789</v>
      </c>
      <c r="C485" s="36">
        <v>4301031364</v>
      </c>
      <c r="D485" s="649">
        <v>4680115883161</v>
      </c>
      <c r="E485" s="64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51"/>
      <c r="R485" s="651"/>
      <c r="S485" s="651"/>
      <c r="T485" s="652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hidden="1" customHeight="1" x14ac:dyDescent="0.25">
      <c r="A486" s="63" t="s">
        <v>791</v>
      </c>
      <c r="B486" s="63" t="s">
        <v>792</v>
      </c>
      <c r="C486" s="36">
        <v>4301031358</v>
      </c>
      <c r="D486" s="649">
        <v>4607091389531</v>
      </c>
      <c r="E486" s="64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6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51"/>
      <c r="R486" s="651"/>
      <c r="S486" s="651"/>
      <c r="T486" s="652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0</v>
      </c>
      <c r="BN486" s="78">
        <f t="shared" si="69"/>
        <v>0</v>
      </c>
      <c r="BO486" s="78">
        <f t="shared" si="70"/>
        <v>0</v>
      </c>
      <c r="BP486" s="78">
        <f t="shared" si="71"/>
        <v>0</v>
      </c>
    </row>
    <row r="487" spans="1:68" ht="37.5" hidden="1" customHeight="1" x14ac:dyDescent="0.25">
      <c r="A487" s="63" t="s">
        <v>794</v>
      </c>
      <c r="B487" s="63" t="s">
        <v>795</v>
      </c>
      <c r="C487" s="36">
        <v>4301031360</v>
      </c>
      <c r="D487" s="649">
        <v>4607091384345</v>
      </c>
      <c r="E487" s="649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7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0</v>
      </c>
      <c r="BN487" s="78">
        <f t="shared" si="69"/>
        <v>0</v>
      </c>
      <c r="BO487" s="78">
        <f t="shared" si="70"/>
        <v>0</v>
      </c>
      <c r="BP487" s="78">
        <f t="shared" si="71"/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6"/>
      <c r="AB490" s="66"/>
      <c r="AC490" s="80"/>
    </row>
    <row r="491" spans="1:68" ht="27" hidden="1" customHeight="1" x14ac:dyDescent="0.25">
      <c r="A491" s="63" t="s">
        <v>796</v>
      </c>
      <c r="B491" s="63" t="s">
        <v>797</v>
      </c>
      <c r="C491" s="36">
        <v>4301051284</v>
      </c>
      <c r="D491" s="649">
        <v>4607091384352</v>
      </c>
      <c r="E491" s="649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51"/>
      <c r="R491" s="651"/>
      <c r="S491" s="651"/>
      <c r="T491" s="65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53" t="s">
        <v>40</v>
      </c>
      <c r="Q492" s="654"/>
      <c r="R492" s="654"/>
      <c r="S492" s="654"/>
      <c r="T492" s="654"/>
      <c r="U492" s="654"/>
      <c r="V492" s="65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47" t="s">
        <v>799</v>
      </c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7"/>
      <c r="P494" s="647"/>
      <c r="Q494" s="647"/>
      <c r="R494" s="647"/>
      <c r="S494" s="647"/>
      <c r="T494" s="647"/>
      <c r="U494" s="647"/>
      <c r="V494" s="647"/>
      <c r="W494" s="647"/>
      <c r="X494" s="647"/>
      <c r="Y494" s="647"/>
      <c r="Z494" s="647"/>
      <c r="AA494" s="65"/>
      <c r="AB494" s="65"/>
      <c r="AC494" s="79"/>
    </row>
    <row r="495" spans="1:68" ht="14.25" hidden="1" customHeight="1" x14ac:dyDescent="0.25">
      <c r="A495" s="648" t="s">
        <v>161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4301020416</v>
      </c>
      <c r="D496" s="649">
        <v>4680115885240</v>
      </c>
      <c r="E496" s="649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56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53" t="s">
        <v>40</v>
      </c>
      <c r="Q497" s="654"/>
      <c r="R497" s="654"/>
      <c r="S497" s="654"/>
      <c r="T497" s="654"/>
      <c r="U497" s="654"/>
      <c r="V497" s="65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53" t="s">
        <v>40</v>
      </c>
      <c r="Q498" s="654"/>
      <c r="R498" s="654"/>
      <c r="S498" s="654"/>
      <c r="T498" s="654"/>
      <c r="U498" s="654"/>
      <c r="V498" s="65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48" t="s">
        <v>256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6"/>
      <c r="AB499" s="66"/>
      <c r="AC499" s="80"/>
    </row>
    <row r="500" spans="1:68" ht="27" hidden="1" customHeight="1" x14ac:dyDescent="0.25">
      <c r="A500" s="63" t="s">
        <v>803</v>
      </c>
      <c r="B500" s="63" t="s">
        <v>804</v>
      </c>
      <c r="C500" s="36">
        <v>4301031407</v>
      </c>
      <c r="D500" s="649">
        <v>4680115886094</v>
      </c>
      <c r="E500" s="649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4301031373</v>
      </c>
      <c r="D501" s="649">
        <v>4680115880771</v>
      </c>
      <c r="E501" s="649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4301031359</v>
      </c>
      <c r="D502" s="649">
        <v>4607091389500</v>
      </c>
      <c r="E502" s="649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656"/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7"/>
      <c r="P503" s="653" t="s">
        <v>40</v>
      </c>
      <c r="Q503" s="654"/>
      <c r="R503" s="654"/>
      <c r="S503" s="654"/>
      <c r="T503" s="654"/>
      <c r="U503" s="654"/>
      <c r="V503" s="655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56"/>
      <c r="B504" s="656"/>
      <c r="C504" s="656"/>
      <c r="D504" s="656"/>
      <c r="E504" s="656"/>
      <c r="F504" s="656"/>
      <c r="G504" s="656"/>
      <c r="H504" s="656"/>
      <c r="I504" s="656"/>
      <c r="J504" s="656"/>
      <c r="K504" s="656"/>
      <c r="L504" s="656"/>
      <c r="M504" s="656"/>
      <c r="N504" s="656"/>
      <c r="O504" s="657"/>
      <c r="P504" s="653" t="s">
        <v>40</v>
      </c>
      <c r="Q504" s="654"/>
      <c r="R504" s="654"/>
      <c r="S504" s="654"/>
      <c r="T504" s="654"/>
      <c r="U504" s="654"/>
      <c r="V504" s="655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66" t="s">
        <v>811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54"/>
      <c r="AB505" s="54"/>
      <c r="AC505" s="54"/>
    </row>
    <row r="506" spans="1:68" ht="16.5" hidden="1" customHeight="1" x14ac:dyDescent="0.25">
      <c r="A506" s="647" t="s">
        <v>811</v>
      </c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47"/>
      <c r="P506" s="647"/>
      <c r="Q506" s="647"/>
      <c r="R506" s="647"/>
      <c r="S506" s="647"/>
      <c r="T506" s="647"/>
      <c r="U506" s="647"/>
      <c r="V506" s="647"/>
      <c r="W506" s="647"/>
      <c r="X506" s="647"/>
      <c r="Y506" s="647"/>
      <c r="Z506" s="647"/>
      <c r="AA506" s="65"/>
      <c r="AB506" s="65"/>
      <c r="AC506" s="79"/>
    </row>
    <row r="507" spans="1:68" ht="14.25" hidden="1" customHeight="1" x14ac:dyDescent="0.25">
      <c r="A507" s="648" t="s">
        <v>124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6"/>
      <c r="AB507" s="66"/>
      <c r="AC507" s="80"/>
    </row>
    <row r="508" spans="1:68" ht="27" hidden="1" customHeight="1" x14ac:dyDescent="0.25">
      <c r="A508" s="63" t="s">
        <v>812</v>
      </c>
      <c r="B508" s="63" t="s">
        <v>813</v>
      </c>
      <c r="C508" s="36">
        <v>4301011769</v>
      </c>
      <c r="D508" s="649">
        <v>4607091389067</v>
      </c>
      <c r="E508" s="64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5" si="72"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0</v>
      </c>
      <c r="BN508" s="78">
        <f t="shared" ref="BN508:BN515" si="74">IFERROR(Y508*I508/H508,"0")</f>
        <v>0</v>
      </c>
      <c r="BO508" s="78">
        <f t="shared" ref="BO508:BO515" si="75">IFERROR(1/J508*(X508/H508),"0")</f>
        <v>0</v>
      </c>
      <c r="BP508" s="78">
        <f t="shared" ref="BP508:BP515" si="76">IFERROR(1/J508*(Y508/H508),"0")</f>
        <v>0</v>
      </c>
    </row>
    <row r="509" spans="1:68" ht="16.5" hidden="1" customHeight="1" x14ac:dyDescent="0.25">
      <c r="A509" s="63" t="s">
        <v>814</v>
      </c>
      <c r="B509" s="63" t="s">
        <v>815</v>
      </c>
      <c r="C509" s="36">
        <v>4301012380</v>
      </c>
      <c r="D509" s="649">
        <v>4680115889576</v>
      </c>
      <c r="E509" s="64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hidden="1" customHeight="1" x14ac:dyDescent="0.25">
      <c r="A510" s="63" t="s">
        <v>817</v>
      </c>
      <c r="B510" s="63" t="s">
        <v>818</v>
      </c>
      <c r="C510" s="36">
        <v>4301011961</v>
      </c>
      <c r="D510" s="649">
        <v>4680115885271</v>
      </c>
      <c r="E510" s="64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1"/>
      <c r="R510" s="651"/>
      <c r="S510" s="651"/>
      <c r="T510" s="65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customHeight="1" x14ac:dyDescent="0.25">
      <c r="A511" s="63" t="s">
        <v>820</v>
      </c>
      <c r="B511" s="63" t="s">
        <v>821</v>
      </c>
      <c r="C511" s="36">
        <v>4301011369</v>
      </c>
      <c r="D511" s="649">
        <v>4680115885226</v>
      </c>
      <c r="E511" s="64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1"/>
      <c r="R511" s="651"/>
      <c r="S511" s="651"/>
      <c r="T511" s="652"/>
      <c r="U511" s="39" t="s">
        <v>46</v>
      </c>
      <c r="V511" s="39" t="s">
        <v>46</v>
      </c>
      <c r="W511" s="40" t="s">
        <v>0</v>
      </c>
      <c r="X511" s="58">
        <v>200</v>
      </c>
      <c r="Y511" s="55">
        <f t="shared" si="72"/>
        <v>200.64000000000001</v>
      </c>
      <c r="Z511" s="41">
        <f>IFERROR(IF(Y511=0,"",ROUNDUP(Y511/H511,0)*0.01196),"")</f>
        <v>0.45448</v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213.25757575757575</v>
      </c>
      <c r="BN511" s="78">
        <f t="shared" si="74"/>
        <v>213.94</v>
      </c>
      <c r="BO511" s="78">
        <f t="shared" si="75"/>
        <v>0.36421911421911418</v>
      </c>
      <c r="BP511" s="78">
        <f t="shared" si="76"/>
        <v>0.36538461538461542</v>
      </c>
    </row>
    <row r="512" spans="1:68" ht="27" customHeight="1" x14ac:dyDescent="0.25">
      <c r="A512" s="63" t="s">
        <v>823</v>
      </c>
      <c r="B512" s="63" t="s">
        <v>824</v>
      </c>
      <c r="C512" s="36">
        <v>4301011771</v>
      </c>
      <c r="D512" s="649">
        <v>4607091389104</v>
      </c>
      <c r="E512" s="649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51"/>
      <c r="R512" s="651"/>
      <c r="S512" s="651"/>
      <c r="T512" s="652"/>
      <c r="U512" s="39" t="s">
        <v>46</v>
      </c>
      <c r="V512" s="39" t="s">
        <v>46</v>
      </c>
      <c r="W512" s="40" t="s">
        <v>0</v>
      </c>
      <c r="X512" s="58">
        <v>400</v>
      </c>
      <c r="Y512" s="55">
        <f t="shared" si="72"/>
        <v>401.28000000000003</v>
      </c>
      <c r="Z512" s="41">
        <f>IFERROR(IF(Y512=0,"",ROUNDUP(Y512/H512,0)*0.01196),"")</f>
        <v>0.90895999999999999</v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426.5151515151515</v>
      </c>
      <c r="BN512" s="78">
        <f t="shared" si="74"/>
        <v>427.88</v>
      </c>
      <c r="BO512" s="78">
        <f t="shared" si="75"/>
        <v>0.72843822843822836</v>
      </c>
      <c r="BP512" s="78">
        <f t="shared" si="76"/>
        <v>0.73076923076923084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4301012125</v>
      </c>
      <c r="D513" s="649">
        <v>4680115886391</v>
      </c>
      <c r="E513" s="649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4301012048</v>
      </c>
      <c r="D514" s="649">
        <v>4680115880603</v>
      </c>
      <c r="E514" s="649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2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0</v>
      </c>
      <c r="BN514" s="78">
        <f t="shared" si="74"/>
        <v>0</v>
      </c>
      <c r="BO514" s="78">
        <f t="shared" si="75"/>
        <v>0</v>
      </c>
      <c r="BP514" s="78">
        <f t="shared" si="76"/>
        <v>0</v>
      </c>
    </row>
    <row r="515" spans="1:68" ht="27" hidden="1" customHeight="1" x14ac:dyDescent="0.25">
      <c r="A515" s="63" t="s">
        <v>830</v>
      </c>
      <c r="B515" s="63" t="s">
        <v>831</v>
      </c>
      <c r="C515" s="36">
        <v>4301012034</v>
      </c>
      <c r="D515" s="649">
        <v>4607091389982</v>
      </c>
      <c r="E515" s="649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2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0</v>
      </c>
      <c r="BN515" s="78">
        <f t="shared" si="74"/>
        <v>0</v>
      </c>
      <c r="BO515" s="78">
        <f t="shared" si="75"/>
        <v>0</v>
      </c>
      <c r="BP515" s="78">
        <f t="shared" si="76"/>
        <v>0</v>
      </c>
    </row>
    <row r="516" spans="1:68" x14ac:dyDescent="0.2">
      <c r="A516" s="656"/>
      <c r="B516" s="656"/>
      <c r="C516" s="656"/>
      <c r="D516" s="656"/>
      <c r="E516" s="656"/>
      <c r="F516" s="656"/>
      <c r="G516" s="656"/>
      <c r="H516" s="656"/>
      <c r="I516" s="656"/>
      <c r="J516" s="656"/>
      <c r="K516" s="656"/>
      <c r="L516" s="656"/>
      <c r="M516" s="656"/>
      <c r="N516" s="656"/>
      <c r="O516" s="657"/>
      <c r="P516" s="653" t="s">
        <v>40</v>
      </c>
      <c r="Q516" s="654"/>
      <c r="R516" s="654"/>
      <c r="S516" s="654"/>
      <c r="T516" s="654"/>
      <c r="U516" s="654"/>
      <c r="V516" s="65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113.63636363636363</v>
      </c>
      <c r="Y516" s="43">
        <f>IFERROR(Y508/H508,"0")+IFERROR(Y509/H509,"0")+IFERROR(Y510/H510,"0")+IFERROR(Y511/H511,"0")+IFERROR(Y512/H512,"0")+IFERROR(Y513/H513,"0")+IFERROR(Y514/H514,"0")+IFERROR(Y515/H515,"0")</f>
        <v>114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1.36344</v>
      </c>
      <c r="AA516" s="67"/>
      <c r="AB516" s="67"/>
      <c r="AC516" s="67"/>
    </row>
    <row r="517" spans="1:68" x14ac:dyDescent="0.2">
      <c r="A517" s="656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53" t="s">
        <v>40</v>
      </c>
      <c r="Q517" s="654"/>
      <c r="R517" s="654"/>
      <c r="S517" s="654"/>
      <c r="T517" s="654"/>
      <c r="U517" s="654"/>
      <c r="V517" s="655"/>
      <c r="W517" s="42" t="s">
        <v>0</v>
      </c>
      <c r="X517" s="43">
        <f>IFERROR(SUM(X508:X515),"0")</f>
        <v>600</v>
      </c>
      <c r="Y517" s="43">
        <f>IFERROR(SUM(Y508:Y515),"0")</f>
        <v>601.92000000000007</v>
      </c>
      <c r="Z517" s="42"/>
      <c r="AA517" s="67"/>
      <c r="AB517" s="67"/>
      <c r="AC517" s="67"/>
    </row>
    <row r="518" spans="1:68" ht="14.25" hidden="1" customHeight="1" x14ac:dyDescent="0.25">
      <c r="A518" s="648" t="s">
        <v>161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6"/>
      <c r="AB518" s="66"/>
      <c r="AC518" s="80"/>
    </row>
    <row r="519" spans="1:68" ht="16.5" customHeight="1" x14ac:dyDescent="0.25">
      <c r="A519" s="63" t="s">
        <v>832</v>
      </c>
      <c r="B519" s="63" t="s">
        <v>833</v>
      </c>
      <c r="C519" s="36">
        <v>4301020334</v>
      </c>
      <c r="D519" s="649">
        <v>4607091388930</v>
      </c>
      <c r="E519" s="64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100</v>
      </c>
      <c r="Y519" s="55">
        <f>IFERROR(IF(X519="",0,CEILING((X519/$H519),1)*$H519),"")</f>
        <v>100.32000000000001</v>
      </c>
      <c r="Z519" s="41">
        <f>IFERROR(IF(Y519=0,"",ROUNDUP(Y519/H519,0)*0.01196),"")</f>
        <v>0.22724</v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106.62878787878788</v>
      </c>
      <c r="BN519" s="78">
        <f>IFERROR(Y519*I519/H519,"0")</f>
        <v>106.97</v>
      </c>
      <c r="BO519" s="78">
        <f>IFERROR(1/J519*(X519/H519),"0")</f>
        <v>0.18210955710955709</v>
      </c>
      <c r="BP519" s="78">
        <f>IFERROR(1/J519*(Y519/H519),"0")</f>
        <v>0.18269230769230771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4301020374</v>
      </c>
      <c r="D520" s="649">
        <v>4680115886407</v>
      </c>
      <c r="E520" s="649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51"/>
      <c r="R520" s="651"/>
      <c r="S520" s="651"/>
      <c r="T520" s="652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837</v>
      </c>
      <c r="B521" s="63" t="s">
        <v>838</v>
      </c>
      <c r="C521" s="36">
        <v>4301020385</v>
      </c>
      <c r="D521" s="649">
        <v>4680115880054</v>
      </c>
      <c r="E521" s="649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51"/>
      <c r="R521" s="651"/>
      <c r="S521" s="651"/>
      <c r="T521" s="65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56"/>
      <c r="B522" s="656"/>
      <c r="C522" s="656"/>
      <c r="D522" s="656"/>
      <c r="E522" s="656"/>
      <c r="F522" s="656"/>
      <c r="G522" s="656"/>
      <c r="H522" s="656"/>
      <c r="I522" s="656"/>
      <c r="J522" s="656"/>
      <c r="K522" s="656"/>
      <c r="L522" s="656"/>
      <c r="M522" s="656"/>
      <c r="N522" s="656"/>
      <c r="O522" s="657"/>
      <c r="P522" s="653" t="s">
        <v>40</v>
      </c>
      <c r="Q522" s="654"/>
      <c r="R522" s="654"/>
      <c r="S522" s="654"/>
      <c r="T522" s="654"/>
      <c r="U522" s="654"/>
      <c r="V522" s="655"/>
      <c r="W522" s="42" t="s">
        <v>39</v>
      </c>
      <c r="X522" s="43">
        <f>IFERROR(X519/H519,"0")+IFERROR(X520/H520,"0")+IFERROR(X521/H521,"0")</f>
        <v>18.939393939393938</v>
      </c>
      <c r="Y522" s="43">
        <f>IFERROR(Y519/H519,"0")+IFERROR(Y520/H520,"0")+IFERROR(Y521/H521,"0")</f>
        <v>19</v>
      </c>
      <c r="Z522" s="43">
        <f>IFERROR(IF(Z519="",0,Z519),"0")+IFERROR(IF(Z520="",0,Z520),"0")+IFERROR(IF(Z521="",0,Z521),"0")</f>
        <v>0.22724</v>
      </c>
      <c r="AA522" s="67"/>
      <c r="AB522" s="67"/>
      <c r="AC522" s="67"/>
    </row>
    <row r="523" spans="1:68" x14ac:dyDescent="0.2">
      <c r="A523" s="656"/>
      <c r="B523" s="656"/>
      <c r="C523" s="656"/>
      <c r="D523" s="656"/>
      <c r="E523" s="656"/>
      <c r="F523" s="656"/>
      <c r="G523" s="656"/>
      <c r="H523" s="656"/>
      <c r="I523" s="656"/>
      <c r="J523" s="656"/>
      <c r="K523" s="656"/>
      <c r="L523" s="656"/>
      <c r="M523" s="656"/>
      <c r="N523" s="656"/>
      <c r="O523" s="657"/>
      <c r="P523" s="653" t="s">
        <v>40</v>
      </c>
      <c r="Q523" s="654"/>
      <c r="R523" s="654"/>
      <c r="S523" s="654"/>
      <c r="T523" s="654"/>
      <c r="U523" s="654"/>
      <c r="V523" s="655"/>
      <c r="W523" s="42" t="s">
        <v>0</v>
      </c>
      <c r="X523" s="43">
        <f>IFERROR(SUM(X519:X521),"0")</f>
        <v>100</v>
      </c>
      <c r="Y523" s="43">
        <f>IFERROR(SUM(Y519:Y521),"0")</f>
        <v>100.32000000000001</v>
      </c>
      <c r="Z523" s="42"/>
      <c r="AA523" s="67"/>
      <c r="AB523" s="67"/>
      <c r="AC523" s="67"/>
    </row>
    <row r="524" spans="1:68" ht="14.25" hidden="1" customHeight="1" x14ac:dyDescent="0.25">
      <c r="A524" s="648" t="s">
        <v>256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6"/>
      <c r="AB524" s="66"/>
      <c r="AC524" s="80"/>
    </row>
    <row r="525" spans="1:68" ht="27" hidden="1" customHeight="1" x14ac:dyDescent="0.25">
      <c r="A525" s="63" t="s">
        <v>839</v>
      </c>
      <c r="B525" s="63" t="s">
        <v>840</v>
      </c>
      <c r="C525" s="36">
        <v>4301031349</v>
      </c>
      <c r="D525" s="649">
        <v>4680115883116</v>
      </c>
      <c r="E525" s="649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ref="Y525:Y531" si="77">IFERROR(IF(X525="",0,CEILING((X525/$H525),1)*$H525),"")</f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0</v>
      </c>
      <c r="BN525" s="78">
        <f t="shared" ref="BN525:BN531" si="79">IFERROR(Y525*I525/H525,"0")</f>
        <v>0</v>
      </c>
      <c r="BO525" s="78">
        <f t="shared" ref="BO525:BO531" si="80">IFERROR(1/J525*(X525/H525),"0")</f>
        <v>0</v>
      </c>
      <c r="BP525" s="78">
        <f t="shared" ref="BP525:BP531" si="81">IFERROR(1/J525*(Y525/H525),"0")</f>
        <v>0</v>
      </c>
    </row>
    <row r="526" spans="1:68" ht="27" hidden="1" customHeight="1" x14ac:dyDescent="0.25">
      <c r="A526" s="63" t="s">
        <v>842</v>
      </c>
      <c r="B526" s="63" t="s">
        <v>843</v>
      </c>
      <c r="C526" s="36">
        <v>4301031350</v>
      </c>
      <c r="D526" s="649">
        <v>4680115883093</v>
      </c>
      <c r="E526" s="649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51"/>
      <c r="R526" s="651"/>
      <c r="S526" s="651"/>
      <c r="T526" s="652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7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0</v>
      </c>
      <c r="BN526" s="78">
        <f t="shared" si="79"/>
        <v>0</v>
      </c>
      <c r="BO526" s="78">
        <f t="shared" si="80"/>
        <v>0</v>
      </c>
      <c r="BP526" s="78">
        <f t="shared" si="81"/>
        <v>0</v>
      </c>
    </row>
    <row r="527" spans="1:68" ht="27" hidden="1" customHeight="1" x14ac:dyDescent="0.25">
      <c r="A527" s="63" t="s">
        <v>845</v>
      </c>
      <c r="B527" s="63" t="s">
        <v>846</v>
      </c>
      <c r="C527" s="36">
        <v>4301031353</v>
      </c>
      <c r="D527" s="649">
        <v>4680115883109</v>
      </c>
      <c r="E527" s="649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51"/>
      <c r="R527" s="651"/>
      <c r="S527" s="651"/>
      <c r="T527" s="652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7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0</v>
      </c>
      <c r="BN527" s="78">
        <f t="shared" si="79"/>
        <v>0</v>
      </c>
      <c r="BO527" s="78">
        <f t="shared" si="80"/>
        <v>0</v>
      </c>
      <c r="BP527" s="78">
        <f t="shared" si="81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4301031419</v>
      </c>
      <c r="D528" s="649">
        <v>4680115882072</v>
      </c>
      <c r="E528" s="649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51"/>
      <c r="R528" s="651"/>
      <c r="S528" s="651"/>
      <c r="T528" s="652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7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0</v>
      </c>
      <c r="BN528" s="78">
        <f t="shared" si="79"/>
        <v>0</v>
      </c>
      <c r="BO528" s="78">
        <f t="shared" si="80"/>
        <v>0</v>
      </c>
      <c r="BP528" s="78">
        <f t="shared" si="81"/>
        <v>0</v>
      </c>
    </row>
    <row r="529" spans="1:68" ht="27" hidden="1" customHeight="1" x14ac:dyDescent="0.25">
      <c r="A529" s="63" t="s">
        <v>850</v>
      </c>
      <c r="B529" s="63" t="s">
        <v>851</v>
      </c>
      <c r="C529" s="36">
        <v>4301031352</v>
      </c>
      <c r="D529" s="649">
        <v>4680115882102</v>
      </c>
      <c r="E529" s="649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hidden="1" customHeight="1" x14ac:dyDescent="0.25">
      <c r="A530" s="63" t="s">
        <v>850</v>
      </c>
      <c r="B530" s="63" t="s">
        <v>852</v>
      </c>
      <c r="C530" s="36">
        <v>4301031418</v>
      </c>
      <c r="D530" s="649">
        <v>4680115882102</v>
      </c>
      <c r="E530" s="649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51"/>
      <c r="R530" s="651"/>
      <c r="S530" s="651"/>
      <c r="T530" s="652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7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0</v>
      </c>
      <c r="BN530" s="78">
        <f t="shared" si="79"/>
        <v>0</v>
      </c>
      <c r="BO530" s="78">
        <f t="shared" si="80"/>
        <v>0</v>
      </c>
      <c r="BP530" s="78">
        <f t="shared" si="81"/>
        <v>0</v>
      </c>
    </row>
    <row r="531" spans="1:68" ht="27" hidden="1" customHeight="1" x14ac:dyDescent="0.25">
      <c r="A531" s="63" t="s">
        <v>853</v>
      </c>
      <c r="B531" s="63" t="s">
        <v>854</v>
      </c>
      <c r="C531" s="36">
        <v>4301031417</v>
      </c>
      <c r="D531" s="649">
        <v>4680115882096</v>
      </c>
      <c r="E531" s="649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51"/>
      <c r="R531" s="651"/>
      <c r="S531" s="651"/>
      <c r="T531" s="652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7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0</v>
      </c>
      <c r="BN531" s="78">
        <f t="shared" si="79"/>
        <v>0</v>
      </c>
      <c r="BO531" s="78">
        <f t="shared" si="80"/>
        <v>0</v>
      </c>
      <c r="BP531" s="78">
        <f t="shared" si="81"/>
        <v>0</v>
      </c>
    </row>
    <row r="532" spans="1:68" hidden="1" x14ac:dyDescent="0.2">
      <c r="A532" s="656"/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7"/>
      <c r="P532" s="653" t="s">
        <v>40</v>
      </c>
      <c r="Q532" s="654"/>
      <c r="R532" s="654"/>
      <c r="S532" s="654"/>
      <c r="T532" s="654"/>
      <c r="U532" s="654"/>
      <c r="V532" s="655"/>
      <c r="W532" s="42" t="s">
        <v>39</v>
      </c>
      <c r="X532" s="43">
        <f>IFERROR(X525/H525,"0")+IFERROR(X526/H526,"0")+IFERROR(X527/H527,"0")+IFERROR(X528/H528,"0")+IFERROR(X529/H529,"0")+IFERROR(X530/H530,"0")+IFERROR(X531/H531,"0")</f>
        <v>0</v>
      </c>
      <c r="Y532" s="43">
        <f>IFERROR(Y525/H525,"0")+IFERROR(Y526/H526,"0")+IFERROR(Y527/H527,"0")+IFERROR(Y528/H528,"0")+IFERROR(Y529/H529,"0")+IFERROR(Y530/H530,"0")+IFERROR(Y531/H531,"0")</f>
        <v>0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0</v>
      </c>
      <c r="AA532" s="67"/>
      <c r="AB532" s="67"/>
      <c r="AC532" s="67"/>
    </row>
    <row r="533" spans="1:68" hidden="1" x14ac:dyDescent="0.2">
      <c r="A533" s="656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53" t="s">
        <v>40</v>
      </c>
      <c r="Q533" s="654"/>
      <c r="R533" s="654"/>
      <c r="S533" s="654"/>
      <c r="T533" s="654"/>
      <c r="U533" s="654"/>
      <c r="V533" s="655"/>
      <c r="W533" s="42" t="s">
        <v>0</v>
      </c>
      <c r="X533" s="43">
        <f>IFERROR(SUM(X525:X531),"0")</f>
        <v>0</v>
      </c>
      <c r="Y533" s="43">
        <f>IFERROR(SUM(Y525:Y531),"0")</f>
        <v>0</v>
      </c>
      <c r="Z533" s="42"/>
      <c r="AA533" s="67"/>
      <c r="AB533" s="67"/>
      <c r="AC533" s="67"/>
    </row>
    <row r="534" spans="1:68" ht="27.75" hidden="1" customHeight="1" x14ac:dyDescent="0.2">
      <c r="A534" s="666" t="s">
        <v>855</v>
      </c>
      <c r="B534" s="666"/>
      <c r="C534" s="666"/>
      <c r="D534" s="666"/>
      <c r="E534" s="666"/>
      <c r="F534" s="666"/>
      <c r="G534" s="666"/>
      <c r="H534" s="666"/>
      <c r="I534" s="666"/>
      <c r="J534" s="666"/>
      <c r="K534" s="666"/>
      <c r="L534" s="666"/>
      <c r="M534" s="666"/>
      <c r="N534" s="666"/>
      <c r="O534" s="666"/>
      <c r="P534" s="666"/>
      <c r="Q534" s="666"/>
      <c r="R534" s="666"/>
      <c r="S534" s="666"/>
      <c r="T534" s="666"/>
      <c r="U534" s="666"/>
      <c r="V534" s="666"/>
      <c r="W534" s="666"/>
      <c r="X534" s="666"/>
      <c r="Y534" s="666"/>
      <c r="Z534" s="666"/>
      <c r="AA534" s="54"/>
      <c r="AB534" s="54"/>
      <c r="AC534" s="54"/>
    </row>
    <row r="535" spans="1:68" ht="16.5" hidden="1" customHeight="1" x14ac:dyDescent="0.25">
      <c r="A535" s="647" t="s">
        <v>855</v>
      </c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47"/>
      <c r="P535" s="647"/>
      <c r="Q535" s="647"/>
      <c r="R535" s="647"/>
      <c r="S535" s="647"/>
      <c r="T535" s="647"/>
      <c r="U535" s="647"/>
      <c r="V535" s="647"/>
      <c r="W535" s="647"/>
      <c r="X535" s="647"/>
      <c r="Y535" s="647"/>
      <c r="Z535" s="647"/>
      <c r="AA535" s="65"/>
      <c r="AB535" s="65"/>
      <c r="AC535" s="79"/>
    </row>
    <row r="536" spans="1:68" ht="14.25" hidden="1" customHeight="1" x14ac:dyDescent="0.25">
      <c r="A536" s="648" t="s">
        <v>124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6"/>
      <c r="AB536" s="66"/>
      <c r="AC536" s="80"/>
    </row>
    <row r="537" spans="1:68" ht="27" hidden="1" customHeight="1" x14ac:dyDescent="0.25">
      <c r="A537" s="63" t="s">
        <v>856</v>
      </c>
      <c r="B537" s="63" t="s">
        <v>857</v>
      </c>
      <c r="C537" s="36">
        <v>4301012386</v>
      </c>
      <c r="D537" s="649">
        <v>4680115889736</v>
      </c>
      <c r="E537" s="649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48" t="s">
        <v>161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6"/>
      <c r="AB540" s="66"/>
      <c r="AC540" s="80"/>
    </row>
    <row r="541" spans="1:68" ht="27" hidden="1" customHeight="1" x14ac:dyDescent="0.25">
      <c r="A541" s="63" t="s">
        <v>859</v>
      </c>
      <c r="B541" s="63" t="s">
        <v>860</v>
      </c>
      <c r="C541" s="36">
        <v>4301020444</v>
      </c>
      <c r="D541" s="649">
        <v>4680115889781</v>
      </c>
      <c r="E541" s="649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48" t="s">
        <v>256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6"/>
      <c r="AB544" s="66"/>
      <c r="AC544" s="80"/>
    </row>
    <row r="545" spans="1:68" ht="27" hidden="1" customHeight="1" x14ac:dyDescent="0.25">
      <c r="A545" s="63" t="s">
        <v>861</v>
      </c>
      <c r="B545" s="63" t="s">
        <v>862</v>
      </c>
      <c r="C545" s="36">
        <v>4301031523</v>
      </c>
      <c r="D545" s="649">
        <v>4680115889774</v>
      </c>
      <c r="E545" s="649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66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51"/>
      <c r="R545" s="651"/>
      <c r="S545" s="651"/>
      <c r="T545" s="65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IFERROR(IF(Y545=0,"",ROUNDUP(Y545/H545,0)*0.00902),"")</f>
        <v/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53" t="s">
        <v>40</v>
      </c>
      <c r="Q546" s="654"/>
      <c r="R546" s="654"/>
      <c r="S546" s="654"/>
      <c r="T546" s="654"/>
      <c r="U546" s="654"/>
      <c r="V546" s="655"/>
      <c r="W546" s="42" t="s">
        <v>39</v>
      </c>
      <c r="X546" s="43">
        <f>IFERROR(X545/H545,"0")</f>
        <v>0</v>
      </c>
      <c r="Y546" s="43">
        <f>IFERROR(Y545/H545,"0")</f>
        <v>0</v>
      </c>
      <c r="Z546" s="43">
        <f>IFERROR(IF(Z545="",0,Z545),"0")</f>
        <v>0</v>
      </c>
      <c r="AA546" s="67"/>
      <c r="AB546" s="67"/>
      <c r="AC546" s="67"/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0</v>
      </c>
      <c r="X547" s="43">
        <f>IFERROR(SUM(X545:X545),"0")</f>
        <v>0</v>
      </c>
      <c r="Y547" s="43">
        <f>IFERROR(SUM(Y545:Y545),"0")</f>
        <v>0</v>
      </c>
      <c r="Z547" s="42"/>
      <c r="AA547" s="67"/>
      <c r="AB547" s="67"/>
      <c r="AC547" s="67"/>
    </row>
    <row r="548" spans="1:68" ht="14.25" hidden="1" customHeight="1" x14ac:dyDescent="0.25">
      <c r="A548" s="648" t="s">
        <v>77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6"/>
      <c r="AB548" s="66"/>
      <c r="AC548" s="80"/>
    </row>
    <row r="549" spans="1:68" ht="27" hidden="1" customHeight="1" x14ac:dyDescent="0.25">
      <c r="A549" s="63" t="s">
        <v>864</v>
      </c>
      <c r="B549" s="63" t="s">
        <v>865</v>
      </c>
      <c r="C549" s="36">
        <v>4301052282</v>
      </c>
      <c r="D549" s="649">
        <v>4680115889811</v>
      </c>
      <c r="E549" s="649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66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51"/>
      <c r="R549" s="651"/>
      <c r="S549" s="651"/>
      <c r="T549" s="652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56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53" t="s">
        <v>40</v>
      </c>
      <c r="Q550" s="654"/>
      <c r="R550" s="654"/>
      <c r="S550" s="654"/>
      <c r="T550" s="654"/>
      <c r="U550" s="654"/>
      <c r="V550" s="655"/>
      <c r="W550" s="42" t="s">
        <v>39</v>
      </c>
      <c r="X550" s="43">
        <f>IFERROR(X549/H549,"0")</f>
        <v>0</v>
      </c>
      <c r="Y550" s="43">
        <f>IFERROR(Y549/H549,"0")</f>
        <v>0</v>
      </c>
      <c r="Z550" s="43">
        <f>IFERROR(IF(Z549="",0,Z549),"0")</f>
        <v>0</v>
      </c>
      <c r="AA550" s="67"/>
      <c r="AB550" s="67"/>
      <c r="AC550" s="67"/>
    </row>
    <row r="551" spans="1:68" hidden="1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53" t="s">
        <v>40</v>
      </c>
      <c r="Q551" s="654"/>
      <c r="R551" s="654"/>
      <c r="S551" s="654"/>
      <c r="T551" s="654"/>
      <c r="U551" s="654"/>
      <c r="V551" s="655"/>
      <c r="W551" s="42" t="s">
        <v>0</v>
      </c>
      <c r="X551" s="43">
        <f>IFERROR(SUM(X549:X549),"0")</f>
        <v>0</v>
      </c>
      <c r="Y551" s="43">
        <f>IFERROR(SUM(Y549:Y549),"0")</f>
        <v>0</v>
      </c>
      <c r="Z551" s="42"/>
      <c r="AA551" s="67"/>
      <c r="AB551" s="67"/>
      <c r="AC551" s="67"/>
    </row>
    <row r="552" spans="1:68" ht="14.25" hidden="1" customHeight="1" x14ac:dyDescent="0.25">
      <c r="A552" s="648" t="s">
        <v>179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4301060543</v>
      </c>
      <c r="D553" s="649">
        <v>4680115889804</v>
      </c>
      <c r="E553" s="649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66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51"/>
      <c r="R553" s="651"/>
      <c r="S553" s="651"/>
      <c r="T553" s="652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hidden="1" customHeight="1" x14ac:dyDescent="0.25">
      <c r="A554" s="63" t="s">
        <v>870</v>
      </c>
      <c r="B554" s="63" t="s">
        <v>871</v>
      </c>
      <c r="C554" s="36">
        <v>4301060544</v>
      </c>
      <c r="D554" s="649">
        <v>4680115889828</v>
      </c>
      <c r="E554" s="649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66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51"/>
      <c r="R554" s="651"/>
      <c r="S554" s="651"/>
      <c r="T554" s="652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idden="1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7"/>
      <c r="P555" s="653" t="s">
        <v>40</v>
      </c>
      <c r="Q555" s="654"/>
      <c r="R555" s="654"/>
      <c r="S555" s="654"/>
      <c r="T555" s="654"/>
      <c r="U555" s="654"/>
      <c r="V555" s="65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hidden="1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53" t="s">
        <v>40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hidden="1" customHeight="1" x14ac:dyDescent="0.25">
      <c r="A557" s="647" t="s">
        <v>873</v>
      </c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47"/>
      <c r="P557" s="647"/>
      <c r="Q557" s="647"/>
      <c r="R557" s="647"/>
      <c r="S557" s="647"/>
      <c r="T557" s="647"/>
      <c r="U557" s="647"/>
      <c r="V557" s="647"/>
      <c r="W557" s="647"/>
      <c r="X557" s="647"/>
      <c r="Y557" s="647"/>
      <c r="Z557" s="647"/>
      <c r="AA557" s="65"/>
      <c r="AB557" s="65"/>
      <c r="AC557" s="79"/>
    </row>
    <row r="558" spans="1:68" ht="14.25" hidden="1" customHeight="1" x14ac:dyDescent="0.25">
      <c r="A558" s="648" t="s">
        <v>161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6"/>
      <c r="AB558" s="66"/>
      <c r="AC558" s="80"/>
    </row>
    <row r="559" spans="1:68" ht="27" hidden="1" customHeight="1" x14ac:dyDescent="0.25">
      <c r="A559" s="63" t="s">
        <v>874</v>
      </c>
      <c r="B559" s="63" t="s">
        <v>875</v>
      </c>
      <c r="C559" s="36">
        <v>4301020441</v>
      </c>
      <c r="D559" s="649">
        <v>4680115889798</v>
      </c>
      <c r="E559" s="649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51"/>
      <c r="R559" s="651"/>
      <c r="S559" s="651"/>
      <c r="T559" s="652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hidden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57"/>
      <c r="P560" s="653" t="s">
        <v>40</v>
      </c>
      <c r="Q560" s="654"/>
      <c r="R560" s="654"/>
      <c r="S560" s="654"/>
      <c r="T560" s="654"/>
      <c r="U560" s="654"/>
      <c r="V560" s="65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hidden="1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57"/>
      <c r="P561" s="653" t="s">
        <v>40</v>
      </c>
      <c r="Q561" s="654"/>
      <c r="R561" s="654"/>
      <c r="S561" s="654"/>
      <c r="T561" s="654"/>
      <c r="U561" s="654"/>
      <c r="V561" s="65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33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3800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3840.2400000000002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34</v>
      </c>
      <c r="Q563" s="659"/>
      <c r="R563" s="659"/>
      <c r="S563" s="659"/>
      <c r="T563" s="659"/>
      <c r="U563" s="659"/>
      <c r="V563" s="660"/>
      <c r="W563" s="42" t="s">
        <v>0</v>
      </c>
      <c r="X563" s="43">
        <f>IFERROR(SUM(BM22:BM559),"0")</f>
        <v>3944.1978114478111</v>
      </c>
      <c r="Y563" s="43">
        <f>IFERROR(SUM(BN22:BN559),"0")</f>
        <v>3985.83</v>
      </c>
      <c r="Z563" s="42"/>
      <c r="AA563" s="67"/>
      <c r="AB563" s="67"/>
      <c r="AC563" s="67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35</v>
      </c>
      <c r="Q564" s="659"/>
      <c r="R564" s="659"/>
      <c r="S564" s="659"/>
      <c r="T564" s="659"/>
      <c r="U564" s="659"/>
      <c r="V564" s="660"/>
      <c r="W564" s="42" t="s">
        <v>20</v>
      </c>
      <c r="X564" s="44">
        <f>ROUNDUP(SUM(BO22:BO559),0)</f>
        <v>6</v>
      </c>
      <c r="Y564" s="44">
        <f>ROUNDUP(SUM(BP22:BP559),0)</f>
        <v>6</v>
      </c>
      <c r="Z564" s="42"/>
      <c r="AA564" s="67"/>
      <c r="AB564" s="67"/>
      <c r="AC564" s="67"/>
    </row>
    <row r="565" spans="1:32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1"/>
      <c r="P565" s="658" t="s">
        <v>36</v>
      </c>
      <c r="Q565" s="659"/>
      <c r="R565" s="659"/>
      <c r="S565" s="659"/>
      <c r="T565" s="659"/>
      <c r="U565" s="659"/>
      <c r="V565" s="660"/>
      <c r="W565" s="42" t="s">
        <v>0</v>
      </c>
      <c r="X565" s="43">
        <f>GrossWeightTotal+PalletQtyTotal*25</f>
        <v>4094.1978114478111</v>
      </c>
      <c r="Y565" s="43">
        <f>GrossWeightTotalR+PalletQtyTotalR*25</f>
        <v>4135.83</v>
      </c>
      <c r="Z565" s="42"/>
      <c r="AA565" s="67"/>
      <c r="AB565" s="67"/>
      <c r="AC565" s="67"/>
    </row>
    <row r="566" spans="1:32" x14ac:dyDescent="0.2">
      <c r="A566" s="656"/>
      <c r="B566" s="656"/>
      <c r="C566" s="656"/>
      <c r="D566" s="656"/>
      <c r="E566" s="656"/>
      <c r="F566" s="656"/>
      <c r="G566" s="656"/>
      <c r="H566" s="656"/>
      <c r="I566" s="656"/>
      <c r="J566" s="656"/>
      <c r="K566" s="656"/>
      <c r="L566" s="656"/>
      <c r="M566" s="656"/>
      <c r="N566" s="656"/>
      <c r="O566" s="661"/>
      <c r="P566" s="658" t="s">
        <v>37</v>
      </c>
      <c r="Q566" s="659"/>
      <c r="R566" s="659"/>
      <c r="S566" s="659"/>
      <c r="T566" s="659"/>
      <c r="U566" s="659"/>
      <c r="V566" s="660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341.83501683501686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345</v>
      </c>
      <c r="Z566" s="42"/>
      <c r="AA566" s="67"/>
      <c r="AB566" s="67"/>
      <c r="AC566" s="67"/>
    </row>
    <row r="567" spans="1:32" ht="14.25" hidden="1" x14ac:dyDescent="0.2">
      <c r="A567" s="656"/>
      <c r="B567" s="656"/>
      <c r="C567" s="656"/>
      <c r="D567" s="656"/>
      <c r="E567" s="656"/>
      <c r="F567" s="656"/>
      <c r="G567" s="656"/>
      <c r="H567" s="656"/>
      <c r="I567" s="656"/>
      <c r="J567" s="656"/>
      <c r="K567" s="656"/>
      <c r="L567" s="656"/>
      <c r="M567" s="656"/>
      <c r="N567" s="656"/>
      <c r="O567" s="661"/>
      <c r="P567" s="658" t="s">
        <v>38</v>
      </c>
      <c r="Q567" s="659"/>
      <c r="R567" s="659"/>
      <c r="S567" s="659"/>
      <c r="T567" s="659"/>
      <c r="U567" s="659"/>
      <c r="V567" s="660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6.1739799999999994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644" t="s">
        <v>122</v>
      </c>
      <c r="E569" s="644" t="s">
        <v>122</v>
      </c>
      <c r="F569" s="644" t="s">
        <v>122</v>
      </c>
      <c r="G569" s="644" t="s">
        <v>122</v>
      </c>
      <c r="H569" s="644" t="s">
        <v>122</v>
      </c>
      <c r="I569" s="644" t="s">
        <v>122</v>
      </c>
      <c r="J569" s="644" t="s">
        <v>122</v>
      </c>
      <c r="K569" s="644" t="s">
        <v>340</v>
      </c>
      <c r="L569" s="644" t="s">
        <v>340</v>
      </c>
      <c r="M569" s="644" t="s">
        <v>340</v>
      </c>
      <c r="N569" s="662"/>
      <c r="O569" s="644" t="s">
        <v>340</v>
      </c>
      <c r="P569" s="644" t="s">
        <v>340</v>
      </c>
      <c r="Q569" s="644" t="s">
        <v>340</v>
      </c>
      <c r="R569" s="644" t="s">
        <v>340</v>
      </c>
      <c r="S569" s="644" t="s">
        <v>340</v>
      </c>
      <c r="T569" s="644" t="s">
        <v>340</v>
      </c>
      <c r="U569" s="644" t="s">
        <v>340</v>
      </c>
      <c r="V569" s="644" t="s">
        <v>340</v>
      </c>
      <c r="W569" s="644" t="s">
        <v>340</v>
      </c>
      <c r="X569" s="644" t="s">
        <v>712</v>
      </c>
      <c r="Y569" s="644" t="s">
        <v>712</v>
      </c>
      <c r="Z569" s="644" t="s">
        <v>778</v>
      </c>
      <c r="AA569" s="644" t="s">
        <v>778</v>
      </c>
      <c r="AB569" s="85" t="s">
        <v>811</v>
      </c>
      <c r="AC569" s="644" t="s">
        <v>855</v>
      </c>
      <c r="AD569" s="644" t="s">
        <v>855</v>
      </c>
      <c r="AF569" s="1"/>
    </row>
    <row r="570" spans="1:32" ht="14.25" customHeight="1" thickTop="1" x14ac:dyDescent="0.2">
      <c r="A570" s="645" t="s">
        <v>10</v>
      </c>
      <c r="B570" s="644" t="s">
        <v>76</v>
      </c>
      <c r="C570" s="644" t="s">
        <v>106</v>
      </c>
      <c r="D570" s="644" t="s">
        <v>123</v>
      </c>
      <c r="E570" s="644" t="s">
        <v>140</v>
      </c>
      <c r="F570" s="644" t="s">
        <v>187</v>
      </c>
      <c r="G570" s="644" t="s">
        <v>211</v>
      </c>
      <c r="H570" s="644" t="s">
        <v>250</v>
      </c>
      <c r="I570" s="644" t="s">
        <v>264</v>
      </c>
      <c r="J570" s="644" t="s">
        <v>122</v>
      </c>
      <c r="K570" s="644" t="s">
        <v>341</v>
      </c>
      <c r="L570" s="644" t="s">
        <v>362</v>
      </c>
      <c r="M570" s="644" t="s">
        <v>425</v>
      </c>
      <c r="N570" s="1"/>
      <c r="O570" s="644" t="s">
        <v>496</v>
      </c>
      <c r="P570" s="644" t="s">
        <v>531</v>
      </c>
      <c r="Q570" s="644" t="s">
        <v>556</v>
      </c>
      <c r="R570" s="644" t="s">
        <v>565</v>
      </c>
      <c r="S570" s="644" t="s">
        <v>587</v>
      </c>
      <c r="T570" s="644" t="s">
        <v>594</v>
      </c>
      <c r="U570" s="644" t="s">
        <v>603</v>
      </c>
      <c r="V570" s="644" t="s">
        <v>689</v>
      </c>
      <c r="W570" s="644" t="s">
        <v>702</v>
      </c>
      <c r="X570" s="644" t="s">
        <v>713</v>
      </c>
      <c r="Y570" s="644" t="s">
        <v>762</v>
      </c>
      <c r="Z570" s="644" t="s">
        <v>779</v>
      </c>
      <c r="AA570" s="644" t="s">
        <v>799</v>
      </c>
      <c r="AB570" s="644" t="s">
        <v>811</v>
      </c>
      <c r="AC570" s="644" t="s">
        <v>855</v>
      </c>
      <c r="AD570" s="644" t="s">
        <v>873</v>
      </c>
      <c r="AF570" s="1"/>
    </row>
    <row r="571" spans="1:32" ht="13.5" thickBot="1" x14ac:dyDescent="0.25">
      <c r="A571" s="646"/>
      <c r="B571" s="644"/>
      <c r="C571" s="644"/>
      <c r="D571" s="644"/>
      <c r="E571" s="644"/>
      <c r="F571" s="644"/>
      <c r="G571" s="644"/>
      <c r="H571" s="644"/>
      <c r="I571" s="644"/>
      <c r="J571" s="644"/>
      <c r="K571" s="644"/>
      <c r="L571" s="644"/>
      <c r="M571" s="644"/>
      <c r="N571" s="1"/>
      <c r="O571" s="644"/>
      <c r="P571" s="644"/>
      <c r="Q571" s="644"/>
      <c r="R571" s="644"/>
      <c r="S571" s="644"/>
      <c r="T571" s="644"/>
      <c r="U571" s="644"/>
      <c r="V571" s="644"/>
      <c r="W571" s="644"/>
      <c r="X571" s="644"/>
      <c r="Y571" s="644"/>
      <c r="Z571" s="644"/>
      <c r="AA571" s="644"/>
      <c r="AB571" s="644"/>
      <c r="AC571" s="644"/>
      <c r="AD571" s="644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0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0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0</v>
      </c>
      <c r="F572" s="52">
        <f>IFERROR(Y85*1,"0")+IFERROR(Y86*1,"0")+IFERROR(Y87*1,"0")+IFERROR(Y88*1,"0")+IFERROR(Y89*1,"0")+IFERROR(Y90*1,"0")+IFERROR(Y94*1,"0")+IFERROR(Y95*1,"0")+IFERROR(Y96*1,"0")+IFERROR(Y97*1,"0")</f>
        <v>108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0</v>
      </c>
      <c r="H572" s="52">
        <f>IFERROR(Y130*1,"0")+IFERROR(Y131*1,"0")+IFERROR(Y135*1,"0")+IFERROR(Y136*1,"0")+IFERROR(Y140*1,"0")+IFERROR(Y141*1,"0")</f>
        <v>0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72" s="52">
        <f>IFERROR(Y199*1,"0")+IFERROR(Y200*1,"0")+IFERROR(Y201*1,"0")+IFERROR(Y202*1,"0")+IFERROR(Y203*1,"0")+IFERROR(Y204*1,"0")+IFERROR(Y205*1,"0")</f>
        <v>0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0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52">
        <f>IFERROR(Y318*1,"0")+IFERROR(Y319*1,"0")+IFERROR(Y320*1,"0")+IFERROR(Y321*1,"0")+IFERROR(Y322*1,"0")+IFERROR(Y323*1,"0")+IFERROR(Y324*1,"0")+IFERROR(Y325*1,"0")</f>
        <v>0</v>
      </c>
      <c r="Q572" s="52">
        <f>IFERROR(Y330*1,"0")+IFERROR(Y331*1,"0")+IFERROR(Y332*1,"0")</f>
        <v>0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0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0</v>
      </c>
      <c r="V572" s="52">
        <f>IFERROR(Y420*1,"0")+IFERROR(Y421*1,"0")+IFERROR(Y422*1,"0")+IFERROR(Y423*1,"0")</f>
        <v>0</v>
      </c>
      <c r="W572" s="52">
        <f>IFERROR(Y428*1,"0")+IFERROR(Y429*1,"0")+IFERROR(Y430*1,"0")</f>
        <v>0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3030</v>
      </c>
      <c r="Y572" s="52">
        <f>IFERROR(Y465*1,"0")+IFERROR(Y466*1,"0")+IFERROR(Y470*1,"0")+IFERROR(Y474*1,"0")+IFERROR(Y475*1,"0")+IFERROR(Y476*1,"0")</f>
        <v>0</v>
      </c>
      <c r="Z572" s="52">
        <f>IFERROR(Y482*1,"0")+IFERROR(Y483*1,"0")+IFERROR(Y484*1,"0")+IFERROR(Y485*1,"0")+IFERROR(Y486*1,"0")+IFERROR(Y487*1,"0")+IFERROR(Y491*1,"0")</f>
        <v>0</v>
      </c>
      <c r="AA572" s="52">
        <f>IFERROR(Y496*1,"0")+IFERROR(Y500*1,"0")+IFERROR(Y501*1,"0")+IFERROR(Y502*1,"0")</f>
        <v>0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702.24000000000012</v>
      </c>
      <c r="AC572" s="52">
        <f>IFERROR(Y537*1,"0")+IFERROR(Y541*1,"0")+IFERROR(Y545*1,"0")+IFERROR(Y549*1,"0")+IFERROR(Y553*1,"0")+IFERROR(Y554*1,"0")</f>
        <v>0</v>
      </c>
      <c r="AD572" s="52">
        <f>IFERROR(Y559*1,"0")</f>
        <v>0</v>
      </c>
      <c r="AF572" s="1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0,00"/>
        <filter val="113,64"/>
        <filter val="133,33"/>
        <filter val="18,94"/>
        <filter val="2 000,00"/>
        <filter val="200,00"/>
        <filter val="3 800,00"/>
        <filter val="3 944,20"/>
        <filter val="341,84"/>
        <filter val="4 094,20"/>
        <filter val="400,00"/>
        <filter val="500,00"/>
        <filter val="6"/>
        <filter val="600,00"/>
        <filter val="66,67"/>
        <filter val="9,26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8" spans="2:8" x14ac:dyDescent="0.2">
      <c r="B8" s="53" t="s">
        <v>886</v>
      </c>
      <c r="C8" s="53" t="s">
        <v>887</v>
      </c>
      <c r="D8" s="53" t="s">
        <v>888</v>
      </c>
      <c r="E8" s="53" t="s">
        <v>46</v>
      </c>
    </row>
    <row r="9" spans="2:8" x14ac:dyDescent="0.2">
      <c r="B9" s="53" t="s">
        <v>889</v>
      </c>
      <c r="C9" s="53" t="s">
        <v>890</v>
      </c>
      <c r="D9" s="53" t="s">
        <v>891</v>
      </c>
      <c r="E9" s="53" t="s">
        <v>46</v>
      </c>
    </row>
    <row r="10" spans="2:8" x14ac:dyDescent="0.2">
      <c r="B10" s="53" t="s">
        <v>892</v>
      </c>
      <c r="C10" s="53" t="s">
        <v>893</v>
      </c>
      <c r="D10" s="53" t="s">
        <v>894</v>
      </c>
      <c r="E10" s="53" t="s">
        <v>46</v>
      </c>
    </row>
    <row r="11" spans="2:8" x14ac:dyDescent="0.2">
      <c r="B11" s="53" t="s">
        <v>895</v>
      </c>
      <c r="C11" s="53" t="s">
        <v>896</v>
      </c>
      <c r="D11" s="53" t="s">
        <v>897</v>
      </c>
      <c r="E11" s="53" t="s">
        <v>46</v>
      </c>
    </row>
    <row r="13" spans="2:8" x14ac:dyDescent="0.2">
      <c r="B13" s="53" t="s">
        <v>898</v>
      </c>
      <c r="C13" s="53" t="s">
        <v>881</v>
      </c>
      <c r="D13" s="53" t="s">
        <v>46</v>
      </c>
      <c r="E13" s="53" t="s">
        <v>46</v>
      </c>
    </row>
    <row r="15" spans="2:8" x14ac:dyDescent="0.2">
      <c r="B15" s="53" t="s">
        <v>899</v>
      </c>
      <c r="C15" s="53" t="s">
        <v>884</v>
      </c>
      <c r="D15" s="53" t="s">
        <v>46</v>
      </c>
      <c r="E15" s="53" t="s">
        <v>46</v>
      </c>
    </row>
    <row r="17" spans="2:5" x14ac:dyDescent="0.2">
      <c r="B17" s="53" t="s">
        <v>900</v>
      </c>
      <c r="C17" s="53" t="s">
        <v>887</v>
      </c>
      <c r="D17" s="53" t="s">
        <v>46</v>
      </c>
      <c r="E17" s="53" t="s">
        <v>46</v>
      </c>
    </row>
    <row r="19" spans="2:5" x14ac:dyDescent="0.2">
      <c r="B19" s="53" t="s">
        <v>901</v>
      </c>
      <c r="C19" s="53" t="s">
        <v>890</v>
      </c>
      <c r="D19" s="53" t="s">
        <v>46</v>
      </c>
      <c r="E19" s="53" t="s">
        <v>46</v>
      </c>
    </row>
    <row r="21" spans="2:5" x14ac:dyDescent="0.2">
      <c r="B21" s="53" t="s">
        <v>902</v>
      </c>
      <c r="C21" s="53" t="s">
        <v>893</v>
      </c>
      <c r="D21" s="53" t="s">
        <v>46</v>
      </c>
      <c r="E21" s="53" t="s">
        <v>46</v>
      </c>
    </row>
    <row r="23" spans="2:5" x14ac:dyDescent="0.2">
      <c r="B23" s="53" t="s">
        <v>903</v>
      </c>
      <c r="C23" s="53" t="s">
        <v>896</v>
      </c>
      <c r="D23" s="53" t="s">
        <v>46</v>
      </c>
      <c r="E23" s="53" t="s">
        <v>46</v>
      </c>
    </row>
    <row r="25" spans="2:5" x14ac:dyDescent="0.2">
      <c r="B25" s="53" t="s">
        <v>904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905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906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907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908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909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910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914</v>
      </c>
      <c r="C35" s="53" t="s">
        <v>46</v>
      </c>
      <c r="D35" s="53" t="s">
        <v>46</v>
      </c>
      <c r="E35" s="53" t="s">
        <v>46</v>
      </c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2026-10-29T10:16:22Z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