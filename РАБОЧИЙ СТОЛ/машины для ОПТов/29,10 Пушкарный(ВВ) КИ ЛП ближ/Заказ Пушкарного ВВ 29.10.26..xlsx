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B601752-1C81-47C6-8DE3-D76DE5CC631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BP554" i="2" s="1"/>
  <c r="P554" i="2"/>
  <c r="BO553" i="2"/>
  <c r="BM553" i="2"/>
  <c r="Y553" i="2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Z545" i="2" s="1"/>
  <c r="Z546" i="2" s="1"/>
  <c r="P545" i="2"/>
  <c r="X543" i="2"/>
  <c r="X542" i="2"/>
  <c r="BO541" i="2"/>
  <c r="BM541" i="2"/>
  <c r="Y541" i="2"/>
  <c r="Y543" i="2" s="1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Z531" i="2" s="1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P526" i="2"/>
  <c r="BO525" i="2"/>
  <c r="BM525" i="2"/>
  <c r="Y525" i="2"/>
  <c r="BP525" i="2" s="1"/>
  <c r="P525" i="2"/>
  <c r="X523" i="2"/>
  <c r="X522" i="2"/>
  <c r="BO521" i="2"/>
  <c r="BM521" i="2"/>
  <c r="Y521" i="2"/>
  <c r="Z521" i="2" s="1"/>
  <c r="P521" i="2"/>
  <c r="BO520" i="2"/>
  <c r="BM520" i="2"/>
  <c r="Y520" i="2"/>
  <c r="BP520" i="2" s="1"/>
  <c r="P520" i="2"/>
  <c r="BO519" i="2"/>
  <c r="BM519" i="2"/>
  <c r="Y519" i="2"/>
  <c r="BP519" i="2" s="1"/>
  <c r="P519" i="2"/>
  <c r="X517" i="2"/>
  <c r="X516" i="2"/>
  <c r="BO515" i="2"/>
  <c r="BM515" i="2"/>
  <c r="Y515" i="2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P510" i="2" s="1"/>
  <c r="P510" i="2"/>
  <c r="BO509" i="2"/>
  <c r="BM509" i="2"/>
  <c r="Y509" i="2"/>
  <c r="P509" i="2"/>
  <c r="BO508" i="2"/>
  <c r="BM508" i="2"/>
  <c r="Y508" i="2"/>
  <c r="P508" i="2"/>
  <c r="X504" i="2"/>
  <c r="X503" i="2"/>
  <c r="BO502" i="2"/>
  <c r="BM502" i="2"/>
  <c r="Y502" i="2"/>
  <c r="BP502" i="2" s="1"/>
  <c r="P502" i="2"/>
  <c r="BO501" i="2"/>
  <c r="BM501" i="2"/>
  <c r="Y501" i="2"/>
  <c r="P501" i="2"/>
  <c r="BO500" i="2"/>
  <c r="BM500" i="2"/>
  <c r="Y500" i="2"/>
  <c r="P500" i="2"/>
  <c r="X498" i="2"/>
  <c r="X497" i="2"/>
  <c r="BO496" i="2"/>
  <c r="BM496" i="2"/>
  <c r="Y496" i="2"/>
  <c r="Y497" i="2" s="1"/>
  <c r="P496" i="2"/>
  <c r="X493" i="2"/>
  <c r="X492" i="2"/>
  <c r="BO491" i="2"/>
  <c r="BM491" i="2"/>
  <c r="Y491" i="2"/>
  <c r="P491" i="2"/>
  <c r="X489" i="2"/>
  <c r="X488" i="2"/>
  <c r="BO487" i="2"/>
  <c r="BM487" i="2"/>
  <c r="Y487" i="2"/>
  <c r="BP487" i="2" s="1"/>
  <c r="P487" i="2"/>
  <c r="BO486" i="2"/>
  <c r="BM486" i="2"/>
  <c r="Y486" i="2"/>
  <c r="Z486" i="2" s="1"/>
  <c r="P486" i="2"/>
  <c r="BO485" i="2"/>
  <c r="BM485" i="2"/>
  <c r="Y485" i="2"/>
  <c r="BP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P476" i="2" s="1"/>
  <c r="P476" i="2"/>
  <c r="BO475" i="2"/>
  <c r="BM475" i="2"/>
  <c r="Y475" i="2"/>
  <c r="P475" i="2"/>
  <c r="BO474" i="2"/>
  <c r="BM474" i="2"/>
  <c r="Y474" i="2"/>
  <c r="Z474" i="2" s="1"/>
  <c r="P474" i="2"/>
  <c r="X472" i="2"/>
  <c r="X471" i="2"/>
  <c r="BO470" i="2"/>
  <c r="BM470" i="2"/>
  <c r="Y470" i="2"/>
  <c r="Y472" i="2" s="1"/>
  <c r="P470" i="2"/>
  <c r="X468" i="2"/>
  <c r="X467" i="2"/>
  <c r="BO466" i="2"/>
  <c r="BM466" i="2"/>
  <c r="Y466" i="2"/>
  <c r="P466" i="2"/>
  <c r="BO465" i="2"/>
  <c r="BM465" i="2"/>
  <c r="Y465" i="2"/>
  <c r="BN465" i="2" s="1"/>
  <c r="P465" i="2"/>
  <c r="X462" i="2"/>
  <c r="X461" i="2"/>
  <c r="BO460" i="2"/>
  <c r="BM460" i="2"/>
  <c r="Y460" i="2"/>
  <c r="BP460" i="2" s="1"/>
  <c r="P460" i="2"/>
  <c r="BO459" i="2"/>
  <c r="BM459" i="2"/>
  <c r="Y459" i="2"/>
  <c r="Y461" i="2" s="1"/>
  <c r="P459" i="2"/>
  <c r="X457" i="2"/>
  <c r="X456" i="2"/>
  <c r="BO455" i="2"/>
  <c r="BM455" i="2"/>
  <c r="Y455" i="2"/>
  <c r="P455" i="2"/>
  <c r="BO454" i="2"/>
  <c r="BM454" i="2"/>
  <c r="Y454" i="2"/>
  <c r="P454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BP448" i="2" s="1"/>
  <c r="P448" i="2"/>
  <c r="BO447" i="2"/>
  <c r="BM447" i="2"/>
  <c r="Y447" i="2"/>
  <c r="Z447" i="2" s="1"/>
  <c r="P447" i="2"/>
  <c r="X445" i="2"/>
  <c r="X444" i="2"/>
  <c r="BO443" i="2"/>
  <c r="BM443" i="2"/>
  <c r="Y443" i="2"/>
  <c r="BP443" i="2" s="1"/>
  <c r="P443" i="2"/>
  <c r="BO442" i="2"/>
  <c r="BM442" i="2"/>
  <c r="Y442" i="2"/>
  <c r="P442" i="2"/>
  <c r="BO441" i="2"/>
  <c r="BM441" i="2"/>
  <c r="Y441" i="2"/>
  <c r="Z441" i="2" s="1"/>
  <c r="P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P436" i="2"/>
  <c r="X432" i="2"/>
  <c r="X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BP428" i="2" s="1"/>
  <c r="P428" i="2"/>
  <c r="X425" i="2"/>
  <c r="X424" i="2"/>
  <c r="BO423" i="2"/>
  <c r="BM423" i="2"/>
  <c r="Y423" i="2"/>
  <c r="Z423" i="2" s="1"/>
  <c r="BO422" i="2"/>
  <c r="BM422" i="2"/>
  <c r="Y422" i="2"/>
  <c r="P422" i="2"/>
  <c r="BO421" i="2"/>
  <c r="BM421" i="2"/>
  <c r="Y421" i="2"/>
  <c r="BP421" i="2" s="1"/>
  <c r="P421" i="2"/>
  <c r="BO420" i="2"/>
  <c r="BM420" i="2"/>
  <c r="Y420" i="2"/>
  <c r="BP420" i="2" s="1"/>
  <c r="P420" i="2"/>
  <c r="X417" i="2"/>
  <c r="X416" i="2"/>
  <c r="BO415" i="2"/>
  <c r="BM415" i="2"/>
  <c r="Y415" i="2"/>
  <c r="P415" i="2"/>
  <c r="BO414" i="2"/>
  <c r="BM414" i="2"/>
  <c r="Y414" i="2"/>
  <c r="BP414" i="2" s="1"/>
  <c r="P414" i="2"/>
  <c r="BO413" i="2"/>
  <c r="BM413" i="2"/>
  <c r="Y413" i="2"/>
  <c r="P413" i="2"/>
  <c r="X411" i="2"/>
  <c r="X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Z407" i="2" s="1"/>
  <c r="P407" i="2"/>
  <c r="X405" i="2"/>
  <c r="X404" i="2"/>
  <c r="BO403" i="2"/>
  <c r="BM403" i="2"/>
  <c r="Y403" i="2"/>
  <c r="BP403" i="2" s="1"/>
  <c r="P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Z400" i="2" s="1"/>
  <c r="P400" i="2"/>
  <c r="X398" i="2"/>
  <c r="X397" i="2"/>
  <c r="BO396" i="2"/>
  <c r="BM396" i="2"/>
  <c r="Y396" i="2"/>
  <c r="P396" i="2"/>
  <c r="BO395" i="2"/>
  <c r="BM395" i="2"/>
  <c r="Y395" i="2"/>
  <c r="BP395" i="2" s="1"/>
  <c r="P395" i="2"/>
  <c r="BO394" i="2"/>
  <c r="BM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BO387" i="2"/>
  <c r="BM387" i="2"/>
  <c r="Y387" i="2"/>
  <c r="BN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Z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Z370" i="2" s="1"/>
  <c r="P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X364" i="2"/>
  <c r="X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X357" i="2"/>
  <c r="X356" i="2"/>
  <c r="BO355" i="2"/>
  <c r="BM355" i="2"/>
  <c r="Y355" i="2"/>
  <c r="Y356" i="2" s="1"/>
  <c r="P355" i="2"/>
  <c r="X353" i="2"/>
  <c r="X352" i="2"/>
  <c r="BO351" i="2"/>
  <c r="BM351" i="2"/>
  <c r="Y351" i="2"/>
  <c r="P351" i="2"/>
  <c r="X348" i="2"/>
  <c r="X347" i="2"/>
  <c r="BO346" i="2"/>
  <c r="BM346" i="2"/>
  <c r="Y346" i="2"/>
  <c r="BP346" i="2" s="1"/>
  <c r="P346" i="2"/>
  <c r="BO345" i="2"/>
  <c r="BM345" i="2"/>
  <c r="Y345" i="2"/>
  <c r="BP345" i="2" s="1"/>
  <c r="P345" i="2"/>
  <c r="BO344" i="2"/>
  <c r="BM344" i="2"/>
  <c r="Y344" i="2"/>
  <c r="P344" i="2"/>
  <c r="X342" i="2"/>
  <c r="X341" i="2"/>
  <c r="BO340" i="2"/>
  <c r="BM340" i="2"/>
  <c r="Y340" i="2"/>
  <c r="Z340" i="2" s="1"/>
  <c r="P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Z337" i="2" s="1"/>
  <c r="P337" i="2"/>
  <c r="X334" i="2"/>
  <c r="X333" i="2"/>
  <c r="BO332" i="2"/>
  <c r="BM332" i="2"/>
  <c r="Y332" i="2"/>
  <c r="Z332" i="2" s="1"/>
  <c r="P332" i="2"/>
  <c r="BO331" i="2"/>
  <c r="BM331" i="2"/>
  <c r="Y331" i="2"/>
  <c r="P331" i="2"/>
  <c r="BO330" i="2"/>
  <c r="BM330" i="2"/>
  <c r="Y330" i="2"/>
  <c r="BP330" i="2" s="1"/>
  <c r="P330" i="2"/>
  <c r="X327" i="2"/>
  <c r="X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BO321" i="2"/>
  <c r="BM321" i="2"/>
  <c r="Y321" i="2"/>
  <c r="Z321" i="2" s="1"/>
  <c r="P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P313" i="2"/>
  <c r="BO312" i="2"/>
  <c r="BM312" i="2"/>
  <c r="Y312" i="2"/>
  <c r="P312" i="2"/>
  <c r="BO311" i="2"/>
  <c r="BM311" i="2"/>
  <c r="Y311" i="2"/>
  <c r="BP311" i="2" s="1"/>
  <c r="P311" i="2"/>
  <c r="BO310" i="2"/>
  <c r="BM310" i="2"/>
  <c r="Y310" i="2"/>
  <c r="Z310" i="2" s="1"/>
  <c r="P310" i="2"/>
  <c r="X308" i="2"/>
  <c r="X307" i="2"/>
  <c r="BO306" i="2"/>
  <c r="BM306" i="2"/>
  <c r="Y306" i="2"/>
  <c r="BP306" i="2" s="1"/>
  <c r="P306" i="2"/>
  <c r="X304" i="2"/>
  <c r="X303" i="2"/>
  <c r="BO302" i="2"/>
  <c r="BM302" i="2"/>
  <c r="Y302" i="2"/>
  <c r="BP302" i="2" s="1"/>
  <c r="P302" i="2"/>
  <c r="X300" i="2"/>
  <c r="X299" i="2"/>
  <c r="BO298" i="2"/>
  <c r="BM298" i="2"/>
  <c r="Y298" i="2"/>
  <c r="Z298" i="2" s="1"/>
  <c r="P298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P292" i="2"/>
  <c r="X289" i="2"/>
  <c r="X288" i="2"/>
  <c r="BO287" i="2"/>
  <c r="BM287" i="2"/>
  <c r="Y287" i="2"/>
  <c r="P287" i="2"/>
  <c r="BO286" i="2"/>
  <c r="BM286" i="2"/>
  <c r="Y286" i="2"/>
  <c r="P286" i="2"/>
  <c r="X284" i="2"/>
  <c r="X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X269" i="2"/>
  <c r="X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N262" i="2" s="1"/>
  <c r="P262" i="2"/>
  <c r="BO261" i="2"/>
  <c r="BM261" i="2"/>
  <c r="Y261" i="2"/>
  <c r="BN261" i="2" s="1"/>
  <c r="P261" i="2"/>
  <c r="BO260" i="2"/>
  <c r="BM260" i="2"/>
  <c r="Y260" i="2"/>
  <c r="BP260" i="2" s="1"/>
  <c r="P260" i="2"/>
  <c r="X258" i="2"/>
  <c r="X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N218" i="2" s="1"/>
  <c r="P218" i="2"/>
  <c r="BO217" i="2"/>
  <c r="BM217" i="2"/>
  <c r="Y217" i="2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Z204" i="2" s="1"/>
  <c r="P204" i="2"/>
  <c r="BO203" i="2"/>
  <c r="BM203" i="2"/>
  <c r="Y203" i="2"/>
  <c r="BN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Z200" i="2" s="1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X182" i="2"/>
  <c r="X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P172" i="2"/>
  <c r="BO171" i="2"/>
  <c r="BM171" i="2"/>
  <c r="Y171" i="2"/>
  <c r="BP171" i="2" s="1"/>
  <c r="P171" i="2"/>
  <c r="BO170" i="2"/>
  <c r="BM170" i="2"/>
  <c r="Y170" i="2"/>
  <c r="Z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BN165" i="2" s="1"/>
  <c r="P165" i="2"/>
  <c r="X163" i="2"/>
  <c r="X162" i="2"/>
  <c r="BO161" i="2"/>
  <c r="BM161" i="2"/>
  <c r="Y161" i="2"/>
  <c r="BP161" i="2" s="1"/>
  <c r="P161" i="2"/>
  <c r="BO160" i="2"/>
  <c r="BM160" i="2"/>
  <c r="Y160" i="2"/>
  <c r="Z160" i="2" s="1"/>
  <c r="P160" i="2"/>
  <c r="BO159" i="2"/>
  <c r="BM159" i="2"/>
  <c r="Y159" i="2"/>
  <c r="BN159" i="2" s="1"/>
  <c r="P159" i="2"/>
  <c r="BO158" i="2"/>
  <c r="BM158" i="2"/>
  <c r="Y158" i="2"/>
  <c r="P158" i="2"/>
  <c r="X155" i="2"/>
  <c r="X154" i="2"/>
  <c r="BO153" i="2"/>
  <c r="BM153" i="2"/>
  <c r="Y153" i="2"/>
  <c r="P153" i="2"/>
  <c r="X151" i="2"/>
  <c r="X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BP147" i="2" s="1"/>
  <c r="P147" i="2"/>
  <c r="BO146" i="2"/>
  <c r="BM146" i="2"/>
  <c r="Y146" i="2"/>
  <c r="P146" i="2"/>
  <c r="X143" i="2"/>
  <c r="X142" i="2"/>
  <c r="BO141" i="2"/>
  <c r="BM141" i="2"/>
  <c r="Y141" i="2"/>
  <c r="BP141" i="2" s="1"/>
  <c r="P141" i="2"/>
  <c r="BO140" i="2"/>
  <c r="BM140" i="2"/>
  <c r="Y140" i="2"/>
  <c r="P140" i="2"/>
  <c r="X138" i="2"/>
  <c r="X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P130" i="2"/>
  <c r="X127" i="2"/>
  <c r="X126" i="2"/>
  <c r="BO125" i="2"/>
  <c r="BM125" i="2"/>
  <c r="Y125" i="2"/>
  <c r="Y126" i="2" s="1"/>
  <c r="P125" i="2"/>
  <c r="X123" i="2"/>
  <c r="X122" i="2"/>
  <c r="BO121" i="2"/>
  <c r="BM121" i="2"/>
  <c r="Y121" i="2"/>
  <c r="Z121" i="2" s="1"/>
  <c r="P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N118" i="2" s="1"/>
  <c r="P118" i="2"/>
  <c r="X116" i="2"/>
  <c r="X115" i="2"/>
  <c r="BO114" i="2"/>
  <c r="BM114" i="2"/>
  <c r="Y114" i="2"/>
  <c r="Z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Y104" i="2"/>
  <c r="Z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X99" i="2"/>
  <c r="X98" i="2"/>
  <c r="BO97" i="2"/>
  <c r="BM97" i="2"/>
  <c r="Y97" i="2"/>
  <c r="P97" i="2"/>
  <c r="BO96" i="2"/>
  <c r="BM96" i="2"/>
  <c r="Y96" i="2"/>
  <c r="P96" i="2"/>
  <c r="BO95" i="2"/>
  <c r="BM95" i="2"/>
  <c r="Y95" i="2"/>
  <c r="Z95" i="2" s="1"/>
  <c r="P95" i="2"/>
  <c r="BO94" i="2"/>
  <c r="BM94" i="2"/>
  <c r="Y94" i="2"/>
  <c r="P94" i="2"/>
  <c r="X92" i="2"/>
  <c r="X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P88" i="2" s="1"/>
  <c r="P88" i="2"/>
  <c r="BO87" i="2"/>
  <c r="BM87" i="2"/>
  <c r="Y87" i="2"/>
  <c r="BN87" i="2" s="1"/>
  <c r="P87" i="2"/>
  <c r="BO86" i="2"/>
  <c r="BM86" i="2"/>
  <c r="Y86" i="2"/>
  <c r="P86" i="2"/>
  <c r="BO85" i="2"/>
  <c r="BM85" i="2"/>
  <c r="Y85" i="2"/>
  <c r="Z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Y82" i="2" s="1"/>
  <c r="P78" i="2"/>
  <c r="X76" i="2"/>
  <c r="X75" i="2"/>
  <c r="BO74" i="2"/>
  <c r="BM74" i="2"/>
  <c r="Y74" i="2"/>
  <c r="P74" i="2"/>
  <c r="BO73" i="2"/>
  <c r="BM73" i="2"/>
  <c r="Y73" i="2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X64" i="2"/>
  <c r="X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Z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Z49" i="2" s="1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O41" i="2"/>
  <c r="BM41" i="2"/>
  <c r="Y41" i="2"/>
  <c r="BN41" i="2" s="1"/>
  <c r="P41" i="2"/>
  <c r="BO40" i="2"/>
  <c r="BM40" i="2"/>
  <c r="Y40" i="2"/>
  <c r="P40" i="2"/>
  <c r="BO39" i="2"/>
  <c r="BM39" i="2"/>
  <c r="Y39" i="2"/>
  <c r="Z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X28" i="2"/>
  <c r="X27" i="2"/>
  <c r="BO26" i="2"/>
  <c r="BM26" i="2"/>
  <c r="Y26" i="2"/>
  <c r="P26" i="2"/>
  <c r="BO25" i="2"/>
  <c r="BM25" i="2"/>
  <c r="Y25" i="2"/>
  <c r="BP25" i="2" s="1"/>
  <c r="P25" i="2"/>
  <c r="BO24" i="2"/>
  <c r="BM24" i="2"/>
  <c r="Y24" i="2"/>
  <c r="BP24" i="2" s="1"/>
  <c r="P24" i="2"/>
  <c r="BO23" i="2"/>
  <c r="BM23" i="2"/>
  <c r="Y23" i="2"/>
  <c r="BN23" i="2" s="1"/>
  <c r="P23" i="2"/>
  <c r="BO22" i="2"/>
  <c r="BM22" i="2"/>
  <c r="Y22" i="2"/>
  <c r="Y28" i="2" s="1"/>
  <c r="P22" i="2"/>
  <c r="H10" i="2"/>
  <c r="A9" i="2"/>
  <c r="A10" i="2" s="1"/>
  <c r="D7" i="2"/>
  <c r="Q6" i="2"/>
  <c r="P2" i="2"/>
  <c r="Z371" i="2" l="1"/>
  <c r="BN371" i="2"/>
  <c r="Z147" i="2"/>
  <c r="BN147" i="2"/>
  <c r="Z80" i="2"/>
  <c r="BN80" i="2"/>
  <c r="Y81" i="2"/>
  <c r="Y92" i="2"/>
  <c r="Z177" i="2"/>
  <c r="Z118" i="2"/>
  <c r="Z171" i="2"/>
  <c r="BN171" i="2"/>
  <c r="Z203" i="2"/>
  <c r="Z279" i="2"/>
  <c r="BP387" i="2"/>
  <c r="Y404" i="2"/>
  <c r="Z68" i="2"/>
  <c r="BN68" i="2"/>
  <c r="Z112" i="2"/>
  <c r="Z115" i="2" s="1"/>
  <c r="BN112" i="2"/>
  <c r="Z141" i="2"/>
  <c r="BN141" i="2"/>
  <c r="Z175" i="2"/>
  <c r="BN175" i="2"/>
  <c r="Z189" i="2"/>
  <c r="Z190" i="2" s="1"/>
  <c r="BN189" i="2"/>
  <c r="BP189" i="2"/>
  <c r="Y190" i="2"/>
  <c r="Z222" i="2"/>
  <c r="BN222" i="2"/>
  <c r="Z230" i="2"/>
  <c r="Z262" i="2"/>
  <c r="Y303" i="2"/>
  <c r="BP318" i="2"/>
  <c r="BP377" i="2"/>
  <c r="Y410" i="2"/>
  <c r="Z428" i="2"/>
  <c r="Z443" i="2"/>
  <c r="BN443" i="2"/>
  <c r="Y467" i="2"/>
  <c r="Y471" i="2"/>
  <c r="Z47" i="2"/>
  <c r="BN47" i="2"/>
  <c r="BN49" i="2"/>
  <c r="BP58" i="2"/>
  <c r="BN58" i="2"/>
  <c r="Z58" i="2"/>
  <c r="Y71" i="2"/>
  <c r="BP66" i="2"/>
  <c r="BN66" i="2"/>
  <c r="Z66" i="2"/>
  <c r="Z70" i="2" s="1"/>
  <c r="BP89" i="2"/>
  <c r="BN89" i="2"/>
  <c r="Z89" i="2"/>
  <c r="BP97" i="2"/>
  <c r="BN97" i="2"/>
  <c r="Z97" i="2"/>
  <c r="Y138" i="2"/>
  <c r="BP135" i="2"/>
  <c r="BN135" i="2"/>
  <c r="Z135" i="2"/>
  <c r="Z137" i="2" s="1"/>
  <c r="BN176" i="2"/>
  <c r="BP179" i="2"/>
  <c r="BN179" i="2"/>
  <c r="Z179" i="2"/>
  <c r="BN185" i="2"/>
  <c r="Z193" i="2"/>
  <c r="Z194" i="2" s="1"/>
  <c r="Y194" i="2"/>
  <c r="BN193" i="2"/>
  <c r="BN274" i="2"/>
  <c r="BP280" i="2"/>
  <c r="Z280" i="2"/>
  <c r="BN293" i="2"/>
  <c r="BN295" i="2"/>
  <c r="BN312" i="2"/>
  <c r="Z312" i="2"/>
  <c r="BP344" i="2"/>
  <c r="Z344" i="2"/>
  <c r="BN372" i="2"/>
  <c r="BN380" i="2"/>
  <c r="BN423" i="2"/>
  <c r="BN430" i="2"/>
  <c r="BN441" i="2"/>
  <c r="BP453" i="2"/>
  <c r="Z453" i="2"/>
  <c r="BN466" i="2"/>
  <c r="BN484" i="2"/>
  <c r="BN529" i="2"/>
  <c r="BN55" i="2"/>
  <c r="BP74" i="2"/>
  <c r="BN74" i="2"/>
  <c r="Z74" i="2"/>
  <c r="BN114" i="2"/>
  <c r="BN119" i="2"/>
  <c r="BN146" i="2"/>
  <c r="Z146" i="2"/>
  <c r="BN160" i="2"/>
  <c r="BN170" i="2"/>
  <c r="BP199" i="2"/>
  <c r="BN199" i="2"/>
  <c r="Z199" i="2"/>
  <c r="BN201" i="2"/>
  <c r="Z201" i="2"/>
  <c r="Y212" i="2"/>
  <c r="BP214" i="2"/>
  <c r="BN214" i="2"/>
  <c r="Z214" i="2"/>
  <c r="BN220" i="2"/>
  <c r="BN224" i="2"/>
  <c r="BN226" i="2"/>
  <c r="BN234" i="2"/>
  <c r="Z234" i="2"/>
  <c r="BN322" i="2"/>
  <c r="BN367" i="2"/>
  <c r="BP367" i="2"/>
  <c r="BN383" i="2"/>
  <c r="BN395" i="2"/>
  <c r="Y416" i="2"/>
  <c r="BP413" i="2"/>
  <c r="BN413" i="2"/>
  <c r="Z413" i="2"/>
  <c r="BP422" i="2"/>
  <c r="Z422" i="2"/>
  <c r="BP513" i="2"/>
  <c r="Z513" i="2"/>
  <c r="Z526" i="2"/>
  <c r="BP526" i="2"/>
  <c r="BN59" i="2"/>
  <c r="BN90" i="2"/>
  <c r="BN104" i="2"/>
  <c r="BN131" i="2"/>
  <c r="BN136" i="2"/>
  <c r="BN180" i="2"/>
  <c r="BN200" i="2"/>
  <c r="BP203" i="2"/>
  <c r="BN204" i="2"/>
  <c r="BP230" i="2"/>
  <c r="BN231" i="2"/>
  <c r="BN260" i="2"/>
  <c r="BP262" i="2"/>
  <c r="BN263" i="2"/>
  <c r="BN272" i="2"/>
  <c r="BN302" i="2"/>
  <c r="BN311" i="2"/>
  <c r="BN324" i="2"/>
  <c r="BN338" i="2"/>
  <c r="BN340" i="2"/>
  <c r="BN346" i="2"/>
  <c r="BN381" i="2"/>
  <c r="BN403" i="2"/>
  <c r="BN407" i="2"/>
  <c r="BN414" i="2"/>
  <c r="BN470" i="2"/>
  <c r="BN474" i="2"/>
  <c r="Y517" i="2"/>
  <c r="BN511" i="2"/>
  <c r="BN525" i="2"/>
  <c r="BP60" i="2"/>
  <c r="BP69" i="2"/>
  <c r="BP292" i="2"/>
  <c r="BN292" i="2"/>
  <c r="BP313" i="2"/>
  <c r="Z313" i="2"/>
  <c r="BP323" i="2"/>
  <c r="BP361" i="2"/>
  <c r="BN361" i="2"/>
  <c r="Z361" i="2"/>
  <c r="BP369" i="2"/>
  <c r="Z369" i="2"/>
  <c r="BN373" i="2"/>
  <c r="BP373" i="2"/>
  <c r="Z373" i="2"/>
  <c r="BN396" i="2"/>
  <c r="Z396" i="2"/>
  <c r="Z429" i="2"/>
  <c r="Y432" i="2"/>
  <c r="BN429" i="2"/>
  <c r="X572" i="2"/>
  <c r="BN436" i="2"/>
  <c r="BP436" i="2"/>
  <c r="Z436" i="2"/>
  <c r="BN491" i="2"/>
  <c r="Y492" i="2"/>
  <c r="Z491" i="2"/>
  <c r="Z492" i="2" s="1"/>
  <c r="Z509" i="2"/>
  <c r="BN509" i="2"/>
  <c r="BP48" i="2"/>
  <c r="Y115" i="2"/>
  <c r="Z221" i="2"/>
  <c r="BN221" i="2"/>
  <c r="Z23" i="2"/>
  <c r="BP23" i="2"/>
  <c r="BN31" i="2"/>
  <c r="Y32" i="2"/>
  <c r="Y43" i="2"/>
  <c r="BP37" i="2"/>
  <c r="Z41" i="2"/>
  <c r="BP41" i="2"/>
  <c r="Z56" i="2"/>
  <c r="BP56" i="2"/>
  <c r="BN78" i="2"/>
  <c r="Z87" i="2"/>
  <c r="BP87" i="2"/>
  <c r="Z102" i="2"/>
  <c r="BP102" i="2"/>
  <c r="BN103" i="2"/>
  <c r="BP104" i="2"/>
  <c r="Z108" i="2"/>
  <c r="BP108" i="2"/>
  <c r="Y116" i="2"/>
  <c r="Z159" i="2"/>
  <c r="BP201" i="2"/>
  <c r="Y211" i="2"/>
  <c r="BN210" i="2"/>
  <c r="BP210" i="2"/>
  <c r="BP216" i="2"/>
  <c r="Z216" i="2"/>
  <c r="BP218" i="2"/>
  <c r="Z225" i="2"/>
  <c r="BN225" i="2"/>
  <c r="Z232" i="2"/>
  <c r="BP244" i="2"/>
  <c r="Y245" i="2"/>
  <c r="Y246" i="2"/>
  <c r="Z244" i="2"/>
  <c r="Z245" i="2" s="1"/>
  <c r="Y252" i="2"/>
  <c r="Y253" i="2"/>
  <c r="BN249" i="2"/>
  <c r="BP271" i="2"/>
  <c r="BN271" i="2"/>
  <c r="BP278" i="2"/>
  <c r="BN278" i="2"/>
  <c r="Z292" i="2"/>
  <c r="Z323" i="2"/>
  <c r="Z339" i="2"/>
  <c r="BN339" i="2"/>
  <c r="BP382" i="2"/>
  <c r="BN382" i="2"/>
  <c r="Z382" i="2"/>
  <c r="BP389" i="2"/>
  <c r="Z389" i="2"/>
  <c r="Y489" i="2"/>
  <c r="BN482" i="2"/>
  <c r="BP482" i="2"/>
  <c r="Z482" i="2"/>
  <c r="Z527" i="2"/>
  <c r="BN527" i="2"/>
  <c r="Y555" i="2"/>
  <c r="Z553" i="2"/>
  <c r="BP159" i="2"/>
  <c r="BN48" i="2"/>
  <c r="BP49" i="2"/>
  <c r="BP55" i="2"/>
  <c r="BP59" i="2"/>
  <c r="BN60" i="2"/>
  <c r="BN69" i="2"/>
  <c r="BN113" i="2"/>
  <c r="BP114" i="2"/>
  <c r="BP120" i="2"/>
  <c r="Z120" i="2"/>
  <c r="Z122" i="2" s="1"/>
  <c r="Y167" i="2"/>
  <c r="Y168" i="2"/>
  <c r="BP165" i="2"/>
  <c r="Z165" i="2"/>
  <c r="Z205" i="2"/>
  <c r="BN205" i="2"/>
  <c r="BN217" i="2"/>
  <c r="BP217" i="2"/>
  <c r="BN240" i="2"/>
  <c r="Z240" i="2"/>
  <c r="BP261" i="2"/>
  <c r="Z261" i="2"/>
  <c r="Z264" i="2"/>
  <c r="BN264" i="2"/>
  <c r="Z271" i="2"/>
  <c r="Z294" i="2"/>
  <c r="BN294" i="2"/>
  <c r="BN415" i="2"/>
  <c r="Y417" i="2"/>
  <c r="BP415" i="2"/>
  <c r="Z415" i="2"/>
  <c r="BN442" i="2"/>
  <c r="BP442" i="2"/>
  <c r="Z442" i="2"/>
  <c r="Y457" i="2"/>
  <c r="BN454" i="2"/>
  <c r="Z454" i="2"/>
  <c r="Y493" i="2"/>
  <c r="BP500" i="2"/>
  <c r="Y504" i="2"/>
  <c r="BP501" i="2"/>
  <c r="Z501" i="2"/>
  <c r="BP113" i="2"/>
  <c r="BP232" i="2"/>
  <c r="Z31" i="2"/>
  <c r="Y33" i="2"/>
  <c r="Z78" i="2"/>
  <c r="BP78" i="2"/>
  <c r="BP103" i="2"/>
  <c r="BP118" i="2"/>
  <c r="BP146" i="2"/>
  <c r="BP148" i="2"/>
  <c r="Z148" i="2"/>
  <c r="Z161" i="2"/>
  <c r="BN161" i="2"/>
  <c r="Z166" i="2"/>
  <c r="BN166" i="2"/>
  <c r="BP177" i="2"/>
  <c r="BN216" i="2"/>
  <c r="BP221" i="2"/>
  <c r="BN244" i="2"/>
  <c r="Z273" i="2"/>
  <c r="BN273" i="2"/>
  <c r="BP282" i="2"/>
  <c r="Z282" i="2"/>
  <c r="Y308" i="2"/>
  <c r="Y307" i="2"/>
  <c r="Z306" i="2"/>
  <c r="Z307" i="2" s="1"/>
  <c r="BP337" i="2"/>
  <c r="BN337" i="2"/>
  <c r="Y341" i="2"/>
  <c r="Z345" i="2"/>
  <c r="Y348" i="2"/>
  <c r="BN345" i="2"/>
  <c r="S572" i="2"/>
  <c r="Y352" i="2"/>
  <c r="BN351" i="2"/>
  <c r="Y353" i="2"/>
  <c r="BP351" i="2"/>
  <c r="Z351" i="2"/>
  <c r="Z352" i="2" s="1"/>
  <c r="BP396" i="2"/>
  <c r="BP401" i="2"/>
  <c r="BN401" i="2"/>
  <c r="BP429" i="2"/>
  <c r="BP475" i="2"/>
  <c r="BN475" i="2"/>
  <c r="BP491" i="2"/>
  <c r="BP509" i="2"/>
  <c r="BN515" i="2"/>
  <c r="BP515" i="2"/>
  <c r="Z515" i="2"/>
  <c r="T572" i="2"/>
  <c r="Y364" i="2"/>
  <c r="BP370" i="2"/>
  <c r="BP390" i="2"/>
  <c r="BP541" i="2"/>
  <c r="BP136" i="2"/>
  <c r="Y182" i="2"/>
  <c r="BP176" i="2"/>
  <c r="BP180" i="2"/>
  <c r="BP193" i="2"/>
  <c r="BP200" i="2"/>
  <c r="BP204" i="2"/>
  <c r="BP231" i="2"/>
  <c r="BP263" i="2"/>
  <c r="BP279" i="2"/>
  <c r="BP295" i="2"/>
  <c r="Y314" i="2"/>
  <c r="BP340" i="2"/>
  <c r="Z360" i="2"/>
  <c r="BP360" i="2"/>
  <c r="Y363" i="2"/>
  <c r="Z381" i="2"/>
  <c r="Z395" i="2"/>
  <c r="Z402" i="2"/>
  <c r="Z440" i="2"/>
  <c r="BP441" i="2"/>
  <c r="Y572" i="2"/>
  <c r="Z466" i="2"/>
  <c r="Z470" i="2"/>
  <c r="Z471" i="2" s="1"/>
  <c r="BP470" i="2"/>
  <c r="Z476" i="2"/>
  <c r="Y522" i="2"/>
  <c r="Z525" i="2"/>
  <c r="AC572" i="2"/>
  <c r="Z541" i="2"/>
  <c r="Z542" i="2" s="1"/>
  <c r="Y546" i="2"/>
  <c r="Z549" i="2"/>
  <c r="Z550" i="2" s="1"/>
  <c r="BP119" i="2"/>
  <c r="Z131" i="2"/>
  <c r="Y137" i="2"/>
  <c r="BP160" i="2"/>
  <c r="Z185" i="2"/>
  <c r="Z220" i="2"/>
  <c r="Z224" i="2"/>
  <c r="BP226" i="2"/>
  <c r="Z260" i="2"/>
  <c r="Z272" i="2"/>
  <c r="BP274" i="2"/>
  <c r="Z293" i="2"/>
  <c r="Z302" i="2"/>
  <c r="Z303" i="2" s="1"/>
  <c r="Y304" i="2"/>
  <c r="BP312" i="2"/>
  <c r="Z324" i="2"/>
  <c r="Z338" i="2"/>
  <c r="Z341" i="2" s="1"/>
  <c r="Z346" i="2"/>
  <c r="Z362" i="2"/>
  <c r="BN370" i="2"/>
  <c r="Z372" i="2"/>
  <c r="Z379" i="2"/>
  <c r="BP380" i="2"/>
  <c r="Z383" i="2"/>
  <c r="BN390" i="2"/>
  <c r="Z403" i="2"/>
  <c r="BP407" i="2"/>
  <c r="Z414" i="2"/>
  <c r="BP423" i="2"/>
  <c r="Z430" i="2"/>
  <c r="Y444" i="2"/>
  <c r="BP437" i="2"/>
  <c r="Y451" i="2"/>
  <c r="BP447" i="2"/>
  <c r="Z465" i="2"/>
  <c r="Z467" i="2" s="1"/>
  <c r="BP465" i="2"/>
  <c r="BP484" i="2"/>
  <c r="BN486" i="2"/>
  <c r="BN519" i="2"/>
  <c r="Y532" i="2"/>
  <c r="Z537" i="2"/>
  <c r="Z538" i="2" s="1"/>
  <c r="Y542" i="2"/>
  <c r="BP331" i="2"/>
  <c r="BN331" i="2"/>
  <c r="Z331" i="2"/>
  <c r="BP61" i="2"/>
  <c r="BN61" i="2"/>
  <c r="Z61" i="2"/>
  <c r="H9" i="2"/>
  <c r="BP67" i="2"/>
  <c r="Y70" i="2"/>
  <c r="BN67" i="2"/>
  <c r="Z107" i="2"/>
  <c r="BP107" i="2"/>
  <c r="BN107" i="2"/>
  <c r="Z130" i="2"/>
  <c r="Z132" i="2" s="1"/>
  <c r="H572" i="2"/>
  <c r="Y133" i="2"/>
  <c r="Y132" i="2"/>
  <c r="BP130" i="2"/>
  <c r="BN130" i="2"/>
  <c r="BP174" i="2"/>
  <c r="BN174" i="2"/>
  <c r="Z174" i="2"/>
  <c r="BP219" i="2"/>
  <c r="BN219" i="2"/>
  <c r="Z219" i="2"/>
  <c r="Z267" i="2"/>
  <c r="BP267" i="2"/>
  <c r="BN267" i="2"/>
  <c r="BP276" i="2"/>
  <c r="BN276" i="2"/>
  <c r="Z276" i="2"/>
  <c r="Y385" i="2"/>
  <c r="BP378" i="2"/>
  <c r="BN378" i="2"/>
  <c r="Z378" i="2"/>
  <c r="Y122" i="2"/>
  <c r="BP121" i="2"/>
  <c r="BN121" i="2"/>
  <c r="F10" i="2"/>
  <c r="J9" i="2"/>
  <c r="F9" i="2"/>
  <c r="BP286" i="2"/>
  <c r="BN286" i="2"/>
  <c r="Z286" i="2"/>
  <c r="Y288" i="2"/>
  <c r="Z153" i="2"/>
  <c r="Z154" i="2" s="1"/>
  <c r="Y154" i="2"/>
  <c r="BP153" i="2"/>
  <c r="BN153" i="2"/>
  <c r="BP320" i="2"/>
  <c r="BN320" i="2"/>
  <c r="Z320" i="2"/>
  <c r="BN62" i="2"/>
  <c r="BP62" i="2"/>
  <c r="Y76" i="2"/>
  <c r="Y75" i="2"/>
  <c r="BP73" i="2"/>
  <c r="BN73" i="2"/>
  <c r="Z73" i="2"/>
  <c r="Y91" i="2"/>
  <c r="BP85" i="2"/>
  <c r="BN85" i="2"/>
  <c r="F572" i="2"/>
  <c r="Y155" i="2"/>
  <c r="BP239" i="2"/>
  <c r="BN239" i="2"/>
  <c r="Z239" i="2"/>
  <c r="Y99" i="2"/>
  <c r="Y98" i="2"/>
  <c r="BP94" i="2"/>
  <c r="BN94" i="2"/>
  <c r="Z94" i="2"/>
  <c r="Z277" i="2"/>
  <c r="BP277" i="2"/>
  <c r="BN277" i="2"/>
  <c r="J572" i="2"/>
  <c r="BP158" i="2"/>
  <c r="BN158" i="2"/>
  <c r="Y163" i="2"/>
  <c r="Y269" i="2"/>
  <c r="BP297" i="2"/>
  <c r="BN297" i="2"/>
  <c r="Z297" i="2"/>
  <c r="BP325" i="2"/>
  <c r="BN325" i="2"/>
  <c r="Y398" i="2"/>
  <c r="BP394" i="2"/>
  <c r="Y397" i="2"/>
  <c r="BN394" i="2"/>
  <c r="Z394" i="2"/>
  <c r="BP455" i="2"/>
  <c r="BN455" i="2"/>
  <c r="Z455" i="2"/>
  <c r="BN24" i="2"/>
  <c r="Z24" i="2"/>
  <c r="Z79" i="2"/>
  <c r="I572" i="2"/>
  <c r="Z158" i="2"/>
  <c r="BP178" i="2"/>
  <c r="BN178" i="2"/>
  <c r="BP223" i="2"/>
  <c r="BN223" i="2"/>
  <c r="Z223" i="2"/>
  <c r="BP281" i="2"/>
  <c r="BN281" i="2"/>
  <c r="Z287" i="2"/>
  <c r="BP287" i="2"/>
  <c r="BN287" i="2"/>
  <c r="Y326" i="2"/>
  <c r="Z325" i="2"/>
  <c r="BP388" i="2"/>
  <c r="BN388" i="2"/>
  <c r="Z388" i="2"/>
  <c r="BP22" i="2"/>
  <c r="B572" i="2"/>
  <c r="Y27" i="2"/>
  <c r="Z22" i="2"/>
  <c r="BN22" i="2"/>
  <c r="BN39" i="2"/>
  <c r="BP39" i="2"/>
  <c r="D572" i="2"/>
  <c r="Z178" i="2"/>
  <c r="K572" i="2"/>
  <c r="BP256" i="2"/>
  <c r="BN256" i="2"/>
  <c r="Z256" i="2"/>
  <c r="Z281" i="2"/>
  <c r="Y52" i="2"/>
  <c r="BP50" i="2"/>
  <c r="BN50" i="2"/>
  <c r="Z50" i="2"/>
  <c r="Y63" i="2"/>
  <c r="BN79" i="2"/>
  <c r="Z86" i="2"/>
  <c r="BP86" i="2"/>
  <c r="BN86" i="2"/>
  <c r="BN95" i="2"/>
  <c r="BP95" i="2"/>
  <c r="Y110" i="2"/>
  <c r="Y123" i="2"/>
  <c r="BN149" i="2"/>
  <c r="Z149" i="2"/>
  <c r="BN172" i="2"/>
  <c r="Z172" i="2"/>
  <c r="Y334" i="2"/>
  <c r="BP233" i="2"/>
  <c r="BN233" i="2"/>
  <c r="Z233" i="2"/>
  <c r="Y235" i="2"/>
  <c r="X563" i="2"/>
  <c r="Y109" i="2"/>
  <c r="BP105" i="2"/>
  <c r="BN105" i="2"/>
  <c r="Z105" i="2"/>
  <c r="Y187" i="2"/>
  <c r="Y186" i="2"/>
  <c r="BP184" i="2"/>
  <c r="BN184" i="2"/>
  <c r="Z184" i="2"/>
  <c r="BP202" i="2"/>
  <c r="BN202" i="2"/>
  <c r="Z202" i="2"/>
  <c r="Y207" i="2"/>
  <c r="Y206" i="2"/>
  <c r="Y236" i="2"/>
  <c r="Y42" i="2"/>
  <c r="BP38" i="2"/>
  <c r="BN38" i="2"/>
  <c r="Z38" i="2"/>
  <c r="BN25" i="2"/>
  <c r="Z25" i="2"/>
  <c r="Y127" i="2"/>
  <c r="BN125" i="2"/>
  <c r="Z125" i="2"/>
  <c r="Z126" i="2" s="1"/>
  <c r="Y143" i="2"/>
  <c r="Y142" i="2"/>
  <c r="BP140" i="2"/>
  <c r="BN140" i="2"/>
  <c r="Z140" i="2"/>
  <c r="BP149" i="2"/>
  <c r="Y162" i="2"/>
  <c r="BP172" i="2"/>
  <c r="Y242" i="2"/>
  <c r="Y257" i="2"/>
  <c r="Y289" i="2"/>
  <c r="Y327" i="2"/>
  <c r="X564" i="2"/>
  <c r="BP251" i="2"/>
  <c r="BN251" i="2"/>
  <c r="Y375" i="2"/>
  <c r="BP368" i="2"/>
  <c r="BN368" i="2"/>
  <c r="Z368" i="2"/>
  <c r="BP26" i="2"/>
  <c r="BN26" i="2"/>
  <c r="Z26" i="2"/>
  <c r="BP57" i="2"/>
  <c r="BN57" i="2"/>
  <c r="Y64" i="2"/>
  <c r="X566" i="2"/>
  <c r="Z40" i="2"/>
  <c r="BP40" i="2"/>
  <c r="BN40" i="2"/>
  <c r="Y51" i="2"/>
  <c r="Z57" i="2"/>
  <c r="Z90" i="2"/>
  <c r="Z96" i="2"/>
  <c r="BP96" i="2"/>
  <c r="BN96" i="2"/>
  <c r="BP106" i="2"/>
  <c r="BN106" i="2"/>
  <c r="BP125" i="2"/>
  <c r="Y150" i="2"/>
  <c r="BP170" i="2"/>
  <c r="Y181" i="2"/>
  <c r="Z173" i="2"/>
  <c r="BN173" i="2"/>
  <c r="Z251" i="2"/>
  <c r="Y284" i="2"/>
  <c r="X562" i="2"/>
  <c r="BP215" i="2"/>
  <c r="BN215" i="2"/>
  <c r="Y227" i="2"/>
  <c r="BP266" i="2"/>
  <c r="BN266" i="2"/>
  <c r="Z266" i="2"/>
  <c r="Y300" i="2"/>
  <c r="Y258" i="2"/>
  <c r="BN298" i="2"/>
  <c r="BN310" i="2"/>
  <c r="BN321" i="2"/>
  <c r="BN332" i="2"/>
  <c r="Y357" i="2"/>
  <c r="BN400" i="2"/>
  <c r="Y411" i="2"/>
  <c r="Z421" i="2"/>
  <c r="Z439" i="2"/>
  <c r="Z449" i="2"/>
  <c r="Y462" i="2"/>
  <c r="Y477" i="2"/>
  <c r="BN521" i="2"/>
  <c r="BN531" i="2"/>
  <c r="BN545" i="2"/>
  <c r="L572" i="2"/>
  <c r="Y424" i="2"/>
  <c r="Y445" i="2"/>
  <c r="Y468" i="2"/>
  <c r="Z502" i="2"/>
  <c r="Z514" i="2"/>
  <c r="BN526" i="2"/>
  <c r="Y539" i="2"/>
  <c r="Y551" i="2"/>
  <c r="M572" i="2"/>
  <c r="Z250" i="2"/>
  <c r="Z255" i="2"/>
  <c r="Z265" i="2"/>
  <c r="Z275" i="2"/>
  <c r="Z296" i="2"/>
  <c r="BP298" i="2"/>
  <c r="BP310" i="2"/>
  <c r="Z319" i="2"/>
  <c r="BP321" i="2"/>
  <c r="Z330" i="2"/>
  <c r="Z333" i="2" s="1"/>
  <c r="BP332" i="2"/>
  <c r="Y391" i="2"/>
  <c r="BP400" i="2"/>
  <c r="Z408" i="2"/>
  <c r="BN421" i="2"/>
  <c r="BN439" i="2"/>
  <c r="BN449" i="2"/>
  <c r="Z459" i="2"/>
  <c r="BP474" i="2"/>
  <c r="BP486" i="2"/>
  <c r="Y498" i="2"/>
  <c r="BP511" i="2"/>
  <c r="Z519" i="2"/>
  <c r="BP521" i="2"/>
  <c r="Z529" i="2"/>
  <c r="BP531" i="2"/>
  <c r="BP545" i="2"/>
  <c r="Y556" i="2"/>
  <c r="O572" i="2"/>
  <c r="BN280" i="2"/>
  <c r="Y283" i="2"/>
  <c r="BN313" i="2"/>
  <c r="BP362" i="2"/>
  <c r="Y478" i="2"/>
  <c r="BN502" i="2"/>
  <c r="BN514" i="2"/>
  <c r="P572" i="2"/>
  <c r="Y195" i="2"/>
  <c r="Z217" i="2"/>
  <c r="Y228" i="2"/>
  <c r="BN250" i="2"/>
  <c r="BN255" i="2"/>
  <c r="BN265" i="2"/>
  <c r="Y268" i="2"/>
  <c r="BN275" i="2"/>
  <c r="BN296" i="2"/>
  <c r="Y299" i="2"/>
  <c r="BN319" i="2"/>
  <c r="BN330" i="2"/>
  <c r="Y333" i="2"/>
  <c r="Y342" i="2"/>
  <c r="BN408" i="2"/>
  <c r="Y425" i="2"/>
  <c r="BN459" i="2"/>
  <c r="Q572" i="2"/>
  <c r="Z278" i="2"/>
  <c r="Z311" i="2"/>
  <c r="Z322" i="2"/>
  <c r="Y374" i="2"/>
  <c r="Y384" i="2"/>
  <c r="Y392" i="2"/>
  <c r="Z401" i="2"/>
  <c r="BP454" i="2"/>
  <c r="Z475" i="2"/>
  <c r="Z487" i="2"/>
  <c r="Z500" i="2"/>
  <c r="Z512" i="2"/>
  <c r="Z559" i="2"/>
  <c r="Z560" i="2" s="1"/>
  <c r="R572" i="2"/>
  <c r="BN306" i="2"/>
  <c r="BP408" i="2"/>
  <c r="BN437" i="2"/>
  <c r="BN447" i="2"/>
  <c r="Y450" i="2"/>
  <c r="BP459" i="2"/>
  <c r="BN541" i="2"/>
  <c r="BN553" i="2"/>
  <c r="BN487" i="2"/>
  <c r="BN500" i="2"/>
  <c r="Y503" i="2"/>
  <c r="BN512" i="2"/>
  <c r="Y523" i="2"/>
  <c r="Y533" i="2"/>
  <c r="Y547" i="2"/>
  <c r="BN559" i="2"/>
  <c r="BP553" i="2"/>
  <c r="U572" i="2"/>
  <c r="BN344" i="2"/>
  <c r="Y347" i="2"/>
  <c r="Z355" i="2"/>
  <c r="Z356" i="2" s="1"/>
  <c r="BN369" i="2"/>
  <c r="BN379" i="2"/>
  <c r="BN389" i="2"/>
  <c r="Z409" i="2"/>
  <c r="BN422" i="2"/>
  <c r="BN428" i="2"/>
  <c r="Y431" i="2"/>
  <c r="BN440" i="2"/>
  <c r="Z460" i="2"/>
  <c r="Z485" i="2"/>
  <c r="Z510" i="2"/>
  <c r="Z520" i="2"/>
  <c r="Z530" i="2"/>
  <c r="BP559" i="2"/>
  <c r="C572" i="2"/>
  <c r="V572" i="2"/>
  <c r="Y315" i="2"/>
  <c r="Y405" i="2"/>
  <c r="W572" i="2"/>
  <c r="BN355" i="2"/>
  <c r="Z367" i="2"/>
  <c r="Z377" i="2"/>
  <c r="Z387" i="2"/>
  <c r="BN409" i="2"/>
  <c r="Z420" i="2"/>
  <c r="Z438" i="2"/>
  <c r="Z448" i="2"/>
  <c r="Z450" i="2" s="1"/>
  <c r="BN460" i="2"/>
  <c r="BN485" i="2"/>
  <c r="Y488" i="2"/>
  <c r="Z496" i="2"/>
  <c r="Z497" i="2" s="1"/>
  <c r="BN510" i="2"/>
  <c r="BN520" i="2"/>
  <c r="BN530" i="2"/>
  <c r="Z554" i="2"/>
  <c r="Y560" i="2"/>
  <c r="E572" i="2"/>
  <c r="Z218" i="2"/>
  <c r="BN537" i="2"/>
  <c r="BN549" i="2"/>
  <c r="Z238" i="2"/>
  <c r="Z30" i="2"/>
  <c r="Z32" i="2" s="1"/>
  <c r="Z37" i="2"/>
  <c r="Y151" i="2"/>
  <c r="BN238" i="2"/>
  <c r="Y241" i="2"/>
  <c r="Z249" i="2"/>
  <c r="Z318" i="2"/>
  <c r="BP355" i="2"/>
  <c r="BN420" i="2"/>
  <c r="BN438" i="2"/>
  <c r="BN448" i="2"/>
  <c r="Z483" i="2"/>
  <c r="BN496" i="2"/>
  <c r="Z508" i="2"/>
  <c r="Z528" i="2"/>
  <c r="BN554" i="2"/>
  <c r="G572" i="2"/>
  <c r="Z572" i="2"/>
  <c r="Z88" i="2"/>
  <c r="BN30" i="2"/>
  <c r="BN88" i="2"/>
  <c r="BN402" i="2"/>
  <c r="BN453" i="2"/>
  <c r="Y456" i="2"/>
  <c r="BP466" i="2"/>
  <c r="BN476" i="2"/>
  <c r="BN501" i="2"/>
  <c r="BN513" i="2"/>
  <c r="Y516" i="2"/>
  <c r="BP537" i="2"/>
  <c r="BP549" i="2"/>
  <c r="Y561" i="2"/>
  <c r="AA572" i="2"/>
  <c r="BN483" i="2"/>
  <c r="BP496" i="2"/>
  <c r="BN508" i="2"/>
  <c r="BN528" i="2"/>
  <c r="AB572" i="2"/>
  <c r="Y538" i="2"/>
  <c r="BP508" i="2"/>
  <c r="Z444" i="2" l="1"/>
  <c r="Z384" i="2"/>
  <c r="Z477" i="2"/>
  <c r="Z404" i="2"/>
  <c r="Z51" i="2"/>
  <c r="Z75" i="2"/>
  <c r="Z363" i="2"/>
  <c r="Z109" i="2"/>
  <c r="Z150" i="2"/>
  <c r="Z81" i="2"/>
  <c r="Z63" i="2"/>
  <c r="Z142" i="2"/>
  <c r="Z186" i="2"/>
  <c r="Z456" i="2"/>
  <c r="Z416" i="2"/>
  <c r="Z347" i="2"/>
  <c r="Z431" i="2"/>
  <c r="Z42" i="2"/>
  <c r="Z241" i="2"/>
  <c r="Z555" i="2"/>
  <c r="Z424" i="2"/>
  <c r="Z391" i="2"/>
  <c r="Z374" i="2"/>
  <c r="Z314" i="2"/>
  <c r="Z227" i="2"/>
  <c r="Z522" i="2"/>
  <c r="Z268" i="2"/>
  <c r="Z206" i="2"/>
  <c r="Z235" i="2"/>
  <c r="Z162" i="2"/>
  <c r="Z397" i="2"/>
  <c r="Z299" i="2"/>
  <c r="Z532" i="2"/>
  <c r="Z503" i="2"/>
  <c r="Z410" i="2"/>
  <c r="Z288" i="2"/>
  <c r="Z181" i="2"/>
  <c r="Y562" i="2"/>
  <c r="Z283" i="2"/>
  <c r="Z167" i="2"/>
  <c r="Y566" i="2"/>
  <c r="Z257" i="2"/>
  <c r="Z516" i="2"/>
  <c r="Z461" i="2"/>
  <c r="Y564" i="2"/>
  <c r="Z98" i="2"/>
  <c r="Z488" i="2"/>
  <c r="Y563" i="2"/>
  <c r="Z326" i="2"/>
  <c r="Z252" i="2"/>
  <c r="X565" i="2"/>
  <c r="Z91" i="2"/>
  <c r="Z27" i="2"/>
  <c r="Z567" i="2" l="1"/>
  <c r="Y565" i="2"/>
</calcChain>
</file>

<file path=xl/sharedStrings.xml><?xml version="1.0" encoding="utf-8"?>
<sst xmlns="http://schemas.openxmlformats.org/spreadsheetml/2006/main" count="4249" uniqueCount="899">
  <si>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</si>
  <si>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</si>
  <si>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</si>
  <si>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</si>
  <si>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</si>
  <si>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</si>
  <si>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</si>
  <si>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</si>
  <si>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</si>
  <si>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</si>
  <si>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</si>
  <si>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</si>
  <si>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</si>
  <si>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</si>
  <si>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</si>
  <si>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</si>
  <si>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</si>
  <si>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</si>
  <si>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</si>
  <si>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</si>
  <si>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</si>
  <si>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</si>
  <si>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</si>
  <si>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</si>
  <si>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</si>
  <si>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</si>
  <si>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</si>
  <si>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</si>
  <si>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</si>
  <si>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</si>
  <si>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</si>
  <si>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</si>
  <si>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</si>
  <si>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</si>
  <si>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</si>
  <si>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</si>
  <si>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</si>
  <si>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</si>
  <si>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</si>
  <si>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</si>
  <si>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</si>
  <si>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</si>
  <si>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</si>
  <si>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</si>
  <si>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</si>
  <si>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</si>
  <si>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</si>
  <si>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</si>
  <si>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</si>
  <si>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</si>
  <si>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</si>
  <si>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</si>
  <si>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</si>
  <si>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</si>
  <si>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</si>
  <si>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</si>
  <si>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</si>
  <si>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</si>
  <si>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</si>
  <si>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</si>
  <si>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</si>
  <si>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</si>
  <si>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</si>
  <si>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</si>
  <si>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</si>
  <si>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</si>
  <si>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</si>
  <si>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</si>
  <si>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</si>
  <si>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</si>
  <si>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</si>
  <si>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</si>
  <si>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</si>
  <si>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</si>
  <si>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</si>
  <si>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</si>
  <si>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</si>
  <si>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</si>
  <si>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</si>
  <si>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</si>
  <si>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</si>
  <si>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</si>
  <si>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</si>
  <si>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</si>
  <si>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</si>
  <si>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</si>
  <si>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</si>
  <si>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</si>
  <si>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</si>
  <si>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</si>
  <si>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</si>
  <si>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</si>
  <si>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</si>
  <si>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</si>
  <si>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</si>
  <si>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</si>
  <si>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</si>
  <si>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</si>
  <si>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</si>
  <si>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</si>
  <si>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</si>
  <si>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</si>
  <si>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</si>
  <si>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</si>
  <si>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</si>
  <si>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</si>
  <si>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</si>
  <si>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</si>
  <si>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</si>
  <si>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</si>
  <si>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</si>
  <si>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</si>
  <si>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</si>
  <si>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</si>
  <si>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</si>
  <si>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</si>
  <si>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</si>
  <si>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</si>
  <si>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</si>
  <si>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</si>
  <si>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</si>
  <si>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</si>
  <si>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</si>
  <si>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</si>
  <si>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</si>
  <si>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</si>
  <si>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</si>
  <si>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</si>
  <si>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</si>
  <si>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</si>
  <si>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</si>
  <si>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</si>
  <si>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</si>
  <si>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</si>
  <si>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</si>
  <si>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</si>
  <si>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</si>
  <si>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</si>
  <si>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</si>
  <si>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</si>
  <si>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</si>
  <si>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</si>
  <si>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</si>
  <si>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</si>
  <si>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</si>
  <si>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</si>
  <si>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</si>
  <si>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</si>
  <si>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</si>
  <si>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</si>
  <si>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</si>
  <si>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</si>
  <si>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</si>
  <si>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</si>
  <si>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</si>
  <si>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</si>
  <si>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</si>
  <si>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</si>
  <si>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</si>
  <si>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</si>
  <si>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</si>
  <si>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</si>
  <si>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</si>
  <si>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</si>
  <si>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</si>
  <si>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</si>
  <si>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</si>
  <si>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</si>
  <si>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</si>
  <si>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</si>
  <si>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</si>
  <si>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</si>
  <si>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</si>
  <si>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</si>
  <si>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</si>
  <si>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</si>
  <si>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</si>
  <si>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</si>
  <si>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</si>
  <si>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</si>
  <si>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</si>
  <si>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</si>
  <si>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</si>
  <si>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</si>
  <si>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</si>
  <si>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</si>
  <si>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</si>
  <si>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</si>
  <si>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</si>
  <si>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</si>
  <si>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</si>
  <si>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</si>
  <si>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</si>
  <si>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</si>
  <si>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</si>
  <si>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</si>
  <si>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</si>
  <si>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</si>
  <si>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</si>
  <si>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</si>
  <si>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</si>
  <si>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</si>
  <si>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</si>
  <si>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</si>
  <si>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</si>
  <si>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</si>
  <si>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</si>
  <si>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</si>
  <si>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</si>
  <si>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</si>
  <si>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</si>
  <si>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</si>
  <si>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</si>
  <si>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</si>
  <si>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</si>
  <si>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</si>
  <si>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</si>
  <si>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</si>
  <si>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</si>
  <si>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</si>
  <si>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</si>
  <si>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</si>
  <si>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</si>
  <si>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</si>
  <si>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</si>
  <si>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</si>
  <si>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</si>
  <si>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</si>
  <si>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</si>
  <si>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</si>
  <si>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</si>
  <si>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</si>
  <si>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</si>
  <si>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</si>
  <si>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</si>
  <si>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</si>
  <si>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</si>
  <si>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</si>
  <si>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</si>
  <si>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</si>
  <si>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</si>
  <si>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</si>
  <si>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</si>
  <si>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</si>
  <si>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</si>
  <si>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</si>
  <si>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</si>
  <si>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</si>
  <si>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</si>
  <si>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</si>
  <si>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</si>
  <si>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</si>
  <si>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</si>
  <si>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</si>
  <si>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</si>
  <si>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</si>
  <si>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</si>
  <si>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</si>
  <si>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</si>
  <si>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</si>
  <si>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</si>
  <si>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</si>
  <si>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</si>
  <si>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</si>
  <si>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</si>
  <si>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</si>
  <si>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</si>
  <si>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</si>
  <si>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</si>
  <si>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</si>
  <si>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</si>
  <si>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</si>
  <si>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</si>
  <si>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</si>
  <si>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</si>
  <si>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</si>
  <si>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</si>
  <si>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</si>
  <si>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</si>
  <si>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</si>
  <si>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</si>
  <si>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</si>
  <si>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</si>
  <si>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</si>
  <si>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</si>
  <si>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</si>
  <si>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</si>
  <si>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</si>
  <si>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</si>
  <si>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</si>
  <si>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</si>
  <si>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</si>
  <si>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</si>
  <si>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</si>
  <si>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</si>
  <si>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</si>
  <si>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</si>
  <si>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</si>
  <si>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</si>
  <si>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</si>
  <si>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</si>
  <si>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</si>
  <si>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</si>
  <si>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</si>
  <si>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</si>
  <si>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</si>
  <si>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</si>
  <si>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</si>
  <si>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</si>
  <si>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</si>
  <si>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</si>
  <si>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</si>
  <si>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</si>
  <si>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</si>
  <si>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</si>
  <si>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</si>
  <si>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</si>
  <si>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</si>
  <si>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</si>
  <si>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</si>
  <si>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</si>
  <si>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</si>
  <si>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</si>
  <si>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</si>
  <si>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</si>
  <si>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</si>
  <si>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</si>
  <si>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</si>
  <si>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</si>
  <si>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</si>
  <si>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</si>
  <si>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</si>
  <si>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</si>
  <si>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</si>
  <si>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</si>
  <si>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</si>
  <si>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</si>
  <si>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</si>
  <si>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</si>
  <si>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</si>
  <si>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</si>
  <si>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</si>
  <si>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</si>
  <si>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</si>
  <si>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</si>
  <si>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</si>
  <si>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</si>
  <si>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</si>
  <si>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</si>
  <si>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</si>
  <si>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</si>
  <si>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</si>
  <si>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</si>
  <si>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</si>
  <si>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</si>
  <si>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</si>
  <si>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</si>
  <si>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</si>
  <si>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</si>
  <si>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</si>
  <si>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</si>
  <si>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</si>
  <si>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</si>
  <si>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</si>
  <si>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</si>
  <si>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</si>
  <si>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</si>
  <si>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</si>
  <si>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</si>
  <si>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</si>
  <si>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</si>
  <si>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</si>
  <si>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</si>
  <si>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</si>
  <si>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</si>
  <si>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</si>
  <si>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</si>
  <si>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</si>
  <si>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</si>
  <si>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</si>
  <si>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</si>
  <si>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</si>
  <si>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</si>
  <si>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</si>
  <si>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</si>
  <si>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</si>
  <si>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</si>
  <si>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</si>
  <si>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</si>
  <si>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</si>
  <si>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</si>
  <si>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</si>
  <si>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</si>
  <si>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</si>
  <si>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</si>
  <si>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</si>
  <si>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</si>
  <si>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</si>
  <si>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</si>
  <si>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</si>
  <si>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</si>
  <si>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</si>
  <si>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</si>
  <si>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</si>
  <si>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</si>
  <si>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</si>
  <si>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</si>
  <si>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</si>
  <si>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</si>
  <si>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</si>
  <si>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</si>
  <si>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</si>
  <si>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</si>
  <si>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</si>
  <si>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</si>
  <si>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</si>
  <si>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</si>
  <si>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</si>
  <si>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</si>
  <si>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</si>
  <si>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</si>
  <si>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</si>
  <si>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</si>
  <si>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</si>
  <si>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</si>
  <si>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</si>
  <si>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</si>
  <si>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</si>
  <si>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</si>
  <si>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</si>
  <si>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</si>
  <si>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</si>
  <si>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</si>
  <si>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</si>
  <si>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</si>
  <si>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</si>
  <si>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</si>
  <si>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</si>
  <si>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</si>
  <si>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</si>
  <si>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</si>
  <si>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</si>
  <si>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</si>
  <si>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</si>
  <si>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</si>
  <si>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</si>
  <si>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</si>
  <si>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</si>
  <si>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</si>
  <si>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</si>
  <si>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</si>
  <si>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</si>
  <si>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</si>
  <si>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</si>
  <si>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</si>
  <si>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</si>
  <si>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</si>
  <si>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</si>
  <si>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</si>
  <si>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</si>
  <si>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</si>
  <si>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</si>
  <si>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</si>
  <si>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</si>
  <si>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</si>
  <si>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</si>
  <si>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</si>
  <si>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</si>
  <si>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</si>
  <si>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</si>
  <si>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</si>
  <si>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</si>
  <si>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</si>
  <si>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</si>
  <si>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</si>
  <si>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</si>
  <si>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</si>
  <si>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</si>
  <si>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</si>
  <si>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</si>
  <si>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</si>
  <si>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</si>
  <si>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</si>
  <si>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</si>
  <si>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</si>
  <si>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</si>
  <si>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</si>
  <si>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</si>
  <si>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</si>
  <si>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</si>
  <si>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</si>
  <si>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</si>
  <si>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</si>
  <si>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</si>
  <si>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</si>
  <si>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</si>
  <si>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</si>
  <si>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</si>
  <si>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</si>
  <si>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</si>
  <si>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</si>
  <si>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</si>
  <si>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</si>
  <si>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</si>
  <si>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</si>
  <si>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</si>
  <si>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</si>
  <si>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</si>
  <si>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</si>
  <si>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</si>
  <si>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</si>
  <si>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</si>
  <si>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</si>
  <si>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</si>
  <si>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</si>
  <si>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</si>
  <si>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</si>
  <si>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</si>
  <si>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</si>
  <si>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</si>
  <si>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</si>
  <si>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</si>
  <si>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</si>
  <si>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</si>
  <si>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</si>
  <si>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</si>
  <si>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</si>
  <si>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</si>
  <si>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</si>
  <si>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</si>
  <si>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</si>
  <si>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</si>
  <si>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</si>
  <si>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</si>
  <si>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</si>
  <si>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</si>
  <si>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</si>
  <si>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</si>
  <si>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</si>
  <si>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</si>
  <si>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</si>
  <si>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</si>
  <si>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</si>
  <si>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</si>
  <si>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</si>
  <si>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</si>
  <si>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</si>
  <si>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</si>
  <si>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</si>
  <si>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</si>
  <si>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</si>
  <si>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</si>
  <si>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</si>
  <si>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</si>
  <si>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</si>
  <si>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</si>
  <si>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</si>
  <si>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</si>
  <si>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</si>
  <si>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</si>
  <si>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</si>
  <si>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</si>
  <si>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</si>
  <si>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</si>
  <si>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</si>
  <si>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</si>
  <si>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</si>
  <si>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</si>
  <si>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</si>
  <si>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</si>
  <si>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</si>
  <si>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</si>
  <si>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</si>
  <si>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</si>
  <si>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</si>
  <si>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</si>
  <si>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</si>
  <si>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</si>
  <si>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</si>
  <si>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</si>
  <si>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</si>
  <si>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</si>
  <si>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</si>
  <si>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</si>
  <si>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</si>
  <si>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</si>
  <si>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</si>
  <si>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</si>
  <si>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</si>
  <si>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</si>
  <si>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</si>
  <si>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</si>
  <si>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</si>
  <si>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</si>
  <si>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</si>
  <si>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</si>
  <si>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</si>
  <si>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</si>
  <si>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</si>
  <si>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</si>
  <si>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</si>
  <si>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</si>
  <si>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</si>
  <si>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</si>
  <si>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</si>
  <si>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</si>
  <si>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</si>
  <si>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</si>
  <si>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</si>
  <si>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</si>
  <si>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</si>
  <si>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</si>
  <si>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</si>
  <si>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</si>
  <si>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</si>
  <si>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</si>
  <si>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</si>
  <si>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</si>
  <si>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</si>
  <si>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</si>
  <si>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</si>
  <si>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</si>
  <si>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</si>
  <si>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</si>
  <si>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</si>
  <si>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</si>
  <si>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</si>
  <si>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</si>
  <si>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</si>
  <si>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</si>
  <si>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</si>
  <si>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</si>
  <si>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</si>
  <si>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</si>
  <si>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</si>
  <si>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</si>
  <si>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</si>
  <si>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</si>
  <si>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</si>
  <si>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</si>
  <si>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</si>
  <si>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</si>
  <si>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</si>
  <si>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</si>
  <si>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</si>
  <si>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</si>
  <si>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</si>
  <si>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</si>
  <si>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</si>
  <si>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</si>
  <si>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</si>
  <si>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</si>
  <si>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</si>
  <si>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</si>
  <si>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</si>
  <si>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</si>
  <si>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</si>
  <si>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</si>
  <si>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</si>
  <si>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</si>
  <si>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</si>
  <si>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</si>
  <si>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</si>
  <si>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</si>
  <si>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</si>
  <si>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</si>
  <si>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</si>
  <si>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</si>
  <si>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</si>
  <si>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</si>
  <si>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</si>
  <si>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</si>
  <si>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</si>
  <si>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</si>
  <si>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</si>
  <si>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</si>
  <si>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</si>
  <si>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</si>
  <si>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</si>
  <si>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</si>
  <si>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</si>
  <si>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</si>
  <si>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</si>
  <si>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</si>
  <si>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</si>
  <si>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</si>
  <si>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</si>
  <si>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</si>
  <si>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</si>
  <si>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</si>
  <si>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</si>
  <si>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</si>
  <si>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</si>
  <si>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</si>
  <si>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</si>
  <si>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</si>
  <si>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</si>
  <si>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</si>
  <si>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</si>
  <si>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</si>
  <si>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</si>
  <si>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</si>
  <si>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</si>
  <si>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</si>
  <si>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</si>
  <si>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</si>
  <si>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</si>
  <si>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</si>
  <si>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</si>
  <si>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</si>
  <si>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</si>
  <si>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</si>
  <si>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</si>
  <si>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</si>
  <si>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</si>
  <si>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</si>
  <si>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</si>
  <si>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</si>
  <si>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</si>
  <si>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</si>
  <si>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</si>
  <si>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</si>
  <si>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</si>
  <si>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</si>
  <si>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</si>
  <si>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</si>
  <si>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</si>
  <si>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</si>
  <si>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</si>
  <si>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</si>
  <si>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</si>
  <si>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</si>
  <si>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</si>
  <si>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</si>
  <si>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</si>
  <si>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</si>
  <si>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</si>
  <si>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</si>
  <si>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</si>
  <si>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</si>
  <si>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</si>
  <si>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</si>
  <si>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</si>
  <si>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</si>
  <si>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</si>
  <si>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</si>
  <si>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</si>
  <si>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</si>
  <si>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</si>
  <si>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</si>
  <si>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</si>
  <si>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</si>
  <si>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</si>
  <si>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</si>
  <si>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</si>
  <si>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</si>
  <si>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</si>
  <si>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</si>
  <si>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</si>
  <si>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</si>
  <si>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</si>
  <si>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</si>
  <si>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</si>
  <si>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</si>
  <si>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</si>
  <si>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</si>
  <si>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</si>
  <si>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</si>
  <si>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</si>
  <si>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</si>
  <si>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</si>
  <si>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</si>
  <si>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</si>
  <si>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</si>
  <si>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</si>
  <si>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</si>
  <si>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</si>
  <si>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</si>
  <si>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</si>
  <si>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</si>
  <si>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</si>
  <si>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</si>
  <si>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</si>
  <si>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</si>
  <si>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</si>
  <si>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</si>
  <si>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</si>
  <si>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</si>
  <si>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</si>
  <si>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</si>
  <si>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</si>
  <si>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</si>
  <si>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</si>
  <si>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</si>
  <si>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</si>
  <si>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</si>
  <si>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</si>
  <si>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</si>
  <si>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</si>
  <si>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</si>
  <si>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</si>
  <si>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</si>
  <si>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</si>
  <si>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</si>
  <si>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</si>
  <si>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</si>
  <si>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</si>
  <si>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</si>
  <si>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</si>
  <si>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</si>
  <si>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</si>
  <si>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</si>
  <si>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</si>
  <si>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</si>
  <si>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</si>
  <si>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</si>
  <si>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</si>
  <si>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</si>
  <si>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</si>
  <si>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</si>
  <si>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</si>
  <si>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</si>
  <si>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</si>
  <si>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</si>
  <si>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</si>
  <si>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</si>
  <si>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</si>
  <si>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</si>
  <si>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</si>
  <si>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</si>
  <si>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</si>
  <si>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</si>
  <si>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</si>
  <si>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</si>
  <si>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</si>
  <si>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</si>
  <si>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</si>
  <si>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</si>
  <si>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</si>
  <si>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</si>
  <si>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</si>
  <si>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</si>
  <si>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</si>
  <si>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</si>
  <si>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</si>
  <si>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</si>
  <si>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</si>
  <si>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</si>
  <si>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</si>
  <si>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</si>
  <si>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</si>
  <si>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</si>
  <si>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</si>
  <si>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</si>
  <si>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</si>
  <si>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</si>
  <si>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</si>
  <si>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</si>
  <si>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</si>
  <si>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</si>
  <si>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</si>
  <si>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</si>
  <si>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</si>
  <si>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</si>
  <si>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</si>
  <si>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</si>
  <si>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</si>
  <si>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</si>
  <si>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</si>
  <si>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</si>
  <si>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</si>
  <si>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</si>
  <si>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</si>
  <si>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</si>
  <si>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</si>
  <si>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</si>
  <si>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</si>
  <si>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</si>
  <si>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</si>
  <si>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</si>
  <si>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</si>
  <si>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</si>
  <si>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</si>
  <si>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Краснодарский край, Сочи г, Строительный пер, д. 10А,</t>
  </si>
  <si>
    <t>590704_7</t>
  </si>
  <si>
    <t>2</t>
  </si>
  <si>
    <t>295021Российская Федерация, Крым Респ, Симферополь г, Данилова ул, 43В, лит В, офис 4,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</si>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</sst>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46331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883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Четверг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2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hidden="1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hidden="1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hidden="1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idden="1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hidden="1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hidden="1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hidden="1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hidden="1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hidden="1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hidden="1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108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112.1</v>
      </c>
      <c r="BN47" s="78">
        <f>IFERROR(Y47*I47/H47,"0")</f>
        <v>112.1</v>
      </c>
      <c r="BO47" s="78">
        <f>IFERROR(1/J47*(X47/H47),"0")</f>
        <v>0.15625</v>
      </c>
      <c r="BP47" s="78">
        <f>IFERROR(1/J47*(Y47/H47),"0")</f>
        <v>0.15625</v>
      </c>
    </row>
    <row r="48" spans="1:68" ht="27" hidden="1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10</v>
      </c>
      <c r="Y51" s="43">
        <f>IFERROR(Y47/H47,"0")+IFERROR(Y48/H48,"0")+IFERROR(Y49/H49,"0")+IFERROR(Y50/H50,"0")</f>
        <v>10</v>
      </c>
      <c r="Z51" s="43">
        <f>IFERROR(IF(Z47="",0,Z47),"0")+IFERROR(IF(Z48="",0,Z48),"0")+IFERROR(IF(Z49="",0,Z49),"0")+IFERROR(IF(Z50="",0,Z50),"0")</f>
        <v>0.1898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108</v>
      </c>
      <c r="Y52" s="43">
        <f>IFERROR(SUM(Y47:Y50),"0")</f>
        <v>108</v>
      </c>
      <c r="Z52" s="42"/>
      <c r="AA52" s="67"/>
      <c r="AB52" s="67"/>
      <c r="AC52" s="67"/>
    </row>
    <row r="53" spans="1:68" ht="16.5" hidden="1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hidden="1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hidden="1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37.5" hidden="1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80</v>
      </c>
      <c r="Y59" s="55">
        <f t="shared" si="0"/>
        <v>80</v>
      </c>
      <c r="Z59" s="41">
        <f>IFERROR(IF(Y59=0,"",ROUNDUP(Y59/H59,0)*0.00902),"")</f>
        <v>0.1804</v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83.800000000000011</v>
      </c>
      <c r="BN59" s="78">
        <f t="shared" si="2"/>
        <v>83.800000000000011</v>
      </c>
      <c r="BO59" s="78">
        <f t="shared" si="3"/>
        <v>0.15151515151515152</v>
      </c>
      <c r="BP59" s="78">
        <f t="shared" si="4"/>
        <v>0.15151515151515152</v>
      </c>
    </row>
    <row r="60" spans="1:68" ht="27" hidden="1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20</v>
      </c>
      <c r="Y63" s="43">
        <f>IFERROR(Y55/H55,"0")+IFERROR(Y56/H56,"0")+IFERROR(Y57/H57,"0")+IFERROR(Y58/H58,"0")+IFERROR(Y59/H59,"0")+IFERROR(Y60/H60,"0")+IFERROR(Y61/H61,"0")+IFERROR(Y62/H62,"0")</f>
        <v>20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0.1804</v>
      </c>
      <c r="AA63" s="67"/>
      <c r="AB63" s="67"/>
      <c r="AC63" s="67"/>
    </row>
    <row r="64" spans="1:68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80</v>
      </c>
      <c r="Y64" s="43">
        <f>IFERROR(SUM(Y55:Y62),"0")</f>
        <v>80</v>
      </c>
      <c r="Z64" s="42"/>
      <c r="AA64" s="67"/>
      <c r="AB64" s="67"/>
      <c r="AC64" s="67"/>
    </row>
    <row r="65" spans="1:68" ht="14.25" hidden="1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108</v>
      </c>
      <c r="Y66" s="55">
        <f>IFERROR(IF(X66="",0,CEILING((X66/$H66),1)*$H66),"")</f>
        <v>108</v>
      </c>
      <c r="Z66" s="41">
        <f>IFERROR(IF(Y66=0,"",ROUNDUP(Y66/H66,0)*0.01898),"")</f>
        <v>0.1898</v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112.1</v>
      </c>
      <c r="BN66" s="78">
        <f>IFERROR(Y66*I66/H66,"0")</f>
        <v>112.1</v>
      </c>
      <c r="BO66" s="78">
        <f>IFERROR(1/J66*(X66/H66),"0")</f>
        <v>0.15625</v>
      </c>
      <c r="BP66" s="78">
        <f>IFERROR(1/J66*(Y66/H66),"0")</f>
        <v>0.15625</v>
      </c>
    </row>
    <row r="67" spans="1:68" ht="16.5" hidden="1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10</v>
      </c>
      <c r="Y70" s="43">
        <f>IFERROR(Y66/H66,"0")+IFERROR(Y67/H67,"0")+IFERROR(Y68/H68,"0")+IFERROR(Y69/H69,"0")</f>
        <v>10</v>
      </c>
      <c r="Z70" s="43">
        <f>IFERROR(IF(Z66="",0,Z66),"0")+IFERROR(IF(Z67="",0,Z67),"0")+IFERROR(IF(Z68="",0,Z68),"0")+IFERROR(IF(Z69="",0,Z69),"0")</f>
        <v>0.1898</v>
      </c>
      <c r="AA70" s="67"/>
      <c r="AB70" s="67"/>
      <c r="AC70" s="67"/>
    </row>
    <row r="71" spans="1:68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108</v>
      </c>
      <c r="Y71" s="43">
        <f>IFERROR(SUM(Y66:Y69),"0")</f>
        <v>108</v>
      </c>
      <c r="Z71" s="42"/>
      <c r="AA71" s="67"/>
      <c r="AB71" s="67"/>
      <c r="AC71" s="67"/>
    </row>
    <row r="72" spans="1:68" ht="14.25" hidden="1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hidden="1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hidden="1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hidden="1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hidden="1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ref="Y85:Y90" si="5"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0</v>
      </c>
      <c r="BN85" s="78">
        <f t="shared" ref="BN85:BN90" si="7">IFERROR(Y85*I85/H85,"0")</f>
        <v>0</v>
      </c>
      <c r="BO85" s="78">
        <f t="shared" ref="BO85:BO90" si="8">IFERROR(1/J85*(X85/H85),"0")</f>
        <v>0</v>
      </c>
      <c r="BP85" s="78">
        <f t="shared" ref="BP85:BP90" si="9">IFERROR(1/J85*(Y85/H85),"0")</f>
        <v>0</v>
      </c>
    </row>
    <row r="86" spans="1:68" ht="27" hidden="1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0</v>
      </c>
      <c r="Y91" s="43">
        <f>IFERROR(Y85/H85,"0")+IFERROR(Y86/H86,"0")+IFERROR(Y87/H87,"0")+IFERROR(Y88/H88,"0")+IFERROR(Y89/H89,"0")+IFERROR(Y90/H90,"0")</f>
        <v>0</v>
      </c>
      <c r="Z91" s="43">
        <f>IFERROR(IF(Z85="",0,Z85),"0")+IFERROR(IF(Z86="",0,Z86),"0")+IFERROR(IF(Z87="",0,Z87),"0")+IFERROR(IF(Z88="",0,Z88),"0")+IFERROR(IF(Z89="",0,Z89),"0")+IFERROR(IF(Z90="",0,Z90),"0")</f>
        <v>0</v>
      </c>
      <c r="AA91" s="67"/>
      <c r="AB91" s="67"/>
      <c r="AC91" s="67"/>
    </row>
    <row r="92" spans="1:68" hidden="1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0</v>
      </c>
      <c r="Y92" s="43">
        <f>IFERROR(SUM(Y85:Y90),"0")</f>
        <v>0</v>
      </c>
      <c r="Z92" s="42"/>
      <c r="AA92" s="67"/>
      <c r="AB92" s="67"/>
      <c r="AC92" s="67"/>
    </row>
    <row r="93" spans="1:68" ht="14.25" hidden="1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hidden="1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hidden="1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hidden="1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8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0</v>
      </c>
      <c r="BN102" s="78">
        <f t="shared" ref="BN102:BN108" si="12">IFERROR(Y102*I102/H102,"0")</f>
        <v>0</v>
      </c>
      <c r="BO102" s="78">
        <f t="shared" ref="BO102:BO108" si="13">IFERROR(1/J102*(X102/H102),"0")</f>
        <v>0</v>
      </c>
      <c r="BP102" s="78">
        <f t="shared" ref="BP102:BP108" si="14">IFERROR(1/J102*(Y102/H102),"0")</f>
        <v>0</v>
      </c>
    </row>
    <row r="103" spans="1:68" ht="27" hidden="1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idden="1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0</v>
      </c>
      <c r="Y109" s="43">
        <f>IFERROR(Y102/H102,"0")+IFERROR(Y103/H103,"0")+IFERROR(Y104/H104,"0")+IFERROR(Y105/H105,"0")+IFERROR(Y106/H106,"0")+IFERROR(Y107/H107,"0")+IFERROR(Y108/H108,"0")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0</v>
      </c>
      <c r="Y110" s="43">
        <f>IFERROR(SUM(Y102:Y108),"0")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hidden="1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hidden="1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IFERROR(IF(Y118=0,"",ROUNDUP(Y118/H118,0)*0.01898),"")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16.5" hidden="1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idden="1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0</v>
      </c>
      <c r="Y122" s="43">
        <f>IFERROR(Y118/H118,"0")+IFERROR(Y119/H119,"0")+IFERROR(Y120/H120,"0")+IFERROR(Y121/H121,"0")</f>
        <v>0</v>
      </c>
      <c r="Z122" s="43">
        <f>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hidden="1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0</v>
      </c>
      <c r="Y123" s="43">
        <f>IFERROR(SUM(Y118:Y121),"0")</f>
        <v>0</v>
      </c>
      <c r="Z123" s="42"/>
      <c r="AA123" s="67"/>
      <c r="AB123" s="67"/>
      <c r="AC123" s="67"/>
    </row>
    <row r="124" spans="1:68" ht="14.25" hidden="1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hidden="1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hidden="1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hidden="1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hidden="1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hidden="1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hidden="1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hidden="1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hidden="1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hidden="1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hidden="1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hidden="1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hidden="1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hidden="1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0</v>
      </c>
      <c r="Y167" s="43">
        <f>IFERROR(Y165/H165,"0")+IFERROR(Y166/H166,"0")</f>
        <v>0</v>
      </c>
      <c r="Z167" s="43">
        <f>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0</v>
      </c>
      <c r="Y168" s="43">
        <f>IFERROR(SUM(Y165:Y166),"0")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hidden="1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30</v>
      </c>
      <c r="Y171" s="55">
        <f t="shared" si="15"/>
        <v>31.5</v>
      </c>
      <c r="Z171" s="41">
        <f>IFERROR(IF(Y171=0,"",ROUNDUP(Y171/H171,0)*0.00902),"")</f>
        <v>8.1180000000000002E-2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31.62857142857143</v>
      </c>
      <c r="BN171" s="78">
        <f t="shared" si="17"/>
        <v>33.21</v>
      </c>
      <c r="BO171" s="78">
        <f t="shared" si="18"/>
        <v>6.4935064935064929E-2</v>
      </c>
      <c r="BP171" s="78">
        <f t="shared" si="19"/>
        <v>6.8181818181818177E-2</v>
      </c>
    </row>
    <row r="172" spans="1:68" ht="27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35</v>
      </c>
      <c r="Y172" s="55">
        <f t="shared" si="15"/>
        <v>35</v>
      </c>
      <c r="Z172" s="41">
        <f>IFERROR(IF(Y172=0,"",ROUNDUP(Y172/H172,0)*0.00902),"")</f>
        <v>9.0200000000000002E-2</v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37.65</v>
      </c>
      <c r="BN172" s="78">
        <f t="shared" si="17"/>
        <v>37.65</v>
      </c>
      <c r="BO172" s="78">
        <f t="shared" si="18"/>
        <v>7.575757575757576E-2</v>
      </c>
      <c r="BP172" s="78">
        <f t="shared" si="19"/>
        <v>7.575757575757576E-2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18.571428571428569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19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0.17138</v>
      </c>
      <c r="AA181" s="67"/>
      <c r="AB181" s="67"/>
      <c r="AC181" s="67"/>
    </row>
    <row r="182" spans="1:68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65</v>
      </c>
      <c r="Y182" s="43">
        <f>IFERROR(SUM(Y170:Y180),"0")</f>
        <v>66.5</v>
      </c>
      <c r="Z182" s="42"/>
      <c r="AA182" s="67"/>
      <c r="AB182" s="67"/>
      <c r="AC182" s="67"/>
    </row>
    <row r="183" spans="1:68" ht="14.25" hidden="1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hidden="1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hidden="1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hidden="1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hidden="1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hidden="1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hidden="1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hidden="1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hidden="1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hidden="1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hidden="1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hidden="1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hidden="1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ref="Y260:Y267" si="31">IFERROR(IF(X260="",0,CEILING((X260/$H260),1)*$H260),"")</f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0</v>
      </c>
      <c r="BN260" s="78">
        <f t="shared" ref="BN260:BN267" si="33">IFERROR(Y260*I260/H260,"0")</f>
        <v>0</v>
      </c>
      <c r="BO260" s="78">
        <f t="shared" ref="BO260:BO267" si="34">IFERROR(1/J260*(X260/H260),"0")</f>
        <v>0</v>
      </c>
      <c r="BP260" s="78">
        <f t="shared" ref="BP260:BP267" si="35">IFERROR(1/J260*(Y260/H260),"0")</f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IFERROR(IF(Y263=0,"",ROUNDUP(Y263/H263,0)*0.00902),"")</f>
        <v/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idden="1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0</v>
      </c>
      <c r="Y268" s="43">
        <f>IFERROR(Y260/H260,"0")+IFERROR(Y261/H261,"0")+IFERROR(Y262/H262,"0")+IFERROR(Y263/H263,"0")+IFERROR(Y264/H264,"0")+IFERROR(Y265/H265,"0")+IFERROR(Y266/H266,"0")+IFERROR(Y267/H267,"0")</f>
        <v>0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0</v>
      </c>
      <c r="Y269" s="43">
        <f>IFERROR(SUM(Y260:Y267),"0")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hidden="1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idden="1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0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0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0</v>
      </c>
      <c r="AA283" s="67"/>
      <c r="AB283" s="67"/>
      <c r="AC283" s="67"/>
    </row>
    <row r="284" spans="1:68" hidden="1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0</v>
      </c>
      <c r="Y284" s="43">
        <f>IFERROR(SUM(Y271:Y282),"0")</f>
        <v>0</v>
      </c>
      <c r="Z284" s="42"/>
      <c r="AA284" s="67"/>
      <c r="AB284" s="67"/>
      <c r="AC284" s="67"/>
    </row>
    <row r="285" spans="1:68" ht="14.25" hidden="1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hidden="1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6.5" hidden="1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hidden="1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hidden="1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0</v>
      </c>
      <c r="Y299" s="43">
        <f>IFERROR(Y292/H292,"0")+IFERROR(Y293/H293,"0")+IFERROR(Y294/H294,"0")+IFERROR(Y295/H295,"0")+IFERROR(Y296/H296,"0")+IFERROR(Y297/H297,"0")+IFERROR(Y298/H298,"0")</f>
        <v>0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0</v>
      </c>
      <c r="Y300" s="43">
        <f>IFERROR(SUM(Y292:Y298),"0")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hidden="1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IFERROR(IF(Y302=0,"",ROUNDUP(Y302/H302,0)*0.00502),"")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idden="1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hidden="1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hidden="1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hidden="1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idden="1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hidden="1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hidden="1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hidden="1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0</v>
      </c>
      <c r="Y314" s="43">
        <f>IFERROR(Y310/H310,"0")+IFERROR(Y311/H311,"0")+IFERROR(Y312/H312,"0")+IFERROR(Y313/H313,"0")</f>
        <v>0</v>
      </c>
      <c r="Z314" s="43">
        <f>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0</v>
      </c>
      <c r="Y315" s="43">
        <f>IFERROR(SUM(Y310:Y313),"0")</f>
        <v>0</v>
      </c>
      <c r="Z315" s="42"/>
      <c r="AA315" s="67"/>
      <c r="AB315" s="67"/>
      <c r="AC315" s="67"/>
    </row>
    <row r="316" spans="1:68" ht="16.5" hidden="1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hidden="1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30</v>
      </c>
      <c r="Y319" s="55">
        <f t="shared" si="46"/>
        <v>32.400000000000006</v>
      </c>
      <c r="Z319" s="41">
        <f t="shared" si="47"/>
        <v>5.6940000000000004E-2</v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31.138888888888889</v>
      </c>
      <c r="BN319" s="78">
        <f t="shared" si="49"/>
        <v>33.630000000000003</v>
      </c>
      <c r="BO319" s="78">
        <f t="shared" si="50"/>
        <v>4.3402777777777776E-2</v>
      </c>
      <c r="BP319" s="78">
        <f t="shared" si="51"/>
        <v>4.6875000000000007E-2</v>
      </c>
    </row>
    <row r="320" spans="1:68" ht="27" hidden="1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hidden="1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30</v>
      </c>
      <c r="Y322" s="55">
        <f t="shared" si="46"/>
        <v>32.400000000000006</v>
      </c>
      <c r="Z322" s="41">
        <f t="shared" si="47"/>
        <v>5.6940000000000004E-2</v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31.138888888888889</v>
      </c>
      <c r="BN322" s="78">
        <f t="shared" si="49"/>
        <v>33.630000000000003</v>
      </c>
      <c r="BO322" s="78">
        <f t="shared" si="50"/>
        <v>4.3402777777777776E-2</v>
      </c>
      <c r="BP322" s="78">
        <f t="shared" si="51"/>
        <v>4.6875000000000007E-2</v>
      </c>
    </row>
    <row r="323" spans="1:68" ht="27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108</v>
      </c>
      <c r="Y323" s="55">
        <f t="shared" si="46"/>
        <v>108</v>
      </c>
      <c r="Z323" s="41">
        <f t="shared" si="47"/>
        <v>0.1898</v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112.1</v>
      </c>
      <c r="BN323" s="78">
        <f t="shared" si="49"/>
        <v>112.1</v>
      </c>
      <c r="BO323" s="78">
        <f t="shared" si="50"/>
        <v>0.15625</v>
      </c>
      <c r="BP323" s="78">
        <f t="shared" si="51"/>
        <v>0.15625</v>
      </c>
    </row>
    <row r="324" spans="1:68" ht="27" hidden="1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hidden="1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15.555555555555555</v>
      </c>
      <c r="Y326" s="43">
        <f>IFERROR(Y318/H318,"0")+IFERROR(Y319/H319,"0")+IFERROR(Y320/H320,"0")+IFERROR(Y321/H321,"0")+IFERROR(Y322/H322,"0")+IFERROR(Y323/H323,"0")+IFERROR(Y324/H324,"0")+IFERROR(Y325/H325,"0")</f>
        <v>16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0.30368000000000001</v>
      </c>
      <c r="AA326" s="67"/>
      <c r="AB326" s="67"/>
      <c r="AC326" s="67"/>
    </row>
    <row r="327" spans="1:68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168</v>
      </c>
      <c r="Y327" s="43">
        <f>IFERROR(SUM(Y318:Y325),"0")</f>
        <v>172.8</v>
      </c>
      <c r="Z327" s="42"/>
      <c r="AA327" s="67"/>
      <c r="AB327" s="67"/>
      <c r="AC327" s="67"/>
    </row>
    <row r="328" spans="1:68" ht="16.5" hidden="1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hidden="1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hidden="1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0</v>
      </c>
      <c r="Y333" s="43">
        <f>IFERROR(Y330/H330,"0")+IFERROR(Y331/H331,"0")+IFERROR(Y332/H332,"0")</f>
        <v>0</v>
      </c>
      <c r="Z333" s="43">
        <f>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0</v>
      </c>
      <c r="Y334" s="43">
        <f>IFERROR(SUM(Y330:Y332),"0")</f>
        <v>0</v>
      </c>
      <c r="Z334" s="42"/>
      <c r="AA334" s="67"/>
      <c r="AB334" s="67"/>
      <c r="AC334" s="67"/>
    </row>
    <row r="335" spans="1:68" ht="16.5" hidden="1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hidden="1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hidden="1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hidden="1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hidden="1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hidden="1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hidden="1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hidden="1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hidden="1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hidden="1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hidden="1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hidden="1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hidden="1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hidden="1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hidden="1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0</v>
      </c>
      <c r="Y363" s="43">
        <f>IFERROR(Y360/H360,"0")+IFERROR(Y361/H361,"0")+IFERROR(Y362/H362,"0")</f>
        <v>0</v>
      </c>
      <c r="Z363" s="43">
        <f>IFERROR(IF(Z360="",0,Z360),"0")+IFERROR(IF(Z361="",0,Z361),"0")+IFERROR(IF(Z362="",0,Z362),"0")</f>
        <v>0</v>
      </c>
      <c r="AA363" s="67"/>
      <c r="AB363" s="67"/>
      <c r="AC363" s="67"/>
    </row>
    <row r="364" spans="1:68" hidden="1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0</v>
      </c>
      <c r="Y364" s="43">
        <f>IFERROR(SUM(Y360:Y362),"0")</f>
        <v>0</v>
      </c>
      <c r="Z364" s="42"/>
      <c r="AA364" s="67"/>
      <c r="AB364" s="67"/>
      <c r="AC364" s="67"/>
    </row>
    <row r="365" spans="1:68" ht="16.5" hidden="1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hidden="1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691.2</v>
      </c>
      <c r="Y367" s="55">
        <f t="shared" ref="Y367:Y373" si="52">IFERROR(IF(X367="",0,CEILING((X367/$H367),1)*$H367),"")</f>
        <v>691.2</v>
      </c>
      <c r="Z367" s="41">
        <f>IFERROR(IF(Y367=0,"",ROUNDUP(Y367/H367,0)*0.01898),"")</f>
        <v>1.21472</v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717.44</v>
      </c>
      <c r="BN367" s="78">
        <f t="shared" ref="BN367:BN373" si="54">IFERROR(Y367*I367/H367,"0")</f>
        <v>717.44</v>
      </c>
      <c r="BO367" s="78">
        <f t="shared" ref="BO367:BO373" si="55">IFERROR(1/J367*(X367/H367),"0")</f>
        <v>1</v>
      </c>
      <c r="BP367" s="78">
        <f t="shared" ref="BP367:BP373" si="56">IFERROR(1/J367*(Y367/H367),"0")</f>
        <v>1</v>
      </c>
    </row>
    <row r="368" spans="1:68" ht="27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54</v>
      </c>
      <c r="Y368" s="55">
        <f t="shared" si="52"/>
        <v>54</v>
      </c>
      <c r="Z368" s="41">
        <f>IFERROR(IF(Y368=0,"",ROUNDUP(Y368/H368,0)*0.01898),"")</f>
        <v>9.4899999999999998E-2</v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56.05</v>
      </c>
      <c r="BN368" s="78">
        <f t="shared" si="54"/>
        <v>56.05</v>
      </c>
      <c r="BO368" s="78">
        <f t="shared" si="55"/>
        <v>7.8125E-2</v>
      </c>
      <c r="BP368" s="78">
        <f t="shared" si="56"/>
        <v>7.8125E-2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hidden="1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69</v>
      </c>
      <c r="Y374" s="43">
        <f>IFERROR(Y367/H367,"0")+IFERROR(Y368/H368,"0")+IFERROR(Y369/H369,"0")+IFERROR(Y370/H370,"0")+IFERROR(Y371/H371,"0")+IFERROR(Y372/H372,"0")+IFERROR(Y373/H373,"0")</f>
        <v>69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1.30962</v>
      </c>
      <c r="AA374" s="67"/>
      <c r="AB374" s="67"/>
      <c r="AC374" s="67"/>
    </row>
    <row r="375" spans="1:68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745.2</v>
      </c>
      <c r="Y375" s="43">
        <f>IFERROR(SUM(Y367:Y373),"0")</f>
        <v>745.2</v>
      </c>
      <c r="Z375" s="42"/>
      <c r="AA375" s="67"/>
      <c r="AB375" s="67"/>
      <c r="AC375" s="67"/>
    </row>
    <row r="376" spans="1:68" ht="14.25" hidden="1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hidden="1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ref="Y377:Y383" si="57"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0</v>
      </c>
      <c r="BN377" s="78">
        <f t="shared" ref="BN377:BN383" si="59">IFERROR(Y377*I377/H377,"0")</f>
        <v>0</v>
      </c>
      <c r="BO377" s="78">
        <f t="shared" ref="BO377:BO383" si="60">IFERROR(1/J377*(X377/H377),"0")</f>
        <v>0</v>
      </c>
      <c r="BP377" s="78">
        <f t="shared" ref="BP377:BP383" si="61">IFERROR(1/J377*(Y377/H377),"0")</f>
        <v>0</v>
      </c>
    </row>
    <row r="378" spans="1:68" ht="27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21</v>
      </c>
      <c r="Y378" s="55">
        <f t="shared" si="57"/>
        <v>21</v>
      </c>
      <c r="Z378" s="41">
        <f>IFERROR(IF(Y378=0,"",ROUNDUP(Y378/H378,0)*0.00902),"")</f>
        <v>4.5100000000000001E-2</v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22.25</v>
      </c>
      <c r="BN378" s="78">
        <f t="shared" si="59"/>
        <v>22.25</v>
      </c>
      <c r="BO378" s="78">
        <f t="shared" si="60"/>
        <v>3.787878787878788E-2</v>
      </c>
      <c r="BP378" s="78">
        <f t="shared" si="61"/>
        <v>3.787878787878788E-2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7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0</v>
      </c>
      <c r="BN381" s="78">
        <f t="shared" si="59"/>
        <v>0</v>
      </c>
      <c r="BO381" s="78">
        <f t="shared" si="60"/>
        <v>0</v>
      </c>
      <c r="BP381" s="78">
        <f t="shared" si="61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hidden="1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7"/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0</v>
      </c>
      <c r="BN383" s="78">
        <f t="shared" si="59"/>
        <v>0</v>
      </c>
      <c r="BO383" s="78">
        <f t="shared" si="60"/>
        <v>0</v>
      </c>
      <c r="BP383" s="78">
        <f t="shared" si="61"/>
        <v>0</v>
      </c>
    </row>
    <row r="384" spans="1:68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5</v>
      </c>
      <c r="Y384" s="43">
        <f>IFERROR(Y377/H377,"0")+IFERROR(Y378/H378,"0")+IFERROR(Y379/H379,"0")+IFERROR(Y380/H380,"0")+IFERROR(Y381/H381,"0")+IFERROR(Y382/H382,"0")+IFERROR(Y383/H383,"0")</f>
        <v>5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4.5100000000000001E-2</v>
      </c>
      <c r="AA384" s="67"/>
      <c r="AB384" s="67"/>
      <c r="AC384" s="67"/>
    </row>
    <row r="385" spans="1:68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21</v>
      </c>
      <c r="Y385" s="43">
        <f>IFERROR(SUM(Y377:Y383),"0")</f>
        <v>21</v>
      </c>
      <c r="Z385" s="42"/>
      <c r="AA385" s="67"/>
      <c r="AB385" s="67"/>
      <c r="AC385" s="67"/>
    </row>
    <row r="386" spans="1:68" ht="14.25" hidden="1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hidden="1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0</v>
      </c>
      <c r="Y391" s="43">
        <f>IFERROR(Y387/H387,"0")+IFERROR(Y388/H388,"0")+IFERROR(Y389/H389,"0")+IFERROR(Y390/H390,"0")</f>
        <v>0</v>
      </c>
      <c r="Z391" s="43">
        <f>IFERROR(IF(Z387="",0,Z387),"0")+IFERROR(IF(Z388="",0,Z388),"0")+IFERROR(IF(Z389="",0,Z389),"0")+IFERROR(IF(Z390="",0,Z390),"0")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0</v>
      </c>
      <c r="Y392" s="43">
        <f>IFERROR(SUM(Y387:Y390),"0")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hidden="1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0</v>
      </c>
      <c r="Y397" s="43">
        <f>IFERROR(Y394/H394,"0")+IFERROR(Y395/H395,"0")+IFERROR(Y396/H396,"0")</f>
        <v>0</v>
      </c>
      <c r="Z397" s="43">
        <f>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0</v>
      </c>
      <c r="Y398" s="43">
        <f>IFERROR(SUM(Y394:Y396),"0")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hidden="1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hidden="1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hidden="1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hidden="1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hidden="1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hidden="1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hidden="1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hidden="1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hidden="1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hidden="1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hidden="1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10.5</v>
      </c>
      <c r="Y429" s="55">
        <f>IFERROR(IF(X429="",0,CEILING((X429/$H429),1)*$H429),"")</f>
        <v>10.5</v>
      </c>
      <c r="Z429" s="41">
        <f>IFERROR(IF(Y429=0,"",ROUNDUP(Y429/H429,0)*0.00651),"")</f>
        <v>3.2550000000000003E-2</v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11.759999999999998</v>
      </c>
      <c r="BN429" s="78">
        <f>IFERROR(Y429*I429/H429,"0")</f>
        <v>11.759999999999998</v>
      </c>
      <c r="BO429" s="78">
        <f>IFERROR(1/J429*(X429/H429),"0")</f>
        <v>2.7472527472527476E-2</v>
      </c>
      <c r="BP429" s="78">
        <f>IFERROR(1/J429*(Y429/H429),"0")</f>
        <v>2.7472527472527476E-2</v>
      </c>
    </row>
    <row r="430" spans="1:68" ht="27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10.5</v>
      </c>
      <c r="Y430" s="55">
        <f>IFERROR(IF(X430="",0,CEILING((X430/$H430),1)*$H430),"")</f>
        <v>10.5</v>
      </c>
      <c r="Z430" s="41">
        <f>IFERROR(IF(Y430=0,"",ROUNDUP(Y430/H430,0)*0.00651),"")</f>
        <v>3.2550000000000003E-2</v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11.7</v>
      </c>
      <c r="BN430" s="78">
        <f>IFERROR(Y430*I430/H430,"0")</f>
        <v>11.7</v>
      </c>
      <c r="BO430" s="78">
        <f>IFERROR(1/J430*(X430/H430),"0")</f>
        <v>2.7472527472527476E-2</v>
      </c>
      <c r="BP430" s="78">
        <f>IFERROR(1/J430*(Y430/H430),"0")</f>
        <v>2.7472527472527476E-2</v>
      </c>
    </row>
    <row r="431" spans="1:68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10</v>
      </c>
      <c r="Y431" s="43">
        <f>IFERROR(Y428/H428,"0")+IFERROR(Y429/H429,"0")+IFERROR(Y430/H430,"0")</f>
        <v>10</v>
      </c>
      <c r="Z431" s="43">
        <f>IFERROR(IF(Z428="",0,Z428),"0")+IFERROR(IF(Z429="",0,Z429),"0")+IFERROR(IF(Z430="",0,Z430),"0")</f>
        <v>6.5100000000000005E-2</v>
      </c>
      <c r="AA431" s="67"/>
      <c r="AB431" s="67"/>
      <c r="AC431" s="67"/>
    </row>
    <row r="432" spans="1:68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21</v>
      </c>
      <c r="Y432" s="43">
        <f>IFERROR(SUM(Y428:Y430),"0")</f>
        <v>21</v>
      </c>
      <c r="Z432" s="42"/>
      <c r="AA432" s="67"/>
      <c r="AB432" s="67"/>
      <c r="AC432" s="67"/>
    </row>
    <row r="433" spans="1:68" ht="27.75" hidden="1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hidden="1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hidden="1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hidden="1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62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0</v>
      </c>
      <c r="BN436" s="78">
        <f t="shared" ref="BN436:BN443" si="64">IFERROR(Y436*I436/H436,"0")</f>
        <v>0</v>
      </c>
      <c r="BO436" s="78">
        <f t="shared" ref="BO436:BO443" si="65">IFERROR(1/J436*(X436/H436),"0")</f>
        <v>0</v>
      </c>
      <c r="BP436" s="78">
        <f t="shared" ref="BP436:BP443" si="66">IFERROR(1/J436*(Y436/H436),"0")</f>
        <v>0</v>
      </c>
    </row>
    <row r="437" spans="1:68" ht="37.5" hidden="1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2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0</v>
      </c>
      <c r="BN437" s="78">
        <f t="shared" si="64"/>
        <v>0</v>
      </c>
      <c r="BO437" s="78">
        <f t="shared" si="65"/>
        <v>0</v>
      </c>
      <c r="BP437" s="78">
        <f t="shared" si="66"/>
        <v>0</v>
      </c>
    </row>
    <row r="438" spans="1:68" ht="27" hidden="1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2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0</v>
      </c>
      <c r="BN438" s="78">
        <f t="shared" si="64"/>
        <v>0</v>
      </c>
      <c r="BO438" s="78">
        <f t="shared" si="65"/>
        <v>0</v>
      </c>
      <c r="BP438" s="78">
        <f t="shared" si="66"/>
        <v>0</v>
      </c>
    </row>
    <row r="439" spans="1:68" ht="27" hidden="1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2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0</v>
      </c>
      <c r="BN439" s="78">
        <f t="shared" si="64"/>
        <v>0</v>
      </c>
      <c r="BO439" s="78">
        <f t="shared" si="65"/>
        <v>0</v>
      </c>
      <c r="BP439" s="78">
        <f t="shared" si="66"/>
        <v>0</v>
      </c>
    </row>
    <row r="440" spans="1:68" ht="27" hidden="1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2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0</v>
      </c>
      <c r="BN440" s="78">
        <f t="shared" si="64"/>
        <v>0</v>
      </c>
      <c r="BO440" s="78">
        <f t="shared" si="65"/>
        <v>0</v>
      </c>
      <c r="BP440" s="78">
        <f t="shared" si="66"/>
        <v>0</v>
      </c>
    </row>
    <row r="441" spans="1:68" ht="27" hidden="1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hidden="1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hidden="1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hidden="1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hidden="1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hidden="1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hidden="1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hidden="1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hidden="1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hidden="1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hidden="1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hidden="1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hidden="1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hidden="1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67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0</v>
      </c>
      <c r="BN482" s="78">
        <f t="shared" ref="BN482:BN487" si="69">IFERROR(Y482*I482/H482,"0")</f>
        <v>0</v>
      </c>
      <c r="BO482" s="78">
        <f t="shared" ref="BO482:BO487" si="70">IFERROR(1/J482*(X482/H482),"0")</f>
        <v>0</v>
      </c>
      <c r="BP482" s="78">
        <f t="shared" ref="BP482:BP487" si="71">IFERROR(1/J482*(Y482/H482),"0")</f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0</v>
      </c>
      <c r="BN483" s="78">
        <f t="shared" si="69"/>
        <v>0</v>
      </c>
      <c r="BO483" s="78">
        <f t="shared" si="70"/>
        <v>0</v>
      </c>
      <c r="BP483" s="78">
        <f t="shared" si="71"/>
        <v>0</v>
      </c>
    </row>
    <row r="484" spans="1:68" ht="27" hidden="1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hidden="1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hidden="1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0</v>
      </c>
      <c r="BN486" s="78">
        <f t="shared" si="69"/>
        <v>0</v>
      </c>
      <c r="BO486" s="78">
        <f t="shared" si="70"/>
        <v>0</v>
      </c>
      <c r="BP486" s="78">
        <f t="shared" si="71"/>
        <v>0</v>
      </c>
    </row>
    <row r="487" spans="1:68" ht="37.5" hidden="1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7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0</v>
      </c>
      <c r="BN487" s="78">
        <f t="shared" si="69"/>
        <v>0</v>
      </c>
      <c r="BO487" s="78">
        <f t="shared" si="70"/>
        <v>0</v>
      </c>
      <c r="BP487" s="78">
        <f t="shared" si="71"/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hidden="1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hidden="1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hidden="1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hidden="1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hidden="1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hidden="1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5" si="72"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0</v>
      </c>
      <c r="BN508" s="78">
        <f t="shared" ref="BN508:BN515" si="74">IFERROR(Y508*I508/H508,"0")</f>
        <v>0</v>
      </c>
      <c r="BO508" s="78">
        <f t="shared" ref="BO508:BO515" si="75">IFERROR(1/J508*(X508/H508),"0")</f>
        <v>0</v>
      </c>
      <c r="BP508" s="78">
        <f t="shared" ref="BP508:BP515" si="76">IFERROR(1/J508*(Y508/H508),"0")</f>
        <v>0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hidden="1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2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0</v>
      </c>
      <c r="BN511" s="78">
        <f t="shared" si="74"/>
        <v>0</v>
      </c>
      <c r="BO511" s="78">
        <f t="shared" si="75"/>
        <v>0</v>
      </c>
      <c r="BP511" s="78">
        <f t="shared" si="76"/>
        <v>0</v>
      </c>
    </row>
    <row r="512" spans="1:68" ht="27" hidden="1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2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0</v>
      </c>
      <c r="BN512" s="78">
        <f t="shared" si="74"/>
        <v>0</v>
      </c>
      <c r="BO512" s="78">
        <f t="shared" si="75"/>
        <v>0</v>
      </c>
      <c r="BP512" s="78">
        <f t="shared" si="76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2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0</v>
      </c>
      <c r="BN514" s="78">
        <f t="shared" si="74"/>
        <v>0</v>
      </c>
      <c r="BO514" s="78">
        <f t="shared" si="75"/>
        <v>0</v>
      </c>
      <c r="BP514" s="78">
        <f t="shared" si="76"/>
        <v>0</v>
      </c>
    </row>
    <row r="515" spans="1:68" ht="27" hidden="1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2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0</v>
      </c>
      <c r="BN515" s="78">
        <f t="shared" si="74"/>
        <v>0</v>
      </c>
      <c r="BO515" s="78">
        <f t="shared" si="75"/>
        <v>0</v>
      </c>
      <c r="BP515" s="78">
        <f t="shared" si="76"/>
        <v>0</v>
      </c>
    </row>
    <row r="516" spans="1:68" hidden="1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0</v>
      </c>
      <c r="Y516" s="43">
        <f>IFERROR(Y508/H508,"0")+IFERROR(Y509/H509,"0")+IFERROR(Y510/H510,"0")+IFERROR(Y511/H511,"0")+IFERROR(Y512/H512,"0")+IFERROR(Y513/H513,"0")+IFERROR(Y514/H514,"0")+IFERROR(Y515/H515,"0")</f>
        <v>0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</v>
      </c>
      <c r="AA516" s="67"/>
      <c r="AB516" s="67"/>
      <c r="AC516" s="67"/>
    </row>
    <row r="517" spans="1:68" hidden="1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0</v>
      </c>
      <c r="Y517" s="43">
        <f>IFERROR(SUM(Y508:Y515),"0")</f>
        <v>0</v>
      </c>
      <c r="Z517" s="42"/>
      <c r="AA517" s="67"/>
      <c r="AB517" s="67"/>
      <c r="AC517" s="67"/>
    </row>
    <row r="518" spans="1:68" ht="14.25" hidden="1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105.6</v>
      </c>
      <c r="Y519" s="55">
        <f>IFERROR(IF(X519="",0,CEILING((X519/$H519),1)*$H519),"")</f>
        <v>105.60000000000001</v>
      </c>
      <c r="Z519" s="41">
        <f>IFERROR(IF(Y519=0,"",ROUNDUP(Y519/H519,0)*0.01196),"")</f>
        <v>0.2392</v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112.59999999999998</v>
      </c>
      <c r="BN519" s="78">
        <f>IFERROR(Y519*I519/H519,"0")</f>
        <v>112.6</v>
      </c>
      <c r="BO519" s="78">
        <f>IFERROR(1/J519*(X519/H519),"0")</f>
        <v>0.19230769230769229</v>
      </c>
      <c r="BP519" s="78">
        <f>IFERROR(1/J519*(Y519/H519),"0")</f>
        <v>0.19230769230769232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19.999999999999996</v>
      </c>
      <c r="Y522" s="43">
        <f>IFERROR(Y519/H519,"0")+IFERROR(Y520/H520,"0")+IFERROR(Y521/H521,"0")</f>
        <v>20</v>
      </c>
      <c r="Z522" s="43">
        <f>IFERROR(IF(Z519="",0,Z519),"0")+IFERROR(IF(Z520="",0,Z520),"0")+IFERROR(IF(Z521="",0,Z521),"0")</f>
        <v>0.2392</v>
      </c>
      <c r="AA522" s="67"/>
      <c r="AB522" s="67"/>
      <c r="AC522" s="67"/>
    </row>
    <row r="523" spans="1:68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105.6</v>
      </c>
      <c r="Y523" s="43">
        <f>IFERROR(SUM(Y519:Y521),"0")</f>
        <v>105.60000000000001</v>
      </c>
      <c r="Z523" s="42"/>
      <c r="AA523" s="67"/>
      <c r="AB523" s="67"/>
      <c r="AC523" s="67"/>
    </row>
    <row r="524" spans="1:68" ht="14.25" hidden="1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hidden="1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ref="Y525:Y531" si="77">IFERROR(IF(X525="",0,CEILING((X525/$H525),1)*$H525),"")</f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0</v>
      </c>
      <c r="BN525" s="78">
        <f t="shared" ref="BN525:BN531" si="79">IFERROR(Y525*I525/H525,"0")</f>
        <v>0</v>
      </c>
      <c r="BO525" s="78">
        <f t="shared" ref="BO525:BO531" si="80">IFERROR(1/J525*(X525/H525),"0")</f>
        <v>0</v>
      </c>
      <c r="BP525" s="78">
        <f t="shared" ref="BP525:BP531" si="81">IFERROR(1/J525*(Y525/H525),"0")</f>
        <v>0</v>
      </c>
    </row>
    <row r="526" spans="1:68" ht="27" hidden="1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7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0</v>
      </c>
      <c r="BN526" s="78">
        <f t="shared" si="79"/>
        <v>0</v>
      </c>
      <c r="BO526" s="78">
        <f t="shared" si="80"/>
        <v>0</v>
      </c>
      <c r="BP526" s="78">
        <f t="shared" si="81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7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0</v>
      </c>
      <c r="BN527" s="78">
        <f t="shared" si="79"/>
        <v>0</v>
      </c>
      <c r="BO527" s="78">
        <f t="shared" si="80"/>
        <v>0</v>
      </c>
      <c r="BP527" s="78">
        <f t="shared" si="81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7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0</v>
      </c>
      <c r="BN528" s="78">
        <f t="shared" si="79"/>
        <v>0</v>
      </c>
      <c r="BO528" s="78">
        <f t="shared" si="80"/>
        <v>0</v>
      </c>
      <c r="BP528" s="78">
        <f t="shared" si="81"/>
        <v>0</v>
      </c>
    </row>
    <row r="529" spans="1:68" ht="27" hidden="1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hidden="1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hidden="1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7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0</v>
      </c>
      <c r="BN531" s="78">
        <f t="shared" si="79"/>
        <v>0</v>
      </c>
      <c r="BO531" s="78">
        <f t="shared" si="80"/>
        <v>0</v>
      </c>
      <c r="BP531" s="78">
        <f t="shared" si="81"/>
        <v>0</v>
      </c>
    </row>
    <row r="532" spans="1:68" hidden="1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0</v>
      </c>
      <c r="Y532" s="43">
        <f>IFERROR(Y525/H525,"0")+IFERROR(Y526/H526,"0")+IFERROR(Y527/H527,"0")+IFERROR(Y528/H528,"0")+IFERROR(Y529/H529,"0")+IFERROR(Y530/H530,"0")+IFERROR(Y531/H531,"0")</f>
        <v>0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</v>
      </c>
      <c r="AA532" s="67"/>
      <c r="AB532" s="67"/>
      <c r="AC532" s="67"/>
    </row>
    <row r="533" spans="1:68" hidden="1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0</v>
      </c>
      <c r="Y533" s="43">
        <f>IFERROR(SUM(Y525:Y531),"0")</f>
        <v>0</v>
      </c>
      <c r="Z533" s="42"/>
      <c r="AA533" s="67"/>
      <c r="AB533" s="67"/>
      <c r="AC533" s="67"/>
    </row>
    <row r="534" spans="1:68" ht="27.75" hidden="1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hidden="1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hidden="1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hidden="1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hidden="1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IFERROR(IF(Y545=0,"",ROUNDUP(Y545/H545,0)*0.00902),"")</f>
        <v/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0</v>
      </c>
      <c r="Y546" s="43">
        <f>IFERROR(Y545/H545,"0")</f>
        <v>0</v>
      </c>
      <c r="Z546" s="43">
        <f>IFERROR(IF(Z545="",0,Z545),"0")</f>
        <v>0</v>
      </c>
      <c r="AA546" s="67"/>
      <c r="AB546" s="67"/>
      <c r="AC546" s="67"/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0</v>
      </c>
      <c r="Y547" s="43">
        <f>IFERROR(SUM(Y545:Y545),"0")</f>
        <v>0</v>
      </c>
      <c r="Z547" s="42"/>
      <c r="AA547" s="67"/>
      <c r="AB547" s="67"/>
      <c r="AC547" s="67"/>
    </row>
    <row r="548" spans="1:68" ht="14.25" hidden="1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hidden="1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0</v>
      </c>
      <c r="Y550" s="43">
        <f>IFERROR(Y549/H549,"0")</f>
        <v>0</v>
      </c>
      <c r="Z550" s="43">
        <f>IFERROR(IF(Z549="",0,Z549),"0")</f>
        <v>0</v>
      </c>
      <c r="AA550" s="67"/>
      <c r="AB550" s="67"/>
      <c r="AC550" s="67"/>
    </row>
    <row r="551" spans="1:68" hidden="1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0</v>
      </c>
      <c r="Y551" s="43">
        <f>IFERROR(SUM(Y549:Y549),"0")</f>
        <v>0</v>
      </c>
      <c r="Z551" s="42"/>
      <c r="AA551" s="67"/>
      <c r="AB551" s="67"/>
      <c r="AC551" s="67"/>
    </row>
    <row r="552" spans="1:68" ht="14.25" hidden="1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hidden="1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idden="1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hidden="1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hidden="1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hidden="1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hidden="1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hidden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hidden="1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1421.8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1428.1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1483.4563492063492</v>
      </c>
      <c r="Y563" s="43">
        <f>IFERROR(SUM(BN22:BN559),"0")</f>
        <v>1490.0199999999998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3</v>
      </c>
      <c r="Y564" s="44">
        <f>ROUNDUP(SUM(BP22:BP559),0)</f>
        <v>3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1558.4563492063492</v>
      </c>
      <c r="Y565" s="43">
        <f>GrossWeightTotalR+PalletQtyTotalR*25</f>
        <v>1565.0199999999998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178.12698412698413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179</v>
      </c>
      <c r="Z566" s="42"/>
      <c r="AA566" s="67"/>
      <c r="AB566" s="67"/>
      <c r="AC566" s="67"/>
    </row>
    <row r="567" spans="1:32" ht="14.25" hidden="1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2.69408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108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188</v>
      </c>
      <c r="F572" s="52">
        <f>IFERROR(Y85*1,"0")+IFERROR(Y86*1,"0")+IFERROR(Y87*1,"0")+IFERROR(Y88*1,"0")+IFERROR(Y89*1,"0")+IFERROR(Y90*1,"0")+IFERROR(Y94*1,"0")+IFERROR(Y95*1,"0")+IFERROR(Y96*1,"0")+IFERROR(Y97*1,"0")</f>
        <v>0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0</v>
      </c>
      <c r="H572" s="52">
        <f>IFERROR(Y130*1,"0")+IFERROR(Y131*1,"0")+IFERROR(Y135*1,"0")+IFERROR(Y136*1,"0")+IFERROR(Y140*1,"0")+IFERROR(Y141*1,"0")</f>
        <v>0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66.5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0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52">
        <f>IFERROR(Y318*1,"0")+IFERROR(Y319*1,"0")+IFERROR(Y320*1,"0")+IFERROR(Y321*1,"0")+IFERROR(Y322*1,"0")+IFERROR(Y323*1,"0")+IFERROR(Y324*1,"0")+IFERROR(Y325*1,"0")</f>
        <v>172.8</v>
      </c>
      <c r="Q572" s="52">
        <f>IFERROR(Y330*1,"0")+IFERROR(Y331*1,"0")+IFERROR(Y332*1,"0")</f>
        <v>0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0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766.2</v>
      </c>
      <c r="V572" s="52">
        <f>IFERROR(Y420*1,"0")+IFERROR(Y421*1,"0")+IFERROR(Y422*1,"0")+IFERROR(Y423*1,"0")</f>
        <v>0</v>
      </c>
      <c r="W572" s="52">
        <f>IFERROR(Y428*1,"0")+IFERROR(Y429*1,"0")+IFERROR(Y430*1,"0")</f>
        <v>21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Y572" s="52">
        <f>IFERROR(Y465*1,"0")+IFERROR(Y466*1,"0")+IFERROR(Y470*1,"0")+IFERROR(Y474*1,"0")+IFERROR(Y475*1,"0")+IFERROR(Y476*1,"0")</f>
        <v>0</v>
      </c>
      <c r="Z572" s="52">
        <f>IFERROR(Y482*1,"0")+IFERROR(Y483*1,"0")+IFERROR(Y484*1,"0")+IFERROR(Y485*1,"0")+IFERROR(Y486*1,"0")+IFERROR(Y487*1,"0")+IFERROR(Y491*1,"0")</f>
        <v>0</v>
      </c>
      <c r="AA572" s="52">
        <f>IFERROR(Y496*1,"0")+IFERROR(Y500*1,"0")+IFERROR(Y501*1,"0")+IFERROR(Y502*1,"0")</f>
        <v>0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105.60000000000001</v>
      </c>
      <c r="AC572" s="52">
        <f>IFERROR(Y537*1,"0")+IFERROR(Y541*1,"0")+IFERROR(Y545*1,"0")+IFERROR(Y549*1,"0")+IFERROR(Y553*1,"0")+IFERROR(Y554*1,"0")</f>
        <v>0</v>
      </c>
      <c r="AD572" s="52">
        <f>IFERROR(Y559*1,"0")</f>
        <v>0</v>
      </c>
      <c r="AF572" s="1"/>
    </row>
  </sheetData>
  <sheetProtection algorithmName="SHA-512" hashValue="KtLFLJKVd3pNHzHA8Yd0OAXlNifFBsU0J5f+aZwrz0O0XZn3yBNs5EsisNYy8TezhjvpPd8Rb+lBETGwv8ulcg==" saltValue="gUYBlm6gawVky2D0IzSqwg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21,80"/>
        <filter val="1 483,46"/>
        <filter val="1 558,46"/>
        <filter val="10,00"/>
        <filter val="10,50"/>
        <filter val="105,60"/>
        <filter val="108,00"/>
        <filter val="15,56"/>
        <filter val="168,00"/>
        <filter val="178,13"/>
        <filter val="18,57"/>
        <filter val="20,00"/>
        <filter val="21,00"/>
        <filter val="3"/>
        <filter val="30,00"/>
        <filter val="35,00"/>
        <filter val="5,00"/>
        <filter val="54,00"/>
        <filter val="65,00"/>
        <filter val="69,00"/>
        <filter val="691,20"/>
        <filter val="745,20"/>
        <filter val="8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887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898</v>
      </c>
      <c r="C23" s="53" t="s">
        <v>46</v>
      </c>
      <c r="D23" s="53" t="s">
        <v>46</v>
      </c>
      <c r="E23" s="53" t="s">
        <v>46</v>
      </c>
    </row>
  </sheetData>
  <sheetProtection algorithmName="SHA-512" hashValue="Bjb6I2GbcQtqyCW9eA7phwY6Vjl5gKQ1ODtPStRuTjDOCFKWs+H0WwBqUtAJL7VfSyf5F1uHUsIBfqywcwYUCA==" saltValue="2JbR69XmGLAxWxX72Rofj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2026-10-29T08:17:34Z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