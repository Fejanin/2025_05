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61A29F-39B5-4CAE-B88E-CB512408762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P500" i="2"/>
  <c r="X498" i="2"/>
  <c r="X497" i="2"/>
  <c r="BO496" i="2"/>
  <c r="BM496" i="2"/>
  <c r="Y496" i="2"/>
  <c r="Y498" i="2" s="1"/>
  <c r="P496" i="2"/>
  <c r="X493" i="2"/>
  <c r="X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Y465" i="2"/>
  <c r="Z465" i="2" s="1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Y421" i="2"/>
  <c r="Z421" i="2" s="1"/>
  <c r="P421" i="2"/>
  <c r="BO420" i="2"/>
  <c r="BM420" i="2"/>
  <c r="Y420" i="2"/>
  <c r="P420" i="2"/>
  <c r="X417" i="2"/>
  <c r="X416" i="2"/>
  <c r="BO415" i="2"/>
  <c r="BM415" i="2"/>
  <c r="Y415" i="2"/>
  <c r="BN415" i="2" s="1"/>
  <c r="P415" i="2"/>
  <c r="BO414" i="2"/>
  <c r="BM414" i="2"/>
  <c r="Y414" i="2"/>
  <c r="P414" i="2"/>
  <c r="BO413" i="2"/>
  <c r="BM413" i="2"/>
  <c r="Y413" i="2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P394" i="2" s="1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P368" i="2"/>
  <c r="BO367" i="2"/>
  <c r="BM367" i="2"/>
  <c r="Y367" i="2"/>
  <c r="P367" i="2"/>
  <c r="X364" i="2"/>
  <c r="X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P360" i="2"/>
  <c r="X357" i="2"/>
  <c r="X356" i="2"/>
  <c r="BO355" i="2"/>
  <c r="BM355" i="2"/>
  <c r="Y355" i="2"/>
  <c r="Y356" i="2" s="1"/>
  <c r="P355" i="2"/>
  <c r="X353" i="2"/>
  <c r="X352" i="2"/>
  <c r="BP351" i="2"/>
  <c r="BO351" i="2"/>
  <c r="BM351" i="2"/>
  <c r="Y351" i="2"/>
  <c r="P351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X327" i="2"/>
  <c r="X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Z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N185" i="2" s="1"/>
  <c r="P185" i="2"/>
  <c r="BO184" i="2"/>
  <c r="BM184" i="2"/>
  <c r="Y184" i="2"/>
  <c r="Y187" i="2" s="1"/>
  <c r="P184" i="2"/>
  <c r="X182" i="2"/>
  <c r="X181" i="2"/>
  <c r="BO180" i="2"/>
  <c r="BM180" i="2"/>
  <c r="Z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N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Z75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Y67" i="2"/>
  <c r="P67" i="2"/>
  <c r="BO66" i="2"/>
  <c r="BM66" i="2"/>
  <c r="Y66" i="2"/>
  <c r="P66" i="2"/>
  <c r="X64" i="2"/>
  <c r="X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Y504" i="2" l="1"/>
  <c r="Z271" i="2"/>
  <c r="Z394" i="2"/>
  <c r="BN394" i="2"/>
  <c r="Z455" i="2"/>
  <c r="Z202" i="2"/>
  <c r="Z293" i="2"/>
  <c r="BN293" i="2"/>
  <c r="BP379" i="2"/>
  <c r="Z23" i="2"/>
  <c r="Z147" i="2"/>
  <c r="BP217" i="2"/>
  <c r="Z273" i="2"/>
  <c r="BN273" i="2"/>
  <c r="Z362" i="2"/>
  <c r="BN362" i="2"/>
  <c r="Z382" i="2"/>
  <c r="Z429" i="2"/>
  <c r="BN429" i="2"/>
  <c r="Y122" i="2"/>
  <c r="Z22" i="2"/>
  <c r="Z57" i="2"/>
  <c r="Z120" i="2"/>
  <c r="Z158" i="2"/>
  <c r="BP185" i="2"/>
  <c r="Z203" i="2"/>
  <c r="BN203" i="2"/>
  <c r="BP220" i="2"/>
  <c r="Z232" i="2"/>
  <c r="Z272" i="2"/>
  <c r="Z302" i="2"/>
  <c r="Z303" i="2" s="1"/>
  <c r="BN302" i="2"/>
  <c r="BP302" i="2"/>
  <c r="Z346" i="2"/>
  <c r="Z361" i="2"/>
  <c r="Z371" i="2"/>
  <c r="Z383" i="2"/>
  <c r="BN383" i="2"/>
  <c r="Z415" i="2"/>
  <c r="BP496" i="2"/>
  <c r="BP526" i="2"/>
  <c r="BN39" i="2"/>
  <c r="BP55" i="2"/>
  <c r="BP62" i="2"/>
  <c r="BN62" i="2"/>
  <c r="BP66" i="2"/>
  <c r="Y71" i="2"/>
  <c r="BP67" i="2"/>
  <c r="BN67" i="2"/>
  <c r="Z67" i="2"/>
  <c r="BN119" i="2"/>
  <c r="BN149" i="2"/>
  <c r="BP149" i="2"/>
  <c r="BP201" i="2"/>
  <c r="Z201" i="2"/>
  <c r="BN204" i="2"/>
  <c r="BN218" i="2"/>
  <c r="Z218" i="2"/>
  <c r="BN223" i="2"/>
  <c r="Z223" i="2"/>
  <c r="BN255" i="2"/>
  <c r="BN263" i="2"/>
  <c r="Z263" i="2"/>
  <c r="BN287" i="2"/>
  <c r="BN295" i="2"/>
  <c r="BN310" i="2"/>
  <c r="BP338" i="2"/>
  <c r="BN338" i="2"/>
  <c r="Z338" i="2"/>
  <c r="BN355" i="2"/>
  <c r="Y357" i="2"/>
  <c r="T572" i="2"/>
  <c r="Z360" i="2"/>
  <c r="Z363" i="2" s="1"/>
  <c r="BN367" i="2"/>
  <c r="Z367" i="2"/>
  <c r="BN373" i="2"/>
  <c r="Z373" i="2"/>
  <c r="BP381" i="2"/>
  <c r="Z381" i="2"/>
  <c r="BN387" i="2"/>
  <c r="Z387" i="2"/>
  <c r="BN400" i="2"/>
  <c r="Y467" i="2"/>
  <c r="Y492" i="2"/>
  <c r="Z491" i="2"/>
  <c r="Z492" i="2" s="1"/>
  <c r="Y543" i="2"/>
  <c r="BP541" i="2"/>
  <c r="BN549" i="2"/>
  <c r="BP22" i="2"/>
  <c r="BN48" i="2"/>
  <c r="Z55" i="2"/>
  <c r="Z56" i="2"/>
  <c r="BP57" i="2"/>
  <c r="BN59" i="2"/>
  <c r="BN80" i="2"/>
  <c r="Z80" i="2"/>
  <c r="BN90" i="2"/>
  <c r="Z90" i="2"/>
  <c r="BN113" i="2"/>
  <c r="BP177" i="2"/>
  <c r="Z177" i="2"/>
  <c r="BN193" i="2"/>
  <c r="BN200" i="2"/>
  <c r="Z200" i="2"/>
  <c r="BP216" i="2"/>
  <c r="BN216" i="2"/>
  <c r="Z216" i="2"/>
  <c r="BN221" i="2"/>
  <c r="Z221" i="2"/>
  <c r="BP223" i="2"/>
  <c r="BP224" i="2"/>
  <c r="BN224" i="2"/>
  <c r="Z224" i="2"/>
  <c r="BN225" i="2"/>
  <c r="BN234" i="2"/>
  <c r="Z234" i="2"/>
  <c r="BN251" i="2"/>
  <c r="Z251" i="2"/>
  <c r="Y257" i="2"/>
  <c r="BN262" i="2"/>
  <c r="Z262" i="2"/>
  <c r="BP263" i="2"/>
  <c r="BN264" i="2"/>
  <c r="BN282" i="2"/>
  <c r="Z282" i="2"/>
  <c r="BP325" i="2"/>
  <c r="BN325" i="2"/>
  <c r="Z325" i="2"/>
  <c r="BN337" i="2"/>
  <c r="Z337" i="2"/>
  <c r="Z341" i="2" s="1"/>
  <c r="S572" i="2"/>
  <c r="Z351" i="2"/>
  <c r="Z352" i="2" s="1"/>
  <c r="BP367" i="2"/>
  <c r="BP368" i="2"/>
  <c r="Z368" i="2"/>
  <c r="BP373" i="2"/>
  <c r="BN380" i="2"/>
  <c r="Z380" i="2"/>
  <c r="BP387" i="2"/>
  <c r="BP413" i="2"/>
  <c r="Z413" i="2"/>
  <c r="BP439" i="2"/>
  <c r="Z439" i="2"/>
  <c r="BN443" i="2"/>
  <c r="BN448" i="2"/>
  <c r="Z448" i="2"/>
  <c r="BN484" i="2"/>
  <c r="BN510" i="2"/>
  <c r="BN521" i="2"/>
  <c r="BN527" i="2"/>
  <c r="BN69" i="2"/>
  <c r="Y109" i="2"/>
  <c r="BN103" i="2"/>
  <c r="BN106" i="2"/>
  <c r="BN118" i="2"/>
  <c r="BN141" i="2"/>
  <c r="BP147" i="2"/>
  <c r="BN148" i="2"/>
  <c r="BP158" i="2"/>
  <c r="BN160" i="2"/>
  <c r="BP180" i="2"/>
  <c r="BP202" i="2"/>
  <c r="Y211" i="2"/>
  <c r="BN256" i="2"/>
  <c r="BP271" i="2"/>
  <c r="BP272" i="2"/>
  <c r="BN276" i="2"/>
  <c r="Y334" i="2"/>
  <c r="BN331" i="2"/>
  <c r="BP361" i="2"/>
  <c r="BP382" i="2"/>
  <c r="BN407" i="2"/>
  <c r="BP415" i="2"/>
  <c r="BN441" i="2"/>
  <c r="BP455" i="2"/>
  <c r="BN466" i="2"/>
  <c r="BN485" i="2"/>
  <c r="BN509" i="2"/>
  <c r="BN531" i="2"/>
  <c r="BN545" i="2"/>
  <c r="BP24" i="2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BP340" i="2"/>
  <c r="Y347" i="2"/>
  <c r="U572" i="2"/>
  <c r="Y375" i="2"/>
  <c r="Y410" i="2"/>
  <c r="Y425" i="2"/>
  <c r="Y444" i="2"/>
  <c r="BP483" i="2"/>
  <c r="BP491" i="2"/>
  <c r="Z135" i="2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142" i="2"/>
  <c r="Z467" i="2"/>
  <c r="Z68" i="2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BN408" i="2"/>
  <c r="BP421" i="2"/>
  <c r="Z437" i="2"/>
  <c r="Z447" i="2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Y190" i="2"/>
  <c r="Z199" i="2"/>
  <c r="Z210" i="2"/>
  <c r="Z211" i="2" s="1"/>
  <c r="Z220" i="2"/>
  <c r="Z230" i="2"/>
  <c r="Z240" i="2"/>
  <c r="Z241" i="2" s="1"/>
  <c r="Y245" i="2"/>
  <c r="BP260" i="2"/>
  <c r="BN278" i="2"/>
  <c r="Y289" i="2"/>
  <c r="BN311" i="2"/>
  <c r="Y314" i="2"/>
  <c r="BN322" i="2"/>
  <c r="Z344" i="2"/>
  <c r="BP360" i="2"/>
  <c r="Z369" i="2"/>
  <c r="Z379" i="2"/>
  <c r="Z389" i="2"/>
  <c r="BN401" i="2"/>
  <c r="Y404" i="2"/>
  <c r="Z422" i="2"/>
  <c r="Z428" i="2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431" i="2" l="1"/>
  <c r="Z167" i="2"/>
  <c r="Z450" i="2"/>
  <c r="Z235" i="2"/>
  <c r="Z81" i="2"/>
  <c r="Z137" i="2"/>
  <c r="Z122" i="2"/>
  <c r="Z416" i="2"/>
  <c r="Z91" i="2"/>
  <c r="Z391" i="2"/>
  <c r="Z374" i="2"/>
  <c r="Z347" i="2"/>
  <c r="Z186" i="2"/>
  <c r="Z397" i="2"/>
  <c r="Z27" i="2"/>
  <c r="Z410" i="2"/>
  <c r="Z252" i="2"/>
  <c r="Z424" i="2"/>
  <c r="Z384" i="2"/>
  <c r="Z181" i="2"/>
  <c r="Z488" i="2"/>
  <c r="Z70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<sst xmlns="http://schemas.openxmlformats.org/spreadsheetml/2006/main" count="4249" uniqueCount="898">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</sst>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46327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24</v>
      </c>
      <c r="Y49" s="55">
        <f>IFERROR(IF(X49="",0,CEILING((X49/$H49),1)*$H49),"")</f>
        <v>24</v>
      </c>
      <c r="Z49" s="41">
        <f>IFERROR(IF(Y49=0,"",ROUNDUP(Y49/H49,0)*0.00902),"")</f>
        <v>5.4120000000000001E-2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25.14</v>
      </c>
      <c r="BN49" s="78">
        <f>IFERROR(Y49*I49/H49,"0")</f>
        <v>25.14</v>
      </c>
      <c r="BO49" s="78">
        <f>IFERROR(1/J49*(X49/H49),"0")</f>
        <v>4.5454545454545456E-2</v>
      </c>
      <c r="BP49" s="78">
        <f>IFERROR(1/J49*(Y49/H49),"0")</f>
        <v>4.5454545454545456E-2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15.25925925925926</v>
      </c>
      <c r="Y51" s="43">
        <f>IFERROR(Y47/H47,"0")+IFERROR(Y48/H48,"0")+IFERROR(Y49/H49,"0")+IFERROR(Y50/H50,"0")</f>
        <v>16</v>
      </c>
      <c r="Z51" s="43">
        <f>IFERROR(IF(Z47="",0,Z47),"0")+IFERROR(IF(Z48="",0,Z48),"0")+IFERROR(IF(Z49="",0,Z49),"0")+IFERROR(IF(Z50="",0,Z50),"0")</f>
        <v>0.24392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124</v>
      </c>
      <c r="Y52" s="43">
        <f>IFERROR(SUM(Y47:Y50),"0")</f>
        <v>132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50</v>
      </c>
      <c r="Y85" s="55">
        <f t="shared" ref="Y85:Y90" si="5">IFERROR(IF(X85="",0,CEILING((X85/$H85),1)*$H85),"")</f>
        <v>54</v>
      </c>
      <c r="Z85" s="41">
        <f>IFERROR(IF(Y85=0,"",ROUNDUP(Y85/H85,0)*0.01898),"")</f>
        <v>9.4899999999999998E-2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51.898148148148145</v>
      </c>
      <c r="BN85" s="78">
        <f t="shared" ref="BN85:BN90" si="7">IFERROR(Y85*I85/H85,"0")</f>
        <v>56.05</v>
      </c>
      <c r="BO85" s="78">
        <f t="shared" ref="BO85:BO90" si="8">IFERROR(1/J85*(X85/H85),"0")</f>
        <v>7.2337962962962965E-2</v>
      </c>
      <c r="BP85" s="78">
        <f t="shared" ref="BP85:BP90" si="9">IFERROR(1/J85*(Y85/H85),"0")</f>
        <v>7.8125E-2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43.2</v>
      </c>
      <c r="Y90" s="55">
        <f t="shared" si="5"/>
        <v>45</v>
      </c>
      <c r="Z90" s="41">
        <f>IFERROR(IF(Y90=0,"",ROUNDUP(Y90/H90,0)*0.00902),"")</f>
        <v>9.0200000000000002E-2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45.024000000000008</v>
      </c>
      <c r="BN90" s="78">
        <f t="shared" si="7"/>
        <v>46.900000000000006</v>
      </c>
      <c r="BO90" s="78">
        <f t="shared" si="8"/>
        <v>7.2727272727272738E-2</v>
      </c>
      <c r="BP90" s="78">
        <f t="shared" si="9"/>
        <v>7.575757575757576E-2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14.229629629629631</v>
      </c>
      <c r="Y91" s="43">
        <f>IFERROR(Y85/H85,"0")+IFERROR(Y86/H86,"0")+IFERROR(Y87/H87,"0")+IFERROR(Y88/H88,"0")+IFERROR(Y89/H89,"0")+IFERROR(Y90/H90,"0")</f>
        <v>15</v>
      </c>
      <c r="Z91" s="43">
        <f>IFERROR(IF(Z85="",0,Z85),"0")+IFERROR(IF(Z86="",0,Z86),"0")+IFERROR(IF(Z87="",0,Z87),"0")+IFERROR(IF(Z88="",0,Z88),"0")+IFERROR(IF(Z89="",0,Z89),"0")+IFERROR(IF(Z90="",0,Z90),"0")</f>
        <v>0.18509999999999999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93.2</v>
      </c>
      <c r="Y92" s="43">
        <f>IFERROR(SUM(Y85:Y90),"0")</f>
        <v>99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100</v>
      </c>
      <c r="Y102" s="55">
        <f t="shared" ref="Y102:Y108" si="10">IFERROR(IF(X102="",0,CEILING((X102/$H102),1)*$H102),"")</f>
        <v>108</v>
      </c>
      <c r="Z102" s="41">
        <f>IFERROR(IF(Y102=0,"",ROUNDUP(Y102/H102,0)*0.01898),"")</f>
        <v>0.1898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103.79629629629629</v>
      </c>
      <c r="BN102" s="78">
        <f t="shared" ref="BN102:BN108" si="12">IFERROR(Y102*I102/H102,"0")</f>
        <v>112.1</v>
      </c>
      <c r="BO102" s="78">
        <f t="shared" ref="BO102:BO108" si="13">IFERROR(1/J102*(X102/H102),"0")</f>
        <v>0.14467592592592593</v>
      </c>
      <c r="BP102" s="78">
        <f t="shared" ref="BP102:BP108" si="14">IFERROR(1/J102*(Y102/H102),"0")</f>
        <v>0.15625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27</v>
      </c>
      <c r="Y106" s="55">
        <f t="shared" si="10"/>
        <v>27</v>
      </c>
      <c r="Z106" s="41">
        <f>IFERROR(IF(Y106=0,"",ROUNDUP(Y106/H106,0)*0.00902),"")</f>
        <v>5.4120000000000001E-2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28.14</v>
      </c>
      <c r="BN106" s="78">
        <f t="shared" si="12"/>
        <v>28.14</v>
      </c>
      <c r="BO106" s="78">
        <f t="shared" si="13"/>
        <v>4.5454545454545456E-2</v>
      </c>
      <c r="BP106" s="78">
        <f t="shared" si="14"/>
        <v>4.5454545454545456E-2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15.25925925925926</v>
      </c>
      <c r="Y109" s="43">
        <f>IFERROR(Y102/H102,"0")+IFERROR(Y103/H103,"0")+IFERROR(Y104/H104,"0")+IFERROR(Y105/H105,"0")+IFERROR(Y106/H106,"0")+IFERROR(Y107/H107,"0")+IFERROR(Y108/H108,"0")</f>
        <v>16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0.24392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127</v>
      </c>
      <c r="Y110" s="43">
        <f>IFERROR(SUM(Y102:Y108),"0")</f>
        <v>135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hidden="1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hidden="1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21</v>
      </c>
      <c r="Y224" s="55">
        <f t="shared" si="26"/>
        <v>21</v>
      </c>
      <c r="Z224" s="41">
        <f>IFERROR(IF(Y224=0,"",ROUNDUP(Y224/H224,0)*0.00502),"")</f>
        <v>5.0200000000000002E-2</v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22</v>
      </c>
      <c r="BN224" s="78">
        <f t="shared" si="28"/>
        <v>22</v>
      </c>
      <c r="BO224" s="78">
        <f t="shared" si="29"/>
        <v>4.2735042735042736E-2</v>
      </c>
      <c r="BP224" s="78">
        <f t="shared" si="30"/>
        <v>4.2735042735042736E-2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5.0200000000000002E-2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21</v>
      </c>
      <c r="Y228" s="43">
        <f>IFERROR(SUM(Y214:Y226),"0")</f>
        <v>21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hidden="1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150</v>
      </c>
      <c r="Y261" s="55">
        <f t="shared" si="31"/>
        <v>151.20000000000002</v>
      </c>
      <c r="Z261" s="41">
        <f>IFERROR(IF(Y261=0,"",ROUNDUP(Y261/H261,0)*0.00902),"")</f>
        <v>0.25256000000000001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155.27777777777777</v>
      </c>
      <c r="BN261" s="78">
        <f t="shared" si="33"/>
        <v>156.52000000000001</v>
      </c>
      <c r="BO261" s="78">
        <f t="shared" si="34"/>
        <v>0.21043771043771042</v>
      </c>
      <c r="BP261" s="78">
        <f t="shared" si="35"/>
        <v>0.21212121212121213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27.777777777777775</v>
      </c>
      <c r="Y268" s="43">
        <f>IFERROR(Y260/H260,"0")+IFERROR(Y261/H261,"0")+IFERROR(Y262/H262,"0")+IFERROR(Y263/H263,"0")+IFERROR(Y264/H264,"0")+IFERROR(Y265/H265,"0")+IFERROR(Y266/H266,"0")+IFERROR(Y267/H267,"0")</f>
        <v>28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0.25256000000000001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150</v>
      </c>
      <c r="Y269" s="43">
        <f>IFERROR(SUM(Y260:Y267),"0")</f>
        <v>151.20000000000002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192</v>
      </c>
      <c r="Y275" s="55">
        <f t="shared" si="36"/>
        <v>192</v>
      </c>
      <c r="Z275" s="41">
        <f>IFERROR(IF(Y275=0,"",ROUNDUP(Y275/H275,0)*0.00651),"")</f>
        <v>0.52080000000000004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213.6</v>
      </c>
      <c r="BN275" s="78">
        <f t="shared" si="38"/>
        <v>213.6</v>
      </c>
      <c r="BO275" s="78">
        <f t="shared" si="39"/>
        <v>0.43956043956043961</v>
      </c>
      <c r="BP275" s="78">
        <f t="shared" si="40"/>
        <v>0.43956043956043961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96</v>
      </c>
      <c r="Y277" s="55">
        <f t="shared" si="36"/>
        <v>96</v>
      </c>
      <c r="Z277" s="41">
        <f>IFERROR(IF(Y277=0,"",ROUNDUP(Y277/H277,0)*0.00651),"")</f>
        <v>0.26040000000000002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106.08000000000001</v>
      </c>
      <c r="BN277" s="78">
        <f t="shared" si="38"/>
        <v>106.08000000000001</v>
      </c>
      <c r="BO277" s="78">
        <f t="shared" si="39"/>
        <v>0.2197802197802198</v>
      </c>
      <c r="BP277" s="78">
        <f t="shared" si="40"/>
        <v>0.2197802197802198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96</v>
      </c>
      <c r="Y280" s="55">
        <f t="shared" si="36"/>
        <v>96</v>
      </c>
      <c r="Z280" s="41">
        <f>IFERROR(IF(Y280=0,"",ROUNDUP(Y280/H280,0)*0.00651),"")</f>
        <v>0.26040000000000002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106.08000000000001</v>
      </c>
      <c r="BN280" s="78">
        <f t="shared" si="38"/>
        <v>106.08000000000001</v>
      </c>
      <c r="BO280" s="78">
        <f t="shared" si="39"/>
        <v>0.2197802197802198</v>
      </c>
      <c r="BP280" s="78">
        <f t="shared" si="40"/>
        <v>0.2197802197802198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160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160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1.0416000000000001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384</v>
      </c>
      <c r="Y284" s="43">
        <f>IFERROR(SUM(Y271:Y282),"0")</f>
        <v>384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80</v>
      </c>
      <c r="Y377" s="55">
        <f t="shared" ref="Y377:Y383" si="57">IFERROR(IF(X377="",0,CEILING((X377/$H377),1)*$H377),"")</f>
        <v>84</v>
      </c>
      <c r="Z377" s="41">
        <f>IFERROR(IF(Y377=0,"",ROUNDUP(Y377/H377,0)*0.00902),"")</f>
        <v>0.1804</v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84.761904761904759</v>
      </c>
      <c r="BN377" s="78">
        <f t="shared" ref="BN377:BN383" si="59">IFERROR(Y377*I377/H377,"0")</f>
        <v>89</v>
      </c>
      <c r="BO377" s="78">
        <f t="shared" ref="BO377:BO383" si="60">IFERROR(1/J377*(X377/H377),"0")</f>
        <v>0.14430014430014429</v>
      </c>
      <c r="BP377" s="78">
        <f t="shared" ref="BP377:BP383" si="61">IFERROR(1/J377*(Y377/H377),"0")</f>
        <v>0.15151515151515152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19.047619047619047</v>
      </c>
      <c r="Y384" s="43">
        <f>IFERROR(Y377/H377,"0")+IFERROR(Y378/H378,"0")+IFERROR(Y379/H379,"0")+IFERROR(Y380/H380,"0")+IFERROR(Y381/H381,"0")+IFERROR(Y382/H382,"0")+IFERROR(Y383/H383,"0")</f>
        <v>20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0.1804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80</v>
      </c>
      <c r="Y385" s="43">
        <f>IFERROR(SUM(Y377:Y383),"0")</f>
        <v>84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150</v>
      </c>
      <c r="Y395" s="55">
        <f>IFERROR(IF(X395="",0,CEILING((X395/$H395),1)*$H395),"")</f>
        <v>156</v>
      </c>
      <c r="Z395" s="41">
        <f>IFERROR(IF(Y395=0,"",ROUNDUP(Y395/H395,0)*0.01898),"")</f>
        <v>0.37959999999999999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159.50000000000003</v>
      </c>
      <c r="BN395" s="78">
        <f>IFERROR(Y395*I395/H395,"0")</f>
        <v>165.88</v>
      </c>
      <c r="BO395" s="78">
        <f>IFERROR(1/J395*(X395/H395),"0")</f>
        <v>0.30048076923076922</v>
      </c>
      <c r="BP395" s="78">
        <f>IFERROR(1/J395*(Y395/H395),"0")</f>
        <v>0.3125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50</v>
      </c>
      <c r="Y396" s="55">
        <f>IFERROR(IF(X396="",0,CEILING((X396/$H396),1)*$H396),"")</f>
        <v>50.400000000000006</v>
      </c>
      <c r="Z396" s="41">
        <f>IFERROR(IF(Y396=0,"",ROUNDUP(Y396/H396,0)*0.01898),"")</f>
        <v>0.11388000000000001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52.94047619047619</v>
      </c>
      <c r="BN396" s="78">
        <f>IFERROR(Y396*I396/H396,"0")</f>
        <v>53.364000000000004</v>
      </c>
      <c r="BO396" s="78">
        <f>IFERROR(1/J396*(X396/H396),"0")</f>
        <v>9.3005952380952384E-2</v>
      </c>
      <c r="BP396" s="78">
        <f>IFERROR(1/J396*(Y396/H396),"0")</f>
        <v>9.375E-2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25.183150183150182</v>
      </c>
      <c r="Y397" s="43">
        <f>IFERROR(Y394/H394,"0")+IFERROR(Y395/H395,"0")+IFERROR(Y396/H396,"0")</f>
        <v>26</v>
      </c>
      <c r="Z397" s="43">
        <f>IFERROR(IF(Z394="",0,Z394),"0")+IFERROR(IF(Z395="",0,Z395),"0")+IFERROR(IF(Z396="",0,Z396),"0")</f>
        <v>0.49348000000000003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200</v>
      </c>
      <c r="Y398" s="43">
        <f>IFERROR(SUM(Y394:Y396),"0")</f>
        <v>206.4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3500</v>
      </c>
      <c r="Y437" s="55">
        <f t="shared" si="62"/>
        <v>3510</v>
      </c>
      <c r="Z437" s="41">
        <f>IFERROR(IF(Y437=0,"",ROUNDUP(Y437/H437,0)*0.02175),"")</f>
        <v>5.0894999999999992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3609.6666666666665</v>
      </c>
      <c r="BN437" s="78">
        <f t="shared" si="64"/>
        <v>3619.9800000000005</v>
      </c>
      <c r="BO437" s="78">
        <f t="shared" si="65"/>
        <v>4.8611111111111107</v>
      </c>
      <c r="BP437" s="78">
        <f t="shared" si="66"/>
        <v>4.875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2500</v>
      </c>
      <c r="Y438" s="55">
        <f t="shared" si="62"/>
        <v>2505</v>
      </c>
      <c r="Z438" s="41">
        <f>IFERROR(IF(Y438=0,"",ROUNDUP(Y438/H438,0)*0.02175),"")</f>
        <v>3.6322499999999995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2578.3333333333335</v>
      </c>
      <c r="BN438" s="78">
        <f t="shared" si="64"/>
        <v>2583.4899999999998</v>
      </c>
      <c r="BO438" s="78">
        <f t="shared" si="65"/>
        <v>3.4722222222222219</v>
      </c>
      <c r="BP438" s="78">
        <f t="shared" si="66"/>
        <v>3.4791666666666665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2000</v>
      </c>
      <c r="Y439" s="55">
        <f t="shared" si="62"/>
        <v>2010</v>
      </c>
      <c r="Z439" s="41">
        <f>IFERROR(IF(Y439=0,"",ROUNDUP(Y439/H439,0)*0.02175),"")</f>
        <v>2.9144999999999999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2062.6666666666665</v>
      </c>
      <c r="BN439" s="78">
        <f t="shared" si="64"/>
        <v>2072.98</v>
      </c>
      <c r="BO439" s="78">
        <f t="shared" si="65"/>
        <v>2.7777777777777777</v>
      </c>
      <c r="BP439" s="78">
        <f t="shared" si="66"/>
        <v>2.7916666666666665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533.33333333333337</v>
      </c>
      <c r="Y444" s="43">
        <f>IFERROR(Y436/H436,"0")+IFERROR(Y437/H437,"0")+IFERROR(Y438/H438,"0")+IFERROR(Y439/H439,"0")+IFERROR(Y440/H440,"0")+IFERROR(Y441/H441,"0")+IFERROR(Y442/H442,"0")+IFERROR(Y443/H443,"0")</f>
        <v>535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11.636249999999999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8000</v>
      </c>
      <c r="Y445" s="43">
        <f>IFERROR(SUM(Y436:Y443),"0")</f>
        <v>8025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hidden="1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100</v>
      </c>
      <c r="Y460" s="55">
        <f>IFERROR(IF(X460="",0,CEILING((X460/$H460),1)*$H460),"")</f>
        <v>108</v>
      </c>
      <c r="Z460" s="41">
        <f>IFERROR(IF(Y460=0,"",ROUNDUP(Y460/H460,0)*0.01898),"")</f>
        <v>0.22776000000000002</v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105.48888888888888</v>
      </c>
      <c r="BN460" s="78">
        <f>IFERROR(Y460*I460/H460,"0")</f>
        <v>113.92799999999998</v>
      </c>
      <c r="BO460" s="78">
        <f>IFERROR(1/J460*(X460/H460),"0")</f>
        <v>0.1736111111111111</v>
      </c>
      <c r="BP460" s="78">
        <f>IFERROR(1/J460*(Y460/H460),"0")</f>
        <v>0.1875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11.111111111111111</v>
      </c>
      <c r="Y461" s="43">
        <f>IFERROR(Y459/H459,"0")+IFERROR(Y460/H460,"0")</f>
        <v>12</v>
      </c>
      <c r="Z461" s="43">
        <f>IFERROR(IF(Z459="",0,Z459),"0")+IFERROR(IF(Z460="",0,Z460),"0")</f>
        <v>0.22776000000000002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100</v>
      </c>
      <c r="Y462" s="43">
        <f>IFERROR(SUM(Y459:Y460),"0")</f>
        <v>108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hidden="1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100</v>
      </c>
      <c r="Y482" s="55">
        <f t="shared" ref="Y482:Y487" si="67">IFERROR(IF(X482="",0,CEILING((X482/$H482),1)*$H482),"")</f>
        <v>102.60000000000001</v>
      </c>
      <c r="Z482" s="41">
        <f>IFERROR(IF(Y482=0,"",ROUNDUP(Y482/H482,0)*0.00902),"")</f>
        <v>0.17138</v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103.5185185185185</v>
      </c>
      <c r="BN482" s="78">
        <f t="shared" ref="BN482:BN487" si="69">IFERROR(Y482*I482/H482,"0")</f>
        <v>106.21</v>
      </c>
      <c r="BO482" s="78">
        <f t="shared" ref="BO482:BO487" si="70">IFERROR(1/J482*(X482/H482),"0")</f>
        <v>0.14029180695847362</v>
      </c>
      <c r="BP482" s="78">
        <f t="shared" ref="BP482:BP487" si="71">IFERROR(1/J482*(Y482/H482),"0")</f>
        <v>0.14393939393939395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250</v>
      </c>
      <c r="Y483" s="55">
        <f t="shared" si="67"/>
        <v>253.8</v>
      </c>
      <c r="Z483" s="41">
        <f>IFERROR(IF(Y483=0,"",ROUNDUP(Y483/H483,0)*0.00902),"")</f>
        <v>0.42393999999999998</v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258.7962962962963</v>
      </c>
      <c r="BN483" s="78">
        <f t="shared" si="69"/>
        <v>262.72999999999996</v>
      </c>
      <c r="BO483" s="78">
        <f t="shared" si="70"/>
        <v>0.35072951739618402</v>
      </c>
      <c r="BP483" s="78">
        <f t="shared" si="71"/>
        <v>0.35606060606060608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21</v>
      </c>
      <c r="Y486" s="55">
        <f t="shared" si="67"/>
        <v>21</v>
      </c>
      <c r="Z486" s="41">
        <f>IFERROR(IF(Y486=0,"",ROUNDUP(Y486/H486,0)*0.00502),"")</f>
        <v>5.0200000000000002E-2</v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22.299999999999997</v>
      </c>
      <c r="BN486" s="78">
        <f t="shared" si="69"/>
        <v>22.299999999999997</v>
      </c>
      <c r="BO486" s="78">
        <f t="shared" si="70"/>
        <v>4.2735042735042736E-2</v>
      </c>
      <c r="BP486" s="78">
        <f t="shared" si="71"/>
        <v>4.2735042735042736E-2</v>
      </c>
    </row>
    <row r="487" spans="1:68" ht="37.5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29.4</v>
      </c>
      <c r="Y487" s="55">
        <f t="shared" si="67"/>
        <v>29.400000000000002</v>
      </c>
      <c r="Z487" s="41">
        <f>IFERROR(IF(Y487=0,"",ROUNDUP(Y487/H487,0)*0.00502),"")</f>
        <v>7.0280000000000009E-2</v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31.22</v>
      </c>
      <c r="BN487" s="78">
        <f t="shared" si="69"/>
        <v>31.22</v>
      </c>
      <c r="BO487" s="78">
        <f t="shared" si="70"/>
        <v>5.9829059829059825E-2</v>
      </c>
      <c r="BP487" s="78">
        <f t="shared" si="71"/>
        <v>5.9829059829059839E-2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88.81481481481481</v>
      </c>
      <c r="Y488" s="43">
        <f>IFERROR(Y482/H482,"0")+IFERROR(Y483/H483,"0")+IFERROR(Y484/H484,"0")+IFERROR(Y485/H485,"0")+IFERROR(Y486/H486,"0")+IFERROR(Y487/H487,"0")</f>
        <v>90</v>
      </c>
      <c r="Z488" s="43">
        <f>IFERROR(IF(Z482="",0,Z482),"0")+IFERROR(IF(Z483="",0,Z483),"0")+IFERROR(IF(Z484="",0,Z484),"0")+IFERROR(IF(Z485="",0,Z485),"0")+IFERROR(IF(Z486="",0,Z486),"0")+IFERROR(IF(Z487="",0,Z487),"0")</f>
        <v>0.71579999999999999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400.4</v>
      </c>
      <c r="Y489" s="43">
        <f>IFERROR(SUM(Y482:Y487),"0")</f>
        <v>406.8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350</v>
      </c>
      <c r="Y500" s="55">
        <f>IFERROR(IF(X500="",0,CEILING((X500/$H500),1)*$H500),"")</f>
        <v>351</v>
      </c>
      <c r="Z500" s="41">
        <f>IFERROR(IF(Y500=0,"",ROUNDUP(Y500/H500,0)*0.00902),"")</f>
        <v>0.58630000000000004</v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362.31481481481478</v>
      </c>
      <c r="BN500" s="78">
        <f>IFERROR(Y500*I500/H500,"0")</f>
        <v>363.34999999999997</v>
      </c>
      <c r="BO500" s="78">
        <f>IFERROR(1/J500*(X500/H500),"0")</f>
        <v>0.49102132435465767</v>
      </c>
      <c r="BP500" s="78">
        <f>IFERROR(1/J500*(Y500/H500),"0")</f>
        <v>0.49242424242424243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21</v>
      </c>
      <c r="Y502" s="55">
        <f>IFERROR(IF(X502="",0,CEILING((X502/$H502),1)*$H502),"")</f>
        <v>21</v>
      </c>
      <c r="Z502" s="41">
        <f>IFERROR(IF(Y502=0,"",ROUNDUP(Y502/H502,0)*0.00502),"")</f>
        <v>5.0200000000000002E-2</v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22.299999999999997</v>
      </c>
      <c r="BN502" s="78">
        <f>IFERROR(Y502*I502/H502,"0")</f>
        <v>22.299999999999997</v>
      </c>
      <c r="BO502" s="78">
        <f>IFERROR(1/J502*(X502/H502),"0")</f>
        <v>4.2735042735042736E-2</v>
      </c>
      <c r="BP502" s="78">
        <f>IFERROR(1/J502*(Y502/H502),"0")</f>
        <v>4.2735042735042736E-2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74.81481481481481</v>
      </c>
      <c r="Y503" s="43">
        <f>IFERROR(Y500/H500,"0")+IFERROR(Y501/H501,"0")+IFERROR(Y502/H502,"0")</f>
        <v>75</v>
      </c>
      <c r="Z503" s="43">
        <f>IFERROR(IF(Z500="",0,Z500),"0")+IFERROR(IF(Z501="",0,Z501),"0")+IFERROR(IF(Z502="",0,Z502),"0")</f>
        <v>0.63650000000000007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371</v>
      </c>
      <c r="Y504" s="43">
        <f>IFERROR(SUM(Y500:Y502),"0")</f>
        <v>372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2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0</v>
      </c>
      <c r="BN512" s="78">
        <f t="shared" si="74"/>
        <v>0</v>
      </c>
      <c r="BO512" s="78">
        <f t="shared" si="75"/>
        <v>0</v>
      </c>
      <c r="BP512" s="78">
        <f t="shared" si="76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hidden="1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0</v>
      </c>
      <c r="Y516" s="43">
        <f>IFERROR(Y508/H508,"0")+IFERROR(Y509/H509,"0")+IFERROR(Y510/H510,"0")+IFERROR(Y511/H511,"0")+IFERROR(Y512/H512,"0")+IFERROR(Y513/H513,"0")+IFERROR(Y514/H514,"0")+IFERROR(Y515/H515,"0")</f>
        <v>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hidden="1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0</v>
      </c>
      <c r="Y517" s="43">
        <f>IFERROR(SUM(Y508:Y515),"0")</f>
        <v>0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hidden="1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0</v>
      </c>
      <c r="Y522" s="43">
        <f>IFERROR(Y519/H519,"0")+IFERROR(Y520/H520,"0")+IFERROR(Y521/H521,"0")</f>
        <v>0</v>
      </c>
      <c r="Z522" s="43">
        <f>IFERROR(IF(Z519="",0,Z519),"0")+IFERROR(IF(Z520="",0,Z520),"0")+IFERROR(IF(Z521="",0,Z521),"0")</f>
        <v>0</v>
      </c>
      <c r="AA522" s="67"/>
      <c r="AB522" s="67"/>
      <c r="AC522" s="67"/>
    </row>
    <row r="523" spans="1:68" hidden="1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0</v>
      </c>
      <c r="Y523" s="43">
        <f>IFERROR(SUM(Y519:Y521),"0")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100</v>
      </c>
      <c r="Y525" s="55">
        <f t="shared" ref="Y525:Y531" si="77">IFERROR(IF(X525="",0,CEILING((X525/$H525),1)*$H525),"")</f>
        <v>100.32000000000001</v>
      </c>
      <c r="Z525" s="41">
        <f>IFERROR(IF(Y525=0,"",ROUNDUP(Y525/H525,0)*0.01196),"")</f>
        <v>0.22724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106.62878787878788</v>
      </c>
      <c r="BN525" s="78">
        <f t="shared" ref="BN525:BN531" si="79">IFERROR(Y525*I525/H525,"0")</f>
        <v>106.97</v>
      </c>
      <c r="BO525" s="78">
        <f t="shared" ref="BO525:BO531" si="80">IFERROR(1/J525*(X525/H525),"0")</f>
        <v>0.18210955710955709</v>
      </c>
      <c r="BP525" s="78">
        <f t="shared" ref="BP525:BP531" si="81">IFERROR(1/J525*(Y525/H525),"0")</f>
        <v>0.18269230769230771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18.939393939393938</v>
      </c>
      <c r="Y532" s="43">
        <f>IFERROR(Y525/H525,"0")+IFERROR(Y526/H526,"0")+IFERROR(Y527/H527,"0")+IFERROR(Y528/H528,"0")+IFERROR(Y529/H529,"0")+IFERROR(Y530/H530,"0")+IFERROR(Y531/H531,"0")</f>
        <v>19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0.22724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100</v>
      </c>
      <c r="Y533" s="43">
        <f>IFERROR(SUM(Y525:Y531),"0")</f>
        <v>100.32000000000001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120</v>
      </c>
      <c r="Y545" s="55">
        <f>IFERROR(IF(X545="",0,CEILING((X545/$H545),1)*$H545),"")</f>
        <v>121.80000000000001</v>
      </c>
      <c r="Z545" s="41">
        <f>IFERROR(IF(Y545=0,"",ROUNDUP(Y545/H545,0)*0.00902),"")</f>
        <v>0.26158000000000003</v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127.14285714285714</v>
      </c>
      <c r="BN545" s="78">
        <f>IFERROR(Y545*I545/H545,"0")</f>
        <v>129.05000000000001</v>
      </c>
      <c r="BO545" s="78">
        <f>IFERROR(1/J545*(X545/H545),"0")</f>
        <v>0.21645021645021645</v>
      </c>
      <c r="BP545" s="78">
        <f>IFERROR(1/J545*(Y545/H545),"0")</f>
        <v>0.2196969696969697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28.571428571428569</v>
      </c>
      <c r="Y546" s="43">
        <f>IFERROR(Y545/H545,"0")</f>
        <v>29</v>
      </c>
      <c r="Z546" s="43">
        <f>IFERROR(IF(Z545="",0,Z545),"0")</f>
        <v>0.26158000000000003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120</v>
      </c>
      <c r="Y547" s="43">
        <f>IFERROR(SUM(Y545:Y545),"0")</f>
        <v>121.80000000000001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500</v>
      </c>
      <c r="Y549" s="55">
        <f>IFERROR(IF(X549="",0,CEILING((X549/$H549),1)*$H549),"")</f>
        <v>504</v>
      </c>
      <c r="Z549" s="41">
        <f>IFERROR(IF(Y549=0,"",ROUNDUP(Y549/H549,0)*0.01898),"")</f>
        <v>1.06288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527.44444444444446</v>
      </c>
      <c r="BN549" s="78">
        <f>IFERROR(Y549*I549/H549,"0")</f>
        <v>531.66399999999999</v>
      </c>
      <c r="BO549" s="78">
        <f>IFERROR(1/J549*(X549/H549),"0")</f>
        <v>0.86805555555555558</v>
      </c>
      <c r="BP549" s="78">
        <f>IFERROR(1/J549*(Y549/H549),"0")</f>
        <v>0.875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55.555555555555557</v>
      </c>
      <c r="Y550" s="43">
        <f>IFERROR(Y549/H549,"0")</f>
        <v>56</v>
      </c>
      <c r="Z550" s="43">
        <f>IFERROR(IF(Z549="",0,Z549),"0")</f>
        <v>1.06288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500</v>
      </c>
      <c r="Y551" s="43">
        <f>IFERROR(SUM(Y549:Y549),"0")</f>
        <v>504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10820.6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10904.519999999999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11227.754322270319</v>
      </c>
      <c r="Y563" s="43">
        <f>IFERROR(SUM(BN22:BN559),"0")</f>
        <v>11315.175999999996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16</v>
      </c>
      <c r="Y564" s="44">
        <f>ROUNDUP(SUM(BP22:BP559),0)</f>
        <v>17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11627.754322270319</v>
      </c>
      <c r="Y565" s="43">
        <f>GrossWeightTotalR+PalletQtyTotalR*25</f>
        <v>11740.175999999996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1102.5267769267771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1112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17.554089999999995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132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54</v>
      </c>
      <c r="F572" s="52">
        <f>IFERROR(Y85*1,"0")+IFERROR(Y86*1,"0")+IFERROR(Y87*1,"0")+IFERROR(Y88*1,"0")+IFERROR(Y89*1,"0")+IFERROR(Y90*1,"0")+IFERROR(Y94*1,"0")+IFERROR(Y95*1,"0")+IFERROR(Y96*1,"0")+IFERROR(Y97*1,"0")</f>
        <v>99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135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21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535.20000000000005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290.39999999999998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8133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406.8</v>
      </c>
      <c r="AA572" s="52">
        <f>IFERROR(Y496*1,"0")+IFERROR(Y500*1,"0")+IFERROR(Y501*1,"0")+IFERROR(Y502*1,"0")</f>
        <v>372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100.32000000000001</v>
      </c>
      <c r="AC572" s="52">
        <f>IFERROR(Y537*1,"0")+IFERROR(Y541*1,"0")+IFERROR(Y545*1,"0")+IFERROR(Y549*1,"0")+IFERROR(Y553*1,"0")+IFERROR(Y554*1,"0")</f>
        <v>625.79999999999995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2,53"/>
        <filter val="10 820,60"/>
        <filter val="10,00"/>
        <filter val="100,00"/>
        <filter val="11 227,75"/>
        <filter val="11 627,75"/>
        <filter val="11,11"/>
        <filter val="120,00"/>
        <filter val="124,00"/>
        <filter val="127,00"/>
        <filter val="14,23"/>
        <filter val="15,26"/>
        <filter val="150,00"/>
        <filter val="16"/>
        <filter val="160,00"/>
        <filter val="18,94"/>
        <filter val="19,05"/>
        <filter val="192,00"/>
        <filter val="2 000,00"/>
        <filter val="2 500,00"/>
        <filter val="200,00"/>
        <filter val="21,00"/>
        <filter val="24,00"/>
        <filter val="25,18"/>
        <filter val="250,00"/>
        <filter val="27,00"/>
        <filter val="27,78"/>
        <filter val="28,57"/>
        <filter val="29,40"/>
        <filter val="3 500,00"/>
        <filter val="350,00"/>
        <filter val="371,00"/>
        <filter val="384,00"/>
        <filter val="4,63"/>
        <filter val="400,40"/>
        <filter val="43,20"/>
        <filter val="50,00"/>
        <filter val="500,00"/>
        <filter val="533,33"/>
        <filter val="55,56"/>
        <filter val="74,81"/>
        <filter val="8 000,00"/>
        <filter val="80,00"/>
        <filter val="88,81"/>
        <filter val="93,20"/>
        <filter val="96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2026-10-29T08:13:13Z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