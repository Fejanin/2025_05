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99121A-892F-4F28-A14A-248928F00DD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P519" i="2"/>
  <c r="X517" i="2"/>
  <c r="X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P496" i="2"/>
  <c r="X493" i="2"/>
  <c r="X492" i="2"/>
  <c r="BO491" i="2"/>
  <c r="BM491" i="2"/>
  <c r="Y491" i="2"/>
  <c r="Y493" i="2" s="1"/>
  <c r="P491" i="2"/>
  <c r="X489" i="2"/>
  <c r="X488" i="2"/>
  <c r="BO487" i="2"/>
  <c r="BM487" i="2"/>
  <c r="Y487" i="2"/>
  <c r="BN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BP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7" i="2" s="1"/>
  <c r="P465" i="2"/>
  <c r="X462" i="2"/>
  <c r="X461" i="2"/>
  <c r="BO460" i="2"/>
  <c r="BM460" i="2"/>
  <c r="Y460" i="2"/>
  <c r="P460" i="2"/>
  <c r="BO459" i="2"/>
  <c r="BM459" i="2"/>
  <c r="Y459" i="2"/>
  <c r="Z459" i="2" s="1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BN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N440" i="2" s="1"/>
  <c r="P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BN422" i="2" s="1"/>
  <c r="P422" i="2"/>
  <c r="BO421" i="2"/>
  <c r="BM421" i="2"/>
  <c r="Y421" i="2"/>
  <c r="BN421" i="2" s="1"/>
  <c r="P421" i="2"/>
  <c r="BO420" i="2"/>
  <c r="BM420" i="2"/>
  <c r="Y420" i="2"/>
  <c r="BN420" i="2" s="1"/>
  <c r="P420" i="2"/>
  <c r="X417" i="2"/>
  <c r="X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Y417" i="2" s="1"/>
  <c r="P413" i="2"/>
  <c r="X411" i="2"/>
  <c r="X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Y398" i="2" s="1"/>
  <c r="P394" i="2"/>
  <c r="X392" i="2"/>
  <c r="X391" i="2"/>
  <c r="BO390" i="2"/>
  <c r="BM390" i="2"/>
  <c r="Y390" i="2"/>
  <c r="BP390" i="2" s="1"/>
  <c r="P390" i="2"/>
  <c r="BO389" i="2"/>
  <c r="BM389" i="2"/>
  <c r="Y389" i="2"/>
  <c r="BN389" i="2" s="1"/>
  <c r="P389" i="2"/>
  <c r="BO388" i="2"/>
  <c r="BM388" i="2"/>
  <c r="Y388" i="2"/>
  <c r="BN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Y364" i="2" s="1"/>
  <c r="P360" i="2"/>
  <c r="X357" i="2"/>
  <c r="X356" i="2"/>
  <c r="BO355" i="2"/>
  <c r="BM355" i="2"/>
  <c r="Y355" i="2"/>
  <c r="Z355" i="2" s="1"/>
  <c r="Z356" i="2" s="1"/>
  <c r="P355" i="2"/>
  <c r="X353" i="2"/>
  <c r="X352" i="2"/>
  <c r="BO351" i="2"/>
  <c r="BM351" i="2"/>
  <c r="Y351" i="2"/>
  <c r="BN351" i="2" s="1"/>
  <c r="P351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BO321" i="2"/>
  <c r="BM321" i="2"/>
  <c r="Y321" i="2"/>
  <c r="Z321" i="2" s="1"/>
  <c r="P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Z318" i="2" s="1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BP261" i="2" s="1"/>
  <c r="P261" i="2"/>
  <c r="BO260" i="2"/>
  <c r="BM260" i="2"/>
  <c r="Y260" i="2"/>
  <c r="P260" i="2"/>
  <c r="X258" i="2"/>
  <c r="X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Y211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X163" i="2"/>
  <c r="X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X143" i="2"/>
  <c r="X142" i="2"/>
  <c r="BO141" i="2"/>
  <c r="BM141" i="2"/>
  <c r="Y141" i="2"/>
  <c r="BN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X127" i="2"/>
  <c r="X126" i="2"/>
  <c r="BO125" i="2"/>
  <c r="BM125" i="2"/>
  <c r="Y125" i="2"/>
  <c r="Y127" i="2" s="1"/>
  <c r="P125" i="2"/>
  <c r="X123" i="2"/>
  <c r="X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X116" i="2"/>
  <c r="X115" i="2"/>
  <c r="BO114" i="2"/>
  <c r="BM114" i="2"/>
  <c r="Y114" i="2"/>
  <c r="Z114" i="2" s="1"/>
  <c r="P114" i="2"/>
  <c r="BO113" i="2"/>
  <c r="BM113" i="2"/>
  <c r="Y113" i="2"/>
  <c r="BP113" i="2" s="1"/>
  <c r="P113" i="2"/>
  <c r="BO112" i="2"/>
  <c r="BM112" i="2"/>
  <c r="Y112" i="2"/>
  <c r="Y115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N103" i="2" s="1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Y71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BP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457" i="2" l="1"/>
  <c r="Z210" i="2"/>
  <c r="Z211" i="2" s="1"/>
  <c r="BN210" i="2"/>
  <c r="BP210" i="2"/>
  <c r="Z297" i="2"/>
  <c r="Z415" i="2"/>
  <c r="BN415" i="2"/>
  <c r="BP545" i="2"/>
  <c r="Y546" i="2"/>
  <c r="Z148" i="2"/>
  <c r="BN148" i="2"/>
  <c r="Z231" i="2"/>
  <c r="BN231" i="2"/>
  <c r="Z272" i="2"/>
  <c r="BN272" i="2"/>
  <c r="Z370" i="2"/>
  <c r="BN370" i="2"/>
  <c r="BP487" i="2"/>
  <c r="BP96" i="2"/>
  <c r="Z173" i="2"/>
  <c r="Z218" i="2"/>
  <c r="Z244" i="2"/>
  <c r="Z245" i="2" s="1"/>
  <c r="BN244" i="2"/>
  <c r="BP278" i="2"/>
  <c r="Z320" i="2"/>
  <c r="BN320" i="2"/>
  <c r="BP321" i="2"/>
  <c r="Z380" i="2"/>
  <c r="BN380" i="2"/>
  <c r="BP470" i="2"/>
  <c r="Y43" i="2"/>
  <c r="Y63" i="2"/>
  <c r="X566" i="2"/>
  <c r="Z47" i="2"/>
  <c r="Z80" i="2"/>
  <c r="BN80" i="2"/>
  <c r="BP86" i="2"/>
  <c r="Z102" i="2"/>
  <c r="BP125" i="2"/>
  <c r="Z165" i="2"/>
  <c r="BN165" i="2"/>
  <c r="Y181" i="2"/>
  <c r="Z176" i="2"/>
  <c r="BN176" i="2"/>
  <c r="Y212" i="2"/>
  <c r="Z221" i="2"/>
  <c r="BN221" i="2"/>
  <c r="Z275" i="2"/>
  <c r="BP287" i="2"/>
  <c r="BP311" i="2"/>
  <c r="Z331" i="2"/>
  <c r="BN331" i="2"/>
  <c r="BP332" i="2"/>
  <c r="Y352" i="2"/>
  <c r="Z377" i="2"/>
  <c r="BP401" i="2"/>
  <c r="BP475" i="2"/>
  <c r="Z510" i="2"/>
  <c r="BN510" i="2"/>
  <c r="BP512" i="2"/>
  <c r="BN41" i="2"/>
  <c r="BN59" i="2"/>
  <c r="BN97" i="2"/>
  <c r="BN112" i="2"/>
  <c r="BN118" i="2"/>
  <c r="BN204" i="2"/>
  <c r="BN225" i="2"/>
  <c r="Y236" i="2"/>
  <c r="BN295" i="2"/>
  <c r="BN318" i="2"/>
  <c r="BN345" i="2"/>
  <c r="Z390" i="2"/>
  <c r="BN390" i="2"/>
  <c r="BP396" i="2"/>
  <c r="BN407" i="2"/>
  <c r="Z409" i="2"/>
  <c r="BN409" i="2"/>
  <c r="Y431" i="2"/>
  <c r="BN439" i="2"/>
  <c r="BN485" i="2"/>
  <c r="BN491" i="2"/>
  <c r="BN520" i="2"/>
  <c r="BN526" i="2"/>
  <c r="BN530" i="2"/>
  <c r="BN23" i="2"/>
  <c r="Z25" i="2"/>
  <c r="BN37" i="2"/>
  <c r="Y52" i="2"/>
  <c r="BN55" i="2"/>
  <c r="BN60" i="2"/>
  <c r="Z68" i="2"/>
  <c r="BN74" i="2"/>
  <c r="Z78" i="2"/>
  <c r="BN78" i="2"/>
  <c r="Z89" i="2"/>
  <c r="BN89" i="2"/>
  <c r="Y99" i="2"/>
  <c r="BN104" i="2"/>
  <c r="BN113" i="2"/>
  <c r="BP130" i="2"/>
  <c r="Z146" i="2"/>
  <c r="BN146" i="2"/>
  <c r="BP153" i="2"/>
  <c r="J572" i="2"/>
  <c r="Y167" i="2"/>
  <c r="Z171" i="2"/>
  <c r="BN171" i="2"/>
  <c r="Z185" i="2"/>
  <c r="BN185" i="2"/>
  <c r="K572" i="2"/>
  <c r="Z216" i="2"/>
  <c r="BN216" i="2"/>
  <c r="BN226" i="2"/>
  <c r="Z230" i="2"/>
  <c r="BN249" i="2"/>
  <c r="BN264" i="2"/>
  <c r="Z266" i="2"/>
  <c r="Z276" i="2"/>
  <c r="Z280" i="2"/>
  <c r="BN280" i="2"/>
  <c r="BP306" i="2"/>
  <c r="Z324" i="2"/>
  <c r="BN324" i="2"/>
  <c r="Z325" i="2"/>
  <c r="BP395" i="2"/>
  <c r="BP400" i="2"/>
  <c r="Z420" i="2"/>
  <c r="BN423" i="2"/>
  <c r="Z428" i="2"/>
  <c r="BN428" i="2"/>
  <c r="BN429" i="2"/>
  <c r="BP436" i="2"/>
  <c r="BN483" i="2"/>
  <c r="Y492" i="2"/>
  <c r="X563" i="2"/>
  <c r="Z23" i="2"/>
  <c r="BP25" i="2"/>
  <c r="BN26" i="2"/>
  <c r="Y28" i="2"/>
  <c r="BP37" i="2"/>
  <c r="Z41" i="2"/>
  <c r="D572" i="2"/>
  <c r="BN48" i="2"/>
  <c r="Z55" i="2"/>
  <c r="BN68" i="2"/>
  <c r="BN73" i="2"/>
  <c r="Z74" i="2"/>
  <c r="Y82" i="2"/>
  <c r="Z79" i="2"/>
  <c r="BP104" i="2"/>
  <c r="Z108" i="2"/>
  <c r="Z112" i="2"/>
  <c r="BN114" i="2"/>
  <c r="Z118" i="2"/>
  <c r="Y138" i="2"/>
  <c r="BN161" i="2"/>
  <c r="Y162" i="2"/>
  <c r="Y168" i="2"/>
  <c r="BN184" i="2"/>
  <c r="BN193" i="2"/>
  <c r="Y194" i="2"/>
  <c r="Z205" i="2"/>
  <c r="BN205" i="2"/>
  <c r="BP219" i="2"/>
  <c r="BN219" i="2"/>
  <c r="BP220" i="2"/>
  <c r="Z220" i="2"/>
  <c r="BP224" i="2"/>
  <c r="BP234" i="2"/>
  <c r="Z234" i="2"/>
  <c r="Y242" i="2"/>
  <c r="BN239" i="2"/>
  <c r="BP240" i="2"/>
  <c r="Z240" i="2"/>
  <c r="BP249" i="2"/>
  <c r="BP255" i="2"/>
  <c r="Z255" i="2"/>
  <c r="Z257" i="2" s="1"/>
  <c r="BP263" i="2"/>
  <c r="BN263" i="2"/>
  <c r="BP264" i="2"/>
  <c r="BN273" i="2"/>
  <c r="BP313" i="2"/>
  <c r="BN313" i="2"/>
  <c r="BP338" i="2"/>
  <c r="Z338" i="2"/>
  <c r="BP403" i="2"/>
  <c r="BN403" i="2"/>
  <c r="BP441" i="2"/>
  <c r="Y450" i="2"/>
  <c r="Y451" i="2"/>
  <c r="BP454" i="2"/>
  <c r="Z454" i="2"/>
  <c r="Z486" i="2"/>
  <c r="BN486" i="2"/>
  <c r="AA572" i="2"/>
  <c r="Y497" i="2"/>
  <c r="Z496" i="2"/>
  <c r="Z497" i="2" s="1"/>
  <c r="Y517" i="2"/>
  <c r="BN508" i="2"/>
  <c r="BP519" i="2"/>
  <c r="BN519" i="2"/>
  <c r="Y522" i="2"/>
  <c r="Y523" i="2"/>
  <c r="X564" i="2"/>
  <c r="BN31" i="2"/>
  <c r="Y32" i="2"/>
  <c r="BP40" i="2"/>
  <c r="BN49" i="2"/>
  <c r="Y51" i="2"/>
  <c r="BN58" i="2"/>
  <c r="BP60" i="2"/>
  <c r="BN69" i="2"/>
  <c r="Z81" i="2"/>
  <c r="Y92" i="2"/>
  <c r="BN87" i="2"/>
  <c r="Z90" i="2"/>
  <c r="Z97" i="2"/>
  <c r="Y110" i="2"/>
  <c r="BP107" i="2"/>
  <c r="BN119" i="2"/>
  <c r="Y122" i="2"/>
  <c r="Z131" i="2"/>
  <c r="Z132" i="2" s="1"/>
  <c r="BP131" i="2"/>
  <c r="BN135" i="2"/>
  <c r="Z141" i="2"/>
  <c r="BP141" i="2"/>
  <c r="I572" i="2"/>
  <c r="Z147" i="2"/>
  <c r="BN159" i="2"/>
  <c r="BN166" i="2"/>
  <c r="BP172" i="2"/>
  <c r="Y182" i="2"/>
  <c r="BN175" i="2"/>
  <c r="Z179" i="2"/>
  <c r="BP179" i="2"/>
  <c r="BN180" i="2"/>
  <c r="Z189" i="2"/>
  <c r="Z190" i="2" s="1"/>
  <c r="BP189" i="2"/>
  <c r="Z199" i="2"/>
  <c r="BP199" i="2"/>
  <c r="Z203" i="2"/>
  <c r="BP203" i="2"/>
  <c r="BP217" i="2"/>
  <c r="Z224" i="2"/>
  <c r="BP251" i="2"/>
  <c r="Z251" i="2"/>
  <c r="BP277" i="2"/>
  <c r="BP293" i="2"/>
  <c r="Z293" i="2"/>
  <c r="Z296" i="2"/>
  <c r="BP298" i="2"/>
  <c r="BP310" i="2"/>
  <c r="Z313" i="2"/>
  <c r="Y327" i="2"/>
  <c r="Z319" i="2"/>
  <c r="BP339" i="2"/>
  <c r="BN339" i="2"/>
  <c r="BP340" i="2"/>
  <c r="Y348" i="2"/>
  <c r="BP344" i="2"/>
  <c r="Z344" i="2"/>
  <c r="Y347" i="2"/>
  <c r="BP369" i="2"/>
  <c r="BP389" i="2"/>
  <c r="Z403" i="2"/>
  <c r="Y410" i="2"/>
  <c r="Z408" i="2"/>
  <c r="BP422" i="2"/>
  <c r="BN437" i="2"/>
  <c r="BP437" i="2"/>
  <c r="BN438" i="2"/>
  <c r="Z438" i="2"/>
  <c r="Z441" i="2"/>
  <c r="Z449" i="2"/>
  <c r="BN449" i="2"/>
  <c r="BP460" i="2"/>
  <c r="BN460" i="2"/>
  <c r="Z474" i="2"/>
  <c r="BN474" i="2"/>
  <c r="BP502" i="2"/>
  <c r="BN502" i="2"/>
  <c r="BP514" i="2"/>
  <c r="BN514" i="2"/>
  <c r="Z519" i="2"/>
  <c r="Z531" i="2"/>
  <c r="BP531" i="2"/>
  <c r="H9" i="2"/>
  <c r="BP24" i="2"/>
  <c r="BP114" i="2"/>
  <c r="Y123" i="2"/>
  <c r="BP161" i="2"/>
  <c r="BP193" i="2"/>
  <c r="Y195" i="2"/>
  <c r="BP214" i="2"/>
  <c r="BN214" i="2"/>
  <c r="Y252" i="2"/>
  <c r="Z250" i="2"/>
  <c r="Y253" i="2"/>
  <c r="BP286" i="2"/>
  <c r="Z286" i="2"/>
  <c r="Z288" i="2" s="1"/>
  <c r="BP294" i="2"/>
  <c r="BN294" i="2"/>
  <c r="BP295" i="2"/>
  <c r="BN338" i="2"/>
  <c r="BP362" i="2"/>
  <c r="BP367" i="2"/>
  <c r="Z369" i="2"/>
  <c r="Y375" i="2"/>
  <c r="BP373" i="2"/>
  <c r="Z373" i="2"/>
  <c r="Y384" i="2"/>
  <c r="BN378" i="2"/>
  <c r="BP379" i="2"/>
  <c r="Z379" i="2"/>
  <c r="Y385" i="2"/>
  <c r="BP383" i="2"/>
  <c r="BP387" i="2"/>
  <c r="Z389" i="2"/>
  <c r="Y391" i="2"/>
  <c r="Z394" i="2"/>
  <c r="BP420" i="2"/>
  <c r="Z422" i="2"/>
  <c r="BN454" i="2"/>
  <c r="Z455" i="2"/>
  <c r="Z460" i="2"/>
  <c r="Z461" i="2" s="1"/>
  <c r="Y498" i="2"/>
  <c r="Z502" i="2"/>
  <c r="Z514" i="2"/>
  <c r="Z521" i="2"/>
  <c r="BN521" i="2"/>
  <c r="J9" i="2"/>
  <c r="Z22" i="2"/>
  <c r="Z24" i="2"/>
  <c r="X562" i="2"/>
  <c r="Z31" i="2"/>
  <c r="BP49" i="2"/>
  <c r="E572" i="2"/>
  <c r="Z58" i="2"/>
  <c r="Z87" i="2"/>
  <c r="Y109" i="2"/>
  <c r="BP108" i="2"/>
  <c r="Y116" i="2"/>
  <c r="Z119" i="2"/>
  <c r="Y132" i="2"/>
  <c r="Z135" i="2"/>
  <c r="Y143" i="2"/>
  <c r="BP149" i="2"/>
  <c r="Z159" i="2"/>
  <c r="BN160" i="2"/>
  <c r="Z166" i="2"/>
  <c r="Z167" i="2" s="1"/>
  <c r="Z170" i="2"/>
  <c r="BP173" i="2"/>
  <c r="Z175" i="2"/>
  <c r="BN189" i="2"/>
  <c r="BN199" i="2"/>
  <c r="BP200" i="2"/>
  <c r="Z200" i="2"/>
  <c r="BP205" i="2"/>
  <c r="Z214" i="2"/>
  <c r="BP215" i="2"/>
  <c r="Z215" i="2"/>
  <c r="BP226" i="2"/>
  <c r="BP230" i="2"/>
  <c r="Y269" i="2"/>
  <c r="BP262" i="2"/>
  <c r="Z262" i="2"/>
  <c r="Z265" i="2"/>
  <c r="BP267" i="2"/>
  <c r="Z274" i="2"/>
  <c r="BN274" i="2"/>
  <c r="Z281" i="2"/>
  <c r="BN282" i="2"/>
  <c r="Z282" i="2"/>
  <c r="BN293" i="2"/>
  <c r="BP318" i="2"/>
  <c r="BP322" i="2"/>
  <c r="Z330" i="2"/>
  <c r="Z333" i="2" s="1"/>
  <c r="BN340" i="2"/>
  <c r="BN344" i="2"/>
  <c r="Z345" i="2"/>
  <c r="S572" i="2"/>
  <c r="BP351" i="2"/>
  <c r="Z351" i="2"/>
  <c r="Z352" i="2" s="1"/>
  <c r="Y356" i="2"/>
  <c r="BN355" i="2"/>
  <c r="Z362" i="2"/>
  <c r="Z367" i="2"/>
  <c r="Z383" i="2"/>
  <c r="Z387" i="2"/>
  <c r="BP407" i="2"/>
  <c r="Y424" i="2"/>
  <c r="BP440" i="2"/>
  <c r="Z440" i="2"/>
  <c r="BP447" i="2"/>
  <c r="BP484" i="2"/>
  <c r="Z484" i="2"/>
  <c r="BP486" i="2"/>
  <c r="BP496" i="2"/>
  <c r="BP508" i="2"/>
  <c r="Z511" i="2"/>
  <c r="BN511" i="2"/>
  <c r="BP529" i="2"/>
  <c r="BN529" i="2"/>
  <c r="Y425" i="2"/>
  <c r="BP421" i="2"/>
  <c r="BP423" i="2"/>
  <c r="BP448" i="2"/>
  <c r="Y489" i="2"/>
  <c r="Y516" i="2"/>
  <c r="BP526" i="2"/>
  <c r="BP218" i="2"/>
  <c r="Y241" i="2"/>
  <c r="BP238" i="2"/>
  <c r="Y257" i="2"/>
  <c r="Y374" i="2"/>
  <c r="BP377" i="2"/>
  <c r="Y392" i="2"/>
  <c r="Y432" i="2"/>
  <c r="Z429" i="2"/>
  <c r="BP439" i="2"/>
  <c r="Z448" i="2"/>
  <c r="Y461" i="2"/>
  <c r="BP483" i="2"/>
  <c r="Z485" i="2"/>
  <c r="Y488" i="2"/>
  <c r="Z491" i="2"/>
  <c r="Z492" i="2" s="1"/>
  <c r="BP491" i="2"/>
  <c r="Y504" i="2"/>
  <c r="Z509" i="2"/>
  <c r="Z520" i="2"/>
  <c r="Z530" i="2"/>
  <c r="AC572" i="2"/>
  <c r="F9" i="2"/>
  <c r="Z26" i="2"/>
  <c r="BN40" i="2"/>
  <c r="Y64" i="2"/>
  <c r="Z73" i="2"/>
  <c r="Z75" i="2" s="1"/>
  <c r="BN86" i="2"/>
  <c r="BN96" i="2"/>
  <c r="BN107" i="2"/>
  <c r="BN130" i="2"/>
  <c r="Z140" i="2"/>
  <c r="BN153" i="2"/>
  <c r="Z174" i="2"/>
  <c r="Z184" i="2"/>
  <c r="Z219" i="2"/>
  <c r="Z239" i="2"/>
  <c r="Y258" i="2"/>
  <c r="BN267" i="2"/>
  <c r="BN277" i="2"/>
  <c r="BN287" i="2"/>
  <c r="BN298" i="2"/>
  <c r="BN310" i="2"/>
  <c r="BN321" i="2"/>
  <c r="BN332" i="2"/>
  <c r="Y357" i="2"/>
  <c r="Z368" i="2"/>
  <c r="Z378" i="2"/>
  <c r="Z388" i="2"/>
  <c r="BN400" i="2"/>
  <c r="Y411" i="2"/>
  <c r="Z421" i="2"/>
  <c r="Y462" i="2"/>
  <c r="Y477" i="2"/>
  <c r="BN531" i="2"/>
  <c r="BN545" i="2"/>
  <c r="L572" i="2"/>
  <c r="Y206" i="2"/>
  <c r="Y227" i="2"/>
  <c r="Y304" i="2"/>
  <c r="Y341" i="2"/>
  <c r="Y445" i="2"/>
  <c r="Y468" i="2"/>
  <c r="Y539" i="2"/>
  <c r="Y551" i="2"/>
  <c r="M572" i="2"/>
  <c r="Z94" i="2"/>
  <c r="Y556" i="2"/>
  <c r="O572" i="2"/>
  <c r="Z38" i="2"/>
  <c r="Z50" i="2"/>
  <c r="Z105" i="2"/>
  <c r="A10" i="2"/>
  <c r="BP47" i="2"/>
  <c r="Z56" i="2"/>
  <c r="Z66" i="2"/>
  <c r="Y81" i="2"/>
  <c r="BP102" i="2"/>
  <c r="BP112" i="2"/>
  <c r="Z120" i="2"/>
  <c r="BP135" i="2"/>
  <c r="Z177" i="2"/>
  <c r="Z201" i="2"/>
  <c r="Z222" i="2"/>
  <c r="Z232" i="2"/>
  <c r="Z260" i="2"/>
  <c r="Y283" i="2"/>
  <c r="Z346" i="2"/>
  <c r="Z360" i="2"/>
  <c r="Z371" i="2"/>
  <c r="Z381" i="2"/>
  <c r="Z413" i="2"/>
  <c r="Z430" i="2"/>
  <c r="Z442" i="2"/>
  <c r="Z465" i="2"/>
  <c r="Y478" i="2"/>
  <c r="P572" i="2"/>
  <c r="BN38" i="2"/>
  <c r="BN50" i="2"/>
  <c r="BN61" i="2"/>
  <c r="BP73" i="2"/>
  <c r="BN94" i="2"/>
  <c r="BN105" i="2"/>
  <c r="Z125" i="2"/>
  <c r="Z126" i="2" s="1"/>
  <c r="BP140" i="2"/>
  <c r="Z149" i="2"/>
  <c r="Y154" i="2"/>
  <c r="Y163" i="2"/>
  <c r="Z172" i="2"/>
  <c r="BP174" i="2"/>
  <c r="BP184" i="2"/>
  <c r="Y207" i="2"/>
  <c r="Z217" i="2"/>
  <c r="Y228" i="2"/>
  <c r="BP239" i="2"/>
  <c r="BN250" i="2"/>
  <c r="BN255" i="2"/>
  <c r="BN265" i="2"/>
  <c r="Y268" i="2"/>
  <c r="BN275" i="2"/>
  <c r="Y288" i="2"/>
  <c r="BN296" i="2"/>
  <c r="Y299" i="2"/>
  <c r="Z306" i="2"/>
  <c r="Z307" i="2" s="1"/>
  <c r="BN319" i="2"/>
  <c r="BN330" i="2"/>
  <c r="Y333" i="2"/>
  <c r="Y342" i="2"/>
  <c r="BP368" i="2"/>
  <c r="BP378" i="2"/>
  <c r="BP388" i="2"/>
  <c r="Z396" i="2"/>
  <c r="BN408" i="2"/>
  <c r="Z437" i="2"/>
  <c r="Z447" i="2"/>
  <c r="BN459" i="2"/>
  <c r="Z470" i="2"/>
  <c r="Z471" i="2" s="1"/>
  <c r="BN484" i="2"/>
  <c r="BN509" i="2"/>
  <c r="Y532" i="2"/>
  <c r="Z541" i="2"/>
  <c r="Z542" i="2" s="1"/>
  <c r="Z553" i="2"/>
  <c r="Q572" i="2"/>
  <c r="BN56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R572" i="2"/>
  <c r="Z61" i="2"/>
  <c r="BN66" i="2"/>
  <c r="BN120" i="2"/>
  <c r="BN177" i="2"/>
  <c r="Y27" i="2"/>
  <c r="BP38" i="2"/>
  <c r="Z48" i="2"/>
  <c r="BP50" i="2"/>
  <c r="Z59" i="2"/>
  <c r="Z69" i="2"/>
  <c r="BP94" i="2"/>
  <c r="Z103" i="2"/>
  <c r="Z113" i="2"/>
  <c r="BN125" i="2"/>
  <c r="Z136" i="2"/>
  <c r="Z137" i="2" s="1"/>
  <c r="Z160" i="2"/>
  <c r="Z180" i="2"/>
  <c r="Z204" i="2"/>
  <c r="Z225" i="2"/>
  <c r="BP250" i="2"/>
  <c r="Z263" i="2"/>
  <c r="Z273" i="2"/>
  <c r="Y284" i="2"/>
  <c r="Z294" i="2"/>
  <c r="BN306" i="2"/>
  <c r="BP319" i="2"/>
  <c r="BP330" i="2"/>
  <c r="Z339" i="2"/>
  <c r="Y353" i="2"/>
  <c r="BP408" i="2"/>
  <c r="BN447" i="2"/>
  <c r="BP459" i="2"/>
  <c r="BN470" i="2"/>
  <c r="Z482" i="2"/>
  <c r="BP509" i="2"/>
  <c r="Z527" i="2"/>
  <c r="BN541" i="2"/>
  <c r="BN553" i="2"/>
  <c r="BP56" i="2"/>
  <c r="BP66" i="2"/>
  <c r="BP120" i="2"/>
  <c r="Y155" i="2"/>
  <c r="Y190" i="2"/>
  <c r="BP232" i="2"/>
  <c r="Y245" i="2"/>
  <c r="BP260" i="2"/>
  <c r="Y289" i="2"/>
  <c r="Y300" i="2"/>
  <c r="Y314" i="2"/>
  <c r="BP346" i="2"/>
  <c r="BP360" i="2"/>
  <c r="BP371" i="2"/>
  <c r="BP381" i="2"/>
  <c r="Y404" i="2"/>
  <c r="BP413" i="2"/>
  <c r="BP430" i="2"/>
  <c r="BP465" i="2"/>
  <c r="BN500" i="2"/>
  <c r="Y503" i="2"/>
  <c r="Y533" i="2"/>
  <c r="Y547" i="2"/>
  <c r="BN559" i="2"/>
  <c r="T572" i="2"/>
  <c r="Z515" i="2"/>
  <c r="BN527" i="2"/>
  <c r="BP541" i="2"/>
  <c r="BP553" i="2"/>
  <c r="B572" i="2"/>
  <c r="U572" i="2"/>
  <c r="BP559" i="2"/>
  <c r="C572" i="2"/>
  <c r="V572" i="2"/>
  <c r="Z62" i="2"/>
  <c r="Z106" i="2"/>
  <c r="BN22" i="2"/>
  <c r="Y33" i="2"/>
  <c r="BP48" i="2"/>
  <c r="Z57" i="2"/>
  <c r="Z67" i="2"/>
  <c r="BN79" i="2"/>
  <c r="BN90" i="2"/>
  <c r="BP103" i="2"/>
  <c r="Z121" i="2"/>
  <c r="Y126" i="2"/>
  <c r="BP136" i="2"/>
  <c r="BN147" i="2"/>
  <c r="Y150" i="2"/>
  <c r="Z158" i="2"/>
  <c r="BN170" i="2"/>
  <c r="Z178" i="2"/>
  <c r="Z202" i="2"/>
  <c r="BN215" i="2"/>
  <c r="Z223" i="2"/>
  <c r="Z233" i="2"/>
  <c r="BN251" i="2"/>
  <c r="Z261" i="2"/>
  <c r="Z271" i="2"/>
  <c r="BN281" i="2"/>
  <c r="Z292" i="2"/>
  <c r="Z302" i="2"/>
  <c r="Z303" i="2" s="1"/>
  <c r="Y307" i="2"/>
  <c r="Y315" i="2"/>
  <c r="BN325" i="2"/>
  <c r="Z337" i="2"/>
  <c r="Z361" i="2"/>
  <c r="Z372" i="2"/>
  <c r="Z382" i="2"/>
  <c r="BN394" i="2"/>
  <c r="Y397" i="2"/>
  <c r="Y405" i="2"/>
  <c r="Z414" i="2"/>
  <c r="Z443" i="2"/>
  <c r="BN455" i="2"/>
  <c r="Z466" i="2"/>
  <c r="Y471" i="2"/>
  <c r="BP482" i="2"/>
  <c r="BN515" i="2"/>
  <c r="Z525" i="2"/>
  <c r="Z537" i="2"/>
  <c r="Z538" i="2" s="1"/>
  <c r="Y542" i="2"/>
  <c r="Z549" i="2"/>
  <c r="Z550" i="2" s="1"/>
  <c r="W572" i="2"/>
  <c r="Z95" i="2"/>
  <c r="BN39" i="2"/>
  <c r="BN62" i="2"/>
  <c r="BN85" i="2"/>
  <c r="Y98" i="2"/>
  <c r="Z554" i="2"/>
  <c r="Y560" i="2"/>
  <c r="X572" i="2"/>
  <c r="Z85" i="2"/>
  <c r="Y42" i="2"/>
  <c r="BN95" i="2"/>
  <c r="BN106" i="2"/>
  <c r="BN256" i="2"/>
  <c r="BN286" i="2"/>
  <c r="Z30" i="2"/>
  <c r="Z32" i="2" s="1"/>
  <c r="BN57" i="2"/>
  <c r="BN67" i="2"/>
  <c r="Y70" i="2"/>
  <c r="Z88" i="2"/>
  <c r="BN121" i="2"/>
  <c r="BN158" i="2"/>
  <c r="BP170" i="2"/>
  <c r="BN178" i="2"/>
  <c r="BN202" i="2"/>
  <c r="BN223" i="2"/>
  <c r="BN233" i="2"/>
  <c r="BN261" i="2"/>
  <c r="BN271" i="2"/>
  <c r="Z279" i="2"/>
  <c r="BN292" i="2"/>
  <c r="BN302" i="2"/>
  <c r="Z312" i="2"/>
  <c r="Z323" i="2"/>
  <c r="BN337" i="2"/>
  <c r="BN361" i="2"/>
  <c r="BN372" i="2"/>
  <c r="BN382" i="2"/>
  <c r="BP394" i="2"/>
  <c r="Z402" i="2"/>
  <c r="BN414" i="2"/>
  <c r="BN443" i="2"/>
  <c r="Z453" i="2"/>
  <c r="BN466" i="2"/>
  <c r="Z476" i="2"/>
  <c r="Z501" i="2"/>
  <c r="Z513" i="2"/>
  <c r="BN525" i="2"/>
  <c r="BN537" i="2"/>
  <c r="BN549" i="2"/>
  <c r="F572" i="2"/>
  <c r="Y572" i="2"/>
  <c r="Z39" i="2"/>
  <c r="BN266" i="2"/>
  <c r="BN276" i="2"/>
  <c r="BN297" i="2"/>
  <c r="Y75" i="2"/>
  <c r="BP85" i="2"/>
  <c r="Y142" i="2"/>
  <c r="Y151" i="2"/>
  <c r="Y186" i="2"/>
  <c r="BN238" i="2"/>
  <c r="BP256" i="2"/>
  <c r="BP355" i="2"/>
  <c r="BN496" i="2"/>
  <c r="Z508" i="2"/>
  <c r="Z528" i="2"/>
  <c r="BN554" i="2"/>
  <c r="G572" i="2"/>
  <c r="Z572" i="2"/>
  <c r="BN30" i="2"/>
  <c r="BN88" i="2"/>
  <c r="Y91" i="2"/>
  <c r="Y133" i="2"/>
  <c r="BP158" i="2"/>
  <c r="BN279" i="2"/>
  <c r="BP302" i="2"/>
  <c r="BN312" i="2"/>
  <c r="BN323" i="2"/>
  <c r="Y326" i="2"/>
  <c r="BN402" i="2"/>
  <c r="BN453" i="2"/>
  <c r="Y456" i="2"/>
  <c r="BN476" i="2"/>
  <c r="BN501" i="2"/>
  <c r="BN513" i="2"/>
  <c r="BP537" i="2"/>
  <c r="BP549" i="2"/>
  <c r="Y561" i="2"/>
  <c r="H572" i="2"/>
  <c r="Z395" i="2"/>
  <c r="Z436" i="2"/>
  <c r="BN528" i="2"/>
  <c r="AB572" i="2"/>
  <c r="Y444" i="2"/>
  <c r="BP453" i="2"/>
  <c r="Y538" i="2"/>
  <c r="Z410" i="2" l="1"/>
  <c r="Z522" i="2"/>
  <c r="Z488" i="2"/>
  <c r="Z424" i="2"/>
  <c r="Z142" i="2"/>
  <c r="X565" i="2"/>
  <c r="Z115" i="2"/>
  <c r="Z450" i="2"/>
  <c r="Z431" i="2"/>
  <c r="Z391" i="2"/>
  <c r="Z241" i="2"/>
  <c r="Z186" i="2"/>
  <c r="Z252" i="2"/>
  <c r="Z326" i="2"/>
  <c r="Z162" i="2"/>
  <c r="Z347" i="2"/>
  <c r="Z122" i="2"/>
  <c r="Z384" i="2"/>
  <c r="Z27" i="2"/>
  <c r="Z374" i="2"/>
  <c r="Z397" i="2"/>
  <c r="Z456" i="2"/>
  <c r="Z341" i="2"/>
  <c r="Y562" i="2"/>
  <c r="Z109" i="2"/>
  <c r="Z555" i="2"/>
  <c r="Z150" i="2"/>
  <c r="Z42" i="2"/>
  <c r="Z181" i="2"/>
  <c r="Y564" i="2"/>
  <c r="Z314" i="2"/>
  <c r="Z283" i="2"/>
  <c r="Z404" i="2"/>
  <c r="Z98" i="2"/>
  <c r="Z516" i="2"/>
  <c r="Z91" i="2"/>
  <c r="Z299" i="2"/>
  <c r="Z51" i="2"/>
  <c r="Z477" i="2"/>
  <c r="Z227" i="2"/>
  <c r="Z363" i="2"/>
  <c r="Z235" i="2"/>
  <c r="Z268" i="2"/>
  <c r="Z206" i="2"/>
  <c r="Y563" i="2"/>
  <c r="Y566" i="2"/>
  <c r="Z444" i="2"/>
  <c r="Z503" i="2"/>
  <c r="Z467" i="2"/>
  <c r="Z70" i="2"/>
  <c r="Z63" i="2"/>
  <c r="Z416" i="2"/>
  <c r="Z532" i="2"/>
  <c r="Z567" i="2" l="1"/>
  <c r="Y565" i="2"/>
</calcChain>
</file>

<file path=xl/sharedStrings.xml><?xml version="1.0" encoding="utf-8"?>
<sst xmlns="http://schemas.openxmlformats.org/spreadsheetml/2006/main" count="4280" uniqueCount="915">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</sst>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46328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19.2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20.112000000000002</v>
      </c>
      <c r="BN49" s="78">
        <f>IFERROR(Y49*I49/H49,"0")</f>
        <v>20.950000000000003</v>
      </c>
      <c r="BO49" s="78">
        <f>IFERROR(1/J49*(X49/H49),"0")</f>
        <v>3.6363636363636362E-2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9.4296296296296305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0.14000000000000001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69.2</v>
      </c>
      <c r="Y52" s="43">
        <f>IFERROR(SUM(Y47:Y50),"0")</f>
        <v>74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70</v>
      </c>
      <c r="Y85" s="55">
        <f t="shared" ref="Y85:Y90" si="5"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72.657407407407405</v>
      </c>
      <c r="BN85" s="78">
        <f t="shared" ref="BN85:BN90" si="7">IFERROR(Y85*I85/H85,"0")</f>
        <v>78.47</v>
      </c>
      <c r="BO85" s="78">
        <f t="shared" ref="BO85:BO90" si="8">IFERROR(1/J85*(X85/H85),"0")</f>
        <v>0.10127314814814814</v>
      </c>
      <c r="BP85" s="78">
        <f t="shared" ref="BP85:BP90" si="9">IFERROR(1/J85*(Y85/H85),"0")</f>
        <v>0.109375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21.6</v>
      </c>
      <c r="Y90" s="55">
        <f t="shared" si="5"/>
        <v>22.5</v>
      </c>
      <c r="Z90" s="41">
        <f>IFERROR(IF(Y90=0,"",ROUNDUP(Y90/H90,0)*0.00902),"")</f>
        <v>4.5100000000000001E-2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22.512000000000004</v>
      </c>
      <c r="BN90" s="78">
        <f t="shared" si="7"/>
        <v>23.450000000000003</v>
      </c>
      <c r="BO90" s="78">
        <f t="shared" si="8"/>
        <v>3.6363636363636369E-2</v>
      </c>
      <c r="BP90" s="78">
        <f t="shared" si="9"/>
        <v>3.787878787878788E-2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11.281481481481482</v>
      </c>
      <c r="Y91" s="43">
        <f>IFERROR(Y85/H85,"0")+IFERROR(Y86/H86,"0")+IFERROR(Y87/H87,"0")+IFERROR(Y88/H88,"0")+IFERROR(Y89/H89,"0")+IFERROR(Y90/H90,"0")</f>
        <v>12</v>
      </c>
      <c r="Z91" s="43">
        <f>IFERROR(IF(Z85="",0,Z85),"0")+IFERROR(IF(Z86="",0,Z86),"0")+IFERROR(IF(Z87="",0,Z87),"0")+IFERROR(IF(Z88="",0,Z88),"0")+IFERROR(IF(Z89="",0,Z89),"0")+IFERROR(IF(Z90="",0,Z90),"0")</f>
        <v>0.17796000000000001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91.6</v>
      </c>
      <c r="Y92" s="43">
        <f>IFERROR(SUM(Y85:Y90),"0")</f>
        <v>98.100000000000009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100</v>
      </c>
      <c r="Y102" s="55">
        <f t="shared" ref="Y102:Y108" si="10">IFERROR(IF(X102="",0,CEILING((X102/$H102),1)*$H102),"")</f>
        <v>108</v>
      </c>
      <c r="Z102" s="41">
        <f>IFERROR(IF(Y102=0,"",ROUNDUP(Y102/H102,0)*0.01898),"")</f>
        <v>0.1898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103.79629629629629</v>
      </c>
      <c r="BN102" s="78">
        <f t="shared" ref="BN102:BN108" si="12">IFERROR(Y102*I102/H102,"0")</f>
        <v>112.1</v>
      </c>
      <c r="BO102" s="78">
        <f t="shared" ref="BO102:BO108" si="13">IFERROR(1/J102*(X102/H102),"0")</f>
        <v>0.14467592592592593</v>
      </c>
      <c r="BP102" s="78">
        <f t="shared" ref="BP102:BP108" si="14">IFERROR(1/J102*(Y102/H102),"0")</f>
        <v>0.15625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21.6</v>
      </c>
      <c r="Y106" s="55">
        <f t="shared" si="10"/>
        <v>22.5</v>
      </c>
      <c r="Z106" s="41">
        <f>IFERROR(IF(Y106=0,"",ROUNDUP(Y106/H106,0)*0.00902),"")</f>
        <v>4.5100000000000001E-2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22.512000000000004</v>
      </c>
      <c r="BN106" s="78">
        <f t="shared" si="12"/>
        <v>23.450000000000003</v>
      </c>
      <c r="BO106" s="78">
        <f t="shared" si="13"/>
        <v>3.6363636363636369E-2</v>
      </c>
      <c r="BP106" s="78">
        <f t="shared" si="14"/>
        <v>3.787878787878788E-2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14.05925925925926</v>
      </c>
      <c r="Y109" s="43">
        <f>IFERROR(Y102/H102,"0")+IFERROR(Y103/H103,"0")+IFERROR(Y104/H104,"0")+IFERROR(Y105/H105,"0")+IFERROR(Y106/H106,"0")+IFERROR(Y107/H107,"0")+IFERROR(Y108/H108,"0")</f>
        <v>15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0.2349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121.6</v>
      </c>
      <c r="Y110" s="43">
        <f>IFERROR(SUM(Y102:Y108),"0")</f>
        <v>130.5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30</v>
      </c>
      <c r="Y118" s="55">
        <f>IFERROR(IF(X118="",0,CEILING((X118/$H118),1)*$H118),"")</f>
        <v>32.4</v>
      </c>
      <c r="Z118" s="41">
        <f>IFERROR(IF(Y118=0,"",ROUNDUP(Y118/H118,0)*0.01898),"")</f>
        <v>7.5920000000000001E-2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31.807407407407407</v>
      </c>
      <c r="BN118" s="78">
        <f>IFERROR(Y118*I118/H118,"0")</f>
        <v>34.351999999999997</v>
      </c>
      <c r="BO118" s="78">
        <f>IFERROR(1/J118*(X118/H118),"0")</f>
        <v>5.7870370370370371E-2</v>
      </c>
      <c r="BP118" s="78">
        <f>IFERROR(1/J118*(Y118/H118),"0")</f>
        <v>6.25E-2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54</v>
      </c>
      <c r="Y120" s="55">
        <f>IFERROR(IF(X120="",0,CEILING((X120/$H120),1)*$H120),"")</f>
        <v>54</v>
      </c>
      <c r="Z120" s="41">
        <f>IFERROR(IF(Y120=0,"",ROUNDUP(Y120/H120,0)*0.00651),"")</f>
        <v>0.13020000000000001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59.039999999999992</v>
      </c>
      <c r="BN120" s="78">
        <f>IFERROR(Y120*I120/H120,"0")</f>
        <v>59.039999999999992</v>
      </c>
      <c r="BO120" s="78">
        <f>IFERROR(1/J120*(X120/H120),"0")</f>
        <v>0.1098901098901099</v>
      </c>
      <c r="BP120" s="78">
        <f>IFERROR(1/J120*(Y120/H120),"0")</f>
        <v>0.1098901098901099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23.703703703703702</v>
      </c>
      <c r="Y122" s="43">
        <f>IFERROR(Y118/H118,"0")+IFERROR(Y119/H119,"0")+IFERROR(Y120/H120,"0")+IFERROR(Y121/H121,"0")</f>
        <v>24</v>
      </c>
      <c r="Z122" s="43">
        <f>IFERROR(IF(Z118="",0,Z118),"0")+IFERROR(IF(Z119="",0,Z119),"0")+IFERROR(IF(Z120="",0,Z120),"0")+IFERROR(IF(Z121="",0,Z121),"0")</f>
        <v>0.20612000000000003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84</v>
      </c>
      <c r="Y123" s="43">
        <f>IFERROR(SUM(Y118:Y121),"0")</f>
        <v>86.4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60</v>
      </c>
      <c r="Y214" s="55">
        <f t="shared" ref="Y214:Y226" si="26">IFERROR(IF(X214="",0,CEILING((X214/$H214),1)*$H214),"")</f>
        <v>63</v>
      </c>
      <c r="Z214" s="41">
        <f>IFERROR(IF(Y214=0,"",ROUNDUP(Y214/H214,0)*0.00902),"")</f>
        <v>0.1353</v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63.571428571428569</v>
      </c>
      <c r="BN214" s="78">
        <f t="shared" ref="BN214:BN226" si="28">IFERROR(Y214*I214/H214,"0")</f>
        <v>66.75</v>
      </c>
      <c r="BO214" s="78">
        <f t="shared" ref="BO214:BO226" si="29">IFERROR(1/J214*(X214/H214),"0")</f>
        <v>0.10822510822510822</v>
      </c>
      <c r="BP214" s="78">
        <f t="shared" ref="BP214:BP226" si="30">IFERROR(1/J214*(Y214/H214),"0")</f>
        <v>0.11363636363636365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si="26"/>
        <v>33.6</v>
      </c>
      <c r="Z216" s="41">
        <f>IFERROR(IF(Y216=0,"",ROUNDUP(Y216/H216,0)*0.00902),"")</f>
        <v>7.2160000000000002E-2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31.357142857142854</v>
      </c>
      <c r="BN216" s="78">
        <f t="shared" si="28"/>
        <v>35.119999999999997</v>
      </c>
      <c r="BO216" s="78">
        <f t="shared" si="29"/>
        <v>5.4112554112554112E-2</v>
      </c>
      <c r="BP216" s="78">
        <f t="shared" si="30"/>
        <v>6.0606060606060608E-2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21.428571428571427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0.20746000000000001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90</v>
      </c>
      <c r="Y228" s="43">
        <f>IFERROR(SUM(Y214:Y226),"0")</f>
        <v>96.6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60</v>
      </c>
      <c r="Y260" s="55">
        <f t="shared" ref="Y260:Y267" si="31">IFERROR(IF(X260="",0,CEILING((X260/$H260),1)*$H260),"")</f>
        <v>64.800000000000011</v>
      </c>
      <c r="Z260" s="41">
        <f>IFERROR(IF(Y260=0,"",ROUNDUP(Y260/H260,0)*0.00902),"")</f>
        <v>0.10824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62.1111111111111</v>
      </c>
      <c r="BN260" s="78">
        <f t="shared" ref="BN260:BN267" si="33">IFERROR(Y260*I260/H260,"0")</f>
        <v>67.08</v>
      </c>
      <c r="BO260" s="78">
        <f t="shared" ref="BO260:BO267" si="34">IFERROR(1/J260*(X260/H260),"0")</f>
        <v>8.4175084175084181E-2</v>
      </c>
      <c r="BP260" s="78">
        <f t="shared" ref="BP260:BP267" si="35">IFERROR(1/J260*(Y260/H260),"0")</f>
        <v>9.0909090909090925E-2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80</v>
      </c>
      <c r="Y262" s="55">
        <f t="shared" si="31"/>
        <v>81</v>
      </c>
      <c r="Z262" s="41">
        <f>IFERROR(IF(Y262=0,"",ROUNDUP(Y262/H262,0)*0.00902),"")</f>
        <v>0.1353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82.81481481481481</v>
      </c>
      <c r="BN262" s="78">
        <f t="shared" si="33"/>
        <v>83.85</v>
      </c>
      <c r="BO262" s="78">
        <f t="shared" si="34"/>
        <v>0.11223344556677889</v>
      </c>
      <c r="BP262" s="78">
        <f t="shared" si="35"/>
        <v>0.11363636363636363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44.444444444444443</v>
      </c>
      <c r="Y268" s="43">
        <f>IFERROR(Y260/H260,"0")+IFERROR(Y261/H261,"0")+IFERROR(Y262/H262,"0")+IFERROR(Y263/H263,"0")+IFERROR(Y264/H264,"0")+IFERROR(Y265/H265,"0")+IFERROR(Y266/H266,"0")+IFERROR(Y267/H267,"0")</f>
        <v>46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0.41491999999999996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240</v>
      </c>
      <c r="Y269" s="43">
        <f>IFERROR(SUM(Y260:Y267),"0")</f>
        <v>248.40000000000003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15</v>
      </c>
      <c r="Y272" s="55">
        <f t="shared" si="36"/>
        <v>16.2</v>
      </c>
      <c r="Z272" s="41">
        <f>IFERROR(IF(Y272=0,"",ROUNDUP(Y272/H272,0)*0.01898),"")</f>
        <v>3.7960000000000001E-2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15.914814814814815</v>
      </c>
      <c r="BN272" s="78">
        <f t="shared" si="38"/>
        <v>17.187999999999999</v>
      </c>
      <c r="BO272" s="78">
        <f t="shared" si="39"/>
        <v>2.8935185185185185E-2</v>
      </c>
      <c r="BP272" s="78">
        <f t="shared" si="40"/>
        <v>3.125E-2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144</v>
      </c>
      <c r="Y275" s="55">
        <f t="shared" si="36"/>
        <v>144</v>
      </c>
      <c r="Z275" s="41">
        <f>IFERROR(IF(Y275=0,"",ROUNDUP(Y275/H275,0)*0.00651),"")</f>
        <v>0.3906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160.20000000000002</v>
      </c>
      <c r="BN275" s="78">
        <f t="shared" si="38"/>
        <v>160.20000000000002</v>
      </c>
      <c r="BO275" s="78">
        <f t="shared" si="39"/>
        <v>0.32967032967032972</v>
      </c>
      <c r="BP275" s="78">
        <f t="shared" si="40"/>
        <v>0.32967032967032972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144</v>
      </c>
      <c r="Y277" s="55">
        <f t="shared" si="36"/>
        <v>144</v>
      </c>
      <c r="Z277" s="41">
        <f>IFERROR(IF(Y277=0,"",ROUNDUP(Y277/H277,0)*0.00651),"")</f>
        <v>0.3906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159.12000000000003</v>
      </c>
      <c r="BN277" s="78">
        <f t="shared" si="38"/>
        <v>159.12000000000003</v>
      </c>
      <c r="BO277" s="78">
        <f t="shared" si="39"/>
        <v>0.32967032967032972</v>
      </c>
      <c r="BP277" s="78">
        <f t="shared" si="40"/>
        <v>0.32967032967032972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144</v>
      </c>
      <c r="Y279" s="55">
        <f t="shared" si="36"/>
        <v>144</v>
      </c>
      <c r="Z279" s="41">
        <f>IFERROR(IF(Y279=0,"",ROUNDUP(Y279/H279,0)*0.00651),"")</f>
        <v>0.3906</v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159.12000000000003</v>
      </c>
      <c r="BN279" s="78">
        <f t="shared" si="38"/>
        <v>159.12000000000003</v>
      </c>
      <c r="BO279" s="78">
        <f t="shared" si="39"/>
        <v>0.32967032967032972</v>
      </c>
      <c r="BP279" s="78">
        <f t="shared" si="40"/>
        <v>0.32967032967032972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144</v>
      </c>
      <c r="Y280" s="55">
        <f t="shared" si="36"/>
        <v>144</v>
      </c>
      <c r="Z280" s="41">
        <f>IFERROR(IF(Y280=0,"",ROUNDUP(Y280/H280,0)*0.00651),"")</f>
        <v>0.3906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159.12000000000003</v>
      </c>
      <c r="BN280" s="78">
        <f t="shared" si="38"/>
        <v>159.12000000000003</v>
      </c>
      <c r="BO280" s="78">
        <f t="shared" si="39"/>
        <v>0.32967032967032972</v>
      </c>
      <c r="BP280" s="78">
        <f t="shared" si="40"/>
        <v>0.32967032967032972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144</v>
      </c>
      <c r="Y281" s="55">
        <f t="shared" si="36"/>
        <v>144</v>
      </c>
      <c r="Z281" s="41">
        <f>IFERROR(IF(Y281=0,"",ROUNDUP(Y281/H281,0)*0.00651),"")</f>
        <v>0.3906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159.48000000000002</v>
      </c>
      <c r="BN281" s="78">
        <f t="shared" si="38"/>
        <v>159.48000000000002</v>
      </c>
      <c r="BO281" s="78">
        <f t="shared" si="39"/>
        <v>0.32967032967032972</v>
      </c>
      <c r="BP281" s="78">
        <f t="shared" si="40"/>
        <v>0.32967032967032972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301.85185185185185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302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1.9909600000000001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735</v>
      </c>
      <c r="Y284" s="43">
        <f>IFERROR(SUM(Y271:Y282),"0")</f>
        <v>736.2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100</v>
      </c>
      <c r="Y377" s="55">
        <f t="shared" ref="Y377:Y383" si="57">IFERROR(IF(X377="",0,CEILING((X377/$H377),1)*$H377),"")</f>
        <v>100.80000000000001</v>
      </c>
      <c r="Z377" s="41">
        <f>IFERROR(IF(Y377=0,"",ROUNDUP(Y377/H377,0)*0.00902),"")</f>
        <v>0.21648000000000001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105.95238095238095</v>
      </c>
      <c r="BN377" s="78">
        <f t="shared" ref="BN377:BN383" si="59">IFERROR(Y377*I377/H377,"0")</f>
        <v>106.80000000000001</v>
      </c>
      <c r="BO377" s="78">
        <f t="shared" ref="BO377:BO383" si="60">IFERROR(1/J377*(X377/H377),"0")</f>
        <v>0.18037518037518038</v>
      </c>
      <c r="BP377" s="78">
        <f t="shared" ref="BP377:BP383" si="61">IFERROR(1/J377*(Y377/H377),"0")</f>
        <v>0.18181818181818182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23.80952380952381</v>
      </c>
      <c r="Y384" s="43">
        <f>IFERROR(Y377/H377,"0")+IFERROR(Y378/H378,"0")+IFERROR(Y379/H379,"0")+IFERROR(Y380/H380,"0")+IFERROR(Y381/H381,"0")+IFERROR(Y382/H382,"0")+IFERROR(Y383/H383,"0")</f>
        <v>24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0.21648000000000001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100</v>
      </c>
      <c r="Y385" s="43">
        <f>IFERROR(SUM(Y377:Y383),"0")</f>
        <v>100.80000000000001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30</v>
      </c>
      <c r="Y396" s="55">
        <f>IFERROR(IF(X396="",0,CEILING((X396/$H396),1)*$H396),"")</f>
        <v>33.6</v>
      </c>
      <c r="Z396" s="41">
        <f>IFERROR(IF(Y396=0,"",ROUNDUP(Y396/H396,0)*0.01898),"")</f>
        <v>7.5920000000000001E-2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31.764285714285712</v>
      </c>
      <c r="BN396" s="78">
        <f>IFERROR(Y396*I396/H396,"0")</f>
        <v>35.576000000000001</v>
      </c>
      <c r="BO396" s="78">
        <f>IFERROR(1/J396*(X396/H396),"0")</f>
        <v>5.5803571428571425E-2</v>
      </c>
      <c r="BP396" s="78">
        <f>IFERROR(1/J396*(Y396/H396),"0")</f>
        <v>6.25E-2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3.5714285714285712</v>
      </c>
      <c r="Y397" s="43">
        <f>IFERROR(Y394/H394,"0")+IFERROR(Y395/H395,"0")+IFERROR(Y396/H396,"0")</f>
        <v>4</v>
      </c>
      <c r="Z397" s="43">
        <f>IFERROR(IF(Z394="",0,Z394),"0")+IFERROR(IF(Z395="",0,Z395),"0")+IFERROR(IF(Z396="",0,Z396),"0")</f>
        <v>7.5920000000000001E-2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30</v>
      </c>
      <c r="Y398" s="43">
        <f>IFERROR(SUM(Y394:Y396),"0")</f>
        <v>33.6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1000</v>
      </c>
      <c r="Y437" s="55">
        <f t="shared" si="62"/>
        <v>1005</v>
      </c>
      <c r="Z437" s="41">
        <f>IFERROR(IF(Y437=0,"",ROUNDUP(Y437/H437,0)*0.02175),"")</f>
        <v>1.4572499999999999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1031.3333333333333</v>
      </c>
      <c r="BN437" s="78">
        <f t="shared" si="64"/>
        <v>1036.49</v>
      </c>
      <c r="BO437" s="78">
        <f t="shared" si="65"/>
        <v>1.3888888888888888</v>
      </c>
      <c r="BP437" s="78">
        <f t="shared" si="66"/>
        <v>1.3958333333333333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62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1031.3333333333333</v>
      </c>
      <c r="BN438" s="78">
        <f t="shared" si="64"/>
        <v>1036.49</v>
      </c>
      <c r="BO438" s="78">
        <f t="shared" si="65"/>
        <v>1.3888888888888888</v>
      </c>
      <c r="BP438" s="78">
        <f t="shared" si="66"/>
        <v>1.3958333333333333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2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1031.3333333333333</v>
      </c>
      <c r="BN439" s="78">
        <f t="shared" si="64"/>
        <v>1036.49</v>
      </c>
      <c r="BO439" s="78">
        <f t="shared" si="65"/>
        <v>1.3888888888888888</v>
      </c>
      <c r="BP439" s="78">
        <f t="shared" si="66"/>
        <v>1.3958333333333333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200</v>
      </c>
      <c r="Y444" s="43">
        <f>IFERROR(Y436/H436,"0")+IFERROR(Y437/H437,"0")+IFERROR(Y438/H438,"0")+IFERROR(Y439/H439,"0")+IFERROR(Y440/H440,"0")+IFERROR(Y441/H441,"0")+IFERROR(Y442/H442,"0")+IFERROR(Y443/H443,"0")</f>
        <v>201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4.3717499999999996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3000</v>
      </c>
      <c r="Y445" s="43">
        <f>IFERROR(SUM(Y436:Y443),"0")</f>
        <v>3015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500</v>
      </c>
      <c r="Y447" s="55">
        <f>IFERROR(IF(X447="",0,CEILING((X447/$H447),1)*$H447),"")</f>
        <v>510</v>
      </c>
      <c r="Z447" s="41">
        <f>IFERROR(IF(Y447=0,"",ROUNDUP(Y447/H447,0)*0.02175),"")</f>
        <v>0.73949999999999994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515.66666666666663</v>
      </c>
      <c r="BN447" s="78">
        <f>IFERROR(Y447*I447/H447,"0")</f>
        <v>525.98</v>
      </c>
      <c r="BO447" s="78">
        <f>IFERROR(1/J447*(X447/H447),"0")</f>
        <v>0.69444444444444442</v>
      </c>
      <c r="BP447" s="78">
        <f>IFERROR(1/J447*(Y447/H447),"0")</f>
        <v>0.70833333333333326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33.333333333333336</v>
      </c>
      <c r="Y450" s="43">
        <f>IFERROR(Y447/H447,"0")+IFERROR(Y448/H448,"0")+IFERROR(Y449/H449,"0")</f>
        <v>34</v>
      </c>
      <c r="Z450" s="43">
        <f>IFERROR(IF(Z447="",0,Z447),"0")+IFERROR(IF(Z448="",0,Z448),"0")+IFERROR(IF(Z449="",0,Z449),"0")</f>
        <v>0.73949999999999994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500</v>
      </c>
      <c r="Y451" s="43">
        <f>IFERROR(SUM(Y447:Y449),"0")</f>
        <v>510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60</v>
      </c>
      <c r="Y454" s="55">
        <f>IFERROR(IF(X454="",0,CEILING((X454/$H454),1)*$H454),"")</f>
        <v>63</v>
      </c>
      <c r="Z454" s="41">
        <f>IFERROR(IF(Y454=0,"",ROUNDUP(Y454/H454,0)*0.01898),"")</f>
        <v>0.13286000000000001</v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63.293333333333329</v>
      </c>
      <c r="BN454" s="78">
        <f>IFERROR(Y454*I454/H454,"0")</f>
        <v>66.457999999999998</v>
      </c>
      <c r="BO454" s="78">
        <f>IFERROR(1/J454*(X454/H454),"0")</f>
        <v>0.10416666666666667</v>
      </c>
      <c r="BP454" s="78">
        <f>IFERROR(1/J454*(Y454/H454),"0")</f>
        <v>0.109375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6.666666666666667</v>
      </c>
      <c r="Y456" s="43">
        <f>IFERROR(Y453/H453,"0")+IFERROR(Y454/H454,"0")+IFERROR(Y455/H455,"0")</f>
        <v>7</v>
      </c>
      <c r="Z456" s="43">
        <f>IFERROR(IF(Z453="",0,Z453),"0")+IFERROR(IF(Z454="",0,Z454),"0")+IFERROR(IF(Z455="",0,Z455),"0")</f>
        <v>0.13286000000000001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60</v>
      </c>
      <c r="Y457" s="43">
        <f>IFERROR(SUM(Y453:Y455),"0")</f>
        <v>63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100</v>
      </c>
      <c r="Y474" s="55">
        <f>IFERROR(IF(X474="",0,CEILING((X474/$H474),1)*$H474),"")</f>
        <v>108</v>
      </c>
      <c r="Z474" s="41">
        <f>IFERROR(IF(Y474=0,"",ROUNDUP(Y474/H474,0)*0.01898),"")</f>
        <v>0.22776000000000002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105.48888888888888</v>
      </c>
      <c r="BN474" s="78">
        <f>IFERROR(Y474*I474/H474,"0")</f>
        <v>113.92799999999998</v>
      </c>
      <c r="BO474" s="78">
        <f>IFERROR(1/J474*(X474/H474),"0")</f>
        <v>0.1736111111111111</v>
      </c>
      <c r="BP474" s="78">
        <f>IFERROR(1/J474*(Y474/H474),"0")</f>
        <v>0.1875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11.111111111111111</v>
      </c>
      <c r="Y477" s="43">
        <f>IFERROR(Y474/H474,"0")+IFERROR(Y475/H475,"0")+IFERROR(Y476/H476,"0")</f>
        <v>12</v>
      </c>
      <c r="Z477" s="43">
        <f>IFERROR(IF(Z474="",0,Z474),"0")+IFERROR(IF(Z475="",0,Z475),"0")+IFERROR(IF(Z476="",0,Z476),"0")</f>
        <v>0.22776000000000002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100</v>
      </c>
      <c r="Y478" s="43">
        <f>IFERROR(SUM(Y474:Y476),"0")</f>
        <v>108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60</v>
      </c>
      <c r="Y482" s="55">
        <f t="shared" ref="Y482:Y487" si="67">IFERROR(IF(X482="",0,CEILING((X482/$H482),1)*$H482),"")</f>
        <v>64.800000000000011</v>
      </c>
      <c r="Z482" s="41">
        <f>IFERROR(IF(Y482=0,"",ROUNDUP(Y482/H482,0)*0.00902),"")</f>
        <v>0.10824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62.1111111111111</v>
      </c>
      <c r="BN482" s="78">
        <f t="shared" ref="BN482:BN487" si="69">IFERROR(Y482*I482/H482,"0")</f>
        <v>67.08</v>
      </c>
      <c r="BO482" s="78">
        <f t="shared" ref="BO482:BO487" si="70">IFERROR(1/J482*(X482/H482),"0")</f>
        <v>8.4175084175084181E-2</v>
      </c>
      <c r="BP482" s="78">
        <f t="shared" ref="BP482:BP487" si="71">IFERROR(1/J482*(Y482/H482),"0")</f>
        <v>9.0909090909090925E-2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120</v>
      </c>
      <c r="Y483" s="55">
        <f t="shared" si="67"/>
        <v>124.2</v>
      </c>
      <c r="Z483" s="41">
        <f>IFERROR(IF(Y483=0,"",ROUNDUP(Y483/H483,0)*0.00902),"")</f>
        <v>0.20746000000000001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124.2222222222222</v>
      </c>
      <c r="BN483" s="78">
        <f t="shared" si="69"/>
        <v>128.57</v>
      </c>
      <c r="BO483" s="78">
        <f t="shared" si="70"/>
        <v>0.16835016835016836</v>
      </c>
      <c r="BP483" s="78">
        <f t="shared" si="71"/>
        <v>0.17424242424242425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8.4</v>
      </c>
      <c r="Y486" s="55">
        <f t="shared" si="67"/>
        <v>8.4</v>
      </c>
      <c r="Z486" s="41">
        <f>IFERROR(IF(Y486=0,"",ROUNDUP(Y486/H486,0)*0.00502),"")</f>
        <v>2.0080000000000001E-2</v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8.92</v>
      </c>
      <c r="BN486" s="78">
        <f t="shared" si="69"/>
        <v>8.92</v>
      </c>
      <c r="BO486" s="78">
        <f t="shared" si="70"/>
        <v>1.7094017094017096E-2</v>
      </c>
      <c r="BP486" s="78">
        <f t="shared" si="71"/>
        <v>1.7094017094017096E-2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16.8</v>
      </c>
      <c r="Y487" s="55">
        <f t="shared" si="67"/>
        <v>16.8</v>
      </c>
      <c r="Z487" s="41">
        <f>IFERROR(IF(Y487=0,"",ROUNDUP(Y487/H487,0)*0.00502),"")</f>
        <v>4.0160000000000001E-2</v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17.84</v>
      </c>
      <c r="BN487" s="78">
        <f t="shared" si="69"/>
        <v>17.84</v>
      </c>
      <c r="BO487" s="78">
        <f t="shared" si="70"/>
        <v>3.4188034188034191E-2</v>
      </c>
      <c r="BP487" s="78">
        <f t="shared" si="71"/>
        <v>3.4188034188034191E-2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45.333333333333329</v>
      </c>
      <c r="Y488" s="43">
        <f>IFERROR(Y482/H482,"0")+IFERROR(Y483/H483,"0")+IFERROR(Y484/H484,"0")+IFERROR(Y485/H485,"0")+IFERROR(Y486/H486,"0")+IFERROR(Y487/H487,"0")</f>
        <v>47</v>
      </c>
      <c r="Z488" s="43">
        <f>IFERROR(IF(Z482="",0,Z482),"0")+IFERROR(IF(Z483="",0,Z483),"0")+IFERROR(IF(Z484="",0,Z484),"0")+IFERROR(IF(Z485="",0,Z485),"0")+IFERROR(IF(Z486="",0,Z486),"0")+IFERROR(IF(Z487="",0,Z487),"0")</f>
        <v>0.37593999999999994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205.20000000000002</v>
      </c>
      <c r="Y489" s="43">
        <f>IFERROR(SUM(Y482:Y487),"0")</f>
        <v>214.20000000000002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150</v>
      </c>
      <c r="Y500" s="55">
        <f>IFERROR(IF(X500="",0,CEILING((X500/$H500),1)*$H500),"")</f>
        <v>151.20000000000002</v>
      </c>
      <c r="Z500" s="41">
        <f>IFERROR(IF(Y500=0,"",ROUNDUP(Y500/H500,0)*0.00902),"")</f>
        <v>0.25256000000000001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155.27777777777777</v>
      </c>
      <c r="BN500" s="78">
        <f>IFERROR(Y500*I500/H500,"0")</f>
        <v>156.52000000000001</v>
      </c>
      <c r="BO500" s="78">
        <f>IFERROR(1/J500*(X500/H500),"0")</f>
        <v>0.21043771043771042</v>
      </c>
      <c r="BP500" s="78">
        <f>IFERROR(1/J500*(Y500/H500),"0")</f>
        <v>0.21212121212121213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27.777777777777775</v>
      </c>
      <c r="Y503" s="43">
        <f>IFERROR(Y500/H500,"0")+IFERROR(Y501/H501,"0")+IFERROR(Y502/H502,"0")</f>
        <v>28</v>
      </c>
      <c r="Z503" s="43">
        <f>IFERROR(IF(Z500="",0,Z500),"0")+IFERROR(IF(Z501="",0,Z501),"0")+IFERROR(IF(Z502="",0,Z502),"0")</f>
        <v>0.25256000000000001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150</v>
      </c>
      <c r="Y504" s="43">
        <f>IFERROR(SUM(Y500:Y502),"0")</f>
        <v>151.20000000000002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40</v>
      </c>
      <c r="Y511" s="55">
        <f t="shared" si="72"/>
        <v>42.24</v>
      </c>
      <c r="Z511" s="41">
        <f>IFERROR(IF(Y511=0,"",ROUNDUP(Y511/H511,0)*0.01196),"")</f>
        <v>9.5680000000000001E-2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42.651515151515149</v>
      </c>
      <c r="BN511" s="78">
        <f t="shared" si="74"/>
        <v>45.04</v>
      </c>
      <c r="BO511" s="78">
        <f t="shared" si="75"/>
        <v>7.2843822843822847E-2</v>
      </c>
      <c r="BP511" s="78">
        <f t="shared" si="76"/>
        <v>7.6923076923076927E-2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100</v>
      </c>
      <c r="Y512" s="55">
        <f t="shared" si="72"/>
        <v>100.32000000000001</v>
      </c>
      <c r="Z512" s="41">
        <f>IFERROR(IF(Y512=0,"",ROUNDUP(Y512/H512,0)*0.01196),"")</f>
        <v>0.22724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106.62878787878788</v>
      </c>
      <c r="BN512" s="78">
        <f t="shared" si="74"/>
        <v>106.97</v>
      </c>
      <c r="BO512" s="78">
        <f t="shared" si="75"/>
        <v>0.18210955710955709</v>
      </c>
      <c r="BP512" s="78">
        <f t="shared" si="76"/>
        <v>0.18269230769230771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26.515151515151512</v>
      </c>
      <c r="Y516" s="43">
        <f>IFERROR(Y508/H508,"0")+IFERROR(Y509/H509,"0")+IFERROR(Y510/H510,"0")+IFERROR(Y511/H511,"0")+IFERROR(Y512/H512,"0")+IFERROR(Y513/H513,"0")+IFERROR(Y514/H514,"0")+IFERROR(Y515/H515,"0")</f>
        <v>27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0.32291999999999998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140</v>
      </c>
      <c r="Y517" s="43">
        <f>IFERROR(SUM(Y508:Y515),"0")</f>
        <v>142.56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100</v>
      </c>
      <c r="Y519" s="55">
        <f>IFERROR(IF(X519="",0,CEILING((X519/$H519),1)*$H519),"")</f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106.62878787878788</v>
      </c>
      <c r="BN519" s="78">
        <f>IFERROR(Y519*I519/H519,"0")</f>
        <v>106.97</v>
      </c>
      <c r="BO519" s="78">
        <f>IFERROR(1/J519*(X519/H519),"0")</f>
        <v>0.18210955710955709</v>
      </c>
      <c r="BP519" s="78">
        <f>IFERROR(1/J519*(Y519/H519),"0")</f>
        <v>0.18269230769230771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18.939393939393938</v>
      </c>
      <c r="Y522" s="43">
        <f>IFERROR(Y519/H519,"0")+IFERROR(Y520/H520,"0")+IFERROR(Y521/H521,"0")</f>
        <v>19</v>
      </c>
      <c r="Z522" s="43">
        <f>IFERROR(IF(Z519="",0,Z519),"0")+IFERROR(IF(Z520="",0,Z520),"0")+IFERROR(IF(Z521="",0,Z521),"0")</f>
        <v>0.22724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100</v>
      </c>
      <c r="Y523" s="43">
        <f>IFERROR(SUM(Y519:Y521),"0")</f>
        <v>100.32000000000001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ref="Y525:Y531" si="77">IFERROR(IF(X525="",0,CEILING((X525/$H525),1)*$H525),"")</f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53.314393939393938</v>
      </c>
      <c r="BN525" s="78">
        <f t="shared" ref="BN525:BN531" si="79">IFERROR(Y525*I525/H525,"0")</f>
        <v>56.3</v>
      </c>
      <c r="BO525" s="78">
        <f t="shared" ref="BO525:BO531" si="80">IFERROR(1/J525*(X525/H525),"0")</f>
        <v>9.1054778554778545E-2</v>
      </c>
      <c r="BP525" s="78">
        <f t="shared" ref="BP525:BP531" si="81">IFERROR(1/J525*(Y525/H525),"0")</f>
        <v>9.6153846153846159E-2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50</v>
      </c>
      <c r="Y526" s="55">
        <f t="shared" si="77"/>
        <v>52.800000000000004</v>
      </c>
      <c r="Z526" s="41">
        <f>IFERROR(IF(Y526=0,"",ROUNDUP(Y526/H526,0)*0.01196),"")</f>
        <v>0.1196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53.314393939393938</v>
      </c>
      <c r="BN526" s="78">
        <f t="shared" si="79"/>
        <v>56.3</v>
      </c>
      <c r="BO526" s="78">
        <f t="shared" si="80"/>
        <v>9.1054778554778545E-2</v>
      </c>
      <c r="BP526" s="78">
        <f t="shared" si="81"/>
        <v>9.6153846153846159E-2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80</v>
      </c>
      <c r="Y527" s="55">
        <f t="shared" si="77"/>
        <v>84.48</v>
      </c>
      <c r="Z527" s="41">
        <f>IFERROR(IF(Y527=0,"",ROUNDUP(Y527/H527,0)*0.01196),"")</f>
        <v>0.19136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85.303030303030297</v>
      </c>
      <c r="BN527" s="78">
        <f t="shared" si="79"/>
        <v>90.08</v>
      </c>
      <c r="BO527" s="78">
        <f t="shared" si="80"/>
        <v>0.14568764568764569</v>
      </c>
      <c r="BP527" s="78">
        <f t="shared" si="81"/>
        <v>0.15384615384615385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34.090909090909086</v>
      </c>
      <c r="Y532" s="43">
        <f>IFERROR(Y525/H525,"0")+IFERROR(Y526/H526,"0")+IFERROR(Y527/H527,"0")+IFERROR(Y528/H528,"0")+IFERROR(Y529/H529,"0")+IFERROR(Y530/H530,"0")+IFERROR(Y531/H531,"0")</f>
        <v>36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0.43056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180</v>
      </c>
      <c r="Y533" s="43">
        <f>IFERROR(SUM(Y525:Y531),"0")</f>
        <v>190.08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80</v>
      </c>
      <c r="Y545" s="55">
        <f>IFERROR(IF(X545="",0,CEILING((X545/$H545),1)*$H545),"")</f>
        <v>84</v>
      </c>
      <c r="Z545" s="41">
        <f>IFERROR(IF(Y545=0,"",ROUNDUP(Y545/H545,0)*0.00902),"")</f>
        <v>0.1804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84.761904761904759</v>
      </c>
      <c r="BN545" s="78">
        <f>IFERROR(Y545*I545/H545,"0")</f>
        <v>89</v>
      </c>
      <c r="BO545" s="78">
        <f>IFERROR(1/J545*(X545/H545),"0")</f>
        <v>0.14430014430014429</v>
      </c>
      <c r="BP545" s="78">
        <f>IFERROR(1/J545*(Y545/H545),"0")</f>
        <v>0.15151515151515152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19.047619047619047</v>
      </c>
      <c r="Y546" s="43">
        <f>IFERROR(Y545/H545,"0")</f>
        <v>20</v>
      </c>
      <c r="Z546" s="43">
        <f>IFERROR(IF(Z545="",0,Z545),"0")</f>
        <v>0.1804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80</v>
      </c>
      <c r="Y547" s="43">
        <f>IFERROR(SUM(Y545:Y545),"0")</f>
        <v>84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100</v>
      </c>
      <c r="Y549" s="55">
        <f>IFERROR(IF(X549="",0,CEILING((X549/$H549),1)*$H549),"")</f>
        <v>108</v>
      </c>
      <c r="Z549" s="41">
        <f>IFERROR(IF(Y549=0,"",ROUNDUP(Y549/H549,0)*0.01898),"")</f>
        <v>0.22776000000000002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105.48888888888888</v>
      </c>
      <c r="BN549" s="78">
        <f>IFERROR(Y549*I549/H549,"0")</f>
        <v>113.92799999999998</v>
      </c>
      <c r="BO549" s="78">
        <f>IFERROR(1/J549*(X549/H549),"0")</f>
        <v>0.1736111111111111</v>
      </c>
      <c r="BP549" s="78">
        <f>IFERROR(1/J549*(Y549/H549),"0")</f>
        <v>0.1875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11.111111111111111</v>
      </c>
      <c r="Y550" s="43">
        <f>IFERROR(Y549/H549,"0")</f>
        <v>12</v>
      </c>
      <c r="Z550" s="43">
        <f>IFERROR(IF(Z549="",0,Z549),"0")</f>
        <v>0.22776000000000002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100</v>
      </c>
      <c r="Y551" s="43">
        <f>IFERROR(SUM(Y549:Y549),"0")</f>
        <v>108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6276.5999999999995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6398.96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6567.934051948052</v>
      </c>
      <c r="Y563" s="43">
        <f>IFERROR(SUM(BN22:BN559),"0")</f>
        <v>6695.844000000001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10</v>
      </c>
      <c r="Y564" s="44">
        <f>ROUNDUP(SUM(BP22:BP559),0)</f>
        <v>11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6817.934051948052</v>
      </c>
      <c r="Y565" s="43">
        <f>GrossWeightTotalR+PalletQtyTotalR*25</f>
        <v>6970.844000000001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897.69148629148629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914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11.362750000000002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74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54</v>
      </c>
      <c r="F572" s="52">
        <f>IFERROR(Y85*1,"0")+IFERROR(Y86*1,"0")+IFERROR(Y87*1,"0")+IFERROR(Y88*1,"0")+IFERROR(Y89*1,"0")+IFERROR(Y90*1,"0")+IFERROR(Y94*1,"0")+IFERROR(Y95*1,"0")+IFERROR(Y96*1,"0")+IFERROR(Y97*1,"0")</f>
        <v>98.100000000000009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216.9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96.6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984.6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134.4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3642</v>
      </c>
      <c r="Y572" s="52">
        <f>IFERROR(Y465*1,"0")+IFERROR(Y466*1,"0")+IFERROR(Y470*1,"0")+IFERROR(Y474*1,"0")+IFERROR(Y475*1,"0")+IFERROR(Y476*1,"0")</f>
        <v>108</v>
      </c>
      <c r="Z572" s="52">
        <f>IFERROR(Y482*1,"0")+IFERROR(Y483*1,"0")+IFERROR(Y484*1,"0")+IFERROR(Y485*1,"0")+IFERROR(Y486*1,"0")+IFERROR(Y487*1,"0")+IFERROR(Y491*1,"0")</f>
        <v>214.20000000000002</v>
      </c>
      <c r="AA572" s="52">
        <f>IFERROR(Y496*1,"0")+IFERROR(Y500*1,"0")+IFERROR(Y501*1,"0")+IFERROR(Y502*1,"0")</f>
        <v>151.20000000000002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432.96000000000004</v>
      </c>
      <c r="AC572" s="52">
        <f>IFERROR(Y537*1,"0")+IFERROR(Y541*1,"0")+IFERROR(Y545*1,"0")+IFERROR(Y549*1,"0")+IFERROR(Y553*1,"0")+IFERROR(Y554*1,"0")</f>
        <v>192</v>
      </c>
      <c r="AD572" s="52">
        <f>IFERROR(Y559*1,"0")</f>
        <v>0</v>
      </c>
      <c r="AF572" s="1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"/>
        <filter val="100,00"/>
        <filter val="11,11"/>
        <filter val="11,28"/>
        <filter val="120,00"/>
        <filter val="121,60"/>
        <filter val="14,06"/>
        <filter val="140,00"/>
        <filter val="144,00"/>
        <filter val="15,00"/>
        <filter val="150,00"/>
        <filter val="16,80"/>
        <filter val="18,94"/>
        <filter val="180,00"/>
        <filter val="19,05"/>
        <filter val="19,20"/>
        <filter val="200,00"/>
        <filter val="205,20"/>
        <filter val="21,43"/>
        <filter val="21,60"/>
        <filter val="23,70"/>
        <filter val="23,81"/>
        <filter val="240,00"/>
        <filter val="26,52"/>
        <filter val="27,78"/>
        <filter val="3 000,00"/>
        <filter val="3,57"/>
        <filter val="30,00"/>
        <filter val="301,85"/>
        <filter val="33,33"/>
        <filter val="34,09"/>
        <filter val="4,63"/>
        <filter val="40,00"/>
        <filter val="44,44"/>
        <filter val="45,33"/>
        <filter val="5,56"/>
        <filter val="50,00"/>
        <filter val="500,00"/>
        <filter val="54,00"/>
        <filter val="6 276,60"/>
        <filter val="6 567,93"/>
        <filter val="6 817,93"/>
        <filter val="6,67"/>
        <filter val="60,00"/>
        <filter val="69,20"/>
        <filter val="70,00"/>
        <filter val="735,00"/>
        <filter val="8,40"/>
        <filter val="80,00"/>
        <filter val="84,00"/>
        <filter val="897,69"/>
        <filter val="9,43"/>
        <filter val="90,00"/>
        <filter val="91,6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3" spans="2:8" x14ac:dyDescent="0.2">
      <c r="B13" s="53" t="s">
        <v>898</v>
      </c>
      <c r="C13" s="53" t="s">
        <v>881</v>
      </c>
      <c r="D13" s="53" t="s">
        <v>46</v>
      </c>
      <c r="E13" s="53" t="s">
        <v>46</v>
      </c>
    </row>
    <row r="15" spans="2:8" x14ac:dyDescent="0.2">
      <c r="B15" s="53" t="s">
        <v>899</v>
      </c>
      <c r="C15" s="53" t="s">
        <v>884</v>
      </c>
      <c r="D15" s="53" t="s">
        <v>46</v>
      </c>
      <c r="E15" s="53" t="s">
        <v>46</v>
      </c>
    </row>
    <row r="17" spans="2:5" x14ac:dyDescent="0.2">
      <c r="B17" s="53" t="s">
        <v>900</v>
      </c>
      <c r="C17" s="53" t="s">
        <v>887</v>
      </c>
      <c r="D17" s="53" t="s">
        <v>46</v>
      </c>
      <c r="E17" s="53" t="s">
        <v>46</v>
      </c>
    </row>
    <row r="19" spans="2:5" x14ac:dyDescent="0.2">
      <c r="B19" s="53" t="s">
        <v>901</v>
      </c>
      <c r="C19" s="53" t="s">
        <v>890</v>
      </c>
      <c r="D19" s="53" t="s">
        <v>46</v>
      </c>
      <c r="E19" s="53" t="s">
        <v>46</v>
      </c>
    </row>
    <row r="21" spans="2:5" x14ac:dyDescent="0.2">
      <c r="B21" s="53" t="s">
        <v>902</v>
      </c>
      <c r="C21" s="53" t="s">
        <v>893</v>
      </c>
      <c r="D21" s="53" t="s">
        <v>46</v>
      </c>
      <c r="E21" s="53" t="s">
        <v>46</v>
      </c>
    </row>
    <row r="23" spans="2:5" x14ac:dyDescent="0.2">
      <c r="B23" s="53" t="s">
        <v>903</v>
      </c>
      <c r="C23" s="53" t="s">
        <v>896</v>
      </c>
      <c r="D23" s="53" t="s">
        <v>46</v>
      </c>
      <c r="E23" s="53" t="s">
        <v>46</v>
      </c>
    </row>
    <row r="25" spans="2:5" x14ac:dyDescent="0.2">
      <c r="B25" s="53" t="s">
        <v>904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905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906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2026-10-29T08:11:31Z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