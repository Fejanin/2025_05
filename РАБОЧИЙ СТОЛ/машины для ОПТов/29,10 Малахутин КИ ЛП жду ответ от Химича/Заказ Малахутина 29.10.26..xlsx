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17E330-8CF3-41EF-91D0-40CF5DF8464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P526" i="2"/>
  <c r="BO525" i="2"/>
  <c r="BM525" i="2"/>
  <c r="Y525" i="2"/>
  <c r="BP525" i="2" s="1"/>
  <c r="P525" i="2"/>
  <c r="X523" i="2"/>
  <c r="X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P519" i="2"/>
  <c r="X517" i="2"/>
  <c r="X516" i="2"/>
  <c r="BO515" i="2"/>
  <c r="BM515" i="2"/>
  <c r="Y515" i="2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P500" i="2"/>
  <c r="X498" i="2"/>
  <c r="X497" i="2"/>
  <c r="BO496" i="2"/>
  <c r="BM496" i="2"/>
  <c r="Y496" i="2"/>
  <c r="Y497" i="2" s="1"/>
  <c r="P496" i="2"/>
  <c r="X493" i="2"/>
  <c r="X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Z474" i="2" s="1"/>
  <c r="P474" i="2"/>
  <c r="X472" i="2"/>
  <c r="X471" i="2"/>
  <c r="BO470" i="2"/>
  <c r="BM470" i="2"/>
  <c r="Y470" i="2"/>
  <c r="Y472" i="2" s="1"/>
  <c r="P470" i="2"/>
  <c r="X468" i="2"/>
  <c r="X467" i="2"/>
  <c r="BO466" i="2"/>
  <c r="BM466" i="2"/>
  <c r="Y466" i="2"/>
  <c r="P466" i="2"/>
  <c r="BO465" i="2"/>
  <c r="BM465" i="2"/>
  <c r="Y465" i="2"/>
  <c r="BN465" i="2" s="1"/>
  <c r="P465" i="2"/>
  <c r="X462" i="2"/>
  <c r="X461" i="2"/>
  <c r="BO460" i="2"/>
  <c r="BM460" i="2"/>
  <c r="Y460" i="2"/>
  <c r="BP460" i="2" s="1"/>
  <c r="P460" i="2"/>
  <c r="BO459" i="2"/>
  <c r="BM459" i="2"/>
  <c r="Y459" i="2"/>
  <c r="Y461" i="2" s="1"/>
  <c r="P459" i="2"/>
  <c r="X457" i="2"/>
  <c r="X456" i="2"/>
  <c r="BO455" i="2"/>
  <c r="BM455" i="2"/>
  <c r="Y455" i="2"/>
  <c r="P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Z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Z441" i="2" s="1"/>
  <c r="P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X425" i="2"/>
  <c r="X424" i="2"/>
  <c r="BO423" i="2"/>
  <c r="BM423" i="2"/>
  <c r="Y423" i="2"/>
  <c r="Z423" i="2" s="1"/>
  <c r="BO422" i="2"/>
  <c r="BM422" i="2"/>
  <c r="Y422" i="2"/>
  <c r="P422" i="2"/>
  <c r="BO421" i="2"/>
  <c r="BM421" i="2"/>
  <c r="Y421" i="2"/>
  <c r="BP421" i="2" s="1"/>
  <c r="P421" i="2"/>
  <c r="BO420" i="2"/>
  <c r="BM420" i="2"/>
  <c r="Y420" i="2"/>
  <c r="BP420" i="2" s="1"/>
  <c r="P420" i="2"/>
  <c r="X417" i="2"/>
  <c r="X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P413" i="2"/>
  <c r="X411" i="2"/>
  <c r="X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Z400" i="2" s="1"/>
  <c r="P400" i="2"/>
  <c r="X398" i="2"/>
  <c r="X397" i="2"/>
  <c r="BO396" i="2"/>
  <c r="BM396" i="2"/>
  <c r="Y396" i="2"/>
  <c r="P396" i="2"/>
  <c r="BO395" i="2"/>
  <c r="BM395" i="2"/>
  <c r="Y395" i="2"/>
  <c r="BP395" i="2" s="1"/>
  <c r="P395" i="2"/>
  <c r="BO394" i="2"/>
  <c r="BM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4" i="2"/>
  <c r="X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P351" i="2"/>
  <c r="X348" i="2"/>
  <c r="X347" i="2"/>
  <c r="BO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Z332" i="2" s="1"/>
  <c r="P332" i="2"/>
  <c r="BO331" i="2"/>
  <c r="BM331" i="2"/>
  <c r="Y331" i="2"/>
  <c r="P331" i="2"/>
  <c r="BO330" i="2"/>
  <c r="BM330" i="2"/>
  <c r="Y330" i="2"/>
  <c r="BP330" i="2" s="1"/>
  <c r="P330" i="2"/>
  <c r="X327" i="2"/>
  <c r="X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Z321" i="2" s="1"/>
  <c r="P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P313" i="2"/>
  <c r="BO312" i="2"/>
  <c r="BM312" i="2"/>
  <c r="Y312" i="2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BP306" i="2" s="1"/>
  <c r="P306" i="2"/>
  <c r="X304" i="2"/>
  <c r="X303" i="2"/>
  <c r="BO302" i="2"/>
  <c r="BM302" i="2"/>
  <c r="Y302" i="2"/>
  <c r="BP302" i="2" s="1"/>
  <c r="P302" i="2"/>
  <c r="X300" i="2"/>
  <c r="X299" i="2"/>
  <c r="BO298" i="2"/>
  <c r="BM298" i="2"/>
  <c r="Y298" i="2"/>
  <c r="Z298" i="2" s="1"/>
  <c r="P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P292" i="2"/>
  <c r="X289" i="2"/>
  <c r="X288" i="2"/>
  <c r="BO287" i="2"/>
  <c r="BM287" i="2"/>
  <c r="Y287" i="2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N262" i="2" s="1"/>
  <c r="P262" i="2"/>
  <c r="BO261" i="2"/>
  <c r="BM261" i="2"/>
  <c r="Y261" i="2"/>
  <c r="BN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BN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Z200" i="2" s="1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Z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N165" i="2" s="1"/>
  <c r="P165" i="2"/>
  <c r="X163" i="2"/>
  <c r="X162" i="2"/>
  <c r="BO161" i="2"/>
  <c r="BM161" i="2"/>
  <c r="Y161" i="2"/>
  <c r="BP161" i="2" s="1"/>
  <c r="P161" i="2"/>
  <c r="BO160" i="2"/>
  <c r="BM160" i="2"/>
  <c r="Y160" i="2"/>
  <c r="Z160" i="2" s="1"/>
  <c r="P160" i="2"/>
  <c r="BO159" i="2"/>
  <c r="BM159" i="2"/>
  <c r="Y159" i="2"/>
  <c r="BN159" i="2" s="1"/>
  <c r="P159" i="2"/>
  <c r="BO158" i="2"/>
  <c r="BM158" i="2"/>
  <c r="Y158" i="2"/>
  <c r="P158" i="2"/>
  <c r="X155" i="2"/>
  <c r="X154" i="2"/>
  <c r="BO153" i="2"/>
  <c r="BM153" i="2"/>
  <c r="Y153" i="2"/>
  <c r="P153" i="2"/>
  <c r="X151" i="2"/>
  <c r="X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BP147" i="2" s="1"/>
  <c r="P147" i="2"/>
  <c r="BO146" i="2"/>
  <c r="BM146" i="2"/>
  <c r="Y146" i="2"/>
  <c r="P146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P130" i="2"/>
  <c r="X127" i="2"/>
  <c r="X126" i="2"/>
  <c r="BO125" i="2"/>
  <c r="BM125" i="2"/>
  <c r="Y125" i="2"/>
  <c r="Y126" i="2" s="1"/>
  <c r="P125" i="2"/>
  <c r="X123" i="2"/>
  <c r="X122" i="2"/>
  <c r="BO121" i="2"/>
  <c r="BM121" i="2"/>
  <c r="Y121" i="2"/>
  <c r="Z121" i="2" s="1"/>
  <c r="P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N118" i="2" s="1"/>
  <c r="P118" i="2"/>
  <c r="X116" i="2"/>
  <c r="X115" i="2"/>
  <c r="BO114" i="2"/>
  <c r="BM114" i="2"/>
  <c r="Y114" i="2"/>
  <c r="Z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X99" i="2"/>
  <c r="X98" i="2"/>
  <c r="BO97" i="2"/>
  <c r="BM97" i="2"/>
  <c r="Y97" i="2"/>
  <c r="P97" i="2"/>
  <c r="BO96" i="2"/>
  <c r="BM96" i="2"/>
  <c r="Y96" i="2"/>
  <c r="P96" i="2"/>
  <c r="BO95" i="2"/>
  <c r="BM95" i="2"/>
  <c r="Y95" i="2"/>
  <c r="Z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BN87" i="2" s="1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Y39" i="2"/>
  <c r="Z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P26" i="2"/>
  <c r="BO25" i="2"/>
  <c r="BM25" i="2"/>
  <c r="Y25" i="2"/>
  <c r="BP25" i="2" s="1"/>
  <c r="P25" i="2"/>
  <c r="BO24" i="2"/>
  <c r="BM24" i="2"/>
  <c r="Y24" i="2"/>
  <c r="BP24" i="2" s="1"/>
  <c r="P24" i="2"/>
  <c r="BO23" i="2"/>
  <c r="BM23" i="2"/>
  <c r="Y23" i="2"/>
  <c r="BN23" i="2" s="1"/>
  <c r="P23" i="2"/>
  <c r="BO22" i="2"/>
  <c r="BM22" i="2"/>
  <c r="Y22" i="2"/>
  <c r="Y28" i="2" s="1"/>
  <c r="P22" i="2"/>
  <c r="H10" i="2"/>
  <c r="A9" i="2"/>
  <c r="A10" i="2" s="1"/>
  <c r="D7" i="2"/>
  <c r="Q6" i="2"/>
  <c r="P2" i="2"/>
  <c r="Z147" i="2" l="1"/>
  <c r="BN147" i="2"/>
  <c r="Z80" i="2"/>
  <c r="BN80" i="2"/>
  <c r="Y81" i="2"/>
  <c r="Y92" i="2"/>
  <c r="Z177" i="2"/>
  <c r="Z47" i="2"/>
  <c r="BN47" i="2"/>
  <c r="Z118" i="2"/>
  <c r="Z171" i="2"/>
  <c r="BN171" i="2"/>
  <c r="Z203" i="2"/>
  <c r="Z279" i="2"/>
  <c r="BP387" i="2"/>
  <c r="Y404" i="2"/>
  <c r="Z68" i="2"/>
  <c r="BN68" i="2"/>
  <c r="Z112" i="2"/>
  <c r="Z115" i="2" s="1"/>
  <c r="BN112" i="2"/>
  <c r="Z141" i="2"/>
  <c r="BN141" i="2"/>
  <c r="Z175" i="2"/>
  <c r="BN175" i="2"/>
  <c r="Z189" i="2"/>
  <c r="Z190" i="2" s="1"/>
  <c r="BN189" i="2"/>
  <c r="BP189" i="2"/>
  <c r="Y190" i="2"/>
  <c r="Z222" i="2"/>
  <c r="BN222" i="2"/>
  <c r="Z230" i="2"/>
  <c r="Z262" i="2"/>
  <c r="Y303" i="2"/>
  <c r="BP318" i="2"/>
  <c r="BP377" i="2"/>
  <c r="Y410" i="2"/>
  <c r="Z428" i="2"/>
  <c r="Z443" i="2"/>
  <c r="BN443" i="2"/>
  <c r="Y467" i="2"/>
  <c r="Y471" i="2"/>
  <c r="BN49" i="2"/>
  <c r="BP58" i="2"/>
  <c r="BN58" i="2"/>
  <c r="Z58" i="2"/>
  <c r="Y71" i="2"/>
  <c r="BP66" i="2"/>
  <c r="BN66" i="2"/>
  <c r="Z66" i="2"/>
  <c r="Z70" i="2" s="1"/>
  <c r="BP89" i="2"/>
  <c r="BN89" i="2"/>
  <c r="Z89" i="2"/>
  <c r="BP97" i="2"/>
  <c r="BN97" i="2"/>
  <c r="Z97" i="2"/>
  <c r="Y138" i="2"/>
  <c r="BP135" i="2"/>
  <c r="BN135" i="2"/>
  <c r="Z135" i="2"/>
  <c r="Z137" i="2" s="1"/>
  <c r="BN176" i="2"/>
  <c r="BP179" i="2"/>
  <c r="BN179" i="2"/>
  <c r="Z179" i="2"/>
  <c r="BN185" i="2"/>
  <c r="Z193" i="2"/>
  <c r="Z194" i="2" s="1"/>
  <c r="Y194" i="2"/>
  <c r="BN193" i="2"/>
  <c r="BN274" i="2"/>
  <c r="BP280" i="2"/>
  <c r="Z280" i="2"/>
  <c r="BN293" i="2"/>
  <c r="BN295" i="2"/>
  <c r="BN312" i="2"/>
  <c r="Z312" i="2"/>
  <c r="BP344" i="2"/>
  <c r="Z344" i="2"/>
  <c r="BN372" i="2"/>
  <c r="BN380" i="2"/>
  <c r="BN423" i="2"/>
  <c r="BN430" i="2"/>
  <c r="BN441" i="2"/>
  <c r="BP453" i="2"/>
  <c r="Z453" i="2"/>
  <c r="BN466" i="2"/>
  <c r="BN484" i="2"/>
  <c r="BN529" i="2"/>
  <c r="BN55" i="2"/>
  <c r="BP74" i="2"/>
  <c r="BN74" i="2"/>
  <c r="Z74" i="2"/>
  <c r="BN114" i="2"/>
  <c r="BN119" i="2"/>
  <c r="BN146" i="2"/>
  <c r="Z146" i="2"/>
  <c r="BN160" i="2"/>
  <c r="BN170" i="2"/>
  <c r="BP199" i="2"/>
  <c r="BN199" i="2"/>
  <c r="Z199" i="2"/>
  <c r="BN201" i="2"/>
  <c r="Z201" i="2"/>
  <c r="Y212" i="2"/>
  <c r="BP214" i="2"/>
  <c r="BN214" i="2"/>
  <c r="Z214" i="2"/>
  <c r="BN220" i="2"/>
  <c r="BN224" i="2"/>
  <c r="BN226" i="2"/>
  <c r="BN234" i="2"/>
  <c r="Z234" i="2"/>
  <c r="BN322" i="2"/>
  <c r="BN367" i="2"/>
  <c r="BP367" i="2"/>
  <c r="BN383" i="2"/>
  <c r="BN395" i="2"/>
  <c r="Y416" i="2"/>
  <c r="BP413" i="2"/>
  <c r="BN413" i="2"/>
  <c r="Z413" i="2"/>
  <c r="BP422" i="2"/>
  <c r="Z422" i="2"/>
  <c r="BP513" i="2"/>
  <c r="Z513" i="2"/>
  <c r="Z526" i="2"/>
  <c r="BP526" i="2"/>
  <c r="BN59" i="2"/>
  <c r="BN90" i="2"/>
  <c r="BN104" i="2"/>
  <c r="BN131" i="2"/>
  <c r="BN136" i="2"/>
  <c r="BN180" i="2"/>
  <c r="BN200" i="2"/>
  <c r="BP203" i="2"/>
  <c r="BN204" i="2"/>
  <c r="BP230" i="2"/>
  <c r="BN231" i="2"/>
  <c r="BN260" i="2"/>
  <c r="BP262" i="2"/>
  <c r="BN263" i="2"/>
  <c r="BN272" i="2"/>
  <c r="BN302" i="2"/>
  <c r="BN311" i="2"/>
  <c r="BN324" i="2"/>
  <c r="BN338" i="2"/>
  <c r="BN340" i="2"/>
  <c r="BN346" i="2"/>
  <c r="BN381" i="2"/>
  <c r="BN403" i="2"/>
  <c r="BN407" i="2"/>
  <c r="BN414" i="2"/>
  <c r="BN470" i="2"/>
  <c r="BN474" i="2"/>
  <c r="Y517" i="2"/>
  <c r="BN511" i="2"/>
  <c r="BN525" i="2"/>
  <c r="BP60" i="2"/>
  <c r="BP69" i="2"/>
  <c r="BP292" i="2"/>
  <c r="BN292" i="2"/>
  <c r="BP313" i="2"/>
  <c r="Z313" i="2"/>
  <c r="BP323" i="2"/>
  <c r="BP361" i="2"/>
  <c r="BN361" i="2"/>
  <c r="Z361" i="2"/>
  <c r="BP369" i="2"/>
  <c r="Z369" i="2"/>
  <c r="BN373" i="2"/>
  <c r="BP373" i="2"/>
  <c r="Z373" i="2"/>
  <c r="BN396" i="2"/>
  <c r="Z396" i="2"/>
  <c r="Z429" i="2"/>
  <c r="Y432" i="2"/>
  <c r="BN429" i="2"/>
  <c r="X572" i="2"/>
  <c r="BN436" i="2"/>
  <c r="BP436" i="2"/>
  <c r="Z436" i="2"/>
  <c r="BN491" i="2"/>
  <c r="Y492" i="2"/>
  <c r="Z491" i="2"/>
  <c r="Z492" i="2" s="1"/>
  <c r="Z509" i="2"/>
  <c r="BN509" i="2"/>
  <c r="BP48" i="2"/>
  <c r="Y115" i="2"/>
  <c r="Z221" i="2"/>
  <c r="BN221" i="2"/>
  <c r="Z23" i="2"/>
  <c r="BP23" i="2"/>
  <c r="BN31" i="2"/>
  <c r="Y32" i="2"/>
  <c r="Y43" i="2"/>
  <c r="BP37" i="2"/>
  <c r="Z41" i="2"/>
  <c r="BP41" i="2"/>
  <c r="Z56" i="2"/>
  <c r="BP56" i="2"/>
  <c r="BN78" i="2"/>
  <c r="Z87" i="2"/>
  <c r="BP87" i="2"/>
  <c r="Z102" i="2"/>
  <c r="BP102" i="2"/>
  <c r="BN103" i="2"/>
  <c r="BP104" i="2"/>
  <c r="Z108" i="2"/>
  <c r="BP108" i="2"/>
  <c r="Y116" i="2"/>
  <c r="Z159" i="2"/>
  <c r="BP201" i="2"/>
  <c r="Y211" i="2"/>
  <c r="BN210" i="2"/>
  <c r="BP210" i="2"/>
  <c r="BP216" i="2"/>
  <c r="Z216" i="2"/>
  <c r="BP218" i="2"/>
  <c r="Z225" i="2"/>
  <c r="BN225" i="2"/>
  <c r="Z232" i="2"/>
  <c r="BP244" i="2"/>
  <c r="Y245" i="2"/>
  <c r="Y246" i="2"/>
  <c r="Z244" i="2"/>
  <c r="Z245" i="2" s="1"/>
  <c r="Y252" i="2"/>
  <c r="Y253" i="2"/>
  <c r="BN249" i="2"/>
  <c r="BP271" i="2"/>
  <c r="BN271" i="2"/>
  <c r="BP278" i="2"/>
  <c r="BN278" i="2"/>
  <c r="Z292" i="2"/>
  <c r="Z323" i="2"/>
  <c r="Z339" i="2"/>
  <c r="BN339" i="2"/>
  <c r="BP382" i="2"/>
  <c r="BN382" i="2"/>
  <c r="Z382" i="2"/>
  <c r="BP389" i="2"/>
  <c r="Z389" i="2"/>
  <c r="Y489" i="2"/>
  <c r="BN482" i="2"/>
  <c r="BP482" i="2"/>
  <c r="Z482" i="2"/>
  <c r="Z527" i="2"/>
  <c r="BN527" i="2"/>
  <c r="Y555" i="2"/>
  <c r="Z553" i="2"/>
  <c r="BP159" i="2"/>
  <c r="BN48" i="2"/>
  <c r="BP49" i="2"/>
  <c r="BP55" i="2"/>
  <c r="BP59" i="2"/>
  <c r="BN60" i="2"/>
  <c r="BN69" i="2"/>
  <c r="BN113" i="2"/>
  <c r="BP114" i="2"/>
  <c r="BP120" i="2"/>
  <c r="Z120" i="2"/>
  <c r="Z122" i="2" s="1"/>
  <c r="Y167" i="2"/>
  <c r="Y168" i="2"/>
  <c r="BP165" i="2"/>
  <c r="Z165" i="2"/>
  <c r="Z205" i="2"/>
  <c r="BN205" i="2"/>
  <c r="BN217" i="2"/>
  <c r="BP217" i="2"/>
  <c r="BN240" i="2"/>
  <c r="Z240" i="2"/>
  <c r="BP261" i="2"/>
  <c r="Z261" i="2"/>
  <c r="Z264" i="2"/>
  <c r="BN264" i="2"/>
  <c r="Z271" i="2"/>
  <c r="Z294" i="2"/>
  <c r="BN294" i="2"/>
  <c r="BN415" i="2"/>
  <c r="Y417" i="2"/>
  <c r="BP415" i="2"/>
  <c r="Z415" i="2"/>
  <c r="BN442" i="2"/>
  <c r="BP442" i="2"/>
  <c r="Z442" i="2"/>
  <c r="Y457" i="2"/>
  <c r="BN454" i="2"/>
  <c r="Z454" i="2"/>
  <c r="Y493" i="2"/>
  <c r="BP500" i="2"/>
  <c r="Y504" i="2"/>
  <c r="BP501" i="2"/>
  <c r="Z501" i="2"/>
  <c r="BP113" i="2"/>
  <c r="BP232" i="2"/>
  <c r="Z31" i="2"/>
  <c r="Y33" i="2"/>
  <c r="Z78" i="2"/>
  <c r="BP78" i="2"/>
  <c r="BP103" i="2"/>
  <c r="BP118" i="2"/>
  <c r="BP146" i="2"/>
  <c r="BP148" i="2"/>
  <c r="Z148" i="2"/>
  <c r="Z161" i="2"/>
  <c r="BN161" i="2"/>
  <c r="Z166" i="2"/>
  <c r="BN166" i="2"/>
  <c r="BP177" i="2"/>
  <c r="BN216" i="2"/>
  <c r="BP221" i="2"/>
  <c r="BN244" i="2"/>
  <c r="Z273" i="2"/>
  <c r="BN273" i="2"/>
  <c r="BP282" i="2"/>
  <c r="Z282" i="2"/>
  <c r="Y308" i="2"/>
  <c r="Y307" i="2"/>
  <c r="Z306" i="2"/>
  <c r="Z307" i="2" s="1"/>
  <c r="BP337" i="2"/>
  <c r="BN337" i="2"/>
  <c r="Y341" i="2"/>
  <c r="Z345" i="2"/>
  <c r="Y348" i="2"/>
  <c r="BN345" i="2"/>
  <c r="S572" i="2"/>
  <c r="Y352" i="2"/>
  <c r="BN351" i="2"/>
  <c r="Y353" i="2"/>
  <c r="BP351" i="2"/>
  <c r="Z351" i="2"/>
  <c r="Z352" i="2" s="1"/>
  <c r="BP396" i="2"/>
  <c r="BP401" i="2"/>
  <c r="BN401" i="2"/>
  <c r="BP429" i="2"/>
  <c r="BP475" i="2"/>
  <c r="BN475" i="2"/>
  <c r="BP491" i="2"/>
  <c r="BP509" i="2"/>
  <c r="BN515" i="2"/>
  <c r="BP515" i="2"/>
  <c r="Z515" i="2"/>
  <c r="T572" i="2"/>
  <c r="Y364" i="2"/>
  <c r="BP370" i="2"/>
  <c r="BP390" i="2"/>
  <c r="BP541" i="2"/>
  <c r="BP136" i="2"/>
  <c r="Y182" i="2"/>
  <c r="BP176" i="2"/>
  <c r="BP180" i="2"/>
  <c r="BP193" i="2"/>
  <c r="BP200" i="2"/>
  <c r="BP204" i="2"/>
  <c r="BP231" i="2"/>
  <c r="BP263" i="2"/>
  <c r="BP279" i="2"/>
  <c r="BP295" i="2"/>
  <c r="Y314" i="2"/>
  <c r="BP340" i="2"/>
  <c r="Z360" i="2"/>
  <c r="BP360" i="2"/>
  <c r="Y363" i="2"/>
  <c r="Z381" i="2"/>
  <c r="Z395" i="2"/>
  <c r="Z402" i="2"/>
  <c r="Z440" i="2"/>
  <c r="BP441" i="2"/>
  <c r="Y572" i="2"/>
  <c r="Z466" i="2"/>
  <c r="Z470" i="2"/>
  <c r="Z471" i="2" s="1"/>
  <c r="BP470" i="2"/>
  <c r="Z476" i="2"/>
  <c r="Y522" i="2"/>
  <c r="Z525" i="2"/>
  <c r="AC572" i="2"/>
  <c r="Z541" i="2"/>
  <c r="Z542" i="2" s="1"/>
  <c r="Y546" i="2"/>
  <c r="Z549" i="2"/>
  <c r="Z550" i="2" s="1"/>
  <c r="BP119" i="2"/>
  <c r="Z131" i="2"/>
  <c r="Y137" i="2"/>
  <c r="BP160" i="2"/>
  <c r="Z185" i="2"/>
  <c r="Z220" i="2"/>
  <c r="Z224" i="2"/>
  <c r="BP226" i="2"/>
  <c r="Z260" i="2"/>
  <c r="Z272" i="2"/>
  <c r="BP274" i="2"/>
  <c r="Z293" i="2"/>
  <c r="Z302" i="2"/>
  <c r="Z303" i="2" s="1"/>
  <c r="Y304" i="2"/>
  <c r="BP312" i="2"/>
  <c r="Z324" i="2"/>
  <c r="Z338" i="2"/>
  <c r="Z341" i="2" s="1"/>
  <c r="Z346" i="2"/>
  <c r="Z362" i="2"/>
  <c r="BN370" i="2"/>
  <c r="Z372" i="2"/>
  <c r="Z379" i="2"/>
  <c r="BP380" i="2"/>
  <c r="Z383" i="2"/>
  <c r="BN390" i="2"/>
  <c r="Z403" i="2"/>
  <c r="BP407" i="2"/>
  <c r="Z414" i="2"/>
  <c r="BP423" i="2"/>
  <c r="Z430" i="2"/>
  <c r="Y444" i="2"/>
  <c r="BP437" i="2"/>
  <c r="Y451" i="2"/>
  <c r="BP447" i="2"/>
  <c r="Z465" i="2"/>
  <c r="Z467" i="2" s="1"/>
  <c r="BP465" i="2"/>
  <c r="BP484" i="2"/>
  <c r="BN486" i="2"/>
  <c r="BN519" i="2"/>
  <c r="Y532" i="2"/>
  <c r="Z537" i="2"/>
  <c r="Z538" i="2" s="1"/>
  <c r="Y542" i="2"/>
  <c r="BP331" i="2"/>
  <c r="BN331" i="2"/>
  <c r="Z331" i="2"/>
  <c r="BP61" i="2"/>
  <c r="BN61" i="2"/>
  <c r="Z61" i="2"/>
  <c r="H9" i="2"/>
  <c r="BP67" i="2"/>
  <c r="Y70" i="2"/>
  <c r="BN67" i="2"/>
  <c r="Z107" i="2"/>
  <c r="BP107" i="2"/>
  <c r="BN107" i="2"/>
  <c r="Z130" i="2"/>
  <c r="Z132" i="2" s="1"/>
  <c r="H572" i="2"/>
  <c r="Y133" i="2"/>
  <c r="Y132" i="2"/>
  <c r="BP130" i="2"/>
  <c r="BN130" i="2"/>
  <c r="BP174" i="2"/>
  <c r="BN174" i="2"/>
  <c r="Z174" i="2"/>
  <c r="BP219" i="2"/>
  <c r="BN219" i="2"/>
  <c r="Z219" i="2"/>
  <c r="Z267" i="2"/>
  <c r="BP267" i="2"/>
  <c r="BN267" i="2"/>
  <c r="BP276" i="2"/>
  <c r="BN276" i="2"/>
  <c r="Z276" i="2"/>
  <c r="Y385" i="2"/>
  <c r="BP378" i="2"/>
  <c r="BN378" i="2"/>
  <c r="Z378" i="2"/>
  <c r="Y122" i="2"/>
  <c r="BP121" i="2"/>
  <c r="BN121" i="2"/>
  <c r="F10" i="2"/>
  <c r="J9" i="2"/>
  <c r="F9" i="2"/>
  <c r="BP286" i="2"/>
  <c r="BN286" i="2"/>
  <c r="Z286" i="2"/>
  <c r="Y288" i="2"/>
  <c r="Z153" i="2"/>
  <c r="Z154" i="2" s="1"/>
  <c r="Y154" i="2"/>
  <c r="BP153" i="2"/>
  <c r="BN153" i="2"/>
  <c r="BP320" i="2"/>
  <c r="BN320" i="2"/>
  <c r="Z320" i="2"/>
  <c r="BN62" i="2"/>
  <c r="BP62" i="2"/>
  <c r="Y76" i="2"/>
  <c r="Y75" i="2"/>
  <c r="BP73" i="2"/>
  <c r="BN73" i="2"/>
  <c r="Z73" i="2"/>
  <c r="Y91" i="2"/>
  <c r="BP85" i="2"/>
  <c r="BN85" i="2"/>
  <c r="F572" i="2"/>
  <c r="Y155" i="2"/>
  <c r="BP239" i="2"/>
  <c r="BN239" i="2"/>
  <c r="Z239" i="2"/>
  <c r="Y99" i="2"/>
  <c r="Y98" i="2"/>
  <c r="BP94" i="2"/>
  <c r="BN94" i="2"/>
  <c r="Z94" i="2"/>
  <c r="Z277" i="2"/>
  <c r="BP277" i="2"/>
  <c r="BN277" i="2"/>
  <c r="J572" i="2"/>
  <c r="BP158" i="2"/>
  <c r="BN158" i="2"/>
  <c r="Y163" i="2"/>
  <c r="Y269" i="2"/>
  <c r="BP297" i="2"/>
  <c r="BN297" i="2"/>
  <c r="Z297" i="2"/>
  <c r="BP325" i="2"/>
  <c r="BN325" i="2"/>
  <c r="Y398" i="2"/>
  <c r="BP394" i="2"/>
  <c r="Y397" i="2"/>
  <c r="BN394" i="2"/>
  <c r="Z394" i="2"/>
  <c r="BP455" i="2"/>
  <c r="BN455" i="2"/>
  <c r="Z455" i="2"/>
  <c r="BN24" i="2"/>
  <c r="Z24" i="2"/>
  <c r="Z79" i="2"/>
  <c r="I572" i="2"/>
  <c r="Z158" i="2"/>
  <c r="BP178" i="2"/>
  <c r="BN178" i="2"/>
  <c r="BP223" i="2"/>
  <c r="BN223" i="2"/>
  <c r="Z223" i="2"/>
  <c r="BP281" i="2"/>
  <c r="BN281" i="2"/>
  <c r="Z287" i="2"/>
  <c r="BP287" i="2"/>
  <c r="BN287" i="2"/>
  <c r="Y326" i="2"/>
  <c r="Z325" i="2"/>
  <c r="BP388" i="2"/>
  <c r="BN388" i="2"/>
  <c r="Z388" i="2"/>
  <c r="BP22" i="2"/>
  <c r="B572" i="2"/>
  <c r="Y27" i="2"/>
  <c r="Z22" i="2"/>
  <c r="BN22" i="2"/>
  <c r="BN39" i="2"/>
  <c r="BP39" i="2"/>
  <c r="D572" i="2"/>
  <c r="Z178" i="2"/>
  <c r="K572" i="2"/>
  <c r="BP256" i="2"/>
  <c r="BN256" i="2"/>
  <c r="Z256" i="2"/>
  <c r="Z281" i="2"/>
  <c r="Y52" i="2"/>
  <c r="BP50" i="2"/>
  <c r="BN50" i="2"/>
  <c r="Z50" i="2"/>
  <c r="Y63" i="2"/>
  <c r="BN79" i="2"/>
  <c r="Z86" i="2"/>
  <c r="BP86" i="2"/>
  <c r="BN86" i="2"/>
  <c r="BN95" i="2"/>
  <c r="BP95" i="2"/>
  <c r="Y110" i="2"/>
  <c r="Y123" i="2"/>
  <c r="BN149" i="2"/>
  <c r="Z149" i="2"/>
  <c r="BN172" i="2"/>
  <c r="Z172" i="2"/>
  <c r="Y334" i="2"/>
  <c r="BP233" i="2"/>
  <c r="BN233" i="2"/>
  <c r="Z233" i="2"/>
  <c r="Y235" i="2"/>
  <c r="X563" i="2"/>
  <c r="Y109" i="2"/>
  <c r="BP105" i="2"/>
  <c r="BN105" i="2"/>
  <c r="Z105" i="2"/>
  <c r="Y187" i="2"/>
  <c r="Y186" i="2"/>
  <c r="BP184" i="2"/>
  <c r="BN184" i="2"/>
  <c r="Z184" i="2"/>
  <c r="BP202" i="2"/>
  <c r="BN202" i="2"/>
  <c r="Z202" i="2"/>
  <c r="Y207" i="2"/>
  <c r="Y206" i="2"/>
  <c r="Y236" i="2"/>
  <c r="Y42" i="2"/>
  <c r="BP38" i="2"/>
  <c r="BN38" i="2"/>
  <c r="Z38" i="2"/>
  <c r="BN25" i="2"/>
  <c r="Z25" i="2"/>
  <c r="Y127" i="2"/>
  <c r="BN125" i="2"/>
  <c r="Z125" i="2"/>
  <c r="Z126" i="2" s="1"/>
  <c r="Y143" i="2"/>
  <c r="Y142" i="2"/>
  <c r="BP140" i="2"/>
  <c r="BN140" i="2"/>
  <c r="Z140" i="2"/>
  <c r="BP149" i="2"/>
  <c r="Y162" i="2"/>
  <c r="BP172" i="2"/>
  <c r="Y242" i="2"/>
  <c r="Y257" i="2"/>
  <c r="Y289" i="2"/>
  <c r="Y327" i="2"/>
  <c r="X564" i="2"/>
  <c r="BP251" i="2"/>
  <c r="BN251" i="2"/>
  <c r="Y375" i="2"/>
  <c r="BP368" i="2"/>
  <c r="BN368" i="2"/>
  <c r="Z368" i="2"/>
  <c r="BP26" i="2"/>
  <c r="BN26" i="2"/>
  <c r="Z26" i="2"/>
  <c r="BP57" i="2"/>
  <c r="BN57" i="2"/>
  <c r="Y64" i="2"/>
  <c r="X566" i="2"/>
  <c r="Z40" i="2"/>
  <c r="BP40" i="2"/>
  <c r="BN40" i="2"/>
  <c r="Y51" i="2"/>
  <c r="Z57" i="2"/>
  <c r="Z90" i="2"/>
  <c r="Z96" i="2"/>
  <c r="BP96" i="2"/>
  <c r="BN96" i="2"/>
  <c r="BP106" i="2"/>
  <c r="BN106" i="2"/>
  <c r="BP125" i="2"/>
  <c r="Y150" i="2"/>
  <c r="BP170" i="2"/>
  <c r="Y181" i="2"/>
  <c r="Z173" i="2"/>
  <c r="BN173" i="2"/>
  <c r="Z251" i="2"/>
  <c r="Y284" i="2"/>
  <c r="X562" i="2"/>
  <c r="BP215" i="2"/>
  <c r="BN215" i="2"/>
  <c r="Y227" i="2"/>
  <c r="BP266" i="2"/>
  <c r="BN266" i="2"/>
  <c r="Z266" i="2"/>
  <c r="Y300" i="2"/>
  <c r="Y258" i="2"/>
  <c r="BN298" i="2"/>
  <c r="BN310" i="2"/>
  <c r="BN321" i="2"/>
  <c r="BN332" i="2"/>
  <c r="Y357" i="2"/>
  <c r="BN400" i="2"/>
  <c r="Y411" i="2"/>
  <c r="Z421" i="2"/>
  <c r="Z439" i="2"/>
  <c r="Z449" i="2"/>
  <c r="Y462" i="2"/>
  <c r="Y477" i="2"/>
  <c r="BN521" i="2"/>
  <c r="BN531" i="2"/>
  <c r="BN545" i="2"/>
  <c r="L572" i="2"/>
  <c r="Y424" i="2"/>
  <c r="Y445" i="2"/>
  <c r="Y468" i="2"/>
  <c r="Z502" i="2"/>
  <c r="Z514" i="2"/>
  <c r="BN526" i="2"/>
  <c r="Y539" i="2"/>
  <c r="Y551" i="2"/>
  <c r="M572" i="2"/>
  <c r="Z250" i="2"/>
  <c r="Z255" i="2"/>
  <c r="Z265" i="2"/>
  <c r="Z275" i="2"/>
  <c r="Z296" i="2"/>
  <c r="BP298" i="2"/>
  <c r="BP310" i="2"/>
  <c r="Z319" i="2"/>
  <c r="BP321" i="2"/>
  <c r="Z330" i="2"/>
  <c r="Z333" i="2" s="1"/>
  <c r="BP332" i="2"/>
  <c r="Y391" i="2"/>
  <c r="BP400" i="2"/>
  <c r="Z408" i="2"/>
  <c r="BN421" i="2"/>
  <c r="BN439" i="2"/>
  <c r="BN449" i="2"/>
  <c r="Z459" i="2"/>
  <c r="BP474" i="2"/>
  <c r="BP486" i="2"/>
  <c r="Y498" i="2"/>
  <c r="BP511" i="2"/>
  <c r="Z519" i="2"/>
  <c r="BP521" i="2"/>
  <c r="Z529" i="2"/>
  <c r="BP531" i="2"/>
  <c r="BP545" i="2"/>
  <c r="Y556" i="2"/>
  <c r="O572" i="2"/>
  <c r="BN280" i="2"/>
  <c r="Y283" i="2"/>
  <c r="BN313" i="2"/>
  <c r="BP362" i="2"/>
  <c r="Y478" i="2"/>
  <c r="BN502" i="2"/>
  <c r="BN514" i="2"/>
  <c r="P572" i="2"/>
  <c r="Y195" i="2"/>
  <c r="Z217" i="2"/>
  <c r="Y228" i="2"/>
  <c r="BN250" i="2"/>
  <c r="BN255" i="2"/>
  <c r="BN265" i="2"/>
  <c r="Y268" i="2"/>
  <c r="BN275" i="2"/>
  <c r="BN296" i="2"/>
  <c r="Y299" i="2"/>
  <c r="BN319" i="2"/>
  <c r="BN330" i="2"/>
  <c r="Y333" i="2"/>
  <c r="Y342" i="2"/>
  <c r="BN408" i="2"/>
  <c r="Y425" i="2"/>
  <c r="BN459" i="2"/>
  <c r="Q572" i="2"/>
  <c r="Z278" i="2"/>
  <c r="Z311" i="2"/>
  <c r="Z322" i="2"/>
  <c r="Y374" i="2"/>
  <c r="Y384" i="2"/>
  <c r="Y392" i="2"/>
  <c r="Z401" i="2"/>
  <c r="BP454" i="2"/>
  <c r="Z475" i="2"/>
  <c r="Z487" i="2"/>
  <c r="Z500" i="2"/>
  <c r="Z512" i="2"/>
  <c r="Z559" i="2"/>
  <c r="Z560" i="2" s="1"/>
  <c r="R572" i="2"/>
  <c r="BN306" i="2"/>
  <c r="BP408" i="2"/>
  <c r="BN437" i="2"/>
  <c r="BN447" i="2"/>
  <c r="Y450" i="2"/>
  <c r="BP459" i="2"/>
  <c r="BN541" i="2"/>
  <c r="BN553" i="2"/>
  <c r="BN487" i="2"/>
  <c r="BN500" i="2"/>
  <c r="Y503" i="2"/>
  <c r="BN512" i="2"/>
  <c r="Y523" i="2"/>
  <c r="Y533" i="2"/>
  <c r="Y547" i="2"/>
  <c r="BN559" i="2"/>
  <c r="BP553" i="2"/>
  <c r="U572" i="2"/>
  <c r="BN344" i="2"/>
  <c r="Y347" i="2"/>
  <c r="Z355" i="2"/>
  <c r="Z356" i="2" s="1"/>
  <c r="BN369" i="2"/>
  <c r="BN379" i="2"/>
  <c r="BN389" i="2"/>
  <c r="Z409" i="2"/>
  <c r="BN422" i="2"/>
  <c r="BN428" i="2"/>
  <c r="Y431" i="2"/>
  <c r="BN440" i="2"/>
  <c r="Z460" i="2"/>
  <c r="Z485" i="2"/>
  <c r="Z510" i="2"/>
  <c r="Z520" i="2"/>
  <c r="Z530" i="2"/>
  <c r="BP559" i="2"/>
  <c r="C572" i="2"/>
  <c r="V572" i="2"/>
  <c r="Y315" i="2"/>
  <c r="Y405" i="2"/>
  <c r="W572" i="2"/>
  <c r="BN355" i="2"/>
  <c r="Z367" i="2"/>
  <c r="Z377" i="2"/>
  <c r="Z387" i="2"/>
  <c r="BN409" i="2"/>
  <c r="Z420" i="2"/>
  <c r="Z438" i="2"/>
  <c r="Z448" i="2"/>
  <c r="Z450" i="2" s="1"/>
  <c r="BN460" i="2"/>
  <c r="BN485" i="2"/>
  <c r="Y488" i="2"/>
  <c r="Z496" i="2"/>
  <c r="Z497" i="2" s="1"/>
  <c r="BN510" i="2"/>
  <c r="BN520" i="2"/>
  <c r="BN530" i="2"/>
  <c r="Z554" i="2"/>
  <c r="Y560" i="2"/>
  <c r="E572" i="2"/>
  <c r="Z218" i="2"/>
  <c r="BN537" i="2"/>
  <c r="BN549" i="2"/>
  <c r="Z238" i="2"/>
  <c r="Z30" i="2"/>
  <c r="Z32" i="2" s="1"/>
  <c r="Z37" i="2"/>
  <c r="Y151" i="2"/>
  <c r="BN238" i="2"/>
  <c r="Y241" i="2"/>
  <c r="Z249" i="2"/>
  <c r="Z318" i="2"/>
  <c r="BP355" i="2"/>
  <c r="BN420" i="2"/>
  <c r="BN438" i="2"/>
  <c r="BN448" i="2"/>
  <c r="Z483" i="2"/>
  <c r="BN496" i="2"/>
  <c r="Z508" i="2"/>
  <c r="Z528" i="2"/>
  <c r="BN554" i="2"/>
  <c r="G572" i="2"/>
  <c r="Z572" i="2"/>
  <c r="Z88" i="2"/>
  <c r="BN30" i="2"/>
  <c r="BN88" i="2"/>
  <c r="BN402" i="2"/>
  <c r="BN453" i="2"/>
  <c r="Y456" i="2"/>
  <c r="BP466" i="2"/>
  <c r="BN476" i="2"/>
  <c r="BN501" i="2"/>
  <c r="BN513" i="2"/>
  <c r="Y516" i="2"/>
  <c r="BP537" i="2"/>
  <c r="BP549" i="2"/>
  <c r="Y561" i="2"/>
  <c r="AA572" i="2"/>
  <c r="BN483" i="2"/>
  <c r="BP496" i="2"/>
  <c r="BN508" i="2"/>
  <c r="BN528" i="2"/>
  <c r="AB572" i="2"/>
  <c r="Y538" i="2"/>
  <c r="BP508" i="2"/>
  <c r="Z444" i="2" l="1"/>
  <c r="Z384" i="2"/>
  <c r="Z477" i="2"/>
  <c r="Z404" i="2"/>
  <c r="Z51" i="2"/>
  <c r="Z75" i="2"/>
  <c r="Z363" i="2"/>
  <c r="Z109" i="2"/>
  <c r="Z150" i="2"/>
  <c r="Z81" i="2"/>
  <c r="Z63" i="2"/>
  <c r="Z142" i="2"/>
  <c r="Z186" i="2"/>
  <c r="Z456" i="2"/>
  <c r="Z416" i="2"/>
  <c r="Z347" i="2"/>
  <c r="Z431" i="2"/>
  <c r="Z42" i="2"/>
  <c r="Z241" i="2"/>
  <c r="Z555" i="2"/>
  <c r="Z424" i="2"/>
  <c r="Z391" i="2"/>
  <c r="Z374" i="2"/>
  <c r="Z314" i="2"/>
  <c r="Z227" i="2"/>
  <c r="Z522" i="2"/>
  <c r="Z268" i="2"/>
  <c r="Z206" i="2"/>
  <c r="Z235" i="2"/>
  <c r="Z162" i="2"/>
  <c r="Z397" i="2"/>
  <c r="Z299" i="2"/>
  <c r="Z532" i="2"/>
  <c r="Z503" i="2"/>
  <c r="Z410" i="2"/>
  <c r="Z288" i="2"/>
  <c r="Z181" i="2"/>
  <c r="Y562" i="2"/>
  <c r="Z283" i="2"/>
  <c r="Z167" i="2"/>
  <c r="Y566" i="2"/>
  <c r="Z257" i="2"/>
  <c r="Z516" i="2"/>
  <c r="Z461" i="2"/>
  <c r="Y564" i="2"/>
  <c r="Z98" i="2"/>
  <c r="Z488" i="2"/>
  <c r="Y563" i="2"/>
  <c r="Z326" i="2"/>
  <c r="Z252" i="2"/>
  <c r="X565" i="2"/>
  <c r="Z91" i="2"/>
  <c r="Z27" i="2"/>
  <c r="Z567" i="2" l="1"/>
  <c r="Y565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<sst xmlns="http://schemas.openxmlformats.org/spreadsheetml/2006/main" count="4249" uniqueCount="899">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</sst>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46331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883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Четверг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2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500</v>
      </c>
      <c r="Y47" s="55">
        <f>IFERROR(IF(X47="",0,CEILING((X47/$H47),1)*$H47),"")</f>
        <v>507.6</v>
      </c>
      <c r="Z47" s="41">
        <f>IFERROR(IF(Y47=0,"",ROUNDUP(Y47/H47,0)*0.01898),"")</f>
        <v>0.89205999999999996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518.98148148148141</v>
      </c>
      <c r="BN47" s="78">
        <f>IFERROR(Y47*I47/H47,"0")</f>
        <v>526.87</v>
      </c>
      <c r="BO47" s="78">
        <f>IFERROR(1/J47*(X47/H47),"0")</f>
        <v>0.72337962962962954</v>
      </c>
      <c r="BP47" s="78">
        <f>IFERROR(1/J47*(Y47/H47),"0")</f>
        <v>0.734375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46.296296296296291</v>
      </c>
      <c r="Y51" s="43">
        <f>IFERROR(Y47/H47,"0")+IFERROR(Y48/H48,"0")+IFERROR(Y49/H49,"0")+IFERROR(Y50/H50,"0")</f>
        <v>47</v>
      </c>
      <c r="Z51" s="43">
        <f>IFERROR(IF(Z47="",0,Z47),"0")+IFERROR(IF(Z48="",0,Z48),"0")+IFERROR(IF(Z49="",0,Z49),"0")+IFERROR(IF(Z50="",0,Z50),"0")</f>
        <v>0.89205999999999996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500</v>
      </c>
      <c r="Y52" s="43">
        <f>IFERROR(SUM(Y47:Y50),"0")</f>
        <v>507.6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250</v>
      </c>
      <c r="Y56" s="55">
        <f t="shared" si="0"/>
        <v>259.20000000000005</v>
      </c>
      <c r="Z56" s="41">
        <f>IFERROR(IF(Y56=0,"",ROUNDUP(Y56/H56,0)*0.01898),"")</f>
        <v>0.45552000000000004</v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259.4907407407407</v>
      </c>
      <c r="BN56" s="78">
        <f t="shared" si="2"/>
        <v>269.04000000000002</v>
      </c>
      <c r="BO56" s="78">
        <f t="shared" si="3"/>
        <v>0.36168981481481477</v>
      </c>
      <c r="BP56" s="78">
        <f t="shared" si="4"/>
        <v>0.37500000000000006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33.148148148148145</v>
      </c>
      <c r="Y63" s="43">
        <f>IFERROR(Y55/H55,"0")+IFERROR(Y56/H56,"0")+IFERROR(Y57/H57,"0")+IFERROR(Y58/H58,"0")+IFERROR(Y59/H59,"0")+IFERROR(Y60/H60,"0")+IFERROR(Y61/H61,"0")+IFERROR(Y62/H62,"0")</f>
        <v>34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0.54571999999999998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295</v>
      </c>
      <c r="Y64" s="43">
        <f>IFERROR(SUM(Y55:Y62),"0")</f>
        <v>304.20000000000005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hidden="1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350</v>
      </c>
      <c r="Y85" s="55">
        <f t="shared" ref="Y85:Y90" si="5">IFERROR(IF(X85="",0,CEILING((X85/$H85),1)*$H85),"")</f>
        <v>356.40000000000003</v>
      </c>
      <c r="Z85" s="41">
        <f>IFERROR(IF(Y85=0,"",ROUNDUP(Y85/H85,0)*0.01898),"")</f>
        <v>0.62634000000000001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363.28703703703707</v>
      </c>
      <c r="BN85" s="78">
        <f t="shared" ref="BN85:BN90" si="7">IFERROR(Y85*I85/H85,"0")</f>
        <v>369.93</v>
      </c>
      <c r="BO85" s="78">
        <f t="shared" ref="BO85:BO90" si="8">IFERROR(1/J85*(X85/H85),"0")</f>
        <v>0.5063657407407407</v>
      </c>
      <c r="BP85" s="78">
        <f t="shared" ref="BP85:BP90" si="9">IFERROR(1/J85*(Y85/H85),"0")</f>
        <v>0.515625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32.407407407407405</v>
      </c>
      <c r="Y91" s="43">
        <f>IFERROR(Y85/H85,"0")+IFERROR(Y86/H86,"0")+IFERROR(Y87/H87,"0")+IFERROR(Y88/H88,"0")+IFERROR(Y89/H89,"0")+IFERROR(Y90/H90,"0")</f>
        <v>33</v>
      </c>
      <c r="Z91" s="43">
        <f>IFERROR(IF(Z85="",0,Z85),"0")+IFERROR(IF(Z86="",0,Z86),"0")+IFERROR(IF(Z87="",0,Z87),"0")+IFERROR(IF(Z88="",0,Z88),"0")+IFERROR(IF(Z89="",0,Z89),"0")+IFERROR(IF(Z90="",0,Z90),"0")</f>
        <v>0.62634000000000001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350</v>
      </c>
      <c r="Y92" s="43">
        <f>IFERROR(SUM(Y85:Y90),"0")</f>
        <v>356.40000000000003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67.5</v>
      </c>
      <c r="Y96" s="55">
        <f>IFERROR(IF(X96="",0,CEILING((X96/$H96),1)*$H96),"")</f>
        <v>67.5</v>
      </c>
      <c r="Z96" s="41">
        <f>IFERROR(IF(Y96=0,"",ROUNDUP(Y96/H96,0)*0.00651),"")</f>
        <v>0.16275000000000001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73.8</v>
      </c>
      <c r="BN96" s="78">
        <f>IFERROR(Y96*I96/H96,"0")</f>
        <v>73.8</v>
      </c>
      <c r="BO96" s="78">
        <f>IFERROR(1/J96*(X96/H96),"0")</f>
        <v>0.13736263736263737</v>
      </c>
      <c r="BP96" s="78">
        <f>IFERROR(1/J96*(Y96/H96),"0")</f>
        <v>0.13736263736263737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25</v>
      </c>
      <c r="Y98" s="43">
        <f>IFERROR(Y94/H94,"0")+IFERROR(Y95/H95,"0")+IFERROR(Y96/H96,"0")+IFERROR(Y97/H97,"0")</f>
        <v>25</v>
      </c>
      <c r="Z98" s="43">
        <f>IFERROR(IF(Z94="",0,Z94),"0")+IFERROR(IF(Z95="",0,Z95),"0")+IFERROR(IF(Z96="",0,Z96),"0")+IFERROR(IF(Z97="",0,Z97),"0")</f>
        <v>0.16275000000000001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67.5</v>
      </c>
      <c r="Y99" s="43">
        <f>IFERROR(SUM(Y94:Y97),"0")</f>
        <v>67.5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250</v>
      </c>
      <c r="Y102" s="55">
        <f t="shared" ref="Y102:Y108" si="10">IFERROR(IF(X102="",0,CEILING((X102/$H102),1)*$H102),"")</f>
        <v>259.20000000000005</v>
      </c>
      <c r="Z102" s="41">
        <f>IFERROR(IF(Y102=0,"",ROUNDUP(Y102/H102,0)*0.01898),"")</f>
        <v>0.45552000000000004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259.4907407407407</v>
      </c>
      <c r="BN102" s="78">
        <f t="shared" ref="BN102:BN108" si="12">IFERROR(Y102*I102/H102,"0")</f>
        <v>269.04000000000002</v>
      </c>
      <c r="BO102" s="78">
        <f t="shared" ref="BO102:BO108" si="13">IFERROR(1/J102*(X102/H102),"0")</f>
        <v>0.36168981481481477</v>
      </c>
      <c r="BP102" s="78">
        <f t="shared" ref="BP102:BP108" si="14">IFERROR(1/J102*(Y102/H102),"0")</f>
        <v>0.37500000000000006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23.148148148148145</v>
      </c>
      <c r="Y109" s="43">
        <f>IFERROR(Y102/H102,"0")+IFERROR(Y103/H103,"0")+IFERROR(Y104/H104,"0")+IFERROR(Y105/H105,"0")+IFERROR(Y106/H106,"0")+IFERROR(Y107/H107,"0")+IFERROR(Y108/H108,"0")</f>
        <v>24.000000000000004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0.45552000000000004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250</v>
      </c>
      <c r="Y110" s="43">
        <f>IFERROR(SUM(Y102:Y108),"0")</f>
        <v>259.20000000000005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100</v>
      </c>
      <c r="Y112" s="55">
        <f>IFERROR(IF(X112="",0,CEILING((X112/$H112),1)*$H112),"")</f>
        <v>108</v>
      </c>
      <c r="Z112" s="41">
        <f>IFERROR(IF(Y112=0,"",ROUNDUP(Y112/H112,0)*0.01898),"")</f>
        <v>0.1898</v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103.79629629629629</v>
      </c>
      <c r="BN112" s="78">
        <f>IFERROR(Y112*I112/H112,"0")</f>
        <v>112.1</v>
      </c>
      <c r="BO112" s="78">
        <f>IFERROR(1/J112*(X112/H112),"0")</f>
        <v>0.14467592592592593</v>
      </c>
      <c r="BP112" s="78">
        <f>IFERROR(1/J112*(Y112/H112),"0")</f>
        <v>0.15625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9.2592592592592595</v>
      </c>
      <c r="Y115" s="43">
        <f>IFERROR(Y112/H112,"0")+IFERROR(Y113/H113,"0")+IFERROR(Y114/H114,"0")</f>
        <v>10</v>
      </c>
      <c r="Z115" s="43">
        <f>IFERROR(IF(Z112="",0,Z112),"0")+IFERROR(IF(Z113="",0,Z113),"0")+IFERROR(IF(Z114="",0,Z114),"0")</f>
        <v>0.1898</v>
      </c>
      <c r="AA115" s="67"/>
      <c r="AB115" s="67"/>
      <c r="AC115" s="67"/>
    </row>
    <row r="116" spans="1:68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100</v>
      </c>
      <c r="Y116" s="43">
        <f>IFERROR(SUM(Y112:Y114),"0")</f>
        <v>108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200</v>
      </c>
      <c r="Y118" s="55">
        <f>IFERROR(IF(X118="",0,CEILING((X118/$H118),1)*$H118),"")</f>
        <v>202.5</v>
      </c>
      <c r="Z118" s="41">
        <f>IFERROR(IF(Y118=0,"",ROUNDUP(Y118/H118,0)*0.01898),"")</f>
        <v>0.47450000000000003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212.04938271604939</v>
      </c>
      <c r="BN118" s="78">
        <f>IFERROR(Y118*I118/H118,"0")</f>
        <v>214.7</v>
      </c>
      <c r="BO118" s="78">
        <f>IFERROR(1/J118*(X118/H118),"0")</f>
        <v>0.38580246913580246</v>
      </c>
      <c r="BP118" s="78">
        <f>IFERROR(1/J118*(Y118/H118),"0")</f>
        <v>0.390625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94.5</v>
      </c>
      <c r="Y120" s="55">
        <f>IFERROR(IF(X120="",0,CEILING((X120/$H120),1)*$H120),"")</f>
        <v>94.5</v>
      </c>
      <c r="Z120" s="41">
        <f>IFERROR(IF(Y120=0,"",ROUNDUP(Y120/H120,0)*0.00651),"")</f>
        <v>0.22785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103.32</v>
      </c>
      <c r="BN120" s="78">
        <f>IFERROR(Y120*I120/H120,"0")</f>
        <v>103.32</v>
      </c>
      <c r="BO120" s="78">
        <f>IFERROR(1/J120*(X120/H120),"0")</f>
        <v>0.19230769230769232</v>
      </c>
      <c r="BP120" s="78">
        <f>IFERROR(1/J120*(Y120/H120),"0")</f>
        <v>0.19230769230769232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59.691358024691354</v>
      </c>
      <c r="Y122" s="43">
        <f>IFERROR(Y118/H118,"0")+IFERROR(Y119/H119,"0")+IFERROR(Y120/H120,"0")+IFERROR(Y121/H121,"0")</f>
        <v>60</v>
      </c>
      <c r="Z122" s="43">
        <f>IFERROR(IF(Z118="",0,Z118),"0")+IFERROR(IF(Z119="",0,Z119),"0")+IFERROR(IF(Z120="",0,Z120),"0")+IFERROR(IF(Z121="",0,Z121),"0")</f>
        <v>0.70235000000000003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294.5</v>
      </c>
      <c r="Y123" s="43">
        <f>IFERROR(SUM(Y118:Y121),"0")</f>
        <v>297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80</v>
      </c>
      <c r="Y260" s="55">
        <f t="shared" ref="Y260:Y267" si="31">IFERROR(IF(X260="",0,CEILING((X260/$H260),1)*$H260),"")</f>
        <v>81</v>
      </c>
      <c r="Z260" s="41">
        <f>IFERROR(IF(Y260=0,"",ROUNDUP(Y260/H260,0)*0.00902),"")</f>
        <v>0.1353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82.81481481481481</v>
      </c>
      <c r="BN260" s="78">
        <f t="shared" ref="BN260:BN267" si="33">IFERROR(Y260*I260/H260,"0")</f>
        <v>83.85</v>
      </c>
      <c r="BO260" s="78">
        <f t="shared" ref="BO260:BO267" si="34">IFERROR(1/J260*(X260/H260),"0")</f>
        <v>0.11223344556677889</v>
      </c>
      <c r="BP260" s="78">
        <f t="shared" ref="BP260:BP267" si="35">IFERROR(1/J260*(Y260/H260),"0")</f>
        <v>0.11363636363636363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30</v>
      </c>
      <c r="Y261" s="55">
        <f t="shared" si="31"/>
        <v>32.400000000000006</v>
      </c>
      <c r="Z261" s="41">
        <f>IFERROR(IF(Y261=0,"",ROUNDUP(Y261/H261,0)*0.00902),"")</f>
        <v>5.4120000000000001E-2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31.05555555555555</v>
      </c>
      <c r="BN261" s="78">
        <f t="shared" si="33"/>
        <v>33.54</v>
      </c>
      <c r="BO261" s="78">
        <f t="shared" si="34"/>
        <v>4.208754208754209E-2</v>
      </c>
      <c r="BP261" s="78">
        <f t="shared" si="35"/>
        <v>4.5454545454545463E-2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1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62.1111111111111</v>
      </c>
      <c r="BN262" s="78">
        <f t="shared" si="33"/>
        <v>67.08</v>
      </c>
      <c r="BO262" s="78">
        <f t="shared" si="34"/>
        <v>8.4175084175084181E-2</v>
      </c>
      <c r="BP262" s="78">
        <f t="shared" si="35"/>
        <v>9.0909090909090925E-2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50</v>
      </c>
      <c r="Y263" s="55">
        <f t="shared" si="31"/>
        <v>54</v>
      </c>
      <c r="Z263" s="41">
        <f>IFERROR(IF(Y263=0,"",ROUNDUP(Y263/H263,0)*0.00902),"")</f>
        <v>9.0200000000000002E-2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51.759259259259252</v>
      </c>
      <c r="BN263" s="78">
        <f t="shared" si="33"/>
        <v>55.9</v>
      </c>
      <c r="BO263" s="78">
        <f t="shared" si="34"/>
        <v>7.0145903479236812E-2</v>
      </c>
      <c r="BP263" s="78">
        <f t="shared" si="35"/>
        <v>7.575757575757576E-2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40.740740740740733</v>
      </c>
      <c r="Y268" s="43">
        <f>IFERROR(Y260/H260,"0")+IFERROR(Y261/H261,"0")+IFERROR(Y262/H262,"0")+IFERROR(Y263/H263,"0")+IFERROR(Y264/H264,"0")+IFERROR(Y265/H265,"0")+IFERROR(Y266/H266,"0")+IFERROR(Y267/H267,"0")</f>
        <v>43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0.38786000000000004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220</v>
      </c>
      <c r="Y269" s="43">
        <f>IFERROR(SUM(Y260:Y267),"0")</f>
        <v>232.20000000000002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idden="1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hidden="1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50</v>
      </c>
      <c r="Y323" s="55">
        <f t="shared" si="46"/>
        <v>54</v>
      </c>
      <c r="Z323" s="41">
        <f t="shared" si="47"/>
        <v>9.4899999999999998E-2</v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51.898148148148145</v>
      </c>
      <c r="BN323" s="78">
        <f t="shared" si="49"/>
        <v>56.05</v>
      </c>
      <c r="BO323" s="78">
        <f t="shared" si="50"/>
        <v>7.2337962962962965E-2</v>
      </c>
      <c r="BP323" s="78">
        <f t="shared" si="51"/>
        <v>7.8125E-2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4.6296296296296298</v>
      </c>
      <c r="Y326" s="43">
        <f>IFERROR(Y318/H318,"0")+IFERROR(Y319/H319,"0")+IFERROR(Y320/H320,"0")+IFERROR(Y321/H321,"0")+IFERROR(Y322/H322,"0")+IFERROR(Y323/H323,"0")+IFERROR(Y324/H324,"0")+IFERROR(Y325/H325,"0")</f>
        <v>5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9.4899999999999998E-2</v>
      </c>
      <c r="AA326" s="67"/>
      <c r="AB326" s="67"/>
      <c r="AC326" s="67"/>
    </row>
    <row r="327" spans="1:68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50</v>
      </c>
      <c r="Y327" s="43">
        <f>IFERROR(SUM(Y318:Y325),"0")</f>
        <v>54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50</v>
      </c>
      <c r="Y360" s="55">
        <f>IFERROR(IF(X360="",0,CEILING((X360/$H360),1)*$H360),"")</f>
        <v>54.6</v>
      </c>
      <c r="Z360" s="41">
        <f>IFERROR(IF(Y360=0,"",ROUNDUP(Y360/H360,0)*0.01898),"")</f>
        <v>0.13286000000000001</v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52.628205128205138</v>
      </c>
      <c r="BN360" s="78">
        <f>IFERROR(Y360*I360/H360,"0")</f>
        <v>57.470000000000013</v>
      </c>
      <c r="BO360" s="78">
        <f>IFERROR(1/J360*(X360/H360),"0")</f>
        <v>0.10016025641025642</v>
      </c>
      <c r="BP360" s="78">
        <f>IFERROR(1/J360*(Y360/H360),"0")</f>
        <v>0.109375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50</v>
      </c>
      <c r="Y361" s="55">
        <f>IFERROR(IF(X361="",0,CEILING((X361/$H361),1)*$H361),"")</f>
        <v>54.6</v>
      </c>
      <c r="Z361" s="41">
        <f>IFERROR(IF(Y361=0,"",ROUNDUP(Y361/H361,0)*0.01898),"")</f>
        <v>0.13286000000000001</v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52.628205128205138</v>
      </c>
      <c r="BN361" s="78">
        <f>IFERROR(Y361*I361/H361,"0")</f>
        <v>57.470000000000013</v>
      </c>
      <c r="BO361" s="78">
        <f>IFERROR(1/J361*(X361/H361),"0")</f>
        <v>0.10016025641025642</v>
      </c>
      <c r="BP361" s="78">
        <f>IFERROR(1/J361*(Y361/H361),"0")</f>
        <v>0.109375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12.820512820512821</v>
      </c>
      <c r="Y363" s="43">
        <f>IFERROR(Y360/H360,"0")+IFERROR(Y361/H361,"0")+IFERROR(Y362/H362,"0")</f>
        <v>14</v>
      </c>
      <c r="Z363" s="43">
        <f>IFERROR(IF(Z360="",0,Z360),"0")+IFERROR(IF(Z361="",0,Z361),"0")+IFERROR(IF(Z362="",0,Z362),"0")</f>
        <v>0.26572000000000001</v>
      </c>
      <c r="AA363" s="67"/>
      <c r="AB363" s="67"/>
      <c r="AC363" s="67"/>
    </row>
    <row r="364" spans="1:68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100</v>
      </c>
      <c r="Y364" s="43">
        <f>IFERROR(SUM(Y360:Y362),"0")</f>
        <v>109.2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0</v>
      </c>
      <c r="Y384" s="43">
        <f>IFERROR(Y377/H377,"0")+IFERROR(Y378/H378,"0")+IFERROR(Y379/H379,"0")+IFERROR(Y380/H380,"0")+IFERROR(Y381/H381,"0")+IFERROR(Y382/H382,"0")+IFERROR(Y383/H383,"0")</f>
        <v>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0</v>
      </c>
      <c r="Y385" s="43">
        <f>IFERROR(SUM(Y377:Y383),"0")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500</v>
      </c>
      <c r="Y395" s="55">
        <f>IFERROR(IF(X395="",0,CEILING((X395/$H395),1)*$H395),"")</f>
        <v>507</v>
      </c>
      <c r="Z395" s="41">
        <f>IFERROR(IF(Y395=0,"",ROUNDUP(Y395/H395,0)*0.01898),"")</f>
        <v>1.2337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531.66666666666663</v>
      </c>
      <c r="BN395" s="78">
        <f>IFERROR(Y395*I395/H395,"0")</f>
        <v>539.11</v>
      </c>
      <c r="BO395" s="78">
        <f>IFERROR(1/J395*(X395/H395),"0")</f>
        <v>1.0016025641025641</v>
      </c>
      <c r="BP395" s="78">
        <f>IFERROR(1/J395*(Y395/H395),"0")</f>
        <v>1.015625</v>
      </c>
    </row>
    <row r="396" spans="1:68" ht="27" hidden="1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64.102564102564102</v>
      </c>
      <c r="Y397" s="43">
        <f>IFERROR(Y394/H394,"0")+IFERROR(Y395/H395,"0")+IFERROR(Y396/H396,"0")</f>
        <v>65</v>
      </c>
      <c r="Z397" s="43">
        <f>IFERROR(IF(Z394="",0,Z394),"0")+IFERROR(IF(Z395="",0,Z395),"0")+IFERROR(IF(Z396="",0,Z396),"0")</f>
        <v>1.2337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500</v>
      </c>
      <c r="Y398" s="43">
        <f>IFERROR(SUM(Y394:Y396),"0")</f>
        <v>507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5.0999999999999996</v>
      </c>
      <c r="Y402" s="55">
        <f>IFERROR(IF(X402="",0,CEILING((X402/$H402),1)*$H402),"")</f>
        <v>5.0999999999999996</v>
      </c>
      <c r="Z402" s="41">
        <f>IFERROR(IF(Y402=0,"",ROUNDUP(Y402/H402,0)*0.00651),"")</f>
        <v>1.302E-2</v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5.91</v>
      </c>
      <c r="BN402" s="78">
        <f>IFERROR(Y402*I402/H402,"0")</f>
        <v>5.91</v>
      </c>
      <c r="BO402" s="78">
        <f>IFERROR(1/J402*(X402/H402),"0")</f>
        <v>1.098901098901099E-2</v>
      </c>
      <c r="BP402" s="78">
        <f>IFERROR(1/J402*(Y402/H402),"0")</f>
        <v>1.098901098901099E-2</v>
      </c>
    </row>
    <row r="403" spans="1:68" ht="27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25.5</v>
      </c>
      <c r="Y403" s="55">
        <f>IFERROR(IF(X403="",0,CEILING((X403/$H403),1)*$H403),"")</f>
        <v>25.5</v>
      </c>
      <c r="Z403" s="41">
        <f>IFERROR(IF(Y403=0,"",ROUNDUP(Y403/H403,0)*0.00651),"")</f>
        <v>6.5100000000000005E-2</v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28.8</v>
      </c>
      <c r="BN403" s="78">
        <f>IFERROR(Y403*I403/H403,"0")</f>
        <v>28.8</v>
      </c>
      <c r="BO403" s="78">
        <f>IFERROR(1/J403*(X403/H403),"0")</f>
        <v>5.4945054945054951E-2</v>
      </c>
      <c r="BP403" s="78">
        <f>IFERROR(1/J403*(Y403/H403),"0")</f>
        <v>5.4945054945054951E-2</v>
      </c>
    </row>
    <row r="404" spans="1:68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12</v>
      </c>
      <c r="Y404" s="43">
        <f>IFERROR(Y400/H400,"0")+IFERROR(Y401/H401,"0")+IFERROR(Y402/H402,"0")+IFERROR(Y403/H403,"0")</f>
        <v>12</v>
      </c>
      <c r="Z404" s="43">
        <f>IFERROR(IF(Z400="",0,Z400),"0")+IFERROR(IF(Z401="",0,Z401),"0")+IFERROR(IF(Z402="",0,Z402),"0")+IFERROR(IF(Z403="",0,Z403),"0")</f>
        <v>7.8120000000000009E-2</v>
      </c>
      <c r="AA404" s="67"/>
      <c r="AB404" s="67"/>
      <c r="AC404" s="67"/>
    </row>
    <row r="405" spans="1:68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30.6</v>
      </c>
      <c r="Y405" s="43">
        <f>IFERROR(SUM(Y400:Y403),"0")</f>
        <v>30.6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2250</v>
      </c>
      <c r="Y437" s="55">
        <f t="shared" si="62"/>
        <v>2250</v>
      </c>
      <c r="Z437" s="41">
        <f>IFERROR(IF(Y437=0,"",ROUNDUP(Y437/H437,0)*0.02175),"")</f>
        <v>3.2624999999999997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2320.5</v>
      </c>
      <c r="BN437" s="78">
        <f t="shared" si="64"/>
        <v>2320.5</v>
      </c>
      <c r="BO437" s="78">
        <f t="shared" si="65"/>
        <v>3.125</v>
      </c>
      <c r="BP437" s="78">
        <f t="shared" si="66"/>
        <v>3.125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750</v>
      </c>
      <c r="Y438" s="55">
        <f t="shared" si="62"/>
        <v>750</v>
      </c>
      <c r="Z438" s="41">
        <f>IFERROR(IF(Y438=0,"",ROUNDUP(Y438/H438,0)*0.02175),"")</f>
        <v>1.0874999999999999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773.5</v>
      </c>
      <c r="BN438" s="78">
        <f t="shared" si="64"/>
        <v>773.5</v>
      </c>
      <c r="BO438" s="78">
        <f t="shared" si="65"/>
        <v>1.0416666666666665</v>
      </c>
      <c r="BP438" s="78">
        <f t="shared" si="66"/>
        <v>1.0416666666666665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2500</v>
      </c>
      <c r="Y439" s="55">
        <f t="shared" si="62"/>
        <v>2505</v>
      </c>
      <c r="Z439" s="41">
        <f>IFERROR(IF(Y439=0,"",ROUNDUP(Y439/H439,0)*0.02175),"")</f>
        <v>3.6322499999999995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2578.3333333333335</v>
      </c>
      <c r="BN439" s="78">
        <f t="shared" si="64"/>
        <v>2583.4899999999998</v>
      </c>
      <c r="BO439" s="78">
        <f t="shared" si="65"/>
        <v>3.4722222222222219</v>
      </c>
      <c r="BP439" s="78">
        <f t="shared" si="66"/>
        <v>3.4791666666666665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366.66666666666663</v>
      </c>
      <c r="Y444" s="43">
        <f>IFERROR(Y436/H436,"0")+IFERROR(Y437/H437,"0")+IFERROR(Y438/H438,"0")+IFERROR(Y439/H439,"0")+IFERROR(Y440/H440,"0")+IFERROR(Y441/H441,"0")+IFERROR(Y442/H442,"0")+IFERROR(Y443/H443,"0")</f>
        <v>367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7.9822499999999987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5500</v>
      </c>
      <c r="Y445" s="43">
        <f>IFERROR(SUM(Y436:Y443),"0")</f>
        <v>5505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1500</v>
      </c>
      <c r="Y447" s="55">
        <f>IFERROR(IF(X447="",0,CEILING((X447/$H447),1)*$H447),"")</f>
        <v>1500</v>
      </c>
      <c r="Z447" s="41">
        <f>IFERROR(IF(Y447=0,"",ROUNDUP(Y447/H447,0)*0.02175),"")</f>
        <v>2.1749999999999998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1547</v>
      </c>
      <c r="BN447" s="78">
        <f>IFERROR(Y447*I447/H447,"0")</f>
        <v>1547</v>
      </c>
      <c r="BO447" s="78">
        <f>IFERROR(1/J447*(X447/H447),"0")</f>
        <v>2.083333333333333</v>
      </c>
      <c r="BP447" s="78">
        <f>IFERROR(1/J447*(Y447/H447),"0")</f>
        <v>2.083333333333333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100</v>
      </c>
      <c r="Y450" s="43">
        <f>IFERROR(Y447/H447,"0")+IFERROR(Y448/H448,"0")+IFERROR(Y449/H449,"0")</f>
        <v>100</v>
      </c>
      <c r="Z450" s="43">
        <f>IFERROR(IF(Z447="",0,Z447),"0")+IFERROR(IF(Z448="",0,Z448),"0")+IFERROR(IF(Z449="",0,Z449),"0")</f>
        <v>2.1749999999999998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1500</v>
      </c>
      <c r="Y451" s="43">
        <f>IFERROR(SUM(Y447:Y449),"0")</f>
        <v>1500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50</v>
      </c>
      <c r="Y465" s="55">
        <f>IFERROR(IF(X465="",0,CEILING((X465/$H465),1)*$H465),"")</f>
        <v>60</v>
      </c>
      <c r="Z465" s="41">
        <f>IFERROR(IF(Y465=0,"",ROUNDUP(Y465/H465,0)*0.01898),"")</f>
        <v>9.4899999999999998E-2</v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51.708333333333336</v>
      </c>
      <c r="BN465" s="78">
        <f>IFERROR(Y465*I465/H465,"0")</f>
        <v>62.050000000000004</v>
      </c>
      <c r="BO465" s="78">
        <f>IFERROR(1/J465*(X465/H465),"0")</f>
        <v>6.5104166666666671E-2</v>
      </c>
      <c r="BP465" s="78">
        <f>IFERROR(1/J465*(Y465/H465),"0")</f>
        <v>7.8125E-2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4.166666666666667</v>
      </c>
      <c r="Y467" s="43">
        <f>IFERROR(Y465/H465,"0")+IFERROR(Y466/H466,"0")</f>
        <v>5</v>
      </c>
      <c r="Z467" s="43">
        <f>IFERROR(IF(Z465="",0,Z465),"0")+IFERROR(IF(Z466="",0,Z466),"0")</f>
        <v>9.4899999999999998E-2</v>
      </c>
      <c r="AA467" s="67"/>
      <c r="AB467" s="67"/>
      <c r="AC467" s="67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50</v>
      </c>
      <c r="Y468" s="43">
        <f>IFERROR(SUM(Y465:Y466),"0")</f>
        <v>60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1500</v>
      </c>
      <c r="Y474" s="55">
        <f>IFERROR(IF(X474="",0,CEILING((X474/$H474),1)*$H474),"")</f>
        <v>1503</v>
      </c>
      <c r="Z474" s="41">
        <f>IFERROR(IF(Y474=0,"",ROUNDUP(Y474/H474,0)*0.01898),"")</f>
        <v>3.1696599999999999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1582.3333333333333</v>
      </c>
      <c r="BN474" s="78">
        <f>IFERROR(Y474*I474/H474,"0")</f>
        <v>1585.498</v>
      </c>
      <c r="BO474" s="78">
        <f>IFERROR(1/J474*(X474/H474),"0")</f>
        <v>2.6041666666666665</v>
      </c>
      <c r="BP474" s="78">
        <f>IFERROR(1/J474*(Y474/H474),"0")</f>
        <v>2.609375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166.66666666666666</v>
      </c>
      <c r="Y477" s="43">
        <f>IFERROR(Y474/H474,"0")+IFERROR(Y475/H475,"0")+IFERROR(Y476/H476,"0")</f>
        <v>167</v>
      </c>
      <c r="Z477" s="43">
        <f>IFERROR(IF(Z474="",0,Z474),"0")+IFERROR(IF(Z475="",0,Z475),"0")+IFERROR(IF(Z476="",0,Z476),"0")</f>
        <v>3.1696599999999999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1500</v>
      </c>
      <c r="Y478" s="43">
        <f>IFERROR(SUM(Y474:Y476),"0")</f>
        <v>1503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20</v>
      </c>
      <c r="Y483" s="55">
        <f t="shared" si="67"/>
        <v>21.6</v>
      </c>
      <c r="Z483" s="41">
        <f>IFERROR(IF(Y483=0,"",ROUNDUP(Y483/H483,0)*0.00902),"")</f>
        <v>3.6080000000000001E-2</v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20.703703703703702</v>
      </c>
      <c r="BN483" s="78">
        <f t="shared" si="69"/>
        <v>22.36</v>
      </c>
      <c r="BO483" s="78">
        <f t="shared" si="70"/>
        <v>2.8058361391694722E-2</v>
      </c>
      <c r="BP483" s="78">
        <f t="shared" si="71"/>
        <v>3.0303030303030304E-2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500</v>
      </c>
      <c r="Y511" s="55">
        <f t="shared" si="72"/>
        <v>501.6</v>
      </c>
      <c r="Z511" s="41">
        <f>IFERROR(IF(Y511=0,"",ROUNDUP(Y511/H511,0)*0.01196),"")</f>
        <v>1.1362000000000001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533.14393939393938</v>
      </c>
      <c r="BN511" s="78">
        <f t="shared" si="74"/>
        <v>534.85</v>
      </c>
      <c r="BO511" s="78">
        <f t="shared" si="75"/>
        <v>0.91054778554778548</v>
      </c>
      <c r="BP511" s="78">
        <f t="shared" si="76"/>
        <v>0.91346153846153855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1500</v>
      </c>
      <c r="Y512" s="55">
        <f t="shared" si="72"/>
        <v>1504.8000000000002</v>
      </c>
      <c r="Z512" s="41">
        <f>IFERROR(IF(Y512=0,"",ROUNDUP(Y512/H512,0)*0.01196),"")</f>
        <v>3.4085999999999999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1599.431818181818</v>
      </c>
      <c r="BN512" s="78">
        <f t="shared" si="74"/>
        <v>1604.5500000000002</v>
      </c>
      <c r="BO512" s="78">
        <f t="shared" si="75"/>
        <v>2.7316433566433567</v>
      </c>
      <c r="BP512" s="78">
        <f t="shared" si="76"/>
        <v>2.7403846153846154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378.78787878787875</v>
      </c>
      <c r="Y516" s="43">
        <f>IFERROR(Y508/H508,"0")+IFERROR(Y509/H509,"0")+IFERROR(Y510/H510,"0")+IFERROR(Y511/H511,"0")+IFERROR(Y512/H512,"0")+IFERROR(Y513/H513,"0")+IFERROR(Y514/H514,"0")+IFERROR(Y515/H515,"0")</f>
        <v>380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4.5448000000000004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2000</v>
      </c>
      <c r="Y517" s="43">
        <f>IFERROR(SUM(Y508:Y515),"0")</f>
        <v>2006.4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1500</v>
      </c>
      <c r="Y519" s="55">
        <f>IFERROR(IF(X519="",0,CEILING((X519/$H519),1)*$H519),"")</f>
        <v>1504.8000000000002</v>
      </c>
      <c r="Z519" s="41">
        <f>IFERROR(IF(Y519=0,"",ROUNDUP(Y519/H519,0)*0.01196),"")</f>
        <v>3.4085999999999999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1599.431818181818</v>
      </c>
      <c r="BN519" s="78">
        <f>IFERROR(Y519*I519/H519,"0")</f>
        <v>1604.5500000000002</v>
      </c>
      <c r="BO519" s="78">
        <f>IFERROR(1/J519*(X519/H519),"0")</f>
        <v>2.7316433566433567</v>
      </c>
      <c r="BP519" s="78">
        <f>IFERROR(1/J519*(Y519/H519),"0")</f>
        <v>2.7403846153846154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284.09090909090907</v>
      </c>
      <c r="Y522" s="43">
        <f>IFERROR(Y519/H519,"0")+IFERROR(Y520/H520,"0")+IFERROR(Y521/H521,"0")</f>
        <v>285</v>
      </c>
      <c r="Z522" s="43">
        <f>IFERROR(IF(Z519="",0,Z519),"0")+IFERROR(IF(Z520="",0,Z520),"0")+IFERROR(IF(Z521="",0,Z521),"0")</f>
        <v>3.4085999999999999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1500</v>
      </c>
      <c r="Y523" s="43">
        <f>IFERROR(SUM(Y519:Y521),"0")</f>
        <v>1504.8000000000002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350</v>
      </c>
      <c r="Y525" s="55">
        <f t="shared" ref="Y525:Y531" si="77">IFERROR(IF(X525="",0,CEILING((X525/$H525),1)*$H525),"")</f>
        <v>353.76</v>
      </c>
      <c r="Z525" s="41">
        <f>IFERROR(IF(Y525=0,"",ROUNDUP(Y525/H525,0)*0.01196),"")</f>
        <v>0.80132000000000003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373.20075757575756</v>
      </c>
      <c r="BN525" s="78">
        <f t="shared" ref="BN525:BN531" si="79">IFERROR(Y525*I525/H525,"0")</f>
        <v>377.21</v>
      </c>
      <c r="BO525" s="78">
        <f t="shared" ref="BO525:BO531" si="80">IFERROR(1/J525*(X525/H525),"0")</f>
        <v>0.63738344988344986</v>
      </c>
      <c r="BP525" s="78">
        <f t="shared" ref="BP525:BP531" si="81">IFERROR(1/J525*(Y525/H525),"0")</f>
        <v>0.64423076923076927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500</v>
      </c>
      <c r="Y526" s="55">
        <f t="shared" si="77"/>
        <v>501.6</v>
      </c>
      <c r="Z526" s="41">
        <f>IFERROR(IF(Y526=0,"",ROUNDUP(Y526/H526,0)*0.01196),"")</f>
        <v>1.1362000000000001</v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533.14393939393938</v>
      </c>
      <c r="BN526" s="78">
        <f t="shared" si="79"/>
        <v>534.85</v>
      </c>
      <c r="BO526" s="78">
        <f t="shared" si="80"/>
        <v>0.91054778554778548</v>
      </c>
      <c r="BP526" s="78">
        <f t="shared" si="81"/>
        <v>0.91346153846153855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700</v>
      </c>
      <c r="Y527" s="55">
        <f t="shared" si="77"/>
        <v>702.24</v>
      </c>
      <c r="Z527" s="41">
        <f>IFERROR(IF(Y527=0,"",ROUNDUP(Y527/H527,0)*0.01196),"")</f>
        <v>1.5906800000000001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746.40151515151513</v>
      </c>
      <c r="BN527" s="78">
        <f t="shared" si="79"/>
        <v>748.79</v>
      </c>
      <c r="BO527" s="78">
        <f t="shared" si="80"/>
        <v>1.2747668997668997</v>
      </c>
      <c r="BP527" s="78">
        <f t="shared" si="81"/>
        <v>1.278846153846154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293.56060606060601</v>
      </c>
      <c r="Y532" s="43">
        <f>IFERROR(Y525/H525,"0")+IFERROR(Y526/H526,"0")+IFERROR(Y527/H527,"0")+IFERROR(Y528/H528,"0")+IFERROR(Y529/H529,"0")+IFERROR(Y530/H530,"0")+IFERROR(Y531/H531,"0")</f>
        <v>295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3.5282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1550</v>
      </c>
      <c r="Y533" s="43">
        <f>IFERROR(SUM(Y525:Y531),"0")</f>
        <v>1557.6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130</v>
      </c>
      <c r="Y537" s="55">
        <f>IFERROR(IF(X537="",0,CEILING((X537/$H537),1)*$H537),"")</f>
        <v>132</v>
      </c>
      <c r="Z537" s="41">
        <f>IFERROR(IF(Y537=0,"",ROUNDUP(Y537/H537,0)*0.01898),"")</f>
        <v>0.20877999999999999</v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134.44166666666666</v>
      </c>
      <c r="BN537" s="78">
        <f>IFERROR(Y537*I537/H537,"0")</f>
        <v>136.51000000000002</v>
      </c>
      <c r="BO537" s="78">
        <f>IFERROR(1/J537*(X537/H537),"0")</f>
        <v>0.16927083333333334</v>
      </c>
      <c r="BP537" s="78">
        <f>IFERROR(1/J537*(Y537/H537),"0")</f>
        <v>0.171875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10.833333333333334</v>
      </c>
      <c r="Y538" s="43">
        <f>IFERROR(Y537/H537,"0")</f>
        <v>11</v>
      </c>
      <c r="Z538" s="43">
        <f>IFERROR(IF(Z537="",0,Z537),"0")</f>
        <v>0.20877999999999999</v>
      </c>
      <c r="AA538" s="67"/>
      <c r="AB538" s="67"/>
      <c r="AC538" s="67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130</v>
      </c>
      <c r="Y539" s="43">
        <f>IFERROR(SUM(Y537:Y537),"0")</f>
        <v>132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hidden="1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16507.599999999999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16623.3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17285.661803073472</v>
      </c>
      <c r="Y563" s="43">
        <f>IFERROR(SUM(BN22:BN559),"0")</f>
        <v>17406.587999999996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27</v>
      </c>
      <c r="Y564" s="44">
        <f>ROUNDUP(SUM(BP22:BP559),0)</f>
        <v>27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17960.661803073472</v>
      </c>
      <c r="Y565" s="43">
        <f>GrossWeightTotalR+PalletQtyTotalR*25</f>
        <v>18081.587999999996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1971.7204955538284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1986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30.783109999999997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507.6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304.20000000000005</v>
      </c>
      <c r="F572" s="52">
        <f>IFERROR(Y85*1,"0")+IFERROR(Y86*1,"0")+IFERROR(Y87*1,"0")+IFERROR(Y88*1,"0")+IFERROR(Y89*1,"0")+IFERROR(Y90*1,"0")+IFERROR(Y94*1,"0")+IFERROR(Y95*1,"0")+IFERROR(Y96*1,"0")+IFERROR(Y97*1,"0")</f>
        <v>423.90000000000003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664.2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232.20000000000002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54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109.2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537.6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7005</v>
      </c>
      <c r="Y572" s="52">
        <f>IFERROR(Y465*1,"0")+IFERROR(Y466*1,"0")+IFERROR(Y470*1,"0")+IFERROR(Y474*1,"0")+IFERROR(Y475*1,"0")+IFERROR(Y476*1,"0")</f>
        <v>1563</v>
      </c>
      <c r="Z572" s="52">
        <f>IFERROR(Y482*1,"0")+IFERROR(Y483*1,"0")+IFERROR(Y484*1,"0")+IFERROR(Y485*1,"0")+IFERROR(Y486*1,"0")+IFERROR(Y487*1,"0")+IFERROR(Y491*1,"0")</f>
        <v>21.6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5068.8</v>
      </c>
      <c r="AC572" s="52">
        <f>IFERROR(Y537*1,"0")+IFERROR(Y541*1,"0")+IFERROR(Y545*1,"0")+IFERROR(Y549*1,"0")+IFERROR(Y553*1,"0")+IFERROR(Y554*1,"0")</f>
        <v>132</v>
      </c>
      <c r="AD572" s="52">
        <f>IFERROR(Y559*1,"0")</f>
        <v>0</v>
      </c>
      <c r="AF572" s="1"/>
    </row>
  </sheetData>
  <sheetProtection algorithmName="SHA-512" hashValue="KtLFLJKVd3pNHzHA8Yd0OAXlNifFBsU0J5f+aZwrz0O0XZn3yBNs5EsisNYy8TezhjvpPd8Rb+lBETGwv8ulcg==" saltValue="gUYBlm6gawVky2D0IzSqwg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50,00"/>
        <filter val="1 971,72"/>
        <filter val="10,83"/>
        <filter val="100,00"/>
        <filter val="12,00"/>
        <filter val="12,82"/>
        <filter val="130,00"/>
        <filter val="16 507,60"/>
        <filter val="166,67"/>
        <filter val="17 285,66"/>
        <filter val="17 960,66"/>
        <filter val="2 000,00"/>
        <filter val="2 250,00"/>
        <filter val="2 500,00"/>
        <filter val="20,00"/>
        <filter val="200,00"/>
        <filter val="220,00"/>
        <filter val="23,15"/>
        <filter val="25,00"/>
        <filter val="25,50"/>
        <filter val="250,00"/>
        <filter val="27"/>
        <filter val="284,09"/>
        <filter val="293,56"/>
        <filter val="294,50"/>
        <filter val="295,00"/>
        <filter val="3,70"/>
        <filter val="30,00"/>
        <filter val="30,60"/>
        <filter val="32,41"/>
        <filter val="33,15"/>
        <filter val="350,00"/>
        <filter val="366,67"/>
        <filter val="378,79"/>
        <filter val="4,17"/>
        <filter val="4,63"/>
        <filter val="40,74"/>
        <filter val="45,00"/>
        <filter val="46,30"/>
        <filter val="5 500,00"/>
        <filter val="5,10"/>
        <filter val="50,00"/>
        <filter val="500,00"/>
        <filter val="59,69"/>
        <filter val="60,00"/>
        <filter val="64,10"/>
        <filter val="67,50"/>
        <filter val="700,00"/>
        <filter val="750,00"/>
        <filter val="80,00"/>
        <filter val="9,26"/>
        <filter val="94,5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Bjb6I2GbcQtqyCW9eA7phwY6Vjl5gKQ1ODtPStRuTjDOCFKWs+H0WwBqUtAJL7VfSyf5F1uHUsIBfqywcwYUCA==" saltValue="2JbR69XmGLAxWxX72Rofj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