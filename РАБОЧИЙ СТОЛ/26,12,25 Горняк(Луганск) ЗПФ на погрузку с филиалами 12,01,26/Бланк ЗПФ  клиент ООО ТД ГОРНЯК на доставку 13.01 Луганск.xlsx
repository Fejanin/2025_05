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DE9955F-9393-4145-8766-2DA6CF501C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заказа'!$B$184:$B$184</definedName>
    <definedName name="ProductId63">'Бланк заказа'!$B$190:$B$190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заказа'!$B$203:$B$203</definedName>
    <definedName name="ProductId7">'Бланк заказа'!$B$32:$B$32</definedName>
    <definedName name="ProductId70">'Бланк заказа'!$B$208:$B$208</definedName>
    <definedName name="ProductId71">'Бланк заказа'!$B$212:$B$212</definedName>
    <definedName name="ProductId72">'Бланк заказа'!$B$213:$B$213</definedName>
    <definedName name="ProductId73">'Бланк заказа'!$B$219:$B$219</definedName>
    <definedName name="ProductId74">'Бланк заказа'!$B$225:$B$225</definedName>
    <definedName name="ProductId75">'Бланк заказа'!$B$231:$B$231</definedName>
    <definedName name="ProductId76">'Бланк заказа'!$B$235:$B$235</definedName>
    <definedName name="ProductId77">'Бланк заказа'!$B$241:$B$241</definedName>
    <definedName name="ProductId78">'Бланк заказа'!$B$242:$B$242</definedName>
    <definedName name="ProductId79">'Бланк заказа'!$B$246:$B$246</definedName>
    <definedName name="ProductId8">'Бланк заказа'!$B$33:$B$33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заказа'!$X$184:$X$184</definedName>
    <definedName name="SalesQty63">'Бланк заказа'!$X$190:$X$190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заказа'!$X$203:$X$203</definedName>
    <definedName name="SalesQty7">'Бланк заказа'!$X$32:$X$32</definedName>
    <definedName name="SalesQty70">'Бланк заказа'!$X$208:$X$208</definedName>
    <definedName name="SalesQty71">'Бланк заказа'!$X$212:$X$212</definedName>
    <definedName name="SalesQty72">'Бланк заказа'!$X$213:$X$213</definedName>
    <definedName name="SalesQty73">'Бланк заказа'!$X$219:$X$219</definedName>
    <definedName name="SalesQty74">'Бланк заказа'!$X$225:$X$225</definedName>
    <definedName name="SalesQty75">'Бланк заказа'!$X$231:$X$231</definedName>
    <definedName name="SalesQty76">'Бланк заказа'!$X$235:$X$235</definedName>
    <definedName name="SalesQty77">'Бланк заказа'!$X$241:$X$241</definedName>
    <definedName name="SalesQty78">'Бланк заказа'!$X$242:$X$242</definedName>
    <definedName name="SalesQty79">'Бланк заказа'!$X$246:$X$246</definedName>
    <definedName name="SalesQty8">'Бланк заказа'!$X$33:$X$33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заказа'!$Y$184:$Y$184</definedName>
    <definedName name="SalesRoundBox63">'Бланк заказа'!$Y$190:$Y$190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заказа'!$Y$203:$Y$203</definedName>
    <definedName name="SalesRoundBox7">'Бланк заказа'!$Y$32:$Y$32</definedName>
    <definedName name="SalesRoundBox70">'Бланк заказа'!$Y$208:$Y$208</definedName>
    <definedName name="SalesRoundBox71">'Бланк заказа'!$Y$212:$Y$212</definedName>
    <definedName name="SalesRoundBox72">'Бланк заказа'!$Y$213:$Y$213</definedName>
    <definedName name="SalesRoundBox73">'Бланк заказа'!$Y$219:$Y$219</definedName>
    <definedName name="SalesRoundBox74">'Бланк заказа'!$Y$225:$Y$225</definedName>
    <definedName name="SalesRoundBox75">'Бланк заказа'!$Y$231:$Y$231</definedName>
    <definedName name="SalesRoundBox76">'Бланк заказа'!$Y$235:$Y$235</definedName>
    <definedName name="SalesRoundBox77">'Бланк заказа'!$Y$241:$Y$241</definedName>
    <definedName name="SalesRoundBox78">'Бланк заказа'!$Y$242:$Y$242</definedName>
    <definedName name="SalesRoundBox79">'Бланк заказа'!$Y$246:$Y$246</definedName>
    <definedName name="SalesRoundBox8">'Бланк заказа'!$Y$33:$Y$33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заказа'!$W$184:$W$184</definedName>
    <definedName name="UnitOfMeasure63">'Бланк заказа'!$W$190:$W$190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заказа'!$W$203:$W$203</definedName>
    <definedName name="UnitOfMeasure7">'Бланк заказа'!$W$32:$W$32</definedName>
    <definedName name="UnitOfMeasure70">'Бланк заказа'!$W$208:$W$208</definedName>
    <definedName name="UnitOfMeasure71">'Бланк заказа'!$W$212:$W$212</definedName>
    <definedName name="UnitOfMeasure72">'Бланк заказа'!$W$213:$W$213</definedName>
    <definedName name="UnitOfMeasure73">'Бланк заказа'!$W$219:$W$219</definedName>
    <definedName name="UnitOfMeasure74">'Бланк заказа'!$W$225:$W$225</definedName>
    <definedName name="UnitOfMeasure75">'Бланк заказа'!$W$231:$W$231</definedName>
    <definedName name="UnitOfMeasure76">'Бланк заказа'!$W$235:$W$235</definedName>
    <definedName name="UnitOfMeasure77">'Бланк заказа'!$W$241:$W$241</definedName>
    <definedName name="UnitOfMeasure78">'Бланк заказа'!$W$242:$W$242</definedName>
    <definedName name="UnitOfMeasure79">'Бланк заказа'!$W$246:$W$246</definedName>
    <definedName name="UnitOfMeasure8">'Бланк заказа'!$W$33:$W$33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O259" i="2" l="1"/>
  <c r="BM261" i="2"/>
  <c r="BM263" i="2"/>
  <c r="BM265" i="2"/>
  <c r="AD279" i="2"/>
  <c r="X279" i="2"/>
  <c r="Z198" i="2"/>
  <c r="BO180" i="2"/>
  <c r="BM115" i="2"/>
  <c r="BO117" i="2"/>
  <c r="BO119" i="2"/>
  <c r="L279" i="2"/>
  <c r="K279" i="2"/>
  <c r="Z101" i="2"/>
  <c r="BM75" i="2"/>
  <c r="F279" i="2"/>
  <c r="BO47" i="2"/>
  <c r="Z39" i="2"/>
  <c r="Y24" i="2"/>
  <c r="BP24" i="2" s="1"/>
  <c r="BO26" i="2"/>
  <c r="BO45" i="2"/>
  <c r="X29" i="2"/>
  <c r="G279" i="2"/>
  <c r="H279" i="2"/>
  <c r="X70" i="2"/>
  <c r="BO60" i="2"/>
  <c r="Y32" i="2"/>
  <c r="D279" i="2"/>
  <c r="C279" i="2"/>
  <c r="X226" i="2"/>
  <c r="X181" i="2"/>
  <c r="AC279" i="2"/>
  <c r="AA279" i="2"/>
  <c r="Z279" i="2"/>
  <c r="Y279" i="2"/>
  <c r="V279" i="2"/>
  <c r="U279" i="2"/>
  <c r="T279" i="2"/>
  <c r="S279" i="2"/>
  <c r="R279" i="2"/>
  <c r="Q279" i="2"/>
  <c r="P279" i="2"/>
  <c r="O279" i="2"/>
  <c r="M279" i="2"/>
  <c r="J279" i="2"/>
  <c r="I279" i="2"/>
  <c r="X267" i="2"/>
  <c r="BO266" i="2"/>
  <c r="BM266" i="2"/>
  <c r="Z266" i="2"/>
  <c r="Y266" i="2"/>
  <c r="BP266" i="2" s="1"/>
  <c r="P266" i="2"/>
  <c r="BO265" i="2"/>
  <c r="Z265" i="2"/>
  <c r="P265" i="2"/>
  <c r="BO264" i="2"/>
  <c r="BM264" i="2"/>
  <c r="Z264" i="2"/>
  <c r="Y264" i="2"/>
  <c r="BP264" i="2" s="1"/>
  <c r="P264" i="2"/>
  <c r="BO263" i="2"/>
  <c r="Z263" i="2"/>
  <c r="P263" i="2"/>
  <c r="BO262" i="2"/>
  <c r="BM262" i="2"/>
  <c r="Z262" i="2"/>
  <c r="Y262" i="2"/>
  <c r="BP262" i="2" s="1"/>
  <c r="P262" i="2"/>
  <c r="BO261" i="2"/>
  <c r="Z261" i="2"/>
  <c r="P261" i="2"/>
  <c r="BO260" i="2"/>
  <c r="BM260" i="2"/>
  <c r="Z260" i="2"/>
  <c r="Y260" i="2"/>
  <c r="P260" i="2"/>
  <c r="Z259" i="2"/>
  <c r="P259" i="2"/>
  <c r="BO258" i="2"/>
  <c r="BM258" i="2"/>
  <c r="Z258" i="2"/>
  <c r="Y258" i="2"/>
  <c r="BP258" i="2" s="1"/>
  <c r="P258" i="2"/>
  <c r="BM257" i="2"/>
  <c r="Y257" i="2"/>
  <c r="BN257" i="2" s="1"/>
  <c r="P257" i="2"/>
  <c r="X255" i="2"/>
  <c r="BO253" i="2"/>
  <c r="Z253" i="2"/>
  <c r="P253" i="2"/>
  <c r="BO252" i="2"/>
  <c r="BM252" i="2"/>
  <c r="Z252" i="2"/>
  <c r="Y252" i="2"/>
  <c r="BP252" i="2" s="1"/>
  <c r="P252" i="2"/>
  <c r="Z251" i="2"/>
  <c r="P251" i="2"/>
  <c r="X249" i="2"/>
  <c r="X248" i="2"/>
  <c r="BO247" i="2"/>
  <c r="BM247" i="2"/>
  <c r="Z247" i="2"/>
  <c r="Y247" i="2"/>
  <c r="P247" i="2"/>
  <c r="BO246" i="2"/>
  <c r="BM246" i="2"/>
  <c r="Z246" i="2"/>
  <c r="Y246" i="2"/>
  <c r="BP246" i="2" s="1"/>
  <c r="P246" i="2"/>
  <c r="X244" i="2"/>
  <c r="X243" i="2"/>
  <c r="BO242" i="2"/>
  <c r="BM242" i="2"/>
  <c r="Z242" i="2"/>
  <c r="Y242" i="2"/>
  <c r="BP242" i="2" s="1"/>
  <c r="P242" i="2"/>
  <c r="BO241" i="2"/>
  <c r="BM241" i="2"/>
  <c r="Z241" i="2"/>
  <c r="Y241" i="2"/>
  <c r="P241" i="2"/>
  <c r="X237" i="2"/>
  <c r="X236" i="2"/>
  <c r="BO235" i="2"/>
  <c r="BM235" i="2"/>
  <c r="Z235" i="2"/>
  <c r="Z236" i="2" s="1"/>
  <c r="Y235" i="2"/>
  <c r="Y236" i="2" s="1"/>
  <c r="P235" i="2"/>
  <c r="X233" i="2"/>
  <c r="X232" i="2"/>
  <c r="BO231" i="2"/>
  <c r="BM231" i="2"/>
  <c r="Z231" i="2"/>
  <c r="Z232" i="2" s="1"/>
  <c r="Y231" i="2"/>
  <c r="Y233" i="2" s="1"/>
  <c r="P231" i="2"/>
  <c r="P225" i="2"/>
  <c r="X221" i="2"/>
  <c r="X220" i="2"/>
  <c r="BO219" i="2"/>
  <c r="BM219" i="2"/>
  <c r="Z219" i="2"/>
  <c r="Z220" i="2" s="1"/>
  <c r="Y219" i="2"/>
  <c r="P219" i="2"/>
  <c r="X215" i="2"/>
  <c r="X214" i="2"/>
  <c r="BO213" i="2"/>
  <c r="BM213" i="2"/>
  <c r="Z213" i="2"/>
  <c r="Y213" i="2"/>
  <c r="BP213" i="2" s="1"/>
  <c r="P213" i="2"/>
  <c r="BO212" i="2"/>
  <c r="BM212" i="2"/>
  <c r="Z212" i="2"/>
  <c r="Y212" i="2"/>
  <c r="P212" i="2"/>
  <c r="X210" i="2"/>
  <c r="X209" i="2"/>
  <c r="BO208" i="2"/>
  <c r="BM208" i="2"/>
  <c r="Z208" i="2"/>
  <c r="Z209" i="2" s="1"/>
  <c r="Y208" i="2"/>
  <c r="BN208" i="2" s="1"/>
  <c r="P208" i="2"/>
  <c r="X205" i="2"/>
  <c r="X204" i="2"/>
  <c r="BO203" i="2"/>
  <c r="BM203" i="2"/>
  <c r="Z203" i="2"/>
  <c r="Z204" i="2" s="1"/>
  <c r="Y203" i="2"/>
  <c r="Y205" i="2" s="1"/>
  <c r="P203" i="2"/>
  <c r="X200" i="2"/>
  <c r="X199" i="2"/>
  <c r="BO198" i="2"/>
  <c r="BM198" i="2"/>
  <c r="Y198" i="2"/>
  <c r="BP198" i="2" s="1"/>
  <c r="P198" i="2"/>
  <c r="BO197" i="2"/>
  <c r="BM197" i="2"/>
  <c r="Z197" i="2"/>
  <c r="Y197" i="2"/>
  <c r="BP197" i="2" s="1"/>
  <c r="P197" i="2"/>
  <c r="BM196" i="2"/>
  <c r="Y196" i="2"/>
  <c r="BP196" i="2" s="1"/>
  <c r="P196" i="2"/>
  <c r="BO195" i="2"/>
  <c r="BM195" i="2"/>
  <c r="Z195" i="2"/>
  <c r="Y195" i="2"/>
  <c r="P195" i="2"/>
  <c r="BO194" i="2"/>
  <c r="BM194" i="2"/>
  <c r="Z194" i="2"/>
  <c r="Y194" i="2"/>
  <c r="P194" i="2"/>
  <c r="X192" i="2"/>
  <c r="X191" i="2"/>
  <c r="BO190" i="2"/>
  <c r="BM190" i="2"/>
  <c r="Z190" i="2"/>
  <c r="Z191" i="2" s="1"/>
  <c r="Y190" i="2"/>
  <c r="Y192" i="2" s="1"/>
  <c r="P190" i="2"/>
  <c r="X186" i="2"/>
  <c r="X185" i="2"/>
  <c r="BO184" i="2"/>
  <c r="BM184" i="2"/>
  <c r="Z184" i="2"/>
  <c r="Z185" i="2" s="1"/>
  <c r="Y184" i="2"/>
  <c r="BM180" i="2"/>
  <c r="Y180" i="2"/>
  <c r="P180" i="2"/>
  <c r="BO179" i="2"/>
  <c r="BM179" i="2"/>
  <c r="Z179" i="2"/>
  <c r="Y179" i="2"/>
  <c r="BP179" i="2" s="1"/>
  <c r="P179" i="2"/>
  <c r="P178" i="2"/>
  <c r="X174" i="2"/>
  <c r="X173" i="2"/>
  <c r="BO172" i="2"/>
  <c r="BM172" i="2"/>
  <c r="Z172" i="2"/>
  <c r="Y172" i="2"/>
  <c r="P172" i="2"/>
  <c r="BO171" i="2"/>
  <c r="BM171" i="2"/>
  <c r="Z171" i="2"/>
  <c r="Y171" i="2"/>
  <c r="P171" i="2"/>
  <c r="X167" i="2"/>
  <c r="X166" i="2"/>
  <c r="BO165" i="2"/>
  <c r="BM165" i="2"/>
  <c r="Z165" i="2"/>
  <c r="Z166" i="2" s="1"/>
  <c r="Y165" i="2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Z156" i="2" s="1"/>
  <c r="Y155" i="2"/>
  <c r="Y157" i="2" s="1"/>
  <c r="P155" i="2"/>
  <c r="X152" i="2"/>
  <c r="X151" i="2"/>
  <c r="BO150" i="2"/>
  <c r="BM150" i="2"/>
  <c r="Z150" i="2"/>
  <c r="Z151" i="2" s="1"/>
  <c r="Y150" i="2"/>
  <c r="P150" i="2"/>
  <c r="X147" i="2"/>
  <c r="X146" i="2"/>
  <c r="BO145" i="2"/>
  <c r="BM145" i="2"/>
  <c r="Z145" i="2"/>
  <c r="Y145" i="2"/>
  <c r="BN145" i="2" s="1"/>
  <c r="P145" i="2"/>
  <c r="BO144" i="2"/>
  <c r="BM144" i="2"/>
  <c r="Z144" i="2"/>
  <c r="Z146" i="2" s="1"/>
  <c r="Y144" i="2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N138" i="2" s="1"/>
  <c r="P138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X129" i="2"/>
  <c r="X128" i="2"/>
  <c r="BO127" i="2"/>
  <c r="BM127" i="2"/>
  <c r="Z127" i="2"/>
  <c r="Z128" i="2" s="1"/>
  <c r="Y127" i="2"/>
  <c r="BP127" i="2" s="1"/>
  <c r="P127" i="2"/>
  <c r="X125" i="2"/>
  <c r="X124" i="2"/>
  <c r="BO123" i="2"/>
  <c r="BM123" i="2"/>
  <c r="Z123" i="2"/>
  <c r="Z124" i="2" s="1"/>
  <c r="Y123" i="2"/>
  <c r="P123" i="2"/>
  <c r="X121" i="2"/>
  <c r="X120" i="2"/>
  <c r="Z119" i="2"/>
  <c r="P119" i="2"/>
  <c r="BO118" i="2"/>
  <c r="BM118" i="2"/>
  <c r="Z118" i="2"/>
  <c r="Y118" i="2"/>
  <c r="P118" i="2"/>
  <c r="Z117" i="2"/>
  <c r="P117" i="2"/>
  <c r="BO116" i="2"/>
  <c r="BM116" i="2"/>
  <c r="Z116" i="2"/>
  <c r="Y116" i="2"/>
  <c r="P116" i="2"/>
  <c r="BO115" i="2"/>
  <c r="Z115" i="2"/>
  <c r="P115" i="2"/>
  <c r="BO114" i="2"/>
  <c r="BM114" i="2"/>
  <c r="Z114" i="2"/>
  <c r="Y114" i="2"/>
  <c r="P114" i="2"/>
  <c r="BO113" i="2"/>
  <c r="BM113" i="2"/>
  <c r="Z113" i="2"/>
  <c r="Y113" i="2"/>
  <c r="BP113" i="2" s="1"/>
  <c r="P113" i="2"/>
  <c r="BO108" i="2"/>
  <c r="BM108" i="2"/>
  <c r="Z108" i="2"/>
  <c r="Y108" i="2"/>
  <c r="P108" i="2"/>
  <c r="P107" i="2"/>
  <c r="X104" i="2"/>
  <c r="BO102" i="2"/>
  <c r="BM102" i="2"/>
  <c r="Z102" i="2"/>
  <c r="Y102" i="2"/>
  <c r="BP102" i="2" s="1"/>
  <c r="P102" i="2"/>
  <c r="BO101" i="2"/>
  <c r="BM101" i="2"/>
  <c r="Y101" i="2"/>
  <c r="BP101" i="2" s="1"/>
  <c r="P101" i="2"/>
  <c r="BO100" i="2"/>
  <c r="BM100" i="2"/>
  <c r="Z100" i="2"/>
  <c r="Y100" i="2"/>
  <c r="P100" i="2"/>
  <c r="BM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Y87" i="2" s="1"/>
  <c r="P86" i="2"/>
  <c r="BO81" i="2"/>
  <c r="BM81" i="2"/>
  <c r="Z81" i="2"/>
  <c r="Y81" i="2"/>
  <c r="P81" i="2"/>
  <c r="P80" i="2"/>
  <c r="X77" i="2"/>
  <c r="X76" i="2"/>
  <c r="Y75" i="2"/>
  <c r="P75" i="2"/>
  <c r="BO74" i="2"/>
  <c r="BM74" i="2"/>
  <c r="Z74" i="2"/>
  <c r="Y74" i="2"/>
  <c r="BP74" i="2" s="1"/>
  <c r="P74" i="2"/>
  <c r="BO73" i="2"/>
  <c r="BM73" i="2"/>
  <c r="Z73" i="2"/>
  <c r="Y73" i="2"/>
  <c r="P73" i="2"/>
  <c r="X71" i="2"/>
  <c r="BO69" i="2"/>
  <c r="BM69" i="2"/>
  <c r="Z69" i="2"/>
  <c r="Y69" i="2"/>
  <c r="P69" i="2"/>
  <c r="BM68" i="2"/>
  <c r="Y68" i="2"/>
  <c r="P68" i="2"/>
  <c r="X66" i="2"/>
  <c r="X65" i="2"/>
  <c r="BO64" i="2"/>
  <c r="BM64" i="2"/>
  <c r="Z64" i="2"/>
  <c r="Z65" i="2" s="1"/>
  <c r="Y64" i="2"/>
  <c r="Y66" i="2" s="1"/>
  <c r="P64" i="2"/>
  <c r="X62" i="2"/>
  <c r="X61" i="2"/>
  <c r="BM60" i="2"/>
  <c r="Y60" i="2"/>
  <c r="Y62" i="2" s="1"/>
  <c r="P60" i="2"/>
  <c r="BO55" i="2"/>
  <c r="BM55" i="2"/>
  <c r="Z55" i="2"/>
  <c r="Y55" i="2"/>
  <c r="BN55" i="2" s="1"/>
  <c r="P55" i="2"/>
  <c r="BO54" i="2"/>
  <c r="Z54" i="2"/>
  <c r="P54" i="2"/>
  <c r="BO53" i="2"/>
  <c r="Z53" i="2"/>
  <c r="P53" i="2"/>
  <c r="BO52" i="2"/>
  <c r="BM52" i="2"/>
  <c r="Z52" i="2"/>
  <c r="Y52" i="2"/>
  <c r="P52" i="2"/>
  <c r="X49" i="2"/>
  <c r="Y47" i="2"/>
  <c r="P47" i="2"/>
  <c r="BO46" i="2"/>
  <c r="BM46" i="2"/>
  <c r="Z46" i="2"/>
  <c r="Y46" i="2"/>
  <c r="BN46" i="2" s="1"/>
  <c r="P46" i="2"/>
  <c r="BM45" i="2"/>
  <c r="P45" i="2"/>
  <c r="X42" i="2"/>
  <c r="BO40" i="2"/>
  <c r="BM40" i="2"/>
  <c r="Z40" i="2"/>
  <c r="Y40" i="2"/>
  <c r="BN40" i="2" s="1"/>
  <c r="P40" i="2"/>
  <c r="BM39" i="2"/>
  <c r="Y39" i="2"/>
  <c r="BN39" i="2" s="1"/>
  <c r="P39" i="2"/>
  <c r="X35" i="2"/>
  <c r="BO33" i="2"/>
  <c r="BM33" i="2"/>
  <c r="Z33" i="2"/>
  <c r="Y33" i="2"/>
  <c r="BP33" i="2" s="1"/>
  <c r="P33" i="2"/>
  <c r="BM32" i="2"/>
  <c r="P32" i="2"/>
  <c r="X28" i="2"/>
  <c r="BO27" i="2"/>
  <c r="BM27" i="2"/>
  <c r="Z27" i="2"/>
  <c r="Y27" i="2"/>
  <c r="BP27" i="2" s="1"/>
  <c r="P27" i="2"/>
  <c r="BM26" i="2"/>
  <c r="P26" i="2"/>
  <c r="BO25" i="2"/>
  <c r="BM25" i="2"/>
  <c r="Z25" i="2"/>
  <c r="Y25" i="2"/>
  <c r="BP25" i="2" s="1"/>
  <c r="P25" i="2"/>
  <c r="BM24" i="2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Y77" i="2" l="1"/>
  <c r="Z120" i="2"/>
  <c r="Y200" i="2"/>
  <c r="BN235" i="2"/>
  <c r="Z254" i="2"/>
  <c r="Z243" i="2"/>
  <c r="BP235" i="2"/>
  <c r="BN231" i="2"/>
  <c r="BP231" i="2"/>
  <c r="Y232" i="2"/>
  <c r="Z134" i="2"/>
  <c r="BN97" i="2"/>
  <c r="Z93" i="2"/>
  <c r="BN74" i="2"/>
  <c r="Y259" i="2"/>
  <c r="BM259" i="2"/>
  <c r="Y261" i="2"/>
  <c r="BN261" i="2" s="1"/>
  <c r="Y263" i="2"/>
  <c r="BP263" i="2" s="1"/>
  <c r="BN264" i="2"/>
  <c r="Y265" i="2"/>
  <c r="BN265" i="2" s="1"/>
  <c r="BN266" i="2"/>
  <c r="Y253" i="2"/>
  <c r="BP253" i="2" s="1"/>
  <c r="BM253" i="2"/>
  <c r="Z248" i="2"/>
  <c r="BN213" i="2"/>
  <c r="Z196" i="2"/>
  <c r="Z199" i="2" s="1"/>
  <c r="BO196" i="2"/>
  <c r="BN198" i="2"/>
  <c r="Z180" i="2"/>
  <c r="Z173" i="2"/>
  <c r="Z140" i="2"/>
  <c r="Y115" i="2"/>
  <c r="BN115" i="2" s="1"/>
  <c r="Y117" i="2"/>
  <c r="BM117" i="2"/>
  <c r="Y119" i="2"/>
  <c r="BM119" i="2"/>
  <c r="Y107" i="2"/>
  <c r="Y110" i="2" s="1"/>
  <c r="BM107" i="2"/>
  <c r="BO107" i="2"/>
  <c r="X110" i="2"/>
  <c r="Z107" i="2"/>
  <c r="Z109" i="2" s="1"/>
  <c r="X109" i="2"/>
  <c r="Z99" i="2"/>
  <c r="Z103" i="2" s="1"/>
  <c r="BO99" i="2"/>
  <c r="BN101" i="2"/>
  <c r="X103" i="2"/>
  <c r="Y53" i="2"/>
  <c r="BP53" i="2" s="1"/>
  <c r="BM53" i="2"/>
  <c r="X56" i="2"/>
  <c r="BM47" i="2"/>
  <c r="BN25" i="2"/>
  <c r="Y26" i="2"/>
  <c r="BP26" i="2" s="1"/>
  <c r="Y45" i="2"/>
  <c r="Y49" i="2" s="1"/>
  <c r="B279" i="2"/>
  <c r="Z75" i="2"/>
  <c r="BO75" i="2"/>
  <c r="Y54" i="2"/>
  <c r="BP54" i="2" s="1"/>
  <c r="BM54" i="2"/>
  <c r="X57" i="2"/>
  <c r="Z47" i="2"/>
  <c r="E279" i="2"/>
  <c r="Z24" i="2"/>
  <c r="BO24" i="2"/>
  <c r="Z26" i="2"/>
  <c r="Z80" i="2"/>
  <c r="Z82" i="2" s="1"/>
  <c r="X82" i="2"/>
  <c r="Z60" i="2"/>
  <c r="Z61" i="2" s="1"/>
  <c r="Z68" i="2"/>
  <c r="Z70" i="2" s="1"/>
  <c r="BO68" i="2"/>
  <c r="Y80" i="2"/>
  <c r="BM80" i="2"/>
  <c r="BO80" i="2"/>
  <c r="X83" i="2"/>
  <c r="Y88" i="2"/>
  <c r="BN113" i="2"/>
  <c r="Y128" i="2"/>
  <c r="BN132" i="2"/>
  <c r="BN194" i="2"/>
  <c r="BP194" i="2"/>
  <c r="Z45" i="2"/>
  <c r="BN45" i="2"/>
  <c r="X48" i="2"/>
  <c r="Z41" i="2"/>
  <c r="BO39" i="2"/>
  <c r="X41" i="2"/>
  <c r="Z32" i="2"/>
  <c r="Z34" i="2" s="1"/>
  <c r="BO32" i="2"/>
  <c r="X34" i="2"/>
  <c r="Z257" i="2"/>
  <c r="BO257" i="2"/>
  <c r="X268" i="2"/>
  <c r="Y251" i="2"/>
  <c r="BM251" i="2"/>
  <c r="BO251" i="2"/>
  <c r="X254" i="2"/>
  <c r="Z225" i="2"/>
  <c r="Z226" i="2" s="1"/>
  <c r="BO225" i="2"/>
  <c r="X227" i="2"/>
  <c r="AB279" i="2"/>
  <c r="Y225" i="2"/>
  <c r="Y227" i="2" s="1"/>
  <c r="BM225" i="2"/>
  <c r="Z178" i="2"/>
  <c r="Z181" i="2" s="1"/>
  <c r="BO178" i="2"/>
  <c r="X182" i="2"/>
  <c r="W279" i="2"/>
  <c r="Y178" i="2"/>
  <c r="Y182" i="2" s="1"/>
  <c r="BM178" i="2"/>
  <c r="BP64" i="2"/>
  <c r="Y65" i="2"/>
  <c r="BP69" i="2"/>
  <c r="BN69" i="2"/>
  <c r="BP114" i="2"/>
  <c r="BP115" i="2"/>
  <c r="BP118" i="2"/>
  <c r="BN118" i="2"/>
  <c r="Y125" i="2"/>
  <c r="Y124" i="2"/>
  <c r="BP123" i="2"/>
  <c r="BN123" i="2"/>
  <c r="BP144" i="2"/>
  <c r="BN144" i="2"/>
  <c r="Y151" i="2"/>
  <c r="Y152" i="2"/>
  <c r="BP150" i="2"/>
  <c r="BN150" i="2"/>
  <c r="BP160" i="2"/>
  <c r="Y161" i="2"/>
  <c r="BP208" i="2"/>
  <c r="Y209" i="2"/>
  <c r="BP247" i="2"/>
  <c r="BN247" i="2"/>
  <c r="BP265" i="2"/>
  <c r="Y29" i="2"/>
  <c r="BN24" i="2"/>
  <c r="Y35" i="2"/>
  <c r="BP32" i="2"/>
  <c r="BN32" i="2"/>
  <c r="Y34" i="2"/>
  <c r="BP52" i="2"/>
  <c r="BN52" i="2"/>
  <c r="BP60" i="2"/>
  <c r="Y61" i="2"/>
  <c r="BP75" i="2"/>
  <c r="BN75" i="2"/>
  <c r="BP81" i="2"/>
  <c r="BN81" i="2"/>
  <c r="BP91" i="2"/>
  <c r="Y94" i="2"/>
  <c r="Y93" i="2"/>
  <c r="BP100" i="2"/>
  <c r="BN100" i="2"/>
  <c r="BP108" i="2"/>
  <c r="BN108" i="2"/>
  <c r="Y134" i="2"/>
  <c r="Y135" i="2"/>
  <c r="BP138" i="2"/>
  <c r="BP139" i="2"/>
  <c r="Y140" i="2"/>
  <c r="BP145" i="2"/>
  <c r="Y146" i="2"/>
  <c r="Y166" i="2"/>
  <c r="Y167" i="2"/>
  <c r="BP165" i="2"/>
  <c r="BN165" i="2"/>
  <c r="BP172" i="2"/>
  <c r="BN172" i="2"/>
  <c r="Y174" i="2"/>
  <c r="BP180" i="2"/>
  <c r="BN180" i="2"/>
  <c r="Y185" i="2"/>
  <c r="Y186" i="2"/>
  <c r="Y199" i="2"/>
  <c r="BP195" i="2"/>
  <c r="BN195" i="2"/>
  <c r="BP212" i="2"/>
  <c r="BN212" i="2"/>
  <c r="Y214" i="2"/>
  <c r="Y215" i="2"/>
  <c r="Y220" i="2"/>
  <c r="BP219" i="2"/>
  <c r="BN219" i="2"/>
  <c r="Y221" i="2"/>
  <c r="Y248" i="2"/>
  <c r="BP257" i="2"/>
  <c r="BP260" i="2"/>
  <c r="BN260" i="2"/>
  <c r="BP39" i="2"/>
  <c r="BP40" i="2"/>
  <c r="Y41" i="2"/>
  <c r="BP46" i="2"/>
  <c r="Y48" i="2"/>
  <c r="Z56" i="2"/>
  <c r="Y71" i="2"/>
  <c r="Z76" i="2"/>
  <c r="Y82" i="2"/>
  <c r="Y109" i="2"/>
  <c r="Y129" i="2"/>
  <c r="Y173" i="2"/>
  <c r="Z214" i="2"/>
  <c r="Y237" i="2"/>
  <c r="Y243" i="2"/>
  <c r="Y244" i="2"/>
  <c r="Y249" i="2"/>
  <c r="Z267" i="2"/>
  <c r="BP261" i="2"/>
  <c r="BN73" i="2"/>
  <c r="Y76" i="2"/>
  <c r="BN197" i="2"/>
  <c r="F9" i="2"/>
  <c r="Y42" i="2"/>
  <c r="BP55" i="2"/>
  <c r="BP68" i="2"/>
  <c r="BN116" i="2"/>
  <c r="Y141" i="2"/>
  <c r="BN155" i="2"/>
  <c r="BN171" i="2"/>
  <c r="BN203" i="2"/>
  <c r="BN258" i="2"/>
  <c r="BN99" i="2"/>
  <c r="H9" i="2"/>
  <c r="BP23" i="2"/>
  <c r="BN47" i="2"/>
  <c r="BP73" i="2"/>
  <c r="Y147" i="2"/>
  <c r="Y162" i="2"/>
  <c r="BN178" i="2"/>
  <c r="Y210" i="2"/>
  <c r="BN241" i="2"/>
  <c r="J9" i="2"/>
  <c r="BP116" i="2"/>
  <c r="BP155" i="2"/>
  <c r="BN190" i="2"/>
  <c r="BP203" i="2"/>
  <c r="BP225" i="2"/>
  <c r="BP241" i="2"/>
  <c r="BN23" i="2"/>
  <c r="BN53" i="2"/>
  <c r="BN91" i="2"/>
  <c r="BN102" i="2"/>
  <c r="BP171" i="2"/>
  <c r="BN246" i="2"/>
  <c r="A10" i="2"/>
  <c r="BP47" i="2"/>
  <c r="BN64" i="2"/>
  <c r="BN114" i="2"/>
  <c r="Y156" i="2"/>
  <c r="BP190" i="2"/>
  <c r="Y204" i="2"/>
  <c r="Y57" i="2"/>
  <c r="Y103" i="2"/>
  <c r="Y191" i="2"/>
  <c r="BN68" i="2"/>
  <c r="BN86" i="2"/>
  <c r="BN179" i="2"/>
  <c r="BN184" i="2"/>
  <c r="BN242" i="2"/>
  <c r="BN127" i="2"/>
  <c r="Y268" i="2"/>
  <c r="BP45" i="2"/>
  <c r="BN27" i="2"/>
  <c r="BN54" i="2"/>
  <c r="Y70" i="2"/>
  <c r="BN92" i="2"/>
  <c r="BN22" i="2"/>
  <c r="BN33" i="2"/>
  <c r="BN60" i="2"/>
  <c r="BP86" i="2"/>
  <c r="BN98" i="2"/>
  <c r="BN133" i="2"/>
  <c r="BP184" i="2"/>
  <c r="BN196" i="2"/>
  <c r="BN252" i="2"/>
  <c r="BN262" i="2"/>
  <c r="Y104" i="2"/>
  <c r="Z48" i="2" l="1"/>
  <c r="Y120" i="2"/>
  <c r="BN253" i="2"/>
  <c r="Y226" i="2"/>
  <c r="BN225" i="2"/>
  <c r="Y121" i="2"/>
  <c r="X270" i="2"/>
  <c r="Z28" i="2"/>
  <c r="BN26" i="2"/>
  <c r="Y267" i="2"/>
  <c r="BN263" i="2"/>
  <c r="BP259" i="2"/>
  <c r="BN259" i="2"/>
  <c r="Y254" i="2"/>
  <c r="Y255" i="2"/>
  <c r="BP119" i="2"/>
  <c r="BN119" i="2"/>
  <c r="BP117" i="2"/>
  <c r="BN117" i="2"/>
  <c r="X269" i="2"/>
  <c r="BP107" i="2"/>
  <c r="BN107" i="2"/>
  <c r="Y28" i="2"/>
  <c r="Y56" i="2"/>
  <c r="X273" i="2"/>
  <c r="Z274" i="2"/>
  <c r="Y83" i="2"/>
  <c r="Y269" i="2" s="1"/>
  <c r="BP80" i="2"/>
  <c r="BN80" i="2"/>
  <c r="X271" i="2"/>
  <c r="BP251" i="2"/>
  <c r="BN251" i="2"/>
  <c r="BP178" i="2"/>
  <c r="Y181" i="2"/>
  <c r="Y273" i="2" s="1"/>
  <c r="X272" i="2" l="1"/>
  <c r="Y270" i="2"/>
  <c r="Y271" i="2"/>
  <c r="Y272" i="2" l="1"/>
  <c r="C282" i="2"/>
  <c r="A282" i="2"/>
  <c r="B282" i="2"/>
</calcChain>
</file>

<file path=xl/sharedStrings.xml><?xml version="1.0" encoding="utf-8"?>
<sst xmlns="http://schemas.openxmlformats.org/spreadsheetml/2006/main" count="1654" uniqueCount="395">
  <si>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</si>
  <si>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</si>
  <si>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</si>
  <si>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</si>
  <si>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</si>
  <si>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</si>
  <si>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</si>
  <si>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</si>
  <si>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</si>
  <si>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</si>
  <si>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</si>
  <si>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</si>
  <si>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</si>
  <si>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</si>
  <si>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</si>
  <si>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</si>
  <si>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</si>
  <si>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</si>
  <si>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</si>
  <si>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</si>
  <si>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</si>
  <si>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</si>
  <si>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</si>
  <si>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</si>
  <si>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</si>
  <si>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</si>
  <si>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</si>
  <si>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</si>
  <si>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</si>
  <si>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</si>
  <si>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</si>
  <si>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</si>
  <si>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</si>
  <si>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</si>
  <si>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</si>
  <si>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</si>
  <si>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</si>
  <si>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</si>
  <si>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</si>
  <si>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</si>
  <si>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</si>
  <si>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</si>
  <si>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</si>
  <si>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</si>
  <si>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</si>
  <si>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</si>
  <si>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</si>
  <si>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</si>
  <si>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</si>
  <si>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</si>
  <si>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</si>
  <si>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</si>
  <si>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</si>
  <si>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</si>
  <si>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</si>
  <si>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</si>
  <si>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</si>
  <si>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</si>
  <si>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</si>
  <si>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</si>
  <si>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</si>
  <si>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</si>
  <si>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</si>
  <si>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</si>
  <si>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</si>
  <si>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</si>
  <si>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</si>
  <si>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</si>
  <si>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</si>
  <si>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</si>
  <si>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</si>
  <si>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22.12.2025</t>
  </si>
  <si>
    <t>ОБЩЕСТВО С ОГРАНИЧЕННОЙ ОТВЕТСТВЕННОСТЬЮ "ТОРГОВЫЙ ДОМ "ГОРНЯК"</t>
  </si>
  <si>
    <t>596516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</si>
  <si>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</si>
  <si>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</si>
  <si>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</si>
  <si>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</si>
  <si>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</si>
  <si>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</si>
  <si>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</si>
  <si>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</si>
  <si>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</si>
  <si>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</si>
  <si>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</si>
  <si>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</si>
  <si>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</si>
  <si>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</si>
  <si>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</si>
  <si>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</si>
  <si>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</si>
  <si>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</si>
  <si>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</si>
  <si>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</si>
  <si>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</si>
  <si>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</si>
  <si>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</si>
  <si>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</si>
  <si>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</si>
  <si>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</si>
  <si>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</si>
  <si>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</si>
  <si>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</si>
  <si>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</si>
  <si>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</si>
  <si>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</si>
  <si>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</si>
  <si>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</si>
  <si>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</si>
  <si>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</si>
  <si>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</si>
  <si>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</si>
  <si>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</si>
  <si>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</si>
  <si>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</si>
  <si>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</si>
  <si>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</si>
  <si>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</si>
  <si>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</si>
  <si>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</si>
  <si>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</si>
  <si>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</si>
  <si>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</si>
  <si>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</si>
  <si>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</si>
  <si>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</si>
  <si>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</si>
  <si>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</si>
  <si>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</si>
  <si>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</si>
  <si>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</si>
  <si>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</si>
  <si>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</si>
  <si>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</si>
  <si>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</si>
  <si>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</si>
  <si>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</si>
  <si>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</si>
  <si>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</si>
  <si>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</si>
  <si>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</si>
  <si>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</si>
  <si>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</si>
  <si>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</si>
  <si>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</si>
  <si>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</si>
  <si>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</si>
  <si>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</si>
  <si>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</si>
  <si>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</si>
  <si>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</si>
  <si>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</si>
  <si>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</si>
  <si>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</si>
  <si>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</si>
  <si>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</si>
  <si>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</si>
  <si>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</si>
  <si>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</si>
  <si>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</si>
  <si>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</si>
  <si>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</si>
  <si>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</si>
  <si>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</si>
  <si>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</si>
  <si>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</si>
  <si>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</si>
  <si>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</si>
  <si>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</si>
  <si>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</si>
  <si>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</si>
  <si>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</si>
  <si>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</si>
  <si>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</si>
  <si>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</si>
  <si>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</si>
  <si>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</si>
  <si>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</si>
  <si>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</si>
  <si>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</si>
  <si>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</si>
  <si>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</si>
  <si>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</si>
  <si>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</si>
  <si>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</si>
  <si>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</si>
  <si>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</si>
  <si>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</si>
  <si>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</si>
  <si>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</si>
  <si>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</si>
  <si>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</si>
  <si>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</si>
  <si>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</si>
  <si>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</si>
  <si>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</si>
  <si>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</si>
  <si>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</si>
  <si>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</si>
  <si>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</si>
  <si>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</si>
  <si>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</si>
  <si>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</si>
  <si>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</si>
  <si>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</si>
  <si>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</si>
  <si>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</si>
  <si>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</si>
  <si>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</si>
  <si>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</si>
  <si>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</si>
  <si>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</si>
  <si>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</si>
  <si>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</si>
  <si>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</si>
  <si>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</si>
  <si>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</si>
  <si>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</si>
  <si>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</si>
  <si>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</si>
  <si>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</si>
  <si>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</si>
  <si>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</si>
  <si>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</si>
  <si>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</si>
  <si>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</si>
  <si>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</si>
  <si>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</si>
  <si>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</si>
  <si>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</si>
  <si>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</si>
  <si>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</si>
  <si>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</si>
  <si>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</si>
  <si>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</si>
  <si>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</si>
  <si>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</si>
  <si>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</si>
  <si>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</si>
  <si>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</si>
  <si>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</si>
  <si>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</si>
  <si>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</si>
  <si>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</si>
  <si>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</si>
  <si>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</si>
  <si>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</si>
  <si>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</si>
  <si>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</si>
  <si>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</si>
  <si>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</si>
  <si>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</si>
  <si>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</si>
  <si>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</si>
  <si>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</si>
  <si>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</si>
  <si>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</si>
  <si>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</si>
  <si>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</si>
  <si>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</si>
  <si>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</si>
  <si>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</si>
  <si>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</si>
  <si>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</si>
  <si>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</si>
  <si>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</si>
  <si>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</si>
  <si>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</si>
  <si>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</si>
  <si>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</si>
  <si>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</si>
  <si>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</si>
  <si>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</si>
  <si>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</si>
  <si>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</si>
  <si>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</si>
  <si>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</si>
  <si>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</si>
  <si>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</si>
  <si>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</si>
  <si>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</si>
  <si>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</si>
  <si>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</si>
  <si>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</si>
  <si>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</si>
  <si>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</si>
  <si>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</si>
  <si>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</si>
  <si>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</si>
  <si>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</si>
  <si>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</si>
  <si>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</si>
  <si>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</si>
  <si>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</si>
  <si>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</si>
  <si>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</si>
  <si>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</si>
  <si>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</si>
  <si>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</si>
  <si>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</si>
  <si>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</si>
  <si>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</si>
  <si>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</si>
  <si>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</si>
  <si>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</si>
  <si>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</si>
  <si>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</si>
  <si>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</si>
  <si>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</si>
  <si>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</si>
  <si>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</si>
  <si>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</si>
  <si>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</si>
  <si>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</si>
  <si>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</si>
  <si>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</si>
  <si>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</si>
  <si>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</si>
  <si>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</si>
  <si>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</si>
  <si>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</si>
  <si>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</si>
  <si>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</si>
  <si>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</si>
  <si>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</si>
  <si>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</si>
  <si>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</si>
  <si>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</si>
  <si>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</si>
  <si>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</si>
  <si>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</si>
  <si>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</si>
  <si>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</si>
  <si>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</si>
  <si>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</si>
  <si>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</si>
  <si>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</si>
  <si>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</si>
  <si>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</si>
  <si>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</si>
  <si>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</si>
  <si>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</si>
  <si>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</si>
  <si>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</si>
  <si>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</si>
  <si>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</si>
  <si>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</si>
  <si>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</si>
  <si>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</si>
  <si>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</si>
  <si>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</si>
  <si>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</si>
  <si>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</si>
  <si>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</si>
  <si>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</si>
  <si>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Палетта, мин. 1</t>
  </si>
  <si>
    <t>Палетта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</si>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</sst>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2"/>
  <sheetViews>
    <sheetView showGridLines="0" tabSelected="1" topLeftCell="A258" zoomScaleNormal="100" zoomScaleSheetLayoutView="100" workbookViewId="0">
      <selection activeCell="AA275" sqref="AA27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/>
      <c r="R5" s="282"/>
      <c r="T5" s="283" t="s">
        <v>3</v>
      </c>
      <c r="U5" s="284"/>
      <c r="V5" s="285" t="s">
        <v>374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379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 xml:space="preserve"> </v>
      </c>
      <c r="R6" s="288"/>
      <c r="T6" s="289" t="s">
        <v>5</v>
      </c>
      <c r="U6" s="290"/>
      <c r="V6" s="291" t="s">
        <v>72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2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/>
      <c r="R8" s="302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3"/>
      <c r="C9" s="303"/>
      <c r="D9" s="304" t="s">
        <v>46</v>
      </c>
      <c r="E9" s="305"/>
      <c r="F9" s="3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3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6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6"/>
      <c r="L9" s="306"/>
      <c r="M9" s="306"/>
      <c r="N9" s="73"/>
      <c r="P9" s="31" t="s">
        <v>15</v>
      </c>
      <c r="Q9" s="307">
        <v>46035</v>
      </c>
      <c r="R9" s="307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3"/>
      <c r="C10" s="303"/>
      <c r="D10" s="304"/>
      <c r="E10" s="305"/>
      <c r="F10" s="3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3"/>
      <c r="H10" s="308" t="str">
        <f>IFERROR(VLOOKUP($D$10,Proxy,2,FALSE),"")</f>
        <v/>
      </c>
      <c r="I10" s="308"/>
      <c r="J10" s="308"/>
      <c r="K10" s="308"/>
      <c r="L10" s="308"/>
      <c r="M10" s="308"/>
      <c r="N10" s="74"/>
      <c r="P10" s="31" t="s">
        <v>32</v>
      </c>
      <c r="Q10" s="309">
        <v>0.54166666666666663</v>
      </c>
      <c r="R10" s="309"/>
      <c r="U10" s="29" t="s">
        <v>12</v>
      </c>
      <c r="V10" s="310" t="s">
        <v>73</v>
      </c>
      <c r="W10" s="31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2"/>
      <c r="R11" s="312"/>
      <c r="U11" s="29" t="s">
        <v>28</v>
      </c>
      <c r="V11" s="313" t="s">
        <v>55</v>
      </c>
      <c r="W11" s="31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4" t="s">
        <v>74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79"/>
      <c r="P12" s="27" t="s">
        <v>30</v>
      </c>
      <c r="Q12" s="302"/>
      <c r="R12" s="302"/>
      <c r="S12" s="28"/>
      <c r="T12"/>
      <c r="U12" s="29" t="s">
        <v>46</v>
      </c>
      <c r="V12" s="315"/>
      <c r="W12" s="315"/>
      <c r="X12"/>
      <c r="AB12" s="59"/>
      <c r="AC12" s="59"/>
      <c r="AD12" s="59"/>
      <c r="AE12" s="59"/>
    </row>
    <row r="13" spans="1:32" s="17" customFormat="1" ht="23.25" customHeight="1" x14ac:dyDescent="0.2">
      <c r="A13" s="314" t="s">
        <v>75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79"/>
      <c r="O13" s="31"/>
      <c r="P13" s="31" t="s">
        <v>31</v>
      </c>
      <c r="Q13" s="313"/>
      <c r="R13" s="31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4" t="s">
        <v>76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6" t="s">
        <v>77</v>
      </c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80"/>
      <c r="O15"/>
      <c r="P15" s="317" t="s">
        <v>61</v>
      </c>
      <c r="Q15" s="317"/>
      <c r="R15" s="317"/>
      <c r="S15" s="317"/>
      <c r="T15" s="3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8"/>
      <c r="Q16" s="318"/>
      <c r="R16" s="318"/>
      <c r="S16" s="318"/>
      <c r="T16" s="3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1" t="s">
        <v>59</v>
      </c>
      <c r="B17" s="321" t="s">
        <v>49</v>
      </c>
      <c r="C17" s="323" t="s">
        <v>48</v>
      </c>
      <c r="D17" s="325" t="s">
        <v>50</v>
      </c>
      <c r="E17" s="326"/>
      <c r="F17" s="321" t="s">
        <v>21</v>
      </c>
      <c r="G17" s="321" t="s">
        <v>24</v>
      </c>
      <c r="H17" s="321" t="s">
        <v>22</v>
      </c>
      <c r="I17" s="321" t="s">
        <v>23</v>
      </c>
      <c r="J17" s="321" t="s">
        <v>16</v>
      </c>
      <c r="K17" s="321" t="s">
        <v>69</v>
      </c>
      <c r="L17" s="321" t="s">
        <v>67</v>
      </c>
      <c r="M17" s="321" t="s">
        <v>2</v>
      </c>
      <c r="N17" s="321" t="s">
        <v>66</v>
      </c>
      <c r="O17" s="321" t="s">
        <v>25</v>
      </c>
      <c r="P17" s="325" t="s">
        <v>17</v>
      </c>
      <c r="Q17" s="329"/>
      <c r="R17" s="329"/>
      <c r="S17" s="329"/>
      <c r="T17" s="326"/>
      <c r="U17" s="319" t="s">
        <v>56</v>
      </c>
      <c r="V17" s="320"/>
      <c r="W17" s="321" t="s">
        <v>6</v>
      </c>
      <c r="X17" s="321" t="s">
        <v>41</v>
      </c>
      <c r="Y17" s="331" t="s">
        <v>54</v>
      </c>
      <c r="Z17" s="333" t="s">
        <v>18</v>
      </c>
      <c r="AA17" s="335" t="s">
        <v>60</v>
      </c>
      <c r="AB17" s="335" t="s">
        <v>19</v>
      </c>
      <c r="AC17" s="335" t="s">
        <v>68</v>
      </c>
      <c r="AD17" s="337" t="s">
        <v>57</v>
      </c>
      <c r="AE17" s="338"/>
      <c r="AF17" s="339"/>
      <c r="AG17" s="85"/>
      <c r="BD17" s="84" t="s">
        <v>64</v>
      </c>
    </row>
    <row r="18" spans="1:68" ht="14.25" customHeight="1" x14ac:dyDescent="0.2">
      <c r="A18" s="322"/>
      <c r="B18" s="322"/>
      <c r="C18" s="324"/>
      <c r="D18" s="327"/>
      <c r="E18" s="328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7"/>
      <c r="Q18" s="330"/>
      <c r="R18" s="330"/>
      <c r="S18" s="330"/>
      <c r="T18" s="328"/>
      <c r="U18" s="86" t="s">
        <v>44</v>
      </c>
      <c r="V18" s="86" t="s">
        <v>43</v>
      </c>
      <c r="W18" s="322"/>
      <c r="X18" s="322"/>
      <c r="Y18" s="332"/>
      <c r="Z18" s="334"/>
      <c r="AA18" s="336"/>
      <c r="AB18" s="336"/>
      <c r="AC18" s="336"/>
      <c r="AD18" s="340"/>
      <c r="AE18" s="341"/>
      <c r="AF18" s="342"/>
      <c r="AG18" s="85"/>
      <c r="BD18" s="84"/>
    </row>
    <row r="19" spans="1:68" ht="27.75" customHeight="1" x14ac:dyDescent="0.2">
      <c r="A19" s="343" t="s">
        <v>78</v>
      </c>
      <c r="B19" s="343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54"/>
      <c r="AB19" s="54"/>
      <c r="AC19" s="54"/>
    </row>
    <row r="20" spans="1:68" ht="16.5" customHeight="1" x14ac:dyDescent="0.25">
      <c r="A20" s="344" t="s">
        <v>78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65"/>
      <c r="AB20" s="65"/>
      <c r="AC20" s="82"/>
    </row>
    <row r="21" spans="1:68" ht="14.25" customHeight="1" x14ac:dyDescent="0.25">
      <c r="A21" s="345" t="s">
        <v>79</v>
      </c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66"/>
      <c r="AB21" s="66"/>
      <c r="AC21" s="83"/>
    </row>
    <row r="22" spans="1:68" ht="27" customHeight="1" x14ac:dyDescent="0.25">
      <c r="A22" s="63" t="s">
        <v>80</v>
      </c>
      <c r="B22" s="63" t="s">
        <v>81</v>
      </c>
      <c r="C22" s="36">
        <v>4301071108</v>
      </c>
      <c r="D22" s="346">
        <v>4607111035912</v>
      </c>
      <c r="E22" s="346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84</v>
      </c>
      <c r="L22" s="37" t="s">
        <v>85</v>
      </c>
      <c r="M22" s="38" t="s">
        <v>83</v>
      </c>
      <c r="N22" s="38"/>
      <c r="O22" s="37">
        <v>180</v>
      </c>
      <c r="P22" s="34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8"/>
      <c r="R22" s="348"/>
      <c r="S22" s="348"/>
      <c r="T22" s="34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82</v>
      </c>
      <c r="AG22" s="81"/>
      <c r="AJ22" s="87" t="s">
        <v>86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87</v>
      </c>
      <c r="B23" s="63" t="s">
        <v>88</v>
      </c>
      <c r="C23" s="36">
        <v>4301071110</v>
      </c>
      <c r="D23" s="346">
        <v>4607111035103</v>
      </c>
      <c r="E23" s="346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84</v>
      </c>
      <c r="L23" s="37" t="s">
        <v>85</v>
      </c>
      <c r="M23" s="38" t="s">
        <v>83</v>
      </c>
      <c r="N23" s="38"/>
      <c r="O23" s="37">
        <v>180</v>
      </c>
      <c r="P23" s="35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8"/>
      <c r="R23" s="348"/>
      <c r="S23" s="348"/>
      <c r="T23" s="34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82</v>
      </c>
      <c r="AG23" s="81"/>
      <c r="AJ23" s="87" t="s">
        <v>86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89</v>
      </c>
      <c r="B24" s="63" t="s">
        <v>90</v>
      </c>
      <c r="C24" s="36">
        <v>4301071109</v>
      </c>
      <c r="D24" s="346">
        <v>4607111035929</v>
      </c>
      <c r="E24" s="346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84</v>
      </c>
      <c r="L24" s="37" t="s">
        <v>85</v>
      </c>
      <c r="M24" s="38" t="s">
        <v>83</v>
      </c>
      <c r="N24" s="38"/>
      <c r="O24" s="37">
        <v>180</v>
      </c>
      <c r="P24" s="35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8"/>
      <c r="R24" s="348"/>
      <c r="S24" s="348"/>
      <c r="T24" s="34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82</v>
      </c>
      <c r="AG24" s="81"/>
      <c r="AJ24" s="87" t="s">
        <v>86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91</v>
      </c>
      <c r="B25" s="63" t="s">
        <v>92</v>
      </c>
      <c r="C25" s="36">
        <v>4301071106</v>
      </c>
      <c r="D25" s="346">
        <v>4607111035882</v>
      </c>
      <c r="E25" s="346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84</v>
      </c>
      <c r="L25" s="37" t="s">
        <v>85</v>
      </c>
      <c r="M25" s="38" t="s">
        <v>83</v>
      </c>
      <c r="N25" s="38"/>
      <c r="O25" s="37">
        <v>180</v>
      </c>
      <c r="P25" s="3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8"/>
      <c r="R25" s="348"/>
      <c r="S25" s="348"/>
      <c r="T25" s="34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82</v>
      </c>
      <c r="AG25" s="81"/>
      <c r="AJ25" s="87" t="s">
        <v>86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93</v>
      </c>
      <c r="B26" s="63" t="s">
        <v>94</v>
      </c>
      <c r="C26" s="36">
        <v>4301071105</v>
      </c>
      <c r="D26" s="346">
        <v>4607111035110</v>
      </c>
      <c r="E26" s="346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84</v>
      </c>
      <c r="L26" s="37" t="s">
        <v>85</v>
      </c>
      <c r="M26" s="38" t="s">
        <v>83</v>
      </c>
      <c r="N26" s="38"/>
      <c r="O26" s="37">
        <v>180</v>
      </c>
      <c r="P26" s="35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8"/>
      <c r="R26" s="348"/>
      <c r="S26" s="348"/>
      <c r="T26" s="34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82</v>
      </c>
      <c r="AG26" s="81"/>
      <c r="AJ26" s="87" t="s">
        <v>86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95</v>
      </c>
      <c r="B27" s="63" t="s">
        <v>96</v>
      </c>
      <c r="C27" s="36">
        <v>4301071107</v>
      </c>
      <c r="D27" s="346">
        <v>4607111035905</v>
      </c>
      <c r="E27" s="34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84</v>
      </c>
      <c r="L27" s="37" t="s">
        <v>85</v>
      </c>
      <c r="M27" s="38" t="s">
        <v>83</v>
      </c>
      <c r="N27" s="38"/>
      <c r="O27" s="37">
        <v>180</v>
      </c>
      <c r="P27" s="35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8"/>
      <c r="R27" s="348"/>
      <c r="S27" s="348"/>
      <c r="T27" s="34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82</v>
      </c>
      <c r="AG27" s="81"/>
      <c r="AJ27" s="87" t="s">
        <v>86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8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9"/>
      <c r="P28" s="355" t="s">
        <v>40</v>
      </c>
      <c r="Q28" s="356"/>
      <c r="R28" s="356"/>
      <c r="S28" s="356"/>
      <c r="T28" s="356"/>
      <c r="U28" s="356"/>
      <c r="V28" s="357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8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9"/>
      <c r="P29" s="355" t="s">
        <v>40</v>
      </c>
      <c r="Q29" s="356"/>
      <c r="R29" s="356"/>
      <c r="S29" s="356"/>
      <c r="T29" s="356"/>
      <c r="U29" s="356"/>
      <c r="V29" s="357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4" t="s">
        <v>97</v>
      </c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65"/>
      <c r="AB30" s="65"/>
      <c r="AC30" s="82"/>
    </row>
    <row r="31" spans="1:68" ht="14.25" customHeight="1" x14ac:dyDescent="0.25">
      <c r="A31" s="345" t="s">
        <v>79</v>
      </c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66"/>
      <c r="AB31" s="66"/>
      <c r="AC31" s="83"/>
    </row>
    <row r="32" spans="1:68" ht="16.5" customHeight="1" x14ac:dyDescent="0.25">
      <c r="A32" s="63" t="s">
        <v>98</v>
      </c>
      <c r="B32" s="63" t="s">
        <v>99</v>
      </c>
      <c r="C32" s="36">
        <v>4301071099</v>
      </c>
      <c r="D32" s="346">
        <v>4607111039019</v>
      </c>
      <c r="E32" s="34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84</v>
      </c>
      <c r="L32" s="37" t="s">
        <v>85</v>
      </c>
      <c r="M32" s="38" t="s">
        <v>83</v>
      </c>
      <c r="N32" s="38"/>
      <c r="O32" s="37">
        <v>180</v>
      </c>
      <c r="P32" s="36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8"/>
      <c r="R32" s="348"/>
      <c r="S32" s="348"/>
      <c r="T32" s="34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100</v>
      </c>
      <c r="AG32" s="81"/>
      <c r="AJ32" s="87" t="s">
        <v>86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101</v>
      </c>
      <c r="B33" s="63" t="s">
        <v>102</v>
      </c>
      <c r="C33" s="36">
        <v>4301071100</v>
      </c>
      <c r="D33" s="346">
        <v>4607111038708</v>
      </c>
      <c r="E33" s="34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84</v>
      </c>
      <c r="L33" s="37" t="s">
        <v>85</v>
      </c>
      <c r="M33" s="38" t="s">
        <v>83</v>
      </c>
      <c r="N33" s="38"/>
      <c r="O33" s="37">
        <v>180</v>
      </c>
      <c r="P33" s="36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8"/>
      <c r="R33" s="348"/>
      <c r="S33" s="348"/>
      <c r="T33" s="34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100</v>
      </c>
      <c r="AG33" s="81"/>
      <c r="AJ33" s="87" t="s">
        <v>86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9"/>
      <c r="P34" s="355" t="s">
        <v>40</v>
      </c>
      <c r="Q34" s="356"/>
      <c r="R34" s="356"/>
      <c r="S34" s="356"/>
      <c r="T34" s="356"/>
      <c r="U34" s="356"/>
      <c r="V34" s="357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9"/>
      <c r="P35" s="355" t="s">
        <v>40</v>
      </c>
      <c r="Q35" s="356"/>
      <c r="R35" s="356"/>
      <c r="S35" s="356"/>
      <c r="T35" s="356"/>
      <c r="U35" s="356"/>
      <c r="V35" s="357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3" t="s">
        <v>45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54"/>
      <c r="AB36" s="54"/>
      <c r="AC36" s="54"/>
    </row>
    <row r="37" spans="1:68" ht="16.5" customHeight="1" x14ac:dyDescent="0.25">
      <c r="A37" s="344" t="s">
        <v>103</v>
      </c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65"/>
      <c r="AB37" s="65"/>
      <c r="AC37" s="82"/>
    </row>
    <row r="38" spans="1:68" ht="14.25" customHeight="1" x14ac:dyDescent="0.25">
      <c r="A38" s="345" t="s">
        <v>104</v>
      </c>
      <c r="B38" s="345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66"/>
      <c r="AB38" s="66"/>
      <c r="AC38" s="83"/>
    </row>
    <row r="39" spans="1:68" ht="27" customHeight="1" x14ac:dyDescent="0.25">
      <c r="A39" s="63" t="s">
        <v>105</v>
      </c>
      <c r="B39" s="63" t="s">
        <v>106</v>
      </c>
      <c r="C39" s="36">
        <v>4301132190</v>
      </c>
      <c r="D39" s="346">
        <v>4607111036537</v>
      </c>
      <c r="E39" s="34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109</v>
      </c>
      <c r="L39" s="37" t="s">
        <v>110</v>
      </c>
      <c r="M39" s="38" t="s">
        <v>83</v>
      </c>
      <c r="N39" s="38"/>
      <c r="O39" s="37">
        <v>365</v>
      </c>
      <c r="P39" s="36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8"/>
      <c r="R39" s="348"/>
      <c r="S39" s="348"/>
      <c r="T39" s="34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107</v>
      </c>
      <c r="AG39" s="81"/>
      <c r="AJ39" s="87" t="s">
        <v>111</v>
      </c>
      <c r="AK39" s="87">
        <v>14</v>
      </c>
      <c r="BB39" s="106" t="s">
        <v>108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112</v>
      </c>
      <c r="B40" s="63" t="s">
        <v>113</v>
      </c>
      <c r="C40" s="36">
        <v>4301132188</v>
      </c>
      <c r="D40" s="346">
        <v>4607111036605</v>
      </c>
      <c r="E40" s="34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109</v>
      </c>
      <c r="L40" s="37" t="s">
        <v>85</v>
      </c>
      <c r="M40" s="38" t="s">
        <v>83</v>
      </c>
      <c r="N40" s="38"/>
      <c r="O40" s="37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8"/>
      <c r="R40" s="348"/>
      <c r="S40" s="348"/>
      <c r="T40" s="34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107</v>
      </c>
      <c r="AG40" s="81"/>
      <c r="AJ40" s="87" t="s">
        <v>86</v>
      </c>
      <c r="AK40" s="87">
        <v>1</v>
      </c>
      <c r="BB40" s="108" t="s">
        <v>108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9"/>
      <c r="P41" s="355" t="s">
        <v>40</v>
      </c>
      <c r="Q41" s="356"/>
      <c r="R41" s="356"/>
      <c r="S41" s="356"/>
      <c r="T41" s="356"/>
      <c r="U41" s="356"/>
      <c r="V41" s="357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9"/>
      <c r="P42" s="355" t="s">
        <v>40</v>
      </c>
      <c r="Q42" s="356"/>
      <c r="R42" s="356"/>
      <c r="S42" s="356"/>
      <c r="T42" s="356"/>
      <c r="U42" s="356"/>
      <c r="V42" s="357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4" t="s">
        <v>114</v>
      </c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65"/>
      <c r="AB43" s="65"/>
      <c r="AC43" s="82"/>
    </row>
    <row r="44" spans="1:68" ht="14.25" customHeight="1" x14ac:dyDescent="0.25">
      <c r="A44" s="345" t="s">
        <v>79</v>
      </c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66"/>
      <c r="AB44" s="66"/>
      <c r="AC44" s="83"/>
    </row>
    <row r="45" spans="1:68" ht="27" customHeight="1" x14ac:dyDescent="0.25">
      <c r="A45" s="63" t="s">
        <v>115</v>
      </c>
      <c r="B45" s="63" t="s">
        <v>116</v>
      </c>
      <c r="C45" s="36">
        <v>4301071090</v>
      </c>
      <c r="D45" s="346">
        <v>4620207490075</v>
      </c>
      <c r="E45" s="34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84</v>
      </c>
      <c r="L45" s="37" t="s">
        <v>110</v>
      </c>
      <c r="M45" s="38" t="s">
        <v>83</v>
      </c>
      <c r="N45" s="38"/>
      <c r="O45" s="37">
        <v>180</v>
      </c>
      <c r="P45" s="36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8"/>
      <c r="R45" s="348"/>
      <c r="S45" s="348"/>
      <c r="T45" s="34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117</v>
      </c>
      <c r="AG45" s="81"/>
      <c r="AJ45" s="87" t="s">
        <v>111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118</v>
      </c>
      <c r="B46" s="63" t="s">
        <v>119</v>
      </c>
      <c r="C46" s="36">
        <v>4301071092</v>
      </c>
      <c r="D46" s="346">
        <v>4620207490174</v>
      </c>
      <c r="E46" s="34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84</v>
      </c>
      <c r="L46" s="37" t="s">
        <v>110</v>
      </c>
      <c r="M46" s="38" t="s">
        <v>83</v>
      </c>
      <c r="N46" s="38"/>
      <c r="O46" s="37">
        <v>180</v>
      </c>
      <c r="P46" s="36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8"/>
      <c r="R46" s="348"/>
      <c r="S46" s="348"/>
      <c r="T46" s="34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120</v>
      </c>
      <c r="AG46" s="81"/>
      <c r="AJ46" s="87" t="s">
        <v>111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121</v>
      </c>
      <c r="B47" s="63" t="s">
        <v>122</v>
      </c>
      <c r="C47" s="36">
        <v>4301071091</v>
      </c>
      <c r="D47" s="346">
        <v>4620207490044</v>
      </c>
      <c r="E47" s="34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84</v>
      </c>
      <c r="L47" s="37" t="s">
        <v>110</v>
      </c>
      <c r="M47" s="38" t="s">
        <v>83</v>
      </c>
      <c r="N47" s="38"/>
      <c r="O47" s="37">
        <v>180</v>
      </c>
      <c r="P47" s="36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8"/>
      <c r="R47" s="348"/>
      <c r="S47" s="348"/>
      <c r="T47" s="34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123</v>
      </c>
      <c r="AG47" s="81"/>
      <c r="AJ47" s="87" t="s">
        <v>111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9"/>
      <c r="P48" s="355" t="s">
        <v>40</v>
      </c>
      <c r="Q48" s="356"/>
      <c r="R48" s="356"/>
      <c r="S48" s="356"/>
      <c r="T48" s="356"/>
      <c r="U48" s="356"/>
      <c r="V48" s="357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9"/>
      <c r="P49" s="355" t="s">
        <v>40</v>
      </c>
      <c r="Q49" s="356"/>
      <c r="R49" s="356"/>
      <c r="S49" s="356"/>
      <c r="T49" s="356"/>
      <c r="U49" s="356"/>
      <c r="V49" s="357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4" t="s">
        <v>124</v>
      </c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65"/>
      <c r="AB50" s="65"/>
      <c r="AC50" s="82"/>
    </row>
    <row r="51" spans="1:68" ht="14.25" customHeight="1" x14ac:dyDescent="0.25">
      <c r="A51" s="345" t="s">
        <v>79</v>
      </c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66"/>
      <c r="AB51" s="66"/>
      <c r="AC51" s="83"/>
    </row>
    <row r="52" spans="1:68" ht="27" customHeight="1" x14ac:dyDescent="0.25">
      <c r="A52" s="63" t="s">
        <v>125</v>
      </c>
      <c r="B52" s="63" t="s">
        <v>126</v>
      </c>
      <c r="C52" s="36">
        <v>4301071044</v>
      </c>
      <c r="D52" s="346">
        <v>4607111039385</v>
      </c>
      <c r="E52" s="34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84</v>
      </c>
      <c r="L52" s="37" t="s">
        <v>110</v>
      </c>
      <c r="M52" s="38" t="s">
        <v>83</v>
      </c>
      <c r="N52" s="38"/>
      <c r="O52" s="37">
        <v>180</v>
      </c>
      <c r="P52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8"/>
      <c r="R52" s="348"/>
      <c r="S52" s="348"/>
      <c r="T52" s="34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127</v>
      </c>
      <c r="AG52" s="81"/>
      <c r="AJ52" s="87" t="s">
        <v>111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128</v>
      </c>
      <c r="B53" s="63" t="s">
        <v>129</v>
      </c>
      <c r="C53" s="36">
        <v>4301071031</v>
      </c>
      <c r="D53" s="346">
        <v>4607111038982</v>
      </c>
      <c r="E53" s="34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84</v>
      </c>
      <c r="L53" s="37" t="s">
        <v>110</v>
      </c>
      <c r="M53" s="38" t="s">
        <v>83</v>
      </c>
      <c r="N53" s="38"/>
      <c r="O53" s="37">
        <v>180</v>
      </c>
      <c r="P53" s="36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8"/>
      <c r="R53" s="348"/>
      <c r="S53" s="348"/>
      <c r="T53" s="34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130</v>
      </c>
      <c r="AG53" s="81"/>
      <c r="AJ53" s="87" t="s">
        <v>111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131</v>
      </c>
      <c r="B54" s="63" t="s">
        <v>132</v>
      </c>
      <c r="C54" s="36">
        <v>4301071046</v>
      </c>
      <c r="D54" s="346">
        <v>4607111039354</v>
      </c>
      <c r="E54" s="34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84</v>
      </c>
      <c r="L54" s="37" t="s">
        <v>110</v>
      </c>
      <c r="M54" s="38" t="s">
        <v>83</v>
      </c>
      <c r="N54" s="38"/>
      <c r="O54" s="37">
        <v>180</v>
      </c>
      <c r="P54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8"/>
      <c r="R54" s="348"/>
      <c r="S54" s="348"/>
      <c r="T54" s="34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130</v>
      </c>
      <c r="AG54" s="81"/>
      <c r="AJ54" s="87" t="s">
        <v>111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133</v>
      </c>
      <c r="B55" s="63" t="s">
        <v>134</v>
      </c>
      <c r="C55" s="36">
        <v>4301071047</v>
      </c>
      <c r="D55" s="346">
        <v>4607111039330</v>
      </c>
      <c r="E55" s="34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84</v>
      </c>
      <c r="L55" s="37" t="s">
        <v>110</v>
      </c>
      <c r="M55" s="38" t="s">
        <v>83</v>
      </c>
      <c r="N55" s="38"/>
      <c r="O55" s="37">
        <v>180</v>
      </c>
      <c r="P55" s="3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8"/>
      <c r="R55" s="348"/>
      <c r="S55" s="348"/>
      <c r="T55" s="34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130</v>
      </c>
      <c r="AG55" s="81"/>
      <c r="AJ55" s="87" t="s">
        <v>111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9"/>
      <c r="P56" s="355" t="s">
        <v>40</v>
      </c>
      <c r="Q56" s="356"/>
      <c r="R56" s="356"/>
      <c r="S56" s="356"/>
      <c r="T56" s="356"/>
      <c r="U56" s="356"/>
      <c r="V56" s="357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9"/>
      <c r="P57" s="355" t="s">
        <v>40</v>
      </c>
      <c r="Q57" s="356"/>
      <c r="R57" s="356"/>
      <c r="S57" s="356"/>
      <c r="T57" s="356"/>
      <c r="U57" s="356"/>
      <c r="V57" s="357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4" t="s">
        <v>135</v>
      </c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65"/>
      <c r="AB58" s="65"/>
      <c r="AC58" s="82"/>
    </row>
    <row r="59" spans="1:68" ht="14.25" customHeight="1" x14ac:dyDescent="0.25">
      <c r="A59" s="345" t="s">
        <v>79</v>
      </c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66"/>
      <c r="AB59" s="66"/>
      <c r="AC59" s="83"/>
    </row>
    <row r="60" spans="1:68" ht="16.5" customHeight="1" x14ac:dyDescent="0.25">
      <c r="A60" s="63" t="s">
        <v>136</v>
      </c>
      <c r="B60" s="63" t="s">
        <v>137</v>
      </c>
      <c r="C60" s="36">
        <v>4301071073</v>
      </c>
      <c r="D60" s="346">
        <v>4620207490822</v>
      </c>
      <c r="E60" s="34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84</v>
      </c>
      <c r="L60" s="37" t="s">
        <v>85</v>
      </c>
      <c r="M60" s="38" t="s">
        <v>83</v>
      </c>
      <c r="N60" s="38"/>
      <c r="O60" s="37">
        <v>365</v>
      </c>
      <c r="P60" s="37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8"/>
      <c r="R60" s="348"/>
      <c r="S60" s="348"/>
      <c r="T60" s="34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138</v>
      </c>
      <c r="AG60" s="81"/>
      <c r="AJ60" s="87" t="s">
        <v>86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9"/>
      <c r="P61" s="355" t="s">
        <v>40</v>
      </c>
      <c r="Q61" s="356"/>
      <c r="R61" s="356"/>
      <c r="S61" s="356"/>
      <c r="T61" s="356"/>
      <c r="U61" s="356"/>
      <c r="V61" s="357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9"/>
      <c r="P62" s="355" t="s">
        <v>40</v>
      </c>
      <c r="Q62" s="356"/>
      <c r="R62" s="356"/>
      <c r="S62" s="356"/>
      <c r="T62" s="356"/>
      <c r="U62" s="356"/>
      <c r="V62" s="357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5" t="s">
        <v>104</v>
      </c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66"/>
      <c r="AB63" s="66"/>
      <c r="AC63" s="83"/>
    </row>
    <row r="64" spans="1:68" ht="27" customHeight="1" x14ac:dyDescent="0.25">
      <c r="A64" s="63" t="s">
        <v>139</v>
      </c>
      <c r="B64" s="63" t="s">
        <v>140</v>
      </c>
      <c r="C64" s="36">
        <v>4301132194</v>
      </c>
      <c r="D64" s="346">
        <v>4607111039712</v>
      </c>
      <c r="E64" s="34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109</v>
      </c>
      <c r="L64" s="37" t="s">
        <v>85</v>
      </c>
      <c r="M64" s="38" t="s">
        <v>83</v>
      </c>
      <c r="N64" s="38"/>
      <c r="O64" s="37">
        <v>365</v>
      </c>
      <c r="P64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8"/>
      <c r="R64" s="348"/>
      <c r="S64" s="348"/>
      <c r="T64" s="34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141</v>
      </c>
      <c r="AG64" s="81"/>
      <c r="AJ64" s="87" t="s">
        <v>86</v>
      </c>
      <c r="AK64" s="87">
        <v>1</v>
      </c>
      <c r="BB64" s="126" t="s">
        <v>108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9"/>
      <c r="P65" s="355" t="s">
        <v>40</v>
      </c>
      <c r="Q65" s="356"/>
      <c r="R65" s="356"/>
      <c r="S65" s="356"/>
      <c r="T65" s="356"/>
      <c r="U65" s="356"/>
      <c r="V65" s="357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9"/>
      <c r="P66" s="355" t="s">
        <v>40</v>
      </c>
      <c r="Q66" s="356"/>
      <c r="R66" s="356"/>
      <c r="S66" s="356"/>
      <c r="T66" s="356"/>
      <c r="U66" s="356"/>
      <c r="V66" s="357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5" t="s">
        <v>142</v>
      </c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66"/>
      <c r="AB67" s="66"/>
      <c r="AC67" s="83"/>
    </row>
    <row r="68" spans="1:68" ht="16.5" customHeight="1" x14ac:dyDescent="0.25">
      <c r="A68" s="63" t="s">
        <v>143</v>
      </c>
      <c r="B68" s="63" t="s">
        <v>144</v>
      </c>
      <c r="C68" s="36">
        <v>4301136018</v>
      </c>
      <c r="D68" s="346">
        <v>4607111037008</v>
      </c>
      <c r="E68" s="34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109</v>
      </c>
      <c r="L68" s="37" t="s">
        <v>85</v>
      </c>
      <c r="M68" s="38" t="s">
        <v>83</v>
      </c>
      <c r="N68" s="38"/>
      <c r="O68" s="37">
        <v>365</v>
      </c>
      <c r="P68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8"/>
      <c r="R68" s="348"/>
      <c r="S68" s="348"/>
      <c r="T68" s="34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145</v>
      </c>
      <c r="AG68" s="81"/>
      <c r="AJ68" s="87" t="s">
        <v>86</v>
      </c>
      <c r="AK68" s="87">
        <v>1</v>
      </c>
      <c r="BB68" s="128" t="s">
        <v>108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146</v>
      </c>
      <c r="B69" s="63" t="s">
        <v>147</v>
      </c>
      <c r="C69" s="36">
        <v>4301136015</v>
      </c>
      <c r="D69" s="346">
        <v>4607111037398</v>
      </c>
      <c r="E69" s="34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109</v>
      </c>
      <c r="L69" s="37" t="s">
        <v>85</v>
      </c>
      <c r="M69" s="38" t="s">
        <v>83</v>
      </c>
      <c r="N69" s="38"/>
      <c r="O69" s="37">
        <v>365</v>
      </c>
      <c r="P69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8"/>
      <c r="R69" s="348"/>
      <c r="S69" s="348"/>
      <c r="T69" s="34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145</v>
      </c>
      <c r="AG69" s="81"/>
      <c r="AJ69" s="87" t="s">
        <v>86</v>
      </c>
      <c r="AK69" s="87">
        <v>1</v>
      </c>
      <c r="BB69" s="130" t="s">
        <v>108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9"/>
      <c r="P70" s="355" t="s">
        <v>40</v>
      </c>
      <c r="Q70" s="356"/>
      <c r="R70" s="356"/>
      <c r="S70" s="356"/>
      <c r="T70" s="356"/>
      <c r="U70" s="356"/>
      <c r="V70" s="357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9"/>
      <c r="P71" s="355" t="s">
        <v>40</v>
      </c>
      <c r="Q71" s="356"/>
      <c r="R71" s="356"/>
      <c r="S71" s="356"/>
      <c r="T71" s="356"/>
      <c r="U71" s="356"/>
      <c r="V71" s="357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5" t="s">
        <v>148</v>
      </c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66"/>
      <c r="AB72" s="66"/>
      <c r="AC72" s="83"/>
    </row>
    <row r="73" spans="1:68" ht="27" customHeight="1" x14ac:dyDescent="0.25">
      <c r="A73" s="63" t="s">
        <v>149</v>
      </c>
      <c r="B73" s="63" t="s">
        <v>150</v>
      </c>
      <c r="C73" s="36">
        <v>4301135664</v>
      </c>
      <c r="D73" s="346">
        <v>4607111039705</v>
      </c>
      <c r="E73" s="34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109</v>
      </c>
      <c r="L73" s="37" t="s">
        <v>85</v>
      </c>
      <c r="M73" s="38" t="s">
        <v>83</v>
      </c>
      <c r="N73" s="38"/>
      <c r="O73" s="37">
        <v>365</v>
      </c>
      <c r="P73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8"/>
      <c r="R73" s="348"/>
      <c r="S73" s="348"/>
      <c r="T73" s="34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145</v>
      </c>
      <c r="AG73" s="81"/>
      <c r="AJ73" s="87" t="s">
        <v>86</v>
      </c>
      <c r="AK73" s="87">
        <v>1</v>
      </c>
      <c r="BB73" s="132" t="s">
        <v>108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151</v>
      </c>
      <c r="B74" s="63" t="s">
        <v>152</v>
      </c>
      <c r="C74" s="36">
        <v>4301135665</v>
      </c>
      <c r="D74" s="346">
        <v>4607111039729</v>
      </c>
      <c r="E74" s="34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109</v>
      </c>
      <c r="L74" s="37" t="s">
        <v>85</v>
      </c>
      <c r="M74" s="38" t="s">
        <v>83</v>
      </c>
      <c r="N74" s="38"/>
      <c r="O74" s="37">
        <v>365</v>
      </c>
      <c r="P74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8"/>
      <c r="R74" s="348"/>
      <c r="S74" s="348"/>
      <c r="T74" s="34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153</v>
      </c>
      <c r="AG74" s="81"/>
      <c r="AJ74" s="87" t="s">
        <v>86</v>
      </c>
      <c r="AK74" s="87">
        <v>1</v>
      </c>
      <c r="BB74" s="134" t="s">
        <v>108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154</v>
      </c>
      <c r="B75" s="63" t="s">
        <v>155</v>
      </c>
      <c r="C75" s="36">
        <v>4301135702</v>
      </c>
      <c r="D75" s="346">
        <v>4620207490228</v>
      </c>
      <c r="E75" s="34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109</v>
      </c>
      <c r="L75" s="37" t="s">
        <v>85</v>
      </c>
      <c r="M75" s="38" t="s">
        <v>83</v>
      </c>
      <c r="N75" s="38"/>
      <c r="O75" s="37">
        <v>365</v>
      </c>
      <c r="P75" s="37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8"/>
      <c r="R75" s="348"/>
      <c r="S75" s="348"/>
      <c r="T75" s="34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86</v>
      </c>
      <c r="AK75" s="87">
        <v>1</v>
      </c>
      <c r="BB75" s="136" t="s">
        <v>108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9"/>
      <c r="P76" s="355" t="s">
        <v>40</v>
      </c>
      <c r="Q76" s="356"/>
      <c r="R76" s="356"/>
      <c r="S76" s="356"/>
      <c r="T76" s="356"/>
      <c r="U76" s="356"/>
      <c r="V76" s="357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9"/>
      <c r="P77" s="355" t="s">
        <v>40</v>
      </c>
      <c r="Q77" s="356"/>
      <c r="R77" s="356"/>
      <c r="S77" s="356"/>
      <c r="T77" s="356"/>
      <c r="U77" s="356"/>
      <c r="V77" s="357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4" t="s">
        <v>156</v>
      </c>
      <c r="B78" s="344"/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65"/>
      <c r="AB78" s="65"/>
      <c r="AC78" s="82"/>
    </row>
    <row r="79" spans="1:68" ht="14.25" customHeight="1" x14ac:dyDescent="0.25">
      <c r="A79" s="345" t="s">
        <v>79</v>
      </c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66"/>
      <c r="AB79" s="66"/>
      <c r="AC79" s="83"/>
    </row>
    <row r="80" spans="1:68" ht="27" customHeight="1" x14ac:dyDescent="0.25">
      <c r="A80" s="63" t="s">
        <v>157</v>
      </c>
      <c r="B80" s="63" t="s">
        <v>158</v>
      </c>
      <c r="C80" s="36">
        <v>4301070977</v>
      </c>
      <c r="D80" s="346">
        <v>4607111037411</v>
      </c>
      <c r="E80" s="34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160</v>
      </c>
      <c r="L80" s="37" t="s">
        <v>110</v>
      </c>
      <c r="M80" s="38" t="s">
        <v>83</v>
      </c>
      <c r="N80" s="38"/>
      <c r="O80" s="37">
        <v>180</v>
      </c>
      <c r="P80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8"/>
      <c r="R80" s="348"/>
      <c r="S80" s="348"/>
      <c r="T80" s="34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159</v>
      </c>
      <c r="AG80" s="81"/>
      <c r="AJ80" s="87" t="s">
        <v>111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161</v>
      </c>
      <c r="B81" s="63" t="s">
        <v>162</v>
      </c>
      <c r="C81" s="36">
        <v>4301070981</v>
      </c>
      <c r="D81" s="346">
        <v>4607111036728</v>
      </c>
      <c r="E81" s="34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84</v>
      </c>
      <c r="L81" s="37" t="s">
        <v>110</v>
      </c>
      <c r="M81" s="38" t="s">
        <v>83</v>
      </c>
      <c r="N81" s="38"/>
      <c r="O81" s="37">
        <v>180</v>
      </c>
      <c r="P81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8"/>
      <c r="R81" s="348"/>
      <c r="S81" s="348"/>
      <c r="T81" s="34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159</v>
      </c>
      <c r="AG81" s="81"/>
      <c r="AJ81" s="87" t="s">
        <v>111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9"/>
      <c r="P82" s="355" t="s">
        <v>40</v>
      </c>
      <c r="Q82" s="356"/>
      <c r="R82" s="356"/>
      <c r="S82" s="356"/>
      <c r="T82" s="356"/>
      <c r="U82" s="356"/>
      <c r="V82" s="357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9"/>
      <c r="P83" s="355" t="s">
        <v>40</v>
      </c>
      <c r="Q83" s="356"/>
      <c r="R83" s="356"/>
      <c r="S83" s="356"/>
      <c r="T83" s="356"/>
      <c r="U83" s="356"/>
      <c r="V83" s="357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4" t="s">
        <v>163</v>
      </c>
      <c r="B84" s="344"/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65"/>
      <c r="AB84" s="65"/>
      <c r="AC84" s="82"/>
    </row>
    <row r="85" spans="1:68" ht="14.25" customHeight="1" x14ac:dyDescent="0.25">
      <c r="A85" s="345" t="s">
        <v>148</v>
      </c>
      <c r="B85" s="345"/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66"/>
      <c r="AB85" s="66"/>
      <c r="AC85" s="83"/>
    </row>
    <row r="86" spans="1:68" ht="27" customHeight="1" x14ac:dyDescent="0.25">
      <c r="A86" s="63" t="s">
        <v>164</v>
      </c>
      <c r="B86" s="63" t="s">
        <v>165</v>
      </c>
      <c r="C86" s="36">
        <v>4301135574</v>
      </c>
      <c r="D86" s="346">
        <v>4607111033659</v>
      </c>
      <c r="E86" s="34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109</v>
      </c>
      <c r="L86" s="37" t="s">
        <v>110</v>
      </c>
      <c r="M86" s="38" t="s">
        <v>83</v>
      </c>
      <c r="N86" s="38"/>
      <c r="O86" s="37">
        <v>180</v>
      </c>
      <c r="P86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8"/>
      <c r="R86" s="348"/>
      <c r="S86" s="348"/>
      <c r="T86" s="34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166</v>
      </c>
      <c r="AG86" s="81"/>
      <c r="AJ86" s="87" t="s">
        <v>111</v>
      </c>
      <c r="AK86" s="87">
        <v>14</v>
      </c>
      <c r="BB86" s="142" t="s">
        <v>108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9"/>
      <c r="P87" s="355" t="s">
        <v>40</v>
      </c>
      <c r="Q87" s="356"/>
      <c r="R87" s="356"/>
      <c r="S87" s="356"/>
      <c r="T87" s="356"/>
      <c r="U87" s="356"/>
      <c r="V87" s="357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9"/>
      <c r="P88" s="355" t="s">
        <v>40</v>
      </c>
      <c r="Q88" s="356"/>
      <c r="R88" s="356"/>
      <c r="S88" s="356"/>
      <c r="T88" s="356"/>
      <c r="U88" s="356"/>
      <c r="V88" s="357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4" t="s">
        <v>167</v>
      </c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  <c r="Y89" s="344"/>
      <c r="Z89" s="344"/>
      <c r="AA89" s="65"/>
      <c r="AB89" s="65"/>
      <c r="AC89" s="82"/>
    </row>
    <row r="90" spans="1:68" ht="14.25" customHeight="1" x14ac:dyDescent="0.25">
      <c r="A90" s="345" t="s">
        <v>168</v>
      </c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66"/>
      <c r="AB90" s="66"/>
      <c r="AC90" s="83"/>
    </row>
    <row r="91" spans="1:68" ht="27" customHeight="1" x14ac:dyDescent="0.25">
      <c r="A91" s="63" t="s">
        <v>169</v>
      </c>
      <c r="B91" s="63" t="s">
        <v>170</v>
      </c>
      <c r="C91" s="36">
        <v>4301131047</v>
      </c>
      <c r="D91" s="346">
        <v>4607111034120</v>
      </c>
      <c r="E91" s="34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109</v>
      </c>
      <c r="L91" s="37" t="s">
        <v>110</v>
      </c>
      <c r="M91" s="38" t="s">
        <v>83</v>
      </c>
      <c r="N91" s="38"/>
      <c r="O91" s="37">
        <v>180</v>
      </c>
      <c r="P91" s="38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8"/>
      <c r="R91" s="348"/>
      <c r="S91" s="348"/>
      <c r="T91" s="349"/>
      <c r="U91" s="39" t="s">
        <v>46</v>
      </c>
      <c r="V91" s="39" t="s">
        <v>46</v>
      </c>
      <c r="W91" s="40" t="s">
        <v>39</v>
      </c>
      <c r="X91" s="58">
        <v>70</v>
      </c>
      <c r="Y91" s="55">
        <f>IFERROR(IF(X91="","",X91),"")</f>
        <v>70</v>
      </c>
      <c r="Z91" s="41">
        <f>IFERROR(IF(X91="","",X91*0.01788),"")</f>
        <v>1.2516</v>
      </c>
      <c r="AA91" s="68" t="s">
        <v>46</v>
      </c>
      <c r="AB91" s="69" t="s">
        <v>46</v>
      </c>
      <c r="AC91" s="143" t="s">
        <v>171</v>
      </c>
      <c r="AG91" s="81"/>
      <c r="AJ91" s="87" t="s">
        <v>111</v>
      </c>
      <c r="AK91" s="87">
        <v>14</v>
      </c>
      <c r="BB91" s="144" t="s">
        <v>108</v>
      </c>
      <c r="BM91" s="81">
        <f>IFERROR(X91*I91,"0")</f>
        <v>301.25200000000001</v>
      </c>
      <c r="BN91" s="81">
        <f>IFERROR(Y91*I91,"0")</f>
        <v>301.25200000000001</v>
      </c>
      <c r="BO91" s="81">
        <f>IFERROR(X91/J91,"0")</f>
        <v>1</v>
      </c>
      <c r="BP91" s="81">
        <f>IFERROR(Y91/J91,"0")</f>
        <v>1</v>
      </c>
    </row>
    <row r="92" spans="1:68" ht="27" customHeight="1" x14ac:dyDescent="0.25">
      <c r="A92" s="63" t="s">
        <v>172</v>
      </c>
      <c r="B92" s="63" t="s">
        <v>173</v>
      </c>
      <c r="C92" s="36">
        <v>4301131046</v>
      </c>
      <c r="D92" s="346">
        <v>4607111034137</v>
      </c>
      <c r="E92" s="34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109</v>
      </c>
      <c r="L92" s="37" t="s">
        <v>85</v>
      </c>
      <c r="M92" s="38" t="s">
        <v>83</v>
      </c>
      <c r="N92" s="38"/>
      <c r="O92" s="37">
        <v>180</v>
      </c>
      <c r="P92" s="38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8"/>
      <c r="R92" s="348"/>
      <c r="S92" s="348"/>
      <c r="T92" s="349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174</v>
      </c>
      <c r="AG92" s="81"/>
      <c r="AJ92" s="87" t="s">
        <v>86</v>
      </c>
      <c r="AK92" s="87">
        <v>1</v>
      </c>
      <c r="BB92" s="146" t="s">
        <v>108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9"/>
      <c r="P93" s="355" t="s">
        <v>40</v>
      </c>
      <c r="Q93" s="356"/>
      <c r="R93" s="356"/>
      <c r="S93" s="356"/>
      <c r="T93" s="356"/>
      <c r="U93" s="356"/>
      <c r="V93" s="357"/>
      <c r="W93" s="42" t="s">
        <v>39</v>
      </c>
      <c r="X93" s="43">
        <f>IFERROR(SUM(X91:X92),"0")</f>
        <v>70</v>
      </c>
      <c r="Y93" s="43">
        <f>IFERROR(SUM(Y91:Y92),"0")</f>
        <v>70</v>
      </c>
      <c r="Z93" s="43">
        <f>IFERROR(IF(Z91="",0,Z91),"0")+IFERROR(IF(Z92="",0,Z92),"0")</f>
        <v>1.2516</v>
      </c>
      <c r="AA93" s="67"/>
      <c r="AB93" s="67"/>
      <c r="AC93" s="67"/>
    </row>
    <row r="94" spans="1:68" x14ac:dyDescent="0.2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9"/>
      <c r="P94" s="355" t="s">
        <v>40</v>
      </c>
      <c r="Q94" s="356"/>
      <c r="R94" s="356"/>
      <c r="S94" s="356"/>
      <c r="T94" s="356"/>
      <c r="U94" s="356"/>
      <c r="V94" s="357"/>
      <c r="W94" s="42" t="s">
        <v>0</v>
      </c>
      <c r="X94" s="43">
        <f>IFERROR(SUMPRODUCT(X91:X92*H91:H92),"0")</f>
        <v>252</v>
      </c>
      <c r="Y94" s="43">
        <f>IFERROR(SUMPRODUCT(Y91:Y92*H91:H92),"0")</f>
        <v>252</v>
      </c>
      <c r="Z94" s="42"/>
      <c r="AA94" s="67"/>
      <c r="AB94" s="67"/>
      <c r="AC94" s="67"/>
    </row>
    <row r="95" spans="1:68" ht="16.5" customHeight="1" x14ac:dyDescent="0.25">
      <c r="A95" s="344" t="s">
        <v>175</v>
      </c>
      <c r="B95" s="344"/>
      <c r="C95" s="34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  <c r="AA95" s="65"/>
      <c r="AB95" s="65"/>
      <c r="AC95" s="82"/>
    </row>
    <row r="96" spans="1:68" ht="14.25" customHeight="1" x14ac:dyDescent="0.25">
      <c r="A96" s="345" t="s">
        <v>148</v>
      </c>
      <c r="B96" s="345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66"/>
      <c r="AB96" s="66"/>
      <c r="AC96" s="83"/>
    </row>
    <row r="97" spans="1:68" ht="27" customHeight="1" x14ac:dyDescent="0.25">
      <c r="A97" s="63" t="s">
        <v>176</v>
      </c>
      <c r="B97" s="63" t="s">
        <v>177</v>
      </c>
      <c r="C97" s="36">
        <v>4301135763</v>
      </c>
      <c r="D97" s="346">
        <v>4620207491027</v>
      </c>
      <c r="E97" s="34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109</v>
      </c>
      <c r="L97" s="37" t="s">
        <v>85</v>
      </c>
      <c r="M97" s="38" t="s">
        <v>83</v>
      </c>
      <c r="N97" s="38"/>
      <c r="O97" s="37">
        <v>180</v>
      </c>
      <c r="P97" s="38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8"/>
      <c r="R97" s="348"/>
      <c r="S97" s="348"/>
      <c r="T97" s="349"/>
      <c r="U97" s="39" t="s">
        <v>46</v>
      </c>
      <c r="V97" s="39" t="s">
        <v>46</v>
      </c>
      <c r="W97" s="40" t="s">
        <v>39</v>
      </c>
      <c r="X97" s="58">
        <v>70</v>
      </c>
      <c r="Y97" s="55">
        <f t="shared" ref="Y97:Y102" si="6">IFERROR(IF(X97="","",X97),"")</f>
        <v>70</v>
      </c>
      <c r="Z97" s="41">
        <f t="shared" ref="Z97:Z102" si="7">IFERROR(IF(X97="","",X97*0.01788),"")</f>
        <v>1.2516</v>
      </c>
      <c r="AA97" s="68" t="s">
        <v>46</v>
      </c>
      <c r="AB97" s="69" t="s">
        <v>46</v>
      </c>
      <c r="AC97" s="147" t="s">
        <v>166</v>
      </c>
      <c r="AG97" s="81"/>
      <c r="AJ97" s="87" t="s">
        <v>86</v>
      </c>
      <c r="AK97" s="87">
        <v>1</v>
      </c>
      <c r="BB97" s="148" t="s">
        <v>108</v>
      </c>
      <c r="BM97" s="81">
        <f t="shared" ref="BM97:BM102" si="8">IFERROR(X97*I97,"0")</f>
        <v>250.852</v>
      </c>
      <c r="BN97" s="81">
        <f t="shared" ref="BN97:BN102" si="9">IFERROR(Y97*I97,"0")</f>
        <v>250.852</v>
      </c>
      <c r="BO97" s="81">
        <f t="shared" ref="BO97:BO102" si="10">IFERROR(X97/J97,"0")</f>
        <v>1</v>
      </c>
      <c r="BP97" s="81">
        <f t="shared" ref="BP97:BP102" si="11">IFERROR(Y97/J97,"0")</f>
        <v>1</v>
      </c>
    </row>
    <row r="98" spans="1:68" ht="27" customHeight="1" x14ac:dyDescent="0.25">
      <c r="A98" s="63" t="s">
        <v>178</v>
      </c>
      <c r="B98" s="63" t="s">
        <v>179</v>
      </c>
      <c r="C98" s="36">
        <v>4301135793</v>
      </c>
      <c r="D98" s="346">
        <v>4620207491003</v>
      </c>
      <c r="E98" s="34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109</v>
      </c>
      <c r="L98" s="37" t="s">
        <v>110</v>
      </c>
      <c r="M98" s="38" t="s">
        <v>83</v>
      </c>
      <c r="N98" s="38"/>
      <c r="O98" s="37">
        <v>180</v>
      </c>
      <c r="P98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8"/>
      <c r="R98" s="348"/>
      <c r="S98" s="348"/>
      <c r="T98" s="349"/>
      <c r="U98" s="39" t="s">
        <v>46</v>
      </c>
      <c r="V98" s="39" t="s">
        <v>46</v>
      </c>
      <c r="W98" s="40" t="s">
        <v>39</v>
      </c>
      <c r="X98" s="58">
        <v>70</v>
      </c>
      <c r="Y98" s="55">
        <f t="shared" si="6"/>
        <v>70</v>
      </c>
      <c r="Z98" s="41">
        <f t="shared" si="7"/>
        <v>1.2516</v>
      </c>
      <c r="AA98" s="68" t="s">
        <v>46</v>
      </c>
      <c r="AB98" s="69" t="s">
        <v>46</v>
      </c>
      <c r="AC98" s="149" t="s">
        <v>166</v>
      </c>
      <c r="AG98" s="81"/>
      <c r="AJ98" s="87" t="s">
        <v>111</v>
      </c>
      <c r="AK98" s="87">
        <v>14</v>
      </c>
      <c r="BB98" s="150" t="s">
        <v>108</v>
      </c>
      <c r="BM98" s="81">
        <f t="shared" si="8"/>
        <v>250.852</v>
      </c>
      <c r="BN98" s="81">
        <f t="shared" si="9"/>
        <v>250.852</v>
      </c>
      <c r="BO98" s="81">
        <f t="shared" si="10"/>
        <v>1</v>
      </c>
      <c r="BP98" s="81">
        <f t="shared" si="11"/>
        <v>1</v>
      </c>
    </row>
    <row r="99" spans="1:68" ht="27" customHeight="1" x14ac:dyDescent="0.25">
      <c r="A99" s="63" t="s">
        <v>180</v>
      </c>
      <c r="B99" s="63" t="s">
        <v>181</v>
      </c>
      <c r="C99" s="36">
        <v>4301135768</v>
      </c>
      <c r="D99" s="346">
        <v>4620207491034</v>
      </c>
      <c r="E99" s="34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109</v>
      </c>
      <c r="L99" s="37" t="s">
        <v>85</v>
      </c>
      <c r="M99" s="38" t="s">
        <v>83</v>
      </c>
      <c r="N99" s="38"/>
      <c r="O99" s="37">
        <v>180</v>
      </c>
      <c r="P99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8"/>
      <c r="R99" s="348"/>
      <c r="S99" s="348"/>
      <c r="T99" s="34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182</v>
      </c>
      <c r="AG99" s="81"/>
      <c r="AJ99" s="87" t="s">
        <v>86</v>
      </c>
      <c r="AK99" s="87">
        <v>1</v>
      </c>
      <c r="BB99" s="152" t="s">
        <v>108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183</v>
      </c>
      <c r="B100" s="63" t="s">
        <v>184</v>
      </c>
      <c r="C100" s="36">
        <v>4301135760</v>
      </c>
      <c r="D100" s="346">
        <v>4620207491010</v>
      </c>
      <c r="E100" s="34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109</v>
      </c>
      <c r="L100" s="37" t="s">
        <v>110</v>
      </c>
      <c r="M100" s="38" t="s">
        <v>83</v>
      </c>
      <c r="N100" s="38"/>
      <c r="O100" s="37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8"/>
      <c r="R100" s="348"/>
      <c r="S100" s="348"/>
      <c r="T100" s="349"/>
      <c r="U100" s="39" t="s">
        <v>46</v>
      </c>
      <c r="V100" s="39" t="s">
        <v>46</v>
      </c>
      <c r="W100" s="40" t="s">
        <v>39</v>
      </c>
      <c r="X100" s="58">
        <v>140</v>
      </c>
      <c r="Y100" s="55">
        <f t="shared" si="6"/>
        <v>140</v>
      </c>
      <c r="Z100" s="41">
        <f t="shared" si="7"/>
        <v>2.5032000000000001</v>
      </c>
      <c r="AA100" s="68" t="s">
        <v>46</v>
      </c>
      <c r="AB100" s="69" t="s">
        <v>46</v>
      </c>
      <c r="AC100" s="153" t="s">
        <v>166</v>
      </c>
      <c r="AG100" s="81"/>
      <c r="AJ100" s="87" t="s">
        <v>111</v>
      </c>
      <c r="AK100" s="87">
        <v>14</v>
      </c>
      <c r="BB100" s="154" t="s">
        <v>108</v>
      </c>
      <c r="BM100" s="81">
        <f t="shared" si="8"/>
        <v>501.70400000000001</v>
      </c>
      <c r="BN100" s="81">
        <f t="shared" si="9"/>
        <v>501.70400000000001</v>
      </c>
      <c r="BO100" s="81">
        <f t="shared" si="10"/>
        <v>2</v>
      </c>
      <c r="BP100" s="81">
        <f t="shared" si="11"/>
        <v>2</v>
      </c>
    </row>
    <row r="101" spans="1:68" ht="27" customHeight="1" x14ac:dyDescent="0.25">
      <c r="A101" s="63" t="s">
        <v>185</v>
      </c>
      <c r="B101" s="63" t="s">
        <v>186</v>
      </c>
      <c r="C101" s="36">
        <v>4301135571</v>
      </c>
      <c r="D101" s="346">
        <v>4607111035028</v>
      </c>
      <c r="E101" s="34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109</v>
      </c>
      <c r="L101" s="37" t="s">
        <v>85</v>
      </c>
      <c r="M101" s="38" t="s">
        <v>83</v>
      </c>
      <c r="N101" s="38"/>
      <c r="O101" s="37">
        <v>180</v>
      </c>
      <c r="P101" s="38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8"/>
      <c r="R101" s="348"/>
      <c r="S101" s="348"/>
      <c r="T101" s="34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166</v>
      </c>
      <c r="AG101" s="81"/>
      <c r="AJ101" s="87" t="s">
        <v>86</v>
      </c>
      <c r="AK101" s="87">
        <v>1</v>
      </c>
      <c r="BB101" s="156" t="s">
        <v>108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187</v>
      </c>
      <c r="B102" s="63" t="s">
        <v>188</v>
      </c>
      <c r="C102" s="36">
        <v>4301135285</v>
      </c>
      <c r="D102" s="346">
        <v>4607111036407</v>
      </c>
      <c r="E102" s="34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109</v>
      </c>
      <c r="L102" s="37" t="s">
        <v>110</v>
      </c>
      <c r="M102" s="38" t="s">
        <v>83</v>
      </c>
      <c r="N102" s="38"/>
      <c r="O102" s="37">
        <v>180</v>
      </c>
      <c r="P102" s="38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8"/>
      <c r="R102" s="348"/>
      <c r="S102" s="348"/>
      <c r="T102" s="34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189</v>
      </c>
      <c r="AG102" s="81"/>
      <c r="AJ102" s="87" t="s">
        <v>111</v>
      </c>
      <c r="AK102" s="87">
        <v>14</v>
      </c>
      <c r="BB102" s="158" t="s">
        <v>108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9"/>
      <c r="P103" s="355" t="s">
        <v>40</v>
      </c>
      <c r="Q103" s="356"/>
      <c r="R103" s="356"/>
      <c r="S103" s="356"/>
      <c r="T103" s="356"/>
      <c r="U103" s="356"/>
      <c r="V103" s="357"/>
      <c r="W103" s="42" t="s">
        <v>39</v>
      </c>
      <c r="X103" s="43">
        <f>IFERROR(SUM(X97:X102),"0")</f>
        <v>280</v>
      </c>
      <c r="Y103" s="43">
        <f>IFERROR(SUM(Y97:Y102),"0")</f>
        <v>280</v>
      </c>
      <c r="Z103" s="43">
        <f>IFERROR(IF(Z97="",0,Z97),"0")+IFERROR(IF(Z98="",0,Z98),"0")+IFERROR(IF(Z99="",0,Z99),"0")+IFERROR(IF(Z100="",0,Z100),"0")+IFERROR(IF(Z101="",0,Z101),"0")+IFERROR(IF(Z102="",0,Z102),"0")</f>
        <v>5.0064000000000002</v>
      </c>
      <c r="AA103" s="67"/>
      <c r="AB103" s="67"/>
      <c r="AC103" s="67"/>
    </row>
    <row r="104" spans="1:68" x14ac:dyDescent="0.2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9"/>
      <c r="P104" s="355" t="s">
        <v>40</v>
      </c>
      <c r="Q104" s="356"/>
      <c r="R104" s="356"/>
      <c r="S104" s="356"/>
      <c r="T104" s="356"/>
      <c r="U104" s="356"/>
      <c r="V104" s="357"/>
      <c r="W104" s="42" t="s">
        <v>0</v>
      </c>
      <c r="X104" s="43">
        <f>IFERROR(SUMPRODUCT(X97:X102*H97:H102),"0")</f>
        <v>806.4</v>
      </c>
      <c r="Y104" s="43">
        <f>IFERROR(SUMPRODUCT(Y97:Y102*H97:H102),"0")</f>
        <v>806.4</v>
      </c>
      <c r="Z104" s="42"/>
      <c r="AA104" s="67"/>
      <c r="AB104" s="67"/>
      <c r="AC104" s="67"/>
    </row>
    <row r="105" spans="1:68" ht="16.5" customHeight="1" x14ac:dyDescent="0.25">
      <c r="A105" s="344" t="s">
        <v>190</v>
      </c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65"/>
      <c r="AB105" s="65"/>
      <c r="AC105" s="82"/>
    </row>
    <row r="106" spans="1:68" ht="14.25" customHeight="1" x14ac:dyDescent="0.25">
      <c r="A106" s="345" t="s">
        <v>142</v>
      </c>
      <c r="B106" s="345"/>
      <c r="C106" s="345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  <c r="AA106" s="66"/>
      <c r="AB106" s="66"/>
      <c r="AC106" s="83"/>
    </row>
    <row r="107" spans="1:68" ht="27" customHeight="1" x14ac:dyDescent="0.25">
      <c r="A107" s="63" t="s">
        <v>191</v>
      </c>
      <c r="B107" s="63" t="s">
        <v>192</v>
      </c>
      <c r="C107" s="36">
        <v>4301136070</v>
      </c>
      <c r="D107" s="346">
        <v>4607025784012</v>
      </c>
      <c r="E107" s="34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109</v>
      </c>
      <c r="L107" s="37" t="s">
        <v>85</v>
      </c>
      <c r="M107" s="38" t="s">
        <v>83</v>
      </c>
      <c r="N107" s="38"/>
      <c r="O107" s="37">
        <v>180</v>
      </c>
      <c r="P107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8"/>
      <c r="R107" s="348"/>
      <c r="S107" s="348"/>
      <c r="T107" s="34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193</v>
      </c>
      <c r="AG107" s="81"/>
      <c r="AJ107" s="87" t="s">
        <v>86</v>
      </c>
      <c r="AK107" s="87">
        <v>1</v>
      </c>
      <c r="BB107" s="160" t="s">
        <v>108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194</v>
      </c>
      <c r="B108" s="63" t="s">
        <v>195</v>
      </c>
      <c r="C108" s="36">
        <v>4301136079</v>
      </c>
      <c r="D108" s="346">
        <v>4607025784319</v>
      </c>
      <c r="E108" s="34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109</v>
      </c>
      <c r="L108" s="37" t="s">
        <v>85</v>
      </c>
      <c r="M108" s="38" t="s">
        <v>83</v>
      </c>
      <c r="N108" s="38"/>
      <c r="O108" s="37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8"/>
      <c r="R108" s="348"/>
      <c r="S108" s="348"/>
      <c r="T108" s="34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166</v>
      </c>
      <c r="AG108" s="81"/>
      <c r="AJ108" s="87" t="s">
        <v>86</v>
      </c>
      <c r="AK108" s="87">
        <v>1</v>
      </c>
      <c r="BB108" s="162" t="s">
        <v>108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9"/>
      <c r="P109" s="355" t="s">
        <v>40</v>
      </c>
      <c r="Q109" s="356"/>
      <c r="R109" s="356"/>
      <c r="S109" s="356"/>
      <c r="T109" s="356"/>
      <c r="U109" s="356"/>
      <c r="V109" s="357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9"/>
      <c r="P110" s="355" t="s">
        <v>40</v>
      </c>
      <c r="Q110" s="356"/>
      <c r="R110" s="356"/>
      <c r="S110" s="356"/>
      <c r="T110" s="356"/>
      <c r="U110" s="356"/>
      <c r="V110" s="357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4" t="s">
        <v>196</v>
      </c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65"/>
      <c r="AB111" s="65"/>
      <c r="AC111" s="82"/>
    </row>
    <row r="112" spans="1:68" ht="14.25" customHeight="1" x14ac:dyDescent="0.25">
      <c r="A112" s="345" t="s">
        <v>79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66"/>
      <c r="AB112" s="66"/>
      <c r="AC112" s="83"/>
    </row>
    <row r="113" spans="1:68" ht="27" customHeight="1" x14ac:dyDescent="0.25">
      <c r="A113" s="63" t="s">
        <v>197</v>
      </c>
      <c r="B113" s="63" t="s">
        <v>198</v>
      </c>
      <c r="C113" s="36">
        <v>4301071074</v>
      </c>
      <c r="D113" s="346">
        <v>4620207491157</v>
      </c>
      <c r="E113" s="34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84</v>
      </c>
      <c r="L113" s="37" t="s">
        <v>85</v>
      </c>
      <c r="M113" s="38" t="s">
        <v>83</v>
      </c>
      <c r="N113" s="38"/>
      <c r="O113" s="37">
        <v>180</v>
      </c>
      <c r="P113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8"/>
      <c r="R113" s="348"/>
      <c r="S113" s="348"/>
      <c r="T113" s="34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199</v>
      </c>
      <c r="AG113" s="81"/>
      <c r="AJ113" s="87" t="s">
        <v>86</v>
      </c>
      <c r="AK113" s="87">
        <v>1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200</v>
      </c>
      <c r="B114" s="63" t="s">
        <v>201</v>
      </c>
      <c r="C114" s="36">
        <v>4301071121</v>
      </c>
      <c r="D114" s="346">
        <v>4620207491393</v>
      </c>
      <c r="E114" s="34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84</v>
      </c>
      <c r="L114" s="37" t="s">
        <v>85</v>
      </c>
      <c r="M114" s="38" t="s">
        <v>83</v>
      </c>
      <c r="N114" s="38"/>
      <c r="O114" s="37">
        <v>180</v>
      </c>
      <c r="P114" s="39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8"/>
      <c r="R114" s="348"/>
      <c r="S114" s="348"/>
      <c r="T114" s="34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202</v>
      </c>
      <c r="AG114" s="81"/>
      <c r="AJ114" s="87" t="s">
        <v>86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203</v>
      </c>
      <c r="B115" s="63" t="s">
        <v>204</v>
      </c>
      <c r="C115" s="36">
        <v>4301071051</v>
      </c>
      <c r="D115" s="346">
        <v>4607111039262</v>
      </c>
      <c r="E115" s="34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84</v>
      </c>
      <c r="L115" s="37" t="s">
        <v>110</v>
      </c>
      <c r="M115" s="38" t="s">
        <v>83</v>
      </c>
      <c r="N115" s="38"/>
      <c r="O115" s="37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8"/>
      <c r="R115" s="348"/>
      <c r="S115" s="348"/>
      <c r="T115" s="34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159</v>
      </c>
      <c r="AG115" s="81"/>
      <c r="AJ115" s="87" t="s">
        <v>111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205</v>
      </c>
      <c r="B116" s="63" t="s">
        <v>206</v>
      </c>
      <c r="C116" s="36">
        <v>4301071038</v>
      </c>
      <c r="D116" s="346">
        <v>4607111039248</v>
      </c>
      <c r="E116" s="34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84</v>
      </c>
      <c r="L116" s="37" t="s">
        <v>110</v>
      </c>
      <c r="M116" s="38" t="s">
        <v>83</v>
      </c>
      <c r="N116" s="38"/>
      <c r="O116" s="37">
        <v>180</v>
      </c>
      <c r="P116" s="3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8"/>
      <c r="R116" s="348"/>
      <c r="S116" s="348"/>
      <c r="T116" s="34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159</v>
      </c>
      <c r="AG116" s="81"/>
      <c r="AJ116" s="87" t="s">
        <v>111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207</v>
      </c>
      <c r="B117" s="63" t="s">
        <v>208</v>
      </c>
      <c r="C117" s="36">
        <v>4301070979</v>
      </c>
      <c r="D117" s="346">
        <v>4607111037145</v>
      </c>
      <c r="E117" s="34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84</v>
      </c>
      <c r="L117" s="37" t="s">
        <v>85</v>
      </c>
      <c r="M117" s="38" t="s">
        <v>83</v>
      </c>
      <c r="N117" s="38"/>
      <c r="O117" s="37">
        <v>180</v>
      </c>
      <c r="P117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8"/>
      <c r="R117" s="348"/>
      <c r="S117" s="348"/>
      <c r="T117" s="34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209</v>
      </c>
      <c r="AG117" s="81"/>
      <c r="AJ117" s="87" t="s">
        <v>86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210</v>
      </c>
      <c r="B118" s="63" t="s">
        <v>211</v>
      </c>
      <c r="C118" s="36">
        <v>4301071049</v>
      </c>
      <c r="D118" s="346">
        <v>4607111039293</v>
      </c>
      <c r="E118" s="34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84</v>
      </c>
      <c r="L118" s="37" t="s">
        <v>110</v>
      </c>
      <c r="M118" s="38" t="s">
        <v>83</v>
      </c>
      <c r="N118" s="38"/>
      <c r="O118" s="37">
        <v>180</v>
      </c>
      <c r="P118" s="39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8"/>
      <c r="R118" s="348"/>
      <c r="S118" s="348"/>
      <c r="T118" s="34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159</v>
      </c>
      <c r="AG118" s="81"/>
      <c r="AJ118" s="87" t="s">
        <v>111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212</v>
      </c>
      <c r="B119" s="63" t="s">
        <v>213</v>
      </c>
      <c r="C119" s="36">
        <v>4301071039</v>
      </c>
      <c r="D119" s="346">
        <v>4607111039279</v>
      </c>
      <c r="E119" s="34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84</v>
      </c>
      <c r="L119" s="37" t="s">
        <v>110</v>
      </c>
      <c r="M119" s="38" t="s">
        <v>83</v>
      </c>
      <c r="N119" s="38"/>
      <c r="O119" s="37">
        <v>180</v>
      </c>
      <c r="P119" s="39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8"/>
      <c r="R119" s="348"/>
      <c r="S119" s="348"/>
      <c r="T119" s="34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159</v>
      </c>
      <c r="AG119" s="81"/>
      <c r="AJ119" s="87" t="s">
        <v>111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9"/>
      <c r="P120" s="355" t="s">
        <v>40</v>
      </c>
      <c r="Q120" s="356"/>
      <c r="R120" s="356"/>
      <c r="S120" s="356"/>
      <c r="T120" s="356"/>
      <c r="U120" s="356"/>
      <c r="V120" s="357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9"/>
      <c r="P121" s="355" t="s">
        <v>40</v>
      </c>
      <c r="Q121" s="356"/>
      <c r="R121" s="356"/>
      <c r="S121" s="356"/>
      <c r="T121" s="356"/>
      <c r="U121" s="356"/>
      <c r="V121" s="357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5" t="s">
        <v>148</v>
      </c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  <c r="AA122" s="66"/>
      <c r="AB122" s="66"/>
      <c r="AC122" s="83"/>
    </row>
    <row r="123" spans="1:68" ht="27" customHeight="1" x14ac:dyDescent="0.25">
      <c r="A123" s="63" t="s">
        <v>214</v>
      </c>
      <c r="B123" s="63" t="s">
        <v>215</v>
      </c>
      <c r="C123" s="36">
        <v>4301135826</v>
      </c>
      <c r="D123" s="346">
        <v>4620207490983</v>
      </c>
      <c r="E123" s="346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109</v>
      </c>
      <c r="L123" s="37" t="s">
        <v>85</v>
      </c>
      <c r="M123" s="38" t="s">
        <v>83</v>
      </c>
      <c r="N123" s="38"/>
      <c r="O123" s="37">
        <v>180</v>
      </c>
      <c r="P123" s="39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8"/>
      <c r="R123" s="348"/>
      <c r="S123" s="348"/>
      <c r="T123" s="34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216</v>
      </c>
      <c r="AG123" s="81"/>
      <c r="AJ123" s="87" t="s">
        <v>86</v>
      </c>
      <c r="AK123" s="87">
        <v>1</v>
      </c>
      <c r="BB123" s="178" t="s">
        <v>108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9"/>
      <c r="P124" s="355" t="s">
        <v>40</v>
      </c>
      <c r="Q124" s="356"/>
      <c r="R124" s="356"/>
      <c r="S124" s="356"/>
      <c r="T124" s="356"/>
      <c r="U124" s="356"/>
      <c r="V124" s="357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9"/>
      <c r="P125" s="355" t="s">
        <v>40</v>
      </c>
      <c r="Q125" s="356"/>
      <c r="R125" s="356"/>
      <c r="S125" s="356"/>
      <c r="T125" s="356"/>
      <c r="U125" s="356"/>
      <c r="V125" s="357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5" t="s">
        <v>217</v>
      </c>
      <c r="B126" s="345"/>
      <c r="C126" s="345"/>
      <c r="D126" s="345"/>
      <c r="E126" s="345"/>
      <c r="F126" s="345"/>
      <c r="G126" s="345"/>
      <c r="H126" s="345"/>
      <c r="I126" s="345"/>
      <c r="J126" s="345"/>
      <c r="K126" s="345"/>
      <c r="L126" s="345"/>
      <c r="M126" s="345"/>
      <c r="N126" s="345"/>
      <c r="O126" s="345"/>
      <c r="P126" s="345"/>
      <c r="Q126" s="345"/>
      <c r="R126" s="345"/>
      <c r="S126" s="345"/>
      <c r="T126" s="345"/>
      <c r="U126" s="345"/>
      <c r="V126" s="345"/>
      <c r="W126" s="345"/>
      <c r="X126" s="345"/>
      <c r="Y126" s="345"/>
      <c r="Z126" s="345"/>
      <c r="AA126" s="66"/>
      <c r="AB126" s="66"/>
      <c r="AC126" s="83"/>
    </row>
    <row r="127" spans="1:68" ht="27" customHeight="1" x14ac:dyDescent="0.25">
      <c r="A127" s="63" t="s">
        <v>218</v>
      </c>
      <c r="B127" s="63" t="s">
        <v>219</v>
      </c>
      <c r="C127" s="36">
        <v>4301071094</v>
      </c>
      <c r="D127" s="346">
        <v>4620207491140</v>
      </c>
      <c r="E127" s="346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84</v>
      </c>
      <c r="L127" s="37" t="s">
        <v>85</v>
      </c>
      <c r="M127" s="38" t="s">
        <v>83</v>
      </c>
      <c r="N127" s="38"/>
      <c r="O127" s="37">
        <v>180</v>
      </c>
      <c r="P127" s="39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48"/>
      <c r="R127" s="348"/>
      <c r="S127" s="348"/>
      <c r="T127" s="349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220</v>
      </c>
      <c r="AG127" s="81"/>
      <c r="AJ127" s="87" t="s">
        <v>86</v>
      </c>
      <c r="AK127" s="87">
        <v>1</v>
      </c>
      <c r="BB127" s="180" t="s">
        <v>108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58"/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9"/>
      <c r="P128" s="355" t="s">
        <v>40</v>
      </c>
      <c r="Q128" s="356"/>
      <c r="R128" s="356"/>
      <c r="S128" s="356"/>
      <c r="T128" s="356"/>
      <c r="U128" s="356"/>
      <c r="V128" s="357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9"/>
      <c r="P129" s="355" t="s">
        <v>40</v>
      </c>
      <c r="Q129" s="356"/>
      <c r="R129" s="356"/>
      <c r="S129" s="356"/>
      <c r="T129" s="356"/>
      <c r="U129" s="356"/>
      <c r="V129" s="357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4" t="s">
        <v>221</v>
      </c>
      <c r="B130" s="344"/>
      <c r="C130" s="344"/>
      <c r="D130" s="344"/>
      <c r="E130" s="344"/>
      <c r="F130" s="344"/>
      <c r="G130" s="344"/>
      <c r="H130" s="344"/>
      <c r="I130" s="344"/>
      <c r="J130" s="344"/>
      <c r="K130" s="344"/>
      <c r="L130" s="344"/>
      <c r="M130" s="344"/>
      <c r="N130" s="344"/>
      <c r="O130" s="344"/>
      <c r="P130" s="344"/>
      <c r="Q130" s="344"/>
      <c r="R130" s="344"/>
      <c r="S130" s="344"/>
      <c r="T130" s="344"/>
      <c r="U130" s="344"/>
      <c r="V130" s="344"/>
      <c r="W130" s="344"/>
      <c r="X130" s="344"/>
      <c r="Y130" s="344"/>
      <c r="Z130" s="344"/>
      <c r="AA130" s="65"/>
      <c r="AB130" s="65"/>
      <c r="AC130" s="82"/>
    </row>
    <row r="131" spans="1:68" ht="14.25" customHeight="1" x14ac:dyDescent="0.25">
      <c r="A131" s="345" t="s">
        <v>148</v>
      </c>
      <c r="B131" s="345"/>
      <c r="C131" s="345"/>
      <c r="D131" s="345"/>
      <c r="E131" s="345"/>
      <c r="F131" s="345"/>
      <c r="G131" s="345"/>
      <c r="H131" s="345"/>
      <c r="I131" s="345"/>
      <c r="J131" s="345"/>
      <c r="K131" s="345"/>
      <c r="L131" s="345"/>
      <c r="M131" s="345"/>
      <c r="N131" s="345"/>
      <c r="O131" s="345"/>
      <c r="P131" s="345"/>
      <c r="Q131" s="345"/>
      <c r="R131" s="345"/>
      <c r="S131" s="345"/>
      <c r="T131" s="345"/>
      <c r="U131" s="345"/>
      <c r="V131" s="345"/>
      <c r="W131" s="345"/>
      <c r="X131" s="345"/>
      <c r="Y131" s="345"/>
      <c r="Z131" s="345"/>
      <c r="AA131" s="66"/>
      <c r="AB131" s="66"/>
      <c r="AC131" s="83"/>
    </row>
    <row r="132" spans="1:68" ht="27" customHeight="1" x14ac:dyDescent="0.25">
      <c r="A132" s="63" t="s">
        <v>222</v>
      </c>
      <c r="B132" s="63" t="s">
        <v>223</v>
      </c>
      <c r="C132" s="36">
        <v>4301135555</v>
      </c>
      <c r="D132" s="346">
        <v>4607111034014</v>
      </c>
      <c r="E132" s="346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109</v>
      </c>
      <c r="L132" s="37" t="s">
        <v>110</v>
      </c>
      <c r="M132" s="38" t="s">
        <v>83</v>
      </c>
      <c r="N132" s="38"/>
      <c r="O132" s="37">
        <v>180</v>
      </c>
      <c r="P132" s="40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48"/>
      <c r="R132" s="348"/>
      <c r="S132" s="348"/>
      <c r="T132" s="349"/>
      <c r="U132" s="39" t="s">
        <v>46</v>
      </c>
      <c r="V132" s="39" t="s">
        <v>46</v>
      </c>
      <c r="W132" s="40" t="s">
        <v>39</v>
      </c>
      <c r="X132" s="58">
        <v>140</v>
      </c>
      <c r="Y132" s="55">
        <f>IFERROR(IF(X132="","",X132),"")</f>
        <v>140</v>
      </c>
      <c r="Z132" s="41">
        <f>IFERROR(IF(X132="","",X132*0.01788),"")</f>
        <v>2.5032000000000001</v>
      </c>
      <c r="AA132" s="68" t="s">
        <v>46</v>
      </c>
      <c r="AB132" s="69" t="s">
        <v>46</v>
      </c>
      <c r="AC132" s="181" t="s">
        <v>224</v>
      </c>
      <c r="AG132" s="81"/>
      <c r="AJ132" s="87" t="s">
        <v>111</v>
      </c>
      <c r="AK132" s="87">
        <v>14</v>
      </c>
      <c r="BB132" s="182" t="s">
        <v>108</v>
      </c>
      <c r="BM132" s="81">
        <f>IFERROR(X132*I132,"0")</f>
        <v>518.50400000000002</v>
      </c>
      <c r="BN132" s="81">
        <f>IFERROR(Y132*I132,"0")</f>
        <v>518.50400000000002</v>
      </c>
      <c r="BO132" s="81">
        <f>IFERROR(X132/J132,"0")</f>
        <v>2</v>
      </c>
      <c r="BP132" s="81">
        <f>IFERROR(Y132/J132,"0")</f>
        <v>2</v>
      </c>
    </row>
    <row r="133" spans="1:68" ht="27" customHeight="1" x14ac:dyDescent="0.25">
      <c r="A133" s="63" t="s">
        <v>225</v>
      </c>
      <c r="B133" s="63" t="s">
        <v>226</v>
      </c>
      <c r="C133" s="36">
        <v>4301135532</v>
      </c>
      <c r="D133" s="346">
        <v>4607111033994</v>
      </c>
      <c r="E133" s="346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109</v>
      </c>
      <c r="L133" s="37" t="s">
        <v>110</v>
      </c>
      <c r="M133" s="38" t="s">
        <v>83</v>
      </c>
      <c r="N133" s="38"/>
      <c r="O133" s="37">
        <v>180</v>
      </c>
      <c r="P133" s="40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48"/>
      <c r="R133" s="348"/>
      <c r="S133" s="348"/>
      <c r="T133" s="349"/>
      <c r="U133" s="39" t="s">
        <v>46</v>
      </c>
      <c r="V133" s="39" t="s">
        <v>46</v>
      </c>
      <c r="W133" s="40" t="s">
        <v>39</v>
      </c>
      <c r="X133" s="58">
        <v>140</v>
      </c>
      <c r="Y133" s="55">
        <f>IFERROR(IF(X133="","",X133),"")</f>
        <v>140</v>
      </c>
      <c r="Z133" s="41">
        <f>IFERROR(IF(X133="","",X133*0.01788),"")</f>
        <v>2.5032000000000001</v>
      </c>
      <c r="AA133" s="68" t="s">
        <v>46</v>
      </c>
      <c r="AB133" s="69" t="s">
        <v>46</v>
      </c>
      <c r="AC133" s="183" t="s">
        <v>166</v>
      </c>
      <c r="AG133" s="81"/>
      <c r="AJ133" s="87" t="s">
        <v>111</v>
      </c>
      <c r="AK133" s="87">
        <v>14</v>
      </c>
      <c r="BB133" s="184" t="s">
        <v>108</v>
      </c>
      <c r="BM133" s="81">
        <f>IFERROR(X133*I133,"0")</f>
        <v>518.50400000000002</v>
      </c>
      <c r="BN133" s="81">
        <f>IFERROR(Y133*I133,"0")</f>
        <v>518.50400000000002</v>
      </c>
      <c r="BO133" s="81">
        <f>IFERROR(X133/J133,"0")</f>
        <v>2</v>
      </c>
      <c r="BP133" s="81">
        <f>IFERROR(Y133/J133,"0")</f>
        <v>2</v>
      </c>
    </row>
    <row r="134" spans="1:68" x14ac:dyDescent="0.2">
      <c r="A134" s="358"/>
      <c r="B134" s="358"/>
      <c r="C134" s="358"/>
      <c r="D134" s="358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9"/>
      <c r="P134" s="355" t="s">
        <v>40</v>
      </c>
      <c r="Q134" s="356"/>
      <c r="R134" s="356"/>
      <c r="S134" s="356"/>
      <c r="T134" s="356"/>
      <c r="U134" s="356"/>
      <c r="V134" s="357"/>
      <c r="W134" s="42" t="s">
        <v>39</v>
      </c>
      <c r="X134" s="43">
        <f>IFERROR(SUM(X132:X133),"0")</f>
        <v>280</v>
      </c>
      <c r="Y134" s="43">
        <f>IFERROR(SUM(Y132:Y133),"0")</f>
        <v>280</v>
      </c>
      <c r="Z134" s="43">
        <f>IFERROR(IF(Z132="",0,Z132),"0")+IFERROR(IF(Z133="",0,Z133),"0")</f>
        <v>5.0064000000000002</v>
      </c>
      <c r="AA134" s="67"/>
      <c r="AB134" s="67"/>
      <c r="AC134" s="67"/>
    </row>
    <row r="135" spans="1:68" x14ac:dyDescent="0.2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9"/>
      <c r="P135" s="355" t="s">
        <v>40</v>
      </c>
      <c r="Q135" s="356"/>
      <c r="R135" s="356"/>
      <c r="S135" s="356"/>
      <c r="T135" s="356"/>
      <c r="U135" s="356"/>
      <c r="V135" s="357"/>
      <c r="W135" s="42" t="s">
        <v>0</v>
      </c>
      <c r="X135" s="43">
        <f>IFERROR(SUMPRODUCT(X132:X133*H132:H133),"0")</f>
        <v>840</v>
      </c>
      <c r="Y135" s="43">
        <f>IFERROR(SUMPRODUCT(Y132:Y133*H132:H133),"0")</f>
        <v>840</v>
      </c>
      <c r="Z135" s="42"/>
      <c r="AA135" s="67"/>
      <c r="AB135" s="67"/>
      <c r="AC135" s="67"/>
    </row>
    <row r="136" spans="1:68" ht="16.5" customHeight="1" x14ac:dyDescent="0.25">
      <c r="A136" s="344" t="s">
        <v>227</v>
      </c>
      <c r="B136" s="344"/>
      <c r="C136" s="344"/>
      <c r="D136" s="344"/>
      <c r="E136" s="344"/>
      <c r="F136" s="344"/>
      <c r="G136" s="344"/>
      <c r="H136" s="344"/>
      <c r="I136" s="344"/>
      <c r="J136" s="344"/>
      <c r="K136" s="344"/>
      <c r="L136" s="344"/>
      <c r="M136" s="344"/>
      <c r="N136" s="344"/>
      <c r="O136" s="344"/>
      <c r="P136" s="344"/>
      <c r="Q136" s="344"/>
      <c r="R136" s="344"/>
      <c r="S136" s="344"/>
      <c r="T136" s="344"/>
      <c r="U136" s="344"/>
      <c r="V136" s="344"/>
      <c r="W136" s="344"/>
      <c r="X136" s="344"/>
      <c r="Y136" s="344"/>
      <c r="Z136" s="344"/>
      <c r="AA136" s="65"/>
      <c r="AB136" s="65"/>
      <c r="AC136" s="82"/>
    </row>
    <row r="137" spans="1:68" ht="14.25" customHeight="1" x14ac:dyDescent="0.25">
      <c r="A137" s="345" t="s">
        <v>148</v>
      </c>
      <c r="B137" s="345"/>
      <c r="C137" s="345"/>
      <c r="D137" s="345"/>
      <c r="E137" s="345"/>
      <c r="F137" s="345"/>
      <c r="G137" s="345"/>
      <c r="H137" s="345"/>
      <c r="I137" s="345"/>
      <c r="J137" s="345"/>
      <c r="K137" s="345"/>
      <c r="L137" s="345"/>
      <c r="M137" s="345"/>
      <c r="N137" s="345"/>
      <c r="O137" s="345"/>
      <c r="P137" s="345"/>
      <c r="Q137" s="345"/>
      <c r="R137" s="345"/>
      <c r="S137" s="345"/>
      <c r="T137" s="345"/>
      <c r="U137" s="345"/>
      <c r="V137" s="345"/>
      <c r="W137" s="345"/>
      <c r="X137" s="345"/>
      <c r="Y137" s="345"/>
      <c r="Z137" s="345"/>
      <c r="AA137" s="66"/>
      <c r="AB137" s="66"/>
      <c r="AC137" s="83"/>
    </row>
    <row r="138" spans="1:68" ht="27" customHeight="1" x14ac:dyDescent="0.25">
      <c r="A138" s="63" t="s">
        <v>228</v>
      </c>
      <c r="B138" s="63" t="s">
        <v>229</v>
      </c>
      <c r="C138" s="36">
        <v>4301135824</v>
      </c>
      <c r="D138" s="346">
        <v>4607111039095</v>
      </c>
      <c r="E138" s="346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109</v>
      </c>
      <c r="L138" s="37" t="s">
        <v>85</v>
      </c>
      <c r="M138" s="38" t="s">
        <v>83</v>
      </c>
      <c r="N138" s="38"/>
      <c r="O138" s="37">
        <v>180</v>
      </c>
      <c r="P138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48"/>
      <c r="R138" s="348"/>
      <c r="S138" s="348"/>
      <c r="T138" s="34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230</v>
      </c>
      <c r="AG138" s="81"/>
      <c r="AJ138" s="87" t="s">
        <v>86</v>
      </c>
      <c r="AK138" s="87">
        <v>1</v>
      </c>
      <c r="BB138" s="186" t="s">
        <v>108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231</v>
      </c>
      <c r="B139" s="63" t="s">
        <v>232</v>
      </c>
      <c r="C139" s="36">
        <v>4301135550</v>
      </c>
      <c r="D139" s="346">
        <v>4607111034199</v>
      </c>
      <c r="E139" s="346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109</v>
      </c>
      <c r="L139" s="37" t="s">
        <v>110</v>
      </c>
      <c r="M139" s="38" t="s">
        <v>83</v>
      </c>
      <c r="N139" s="38"/>
      <c r="O139" s="37">
        <v>180</v>
      </c>
      <c r="P139" s="40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48"/>
      <c r="R139" s="348"/>
      <c r="S139" s="348"/>
      <c r="T139" s="349"/>
      <c r="U139" s="39" t="s">
        <v>46</v>
      </c>
      <c r="V139" s="39" t="s">
        <v>46</v>
      </c>
      <c r="W139" s="40" t="s">
        <v>39</v>
      </c>
      <c r="X139" s="58">
        <v>70</v>
      </c>
      <c r="Y139" s="55">
        <f>IFERROR(IF(X139="","",X139),"")</f>
        <v>70</v>
      </c>
      <c r="Z139" s="41">
        <f>IFERROR(IF(X139="","",X139*0.01788),"")</f>
        <v>1.2516</v>
      </c>
      <c r="AA139" s="68" t="s">
        <v>46</v>
      </c>
      <c r="AB139" s="69" t="s">
        <v>46</v>
      </c>
      <c r="AC139" s="187" t="s">
        <v>233</v>
      </c>
      <c r="AG139" s="81"/>
      <c r="AJ139" s="87" t="s">
        <v>111</v>
      </c>
      <c r="AK139" s="87">
        <v>14</v>
      </c>
      <c r="BB139" s="188" t="s">
        <v>108</v>
      </c>
      <c r="BM139" s="81">
        <f>IFERROR(X139*I139,"0")</f>
        <v>259.25200000000001</v>
      </c>
      <c r="BN139" s="81">
        <f>IFERROR(Y139*I139,"0")</f>
        <v>259.25200000000001</v>
      </c>
      <c r="BO139" s="81">
        <f>IFERROR(X139/J139,"0")</f>
        <v>1</v>
      </c>
      <c r="BP139" s="81">
        <f>IFERROR(Y139/J139,"0")</f>
        <v>1</v>
      </c>
    </row>
    <row r="140" spans="1:68" x14ac:dyDescent="0.2">
      <c r="A140" s="358"/>
      <c r="B140" s="358"/>
      <c r="C140" s="358"/>
      <c r="D140" s="358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9"/>
      <c r="P140" s="355" t="s">
        <v>40</v>
      </c>
      <c r="Q140" s="356"/>
      <c r="R140" s="356"/>
      <c r="S140" s="356"/>
      <c r="T140" s="356"/>
      <c r="U140" s="356"/>
      <c r="V140" s="357"/>
      <c r="W140" s="42" t="s">
        <v>39</v>
      </c>
      <c r="X140" s="43">
        <f>IFERROR(SUM(X138:X139),"0")</f>
        <v>70</v>
      </c>
      <c r="Y140" s="43">
        <f>IFERROR(SUM(Y138:Y139),"0")</f>
        <v>70</v>
      </c>
      <c r="Z140" s="43">
        <f>IFERROR(IF(Z138="",0,Z138),"0")+IFERROR(IF(Z139="",0,Z139),"0")</f>
        <v>1.2516</v>
      </c>
      <c r="AA140" s="67"/>
      <c r="AB140" s="67"/>
      <c r="AC140" s="67"/>
    </row>
    <row r="141" spans="1:68" x14ac:dyDescent="0.2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9"/>
      <c r="P141" s="355" t="s">
        <v>40</v>
      </c>
      <c r="Q141" s="356"/>
      <c r="R141" s="356"/>
      <c r="S141" s="356"/>
      <c r="T141" s="356"/>
      <c r="U141" s="356"/>
      <c r="V141" s="357"/>
      <c r="W141" s="42" t="s">
        <v>0</v>
      </c>
      <c r="X141" s="43">
        <f>IFERROR(SUMPRODUCT(X138:X139*H138:H139),"0")</f>
        <v>210</v>
      </c>
      <c r="Y141" s="43">
        <f>IFERROR(SUMPRODUCT(Y138:Y139*H138:H139),"0")</f>
        <v>210</v>
      </c>
      <c r="Z141" s="42"/>
      <c r="AA141" s="67"/>
      <c r="AB141" s="67"/>
      <c r="AC141" s="67"/>
    </row>
    <row r="142" spans="1:68" ht="16.5" customHeight="1" x14ac:dyDescent="0.25">
      <c r="A142" s="344" t="s">
        <v>234</v>
      </c>
      <c r="B142" s="344"/>
      <c r="C142" s="344"/>
      <c r="D142" s="344"/>
      <c r="E142" s="344"/>
      <c r="F142" s="344"/>
      <c r="G142" s="344"/>
      <c r="H142" s="344"/>
      <c r="I142" s="344"/>
      <c r="J142" s="344"/>
      <c r="K142" s="344"/>
      <c r="L142" s="344"/>
      <c r="M142" s="344"/>
      <c r="N142" s="344"/>
      <c r="O142" s="344"/>
      <c r="P142" s="344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  <c r="AA142" s="65"/>
      <c r="AB142" s="65"/>
      <c r="AC142" s="82"/>
    </row>
    <row r="143" spans="1:68" ht="14.25" customHeight="1" x14ac:dyDescent="0.25">
      <c r="A143" s="345" t="s">
        <v>148</v>
      </c>
      <c r="B143" s="345"/>
      <c r="C143" s="345"/>
      <c r="D143" s="345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/>
      <c r="Q143" s="345"/>
      <c r="R143" s="345"/>
      <c r="S143" s="345"/>
      <c r="T143" s="345"/>
      <c r="U143" s="345"/>
      <c r="V143" s="345"/>
      <c r="W143" s="345"/>
      <c r="X143" s="345"/>
      <c r="Y143" s="345"/>
      <c r="Z143" s="345"/>
      <c r="AA143" s="66"/>
      <c r="AB143" s="66"/>
      <c r="AC143" s="83"/>
    </row>
    <row r="144" spans="1:68" ht="27" customHeight="1" x14ac:dyDescent="0.25">
      <c r="A144" s="63" t="s">
        <v>235</v>
      </c>
      <c r="B144" s="63" t="s">
        <v>236</v>
      </c>
      <c r="C144" s="36">
        <v>4301135753</v>
      </c>
      <c r="D144" s="346">
        <v>4620207490914</v>
      </c>
      <c r="E144" s="346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109</v>
      </c>
      <c r="L144" s="37" t="s">
        <v>85</v>
      </c>
      <c r="M144" s="38" t="s">
        <v>83</v>
      </c>
      <c r="N144" s="38"/>
      <c r="O144" s="37">
        <v>180</v>
      </c>
      <c r="P144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48"/>
      <c r="R144" s="348"/>
      <c r="S144" s="348"/>
      <c r="T144" s="349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224</v>
      </c>
      <c r="AG144" s="81"/>
      <c r="AJ144" s="87" t="s">
        <v>86</v>
      </c>
      <c r="AK144" s="87">
        <v>1</v>
      </c>
      <c r="BB144" s="190" t="s">
        <v>108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237</v>
      </c>
      <c r="B145" s="63" t="s">
        <v>238</v>
      </c>
      <c r="C145" s="36">
        <v>4301135778</v>
      </c>
      <c r="D145" s="346">
        <v>4620207490853</v>
      </c>
      <c r="E145" s="346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109</v>
      </c>
      <c r="L145" s="37" t="s">
        <v>85</v>
      </c>
      <c r="M145" s="38" t="s">
        <v>83</v>
      </c>
      <c r="N145" s="38"/>
      <c r="O145" s="37">
        <v>180</v>
      </c>
      <c r="P145" s="40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48"/>
      <c r="R145" s="348"/>
      <c r="S145" s="348"/>
      <c r="T145" s="34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224</v>
      </c>
      <c r="AG145" s="81"/>
      <c r="AJ145" s="87" t="s">
        <v>86</v>
      </c>
      <c r="AK145" s="87">
        <v>1</v>
      </c>
      <c r="BB145" s="192" t="s">
        <v>108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8"/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9"/>
      <c r="P146" s="355" t="s">
        <v>40</v>
      </c>
      <c r="Q146" s="356"/>
      <c r="R146" s="356"/>
      <c r="S146" s="356"/>
      <c r="T146" s="356"/>
      <c r="U146" s="356"/>
      <c r="V146" s="357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9"/>
      <c r="P147" s="355" t="s">
        <v>40</v>
      </c>
      <c r="Q147" s="356"/>
      <c r="R147" s="356"/>
      <c r="S147" s="356"/>
      <c r="T147" s="356"/>
      <c r="U147" s="356"/>
      <c r="V147" s="357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4" t="s">
        <v>239</v>
      </c>
      <c r="B148" s="344"/>
      <c r="C148" s="344"/>
      <c r="D148" s="344"/>
      <c r="E148" s="344"/>
      <c r="F148" s="344"/>
      <c r="G148" s="344"/>
      <c r="H148" s="344"/>
      <c r="I148" s="344"/>
      <c r="J148" s="344"/>
      <c r="K148" s="344"/>
      <c r="L148" s="344"/>
      <c r="M148" s="344"/>
      <c r="N148" s="344"/>
      <c r="O148" s="344"/>
      <c r="P148" s="344"/>
      <c r="Q148" s="344"/>
      <c r="R148" s="344"/>
      <c r="S148" s="344"/>
      <c r="T148" s="344"/>
      <c r="U148" s="344"/>
      <c r="V148" s="344"/>
      <c r="W148" s="344"/>
      <c r="X148" s="344"/>
      <c r="Y148" s="344"/>
      <c r="Z148" s="344"/>
      <c r="AA148" s="65"/>
      <c r="AB148" s="65"/>
      <c r="AC148" s="82"/>
    </row>
    <row r="149" spans="1:68" ht="14.25" customHeight="1" x14ac:dyDescent="0.25">
      <c r="A149" s="345" t="s">
        <v>148</v>
      </c>
      <c r="B149" s="345"/>
      <c r="C149" s="345"/>
      <c r="D149" s="345"/>
      <c r="E149" s="345"/>
      <c r="F149" s="345"/>
      <c r="G149" s="345"/>
      <c r="H149" s="345"/>
      <c r="I149" s="345"/>
      <c r="J149" s="345"/>
      <c r="K149" s="345"/>
      <c r="L149" s="345"/>
      <c r="M149" s="345"/>
      <c r="N149" s="345"/>
      <c r="O149" s="345"/>
      <c r="P149" s="345"/>
      <c r="Q149" s="345"/>
      <c r="R149" s="345"/>
      <c r="S149" s="345"/>
      <c r="T149" s="345"/>
      <c r="U149" s="345"/>
      <c r="V149" s="345"/>
      <c r="W149" s="345"/>
      <c r="X149" s="345"/>
      <c r="Y149" s="345"/>
      <c r="Z149" s="345"/>
      <c r="AA149" s="66"/>
      <c r="AB149" s="66"/>
      <c r="AC149" s="83"/>
    </row>
    <row r="150" spans="1:68" ht="27" customHeight="1" x14ac:dyDescent="0.25">
      <c r="A150" s="63" t="s">
        <v>240</v>
      </c>
      <c r="B150" s="63" t="s">
        <v>241</v>
      </c>
      <c r="C150" s="36">
        <v>4301135570</v>
      </c>
      <c r="D150" s="346">
        <v>4607111035806</v>
      </c>
      <c r="E150" s="346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109</v>
      </c>
      <c r="L150" s="37" t="s">
        <v>110</v>
      </c>
      <c r="M150" s="38" t="s">
        <v>83</v>
      </c>
      <c r="N150" s="38"/>
      <c r="O150" s="37">
        <v>180</v>
      </c>
      <c r="P150" s="40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48"/>
      <c r="R150" s="348"/>
      <c r="S150" s="348"/>
      <c r="T150" s="34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242</v>
      </c>
      <c r="AG150" s="81"/>
      <c r="AJ150" s="87" t="s">
        <v>111</v>
      </c>
      <c r="AK150" s="87">
        <v>14</v>
      </c>
      <c r="BB150" s="194" t="s">
        <v>108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8"/>
      <c r="B151" s="358"/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9"/>
      <c r="P151" s="355" t="s">
        <v>40</v>
      </c>
      <c r="Q151" s="356"/>
      <c r="R151" s="356"/>
      <c r="S151" s="356"/>
      <c r="T151" s="356"/>
      <c r="U151" s="356"/>
      <c r="V151" s="357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9"/>
      <c r="P152" s="355" t="s">
        <v>40</v>
      </c>
      <c r="Q152" s="356"/>
      <c r="R152" s="356"/>
      <c r="S152" s="356"/>
      <c r="T152" s="356"/>
      <c r="U152" s="356"/>
      <c r="V152" s="357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4" t="s">
        <v>243</v>
      </c>
      <c r="B153" s="344"/>
      <c r="C153" s="344"/>
      <c r="D153" s="344"/>
      <c r="E153" s="344"/>
      <c r="F153" s="344"/>
      <c r="G153" s="344"/>
      <c r="H153" s="344"/>
      <c r="I153" s="344"/>
      <c r="J153" s="344"/>
      <c r="K153" s="344"/>
      <c r="L153" s="344"/>
      <c r="M153" s="344"/>
      <c r="N153" s="344"/>
      <c r="O153" s="344"/>
      <c r="P153" s="344"/>
      <c r="Q153" s="344"/>
      <c r="R153" s="344"/>
      <c r="S153" s="344"/>
      <c r="T153" s="344"/>
      <c r="U153" s="344"/>
      <c r="V153" s="344"/>
      <c r="W153" s="344"/>
      <c r="X153" s="344"/>
      <c r="Y153" s="344"/>
      <c r="Z153" s="344"/>
      <c r="AA153" s="65"/>
      <c r="AB153" s="65"/>
      <c r="AC153" s="82"/>
    </row>
    <row r="154" spans="1:68" ht="14.25" customHeight="1" x14ac:dyDescent="0.25">
      <c r="A154" s="345" t="s">
        <v>148</v>
      </c>
      <c r="B154" s="345"/>
      <c r="C154" s="345"/>
      <c r="D154" s="345"/>
      <c r="E154" s="345"/>
      <c r="F154" s="345"/>
      <c r="G154" s="345"/>
      <c r="H154" s="345"/>
      <c r="I154" s="345"/>
      <c r="J154" s="345"/>
      <c r="K154" s="345"/>
      <c r="L154" s="345"/>
      <c r="M154" s="345"/>
      <c r="N154" s="345"/>
      <c r="O154" s="345"/>
      <c r="P154" s="345"/>
      <c r="Q154" s="345"/>
      <c r="R154" s="345"/>
      <c r="S154" s="345"/>
      <c r="T154" s="345"/>
      <c r="U154" s="345"/>
      <c r="V154" s="345"/>
      <c r="W154" s="345"/>
      <c r="X154" s="345"/>
      <c r="Y154" s="345"/>
      <c r="Z154" s="345"/>
      <c r="AA154" s="66"/>
      <c r="AB154" s="66"/>
      <c r="AC154" s="83"/>
    </row>
    <row r="155" spans="1:68" ht="16.5" customHeight="1" x14ac:dyDescent="0.25">
      <c r="A155" s="63" t="s">
        <v>244</v>
      </c>
      <c r="B155" s="63" t="s">
        <v>245</v>
      </c>
      <c r="C155" s="36">
        <v>4301135607</v>
      </c>
      <c r="D155" s="346">
        <v>4607111039613</v>
      </c>
      <c r="E155" s="346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109</v>
      </c>
      <c r="L155" s="37" t="s">
        <v>85</v>
      </c>
      <c r="M155" s="38" t="s">
        <v>83</v>
      </c>
      <c r="N155" s="38"/>
      <c r="O155" s="37">
        <v>180</v>
      </c>
      <c r="P155" s="40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48"/>
      <c r="R155" s="348"/>
      <c r="S155" s="348"/>
      <c r="T155" s="349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230</v>
      </c>
      <c r="AG155" s="81"/>
      <c r="AJ155" s="87" t="s">
        <v>86</v>
      </c>
      <c r="AK155" s="87">
        <v>1</v>
      </c>
      <c r="BB155" s="196" t="s">
        <v>108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8"/>
      <c r="B156" s="358"/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9"/>
      <c r="P156" s="355" t="s">
        <v>40</v>
      </c>
      <c r="Q156" s="356"/>
      <c r="R156" s="356"/>
      <c r="S156" s="356"/>
      <c r="T156" s="356"/>
      <c r="U156" s="356"/>
      <c r="V156" s="357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9"/>
      <c r="P157" s="355" t="s">
        <v>40</v>
      </c>
      <c r="Q157" s="356"/>
      <c r="R157" s="356"/>
      <c r="S157" s="356"/>
      <c r="T157" s="356"/>
      <c r="U157" s="356"/>
      <c r="V157" s="357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4" t="s">
        <v>246</v>
      </c>
      <c r="B158" s="344"/>
      <c r="C158" s="344"/>
      <c r="D158" s="344"/>
      <c r="E158" s="344"/>
      <c r="F158" s="344"/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  <c r="Q158" s="344"/>
      <c r="R158" s="344"/>
      <c r="S158" s="344"/>
      <c r="T158" s="344"/>
      <c r="U158" s="344"/>
      <c r="V158" s="344"/>
      <c r="W158" s="344"/>
      <c r="X158" s="344"/>
      <c r="Y158" s="344"/>
      <c r="Z158" s="344"/>
      <c r="AA158" s="65"/>
      <c r="AB158" s="65"/>
      <c r="AC158" s="82"/>
    </row>
    <row r="159" spans="1:68" ht="14.25" customHeight="1" x14ac:dyDescent="0.25">
      <c r="A159" s="345" t="s">
        <v>217</v>
      </c>
      <c r="B159" s="345"/>
      <c r="C159" s="345"/>
      <c r="D159" s="345"/>
      <c r="E159" s="345"/>
      <c r="F159" s="345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345"/>
      <c r="W159" s="345"/>
      <c r="X159" s="345"/>
      <c r="Y159" s="345"/>
      <c r="Z159" s="345"/>
      <c r="AA159" s="66"/>
      <c r="AB159" s="66"/>
      <c r="AC159" s="83"/>
    </row>
    <row r="160" spans="1:68" ht="27" customHeight="1" x14ac:dyDescent="0.25">
      <c r="A160" s="63" t="s">
        <v>247</v>
      </c>
      <c r="B160" s="63" t="s">
        <v>248</v>
      </c>
      <c r="C160" s="36">
        <v>4301135540</v>
      </c>
      <c r="D160" s="346">
        <v>4607111035646</v>
      </c>
      <c r="E160" s="346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250</v>
      </c>
      <c r="L160" s="37" t="s">
        <v>85</v>
      </c>
      <c r="M160" s="38" t="s">
        <v>83</v>
      </c>
      <c r="N160" s="38"/>
      <c r="O160" s="37">
        <v>180</v>
      </c>
      <c r="P160" s="40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48"/>
      <c r="R160" s="348"/>
      <c r="S160" s="348"/>
      <c r="T160" s="349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249</v>
      </c>
      <c r="AG160" s="81"/>
      <c r="AJ160" s="87" t="s">
        <v>86</v>
      </c>
      <c r="AK160" s="87">
        <v>1</v>
      </c>
      <c r="BB160" s="198" t="s">
        <v>108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58"/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9"/>
      <c r="P161" s="355" t="s">
        <v>40</v>
      </c>
      <c r="Q161" s="356"/>
      <c r="R161" s="356"/>
      <c r="S161" s="356"/>
      <c r="T161" s="356"/>
      <c r="U161" s="356"/>
      <c r="V161" s="357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9"/>
      <c r="P162" s="355" t="s">
        <v>40</v>
      </c>
      <c r="Q162" s="356"/>
      <c r="R162" s="356"/>
      <c r="S162" s="356"/>
      <c r="T162" s="356"/>
      <c r="U162" s="356"/>
      <c r="V162" s="357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4" t="s">
        <v>251</v>
      </c>
      <c r="B163" s="344"/>
      <c r="C163" s="344"/>
      <c r="D163" s="344"/>
      <c r="E163" s="344"/>
      <c r="F163" s="344"/>
      <c r="G163" s="344"/>
      <c r="H163" s="344"/>
      <c r="I163" s="344"/>
      <c r="J163" s="344"/>
      <c r="K163" s="344"/>
      <c r="L163" s="344"/>
      <c r="M163" s="344"/>
      <c r="N163" s="344"/>
      <c r="O163" s="344"/>
      <c r="P163" s="344"/>
      <c r="Q163" s="344"/>
      <c r="R163" s="344"/>
      <c r="S163" s="344"/>
      <c r="T163" s="344"/>
      <c r="U163" s="344"/>
      <c r="V163" s="344"/>
      <c r="W163" s="344"/>
      <c r="X163" s="344"/>
      <c r="Y163" s="344"/>
      <c r="Z163" s="344"/>
      <c r="AA163" s="65"/>
      <c r="AB163" s="65"/>
      <c r="AC163" s="82"/>
    </row>
    <row r="164" spans="1:68" ht="14.25" customHeight="1" x14ac:dyDescent="0.25">
      <c r="A164" s="345" t="s">
        <v>148</v>
      </c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66"/>
      <c r="AB164" s="66"/>
      <c r="AC164" s="83"/>
    </row>
    <row r="165" spans="1:68" ht="27" customHeight="1" x14ac:dyDescent="0.25">
      <c r="A165" s="63" t="s">
        <v>252</v>
      </c>
      <c r="B165" s="63" t="s">
        <v>253</v>
      </c>
      <c r="C165" s="36">
        <v>4301135591</v>
      </c>
      <c r="D165" s="346">
        <v>4607111036568</v>
      </c>
      <c r="E165" s="346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109</v>
      </c>
      <c r="L165" s="37" t="s">
        <v>85</v>
      </c>
      <c r="M165" s="38" t="s">
        <v>83</v>
      </c>
      <c r="N165" s="38"/>
      <c r="O165" s="37">
        <v>180</v>
      </c>
      <c r="P165" s="40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48"/>
      <c r="R165" s="348"/>
      <c r="S165" s="348"/>
      <c r="T165" s="349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254</v>
      </c>
      <c r="AG165" s="81"/>
      <c r="AJ165" s="87" t="s">
        <v>86</v>
      </c>
      <c r="AK165" s="87">
        <v>1</v>
      </c>
      <c r="BB165" s="200" t="s">
        <v>108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58"/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9"/>
      <c r="P166" s="355" t="s">
        <v>40</v>
      </c>
      <c r="Q166" s="356"/>
      <c r="R166" s="356"/>
      <c r="S166" s="356"/>
      <c r="T166" s="356"/>
      <c r="U166" s="356"/>
      <c r="V166" s="357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9"/>
      <c r="P167" s="355" t="s">
        <v>40</v>
      </c>
      <c r="Q167" s="356"/>
      <c r="R167" s="356"/>
      <c r="S167" s="356"/>
      <c r="T167" s="356"/>
      <c r="U167" s="356"/>
      <c r="V167" s="357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3" t="s">
        <v>255</v>
      </c>
      <c r="B168" s="343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54"/>
      <c r="AB168" s="54"/>
      <c r="AC168" s="54"/>
    </row>
    <row r="169" spans="1:68" ht="16.5" customHeight="1" x14ac:dyDescent="0.25">
      <c r="A169" s="344" t="s">
        <v>256</v>
      </c>
      <c r="B169" s="344"/>
      <c r="C169" s="344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  <c r="AA169" s="65"/>
      <c r="AB169" s="65"/>
      <c r="AC169" s="82"/>
    </row>
    <row r="170" spans="1:68" ht="14.25" customHeight="1" x14ac:dyDescent="0.25">
      <c r="A170" s="345" t="s">
        <v>79</v>
      </c>
      <c r="B170" s="345"/>
      <c r="C170" s="345"/>
      <c r="D170" s="345"/>
      <c r="E170" s="345"/>
      <c r="F170" s="345"/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345"/>
      <c r="W170" s="345"/>
      <c r="X170" s="345"/>
      <c r="Y170" s="345"/>
      <c r="Z170" s="345"/>
      <c r="AA170" s="66"/>
      <c r="AB170" s="66"/>
      <c r="AC170" s="83"/>
    </row>
    <row r="171" spans="1:68" ht="16.5" customHeight="1" x14ac:dyDescent="0.25">
      <c r="A171" s="63" t="s">
        <v>257</v>
      </c>
      <c r="B171" s="63" t="s">
        <v>258</v>
      </c>
      <c r="C171" s="36">
        <v>4301071062</v>
      </c>
      <c r="D171" s="346">
        <v>4607111036384</v>
      </c>
      <c r="E171" s="346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84</v>
      </c>
      <c r="L171" s="37" t="s">
        <v>85</v>
      </c>
      <c r="M171" s="38" t="s">
        <v>83</v>
      </c>
      <c r="N171" s="38"/>
      <c r="O171" s="37">
        <v>180</v>
      </c>
      <c r="P171" s="41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48"/>
      <c r="R171" s="348"/>
      <c r="S171" s="348"/>
      <c r="T171" s="349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259</v>
      </c>
      <c r="AG171" s="81"/>
      <c r="AJ171" s="87" t="s">
        <v>86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260</v>
      </c>
      <c r="B172" s="63" t="s">
        <v>261</v>
      </c>
      <c r="C172" s="36">
        <v>4301071050</v>
      </c>
      <c r="D172" s="346">
        <v>4607111036216</v>
      </c>
      <c r="E172" s="346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84</v>
      </c>
      <c r="L172" s="37" t="s">
        <v>85</v>
      </c>
      <c r="M172" s="38" t="s">
        <v>83</v>
      </c>
      <c r="N172" s="38"/>
      <c r="O172" s="37">
        <v>180</v>
      </c>
      <c r="P172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48"/>
      <c r="R172" s="348"/>
      <c r="S172" s="348"/>
      <c r="T172" s="34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262</v>
      </c>
      <c r="AG172" s="81"/>
      <c r="AJ172" s="87" t="s">
        <v>86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58"/>
      <c r="B173" s="358"/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9"/>
      <c r="P173" s="355" t="s">
        <v>40</v>
      </c>
      <c r="Q173" s="356"/>
      <c r="R173" s="356"/>
      <c r="S173" s="356"/>
      <c r="T173" s="356"/>
      <c r="U173" s="356"/>
      <c r="V173" s="357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9"/>
      <c r="P174" s="355" t="s">
        <v>40</v>
      </c>
      <c r="Q174" s="356"/>
      <c r="R174" s="356"/>
      <c r="S174" s="356"/>
      <c r="T174" s="356"/>
      <c r="U174" s="356"/>
      <c r="V174" s="357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27.75" customHeight="1" x14ac:dyDescent="0.2">
      <c r="A175" s="343" t="s">
        <v>263</v>
      </c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54"/>
      <c r="AB175" s="54"/>
      <c r="AC175" s="54"/>
    </row>
    <row r="176" spans="1:68" ht="16.5" customHeight="1" x14ac:dyDescent="0.25">
      <c r="A176" s="344" t="s">
        <v>264</v>
      </c>
      <c r="B176" s="344"/>
      <c r="C176" s="344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65"/>
      <c r="AB176" s="65"/>
      <c r="AC176" s="82"/>
    </row>
    <row r="177" spans="1:68" ht="14.25" customHeight="1" x14ac:dyDescent="0.25">
      <c r="A177" s="345" t="s">
        <v>104</v>
      </c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66"/>
      <c r="AB177" s="66"/>
      <c r="AC177" s="83"/>
    </row>
    <row r="178" spans="1:68" ht="16.5" customHeight="1" x14ac:dyDescent="0.25">
      <c r="A178" s="63" t="s">
        <v>265</v>
      </c>
      <c r="B178" s="63" t="s">
        <v>266</v>
      </c>
      <c r="C178" s="36">
        <v>4301132179</v>
      </c>
      <c r="D178" s="346">
        <v>4607111035691</v>
      </c>
      <c r="E178" s="346"/>
      <c r="F178" s="62">
        <v>0.25</v>
      </c>
      <c r="G178" s="37">
        <v>12</v>
      </c>
      <c r="H178" s="62">
        <v>3</v>
      </c>
      <c r="I178" s="62">
        <v>3.3879999999999999</v>
      </c>
      <c r="J178" s="37">
        <v>70</v>
      </c>
      <c r="K178" s="37" t="s">
        <v>109</v>
      </c>
      <c r="L178" s="37" t="s">
        <v>110</v>
      </c>
      <c r="M178" s="38" t="s">
        <v>83</v>
      </c>
      <c r="N178" s="38"/>
      <c r="O178" s="37">
        <v>365</v>
      </c>
      <c r="P178" s="41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348"/>
      <c r="R178" s="348"/>
      <c r="S178" s="348"/>
      <c r="T178" s="349"/>
      <c r="U178" s="39" t="s">
        <v>46</v>
      </c>
      <c r="V178" s="39" t="s">
        <v>46</v>
      </c>
      <c r="W178" s="40" t="s">
        <v>39</v>
      </c>
      <c r="X178" s="58">
        <v>70</v>
      </c>
      <c r="Y178" s="55">
        <f>IFERROR(IF(X178="","",X178),"")</f>
        <v>70</v>
      </c>
      <c r="Z178" s="41">
        <f>IFERROR(IF(X178="","",X178*0.01788),"")</f>
        <v>1.2516</v>
      </c>
      <c r="AA178" s="68" t="s">
        <v>46</v>
      </c>
      <c r="AB178" s="69" t="s">
        <v>46</v>
      </c>
      <c r="AC178" s="205" t="s">
        <v>267</v>
      </c>
      <c r="AG178" s="81"/>
      <c r="AJ178" s="87" t="s">
        <v>111</v>
      </c>
      <c r="AK178" s="87">
        <v>14</v>
      </c>
      <c r="BB178" s="206" t="s">
        <v>108</v>
      </c>
      <c r="BM178" s="81">
        <f>IFERROR(X178*I178,"0")</f>
        <v>237.16</v>
      </c>
      <c r="BN178" s="81">
        <f>IFERROR(Y178*I178,"0")</f>
        <v>237.16</v>
      </c>
      <c r="BO178" s="81">
        <f>IFERROR(X178/J178,"0")</f>
        <v>1</v>
      </c>
      <c r="BP178" s="81">
        <f>IFERROR(Y178/J178,"0")</f>
        <v>1</v>
      </c>
    </row>
    <row r="179" spans="1:68" ht="27" customHeight="1" x14ac:dyDescent="0.25">
      <c r="A179" s="63" t="s">
        <v>268</v>
      </c>
      <c r="B179" s="63" t="s">
        <v>269</v>
      </c>
      <c r="C179" s="36">
        <v>4301132182</v>
      </c>
      <c r="D179" s="346">
        <v>4607111035721</v>
      </c>
      <c r="E179" s="346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109</v>
      </c>
      <c r="L179" s="37" t="s">
        <v>110</v>
      </c>
      <c r="M179" s="38" t="s">
        <v>83</v>
      </c>
      <c r="N179" s="38"/>
      <c r="O179" s="37">
        <v>365</v>
      </c>
      <c r="P179" s="41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348"/>
      <c r="R179" s="348"/>
      <c r="S179" s="348"/>
      <c r="T179" s="34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270</v>
      </c>
      <c r="AG179" s="81"/>
      <c r="AJ179" s="87" t="s">
        <v>111</v>
      </c>
      <c r="AK179" s="87">
        <v>14</v>
      </c>
      <c r="BB179" s="208" t="s">
        <v>108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271</v>
      </c>
      <c r="B180" s="63" t="s">
        <v>272</v>
      </c>
      <c r="C180" s="36">
        <v>4301132170</v>
      </c>
      <c r="D180" s="346">
        <v>4607111038487</v>
      </c>
      <c r="E180" s="346"/>
      <c r="F180" s="62">
        <v>0.25</v>
      </c>
      <c r="G180" s="37">
        <v>12</v>
      </c>
      <c r="H180" s="62">
        <v>3</v>
      </c>
      <c r="I180" s="62">
        <v>3.7360000000000002</v>
      </c>
      <c r="J180" s="37">
        <v>70</v>
      </c>
      <c r="K180" s="37" t="s">
        <v>109</v>
      </c>
      <c r="L180" s="37" t="s">
        <v>110</v>
      </c>
      <c r="M180" s="38" t="s">
        <v>83</v>
      </c>
      <c r="N180" s="38"/>
      <c r="O180" s="37">
        <v>180</v>
      </c>
      <c r="P180" s="41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348"/>
      <c r="R180" s="348"/>
      <c r="S180" s="348"/>
      <c r="T180" s="34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273</v>
      </c>
      <c r="AG180" s="81"/>
      <c r="AJ180" s="87" t="s">
        <v>111</v>
      </c>
      <c r="AK180" s="87">
        <v>14</v>
      </c>
      <c r="BB180" s="210" t="s">
        <v>108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8"/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9"/>
      <c r="P181" s="355" t="s">
        <v>40</v>
      </c>
      <c r="Q181" s="356"/>
      <c r="R181" s="356"/>
      <c r="S181" s="356"/>
      <c r="T181" s="356"/>
      <c r="U181" s="356"/>
      <c r="V181" s="357"/>
      <c r="W181" s="42" t="s">
        <v>39</v>
      </c>
      <c r="X181" s="43">
        <f>IFERROR(SUM(X178:X180),"0")</f>
        <v>70</v>
      </c>
      <c r="Y181" s="43">
        <f>IFERROR(SUM(Y178:Y180),"0")</f>
        <v>70</v>
      </c>
      <c r="Z181" s="43">
        <f>IFERROR(IF(Z178="",0,Z178),"0")+IFERROR(IF(Z179="",0,Z179),"0")+IFERROR(IF(Z180="",0,Z180),"0")</f>
        <v>1.2516</v>
      </c>
      <c r="AA181" s="67"/>
      <c r="AB181" s="67"/>
      <c r="AC181" s="67"/>
    </row>
    <row r="182" spans="1:68" x14ac:dyDescent="0.2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9"/>
      <c r="P182" s="355" t="s">
        <v>40</v>
      </c>
      <c r="Q182" s="356"/>
      <c r="R182" s="356"/>
      <c r="S182" s="356"/>
      <c r="T182" s="356"/>
      <c r="U182" s="356"/>
      <c r="V182" s="357"/>
      <c r="W182" s="42" t="s">
        <v>0</v>
      </c>
      <c r="X182" s="43">
        <f>IFERROR(SUMPRODUCT(X178:X180*H178:H180),"0")</f>
        <v>210</v>
      </c>
      <c r="Y182" s="43">
        <f>IFERROR(SUMPRODUCT(Y178:Y180*H178:H180),"0")</f>
        <v>210</v>
      </c>
      <c r="Z182" s="42"/>
      <c r="AA182" s="67"/>
      <c r="AB182" s="67"/>
      <c r="AC182" s="67"/>
    </row>
    <row r="183" spans="1:68" ht="14.25" customHeight="1" x14ac:dyDescent="0.25">
      <c r="A183" s="345" t="s">
        <v>274</v>
      </c>
      <c r="B183" s="345"/>
      <c r="C183" s="345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5"/>
      <c r="V183" s="345"/>
      <c r="W183" s="345"/>
      <c r="X183" s="345"/>
      <c r="Y183" s="345"/>
      <c r="Z183" s="345"/>
      <c r="AA183" s="66"/>
      <c r="AB183" s="66"/>
      <c r="AC183" s="83"/>
    </row>
    <row r="184" spans="1:68" ht="27" customHeight="1" x14ac:dyDescent="0.25">
      <c r="A184" s="63" t="s">
        <v>275</v>
      </c>
      <c r="B184" s="63" t="s">
        <v>276</v>
      </c>
      <c r="C184" s="36">
        <v>4301051855</v>
      </c>
      <c r="D184" s="346">
        <v>4680115885875</v>
      </c>
      <c r="E184" s="346"/>
      <c r="F184" s="62">
        <v>1</v>
      </c>
      <c r="G184" s="37">
        <v>9</v>
      </c>
      <c r="H184" s="62">
        <v>9</v>
      </c>
      <c r="I184" s="62">
        <v>9.41</v>
      </c>
      <c r="J184" s="37">
        <v>64</v>
      </c>
      <c r="K184" s="37" t="s">
        <v>281</v>
      </c>
      <c r="L184" s="37" t="s">
        <v>85</v>
      </c>
      <c r="M184" s="38" t="s">
        <v>280</v>
      </c>
      <c r="N184" s="38"/>
      <c r="O184" s="37">
        <v>365</v>
      </c>
      <c r="P184" s="415" t="s">
        <v>277</v>
      </c>
      <c r="Q184" s="348"/>
      <c r="R184" s="348"/>
      <c r="S184" s="348"/>
      <c r="T184" s="34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IFERROR(IF(X184="","",X184*0.01898),"")</f>
        <v>0</v>
      </c>
      <c r="AA184" s="68" t="s">
        <v>46</v>
      </c>
      <c r="AB184" s="69" t="s">
        <v>46</v>
      </c>
      <c r="AC184" s="211" t="s">
        <v>278</v>
      </c>
      <c r="AG184" s="81"/>
      <c r="AJ184" s="87" t="s">
        <v>86</v>
      </c>
      <c r="AK184" s="87">
        <v>1</v>
      </c>
      <c r="BB184" s="212" t="s">
        <v>279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58"/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9"/>
      <c r="P185" s="355" t="s">
        <v>40</v>
      </c>
      <c r="Q185" s="356"/>
      <c r="R185" s="356"/>
      <c r="S185" s="356"/>
      <c r="T185" s="356"/>
      <c r="U185" s="356"/>
      <c r="V185" s="357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9"/>
      <c r="P186" s="355" t="s">
        <v>40</v>
      </c>
      <c r="Q186" s="356"/>
      <c r="R186" s="356"/>
      <c r="S186" s="356"/>
      <c r="T186" s="356"/>
      <c r="U186" s="356"/>
      <c r="V186" s="357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43" t="s">
        <v>282</v>
      </c>
      <c r="B187" s="343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54"/>
      <c r="AB187" s="54"/>
      <c r="AC187" s="54"/>
    </row>
    <row r="188" spans="1:68" ht="16.5" customHeight="1" x14ac:dyDescent="0.25">
      <c r="A188" s="344" t="s">
        <v>283</v>
      </c>
      <c r="B188" s="344"/>
      <c r="C188" s="344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  <c r="AA188" s="65"/>
      <c r="AB188" s="65"/>
      <c r="AC188" s="82"/>
    </row>
    <row r="189" spans="1:68" ht="14.25" customHeight="1" x14ac:dyDescent="0.25">
      <c r="A189" s="345" t="s">
        <v>104</v>
      </c>
      <c r="B189" s="345"/>
      <c r="C189" s="345"/>
      <c r="D189" s="345"/>
      <c r="E189" s="345"/>
      <c r="F189" s="345"/>
      <c r="G189" s="345"/>
      <c r="H189" s="345"/>
      <c r="I189" s="345"/>
      <c r="J189" s="345"/>
      <c r="K189" s="345"/>
      <c r="L189" s="345"/>
      <c r="M189" s="345"/>
      <c r="N189" s="345"/>
      <c r="O189" s="345"/>
      <c r="P189" s="345"/>
      <c r="Q189" s="345"/>
      <c r="R189" s="345"/>
      <c r="S189" s="345"/>
      <c r="T189" s="345"/>
      <c r="U189" s="345"/>
      <c r="V189" s="345"/>
      <c r="W189" s="345"/>
      <c r="X189" s="345"/>
      <c r="Y189" s="345"/>
      <c r="Z189" s="345"/>
      <c r="AA189" s="66"/>
      <c r="AB189" s="66"/>
      <c r="AC189" s="83"/>
    </row>
    <row r="190" spans="1:68" ht="27" customHeight="1" x14ac:dyDescent="0.25">
      <c r="A190" s="63" t="s">
        <v>284</v>
      </c>
      <c r="B190" s="63" t="s">
        <v>285</v>
      </c>
      <c r="C190" s="36">
        <v>4301132227</v>
      </c>
      <c r="D190" s="346">
        <v>4620207491133</v>
      </c>
      <c r="E190" s="346"/>
      <c r="F190" s="62">
        <v>0.23</v>
      </c>
      <c r="G190" s="37">
        <v>12</v>
      </c>
      <c r="H190" s="62">
        <v>2.76</v>
      </c>
      <c r="I190" s="62">
        <v>2.98</v>
      </c>
      <c r="J190" s="37">
        <v>70</v>
      </c>
      <c r="K190" s="37" t="s">
        <v>109</v>
      </c>
      <c r="L190" s="37" t="s">
        <v>85</v>
      </c>
      <c r="M190" s="38" t="s">
        <v>83</v>
      </c>
      <c r="N190" s="38"/>
      <c r="O190" s="37">
        <v>180</v>
      </c>
      <c r="P190" s="41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0" s="348"/>
      <c r="R190" s="348"/>
      <c r="S190" s="348"/>
      <c r="T190" s="349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13" t="s">
        <v>286</v>
      </c>
      <c r="AG190" s="81"/>
      <c r="AJ190" s="87" t="s">
        <v>86</v>
      </c>
      <c r="AK190" s="87">
        <v>1</v>
      </c>
      <c r="BB190" s="214" t="s">
        <v>108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58"/>
      <c r="B191" s="358"/>
      <c r="C191" s="358"/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9"/>
      <c r="P191" s="355" t="s">
        <v>40</v>
      </c>
      <c r="Q191" s="356"/>
      <c r="R191" s="356"/>
      <c r="S191" s="356"/>
      <c r="T191" s="356"/>
      <c r="U191" s="356"/>
      <c r="V191" s="357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9"/>
      <c r="P192" s="355" t="s">
        <v>40</v>
      </c>
      <c r="Q192" s="356"/>
      <c r="R192" s="356"/>
      <c r="S192" s="356"/>
      <c r="T192" s="356"/>
      <c r="U192" s="356"/>
      <c r="V192" s="357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14.25" customHeight="1" x14ac:dyDescent="0.25">
      <c r="A193" s="345" t="s">
        <v>148</v>
      </c>
      <c r="B193" s="345"/>
      <c r="C193" s="345"/>
      <c r="D193" s="345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5"/>
      <c r="R193" s="345"/>
      <c r="S193" s="345"/>
      <c r="T193" s="345"/>
      <c r="U193" s="345"/>
      <c r="V193" s="345"/>
      <c r="W193" s="345"/>
      <c r="X193" s="345"/>
      <c r="Y193" s="345"/>
      <c r="Z193" s="345"/>
      <c r="AA193" s="66"/>
      <c r="AB193" s="66"/>
      <c r="AC193" s="83"/>
    </row>
    <row r="194" spans="1:68" ht="27" customHeight="1" x14ac:dyDescent="0.25">
      <c r="A194" s="63" t="s">
        <v>287</v>
      </c>
      <c r="B194" s="63" t="s">
        <v>288</v>
      </c>
      <c r="C194" s="36">
        <v>4301135834</v>
      </c>
      <c r="D194" s="346">
        <v>4620207491188</v>
      </c>
      <c r="E194" s="346"/>
      <c r="F194" s="62">
        <v>0.2</v>
      </c>
      <c r="G194" s="37">
        <v>12</v>
      </c>
      <c r="H194" s="62">
        <v>2.4</v>
      </c>
      <c r="I194" s="62">
        <v>3.1036000000000001</v>
      </c>
      <c r="J194" s="37">
        <v>70</v>
      </c>
      <c r="K194" s="37" t="s">
        <v>109</v>
      </c>
      <c r="L194" s="37" t="s">
        <v>85</v>
      </c>
      <c r="M194" s="38" t="s">
        <v>83</v>
      </c>
      <c r="N194" s="38"/>
      <c r="O194" s="37">
        <v>180</v>
      </c>
      <c r="P194" s="41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4" s="348"/>
      <c r="R194" s="348"/>
      <c r="S194" s="348"/>
      <c r="T194" s="349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15" t="s">
        <v>289</v>
      </c>
      <c r="AG194" s="81"/>
      <c r="AJ194" s="87" t="s">
        <v>86</v>
      </c>
      <c r="AK194" s="87">
        <v>1</v>
      </c>
      <c r="BB194" s="216" t="s">
        <v>108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290</v>
      </c>
      <c r="B195" s="63" t="s">
        <v>291</v>
      </c>
      <c r="C195" s="36">
        <v>4301135707</v>
      </c>
      <c r="D195" s="346">
        <v>4620207490198</v>
      </c>
      <c r="E195" s="346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109</v>
      </c>
      <c r="L195" s="37" t="s">
        <v>85</v>
      </c>
      <c r="M195" s="38" t="s">
        <v>83</v>
      </c>
      <c r="N195" s="38"/>
      <c r="O195" s="37">
        <v>180</v>
      </c>
      <c r="P195" s="41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5" s="348"/>
      <c r="R195" s="348"/>
      <c r="S195" s="348"/>
      <c r="T195" s="349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292</v>
      </c>
      <c r="AG195" s="81"/>
      <c r="AJ195" s="87" t="s">
        <v>86</v>
      </c>
      <c r="AK195" s="87">
        <v>1</v>
      </c>
      <c r="BB195" s="218" t="s">
        <v>108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293</v>
      </c>
      <c r="B196" s="63" t="s">
        <v>294</v>
      </c>
      <c r="C196" s="36">
        <v>4301135829</v>
      </c>
      <c r="D196" s="346">
        <v>4620207490235</v>
      </c>
      <c r="E196" s="346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109</v>
      </c>
      <c r="L196" s="37" t="s">
        <v>85</v>
      </c>
      <c r="M196" s="38" t="s">
        <v>83</v>
      </c>
      <c r="N196" s="38"/>
      <c r="O196" s="37">
        <v>180</v>
      </c>
      <c r="P196" s="41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6" s="348"/>
      <c r="R196" s="348"/>
      <c r="S196" s="348"/>
      <c r="T196" s="349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295</v>
      </c>
      <c r="AG196" s="81"/>
      <c r="AJ196" s="87" t="s">
        <v>86</v>
      </c>
      <c r="AK196" s="87">
        <v>1</v>
      </c>
      <c r="BB196" s="220" t="s">
        <v>108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296</v>
      </c>
      <c r="B197" s="63" t="s">
        <v>297</v>
      </c>
      <c r="C197" s="36">
        <v>4301135697</v>
      </c>
      <c r="D197" s="346">
        <v>4620207490259</v>
      </c>
      <c r="E197" s="346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109</v>
      </c>
      <c r="L197" s="37" t="s">
        <v>85</v>
      </c>
      <c r="M197" s="38" t="s">
        <v>83</v>
      </c>
      <c r="N197" s="38"/>
      <c r="O197" s="37">
        <v>180</v>
      </c>
      <c r="P197" s="42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7" s="348"/>
      <c r="R197" s="348"/>
      <c r="S197" s="348"/>
      <c r="T197" s="34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292</v>
      </c>
      <c r="AG197" s="81"/>
      <c r="AJ197" s="87" t="s">
        <v>86</v>
      </c>
      <c r="AK197" s="87">
        <v>1</v>
      </c>
      <c r="BB197" s="222" t="s">
        <v>108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298</v>
      </c>
      <c r="B198" s="63" t="s">
        <v>299</v>
      </c>
      <c r="C198" s="36">
        <v>4301135681</v>
      </c>
      <c r="D198" s="346">
        <v>4620207490143</v>
      </c>
      <c r="E198" s="346"/>
      <c r="F198" s="62">
        <v>0.22</v>
      </c>
      <c r="G198" s="37">
        <v>12</v>
      </c>
      <c r="H198" s="62">
        <v>2.64</v>
      </c>
      <c r="I198" s="62">
        <v>3.3435999999999999</v>
      </c>
      <c r="J198" s="37">
        <v>70</v>
      </c>
      <c r="K198" s="37" t="s">
        <v>109</v>
      </c>
      <c r="L198" s="37" t="s">
        <v>85</v>
      </c>
      <c r="M198" s="38" t="s">
        <v>83</v>
      </c>
      <c r="N198" s="38"/>
      <c r="O198" s="37">
        <v>180</v>
      </c>
      <c r="P198" s="4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8" s="348"/>
      <c r="R198" s="348"/>
      <c r="S198" s="348"/>
      <c r="T198" s="34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86</v>
      </c>
      <c r="AK198" s="87">
        <v>1</v>
      </c>
      <c r="BB198" s="224" t="s">
        <v>108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58"/>
      <c r="B199" s="358"/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9"/>
      <c r="P199" s="355" t="s">
        <v>40</v>
      </c>
      <c r="Q199" s="356"/>
      <c r="R199" s="356"/>
      <c r="S199" s="356"/>
      <c r="T199" s="356"/>
      <c r="U199" s="356"/>
      <c r="V199" s="357"/>
      <c r="W199" s="42" t="s">
        <v>39</v>
      </c>
      <c r="X199" s="43">
        <f>IFERROR(SUM(X194:X198),"0")</f>
        <v>0</v>
      </c>
      <c r="Y199" s="43">
        <f>IFERROR(SUM(Y194:Y198),"0")</f>
        <v>0</v>
      </c>
      <c r="Z199" s="43">
        <f>IFERROR(IF(Z194="",0,Z194),"0")+IFERROR(IF(Z195="",0,Z195),"0")+IFERROR(IF(Z196="",0,Z196),"0")+IFERROR(IF(Z197="",0,Z197),"0")+IFERROR(IF(Z198="",0,Z198),"0")</f>
        <v>0</v>
      </c>
      <c r="AA199" s="67"/>
      <c r="AB199" s="67"/>
      <c r="AC199" s="67"/>
    </row>
    <row r="200" spans="1:68" x14ac:dyDescent="0.2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9"/>
      <c r="P200" s="355" t="s">
        <v>40</v>
      </c>
      <c r="Q200" s="356"/>
      <c r="R200" s="356"/>
      <c r="S200" s="356"/>
      <c r="T200" s="356"/>
      <c r="U200" s="356"/>
      <c r="V200" s="357"/>
      <c r="W200" s="42" t="s">
        <v>0</v>
      </c>
      <c r="X200" s="43">
        <f>IFERROR(SUMPRODUCT(X194:X198*H194:H198),"0")</f>
        <v>0</v>
      </c>
      <c r="Y200" s="43">
        <f>IFERROR(SUMPRODUCT(Y194:Y198*H194:H198),"0")</f>
        <v>0</v>
      </c>
      <c r="Z200" s="42"/>
      <c r="AA200" s="67"/>
      <c r="AB200" s="67"/>
      <c r="AC200" s="67"/>
    </row>
    <row r="201" spans="1:68" ht="16.5" customHeight="1" x14ac:dyDescent="0.25">
      <c r="A201" s="344" t="s">
        <v>301</v>
      </c>
      <c r="B201" s="344"/>
      <c r="C201" s="344"/>
      <c r="D201" s="344"/>
      <c r="E201" s="344"/>
      <c r="F201" s="344"/>
      <c r="G201" s="344"/>
      <c r="H201" s="344"/>
      <c r="I201" s="344"/>
      <c r="J201" s="344"/>
      <c r="K201" s="344"/>
      <c r="L201" s="344"/>
      <c r="M201" s="344"/>
      <c r="N201" s="344"/>
      <c r="O201" s="344"/>
      <c r="P201" s="344"/>
      <c r="Q201" s="344"/>
      <c r="R201" s="344"/>
      <c r="S201" s="344"/>
      <c r="T201" s="344"/>
      <c r="U201" s="344"/>
      <c r="V201" s="344"/>
      <c r="W201" s="344"/>
      <c r="X201" s="344"/>
      <c r="Y201" s="344"/>
      <c r="Z201" s="344"/>
      <c r="AA201" s="65"/>
      <c r="AB201" s="65"/>
      <c r="AC201" s="82"/>
    </row>
    <row r="202" spans="1:68" ht="14.25" customHeight="1" x14ac:dyDescent="0.25">
      <c r="A202" s="345" t="s">
        <v>79</v>
      </c>
      <c r="B202" s="345"/>
      <c r="C202" s="345"/>
      <c r="D202" s="345"/>
      <c r="E202" s="345"/>
      <c r="F202" s="345"/>
      <c r="G202" s="345"/>
      <c r="H202" s="345"/>
      <c r="I202" s="345"/>
      <c r="J202" s="345"/>
      <c r="K202" s="345"/>
      <c r="L202" s="345"/>
      <c r="M202" s="345"/>
      <c r="N202" s="345"/>
      <c r="O202" s="345"/>
      <c r="P202" s="345"/>
      <c r="Q202" s="345"/>
      <c r="R202" s="345"/>
      <c r="S202" s="345"/>
      <c r="T202" s="345"/>
      <c r="U202" s="345"/>
      <c r="V202" s="345"/>
      <c r="W202" s="345"/>
      <c r="X202" s="345"/>
      <c r="Y202" s="345"/>
      <c r="Z202" s="345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4301071097</v>
      </c>
      <c r="D203" s="346">
        <v>4620207491096</v>
      </c>
      <c r="E203" s="346"/>
      <c r="F203" s="62">
        <v>1</v>
      </c>
      <c r="G203" s="37">
        <v>5</v>
      </c>
      <c r="H203" s="62">
        <v>5</v>
      </c>
      <c r="I203" s="62">
        <v>5.23</v>
      </c>
      <c r="J203" s="37">
        <v>84</v>
      </c>
      <c r="K203" s="37" t="s">
        <v>84</v>
      </c>
      <c r="L203" s="37" t="s">
        <v>85</v>
      </c>
      <c r="M203" s="38" t="s">
        <v>83</v>
      </c>
      <c r="N203" s="38"/>
      <c r="O203" s="37">
        <v>180</v>
      </c>
      <c r="P203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3" s="348"/>
      <c r="R203" s="348"/>
      <c r="S203" s="348"/>
      <c r="T203" s="34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IFERROR(IF(X203="","",X203*0.0155),"")</f>
        <v>0</v>
      </c>
      <c r="AA203" s="68" t="s">
        <v>46</v>
      </c>
      <c r="AB203" s="69" t="s">
        <v>46</v>
      </c>
      <c r="AC203" s="225" t="s">
        <v>304</v>
      </c>
      <c r="AG203" s="81"/>
      <c r="AJ203" s="87" t="s">
        <v>86</v>
      </c>
      <c r="AK203" s="87">
        <v>1</v>
      </c>
      <c r="BB203" s="226" t="s">
        <v>70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58"/>
      <c r="B204" s="358"/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9"/>
      <c r="P204" s="355" t="s">
        <v>40</v>
      </c>
      <c r="Q204" s="356"/>
      <c r="R204" s="356"/>
      <c r="S204" s="356"/>
      <c r="T204" s="356"/>
      <c r="U204" s="356"/>
      <c r="V204" s="357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9"/>
      <c r="P205" s="355" t="s">
        <v>40</v>
      </c>
      <c r="Q205" s="356"/>
      <c r="R205" s="356"/>
      <c r="S205" s="356"/>
      <c r="T205" s="356"/>
      <c r="U205" s="356"/>
      <c r="V205" s="357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6.5" customHeight="1" x14ac:dyDescent="0.25">
      <c r="A206" s="344" t="s">
        <v>305</v>
      </c>
      <c r="B206" s="344"/>
      <c r="C206" s="344"/>
      <c r="D206" s="344"/>
      <c r="E206" s="344"/>
      <c r="F206" s="344"/>
      <c r="G206" s="344"/>
      <c r="H206" s="344"/>
      <c r="I206" s="344"/>
      <c r="J206" s="344"/>
      <c r="K206" s="344"/>
      <c r="L206" s="344"/>
      <c r="M206" s="344"/>
      <c r="N206" s="344"/>
      <c r="O206" s="344"/>
      <c r="P206" s="344"/>
      <c r="Q206" s="344"/>
      <c r="R206" s="344"/>
      <c r="S206" s="344"/>
      <c r="T206" s="344"/>
      <c r="U206" s="344"/>
      <c r="V206" s="344"/>
      <c r="W206" s="344"/>
      <c r="X206" s="344"/>
      <c r="Y206" s="344"/>
      <c r="Z206" s="344"/>
      <c r="AA206" s="65"/>
      <c r="AB206" s="65"/>
      <c r="AC206" s="82"/>
    </row>
    <row r="207" spans="1:68" ht="14.25" customHeight="1" x14ac:dyDescent="0.25">
      <c r="A207" s="345" t="s">
        <v>79</v>
      </c>
      <c r="B207" s="345"/>
      <c r="C207" s="345"/>
      <c r="D207" s="345"/>
      <c r="E207" s="345"/>
      <c r="F207" s="345"/>
      <c r="G207" s="345"/>
      <c r="H207" s="345"/>
      <c r="I207" s="345"/>
      <c r="J207" s="345"/>
      <c r="K207" s="345"/>
      <c r="L207" s="345"/>
      <c r="M207" s="345"/>
      <c r="N207" s="345"/>
      <c r="O207" s="345"/>
      <c r="P207" s="345"/>
      <c r="Q207" s="345"/>
      <c r="R207" s="345"/>
      <c r="S207" s="345"/>
      <c r="T207" s="345"/>
      <c r="U207" s="345"/>
      <c r="V207" s="345"/>
      <c r="W207" s="345"/>
      <c r="X207" s="345"/>
      <c r="Y207" s="345"/>
      <c r="Z207" s="345"/>
      <c r="AA207" s="66"/>
      <c r="AB207" s="66"/>
      <c r="AC207" s="83"/>
    </row>
    <row r="208" spans="1:68" ht="27" customHeight="1" x14ac:dyDescent="0.25">
      <c r="A208" s="63" t="s">
        <v>306</v>
      </c>
      <c r="B208" s="63" t="s">
        <v>307</v>
      </c>
      <c r="C208" s="36">
        <v>4301071093</v>
      </c>
      <c r="D208" s="346">
        <v>4620207490709</v>
      </c>
      <c r="E208" s="346"/>
      <c r="F208" s="62">
        <v>0.65</v>
      </c>
      <c r="G208" s="37">
        <v>8</v>
      </c>
      <c r="H208" s="62">
        <v>5.2</v>
      </c>
      <c r="I208" s="62">
        <v>5.47</v>
      </c>
      <c r="J208" s="37">
        <v>84</v>
      </c>
      <c r="K208" s="37" t="s">
        <v>84</v>
      </c>
      <c r="L208" s="37" t="s">
        <v>85</v>
      </c>
      <c r="M208" s="38" t="s">
        <v>83</v>
      </c>
      <c r="N208" s="38"/>
      <c r="O208" s="37">
        <v>180</v>
      </c>
      <c r="P208" s="42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8" s="348"/>
      <c r="R208" s="348"/>
      <c r="S208" s="348"/>
      <c r="T208" s="349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IFERROR(IF(X208="","",X208*0.0155),"")</f>
        <v>0</v>
      </c>
      <c r="AA208" s="68" t="s">
        <v>46</v>
      </c>
      <c r="AB208" s="69" t="s">
        <v>46</v>
      </c>
      <c r="AC208" s="227" t="s">
        <v>308</v>
      </c>
      <c r="AG208" s="81"/>
      <c r="AJ208" s="87" t="s">
        <v>86</v>
      </c>
      <c r="AK208" s="87">
        <v>1</v>
      </c>
      <c r="BB208" s="228" t="s">
        <v>70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58"/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9"/>
      <c r="P209" s="355" t="s">
        <v>40</v>
      </c>
      <c r="Q209" s="356"/>
      <c r="R209" s="356"/>
      <c r="S209" s="356"/>
      <c r="T209" s="356"/>
      <c r="U209" s="356"/>
      <c r="V209" s="357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9"/>
      <c r="P210" s="355" t="s">
        <v>40</v>
      </c>
      <c r="Q210" s="356"/>
      <c r="R210" s="356"/>
      <c r="S210" s="356"/>
      <c r="T210" s="356"/>
      <c r="U210" s="356"/>
      <c r="V210" s="357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45" t="s">
        <v>148</v>
      </c>
      <c r="B211" s="345"/>
      <c r="C211" s="345"/>
      <c r="D211" s="345"/>
      <c r="E211" s="345"/>
      <c r="F211" s="345"/>
      <c r="G211" s="345"/>
      <c r="H211" s="345"/>
      <c r="I211" s="345"/>
      <c r="J211" s="345"/>
      <c r="K211" s="345"/>
      <c r="L211" s="345"/>
      <c r="M211" s="345"/>
      <c r="N211" s="345"/>
      <c r="O211" s="345"/>
      <c r="P211" s="345"/>
      <c r="Q211" s="345"/>
      <c r="R211" s="345"/>
      <c r="S211" s="345"/>
      <c r="T211" s="345"/>
      <c r="U211" s="345"/>
      <c r="V211" s="345"/>
      <c r="W211" s="345"/>
      <c r="X211" s="345"/>
      <c r="Y211" s="345"/>
      <c r="Z211" s="345"/>
      <c r="AA211" s="66"/>
      <c r="AB211" s="66"/>
      <c r="AC211" s="83"/>
    </row>
    <row r="212" spans="1:68" ht="27" customHeight="1" x14ac:dyDescent="0.25">
      <c r="A212" s="63" t="s">
        <v>309</v>
      </c>
      <c r="B212" s="63" t="s">
        <v>310</v>
      </c>
      <c r="C212" s="36">
        <v>4301135691</v>
      </c>
      <c r="D212" s="346">
        <v>4620207490549</v>
      </c>
      <c r="E212" s="346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109</v>
      </c>
      <c r="L212" s="37" t="s">
        <v>85</v>
      </c>
      <c r="M212" s="38" t="s">
        <v>83</v>
      </c>
      <c r="N212" s="38"/>
      <c r="O212" s="37">
        <v>180</v>
      </c>
      <c r="P212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2" s="348"/>
      <c r="R212" s="348"/>
      <c r="S212" s="348"/>
      <c r="T212" s="349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29" t="s">
        <v>311</v>
      </c>
      <c r="AG212" s="81"/>
      <c r="AJ212" s="87" t="s">
        <v>86</v>
      </c>
      <c r="AK212" s="87">
        <v>1</v>
      </c>
      <c r="BB212" s="230" t="s">
        <v>108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312</v>
      </c>
      <c r="B213" s="63" t="s">
        <v>313</v>
      </c>
      <c r="C213" s="36">
        <v>4301135694</v>
      </c>
      <c r="D213" s="346">
        <v>4620207490501</v>
      </c>
      <c r="E213" s="346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109</v>
      </c>
      <c r="L213" s="37" t="s">
        <v>85</v>
      </c>
      <c r="M213" s="38" t="s">
        <v>83</v>
      </c>
      <c r="N213" s="38"/>
      <c r="O213" s="37">
        <v>180</v>
      </c>
      <c r="P213" s="4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3" s="348"/>
      <c r="R213" s="348"/>
      <c r="S213" s="348"/>
      <c r="T213" s="349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311</v>
      </c>
      <c r="AG213" s="81"/>
      <c r="AJ213" s="87" t="s">
        <v>86</v>
      </c>
      <c r="AK213" s="87">
        <v>1</v>
      </c>
      <c r="BB213" s="232" t="s">
        <v>108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358"/>
      <c r="B214" s="358"/>
      <c r="C214" s="358"/>
      <c r="D214" s="358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9"/>
      <c r="P214" s="355" t="s">
        <v>40</v>
      </c>
      <c r="Q214" s="356"/>
      <c r="R214" s="356"/>
      <c r="S214" s="356"/>
      <c r="T214" s="356"/>
      <c r="U214" s="356"/>
      <c r="V214" s="357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x14ac:dyDescent="0.2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9"/>
      <c r="P215" s="355" t="s">
        <v>40</v>
      </c>
      <c r="Q215" s="356"/>
      <c r="R215" s="356"/>
      <c r="S215" s="356"/>
      <c r="T215" s="356"/>
      <c r="U215" s="356"/>
      <c r="V215" s="357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27.75" customHeight="1" x14ac:dyDescent="0.2">
      <c r="A216" s="343" t="s">
        <v>314</v>
      </c>
      <c r="B216" s="343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54"/>
      <c r="AB216" s="54"/>
      <c r="AC216" s="54"/>
    </row>
    <row r="217" spans="1:68" ht="16.5" customHeight="1" x14ac:dyDescent="0.25">
      <c r="A217" s="344" t="s">
        <v>315</v>
      </c>
      <c r="B217" s="344"/>
      <c r="C217" s="344"/>
      <c r="D217" s="344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  <c r="AA217" s="65"/>
      <c r="AB217" s="65"/>
      <c r="AC217" s="82"/>
    </row>
    <row r="218" spans="1:68" ht="14.25" customHeight="1" x14ac:dyDescent="0.25">
      <c r="A218" s="345" t="s">
        <v>79</v>
      </c>
      <c r="B218" s="345"/>
      <c r="C218" s="345"/>
      <c r="D218" s="34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  <c r="Z218" s="345"/>
      <c r="AA218" s="66"/>
      <c r="AB218" s="66"/>
      <c r="AC218" s="83"/>
    </row>
    <row r="219" spans="1:68" ht="27" customHeight="1" x14ac:dyDescent="0.25">
      <c r="A219" s="63" t="s">
        <v>316</v>
      </c>
      <c r="B219" s="63" t="s">
        <v>317</v>
      </c>
      <c r="C219" s="36">
        <v>4301071036</v>
      </c>
      <c r="D219" s="346">
        <v>4607111036162</v>
      </c>
      <c r="E219" s="346"/>
      <c r="F219" s="62">
        <v>0.8</v>
      </c>
      <c r="G219" s="37">
        <v>8</v>
      </c>
      <c r="H219" s="62">
        <v>6.4</v>
      </c>
      <c r="I219" s="62">
        <v>6.6811999999999996</v>
      </c>
      <c r="J219" s="37">
        <v>84</v>
      </c>
      <c r="K219" s="37" t="s">
        <v>84</v>
      </c>
      <c r="L219" s="37" t="s">
        <v>85</v>
      </c>
      <c r="M219" s="38" t="s">
        <v>83</v>
      </c>
      <c r="N219" s="38"/>
      <c r="O219" s="37">
        <v>90</v>
      </c>
      <c r="P219" s="4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9" s="348"/>
      <c r="R219" s="348"/>
      <c r="S219" s="348"/>
      <c r="T219" s="349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IFERROR(IF(X219="","",X219*0.0155),"")</f>
        <v>0</v>
      </c>
      <c r="AA219" s="68" t="s">
        <v>46</v>
      </c>
      <c r="AB219" s="69" t="s">
        <v>46</v>
      </c>
      <c r="AC219" s="233" t="s">
        <v>318</v>
      </c>
      <c r="AG219" s="81"/>
      <c r="AJ219" s="87" t="s">
        <v>86</v>
      </c>
      <c r="AK219" s="87">
        <v>1</v>
      </c>
      <c r="BB219" s="234" t="s">
        <v>70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358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9"/>
      <c r="P220" s="355" t="s">
        <v>40</v>
      </c>
      <c r="Q220" s="356"/>
      <c r="R220" s="356"/>
      <c r="S220" s="356"/>
      <c r="T220" s="356"/>
      <c r="U220" s="356"/>
      <c r="V220" s="357"/>
      <c r="W220" s="42" t="s">
        <v>39</v>
      </c>
      <c r="X220" s="43">
        <f>IFERROR(SUM(X219:X219),"0")</f>
        <v>0</v>
      </c>
      <c r="Y220" s="43">
        <f>IFERROR(SUM(Y219:Y219),"0")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9"/>
      <c r="P221" s="355" t="s">
        <v>40</v>
      </c>
      <c r="Q221" s="356"/>
      <c r="R221" s="356"/>
      <c r="S221" s="356"/>
      <c r="T221" s="356"/>
      <c r="U221" s="356"/>
      <c r="V221" s="357"/>
      <c r="W221" s="42" t="s">
        <v>0</v>
      </c>
      <c r="X221" s="43">
        <f>IFERROR(SUMPRODUCT(X219:X219*H219:H219),"0")</f>
        <v>0</v>
      </c>
      <c r="Y221" s="43">
        <f>IFERROR(SUMPRODUCT(Y219:Y219*H219:H219),"0")</f>
        <v>0</v>
      </c>
      <c r="Z221" s="42"/>
      <c r="AA221" s="67"/>
      <c r="AB221" s="67"/>
      <c r="AC221" s="67"/>
    </row>
    <row r="222" spans="1:68" ht="27.75" customHeight="1" x14ac:dyDescent="0.2">
      <c r="A222" s="343" t="s">
        <v>319</v>
      </c>
      <c r="B222" s="343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54"/>
      <c r="AB222" s="54"/>
      <c r="AC222" s="54"/>
    </row>
    <row r="223" spans="1:68" ht="16.5" customHeight="1" x14ac:dyDescent="0.25">
      <c r="A223" s="344" t="s">
        <v>320</v>
      </c>
      <c r="B223" s="344"/>
      <c r="C223" s="34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65"/>
      <c r="AB223" s="65"/>
      <c r="AC223" s="82"/>
    </row>
    <row r="224" spans="1:68" ht="14.25" customHeight="1" x14ac:dyDescent="0.25">
      <c r="A224" s="345" t="s">
        <v>79</v>
      </c>
      <c r="B224" s="345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  <c r="Z224" s="345"/>
      <c r="AA224" s="66"/>
      <c r="AB224" s="66"/>
      <c r="AC224" s="83"/>
    </row>
    <row r="225" spans="1:68" ht="27" customHeight="1" x14ac:dyDescent="0.25">
      <c r="A225" s="63" t="s">
        <v>321</v>
      </c>
      <c r="B225" s="63" t="s">
        <v>322</v>
      </c>
      <c r="C225" s="36">
        <v>4301071029</v>
      </c>
      <c r="D225" s="346">
        <v>4607111035899</v>
      </c>
      <c r="E225" s="346"/>
      <c r="F225" s="62">
        <v>1</v>
      </c>
      <c r="G225" s="37">
        <v>5</v>
      </c>
      <c r="H225" s="62">
        <v>5</v>
      </c>
      <c r="I225" s="62">
        <v>5.2619999999999996</v>
      </c>
      <c r="J225" s="37">
        <v>84</v>
      </c>
      <c r="K225" s="37" t="s">
        <v>84</v>
      </c>
      <c r="L225" s="37" t="s">
        <v>85</v>
      </c>
      <c r="M225" s="38" t="s">
        <v>83</v>
      </c>
      <c r="N225" s="38"/>
      <c r="O225" s="37">
        <v>180</v>
      </c>
      <c r="P225" s="42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5" s="348"/>
      <c r="R225" s="348"/>
      <c r="S225" s="348"/>
      <c r="T225" s="349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35" t="s">
        <v>262</v>
      </c>
      <c r="AG225" s="81"/>
      <c r="AJ225" s="87" t="s">
        <v>86</v>
      </c>
      <c r="AK225" s="87">
        <v>1</v>
      </c>
      <c r="BB225" s="236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58"/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9"/>
      <c r="P226" s="355" t="s">
        <v>40</v>
      </c>
      <c r="Q226" s="356"/>
      <c r="R226" s="356"/>
      <c r="S226" s="356"/>
      <c r="T226" s="356"/>
      <c r="U226" s="356"/>
      <c r="V226" s="35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9"/>
      <c r="P227" s="355" t="s">
        <v>40</v>
      </c>
      <c r="Q227" s="356"/>
      <c r="R227" s="356"/>
      <c r="S227" s="356"/>
      <c r="T227" s="356"/>
      <c r="U227" s="356"/>
      <c r="V227" s="35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43" t="s">
        <v>323</v>
      </c>
      <c r="B228" s="343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54"/>
      <c r="AB228" s="54"/>
      <c r="AC228" s="54"/>
    </row>
    <row r="229" spans="1:68" ht="16.5" customHeight="1" x14ac:dyDescent="0.25">
      <c r="A229" s="344" t="s">
        <v>324</v>
      </c>
      <c r="B229" s="344"/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65"/>
      <c r="AB229" s="65"/>
      <c r="AC229" s="82"/>
    </row>
    <row r="230" spans="1:68" ht="14.25" customHeight="1" x14ac:dyDescent="0.25">
      <c r="A230" s="345" t="s">
        <v>325</v>
      </c>
      <c r="B230" s="345"/>
      <c r="C230" s="345"/>
      <c r="D230" s="345"/>
      <c r="E230" s="345"/>
      <c r="F230" s="345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  <c r="X230" s="345"/>
      <c r="Y230" s="345"/>
      <c r="Z230" s="345"/>
      <c r="AA230" s="66"/>
      <c r="AB230" s="66"/>
      <c r="AC230" s="83"/>
    </row>
    <row r="231" spans="1:68" ht="27" customHeight="1" x14ac:dyDescent="0.25">
      <c r="A231" s="63" t="s">
        <v>326</v>
      </c>
      <c r="B231" s="63" t="s">
        <v>327</v>
      </c>
      <c r="C231" s="36">
        <v>4301133004</v>
      </c>
      <c r="D231" s="346">
        <v>4607111039774</v>
      </c>
      <c r="E231" s="346"/>
      <c r="F231" s="62">
        <v>0.25</v>
      </c>
      <c r="G231" s="37">
        <v>12</v>
      </c>
      <c r="H231" s="62">
        <v>3</v>
      </c>
      <c r="I231" s="62">
        <v>3.22</v>
      </c>
      <c r="J231" s="37">
        <v>70</v>
      </c>
      <c r="K231" s="37" t="s">
        <v>109</v>
      </c>
      <c r="L231" s="37" t="s">
        <v>85</v>
      </c>
      <c r="M231" s="38" t="s">
        <v>83</v>
      </c>
      <c r="N231" s="38"/>
      <c r="O231" s="37">
        <v>180</v>
      </c>
      <c r="P231" s="4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1" s="348"/>
      <c r="R231" s="348"/>
      <c r="S231" s="348"/>
      <c r="T231" s="349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37" t="s">
        <v>328</v>
      </c>
      <c r="AG231" s="81"/>
      <c r="AJ231" s="87" t="s">
        <v>86</v>
      </c>
      <c r="AK231" s="87">
        <v>1</v>
      </c>
      <c r="BB231" s="238" t="s">
        <v>108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58"/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9"/>
      <c r="P232" s="355" t="s">
        <v>40</v>
      </c>
      <c r="Q232" s="356"/>
      <c r="R232" s="356"/>
      <c r="S232" s="356"/>
      <c r="T232" s="356"/>
      <c r="U232" s="356"/>
      <c r="V232" s="35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9"/>
      <c r="P233" s="355" t="s">
        <v>40</v>
      </c>
      <c r="Q233" s="356"/>
      <c r="R233" s="356"/>
      <c r="S233" s="356"/>
      <c r="T233" s="356"/>
      <c r="U233" s="356"/>
      <c r="V233" s="35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14.25" customHeight="1" x14ac:dyDescent="0.25">
      <c r="A234" s="345" t="s">
        <v>148</v>
      </c>
      <c r="B234" s="345"/>
      <c r="C234" s="345"/>
      <c r="D234" s="345"/>
      <c r="E234" s="345"/>
      <c r="F234" s="345"/>
      <c r="G234" s="345"/>
      <c r="H234" s="345"/>
      <c r="I234" s="345"/>
      <c r="J234" s="345"/>
      <c r="K234" s="345"/>
      <c r="L234" s="345"/>
      <c r="M234" s="345"/>
      <c r="N234" s="345"/>
      <c r="O234" s="345"/>
      <c r="P234" s="345"/>
      <c r="Q234" s="345"/>
      <c r="R234" s="345"/>
      <c r="S234" s="345"/>
      <c r="T234" s="345"/>
      <c r="U234" s="345"/>
      <c r="V234" s="345"/>
      <c r="W234" s="345"/>
      <c r="X234" s="345"/>
      <c r="Y234" s="345"/>
      <c r="Z234" s="345"/>
      <c r="AA234" s="66"/>
      <c r="AB234" s="66"/>
      <c r="AC234" s="83"/>
    </row>
    <row r="235" spans="1:68" ht="37.5" customHeight="1" x14ac:dyDescent="0.25">
      <c r="A235" s="63" t="s">
        <v>329</v>
      </c>
      <c r="B235" s="63" t="s">
        <v>330</v>
      </c>
      <c r="C235" s="36">
        <v>4301135400</v>
      </c>
      <c r="D235" s="346">
        <v>4607111039361</v>
      </c>
      <c r="E235" s="346"/>
      <c r="F235" s="62">
        <v>0.25</v>
      </c>
      <c r="G235" s="37">
        <v>12</v>
      </c>
      <c r="H235" s="62">
        <v>3</v>
      </c>
      <c r="I235" s="62">
        <v>3.7035999999999998</v>
      </c>
      <c r="J235" s="37">
        <v>70</v>
      </c>
      <c r="K235" s="37" t="s">
        <v>109</v>
      </c>
      <c r="L235" s="37" t="s">
        <v>85</v>
      </c>
      <c r="M235" s="38" t="s">
        <v>83</v>
      </c>
      <c r="N235" s="38"/>
      <c r="O235" s="37">
        <v>180</v>
      </c>
      <c r="P235" s="4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5" s="348"/>
      <c r="R235" s="348"/>
      <c r="S235" s="348"/>
      <c r="T235" s="349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9" t="s">
        <v>328</v>
      </c>
      <c r="AG235" s="81"/>
      <c r="AJ235" s="87" t="s">
        <v>86</v>
      </c>
      <c r="AK235" s="87">
        <v>1</v>
      </c>
      <c r="BB235" s="240" t="s">
        <v>108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8"/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9"/>
      <c r="P236" s="355" t="s">
        <v>40</v>
      </c>
      <c r="Q236" s="356"/>
      <c r="R236" s="356"/>
      <c r="S236" s="356"/>
      <c r="T236" s="356"/>
      <c r="U236" s="356"/>
      <c r="V236" s="357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9"/>
      <c r="P237" s="355" t="s">
        <v>40</v>
      </c>
      <c r="Q237" s="356"/>
      <c r="R237" s="356"/>
      <c r="S237" s="356"/>
      <c r="T237" s="356"/>
      <c r="U237" s="356"/>
      <c r="V237" s="357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27.75" customHeight="1" x14ac:dyDescent="0.2">
      <c r="A238" s="343" t="s">
        <v>331</v>
      </c>
      <c r="B238" s="343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3"/>
      <c r="W238" s="343"/>
      <c r="X238" s="343"/>
      <c r="Y238" s="343"/>
      <c r="Z238" s="343"/>
      <c r="AA238" s="54"/>
      <c r="AB238" s="54"/>
      <c r="AC238" s="54"/>
    </row>
    <row r="239" spans="1:68" ht="16.5" customHeight="1" x14ac:dyDescent="0.25">
      <c r="A239" s="344" t="s">
        <v>331</v>
      </c>
      <c r="B239" s="344"/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65"/>
      <c r="AB239" s="65"/>
      <c r="AC239" s="82"/>
    </row>
    <row r="240" spans="1:68" ht="14.25" customHeight="1" x14ac:dyDescent="0.25">
      <c r="A240" s="345" t="s">
        <v>79</v>
      </c>
      <c r="B240" s="345"/>
      <c r="C240" s="345"/>
      <c r="D240" s="345"/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  <c r="X240" s="345"/>
      <c r="Y240" s="345"/>
      <c r="Z240" s="345"/>
      <c r="AA240" s="66"/>
      <c r="AB240" s="66"/>
      <c r="AC240" s="83"/>
    </row>
    <row r="241" spans="1:68" ht="27" customHeight="1" x14ac:dyDescent="0.25">
      <c r="A241" s="63" t="s">
        <v>332</v>
      </c>
      <c r="B241" s="63" t="s">
        <v>333</v>
      </c>
      <c r="C241" s="36">
        <v>4301071014</v>
      </c>
      <c r="D241" s="346">
        <v>4640242181264</v>
      </c>
      <c r="E241" s="346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84</v>
      </c>
      <c r="L241" s="37" t="s">
        <v>85</v>
      </c>
      <c r="M241" s="38" t="s">
        <v>83</v>
      </c>
      <c r="N241" s="38"/>
      <c r="O241" s="37">
        <v>180</v>
      </c>
      <c r="P241" s="43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1" s="348"/>
      <c r="R241" s="348"/>
      <c r="S241" s="348"/>
      <c r="T241" s="349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1" t="s">
        <v>334</v>
      </c>
      <c r="AG241" s="81"/>
      <c r="AJ241" s="87" t="s">
        <v>86</v>
      </c>
      <c r="AK241" s="87">
        <v>1</v>
      </c>
      <c r="BB241" s="24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27" customHeight="1" x14ac:dyDescent="0.25">
      <c r="A242" s="63" t="s">
        <v>335</v>
      </c>
      <c r="B242" s="63" t="s">
        <v>336</v>
      </c>
      <c r="C242" s="36">
        <v>4301071021</v>
      </c>
      <c r="D242" s="346">
        <v>4640242181325</v>
      </c>
      <c r="E242" s="346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84</v>
      </c>
      <c r="L242" s="37" t="s">
        <v>85</v>
      </c>
      <c r="M242" s="38" t="s">
        <v>83</v>
      </c>
      <c r="N242" s="38"/>
      <c r="O242" s="37">
        <v>180</v>
      </c>
      <c r="P242" s="43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2" s="348"/>
      <c r="R242" s="348"/>
      <c r="S242" s="348"/>
      <c r="T242" s="34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334</v>
      </c>
      <c r="AG242" s="81"/>
      <c r="AJ242" s="87" t="s">
        <v>86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58"/>
      <c r="B243" s="358"/>
      <c r="C243" s="358"/>
      <c r="D243" s="358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9"/>
      <c r="P243" s="355" t="s">
        <v>40</v>
      </c>
      <c r="Q243" s="356"/>
      <c r="R243" s="356"/>
      <c r="S243" s="356"/>
      <c r="T243" s="356"/>
      <c r="U243" s="356"/>
      <c r="V243" s="357"/>
      <c r="W243" s="42" t="s">
        <v>39</v>
      </c>
      <c r="X243" s="43">
        <f>IFERROR(SUM(X241:X242),"0")</f>
        <v>0</v>
      </c>
      <c r="Y243" s="43">
        <f>IFERROR(SUM(Y241:Y242),"0")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9"/>
      <c r="P244" s="355" t="s">
        <v>40</v>
      </c>
      <c r="Q244" s="356"/>
      <c r="R244" s="356"/>
      <c r="S244" s="356"/>
      <c r="T244" s="356"/>
      <c r="U244" s="356"/>
      <c r="V244" s="357"/>
      <c r="W244" s="42" t="s">
        <v>0</v>
      </c>
      <c r="X244" s="43">
        <f>IFERROR(SUMPRODUCT(X241:X242*H241:H242),"0")</f>
        <v>0</v>
      </c>
      <c r="Y244" s="43">
        <f>IFERROR(SUMPRODUCT(Y241:Y242*H241:H242),"0")</f>
        <v>0</v>
      </c>
      <c r="Z244" s="42"/>
      <c r="AA244" s="67"/>
      <c r="AB244" s="67"/>
      <c r="AC244" s="67"/>
    </row>
    <row r="245" spans="1:68" ht="14.25" customHeight="1" x14ac:dyDescent="0.25">
      <c r="A245" s="345" t="s">
        <v>104</v>
      </c>
      <c r="B245" s="345"/>
      <c r="C245" s="345"/>
      <c r="D245" s="345"/>
      <c r="E245" s="345"/>
      <c r="F245" s="345"/>
      <c r="G245" s="345"/>
      <c r="H245" s="345"/>
      <c r="I245" s="345"/>
      <c r="J245" s="345"/>
      <c r="K245" s="345"/>
      <c r="L245" s="345"/>
      <c r="M245" s="345"/>
      <c r="N245" s="345"/>
      <c r="O245" s="345"/>
      <c r="P245" s="345"/>
      <c r="Q245" s="345"/>
      <c r="R245" s="345"/>
      <c r="S245" s="345"/>
      <c r="T245" s="345"/>
      <c r="U245" s="345"/>
      <c r="V245" s="345"/>
      <c r="W245" s="345"/>
      <c r="X245" s="345"/>
      <c r="Y245" s="345"/>
      <c r="Z245" s="345"/>
      <c r="AA245" s="66"/>
      <c r="AB245" s="66"/>
      <c r="AC245" s="83"/>
    </row>
    <row r="246" spans="1:68" ht="27" customHeight="1" x14ac:dyDescent="0.25">
      <c r="A246" s="63" t="s">
        <v>337</v>
      </c>
      <c r="B246" s="63" t="s">
        <v>338</v>
      </c>
      <c r="C246" s="36">
        <v>4301132080</v>
      </c>
      <c r="D246" s="346">
        <v>4640242180397</v>
      </c>
      <c r="E246" s="346"/>
      <c r="F246" s="62">
        <v>1</v>
      </c>
      <c r="G246" s="37">
        <v>6</v>
      </c>
      <c r="H246" s="62">
        <v>6</v>
      </c>
      <c r="I246" s="62">
        <v>6.26</v>
      </c>
      <c r="J246" s="37">
        <v>84</v>
      </c>
      <c r="K246" s="37" t="s">
        <v>84</v>
      </c>
      <c r="L246" s="37" t="s">
        <v>110</v>
      </c>
      <c r="M246" s="38" t="s">
        <v>83</v>
      </c>
      <c r="N246" s="38"/>
      <c r="O246" s="37">
        <v>180</v>
      </c>
      <c r="P246" s="43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6" s="348"/>
      <c r="R246" s="348"/>
      <c r="S246" s="348"/>
      <c r="T246" s="349"/>
      <c r="U246" s="39" t="s">
        <v>46</v>
      </c>
      <c r="V246" s="39" t="s">
        <v>46</v>
      </c>
      <c r="W246" s="40" t="s">
        <v>39</v>
      </c>
      <c r="X246" s="58">
        <v>168</v>
      </c>
      <c r="Y246" s="55">
        <f>IFERROR(IF(X246="","",X246),"")</f>
        <v>168</v>
      </c>
      <c r="Z246" s="41">
        <f>IFERROR(IF(X246="","",X246*0.0155),"")</f>
        <v>2.6040000000000001</v>
      </c>
      <c r="AA246" s="68" t="s">
        <v>46</v>
      </c>
      <c r="AB246" s="69" t="s">
        <v>46</v>
      </c>
      <c r="AC246" s="245" t="s">
        <v>339</v>
      </c>
      <c r="AG246" s="81"/>
      <c r="AJ246" s="87" t="s">
        <v>111</v>
      </c>
      <c r="AK246" s="87">
        <v>12</v>
      </c>
      <c r="BB246" s="246" t="s">
        <v>108</v>
      </c>
      <c r="BM246" s="81">
        <f>IFERROR(X246*I246,"0")</f>
        <v>1051.68</v>
      </c>
      <c r="BN246" s="81">
        <f>IFERROR(Y246*I246,"0")</f>
        <v>1051.68</v>
      </c>
      <c r="BO246" s="81">
        <f>IFERROR(X246/J246,"0")</f>
        <v>2</v>
      </c>
      <c r="BP246" s="81">
        <f>IFERROR(Y246/J246,"0")</f>
        <v>2</v>
      </c>
    </row>
    <row r="247" spans="1:68" ht="27" customHeight="1" x14ac:dyDescent="0.25">
      <c r="A247" s="63" t="s">
        <v>340</v>
      </c>
      <c r="B247" s="63" t="s">
        <v>341</v>
      </c>
      <c r="C247" s="36">
        <v>4301132104</v>
      </c>
      <c r="D247" s="346">
        <v>4640242181219</v>
      </c>
      <c r="E247" s="346"/>
      <c r="F247" s="62">
        <v>0.3</v>
      </c>
      <c r="G247" s="37">
        <v>9</v>
      </c>
      <c r="H247" s="62">
        <v>2.7</v>
      </c>
      <c r="I247" s="62">
        <v>2.8450000000000002</v>
      </c>
      <c r="J247" s="37">
        <v>234</v>
      </c>
      <c r="K247" s="37" t="s">
        <v>160</v>
      </c>
      <c r="L247" s="37" t="s">
        <v>85</v>
      </c>
      <c r="M247" s="38" t="s">
        <v>83</v>
      </c>
      <c r="N247" s="38"/>
      <c r="O247" s="37">
        <v>180</v>
      </c>
      <c r="P247" s="433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7" s="348"/>
      <c r="R247" s="348"/>
      <c r="S247" s="348"/>
      <c r="T247" s="34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IFERROR(IF(X247="","",X247*0.00502),"")</f>
        <v>0</v>
      </c>
      <c r="AA247" s="68" t="s">
        <v>46</v>
      </c>
      <c r="AB247" s="69" t="s">
        <v>46</v>
      </c>
      <c r="AC247" s="247" t="s">
        <v>339</v>
      </c>
      <c r="AG247" s="81"/>
      <c r="AJ247" s="87" t="s">
        <v>86</v>
      </c>
      <c r="AK247" s="87">
        <v>1</v>
      </c>
      <c r="BB247" s="248" t="s">
        <v>108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9"/>
      <c r="P248" s="355" t="s">
        <v>40</v>
      </c>
      <c r="Q248" s="356"/>
      <c r="R248" s="356"/>
      <c r="S248" s="356"/>
      <c r="T248" s="356"/>
      <c r="U248" s="356"/>
      <c r="V248" s="357"/>
      <c r="W248" s="42" t="s">
        <v>39</v>
      </c>
      <c r="X248" s="43">
        <f>IFERROR(SUM(X246:X247),"0")</f>
        <v>168</v>
      </c>
      <c r="Y248" s="43">
        <f>IFERROR(SUM(Y246:Y247),"0")</f>
        <v>168</v>
      </c>
      <c r="Z248" s="43">
        <f>IFERROR(IF(Z246="",0,Z246),"0")+IFERROR(IF(Z247="",0,Z247),"0")</f>
        <v>2.6040000000000001</v>
      </c>
      <c r="AA248" s="67"/>
      <c r="AB248" s="67"/>
      <c r="AC248" s="67"/>
    </row>
    <row r="249" spans="1:68" x14ac:dyDescent="0.2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9"/>
      <c r="P249" s="355" t="s">
        <v>40</v>
      </c>
      <c r="Q249" s="356"/>
      <c r="R249" s="356"/>
      <c r="S249" s="356"/>
      <c r="T249" s="356"/>
      <c r="U249" s="356"/>
      <c r="V249" s="357"/>
      <c r="W249" s="42" t="s">
        <v>0</v>
      </c>
      <c r="X249" s="43">
        <f>IFERROR(SUMPRODUCT(X246:X247*H246:H247),"0")</f>
        <v>1008</v>
      </c>
      <c r="Y249" s="43">
        <f>IFERROR(SUMPRODUCT(Y246:Y247*H246:H247),"0")</f>
        <v>1008</v>
      </c>
      <c r="Z249" s="42"/>
      <c r="AA249" s="67"/>
      <c r="AB249" s="67"/>
      <c r="AC249" s="67"/>
    </row>
    <row r="250" spans="1:68" ht="14.25" customHeight="1" x14ac:dyDescent="0.25">
      <c r="A250" s="345" t="s">
        <v>142</v>
      </c>
      <c r="B250" s="345"/>
      <c r="C250" s="345"/>
      <c r="D250" s="345"/>
      <c r="E250" s="345"/>
      <c r="F250" s="345"/>
      <c r="G250" s="345"/>
      <c r="H250" s="345"/>
      <c r="I250" s="345"/>
      <c r="J250" s="345"/>
      <c r="K250" s="345"/>
      <c r="L250" s="345"/>
      <c r="M250" s="345"/>
      <c r="N250" s="345"/>
      <c r="O250" s="345"/>
      <c r="P250" s="345"/>
      <c r="Q250" s="345"/>
      <c r="R250" s="345"/>
      <c r="S250" s="345"/>
      <c r="T250" s="345"/>
      <c r="U250" s="345"/>
      <c r="V250" s="345"/>
      <c r="W250" s="345"/>
      <c r="X250" s="345"/>
      <c r="Y250" s="345"/>
      <c r="Z250" s="345"/>
      <c r="AA250" s="66"/>
      <c r="AB250" s="66"/>
      <c r="AC250" s="83"/>
    </row>
    <row r="251" spans="1:68" ht="27" customHeight="1" x14ac:dyDescent="0.25">
      <c r="A251" s="63" t="s">
        <v>342</v>
      </c>
      <c r="B251" s="63" t="s">
        <v>343</v>
      </c>
      <c r="C251" s="36">
        <v>4301136051</v>
      </c>
      <c r="D251" s="346">
        <v>4640242180304</v>
      </c>
      <c r="E251" s="346"/>
      <c r="F251" s="62">
        <v>2.7</v>
      </c>
      <c r="G251" s="37">
        <v>1</v>
      </c>
      <c r="H251" s="62">
        <v>2.7</v>
      </c>
      <c r="I251" s="62">
        <v>2.8906000000000001</v>
      </c>
      <c r="J251" s="37">
        <v>126</v>
      </c>
      <c r="K251" s="37" t="s">
        <v>109</v>
      </c>
      <c r="L251" s="37" t="s">
        <v>85</v>
      </c>
      <c r="M251" s="38" t="s">
        <v>83</v>
      </c>
      <c r="N251" s="38"/>
      <c r="O251" s="37">
        <v>180</v>
      </c>
      <c r="P251" s="43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1" s="348"/>
      <c r="R251" s="348"/>
      <c r="S251" s="348"/>
      <c r="T251" s="349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49" t="s">
        <v>344</v>
      </c>
      <c r="AG251" s="81"/>
      <c r="AJ251" s="87" t="s">
        <v>86</v>
      </c>
      <c r="AK251" s="87">
        <v>1</v>
      </c>
      <c r="BB251" s="250" t="s">
        <v>108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345</v>
      </c>
      <c r="B252" s="63" t="s">
        <v>346</v>
      </c>
      <c r="C252" s="36">
        <v>4301136053</v>
      </c>
      <c r="D252" s="346">
        <v>4640242180236</v>
      </c>
      <c r="E252" s="346"/>
      <c r="F252" s="62">
        <v>5</v>
      </c>
      <c r="G252" s="37">
        <v>1</v>
      </c>
      <c r="H252" s="62">
        <v>5</v>
      </c>
      <c r="I252" s="62">
        <v>5.2350000000000003</v>
      </c>
      <c r="J252" s="37">
        <v>84</v>
      </c>
      <c r="K252" s="37" t="s">
        <v>84</v>
      </c>
      <c r="L252" s="37" t="s">
        <v>110</v>
      </c>
      <c r="M252" s="38" t="s">
        <v>83</v>
      </c>
      <c r="N252" s="38"/>
      <c r="O252" s="37">
        <v>180</v>
      </c>
      <c r="P252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2" s="348"/>
      <c r="R252" s="348"/>
      <c r="S252" s="348"/>
      <c r="T252" s="349"/>
      <c r="U252" s="39" t="s">
        <v>46</v>
      </c>
      <c r="V252" s="39" t="s">
        <v>46</v>
      </c>
      <c r="W252" s="40" t="s">
        <v>39</v>
      </c>
      <c r="X252" s="58">
        <v>336</v>
      </c>
      <c r="Y252" s="55">
        <f>IFERROR(IF(X252="","",X252),"")</f>
        <v>336</v>
      </c>
      <c r="Z252" s="41">
        <f>IFERROR(IF(X252="","",X252*0.0155),"")</f>
        <v>5.2080000000000002</v>
      </c>
      <c r="AA252" s="68" t="s">
        <v>46</v>
      </c>
      <c r="AB252" s="69" t="s">
        <v>46</v>
      </c>
      <c r="AC252" s="251" t="s">
        <v>344</v>
      </c>
      <c r="AG252" s="81"/>
      <c r="AJ252" s="87" t="s">
        <v>111</v>
      </c>
      <c r="AK252" s="87">
        <v>12</v>
      </c>
      <c r="BB252" s="252" t="s">
        <v>108</v>
      </c>
      <c r="BM252" s="81">
        <f>IFERROR(X252*I252,"0")</f>
        <v>1758.96</v>
      </c>
      <c r="BN252" s="81">
        <f>IFERROR(Y252*I252,"0")</f>
        <v>1758.96</v>
      </c>
      <c r="BO252" s="81">
        <f>IFERROR(X252/J252,"0")</f>
        <v>4</v>
      </c>
      <c r="BP252" s="81">
        <f>IFERROR(Y252/J252,"0")</f>
        <v>4</v>
      </c>
    </row>
    <row r="253" spans="1:68" ht="27" customHeight="1" x14ac:dyDescent="0.25">
      <c r="A253" s="63" t="s">
        <v>347</v>
      </c>
      <c r="B253" s="63" t="s">
        <v>348</v>
      </c>
      <c r="C253" s="36">
        <v>4301136052</v>
      </c>
      <c r="D253" s="346">
        <v>4640242180410</v>
      </c>
      <c r="E253" s="346"/>
      <c r="F253" s="62">
        <v>2.2400000000000002</v>
      </c>
      <c r="G253" s="37">
        <v>1</v>
      </c>
      <c r="H253" s="62">
        <v>2.2400000000000002</v>
      </c>
      <c r="I253" s="62">
        <v>2.4319999999999999</v>
      </c>
      <c r="J253" s="37">
        <v>126</v>
      </c>
      <c r="K253" s="37" t="s">
        <v>109</v>
      </c>
      <c r="L253" s="37" t="s">
        <v>85</v>
      </c>
      <c r="M253" s="38" t="s">
        <v>83</v>
      </c>
      <c r="N253" s="38"/>
      <c r="O253" s="37">
        <v>180</v>
      </c>
      <c r="P253" s="43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3" s="348"/>
      <c r="R253" s="348"/>
      <c r="S253" s="348"/>
      <c r="T253" s="34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344</v>
      </c>
      <c r="AG253" s="81"/>
      <c r="AJ253" s="87" t="s">
        <v>86</v>
      </c>
      <c r="AK253" s="87">
        <v>1</v>
      </c>
      <c r="BB253" s="254" t="s">
        <v>108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9"/>
      <c r="P254" s="355" t="s">
        <v>40</v>
      </c>
      <c r="Q254" s="356"/>
      <c r="R254" s="356"/>
      <c r="S254" s="356"/>
      <c r="T254" s="356"/>
      <c r="U254" s="356"/>
      <c r="V254" s="357"/>
      <c r="W254" s="42" t="s">
        <v>39</v>
      </c>
      <c r="X254" s="43">
        <f>IFERROR(SUM(X251:X253),"0")</f>
        <v>336</v>
      </c>
      <c r="Y254" s="43">
        <f>IFERROR(SUM(Y251:Y253),"0")</f>
        <v>336</v>
      </c>
      <c r="Z254" s="43">
        <f>IFERROR(IF(Z251="",0,Z251),"0")+IFERROR(IF(Z252="",0,Z252),"0")+IFERROR(IF(Z253="",0,Z253),"0")</f>
        <v>5.2080000000000002</v>
      </c>
      <c r="AA254" s="67"/>
      <c r="AB254" s="67"/>
      <c r="AC254" s="67"/>
    </row>
    <row r="255" spans="1:68" x14ac:dyDescent="0.2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9"/>
      <c r="P255" s="355" t="s">
        <v>40</v>
      </c>
      <c r="Q255" s="356"/>
      <c r="R255" s="356"/>
      <c r="S255" s="356"/>
      <c r="T255" s="356"/>
      <c r="U255" s="356"/>
      <c r="V255" s="357"/>
      <c r="W255" s="42" t="s">
        <v>0</v>
      </c>
      <c r="X255" s="43">
        <f>IFERROR(SUMPRODUCT(X251:X253*H251:H253),"0")</f>
        <v>1680</v>
      </c>
      <c r="Y255" s="43">
        <f>IFERROR(SUMPRODUCT(Y251:Y253*H251:H253),"0")</f>
        <v>1680</v>
      </c>
      <c r="Z255" s="42"/>
      <c r="AA255" s="67"/>
      <c r="AB255" s="67"/>
      <c r="AC255" s="67"/>
    </row>
    <row r="256" spans="1:68" ht="14.25" customHeight="1" x14ac:dyDescent="0.25">
      <c r="A256" s="345" t="s">
        <v>148</v>
      </c>
      <c r="B256" s="345"/>
      <c r="C256" s="345"/>
      <c r="D256" s="345"/>
      <c r="E256" s="345"/>
      <c r="F256" s="345"/>
      <c r="G256" s="345"/>
      <c r="H256" s="345"/>
      <c r="I256" s="345"/>
      <c r="J256" s="345"/>
      <c r="K256" s="345"/>
      <c r="L256" s="345"/>
      <c r="M256" s="345"/>
      <c r="N256" s="345"/>
      <c r="O256" s="345"/>
      <c r="P256" s="345"/>
      <c r="Q256" s="345"/>
      <c r="R256" s="345"/>
      <c r="S256" s="345"/>
      <c r="T256" s="345"/>
      <c r="U256" s="345"/>
      <c r="V256" s="345"/>
      <c r="W256" s="345"/>
      <c r="X256" s="345"/>
      <c r="Y256" s="345"/>
      <c r="Z256" s="345"/>
      <c r="AA256" s="66"/>
      <c r="AB256" s="66"/>
      <c r="AC256" s="83"/>
    </row>
    <row r="257" spans="1:68" ht="37.5" customHeight="1" x14ac:dyDescent="0.25">
      <c r="A257" s="63" t="s">
        <v>349</v>
      </c>
      <c r="B257" s="63" t="s">
        <v>350</v>
      </c>
      <c r="C257" s="36">
        <v>4301135504</v>
      </c>
      <c r="D257" s="346">
        <v>4640242181554</v>
      </c>
      <c r="E257" s="346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109</v>
      </c>
      <c r="L257" s="37" t="s">
        <v>85</v>
      </c>
      <c r="M257" s="38" t="s">
        <v>83</v>
      </c>
      <c r="N257" s="38"/>
      <c r="O257" s="37">
        <v>180</v>
      </c>
      <c r="P257" s="4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7" s="348"/>
      <c r="R257" s="348"/>
      <c r="S257" s="348"/>
      <c r="T257" s="349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ref="Y257:Y266" si="18"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351</v>
      </c>
      <c r="AG257" s="81"/>
      <c r="AJ257" s="87" t="s">
        <v>86</v>
      </c>
      <c r="AK257" s="87">
        <v>1</v>
      </c>
      <c r="BB257" s="256" t="s">
        <v>108</v>
      </c>
      <c r="BM257" s="81">
        <f t="shared" ref="BM257:BM266" si="19">IFERROR(X257*I257,"0")</f>
        <v>0</v>
      </c>
      <c r="BN257" s="81">
        <f t="shared" ref="BN257:BN266" si="20">IFERROR(Y257*I257,"0")</f>
        <v>0</v>
      </c>
      <c r="BO257" s="81">
        <f t="shared" ref="BO257:BO266" si="21">IFERROR(X257/J257,"0")</f>
        <v>0</v>
      </c>
      <c r="BP257" s="81">
        <f t="shared" ref="BP257:BP266" si="22">IFERROR(Y257/J257,"0")</f>
        <v>0</v>
      </c>
    </row>
    <row r="258" spans="1:68" ht="27" customHeight="1" x14ac:dyDescent="0.25">
      <c r="A258" s="63" t="s">
        <v>352</v>
      </c>
      <c r="B258" s="63" t="s">
        <v>353</v>
      </c>
      <c r="C258" s="36">
        <v>4301135518</v>
      </c>
      <c r="D258" s="346">
        <v>4640242181561</v>
      </c>
      <c r="E258" s="346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109</v>
      </c>
      <c r="L258" s="37" t="s">
        <v>355</v>
      </c>
      <c r="M258" s="38" t="s">
        <v>83</v>
      </c>
      <c r="N258" s="38"/>
      <c r="O258" s="37">
        <v>180</v>
      </c>
      <c r="P258" s="43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8" s="348"/>
      <c r="R258" s="348"/>
      <c r="S258" s="348"/>
      <c r="T258" s="349"/>
      <c r="U258" s="39" t="s">
        <v>46</v>
      </c>
      <c r="V258" s="39" t="s">
        <v>46</v>
      </c>
      <c r="W258" s="40" t="s">
        <v>39</v>
      </c>
      <c r="X258" s="58">
        <v>378</v>
      </c>
      <c r="Y258" s="55">
        <f t="shared" si="18"/>
        <v>378</v>
      </c>
      <c r="Z258" s="41">
        <f>IFERROR(IF(X258="","",X258*0.00936),"")</f>
        <v>3.5380799999999999</v>
      </c>
      <c r="AA258" s="68" t="s">
        <v>46</v>
      </c>
      <c r="AB258" s="69" t="s">
        <v>46</v>
      </c>
      <c r="AC258" s="257" t="s">
        <v>354</v>
      </c>
      <c r="AG258" s="81"/>
      <c r="AJ258" s="87" t="s">
        <v>356</v>
      </c>
      <c r="AK258" s="87">
        <v>126</v>
      </c>
      <c r="BB258" s="258" t="s">
        <v>108</v>
      </c>
      <c r="BM258" s="81">
        <f t="shared" si="19"/>
        <v>1471.1759999999999</v>
      </c>
      <c r="BN258" s="81">
        <f t="shared" si="20"/>
        <v>1471.1759999999999</v>
      </c>
      <c r="BO258" s="81">
        <f t="shared" si="21"/>
        <v>3</v>
      </c>
      <c r="BP258" s="81">
        <f t="shared" si="22"/>
        <v>3</v>
      </c>
    </row>
    <row r="259" spans="1:68" ht="27" customHeight="1" x14ac:dyDescent="0.25">
      <c r="A259" s="63" t="s">
        <v>357</v>
      </c>
      <c r="B259" s="63" t="s">
        <v>358</v>
      </c>
      <c r="C259" s="36">
        <v>4301135374</v>
      </c>
      <c r="D259" s="346">
        <v>4640242181424</v>
      </c>
      <c r="E259" s="346"/>
      <c r="F259" s="62">
        <v>5.5</v>
      </c>
      <c r="G259" s="37">
        <v>1</v>
      </c>
      <c r="H259" s="62">
        <v>5.5</v>
      </c>
      <c r="I259" s="62">
        <v>5.7350000000000003</v>
      </c>
      <c r="J259" s="37">
        <v>84</v>
      </c>
      <c r="K259" s="37" t="s">
        <v>84</v>
      </c>
      <c r="L259" s="37" t="s">
        <v>110</v>
      </c>
      <c r="M259" s="38" t="s">
        <v>83</v>
      </c>
      <c r="N259" s="38"/>
      <c r="O259" s="37">
        <v>180</v>
      </c>
      <c r="P259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9" s="348"/>
      <c r="R259" s="348"/>
      <c r="S259" s="348"/>
      <c r="T259" s="349"/>
      <c r="U259" s="39" t="s">
        <v>46</v>
      </c>
      <c r="V259" s="39" t="s">
        <v>46</v>
      </c>
      <c r="W259" s="40" t="s">
        <v>39</v>
      </c>
      <c r="X259" s="58">
        <v>168</v>
      </c>
      <c r="Y259" s="55">
        <f t="shared" si="18"/>
        <v>168</v>
      </c>
      <c r="Z259" s="41">
        <f>IFERROR(IF(X259="","",X259*0.0155),"")</f>
        <v>2.6040000000000001</v>
      </c>
      <c r="AA259" s="68" t="s">
        <v>46</v>
      </c>
      <c r="AB259" s="69" t="s">
        <v>46</v>
      </c>
      <c r="AC259" s="259" t="s">
        <v>351</v>
      </c>
      <c r="AG259" s="81"/>
      <c r="AJ259" s="87" t="s">
        <v>111</v>
      </c>
      <c r="AK259" s="87">
        <v>12</v>
      </c>
      <c r="BB259" s="260" t="s">
        <v>108</v>
      </c>
      <c r="BM259" s="81">
        <f t="shared" si="19"/>
        <v>963.48</v>
      </c>
      <c r="BN259" s="81">
        <f t="shared" si="20"/>
        <v>963.48</v>
      </c>
      <c r="BO259" s="81">
        <f t="shared" si="21"/>
        <v>2</v>
      </c>
      <c r="BP259" s="81">
        <f t="shared" si="22"/>
        <v>2</v>
      </c>
    </row>
    <row r="260" spans="1:68" ht="27" customHeight="1" x14ac:dyDescent="0.25">
      <c r="A260" s="63" t="s">
        <v>359</v>
      </c>
      <c r="B260" s="63" t="s">
        <v>360</v>
      </c>
      <c r="C260" s="36">
        <v>4301135405</v>
      </c>
      <c r="D260" s="346">
        <v>4640242181523</v>
      </c>
      <c r="E260" s="346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109</v>
      </c>
      <c r="L260" s="37" t="s">
        <v>110</v>
      </c>
      <c r="M260" s="38" t="s">
        <v>83</v>
      </c>
      <c r="N260" s="38"/>
      <c r="O260" s="37">
        <v>180</v>
      </c>
      <c r="P260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0" s="348"/>
      <c r="R260" s="348"/>
      <c r="S260" s="348"/>
      <c r="T260" s="34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ref="Z260:Z265" si="23">IFERROR(IF(X260="","",X260*0.00936),"")</f>
        <v>0</v>
      </c>
      <c r="AA260" s="68" t="s">
        <v>46</v>
      </c>
      <c r="AB260" s="69" t="s">
        <v>46</v>
      </c>
      <c r="AC260" s="261" t="s">
        <v>354</v>
      </c>
      <c r="AG260" s="81"/>
      <c r="AJ260" s="87" t="s">
        <v>111</v>
      </c>
      <c r="AK260" s="87">
        <v>14</v>
      </c>
      <c r="BB260" s="262" t="s">
        <v>108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361</v>
      </c>
      <c r="B261" s="63" t="s">
        <v>362</v>
      </c>
      <c r="C261" s="36">
        <v>4301135375</v>
      </c>
      <c r="D261" s="346">
        <v>4640242181486</v>
      </c>
      <c r="E261" s="346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109</v>
      </c>
      <c r="L261" s="37" t="s">
        <v>355</v>
      </c>
      <c r="M261" s="38" t="s">
        <v>83</v>
      </c>
      <c r="N261" s="38"/>
      <c r="O261" s="37">
        <v>180</v>
      </c>
      <c r="P261" s="44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1" s="348"/>
      <c r="R261" s="348"/>
      <c r="S261" s="348"/>
      <c r="T261" s="349"/>
      <c r="U261" s="39" t="s">
        <v>46</v>
      </c>
      <c r="V261" s="39" t="s">
        <v>46</v>
      </c>
      <c r="W261" s="40" t="s">
        <v>39</v>
      </c>
      <c r="X261" s="58">
        <v>378</v>
      </c>
      <c r="Y261" s="55">
        <f t="shared" si="18"/>
        <v>378</v>
      </c>
      <c r="Z261" s="41">
        <f t="shared" si="23"/>
        <v>3.5380799999999999</v>
      </c>
      <c r="AA261" s="68" t="s">
        <v>46</v>
      </c>
      <c r="AB261" s="69" t="s">
        <v>46</v>
      </c>
      <c r="AC261" s="263" t="s">
        <v>351</v>
      </c>
      <c r="AG261" s="81"/>
      <c r="AJ261" s="87" t="s">
        <v>356</v>
      </c>
      <c r="AK261" s="87">
        <v>126</v>
      </c>
      <c r="BB261" s="264" t="s">
        <v>108</v>
      </c>
      <c r="BM261" s="81">
        <f t="shared" si="19"/>
        <v>1471.1759999999999</v>
      </c>
      <c r="BN261" s="81">
        <f t="shared" si="20"/>
        <v>1471.1759999999999</v>
      </c>
      <c r="BO261" s="81">
        <f t="shared" si="21"/>
        <v>3</v>
      </c>
      <c r="BP261" s="81">
        <f t="shared" si="22"/>
        <v>3</v>
      </c>
    </row>
    <row r="262" spans="1:68" ht="37.5" customHeight="1" x14ac:dyDescent="0.25">
      <c r="A262" s="63" t="s">
        <v>363</v>
      </c>
      <c r="B262" s="63" t="s">
        <v>364</v>
      </c>
      <c r="C262" s="36">
        <v>4301135402</v>
      </c>
      <c r="D262" s="346">
        <v>4640242181493</v>
      </c>
      <c r="E262" s="346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109</v>
      </c>
      <c r="L262" s="37" t="s">
        <v>110</v>
      </c>
      <c r="M262" s="38" t="s">
        <v>83</v>
      </c>
      <c r="N262" s="38"/>
      <c r="O262" s="37">
        <v>180</v>
      </c>
      <c r="P262" s="4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2" s="348"/>
      <c r="R262" s="348"/>
      <c r="S262" s="348"/>
      <c r="T262" s="34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351</v>
      </c>
      <c r="AG262" s="81"/>
      <c r="AJ262" s="87" t="s">
        <v>111</v>
      </c>
      <c r="AK262" s="87">
        <v>14</v>
      </c>
      <c r="BB262" s="266" t="s">
        <v>108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365</v>
      </c>
      <c r="B263" s="63" t="s">
        <v>366</v>
      </c>
      <c r="C263" s="36">
        <v>4301135403</v>
      </c>
      <c r="D263" s="346">
        <v>4640242181509</v>
      </c>
      <c r="E263" s="346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109</v>
      </c>
      <c r="L263" s="37" t="s">
        <v>85</v>
      </c>
      <c r="M263" s="38" t="s">
        <v>83</v>
      </c>
      <c r="N263" s="38"/>
      <c r="O263" s="37">
        <v>180</v>
      </c>
      <c r="P263" s="44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3" s="348"/>
      <c r="R263" s="348"/>
      <c r="S263" s="348"/>
      <c r="T263" s="34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351</v>
      </c>
      <c r="AG263" s="81"/>
      <c r="AJ263" s="87" t="s">
        <v>86</v>
      </c>
      <c r="AK263" s="87">
        <v>1</v>
      </c>
      <c r="BB263" s="268" t="s">
        <v>108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367</v>
      </c>
      <c r="B264" s="63" t="s">
        <v>368</v>
      </c>
      <c r="C264" s="36">
        <v>4301135304</v>
      </c>
      <c r="D264" s="346">
        <v>4640242181240</v>
      </c>
      <c r="E264" s="346"/>
      <c r="F264" s="62">
        <v>0.3</v>
      </c>
      <c r="G264" s="37">
        <v>9</v>
      </c>
      <c r="H264" s="62">
        <v>2.7</v>
      </c>
      <c r="I264" s="62">
        <v>2.88</v>
      </c>
      <c r="J264" s="37">
        <v>126</v>
      </c>
      <c r="K264" s="37" t="s">
        <v>109</v>
      </c>
      <c r="L264" s="37" t="s">
        <v>85</v>
      </c>
      <c r="M264" s="38" t="s">
        <v>83</v>
      </c>
      <c r="N264" s="38"/>
      <c r="O264" s="37">
        <v>180</v>
      </c>
      <c r="P264" s="44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4" s="348"/>
      <c r="R264" s="348"/>
      <c r="S264" s="348"/>
      <c r="T264" s="34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351</v>
      </c>
      <c r="AG264" s="81"/>
      <c r="AJ264" s="87" t="s">
        <v>86</v>
      </c>
      <c r="AK264" s="87">
        <v>1</v>
      </c>
      <c r="BB264" s="270" t="s">
        <v>108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369</v>
      </c>
      <c r="B265" s="63" t="s">
        <v>370</v>
      </c>
      <c r="C265" s="36">
        <v>4301135610</v>
      </c>
      <c r="D265" s="346">
        <v>4640242181318</v>
      </c>
      <c r="E265" s="346"/>
      <c r="F265" s="62">
        <v>0.3</v>
      </c>
      <c r="G265" s="37">
        <v>9</v>
      </c>
      <c r="H265" s="62">
        <v>2.7</v>
      </c>
      <c r="I265" s="62">
        <v>2.988</v>
      </c>
      <c r="J265" s="37">
        <v>126</v>
      </c>
      <c r="K265" s="37" t="s">
        <v>109</v>
      </c>
      <c r="L265" s="37" t="s">
        <v>85</v>
      </c>
      <c r="M265" s="38" t="s">
        <v>83</v>
      </c>
      <c r="N265" s="38"/>
      <c r="O265" s="37">
        <v>180</v>
      </c>
      <c r="P265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5" s="348"/>
      <c r="R265" s="348"/>
      <c r="S265" s="348"/>
      <c r="T265" s="349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354</v>
      </c>
      <c r="AG265" s="81"/>
      <c r="AJ265" s="87" t="s">
        <v>86</v>
      </c>
      <c r="AK265" s="87">
        <v>1</v>
      </c>
      <c r="BB265" s="272" t="s">
        <v>108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371</v>
      </c>
      <c r="B266" s="63" t="s">
        <v>372</v>
      </c>
      <c r="C266" s="36">
        <v>4301135306</v>
      </c>
      <c r="D266" s="346">
        <v>4640242181387</v>
      </c>
      <c r="E266" s="346"/>
      <c r="F266" s="62">
        <v>0.3</v>
      </c>
      <c r="G266" s="37">
        <v>9</v>
      </c>
      <c r="H266" s="62">
        <v>2.7</v>
      </c>
      <c r="I266" s="62">
        <v>2.8450000000000002</v>
      </c>
      <c r="J266" s="37">
        <v>234</v>
      </c>
      <c r="K266" s="37" t="s">
        <v>160</v>
      </c>
      <c r="L266" s="37" t="s">
        <v>85</v>
      </c>
      <c r="M266" s="38" t="s">
        <v>83</v>
      </c>
      <c r="N266" s="38"/>
      <c r="O266" s="37">
        <v>180</v>
      </c>
      <c r="P266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6" s="348"/>
      <c r="R266" s="348"/>
      <c r="S266" s="348"/>
      <c r="T266" s="349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>IFERROR(IF(X266="","",X266*0.00502),"")</f>
        <v>0</v>
      </c>
      <c r="AA266" s="68" t="s">
        <v>46</v>
      </c>
      <c r="AB266" s="69" t="s">
        <v>46</v>
      </c>
      <c r="AC266" s="273" t="s">
        <v>351</v>
      </c>
      <c r="AG266" s="81"/>
      <c r="AJ266" s="87" t="s">
        <v>86</v>
      </c>
      <c r="AK266" s="87">
        <v>1</v>
      </c>
      <c r="BB266" s="274" t="s">
        <v>108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x14ac:dyDescent="0.2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9"/>
      <c r="P267" s="355" t="s">
        <v>40</v>
      </c>
      <c r="Q267" s="356"/>
      <c r="R267" s="356"/>
      <c r="S267" s="356"/>
      <c r="T267" s="356"/>
      <c r="U267" s="356"/>
      <c r="V267" s="357"/>
      <c r="W267" s="42" t="s">
        <v>39</v>
      </c>
      <c r="X267" s="43">
        <f>IFERROR(SUM(X257:X266),"0")</f>
        <v>924</v>
      </c>
      <c r="Y267" s="43">
        <f>IFERROR(SUM(Y257:Y266),"0")</f>
        <v>924</v>
      </c>
      <c r="Z267" s="43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>9.6801600000000008</v>
      </c>
      <c r="AA267" s="67"/>
      <c r="AB267" s="67"/>
      <c r="AC267" s="67"/>
    </row>
    <row r="268" spans="1:68" x14ac:dyDescent="0.2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9"/>
      <c r="P268" s="355" t="s">
        <v>40</v>
      </c>
      <c r="Q268" s="356"/>
      <c r="R268" s="356"/>
      <c r="S268" s="356"/>
      <c r="T268" s="356"/>
      <c r="U268" s="356"/>
      <c r="V268" s="357"/>
      <c r="W268" s="42" t="s">
        <v>0</v>
      </c>
      <c r="X268" s="43">
        <f>IFERROR(SUMPRODUCT(X257:X266*H257:H266),"0")</f>
        <v>3721.2000000000007</v>
      </c>
      <c r="Y268" s="43">
        <f>IFERROR(SUMPRODUCT(Y257:Y266*H257:H266),"0")</f>
        <v>3721.2000000000007</v>
      </c>
      <c r="Z268" s="42"/>
      <c r="AA268" s="67"/>
      <c r="AB268" s="67"/>
      <c r="AC268" s="67"/>
    </row>
    <row r="269" spans="1:68" ht="15" customHeight="1" x14ac:dyDescent="0.2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450"/>
      <c r="P269" s="447" t="s">
        <v>33</v>
      </c>
      <c r="Q269" s="448"/>
      <c r="R269" s="448"/>
      <c r="S269" s="448"/>
      <c r="T269" s="448"/>
      <c r="U269" s="448"/>
      <c r="V269" s="449"/>
      <c r="W269" s="42" t="s">
        <v>0</v>
      </c>
      <c r="X269" s="43">
        <f>IFERROR(X29+X35+X42+X49+X57+X62+X66+X71+X77+X83+X88+X94+X104+X110+X121+X125+X129+X135+X141+X147+X152+X157+X162+X167+X174+X182+X186+X192+X200+X205+X210+X215+X221+X227+X233+X237+X244+X249+X255+X268,"0")</f>
        <v>8727.6</v>
      </c>
      <c r="Y269" s="43">
        <f>IFERROR(Y29+Y35+Y42+Y49+Y57+Y62+Y66+Y71+Y77+Y83+Y88+Y94+Y104+Y110+Y121+Y125+Y129+Y135+Y141+Y147+Y152+Y157+Y162+Y167+Y174+Y182+Y186+Y192+Y200+Y205+Y210+Y215+Y221+Y227+Y233+Y237+Y244+Y249+Y255+Y268,"0")</f>
        <v>8727.6</v>
      </c>
      <c r="Z269" s="42"/>
      <c r="AA269" s="67"/>
      <c r="AB269" s="67"/>
      <c r="AC269" s="67"/>
    </row>
    <row r="270" spans="1:68" x14ac:dyDescent="0.2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450"/>
      <c r="P270" s="447" t="s">
        <v>34</v>
      </c>
      <c r="Q270" s="448"/>
      <c r="R270" s="448"/>
      <c r="S270" s="448"/>
      <c r="T270" s="448"/>
      <c r="U270" s="448"/>
      <c r="V270" s="449"/>
      <c r="W270" s="42" t="s">
        <v>0</v>
      </c>
      <c r="X270" s="43">
        <f>IFERROR(SUM(BM22:BM266),"0")</f>
        <v>9554.5519999999997</v>
      </c>
      <c r="Y270" s="43">
        <f>IFERROR(SUM(BN22:BN266),"0")</f>
        <v>9554.5519999999997</v>
      </c>
      <c r="Z270" s="42"/>
      <c r="AA270" s="67"/>
      <c r="AB270" s="67"/>
      <c r="AC270" s="67"/>
    </row>
    <row r="271" spans="1:68" x14ac:dyDescent="0.2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450"/>
      <c r="P271" s="447" t="s">
        <v>35</v>
      </c>
      <c r="Q271" s="448"/>
      <c r="R271" s="448"/>
      <c r="S271" s="448"/>
      <c r="T271" s="448"/>
      <c r="U271" s="448"/>
      <c r="V271" s="449"/>
      <c r="W271" s="42" t="s">
        <v>20</v>
      </c>
      <c r="X271" s="44">
        <f>ROUNDUP(SUM(BO22:BO266),0)</f>
        <v>25</v>
      </c>
      <c r="Y271" s="44">
        <f>ROUNDUP(SUM(BP22:BP266),0)</f>
        <v>25</v>
      </c>
      <c r="Z271" s="42"/>
      <c r="AA271" s="67"/>
      <c r="AB271" s="67"/>
      <c r="AC271" s="67"/>
    </row>
    <row r="272" spans="1:68" x14ac:dyDescent="0.2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450"/>
      <c r="P272" s="447" t="s">
        <v>36</v>
      </c>
      <c r="Q272" s="448"/>
      <c r="R272" s="448"/>
      <c r="S272" s="448"/>
      <c r="T272" s="448"/>
      <c r="U272" s="448"/>
      <c r="V272" s="449"/>
      <c r="W272" s="42" t="s">
        <v>0</v>
      </c>
      <c r="X272" s="43">
        <f>GrossWeightTotal+PalletQtyTotal*25</f>
        <v>10179.552</v>
      </c>
      <c r="Y272" s="43">
        <f>GrossWeightTotalR+PalletQtyTotalR*25</f>
        <v>10179.552</v>
      </c>
      <c r="Z272" s="42"/>
      <c r="AA272" s="67"/>
      <c r="AB272" s="67"/>
      <c r="AC272" s="67"/>
    </row>
    <row r="273" spans="1:32" x14ac:dyDescent="0.2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450"/>
      <c r="P273" s="447" t="s">
        <v>37</v>
      </c>
      <c r="Q273" s="448"/>
      <c r="R273" s="448"/>
      <c r="S273" s="448"/>
      <c r="T273" s="448"/>
      <c r="U273" s="448"/>
      <c r="V273" s="449"/>
      <c r="W273" s="42" t="s">
        <v>20</v>
      </c>
      <c r="X273" s="43">
        <f>IFERROR(X28+X34+X41+X48+X56+X61+X65+X70+X76+X82+X87+X93+X103+X109+X120+X124+X128+X134+X140+X146+X151+X156+X161+X166+X173+X181+X185+X191+X199+X204+X209+X214+X220+X226+X232+X236+X243+X248+X254+X267,"0")</f>
        <v>2198</v>
      </c>
      <c r="Y273" s="43">
        <f>IFERROR(Y28+Y34+Y41+Y48+Y56+Y61+Y65+Y70+Y76+Y82+Y87+Y93+Y103+Y109+Y120+Y124+Y128+Y134+Y140+Y146+Y151+Y156+Y161+Y166+Y173+Y181+Y185+Y191+Y199+Y204+Y209+Y214+Y220+Y226+Y232+Y236+Y243+Y248+Y254+Y267,"0")</f>
        <v>2198</v>
      </c>
      <c r="Z273" s="42"/>
      <c r="AA273" s="67"/>
      <c r="AB273" s="67"/>
      <c r="AC273" s="67"/>
    </row>
    <row r="274" spans="1:32" ht="14.25" x14ac:dyDescent="0.2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450"/>
      <c r="P274" s="447" t="s">
        <v>38</v>
      </c>
      <c r="Q274" s="448"/>
      <c r="R274" s="448"/>
      <c r="S274" s="448"/>
      <c r="T274" s="448"/>
      <c r="U274" s="448"/>
      <c r="V274" s="449"/>
      <c r="W274" s="45" t="s">
        <v>52</v>
      </c>
      <c r="X274" s="42"/>
      <c r="Y274" s="42"/>
      <c r="Z274" s="42">
        <f>IFERROR(Z28+Z34+Z41+Z48+Z56+Z61+Z65+Z70+Z76+Z82+Z87+Z93+Z103+Z109+Z120+Z124+Z128+Z134+Z140+Z146+Z151+Z156+Z161+Z166+Z173+Z181+Z185+Z191+Z199+Z204+Z209+Z214+Z220+Z226+Z232+Z236+Z243+Z248+Z254+Z267,"0")</f>
        <v>31.25976</v>
      </c>
      <c r="AA274" s="67"/>
      <c r="AB274" s="67"/>
      <c r="AC274" s="67"/>
    </row>
    <row r="275" spans="1:32" ht="13.5" thickBot="1" x14ac:dyDescent="0.25"/>
    <row r="276" spans="1:32" ht="27" thickTop="1" thickBot="1" x14ac:dyDescent="0.25">
      <c r="A276" s="46" t="s">
        <v>9</v>
      </c>
      <c r="B276" s="453" t="s">
        <v>78</v>
      </c>
      <c r="C276" s="453" t="s">
        <v>78</v>
      </c>
      <c r="D276" s="453" t="s">
        <v>45</v>
      </c>
      <c r="E276" s="453" t="s">
        <v>45</v>
      </c>
      <c r="F276" s="453" t="s">
        <v>45</v>
      </c>
      <c r="G276" s="453" t="s">
        <v>45</v>
      </c>
      <c r="H276" s="453" t="s">
        <v>45</v>
      </c>
      <c r="I276" s="453" t="s">
        <v>45</v>
      </c>
      <c r="J276" s="453" t="s">
        <v>45</v>
      </c>
      <c r="K276" s="453" t="s">
        <v>45</v>
      </c>
      <c r="L276" s="453" t="s">
        <v>45</v>
      </c>
      <c r="M276" s="453" t="s">
        <v>45</v>
      </c>
      <c r="N276" s="454"/>
      <c r="O276" s="453" t="s">
        <v>45</v>
      </c>
      <c r="P276" s="453" t="s">
        <v>45</v>
      </c>
      <c r="Q276" s="453" t="s">
        <v>45</v>
      </c>
      <c r="R276" s="453" t="s">
        <v>45</v>
      </c>
      <c r="S276" s="453" t="s">
        <v>45</v>
      </c>
      <c r="T276" s="453" t="s">
        <v>45</v>
      </c>
      <c r="U276" s="453" t="s">
        <v>45</v>
      </c>
      <c r="V276" s="88" t="s">
        <v>255</v>
      </c>
      <c r="W276" s="88" t="s">
        <v>263</v>
      </c>
      <c r="X276" s="453" t="s">
        <v>282</v>
      </c>
      <c r="Y276" s="453" t="s">
        <v>282</v>
      </c>
      <c r="Z276" s="453" t="s">
        <v>282</v>
      </c>
      <c r="AA276" s="88" t="s">
        <v>314</v>
      </c>
      <c r="AB276" s="88" t="s">
        <v>319</v>
      </c>
      <c r="AC276" s="88" t="s">
        <v>323</v>
      </c>
      <c r="AD276" s="88" t="s">
        <v>331</v>
      </c>
      <c r="AF276" s="1"/>
    </row>
    <row r="277" spans="1:32" ht="14.25" customHeight="1" thickTop="1" x14ac:dyDescent="0.2">
      <c r="A277" s="451" t="s">
        <v>10</v>
      </c>
      <c r="B277" s="453" t="s">
        <v>78</v>
      </c>
      <c r="C277" s="453" t="s">
        <v>97</v>
      </c>
      <c r="D277" s="453" t="s">
        <v>103</v>
      </c>
      <c r="E277" s="453" t="s">
        <v>114</v>
      </c>
      <c r="F277" s="453" t="s">
        <v>124</v>
      </c>
      <c r="G277" s="453" t="s">
        <v>135</v>
      </c>
      <c r="H277" s="453" t="s">
        <v>156</v>
      </c>
      <c r="I277" s="453" t="s">
        <v>163</v>
      </c>
      <c r="J277" s="453" t="s">
        <v>167</v>
      </c>
      <c r="K277" s="453" t="s">
        <v>175</v>
      </c>
      <c r="L277" s="453" t="s">
        <v>190</v>
      </c>
      <c r="M277" s="453" t="s">
        <v>196</v>
      </c>
      <c r="N277" s="1"/>
      <c r="O277" s="453" t="s">
        <v>221</v>
      </c>
      <c r="P277" s="453" t="s">
        <v>227</v>
      </c>
      <c r="Q277" s="453" t="s">
        <v>234</v>
      </c>
      <c r="R277" s="453" t="s">
        <v>239</v>
      </c>
      <c r="S277" s="453" t="s">
        <v>243</v>
      </c>
      <c r="T277" s="453" t="s">
        <v>246</v>
      </c>
      <c r="U277" s="453" t="s">
        <v>251</v>
      </c>
      <c r="V277" s="453" t="s">
        <v>256</v>
      </c>
      <c r="W277" s="453" t="s">
        <v>264</v>
      </c>
      <c r="X277" s="453" t="s">
        <v>283</v>
      </c>
      <c r="Y277" s="453" t="s">
        <v>301</v>
      </c>
      <c r="Z277" s="453" t="s">
        <v>305</v>
      </c>
      <c r="AA277" s="453" t="s">
        <v>315</v>
      </c>
      <c r="AB277" s="453" t="s">
        <v>320</v>
      </c>
      <c r="AC277" s="453" t="s">
        <v>324</v>
      </c>
      <c r="AD277" s="453" t="s">
        <v>331</v>
      </c>
      <c r="AF277" s="1"/>
    </row>
    <row r="278" spans="1:32" ht="13.5" thickBot="1" x14ac:dyDescent="0.25">
      <c r="A278" s="452"/>
      <c r="B278" s="453"/>
      <c r="C278" s="453"/>
      <c r="D278" s="453"/>
      <c r="E278" s="453"/>
      <c r="F278" s="453"/>
      <c r="G278" s="453"/>
      <c r="H278" s="453"/>
      <c r="I278" s="453"/>
      <c r="J278" s="453"/>
      <c r="K278" s="453"/>
      <c r="L278" s="453"/>
      <c r="M278" s="453"/>
      <c r="N278" s="1"/>
      <c r="O278" s="453"/>
      <c r="P278" s="453"/>
      <c r="Q278" s="453"/>
      <c r="R278" s="453"/>
      <c r="S278" s="453"/>
      <c r="T278" s="453"/>
      <c r="U278" s="453"/>
      <c r="V278" s="453"/>
      <c r="W278" s="453"/>
      <c r="X278" s="453"/>
      <c r="Y278" s="453"/>
      <c r="Z278" s="453"/>
      <c r="AA278" s="453"/>
      <c r="AB278" s="453"/>
      <c r="AC278" s="453"/>
      <c r="AD278" s="453"/>
      <c r="AF278" s="1"/>
    </row>
    <row r="279" spans="1:32" ht="18" thickTop="1" thickBot="1" x14ac:dyDescent="0.25">
      <c r="A279" s="46" t="s">
        <v>13</v>
      </c>
      <c r="B279" s="52">
        <f>IFERROR(X22*H22,"0")+IFERROR(X23*H23,"0")+IFERROR(X24*H24,"0")+IFERROR(X25*H25,"0")+IFERROR(X26*H26,"0")+IFERROR(X27*H27,"0")</f>
        <v>0</v>
      </c>
      <c r="C279" s="52">
        <f>IFERROR(X32*H32,"0")+IFERROR(X33*H33,"0")</f>
        <v>0</v>
      </c>
      <c r="D279" s="52">
        <f>IFERROR(X39*H39,"0")+IFERROR(X40*H40,"0")</f>
        <v>0</v>
      </c>
      <c r="E279" s="52">
        <f>IFERROR(X45*H45,"0")+IFERROR(X46*H46,"0")+IFERROR(X47*H47,"0")</f>
        <v>0</v>
      </c>
      <c r="F279" s="52">
        <f>IFERROR(X52*H52,"0")+IFERROR(X53*H53,"0")+IFERROR(X54*H54,"0")+IFERROR(X55*H55,"0")</f>
        <v>0</v>
      </c>
      <c r="G279" s="52">
        <f>IFERROR(X60*H60,"0")+IFERROR(X64*H64,"0")+IFERROR(X68*H68,"0")+IFERROR(X69*H69,"0")+IFERROR(X73*H73,"0")+IFERROR(X74*H74,"0")+IFERROR(X75*H75,"0")</f>
        <v>0</v>
      </c>
      <c r="H279" s="52">
        <f>IFERROR(X80*H80,"0")+IFERROR(X81*H81,"0")</f>
        <v>0</v>
      </c>
      <c r="I279" s="52">
        <f>IFERROR(X86*H86,"0")</f>
        <v>0</v>
      </c>
      <c r="J279" s="52">
        <f>IFERROR(X91*H91,"0")+IFERROR(X92*H92,"0")</f>
        <v>252</v>
      </c>
      <c r="K279" s="52">
        <f>IFERROR(X97*H97,"0")+IFERROR(X98*H98,"0")+IFERROR(X99*H99,"0")+IFERROR(X100*H100,"0")+IFERROR(X101*H101,"0")+IFERROR(X102*H102,"0")</f>
        <v>806.4</v>
      </c>
      <c r="L279" s="52">
        <f>IFERROR(X107*H107,"0")+IFERROR(X108*H108,"0")</f>
        <v>0</v>
      </c>
      <c r="M279" s="52">
        <f>IFERROR(X113*H113,"0")+IFERROR(X114*H114,"0")+IFERROR(X115*H115,"0")+IFERROR(X116*H116,"0")+IFERROR(X117*H117,"0")+IFERROR(X118*H118,"0")+IFERROR(X119*H119,"0")+IFERROR(X123*H123,"0")+IFERROR(X127*H127,"0")</f>
        <v>0</v>
      </c>
      <c r="N279" s="1"/>
      <c r="O279" s="52">
        <f>IFERROR(X132*H132,"0")+IFERROR(X133*H133,"0")</f>
        <v>840</v>
      </c>
      <c r="P279" s="52">
        <f>IFERROR(X138*H138,"0")+IFERROR(X139*H139,"0")</f>
        <v>210</v>
      </c>
      <c r="Q279" s="52">
        <f>IFERROR(X144*H144,"0")+IFERROR(X145*H145,"0")</f>
        <v>0</v>
      </c>
      <c r="R279" s="52">
        <f>IFERROR(X150*H150,"0")</f>
        <v>0</v>
      </c>
      <c r="S279" s="52">
        <f>IFERROR(X155*H155,"0")</f>
        <v>0</v>
      </c>
      <c r="T279" s="52">
        <f>IFERROR(X160*H160,"0")</f>
        <v>0</v>
      </c>
      <c r="U279" s="52">
        <f>IFERROR(X165*H165,"0")</f>
        <v>0</v>
      </c>
      <c r="V279" s="52">
        <f>IFERROR(X171*H171,"0")+IFERROR(X172*H172,"0")</f>
        <v>0</v>
      </c>
      <c r="W279" s="52">
        <f>IFERROR(X178*H178,"0")+IFERROR(X179*H179,"0")+IFERROR(X180*H180,"0")+IFERROR(X184*H184,"0")</f>
        <v>210</v>
      </c>
      <c r="X279" s="52">
        <f>IFERROR(X190*H190,"0")+IFERROR(X194*H194,"0")+IFERROR(X195*H195,"0")+IFERROR(X196*H196,"0")+IFERROR(X197*H197,"0")+IFERROR(X198*H198,"0")</f>
        <v>0</v>
      </c>
      <c r="Y279" s="52">
        <f>IFERROR(X203*H203,"0")</f>
        <v>0</v>
      </c>
      <c r="Z279" s="52">
        <f>IFERROR(X208*H208,"0")+IFERROR(X212*H212,"0")+IFERROR(X213*H213,"0")</f>
        <v>0</v>
      </c>
      <c r="AA279" s="52">
        <f>IFERROR(X219*H219,"0")</f>
        <v>0</v>
      </c>
      <c r="AB279" s="52">
        <f>IFERROR(X225*H225,"0")</f>
        <v>0</v>
      </c>
      <c r="AC279" s="52">
        <f>IFERROR(X231*H231,"0")+IFERROR(X235*H235,"0")</f>
        <v>0</v>
      </c>
      <c r="AD279" s="52">
        <f>IFERROR(X241*H241,"0")+IFERROR(X242*H242,"0")+IFERROR(X246*H246,"0")+IFERROR(X247*H247,"0")+IFERROR(X251*H251,"0")+IFERROR(X252*H252,"0")+IFERROR(X253*H253,"0")+IFERROR(X257*H257,"0")+IFERROR(X258*H258,"0")+IFERROR(X259*H259,"0")+IFERROR(X260*H260,"0")+IFERROR(X261*H261,"0")+IFERROR(X262*H262,"0")+IFERROR(X263*H263,"0")+IFERROR(X264*H264,"0")+IFERROR(X265*H265,"0")+IFERROR(X266*H266,"0")</f>
        <v>6409.2000000000007</v>
      </c>
      <c r="AF279" s="1"/>
    </row>
    <row r="280" spans="1:32" ht="13.5" thickTop="1" x14ac:dyDescent="0.2">
      <c r="C280" s="1"/>
    </row>
    <row r="281" spans="1:32" ht="19.5" customHeight="1" x14ac:dyDescent="0.2">
      <c r="A281" s="70" t="s">
        <v>62</v>
      </c>
      <c r="B281" s="70" t="s">
        <v>63</v>
      </c>
      <c r="C281" s="70" t="s">
        <v>65</v>
      </c>
    </row>
    <row r="282" spans="1:32" x14ac:dyDescent="0.2">
      <c r="A282" s="71">
        <f>SUMPRODUCT(--(BB:BB="ЗПФ"),--(W:W="кор"),H:H,Y:Y)+SUMPRODUCT(--(BB:BB="ЗПФ"),--(W:W="кг"),Y:Y)</f>
        <v>0</v>
      </c>
      <c r="B282" s="72">
        <f>SUMPRODUCT(--(BB:BB="ПГП"),--(W:W="кор"),H:H,Y:Y)+SUMPRODUCT(--(BB:BB="ПГП"),--(W:W="кг"),Y:Y)</f>
        <v>8727.6</v>
      </c>
      <c r="C282" s="72">
        <f>SUMPRODUCT(--(BB:BB="КИЗ"),--(W:W="кор"),H:H,Y:Y)+SUMPRODUCT(--(BB:BB="КИЗ"),--(W:W="кг"),Y:Y)</f>
        <v>0</v>
      </c>
    </row>
  </sheetData>
  <sheetProtection algorithmName="SHA-512" hashValue="2cBpcKgXqJmqoZAnZT9Ro0xkzVf+PlSxoSnK3iD0mmXtkeQFpEdf2sMtAcZ5Q2uxPcT7/SVIrKNyKl+auHSE4w==" saltValue="Pi7Z7IGEWnHYi/ZKTpldP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8">
    <mergeCell ref="W277:W278"/>
    <mergeCell ref="X277:X278"/>
    <mergeCell ref="Y277:Y278"/>
    <mergeCell ref="Z277:Z278"/>
    <mergeCell ref="AA277:AA278"/>
    <mergeCell ref="AB277:AB278"/>
    <mergeCell ref="AC277:AC278"/>
    <mergeCell ref="AD277:AD278"/>
    <mergeCell ref="B276:C276"/>
    <mergeCell ref="D276:U276"/>
    <mergeCell ref="X276:Z276"/>
    <mergeCell ref="J277:J278"/>
    <mergeCell ref="K277:K278"/>
    <mergeCell ref="L277:L278"/>
    <mergeCell ref="M277:M278"/>
    <mergeCell ref="O277:O278"/>
    <mergeCell ref="P277:P278"/>
    <mergeCell ref="Q277:Q278"/>
    <mergeCell ref="R277:R278"/>
    <mergeCell ref="S277:S278"/>
    <mergeCell ref="T277:T278"/>
    <mergeCell ref="U277:U278"/>
    <mergeCell ref="V277:V278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D265:E265"/>
    <mergeCell ref="P265:T265"/>
    <mergeCell ref="D266:E266"/>
    <mergeCell ref="P266:T266"/>
    <mergeCell ref="P267:V267"/>
    <mergeCell ref="A267:O268"/>
    <mergeCell ref="P268:V268"/>
    <mergeCell ref="P269:V269"/>
    <mergeCell ref="A269:O274"/>
    <mergeCell ref="P270:V270"/>
    <mergeCell ref="P271:V271"/>
    <mergeCell ref="P272:V272"/>
    <mergeCell ref="P273:V273"/>
    <mergeCell ref="P274:V274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54:V254"/>
    <mergeCell ref="A254:O255"/>
    <mergeCell ref="P255:V255"/>
    <mergeCell ref="A256:Z256"/>
    <mergeCell ref="D257:E257"/>
    <mergeCell ref="P257:T257"/>
    <mergeCell ref="D258:E258"/>
    <mergeCell ref="P258:T258"/>
    <mergeCell ref="D259:E259"/>
    <mergeCell ref="P259:T259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35:E235"/>
    <mergeCell ref="P235:T235"/>
    <mergeCell ref="P236:V236"/>
    <mergeCell ref="A236:O237"/>
    <mergeCell ref="P237:V237"/>
    <mergeCell ref="A238:Z238"/>
    <mergeCell ref="A239:Z239"/>
    <mergeCell ref="A240:Z240"/>
    <mergeCell ref="D241:E241"/>
    <mergeCell ref="P241:T241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D213:E213"/>
    <mergeCell ref="P213:T213"/>
    <mergeCell ref="P214:V214"/>
    <mergeCell ref="A214:O215"/>
    <mergeCell ref="P215:V215"/>
    <mergeCell ref="A216:Z216"/>
    <mergeCell ref="A217:Z217"/>
    <mergeCell ref="A218:Z218"/>
    <mergeCell ref="D219:E219"/>
    <mergeCell ref="P219:T219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P199:V199"/>
    <mergeCell ref="A199:O200"/>
    <mergeCell ref="P200:V200"/>
    <mergeCell ref="A201:Z201"/>
    <mergeCell ref="A202:Z202"/>
    <mergeCell ref="D203:E203"/>
    <mergeCell ref="P203:T203"/>
    <mergeCell ref="P204:V204"/>
    <mergeCell ref="A204:O205"/>
    <mergeCell ref="P205:V205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A187:Z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3:X266 X257 X253 X251 X247 X241:X242 X235 X231 X225 X219 X212:X213 X208 X203 X194:X198 X190 X184 X171:X172 X165 X160 X155 X144:X145 X138 X127 X123 X117 X113:X114 X107:X108 X101 X99 X97 X92 X73:X75 X68:X69 X64 X60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2 X259:X260 X252 X246 X178:X180 X150 X139 X132:X133 X118:X119 X115:X116 X102 X100 X98 X91 X86 X80:X81 X52:X55 X45:X47" xr:uid="{00000000-0002-0000-0000-000012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8 X261" xr:uid="{00000000-0002-0000-0000-000013000000}">
      <formula1>IF(AK258&gt;0,OR(X258=0,AND(IF(X258-AK258&gt;=0,TRUE,FALSE),X258&gt;0,IF(X258/J258=ROUND(X258/J258,0),TRUE,FALSE))),FALSE)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373</v>
      </c>
      <c r="H1" s="9"/>
    </row>
    <row r="3" spans="2:8" x14ac:dyDescent="0.2">
      <c r="B3" s="53" t="s">
        <v>374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376</v>
      </c>
      <c r="C6" s="53" t="s">
        <v>377</v>
      </c>
      <c r="D6" s="53" t="s">
        <v>378</v>
      </c>
      <c r="E6" s="53" t="s">
        <v>46</v>
      </c>
    </row>
    <row r="7" spans="2:8" x14ac:dyDescent="0.2">
      <c r="B7" s="53" t="s">
        <v>379</v>
      </c>
      <c r="C7" s="53" t="s">
        <v>380</v>
      </c>
      <c r="D7" s="53" t="s">
        <v>381</v>
      </c>
      <c r="E7" s="53" t="s">
        <v>46</v>
      </c>
    </row>
    <row r="9" spans="2:8" x14ac:dyDescent="0.2">
      <c r="B9" s="53" t="s">
        <v>382</v>
      </c>
      <c r="C9" s="53" t="s">
        <v>377</v>
      </c>
      <c r="D9" s="53" t="s">
        <v>46</v>
      </c>
      <c r="E9" s="53" t="s">
        <v>46</v>
      </c>
    </row>
    <row r="11" spans="2:8" x14ac:dyDescent="0.2">
      <c r="B11" s="53" t="s">
        <v>383</v>
      </c>
      <c r="C11" s="53" t="s">
        <v>380</v>
      </c>
      <c r="D11" s="53" t="s">
        <v>46</v>
      </c>
      <c r="E11" s="53" t="s">
        <v>46</v>
      </c>
    </row>
    <row r="13" spans="2:8" x14ac:dyDescent="0.2">
      <c r="B13" s="53" t="s">
        <v>384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392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393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394</v>
      </c>
      <c r="C23" s="53" t="s">
        <v>46</v>
      </c>
      <c r="D23" s="53" t="s">
        <v>46</v>
      </c>
      <c r="E23" s="53" t="s">
        <v>46</v>
      </c>
    </row>
  </sheetData>
  <sheetProtection algorithmName="SHA-512" hashValue="90+LtK846yPL5ffHwDNJ4u6dKSAGyF2BZhjMOB1qhEZOfwm2zVTnuVhp+MMGg3ff1dZneLaFEKXHfuS2XKMNhQ==" saltValue="MT4A6Lyj5I5M6Uggj2+m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416</vt:i4>
      </vt:variant>
    </vt:vector>
  </HeadingPairs>
  <TitlesOfParts>
    <vt:vector size="4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