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9A891A1-468B-498D-BBCB-C2A1347B8AD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Z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Z419" i="2"/>
  <c r="Y419" i="2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BP393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Z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Y368" i="2" s="1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Z317" i="2"/>
  <c r="Y317" i="2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Y296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P222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P103" i="2"/>
  <c r="BO103" i="2"/>
  <c r="BM103" i="2"/>
  <c r="Y103" i="2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Z149" i="2" l="1"/>
  <c r="BP341" i="2"/>
  <c r="Z393" i="2"/>
  <c r="BN393" i="2"/>
  <c r="Y398" i="2"/>
  <c r="Z433" i="2"/>
  <c r="Z461" i="2"/>
  <c r="Z462" i="2" s="1"/>
  <c r="Z118" i="2"/>
  <c r="BN118" i="2"/>
  <c r="Z159" i="2"/>
  <c r="Z160" i="2" s="1"/>
  <c r="Y160" i="2"/>
  <c r="Z230" i="2"/>
  <c r="BN230" i="2"/>
  <c r="Z293" i="2"/>
  <c r="Z328" i="2"/>
  <c r="Z355" i="2"/>
  <c r="Z375" i="2"/>
  <c r="Z406" i="2"/>
  <c r="Z430" i="2"/>
  <c r="Z434" i="2"/>
  <c r="BN434" i="2"/>
  <c r="Z440" i="2"/>
  <c r="Z519" i="2"/>
  <c r="Y122" i="2"/>
  <c r="BP124" i="2"/>
  <c r="BN136" i="2"/>
  <c r="BP152" i="2"/>
  <c r="BN153" i="2"/>
  <c r="BN190" i="2"/>
  <c r="BN225" i="2"/>
  <c r="BN23" i="2"/>
  <c r="BN48" i="2"/>
  <c r="BN59" i="2"/>
  <c r="BP66" i="2"/>
  <c r="BP100" i="2"/>
  <c r="Y121" i="2"/>
  <c r="BP120" i="2"/>
  <c r="Z124" i="2"/>
  <c r="Z125" i="2" s="1"/>
  <c r="BN131" i="2"/>
  <c r="Z152" i="2"/>
  <c r="BN165" i="2"/>
  <c r="BN175" i="2"/>
  <c r="Z183" i="2"/>
  <c r="BN185" i="2"/>
  <c r="BN195" i="2"/>
  <c r="Z210" i="2"/>
  <c r="BN273" i="2"/>
  <c r="Z283" i="2"/>
  <c r="Z284" i="2"/>
  <c r="BN287" i="2"/>
  <c r="BN304" i="2"/>
  <c r="BN333" i="2"/>
  <c r="BN344" i="2"/>
  <c r="BP356" i="2"/>
  <c r="BN444" i="2"/>
  <c r="Y452" i="2"/>
  <c r="Y489" i="2"/>
  <c r="BN514" i="2"/>
  <c r="BN524" i="2"/>
  <c r="BN41" i="2"/>
  <c r="BN74" i="2"/>
  <c r="BN93" i="2"/>
  <c r="BN113" i="2"/>
  <c r="BN240" i="2"/>
  <c r="Y253" i="2"/>
  <c r="BP283" i="2"/>
  <c r="BN289" i="2"/>
  <c r="BN293" i="2"/>
  <c r="BP293" i="2"/>
  <c r="BN299" i="2"/>
  <c r="Z318" i="2"/>
  <c r="Y358" i="2"/>
  <c r="Z356" i="2"/>
  <c r="Z363" i="2"/>
  <c r="BN363" i="2"/>
  <c r="Z374" i="2"/>
  <c r="Z383" i="2"/>
  <c r="BN383" i="2"/>
  <c r="Y397" i="2"/>
  <c r="BP395" i="2"/>
  <c r="BN396" i="2"/>
  <c r="Z407" i="2"/>
  <c r="Z428" i="2"/>
  <c r="Z431" i="2"/>
  <c r="BP433" i="2"/>
  <c r="BP439" i="2"/>
  <c r="BN450" i="2"/>
  <c r="Y463" i="2"/>
  <c r="Z466" i="2"/>
  <c r="BN482" i="2"/>
  <c r="BN492" i="2"/>
  <c r="BN504" i="2"/>
  <c r="BP519" i="2"/>
  <c r="BN520" i="2"/>
  <c r="Z103" i="2"/>
  <c r="BN103" i="2"/>
  <c r="BN143" i="2"/>
  <c r="BP143" i="2"/>
  <c r="Z170" i="2"/>
  <c r="Z172" i="2" s="1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Z357" i="2" s="1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5" i="2" s="1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422" i="2" s="1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Z264" i="2" s="1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Z441" i="2"/>
  <c r="BP505" i="2"/>
  <c r="BN57" i="2"/>
  <c r="X555" i="2"/>
  <c r="Z37" i="2"/>
  <c r="F9" i="2"/>
  <c r="BN40" i="2"/>
  <c r="Z102" i="2"/>
  <c r="BP111" i="2"/>
  <c r="Z111" i="2"/>
  <c r="BN155" i="2"/>
  <c r="Z164" i="2"/>
  <c r="Z167" i="2" s="1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Z197" i="2" s="1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Z350" i="2" s="1"/>
  <c r="Y350" i="2"/>
  <c r="Y378" i="2"/>
  <c r="BN389" i="2"/>
  <c r="Z389" i="2"/>
  <c r="Z40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79" i="2"/>
  <c r="BN196" i="2"/>
  <c r="BP229" i="2"/>
  <c r="BN229" i="2"/>
  <c r="BN246" i="2"/>
  <c r="Z319" i="2"/>
  <c r="BN342" i="2"/>
  <c r="BP507" i="2"/>
  <c r="BN507" i="2"/>
  <c r="Z507" i="2"/>
  <c r="Z396" i="2"/>
  <c r="Z465" i="2"/>
  <c r="Z477" i="2"/>
  <c r="Z502" i="2"/>
  <c r="Z512" i="2"/>
  <c r="Z515" i="2" s="1"/>
  <c r="Z522" i="2"/>
  <c r="Y549" i="2"/>
  <c r="O565" i="2"/>
  <c r="Y532" i="2"/>
  <c r="Y544" i="2"/>
  <c r="Y219" i="2"/>
  <c r="Y384" i="2"/>
  <c r="Z401" i="2"/>
  <c r="Z482" i="2"/>
  <c r="Z484" i="2" s="1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Z259" i="2" s="1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447" i="2" l="1"/>
  <c r="Z384" i="2"/>
  <c r="Z548" i="2"/>
  <c r="Z320" i="2"/>
  <c r="Z132" i="2"/>
  <c r="Z290" i="2"/>
  <c r="Z367" i="2"/>
  <c r="Z88" i="2"/>
  <c r="Z114" i="2"/>
  <c r="Z377" i="2"/>
  <c r="Z329" i="2"/>
  <c r="Z468" i="2"/>
  <c r="Z24" i="2"/>
  <c r="Z95" i="2"/>
  <c r="Z435" i="2"/>
  <c r="X558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<sst xmlns="http://schemas.openxmlformats.org/spreadsheetml/2006/main" count="4244" uniqueCount="900">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</sst>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380" sqref="AA38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/>
      <c r="I5" s="1003"/>
      <c r="J5" s="1003"/>
      <c r="K5" s="1003"/>
      <c r="L5" s="1003"/>
      <c r="M5" s="1003"/>
      <c r="N5" s="72"/>
      <c r="P5" s="27" t="s">
        <v>4</v>
      </c>
      <c r="Q5" s="1005">
        <v>46247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Четверг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0.41666666666666669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2496</v>
      </c>
      <c r="Y380" s="55">
        <f>IFERROR(IF(X380="",0,CEILING((X380/$H380),1)*$H380),"")</f>
        <v>2496</v>
      </c>
      <c r="Z380" s="41">
        <f>IFERROR(IF(Y380=0,"",ROUNDUP(Y380/H380,0)*0.01898),"")</f>
        <v>6.0735999999999999</v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2652.1600000000003</v>
      </c>
      <c r="BN380" s="78">
        <f>IFERROR(Y380*I380/H380,"0")</f>
        <v>2652.1600000000003</v>
      </c>
      <c r="BO380" s="78">
        <f>IFERROR(1/J380*(X380/H380),"0")</f>
        <v>5</v>
      </c>
      <c r="BP380" s="78">
        <f>IFERROR(1/J380*(Y380/H380),"0")</f>
        <v>5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320</v>
      </c>
      <c r="Y384" s="43">
        <f>IFERROR(Y380/H380,"0")+IFERROR(Y381/H381,"0")+IFERROR(Y382/H382,"0")+IFERROR(Y383/H383,"0")</f>
        <v>320</v>
      </c>
      <c r="Z384" s="43">
        <f>IFERROR(IF(Z380="",0,Z380),"0")+IFERROR(IF(Z381="",0,Z381),"0")+IFERROR(IF(Z382="",0,Z382),"0")+IFERROR(IF(Z383="",0,Z383),"0")</f>
        <v>6.0735999999999999</v>
      </c>
      <c r="AA384" s="67"/>
      <c r="AB384" s="67"/>
      <c r="AC384" s="67"/>
    </row>
    <row r="385" spans="1:68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2496</v>
      </c>
      <c r="Y385" s="43">
        <f>IFERROR(SUM(Y380:Y383),"0")</f>
        <v>2496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hidden="1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hidden="1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0</v>
      </c>
      <c r="Y435" s="43">
        <f>IFERROR(Y427/H427,"0")+IFERROR(Y428/H428,"0")+IFERROR(Y429/H429,"0")+IFERROR(Y430/H430,"0")+IFERROR(Y431/H431,"0")+IFERROR(Y432/H432,"0")+IFERROR(Y433/H433,"0")+IFERROR(Y434/H434,"0")</f>
        <v>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</v>
      </c>
      <c r="AA435" s="67"/>
      <c r="AB435" s="67"/>
      <c r="AC435" s="67"/>
    </row>
    <row r="436" spans="1:68" hidden="1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0</v>
      </c>
      <c r="Y436" s="43">
        <f>IFERROR(SUM(Y427:Y434),"0")</f>
        <v>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hidden="1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0</v>
      </c>
      <c r="Y509" s="43">
        <f>IFERROR(Y500/H500,"0")+IFERROR(Y501/H501,"0")+IFERROR(Y502/H502,"0")+IFERROR(Y503/H503,"0")+IFERROR(Y504/H504,"0")+IFERROR(Y505/H505,"0")+IFERROR(Y506/H506,"0")+IFERROR(Y507/H507,"0")+IFERROR(Y508/H508,"0")</f>
        <v>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</v>
      </c>
      <c r="AA509" s="67"/>
      <c r="AB509" s="67"/>
      <c r="AC509" s="67"/>
    </row>
    <row r="510" spans="1:68" hidden="1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0</v>
      </c>
      <c r="Y510" s="43">
        <f>IFERROR(SUM(Y500:Y508),"0")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hidden="1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idden="1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2496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2496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2652.1600000000003</v>
      </c>
      <c r="Y556" s="43">
        <f>IFERROR(SUM(BN22:BN552),"0")</f>
        <v>2652.1600000000003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5</v>
      </c>
      <c r="Y557" s="44">
        <f>ROUNDUP(SUM(BP22:BP552),0)</f>
        <v>5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2777.1600000000003</v>
      </c>
      <c r="Y558" s="43">
        <f>GrossWeightTotalR+PalletQtyTotalR*25</f>
        <v>2777.1600000000003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320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320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6.0735999999999999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0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2496</v>
      </c>
      <c r="U565" s="52">
        <f>IFERROR(Y413*1,"0")+IFERROR(Y414*1,"0")</f>
        <v>0</v>
      </c>
      <c r="V565" s="52">
        <f>IFERROR(Y419*1,"0")+IFERROR(Y420*1,"0")+IFERROR(Y421*1,"0")</f>
        <v>0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0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0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496,00"/>
        <filter val="2 652,16"/>
        <filter val="2 777,16"/>
        <filter val="320,00"/>
        <filter val="5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2026-08-19T07:37:37Z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