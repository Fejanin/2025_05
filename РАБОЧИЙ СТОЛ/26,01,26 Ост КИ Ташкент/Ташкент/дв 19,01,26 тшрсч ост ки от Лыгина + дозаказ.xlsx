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КИ Ташкент\Ташкент\"/>
    </mc:Choice>
  </mc:AlternateContent>
  <xr:revisionPtr revIDLastSave="0" documentId="13_ncr:1_{0D24E71C-04EF-4827-BB95-202935C546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Sheet!$A$3:$AH$46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7" i="1" l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6" i="1"/>
  <c r="AI5" i="1" l="1"/>
  <c r="T5" i="1"/>
  <c r="AH45" i="1"/>
  <c r="AH28" i="1"/>
  <c r="AH12" i="1"/>
  <c r="R46" i="1"/>
  <c r="L46" i="1"/>
  <c r="R45" i="1"/>
  <c r="X45" i="1" s="1"/>
  <c r="L45" i="1"/>
  <c r="R44" i="1"/>
  <c r="L44" i="1"/>
  <c r="R43" i="1"/>
  <c r="X43" i="1" s="1"/>
  <c r="L43" i="1"/>
  <c r="R42" i="1"/>
  <c r="L42" i="1"/>
  <c r="R41" i="1"/>
  <c r="X41" i="1" s="1"/>
  <c r="L41" i="1"/>
  <c r="R40" i="1"/>
  <c r="L40" i="1"/>
  <c r="R39" i="1"/>
  <c r="X39" i="1" s="1"/>
  <c r="L39" i="1"/>
  <c r="R38" i="1"/>
  <c r="L38" i="1"/>
  <c r="R37" i="1"/>
  <c r="X37" i="1" s="1"/>
  <c r="L37" i="1"/>
  <c r="R36" i="1"/>
  <c r="L36" i="1"/>
  <c r="F36" i="1"/>
  <c r="R35" i="1"/>
  <c r="L35" i="1"/>
  <c r="R34" i="1"/>
  <c r="X34" i="1" s="1"/>
  <c r="L34" i="1"/>
  <c r="R33" i="1"/>
  <c r="AH33" i="1" s="1"/>
  <c r="L33" i="1"/>
  <c r="R32" i="1"/>
  <c r="L32" i="1"/>
  <c r="F32" i="1"/>
  <c r="X32" i="1" s="1"/>
  <c r="R31" i="1"/>
  <c r="X31" i="1" s="1"/>
  <c r="L31" i="1"/>
  <c r="R30" i="1"/>
  <c r="X30" i="1" s="1"/>
  <c r="L30" i="1"/>
  <c r="R29" i="1"/>
  <c r="L29" i="1"/>
  <c r="R28" i="1"/>
  <c r="X28" i="1" s="1"/>
  <c r="L28" i="1"/>
  <c r="F27" i="1"/>
  <c r="E27" i="1"/>
  <c r="L27" i="1" s="1"/>
  <c r="R26" i="1"/>
  <c r="W26" i="1" s="1"/>
  <c r="L26" i="1"/>
  <c r="R25" i="1"/>
  <c r="X25" i="1" s="1"/>
  <c r="L25" i="1"/>
  <c r="R24" i="1"/>
  <c r="L24" i="1"/>
  <c r="R23" i="1"/>
  <c r="X23" i="1" s="1"/>
  <c r="L23" i="1"/>
  <c r="R22" i="1"/>
  <c r="L22" i="1"/>
  <c r="R21" i="1"/>
  <c r="X21" i="1" s="1"/>
  <c r="L21" i="1"/>
  <c r="R20" i="1"/>
  <c r="L20" i="1"/>
  <c r="R19" i="1"/>
  <c r="X19" i="1" s="1"/>
  <c r="L19" i="1"/>
  <c r="R18" i="1"/>
  <c r="L18" i="1"/>
  <c r="R17" i="1"/>
  <c r="W17" i="1" s="1"/>
  <c r="L17" i="1"/>
  <c r="R16" i="1"/>
  <c r="X16" i="1" s="1"/>
  <c r="L16" i="1"/>
  <c r="R15" i="1"/>
  <c r="L15" i="1"/>
  <c r="R14" i="1"/>
  <c r="X14" i="1" s="1"/>
  <c r="L14" i="1"/>
  <c r="R13" i="1"/>
  <c r="L13" i="1"/>
  <c r="R12" i="1"/>
  <c r="X12" i="1" s="1"/>
  <c r="L12" i="1"/>
  <c r="R11" i="1"/>
  <c r="L11" i="1"/>
  <c r="R10" i="1"/>
  <c r="W10" i="1" s="1"/>
  <c r="L10" i="1"/>
  <c r="R9" i="1"/>
  <c r="X9" i="1" s="1"/>
  <c r="L9" i="1"/>
  <c r="R8" i="1"/>
  <c r="L8" i="1"/>
  <c r="R7" i="1"/>
  <c r="X7" i="1" s="1"/>
  <c r="L7" i="1"/>
  <c r="R6" i="1"/>
  <c r="L6" i="1"/>
  <c r="AF5" i="1"/>
  <c r="AE5" i="1"/>
  <c r="AD5" i="1"/>
  <c r="AC5" i="1"/>
  <c r="AB5" i="1"/>
  <c r="AA5" i="1"/>
  <c r="Z5" i="1"/>
  <c r="Y5" i="1"/>
  <c r="U5" i="1"/>
  <c r="Q5" i="1"/>
  <c r="P5" i="1"/>
  <c r="O5" i="1"/>
  <c r="N5" i="1"/>
  <c r="M5" i="1"/>
  <c r="K5" i="1"/>
  <c r="AH36" i="1" l="1"/>
  <c r="AH7" i="1"/>
  <c r="AH32" i="1"/>
  <c r="W32" i="1"/>
  <c r="W11" i="1"/>
  <c r="W44" i="1"/>
  <c r="AH9" i="1"/>
  <c r="AH16" i="1"/>
  <c r="AH19" i="1"/>
  <c r="AH21" i="1"/>
  <c r="AH25" i="1"/>
  <c r="AH31" i="1"/>
  <c r="AH35" i="1"/>
  <c r="AH37" i="1"/>
  <c r="AH39" i="1"/>
  <c r="AH43" i="1"/>
  <c r="W33" i="1"/>
  <c r="AH6" i="1"/>
  <c r="AH8" i="1"/>
  <c r="AH11" i="1"/>
  <c r="AH13" i="1"/>
  <c r="AH15" i="1"/>
  <c r="AH18" i="1"/>
  <c r="AH20" i="1"/>
  <c r="AH22" i="1"/>
  <c r="AH24" i="1"/>
  <c r="AH29" i="1"/>
  <c r="AH34" i="1"/>
  <c r="AH38" i="1"/>
  <c r="AH40" i="1"/>
  <c r="AH42" i="1"/>
  <c r="AH44" i="1"/>
  <c r="AH46" i="1"/>
  <c r="E5" i="1"/>
  <c r="W9" i="1"/>
  <c r="W30" i="1"/>
  <c r="W45" i="1"/>
  <c r="L5" i="1"/>
  <c r="W7" i="1"/>
  <c r="W12" i="1"/>
  <c r="W21" i="1"/>
  <c r="R27" i="1"/>
  <c r="X27" i="1" s="1"/>
  <c r="W28" i="1"/>
  <c r="W43" i="1"/>
  <c r="X6" i="1"/>
  <c r="X8" i="1"/>
  <c r="X10" i="1"/>
  <c r="X11" i="1"/>
  <c r="X13" i="1"/>
  <c r="X15" i="1"/>
  <c r="X17" i="1"/>
  <c r="X18" i="1"/>
  <c r="X20" i="1"/>
  <c r="X22" i="1"/>
  <c r="X24" i="1"/>
  <c r="X26" i="1"/>
  <c r="X29" i="1"/>
  <c r="X33" i="1"/>
  <c r="X35" i="1"/>
  <c r="X36" i="1"/>
  <c r="X38" i="1"/>
  <c r="X40" i="1"/>
  <c r="X42" i="1"/>
  <c r="X44" i="1"/>
  <c r="X46" i="1"/>
  <c r="F5" i="1"/>
  <c r="W25" i="1" l="1"/>
  <c r="W36" i="1"/>
  <c r="W39" i="1"/>
  <c r="W34" i="1"/>
  <c r="W16" i="1"/>
  <c r="W40" i="1"/>
  <c r="W6" i="1"/>
  <c r="W46" i="1"/>
  <c r="W29" i="1"/>
  <c r="W22" i="1"/>
  <c r="W18" i="1"/>
  <c r="W13" i="1"/>
  <c r="AH41" i="1"/>
  <c r="W41" i="1"/>
  <c r="AH23" i="1"/>
  <c r="W23" i="1"/>
  <c r="W14" i="1"/>
  <c r="AH14" i="1"/>
  <c r="W31" i="1"/>
  <c r="W37" i="1"/>
  <c r="W19" i="1"/>
  <c r="W42" i="1"/>
  <c r="W38" i="1"/>
  <c r="W24" i="1"/>
  <c r="W20" i="1"/>
  <c r="W15" i="1"/>
  <c r="W8" i="1"/>
  <c r="W35" i="1"/>
  <c r="R5" i="1"/>
  <c r="AH27" i="1" l="1"/>
  <c r="AH5" i="1" s="1"/>
  <c r="S5" i="1"/>
  <c r="W27" i="1"/>
</calcChain>
</file>

<file path=xl/sharedStrings.xml><?xml version="1.0" encoding="utf-8"?>
<sst xmlns="http://schemas.openxmlformats.org/spreadsheetml/2006/main" count="181" uniqueCount="90">
  <si>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</si>
  <si>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</si>
  <si>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</si>
  <si>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</si>
  <si>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</si>
  <si>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</si>
  <si>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</si>
  <si>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</si>
  <si>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</si>
  <si>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</si>
  <si>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</si>
  <si>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</si>
  <si>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</si>
  <si>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</si>
  <si>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</si>
  <si>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</si>
  <si>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</si>
  <si>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</si>
  <si>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</si>
  <si>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</si>
  <si>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</si>
  <si>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</si>
  <si>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</si>
  <si>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12,01,</t>
  </si>
  <si>
    <t>12,01,(дозаказ)</t>
  </si>
  <si>
    <t>20,01,</t>
  </si>
  <si>
    <t>19,01,</t>
  </si>
  <si>
    <t>29,12,</t>
  </si>
  <si>
    <t>15,12,</t>
  </si>
  <si>
    <t>08,12,</t>
  </si>
  <si>
    <t>01,12,</t>
  </si>
  <si>
    <t>24,11,</t>
  </si>
  <si>
    <t>17,11,</t>
  </si>
  <si>
    <t>10,11,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</si>
  <si>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</si>
  <si>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</si>
  <si>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</si>
  <si>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</si>
  <si>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</si>
  <si>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</si>
  <si>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5179 АРОМАТНАЯ с/к с/н в/у 1/100_СНГ  ОСТАНКИНО</t>
  </si>
  <si>
    <t>новинка</t>
  </si>
  <si>
    <t>5197 СЕРВЕЛАТ КРЕМЛЕВСКИЙ в/к в/у 0.35кг_СНГ</t>
  </si>
  <si>
    <t>не в матрице</t>
  </si>
  <si>
    <t>6787 СЕРВЕЛАТ КРЕМЛЕВСКИЙ в/к в/у 0.33кг 8шт.  ОСТАНКИНО</t>
  </si>
  <si>
    <t>5608 СЕРВЕЛАТ ФИНСКИЙ в/к в/у срез 0.35кг_СНГ</t>
  </si>
  <si>
    <t>5681 САЛЯМИ ИТАЛЬЯНСКАЯ с/к в/у 1/150_СНГ_60с  ОСТАНКИНО</t>
  </si>
  <si>
    <t>6072 ЭКСТРА Папа может вар п/о 0.4кг_UZ</t>
  </si>
  <si>
    <t>нужно увеличить продажи!!!</t>
  </si>
  <si>
    <t>6075 МЯСНАЯ Папа может вар п/о_UZ</t>
  </si>
  <si>
    <t>6076 МЯСНАЯ Папа может вар п/о 0.4кг_UZ</t>
  </si>
  <si>
    <t>нужно увеличить продажи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</si>
  <si>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</si>
  <si>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</si>
  <si>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</si>
  <si>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</si>
  <si>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</si>
  <si>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</si>
  <si>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</si>
  <si>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</si>
  <si>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6207 ОКОРОК КОПЧЕНЫЙ к/в мл/к в/у 0.3кг_СНГ  ОСТАНКИНО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</si>
  <si>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</si>
  <si>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</si>
  <si>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</si>
  <si>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</si>
  <si>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заказывали 0,5!!!</t>
  </si>
  <si>
    <t>продукция оприходована как 0,4!!!</t>
  </si>
  <si>
    <t>6549 МЯСНЫЕ Папа может сар б/о мгс 1*3_Х5_45с  ОСТАНКИНО</t>
  </si>
  <si>
    <t>6616 МОЛОЧНЫЕ КЛАССИЧЕСКИЕ сос п/о в/у 0.3кг  ОСТАНКИНО</t>
  </si>
  <si>
    <t>6765 РУБЛЕНЫЕ сос ц/о мгс 0.36кг 6шт.  ОСТАНКИНО</t>
  </si>
  <si>
    <t>вывод</t>
  </si>
  <si>
    <t>6773 САЛЯМИ Папа может п/к в/у 0.28кг 8шт.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</si>
  <si>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</si>
  <si>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</si>
  <si>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</si>
  <si>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</si>
  <si>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</si>
  <si>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</si>
  <si>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</si>
  <si>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</si>
  <si>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</si>
  <si>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</si>
  <si>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</si>
  <si>
    <t>7333 СЕРВЕЛАТ ОХОТНИЧИЙ ПМ в/к в/у 0.28кг_СНГ  ОСТАНКИНО</t>
  </si>
  <si>
    <t>ШПИКАЧКИ СОЧНЫЕ сар б/о мгс 1*3_Ашан_45с</t>
  </si>
  <si>
    <t>новинка / завод не отгрузил</t>
  </si>
  <si>
    <t>нужно увеличить продажи / новинка</t>
  </si>
  <si>
    <t>заказ</t>
  </si>
  <si>
    <t>27,01,</t>
  </si>
  <si>
    <t>27,01,(дозаказ)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</si>
</sst>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2026/&#1047;&#1040;&#1042;&#1054;&#1044;&#1067;/&#1054;&#1089;&#1090;&#1072;&#1085;&#1082;&#1080;&#1085;&#1086;/&#1058;&#1072;&#1096;&#1082;&#1077;&#1085;&#1090;/01,26/19,01,26%20&#1054;&#1089;&#1090;%20&#1050;&#1048;%20&#1058;&#1072;&#1096;&#1082;&#1077;&#1085;&#1090;/(&#1076;&#1086;&#1079;&#1072;&#1082;&#1072;&#1079;)%20&#1076;&#1074;%2022,01,26%20&#1090;&#1096;&#1088;&#1089;&#1095;%20&#1086;&#1089;&#1090;%20&#1082;&#108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филиала</v>
          </cell>
          <cell r="S3" t="str">
            <v>ср нов</v>
          </cell>
          <cell r="T3" t="str">
            <v>расчет</v>
          </cell>
          <cell r="U3" t="str">
            <v>заказ филиала</v>
          </cell>
        </row>
        <row r="4">
          <cell r="O4" t="str">
            <v>12,01,</v>
          </cell>
          <cell r="P4" t="str">
            <v>12,01,(дозаказ)</v>
          </cell>
          <cell r="Q4" t="str">
            <v>20,01,</v>
          </cell>
          <cell r="S4" t="str">
            <v>19,01,</v>
          </cell>
          <cell r="U4" t="str">
            <v>доп.заказ.</v>
          </cell>
        </row>
        <row r="5">
          <cell r="E5">
            <v>4645.4179999999997</v>
          </cell>
          <cell r="F5">
            <v>1529.461</v>
          </cell>
          <cell r="K5">
            <v>0</v>
          </cell>
          <cell r="L5">
            <v>4645.4179999999997</v>
          </cell>
          <cell r="M5">
            <v>0</v>
          </cell>
          <cell r="N5">
            <v>0</v>
          </cell>
          <cell r="O5">
            <v>11240</v>
          </cell>
          <cell r="P5">
            <v>5120</v>
          </cell>
          <cell r="Q5">
            <v>6920</v>
          </cell>
          <cell r="R5">
            <v>6480</v>
          </cell>
          <cell r="S5">
            <v>1312.2955999999999</v>
          </cell>
          <cell r="T5">
            <v>-1188.1401999999998</v>
          </cell>
          <cell r="U5">
            <v>2000</v>
          </cell>
        </row>
        <row r="6">
          <cell r="A6" t="str">
            <v>4079 СЕРВЕЛАТ КОПЧЕНЫЙ НА БУКЕ в/к в/у_СНГ</v>
          </cell>
          <cell r="B6" t="str">
            <v>кг</v>
          </cell>
          <cell r="C6">
            <v>112.1</v>
          </cell>
          <cell r="E6">
            <v>99.575999999999993</v>
          </cell>
          <cell r="G6">
            <v>1</v>
          </cell>
          <cell r="H6">
            <v>45</v>
          </cell>
          <cell r="I6" t="str">
            <v>матрица</v>
          </cell>
          <cell r="L6">
            <v>99.575999999999993</v>
          </cell>
          <cell r="O6">
            <v>200</v>
          </cell>
          <cell r="P6">
            <v>50</v>
          </cell>
          <cell r="Q6">
            <v>100</v>
          </cell>
          <cell r="R6">
            <v>120</v>
          </cell>
          <cell r="S6">
            <v>25</v>
          </cell>
          <cell r="T6">
            <v>100</v>
          </cell>
        </row>
        <row r="7">
          <cell r="A7" t="str">
            <v>4087   СЕРВЕЛАТ КОПЧЕНЫЙ НА БУКЕ в/к в/К 0,35</v>
          </cell>
          <cell r="B7" t="str">
            <v>шт</v>
          </cell>
          <cell r="C7">
            <v>351</v>
          </cell>
          <cell r="E7">
            <v>327</v>
          </cell>
          <cell r="G7">
            <v>0.35</v>
          </cell>
          <cell r="H7">
            <v>45</v>
          </cell>
          <cell r="I7" t="str">
            <v>матрица</v>
          </cell>
          <cell r="L7">
            <v>327</v>
          </cell>
          <cell r="O7">
            <v>800</v>
          </cell>
          <cell r="P7">
            <v>300</v>
          </cell>
          <cell r="Q7">
            <v>200</v>
          </cell>
          <cell r="R7">
            <v>350</v>
          </cell>
          <cell r="S7">
            <v>85</v>
          </cell>
          <cell r="T7">
            <v>230</v>
          </cell>
        </row>
        <row r="8">
          <cell r="A8" t="str">
            <v>5096   СЕРВЕЛАТ КРЕМЛЕВСКИЙ в/к в/у_СНГ</v>
          </cell>
          <cell r="B8" t="str">
            <v>кг</v>
          </cell>
          <cell r="C8">
            <v>47.4</v>
          </cell>
          <cell r="E8">
            <v>31.15</v>
          </cell>
          <cell r="G8">
            <v>1</v>
          </cell>
          <cell r="H8">
            <v>45</v>
          </cell>
          <cell r="I8" t="str">
            <v>матрица</v>
          </cell>
          <cell r="L8">
            <v>31.15</v>
          </cell>
          <cell r="O8">
            <v>150</v>
          </cell>
          <cell r="P8">
            <v>50</v>
          </cell>
          <cell r="Q8">
            <v>80</v>
          </cell>
          <cell r="R8">
            <v>150</v>
          </cell>
          <cell r="S8">
            <v>17</v>
          </cell>
          <cell r="T8">
            <v>26</v>
          </cell>
        </row>
        <row r="9">
          <cell r="A9" t="str">
            <v>5179 АРОМАТНАЯ с/к с/н в/у 1/100_СНГ  ОСТАНКИНО</v>
          </cell>
          <cell r="B9" t="str">
            <v>шт</v>
          </cell>
          <cell r="C9">
            <v>40</v>
          </cell>
          <cell r="G9">
            <v>0.1</v>
          </cell>
          <cell r="H9">
            <v>60</v>
          </cell>
          <cell r="I9">
            <v>1001191975179</v>
          </cell>
          <cell r="L9">
            <v>0</v>
          </cell>
          <cell r="O9">
            <v>150</v>
          </cell>
          <cell r="P9">
            <v>100</v>
          </cell>
          <cell r="Q9">
            <v>160</v>
          </cell>
          <cell r="S9">
            <v>0</v>
          </cell>
          <cell r="T9">
            <v>-410</v>
          </cell>
        </row>
        <row r="10">
          <cell r="A10" t="str">
            <v>5197 СЕРВЕЛАТ КРЕМЛЕВСКИЙ в/к в/у 0.35кг_СНГ</v>
          </cell>
          <cell r="B10" t="str">
            <v>шт</v>
          </cell>
          <cell r="C10">
            <v>-2</v>
          </cell>
          <cell r="F10">
            <v>-2</v>
          </cell>
          <cell r="G10">
            <v>0</v>
          </cell>
          <cell r="I10" t="str">
            <v>не в матрице</v>
          </cell>
          <cell r="J10" t="str">
            <v>6787 СЕРВЕЛАТ КРЕМЛЕВСКИЙ в/к в/у 0.33кг 8шт.  ОСТАНКИНО</v>
          </cell>
          <cell r="L10">
            <v>0</v>
          </cell>
          <cell r="O10">
            <v>0</v>
          </cell>
          <cell r="P10">
            <v>0</v>
          </cell>
          <cell r="Q10">
            <v>0</v>
          </cell>
          <cell r="S10">
            <v>0</v>
          </cell>
          <cell r="T10">
            <v>2</v>
          </cell>
        </row>
        <row r="11">
          <cell r="A11" t="str">
            <v>5608 СЕРВЕЛАТ ФИНСКИЙ в/к в/у срез 0.35кг_СНГ</v>
          </cell>
          <cell r="B11" t="str">
            <v>шт</v>
          </cell>
          <cell r="C11">
            <v>270</v>
          </cell>
          <cell r="E11">
            <v>232</v>
          </cell>
          <cell r="G11">
            <v>0.35</v>
          </cell>
          <cell r="H11">
            <v>45</v>
          </cell>
          <cell r="I11" t="str">
            <v>матрица</v>
          </cell>
          <cell r="L11">
            <v>232</v>
          </cell>
          <cell r="O11">
            <v>600</v>
          </cell>
          <cell r="P11">
            <v>300</v>
          </cell>
          <cell r="Q11">
            <v>400</v>
          </cell>
          <cell r="R11">
            <v>200</v>
          </cell>
          <cell r="S11">
            <v>70</v>
          </cell>
          <cell r="T11">
            <v>-40</v>
          </cell>
        </row>
        <row r="12">
          <cell r="A12" t="str">
            <v>5681 САЛЯМИ ИТАЛЬЯНСКАЯ с/к в/у 1/150_СНГ_60с  ОСТАНКИНО</v>
          </cell>
          <cell r="B12" t="str">
            <v>шт</v>
          </cell>
          <cell r="C12">
            <v>43</v>
          </cell>
          <cell r="G12">
            <v>0.15</v>
          </cell>
          <cell r="H12">
            <v>60</v>
          </cell>
          <cell r="I12">
            <v>1001190765681</v>
          </cell>
          <cell r="L12">
            <v>0</v>
          </cell>
          <cell r="O12">
            <v>150</v>
          </cell>
          <cell r="P12">
            <v>100</v>
          </cell>
          <cell r="Q12">
            <v>160</v>
          </cell>
          <cell r="S12">
            <v>0</v>
          </cell>
          <cell r="T12">
            <v>-410</v>
          </cell>
        </row>
        <row r="13">
          <cell r="A13" t="str">
            <v>6072 ЭКСТРА Папа может вар п/о 0.4кг_UZ</v>
          </cell>
          <cell r="B13" t="str">
            <v>шт</v>
          </cell>
          <cell r="C13">
            <v>798</v>
          </cell>
          <cell r="E13">
            <v>398</v>
          </cell>
          <cell r="F13">
            <v>194</v>
          </cell>
          <cell r="G13">
            <v>0.4</v>
          </cell>
          <cell r="H13">
            <v>60</v>
          </cell>
          <cell r="I13" t="str">
            <v>матрица</v>
          </cell>
          <cell r="L13">
            <v>398</v>
          </cell>
          <cell r="O13">
            <v>400</v>
          </cell>
          <cell r="P13">
            <v>200</v>
          </cell>
          <cell r="Q13">
            <v>0</v>
          </cell>
          <cell r="R13">
            <v>300</v>
          </cell>
          <cell r="S13">
            <v>79.599999999999994</v>
          </cell>
          <cell r="T13">
            <v>638.79999999999995</v>
          </cell>
        </row>
        <row r="14">
          <cell r="A14" t="str">
            <v>6075 МЯСНАЯ Папа может вар п/о_UZ</v>
          </cell>
          <cell r="B14" t="str">
            <v>кг</v>
          </cell>
          <cell r="G14">
            <v>1</v>
          </cell>
          <cell r="H14">
            <v>60</v>
          </cell>
          <cell r="I14" t="str">
            <v>матрица</v>
          </cell>
          <cell r="L14">
            <v>0</v>
          </cell>
          <cell r="O14">
            <v>100</v>
          </cell>
          <cell r="P14">
            <v>50</v>
          </cell>
          <cell r="Q14">
            <v>50</v>
          </cell>
          <cell r="R14">
            <v>30</v>
          </cell>
          <cell r="S14">
            <v>10</v>
          </cell>
          <cell r="T14">
            <v>-20</v>
          </cell>
        </row>
        <row r="15">
          <cell r="A15" t="str">
            <v>6076 МЯСНАЯ Папа может вар п/о 0.4кг_UZ</v>
          </cell>
          <cell r="B15" t="str">
            <v>шт</v>
          </cell>
          <cell r="C15">
            <v>280</v>
          </cell>
          <cell r="E15">
            <v>275</v>
          </cell>
          <cell r="G15">
            <v>0.4</v>
          </cell>
          <cell r="H15">
            <v>60</v>
          </cell>
          <cell r="I15" t="str">
            <v>матрица</v>
          </cell>
          <cell r="L15">
            <v>275</v>
          </cell>
          <cell r="O15">
            <v>700</v>
          </cell>
          <cell r="P15">
            <v>200</v>
          </cell>
          <cell r="Q15">
            <v>320</v>
          </cell>
          <cell r="R15">
            <v>300</v>
          </cell>
          <cell r="S15">
            <v>60</v>
          </cell>
          <cell r="T15">
            <v>-140</v>
          </cell>
        </row>
        <row r="16">
          <cell r="A16" t="str">
            <v>6078 ФИЛЕЙНАЯ Папа может вар п/о_UZ</v>
          </cell>
          <cell r="B16" t="str">
            <v>кг</v>
          </cell>
          <cell r="C16">
            <v>50.6</v>
          </cell>
          <cell r="E16">
            <v>45.408000000000001</v>
          </cell>
          <cell r="F16">
            <v>-0.246</v>
          </cell>
          <cell r="G16">
            <v>1</v>
          </cell>
          <cell r="H16">
            <v>60</v>
          </cell>
          <cell r="I16" t="str">
            <v>матрица</v>
          </cell>
          <cell r="L16">
            <v>45.408000000000001</v>
          </cell>
          <cell r="O16">
            <v>80</v>
          </cell>
          <cell r="P16">
            <v>50</v>
          </cell>
          <cell r="Q16">
            <v>30</v>
          </cell>
          <cell r="R16">
            <v>50</v>
          </cell>
          <cell r="S16">
            <v>10</v>
          </cell>
          <cell r="T16">
            <v>20.245999999999999</v>
          </cell>
        </row>
        <row r="17">
          <cell r="A17" t="str">
            <v>6087 СОЧНЫЕ сос п/о мгс 0.45кг_UZ</v>
          </cell>
          <cell r="B17" t="str">
            <v>шт</v>
          </cell>
          <cell r="C17">
            <v>-3</v>
          </cell>
          <cell r="F17">
            <v>-3</v>
          </cell>
          <cell r="G17">
            <v>0</v>
          </cell>
          <cell r="I17" t="str">
            <v>не в матрице</v>
          </cell>
          <cell r="J17" t="str">
            <v>7067 СОЧНЫЕ ПМ сос п/о мгс 0.41кг_СНГ_50с  ОСТАНКИНО</v>
          </cell>
          <cell r="L17">
            <v>0</v>
          </cell>
          <cell r="O17">
            <v>0</v>
          </cell>
          <cell r="P17">
            <v>0</v>
          </cell>
          <cell r="Q17">
            <v>0</v>
          </cell>
          <cell r="S17">
            <v>0</v>
          </cell>
          <cell r="T17">
            <v>3</v>
          </cell>
        </row>
        <row r="18">
          <cell r="A18" t="str">
            <v>6091 АРОМАТНАЯ с/к в/у_UZ</v>
          </cell>
          <cell r="B18" t="str">
            <v>кг</v>
          </cell>
          <cell r="C18">
            <v>38.5</v>
          </cell>
          <cell r="E18">
            <v>27.672000000000001</v>
          </cell>
          <cell r="F18">
            <v>3.9</v>
          </cell>
          <cell r="G18">
            <v>1</v>
          </cell>
          <cell r="H18">
            <v>120</v>
          </cell>
          <cell r="I18" t="str">
            <v>матрица</v>
          </cell>
          <cell r="L18">
            <v>27.672000000000001</v>
          </cell>
          <cell r="O18">
            <v>100</v>
          </cell>
          <cell r="P18">
            <v>200</v>
          </cell>
          <cell r="Q18">
            <v>0</v>
          </cell>
          <cell r="S18">
            <v>10</v>
          </cell>
          <cell r="T18">
            <v>-123.9</v>
          </cell>
        </row>
        <row r="19">
          <cell r="A19" t="str">
            <v>6092 АРОМАТНАЯ с/к в/у 1/250 8шт_UZ</v>
          </cell>
          <cell r="B19" t="str">
            <v>шт</v>
          </cell>
          <cell r="C19">
            <v>377</v>
          </cell>
          <cell r="E19">
            <v>142</v>
          </cell>
          <cell r="F19">
            <v>223</v>
          </cell>
          <cell r="G19">
            <v>0.25</v>
          </cell>
          <cell r="H19">
            <v>120</v>
          </cell>
          <cell r="I19" t="str">
            <v>матрица</v>
          </cell>
          <cell r="L19">
            <v>142</v>
          </cell>
          <cell r="O19">
            <v>400</v>
          </cell>
          <cell r="P19">
            <v>400</v>
          </cell>
          <cell r="Q19">
            <v>120</v>
          </cell>
          <cell r="S19">
            <v>28.4</v>
          </cell>
          <cell r="T19">
            <v>-631.79999999999995</v>
          </cell>
          <cell r="U19">
            <v>1000</v>
          </cell>
        </row>
        <row r="20">
          <cell r="A20" t="str">
            <v>6093 САЛЯМИ ИТАЛЬЯНСКАЯ с/к в/у 1/250 8шт_UZ</v>
          </cell>
          <cell r="B20" t="str">
            <v>шт</v>
          </cell>
          <cell r="C20">
            <v>386</v>
          </cell>
          <cell r="E20">
            <v>334</v>
          </cell>
          <cell r="G20">
            <v>0.25</v>
          </cell>
          <cell r="H20">
            <v>120</v>
          </cell>
          <cell r="I20" t="str">
            <v>матрица</v>
          </cell>
          <cell r="L20">
            <v>334</v>
          </cell>
          <cell r="O20">
            <v>500</v>
          </cell>
          <cell r="P20">
            <v>500</v>
          </cell>
          <cell r="Q20">
            <v>120</v>
          </cell>
          <cell r="R20">
            <v>200</v>
          </cell>
          <cell r="S20">
            <v>70</v>
          </cell>
          <cell r="T20">
            <v>140</v>
          </cell>
        </row>
        <row r="21">
          <cell r="A21" t="str">
            <v>6094 ЮБИЛЕЙНАЯ с/к в/у_UZ</v>
          </cell>
          <cell r="B21" t="str">
            <v>кг</v>
          </cell>
          <cell r="C21">
            <v>33.5</v>
          </cell>
          <cell r="E21">
            <v>33.713999999999999</v>
          </cell>
          <cell r="F21">
            <v>-1.1910000000000001</v>
          </cell>
          <cell r="G21">
            <v>1</v>
          </cell>
          <cell r="H21">
            <v>120</v>
          </cell>
          <cell r="I21" t="str">
            <v>матрица</v>
          </cell>
          <cell r="L21">
            <v>33.713999999999999</v>
          </cell>
          <cell r="O21">
            <v>100</v>
          </cell>
          <cell r="P21">
            <v>200</v>
          </cell>
          <cell r="Q21">
            <v>0</v>
          </cell>
          <cell r="R21">
            <v>50</v>
          </cell>
          <cell r="S21">
            <v>10</v>
          </cell>
          <cell r="T21">
            <v>-118.809</v>
          </cell>
        </row>
        <row r="22">
          <cell r="A22" t="str">
            <v>6095 ЮБИЛЕЙНАЯ с/к в/у 1/250 8шт_UZ</v>
          </cell>
          <cell r="B22" t="str">
            <v>шт</v>
          </cell>
          <cell r="C22">
            <v>423</v>
          </cell>
          <cell r="E22">
            <v>157</v>
          </cell>
          <cell r="F22">
            <v>166</v>
          </cell>
          <cell r="G22">
            <v>0.25</v>
          </cell>
          <cell r="H22">
            <v>120</v>
          </cell>
          <cell r="I22" t="str">
            <v>матрица</v>
          </cell>
          <cell r="L22">
            <v>157</v>
          </cell>
          <cell r="O22">
            <v>400</v>
          </cell>
          <cell r="P22">
            <v>400</v>
          </cell>
          <cell r="Q22">
            <v>80</v>
          </cell>
          <cell r="S22">
            <v>31.4</v>
          </cell>
          <cell r="T22">
            <v>-480.80000000000007</v>
          </cell>
          <cell r="U22">
            <v>1000</v>
          </cell>
        </row>
        <row r="23">
          <cell r="A23" t="str">
            <v>6207 ОКОРОК КОПЧЕНЫЙ к/в мл/к в/у 0.3кг_СНГ  ОСТАНКИНО</v>
          </cell>
          <cell r="B23" t="str">
            <v>шт</v>
          </cell>
          <cell r="C23">
            <v>93</v>
          </cell>
          <cell r="G23">
            <v>0.3</v>
          </cell>
          <cell r="H23">
            <v>45</v>
          </cell>
          <cell r="I23">
            <v>1001083446207</v>
          </cell>
          <cell r="L23">
            <v>0</v>
          </cell>
          <cell r="O23">
            <v>200</v>
          </cell>
          <cell r="P23">
            <v>200</v>
          </cell>
          <cell r="Q23">
            <v>0</v>
          </cell>
          <cell r="R23">
            <v>120</v>
          </cell>
          <cell r="S23">
            <v>0</v>
          </cell>
          <cell r="T23">
            <v>-400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104</v>
          </cell>
          <cell r="E24">
            <v>43.478000000000002</v>
          </cell>
          <cell r="F24">
            <v>31</v>
          </cell>
          <cell r="G24">
            <v>1</v>
          </cell>
          <cell r="H24">
            <v>60</v>
          </cell>
          <cell r="I24" t="str">
            <v>матрица</v>
          </cell>
          <cell r="L24">
            <v>43.478000000000002</v>
          </cell>
          <cell r="O24">
            <v>50</v>
          </cell>
          <cell r="P24">
            <v>50</v>
          </cell>
          <cell r="Q24">
            <v>0</v>
          </cell>
          <cell r="R24">
            <v>50</v>
          </cell>
          <cell r="S24">
            <v>8.6956000000000007</v>
          </cell>
          <cell r="T24">
            <v>25.520800000000008</v>
          </cell>
        </row>
        <row r="25">
          <cell r="A25" t="str">
            <v>6268 ГОВЯЖЬЯ Папа может вар п/о 0.4кг 8шт.  ОСТАНКИНО</v>
          </cell>
          <cell r="B25" t="str">
            <v>шт</v>
          </cell>
          <cell r="C25">
            <v>933</v>
          </cell>
          <cell r="E25">
            <v>286</v>
          </cell>
          <cell r="F25">
            <v>528</v>
          </cell>
          <cell r="G25">
            <v>0.4</v>
          </cell>
          <cell r="H25">
            <v>60</v>
          </cell>
          <cell r="I25" t="str">
            <v>матрица</v>
          </cell>
          <cell r="L25">
            <v>286</v>
          </cell>
          <cell r="O25">
            <v>0</v>
          </cell>
          <cell r="P25">
            <v>0</v>
          </cell>
          <cell r="Q25">
            <v>400</v>
          </cell>
          <cell r="R25">
            <v>200</v>
          </cell>
          <cell r="S25">
            <v>35</v>
          </cell>
          <cell r="T25">
            <v>-298</v>
          </cell>
        </row>
        <row r="26">
          <cell r="A26" t="str">
            <v>6270 ФИЛЕЙНАЯ Папа может вар п/о 0.4кг СНГ</v>
          </cell>
          <cell r="B26" t="str">
            <v>шт</v>
          </cell>
          <cell r="C26">
            <v>130</v>
          </cell>
          <cell r="E26">
            <v>12</v>
          </cell>
          <cell r="F26">
            <v>110</v>
          </cell>
          <cell r="G26">
            <v>0</v>
          </cell>
          <cell r="I26" t="str">
            <v>не в матрице</v>
          </cell>
          <cell r="J26" t="str">
            <v>6346 ФИЛЕЙНАЯ Папа может вар п/о 0.5кг_СНГ  ОСТАНКИНО</v>
          </cell>
          <cell r="L26">
            <v>12</v>
          </cell>
          <cell r="O26">
            <v>0</v>
          </cell>
          <cell r="P26">
            <v>0</v>
          </cell>
          <cell r="Q26">
            <v>0</v>
          </cell>
          <cell r="S26">
            <v>2.4</v>
          </cell>
          <cell r="T26">
            <v>-66.800000000000011</v>
          </cell>
        </row>
        <row r="27">
          <cell r="A27" t="str">
            <v>6346 ФИЛЕЙНАЯ Папа может вар п/о 0.5кг_СНГ  ОСТАНКИНО</v>
          </cell>
          <cell r="B27" t="str">
            <v>шт</v>
          </cell>
          <cell r="C27">
            <v>-73</v>
          </cell>
          <cell r="E27">
            <v>103</v>
          </cell>
          <cell r="F27">
            <v>-71</v>
          </cell>
          <cell r="G27">
            <v>0.5</v>
          </cell>
          <cell r="H27">
            <v>60</v>
          </cell>
          <cell r="I27" t="str">
            <v>матрица</v>
          </cell>
          <cell r="L27">
            <v>103</v>
          </cell>
          <cell r="O27">
            <v>500</v>
          </cell>
          <cell r="P27">
            <v>400</v>
          </cell>
          <cell r="Q27">
            <v>400</v>
          </cell>
          <cell r="R27">
            <v>120</v>
          </cell>
          <cell r="S27">
            <v>60</v>
          </cell>
          <cell r="T27">
            <v>-149</v>
          </cell>
        </row>
        <row r="28">
          <cell r="A28" t="str">
            <v>6549 МЯСНЫЕ Папа может сар б/о мгс 1*3_Х5_45с  ОСТАНКИНО</v>
          </cell>
          <cell r="F28">
            <v>-1.002</v>
          </cell>
          <cell r="G28">
            <v>1</v>
          </cell>
          <cell r="I28">
            <v>1001032736549</v>
          </cell>
          <cell r="L28">
            <v>0</v>
          </cell>
          <cell r="O28">
            <v>200</v>
          </cell>
          <cell r="P28">
            <v>200</v>
          </cell>
          <cell r="Q28">
            <v>0</v>
          </cell>
          <cell r="R28">
            <v>100</v>
          </cell>
          <cell r="S28">
            <v>0</v>
          </cell>
          <cell r="T28">
            <v>-398.99799999999999</v>
          </cell>
        </row>
        <row r="29">
          <cell r="A29" t="str">
            <v>6616 МОЛОЧНЫЕ КЛАССИЧЕСКИЕ сос п/о в/у 0.3кг  ОСТАНКИНО</v>
          </cell>
          <cell r="B29" t="str">
            <v>шт</v>
          </cell>
          <cell r="C29">
            <v>53</v>
          </cell>
          <cell r="G29">
            <v>0.3</v>
          </cell>
          <cell r="H29">
            <v>45</v>
          </cell>
          <cell r="I29">
            <v>1001024976616</v>
          </cell>
          <cell r="L29">
            <v>0</v>
          </cell>
          <cell r="O29">
            <v>150</v>
          </cell>
          <cell r="P29">
            <v>0</v>
          </cell>
          <cell r="Q29">
            <v>160</v>
          </cell>
          <cell r="R29">
            <v>60</v>
          </cell>
          <cell r="S29">
            <v>0</v>
          </cell>
          <cell r="T29">
            <v>-310</v>
          </cell>
        </row>
        <row r="30">
          <cell r="A30" t="str">
            <v>6765 РУБЛЕНЫЕ сос ц/о мгс 0.36кг 6шт.  ОСТАНКИНО</v>
          </cell>
          <cell r="B30" t="str">
            <v>шт</v>
          </cell>
          <cell r="C30">
            <v>62</v>
          </cell>
          <cell r="E30">
            <v>48</v>
          </cell>
          <cell r="F30">
            <v>6</v>
          </cell>
          <cell r="G30">
            <v>0</v>
          </cell>
          <cell r="H30">
            <v>45</v>
          </cell>
          <cell r="I30" t="str">
            <v>вывод</v>
          </cell>
          <cell r="L30">
            <v>48</v>
          </cell>
          <cell r="O30">
            <v>0</v>
          </cell>
          <cell r="P30">
            <v>0</v>
          </cell>
          <cell r="Q30">
            <v>0</v>
          </cell>
          <cell r="S30">
            <v>9.6</v>
          </cell>
          <cell r="T30">
            <v>166.79999999999998</v>
          </cell>
        </row>
        <row r="31">
          <cell r="A31" t="str">
            <v>6773 САЛЯМИ Папа может п/к в/у 0.28кг 8шт.</v>
          </cell>
          <cell r="B31" t="str">
            <v>шт</v>
          </cell>
          <cell r="C31">
            <v>116</v>
          </cell>
          <cell r="G31">
            <v>0.28000000000000003</v>
          </cell>
          <cell r="H31">
            <v>45</v>
          </cell>
          <cell r="I31">
            <v>1001303107241</v>
          </cell>
          <cell r="L31">
            <v>0</v>
          </cell>
          <cell r="O31">
            <v>250</v>
          </cell>
          <cell r="P31">
            <v>0</v>
          </cell>
          <cell r="Q31">
            <v>120</v>
          </cell>
          <cell r="R31">
            <v>160</v>
          </cell>
          <cell r="S31">
            <v>0</v>
          </cell>
          <cell r="T31">
            <v>-370</v>
          </cell>
        </row>
        <row r="32">
          <cell r="A32" t="str">
            <v>6787 СЕРВЕЛАТ КРЕМЛЕВСКИЙ в/к в/у 0.33кг 8шт.  ОСТАНКИНО</v>
          </cell>
          <cell r="B32" t="str">
            <v>шт</v>
          </cell>
          <cell r="C32">
            <v>126</v>
          </cell>
          <cell r="E32">
            <v>95</v>
          </cell>
          <cell r="G32">
            <v>0.33</v>
          </cell>
          <cell r="H32">
            <v>45</v>
          </cell>
          <cell r="I32" t="str">
            <v>матрица</v>
          </cell>
          <cell r="L32">
            <v>95</v>
          </cell>
          <cell r="O32">
            <v>500</v>
          </cell>
          <cell r="P32">
            <v>200</v>
          </cell>
          <cell r="Q32">
            <v>320</v>
          </cell>
          <cell r="R32">
            <v>200</v>
          </cell>
          <cell r="S32">
            <v>45</v>
          </cell>
          <cell r="T32">
            <v>-210</v>
          </cell>
        </row>
        <row r="33">
          <cell r="A33" t="str">
            <v>6837 ФИЛЕЙНЫЕ Папа Может сос ц/о мгс 0.4кг  ОСТАНКИНО</v>
          </cell>
          <cell r="B33" t="str">
            <v>шт</v>
          </cell>
          <cell r="C33">
            <v>140</v>
          </cell>
          <cell r="E33">
            <v>105</v>
          </cell>
          <cell r="F33">
            <v>15</v>
          </cell>
          <cell r="G33">
            <v>0.4</v>
          </cell>
          <cell r="H33">
            <v>45</v>
          </cell>
          <cell r="I33" t="str">
            <v>матрица</v>
          </cell>
          <cell r="L33">
            <v>105</v>
          </cell>
          <cell r="O33">
            <v>150</v>
          </cell>
          <cell r="P33">
            <v>100</v>
          </cell>
          <cell r="Q33">
            <v>40</v>
          </cell>
          <cell r="R33">
            <v>150</v>
          </cell>
          <cell r="S33">
            <v>30</v>
          </cell>
          <cell r="T33">
            <v>235</v>
          </cell>
        </row>
        <row r="34">
          <cell r="A34" t="str">
            <v>7058 ШПИКАЧКИ СОЧНЫЕ С БЕКОНОМ п/о мгс 1*3_60с  ОСТАНКИНО</v>
          </cell>
          <cell r="B34" t="str">
            <v>кг</v>
          </cell>
          <cell r="C34">
            <v>217</v>
          </cell>
          <cell r="E34">
            <v>212.005</v>
          </cell>
          <cell r="G34">
            <v>1</v>
          </cell>
          <cell r="H34">
            <v>60</v>
          </cell>
          <cell r="I34" t="str">
            <v>матрица</v>
          </cell>
          <cell r="L34">
            <v>212.005</v>
          </cell>
          <cell r="O34">
            <v>150</v>
          </cell>
          <cell r="P34">
            <v>150</v>
          </cell>
          <cell r="Q34">
            <v>300</v>
          </cell>
          <cell r="R34">
            <v>250</v>
          </cell>
          <cell r="S34">
            <v>45</v>
          </cell>
          <cell r="T34">
            <v>210</v>
          </cell>
        </row>
        <row r="35">
          <cell r="A35" t="str">
            <v>7059 ШПИКАЧКИ СОЧНЫЕ С БЕК. п/о мгс 0.3кг_60с  ОСТАНКИНО</v>
          </cell>
          <cell r="B35" t="str">
            <v>шт</v>
          </cell>
          <cell r="C35">
            <v>303</v>
          </cell>
          <cell r="E35">
            <v>105</v>
          </cell>
          <cell r="F35">
            <v>128</v>
          </cell>
          <cell r="G35">
            <v>0.3</v>
          </cell>
          <cell r="H35">
            <v>60</v>
          </cell>
          <cell r="I35" t="str">
            <v>матрица</v>
          </cell>
          <cell r="L35">
            <v>105</v>
          </cell>
          <cell r="O35">
            <v>200</v>
          </cell>
          <cell r="P35">
            <v>0</v>
          </cell>
          <cell r="Q35">
            <v>200</v>
          </cell>
          <cell r="S35">
            <v>25</v>
          </cell>
          <cell r="T35">
            <v>-78</v>
          </cell>
        </row>
        <row r="36">
          <cell r="A36" t="str">
            <v>7067 СОЧНЫЕ ПМ сос п/о мгс 0.41кг_СНГ_50с  ОСТАНКИНО</v>
          </cell>
          <cell r="B36" t="str">
            <v>шт</v>
          </cell>
          <cell r="C36">
            <v>369</v>
          </cell>
          <cell r="E36">
            <v>281</v>
          </cell>
          <cell r="F36">
            <v>45</v>
          </cell>
          <cell r="G36">
            <v>0.41</v>
          </cell>
          <cell r="H36">
            <v>50</v>
          </cell>
          <cell r="I36" t="str">
            <v>матрица</v>
          </cell>
          <cell r="L36">
            <v>281</v>
          </cell>
          <cell r="O36">
            <v>150</v>
          </cell>
          <cell r="P36">
            <v>100</v>
          </cell>
          <cell r="Q36">
            <v>0</v>
          </cell>
          <cell r="R36">
            <v>200</v>
          </cell>
          <cell r="S36">
            <v>30</v>
          </cell>
          <cell r="T36">
            <v>245</v>
          </cell>
        </row>
        <row r="37">
          <cell r="A37" t="str">
            <v>7070 СОЧНЫЕ ПМ сос п/о мгс 1.5*4_А_50с  ОСТАНКИНО</v>
          </cell>
          <cell r="B37" t="str">
            <v>кг</v>
          </cell>
          <cell r="C37">
            <v>203.77500000000001</v>
          </cell>
          <cell r="E37">
            <v>174.08600000000001</v>
          </cell>
          <cell r="G37">
            <v>1</v>
          </cell>
          <cell r="H37">
            <v>50</v>
          </cell>
          <cell r="I37" t="str">
            <v>матрица</v>
          </cell>
          <cell r="L37">
            <v>174.08600000000001</v>
          </cell>
          <cell r="O37">
            <v>400</v>
          </cell>
          <cell r="P37">
            <v>400</v>
          </cell>
          <cell r="Q37">
            <v>450</v>
          </cell>
          <cell r="R37">
            <v>350</v>
          </cell>
          <cell r="S37">
            <v>90</v>
          </cell>
          <cell r="T37">
            <v>370</v>
          </cell>
        </row>
        <row r="38">
          <cell r="A38" t="str">
            <v>7075 МОЛОЧ.ПРЕМИУМ ПМ сос п/о мгс 1.5*4_О_50с  ОСТАНКИНО</v>
          </cell>
          <cell r="B38" t="str">
            <v>кг</v>
          </cell>
          <cell r="C38">
            <v>192.2</v>
          </cell>
          <cell r="E38">
            <v>185.32900000000001</v>
          </cell>
          <cell r="G38">
            <v>1</v>
          </cell>
          <cell r="H38">
            <v>50</v>
          </cell>
          <cell r="I38" t="str">
            <v>матрица</v>
          </cell>
          <cell r="L38">
            <v>185.32900000000001</v>
          </cell>
          <cell r="O38">
            <v>150</v>
          </cell>
          <cell r="P38">
            <v>50</v>
          </cell>
          <cell r="Q38">
            <v>100</v>
          </cell>
          <cell r="R38">
            <v>150</v>
          </cell>
          <cell r="S38">
            <v>25</v>
          </cell>
          <cell r="T38">
            <v>150</v>
          </cell>
        </row>
        <row r="39">
          <cell r="A39" t="str">
            <v>7077 МЯСНЫЕ С ГОВЯД.ПМ сос п/о мгс 0.4кг_50с ОСТАНКИНО</v>
          </cell>
          <cell r="B39" t="str">
            <v>шт</v>
          </cell>
          <cell r="C39">
            <v>277</v>
          </cell>
          <cell r="E39">
            <v>191</v>
          </cell>
          <cell r="G39">
            <v>0.4</v>
          </cell>
          <cell r="H39">
            <v>50</v>
          </cell>
          <cell r="I39" t="str">
            <v>матрица</v>
          </cell>
          <cell r="L39">
            <v>191</v>
          </cell>
          <cell r="O39">
            <v>250</v>
          </cell>
          <cell r="P39">
            <v>50</v>
          </cell>
          <cell r="Q39">
            <v>50</v>
          </cell>
          <cell r="R39">
            <v>200</v>
          </cell>
          <cell r="S39">
            <v>38.200000000000003</v>
          </cell>
          <cell r="T39">
            <v>337.6</v>
          </cell>
        </row>
        <row r="40">
          <cell r="A40" t="str">
            <v>7104 БЕКОН Останкино с/к с/н в/у 1/180_СНГ_50 ОСТАНКИНО</v>
          </cell>
          <cell r="B40" t="str">
            <v>шт</v>
          </cell>
          <cell r="C40">
            <v>138</v>
          </cell>
          <cell r="E40">
            <v>126</v>
          </cell>
          <cell r="G40">
            <v>0.18</v>
          </cell>
          <cell r="H40">
            <v>50</v>
          </cell>
          <cell r="I40" t="str">
            <v>матрица</v>
          </cell>
          <cell r="L40">
            <v>126</v>
          </cell>
          <cell r="O40">
            <v>300</v>
          </cell>
          <cell r="P40">
            <v>0</v>
          </cell>
          <cell r="Q40">
            <v>200</v>
          </cell>
          <cell r="R40">
            <v>100</v>
          </cell>
          <cell r="S40">
            <v>30</v>
          </cell>
          <cell r="T40">
            <v>40</v>
          </cell>
        </row>
        <row r="41">
          <cell r="A41" t="str">
            <v>7187 ГРУДИНКА ПРЕМИУМ к/в мл/к в/у 0.3кг_50с  ОСТАНКИНО</v>
          </cell>
          <cell r="B41" t="str">
            <v>шт</v>
          </cell>
          <cell r="C41">
            <v>450</v>
          </cell>
          <cell r="E41">
            <v>416</v>
          </cell>
          <cell r="G41">
            <v>0.3</v>
          </cell>
          <cell r="H41">
            <v>50</v>
          </cell>
          <cell r="I41" t="str">
            <v>матрица</v>
          </cell>
          <cell r="L41">
            <v>416</v>
          </cell>
          <cell r="O41">
            <v>2000</v>
          </cell>
          <cell r="P41">
            <v>0</v>
          </cell>
          <cell r="Q41">
            <v>1600</v>
          </cell>
          <cell r="R41">
            <v>1800</v>
          </cell>
          <cell r="S41">
            <v>300</v>
          </cell>
          <cell r="T41">
            <v>1800</v>
          </cell>
        </row>
        <row r="42">
          <cell r="A42" t="str">
            <v>7230 СЕРВЕЛАТ КАРЕЛЬС.вк в/у 0.28кг_СНГ_209к  ОСТАНКИНО</v>
          </cell>
          <cell r="B42" t="str">
            <v>шт</v>
          </cell>
          <cell r="C42">
            <v>116</v>
          </cell>
          <cell r="G42">
            <v>0.28000000000000003</v>
          </cell>
          <cell r="H42">
            <v>45</v>
          </cell>
          <cell r="I42">
            <v>1001304507230</v>
          </cell>
          <cell r="L42">
            <v>0</v>
          </cell>
          <cell r="O42">
            <v>250</v>
          </cell>
          <cell r="P42">
            <v>0</v>
          </cell>
          <cell r="Q42">
            <v>160</v>
          </cell>
          <cell r="R42">
            <v>160</v>
          </cell>
          <cell r="S42">
            <v>0</v>
          </cell>
          <cell r="T42">
            <v>-410</v>
          </cell>
        </row>
        <row r="43">
          <cell r="A43" t="str">
            <v>7231 КЛАССИЧЕСКАЯ ПМ вар п/о 0.3кг 8шт_209к  ОСТАНКИНО</v>
          </cell>
          <cell r="B43" t="str">
            <v>шт</v>
          </cell>
          <cell r="C43">
            <v>197</v>
          </cell>
          <cell r="F43">
            <v>62</v>
          </cell>
          <cell r="G43">
            <v>0.3</v>
          </cell>
          <cell r="H43">
            <v>60</v>
          </cell>
          <cell r="I43">
            <v>1001013957231</v>
          </cell>
          <cell r="L43">
            <v>0</v>
          </cell>
          <cell r="O43">
            <v>200</v>
          </cell>
          <cell r="P43">
            <v>120</v>
          </cell>
          <cell r="Q43">
            <v>160</v>
          </cell>
          <cell r="S43">
            <v>0</v>
          </cell>
          <cell r="T43">
            <v>-542</v>
          </cell>
        </row>
        <row r="44">
          <cell r="A44" t="str">
            <v>7332 БОЯРСКАЯ ПМ п/к в/у 0.28кг_СНГ  ОСТАНКИНО</v>
          </cell>
          <cell r="B44" t="str">
            <v>шт</v>
          </cell>
          <cell r="C44">
            <v>116</v>
          </cell>
          <cell r="G44">
            <v>0.28000000000000003</v>
          </cell>
          <cell r="I44">
            <v>1001301777332</v>
          </cell>
          <cell r="L44">
            <v>0</v>
          </cell>
          <cell r="O44">
            <v>200</v>
          </cell>
          <cell r="P44">
            <v>0</v>
          </cell>
          <cell r="Q44">
            <v>160</v>
          </cell>
          <cell r="R44">
            <v>160</v>
          </cell>
          <cell r="S44">
            <v>0</v>
          </cell>
          <cell r="T44">
            <v>-360</v>
          </cell>
        </row>
        <row r="45">
          <cell r="A45" t="str">
            <v>7333 СЕРВЕЛАТ ОХОТНИЧИЙ ПМ в/к в/у 0.28кг_СНГ  ОСТАНКИНО</v>
          </cell>
          <cell r="B45" t="str">
            <v>шт</v>
          </cell>
          <cell r="C45">
            <v>426</v>
          </cell>
          <cell r="E45">
            <v>160</v>
          </cell>
          <cell r="F45">
            <v>96</v>
          </cell>
          <cell r="G45">
            <v>0.28000000000000003</v>
          </cell>
          <cell r="H45">
            <v>50</v>
          </cell>
          <cell r="I45" t="str">
            <v>матрица</v>
          </cell>
          <cell r="L45">
            <v>160</v>
          </cell>
          <cell r="O45">
            <v>160</v>
          </cell>
          <cell r="P45">
            <v>0</v>
          </cell>
          <cell r="Q45">
            <v>280</v>
          </cell>
          <cell r="R45">
            <v>200</v>
          </cell>
          <cell r="S45">
            <v>32</v>
          </cell>
          <cell r="T45">
            <v>40</v>
          </cell>
        </row>
        <row r="46">
          <cell r="A46" t="str">
            <v>ШПИКАЧКИ СОЧНЫЕ сар б/о мгс 1*3_Ашан_45с</v>
          </cell>
          <cell r="G46">
            <v>1</v>
          </cell>
          <cell r="I46">
            <v>1001031076548</v>
          </cell>
          <cell r="L46">
            <v>0</v>
          </cell>
          <cell r="O46">
            <v>0</v>
          </cell>
          <cell r="P46">
            <v>0</v>
          </cell>
          <cell r="Q46">
            <v>0</v>
          </cell>
          <cell r="S46">
            <v>0</v>
          </cell>
          <cell r="T4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P1" sqref="AP1"/>
    </sheetView>
  </sheetViews>
  <sheetFormatPr defaultRowHeight="15" x14ac:dyDescent="0.25"/>
  <cols>
    <col min="1" max="1" width="54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5.28515625" customWidth="1"/>
    <col min="10" max="10" width="1" customWidth="1"/>
    <col min="11" max="14" width="0.5703125" customWidth="1"/>
    <col min="15" max="19" width="7" customWidth="1"/>
    <col min="20" max="20" width="7" style="18" customWidth="1"/>
    <col min="21" max="21" width="7" customWidth="1"/>
    <col min="22" max="22" width="13.5703125" customWidth="1"/>
    <col min="23" max="24" width="5" customWidth="1"/>
    <col min="25" max="32" width="6" customWidth="1"/>
    <col min="33" max="33" width="33.28515625" customWidth="1"/>
    <col min="34" max="35" width="7" customWidth="1"/>
    <col min="36" max="52" width="3" customWidth="1"/>
  </cols>
  <sheetData>
    <row r="1" spans="1:52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87</v>
      </c>
      <c r="T3" s="2" t="s">
        <v>87</v>
      </c>
      <c r="U3" s="6" t="s">
        <v>16</v>
      </c>
      <c r="V3" s="6" t="s">
        <v>17</v>
      </c>
      <c r="W3" s="1" t="s">
        <v>18</v>
      </c>
      <c r="X3" s="1" t="s">
        <v>19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20</v>
      </c>
      <c r="AG3" s="1" t="s">
        <v>21</v>
      </c>
      <c r="AH3" s="1" t="s">
        <v>22</v>
      </c>
      <c r="AI3" s="1" t="s">
        <v>22</v>
      </c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23</v>
      </c>
      <c r="P4" s="9" t="s">
        <v>24</v>
      </c>
      <c r="Q4" s="9" t="s">
        <v>25</v>
      </c>
      <c r="R4" s="9" t="s">
        <v>26</v>
      </c>
      <c r="S4" s="9" t="s">
        <v>88</v>
      </c>
      <c r="T4" s="9" t="s">
        <v>89</v>
      </c>
      <c r="U4" s="9"/>
      <c r="V4" s="9"/>
      <c r="W4" s="9"/>
      <c r="X4" s="9"/>
      <c r="Y4" s="9" t="s">
        <v>23</v>
      </c>
      <c r="Z4" s="9" t="s">
        <v>27</v>
      </c>
      <c r="AA4" s="9" t="s">
        <v>28</v>
      </c>
      <c r="AB4" s="9" t="s">
        <v>29</v>
      </c>
      <c r="AC4" s="9" t="s">
        <v>30</v>
      </c>
      <c r="AD4" s="9" t="s">
        <v>31</v>
      </c>
      <c r="AE4" s="9" t="s">
        <v>32</v>
      </c>
      <c r="AF4" s="9" t="s">
        <v>33</v>
      </c>
      <c r="AG4" s="9"/>
      <c r="AH4" s="9" t="s">
        <v>88</v>
      </c>
      <c r="AI4" s="9" t="s">
        <v>89</v>
      </c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 x14ac:dyDescent="0.25">
      <c r="A5" s="9"/>
      <c r="B5" s="9"/>
      <c r="C5" s="9"/>
      <c r="D5" s="9"/>
      <c r="E5" s="3">
        <f>SUM(E6:E498)</f>
        <v>4645.4179999999997</v>
      </c>
      <c r="F5" s="3">
        <f>SUM(F6:F498)</f>
        <v>3083.1990000000001</v>
      </c>
      <c r="G5" s="7"/>
      <c r="H5" s="9"/>
      <c r="I5" s="9"/>
      <c r="J5" s="9"/>
      <c r="K5" s="3">
        <f t="shared" ref="K5:U5" si="0">SUM(K6:K498)</f>
        <v>0</v>
      </c>
      <c r="L5" s="3">
        <f t="shared" si="0"/>
        <v>4645.4179999999997</v>
      </c>
      <c r="M5" s="3">
        <f t="shared" si="0"/>
        <v>0</v>
      </c>
      <c r="N5" s="3">
        <f t="shared" si="0"/>
        <v>0</v>
      </c>
      <c r="O5" s="3">
        <f t="shared" si="0"/>
        <v>11240</v>
      </c>
      <c r="P5" s="3">
        <f t="shared" si="0"/>
        <v>5120</v>
      </c>
      <c r="Q5" s="3">
        <f t="shared" si="0"/>
        <v>6920</v>
      </c>
      <c r="R5" s="3">
        <f t="shared" si="0"/>
        <v>929.08360000000005</v>
      </c>
      <c r="S5" s="3">
        <f t="shared" si="0"/>
        <v>6540</v>
      </c>
      <c r="T5" s="3">
        <f t="shared" ref="T5" si="1">SUM(T6:T498)</f>
        <v>2000</v>
      </c>
      <c r="U5" s="3">
        <f t="shared" si="0"/>
        <v>0</v>
      </c>
      <c r="V5" s="9"/>
      <c r="W5" s="9"/>
      <c r="X5" s="9"/>
      <c r="Y5" s="3">
        <f t="shared" ref="Y5:AF5" si="2">SUM(Y6:Y498)</f>
        <v>748.95119999999997</v>
      </c>
      <c r="Z5" s="3">
        <f t="shared" si="2"/>
        <v>2669.4738000000002</v>
      </c>
      <c r="AA5" s="3">
        <f t="shared" si="2"/>
        <v>1399.5237999999999</v>
      </c>
      <c r="AB5" s="3">
        <f t="shared" si="2"/>
        <v>895.18100000000015</v>
      </c>
      <c r="AC5" s="3">
        <f t="shared" si="2"/>
        <v>1459.7238000000002</v>
      </c>
      <c r="AD5" s="3">
        <f t="shared" si="2"/>
        <v>1235.4252000000001</v>
      </c>
      <c r="AE5" s="3">
        <f t="shared" si="2"/>
        <v>1449.2138</v>
      </c>
      <c r="AF5" s="3">
        <f t="shared" si="2"/>
        <v>1498.3048000000001</v>
      </c>
      <c r="AG5" s="9"/>
      <c r="AH5" s="3">
        <f>SUM(AH6:AH498)</f>
        <v>3036.4000000000005</v>
      </c>
      <c r="AI5" s="3">
        <f>SUM(AI6:AI498)</f>
        <v>500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 x14ac:dyDescent="0.25">
      <c r="A6" s="9" t="s">
        <v>34</v>
      </c>
      <c r="B6" s="9" t="s">
        <v>35</v>
      </c>
      <c r="C6" s="9">
        <v>112.1</v>
      </c>
      <c r="D6" s="9"/>
      <c r="E6" s="9">
        <v>99.575999999999993</v>
      </c>
      <c r="F6" s="9">
        <v>8.92</v>
      </c>
      <c r="G6" s="7">
        <v>1</v>
      </c>
      <c r="H6" s="9">
        <v>45</v>
      </c>
      <c r="I6" s="9" t="s">
        <v>36</v>
      </c>
      <c r="J6" s="9"/>
      <c r="K6" s="9"/>
      <c r="L6" s="9">
        <f t="shared" ref="L6:L46" si="3">E6-K6</f>
        <v>99.575999999999993</v>
      </c>
      <c r="M6" s="9"/>
      <c r="N6" s="9"/>
      <c r="O6" s="9">
        <v>200</v>
      </c>
      <c r="P6" s="9">
        <v>50</v>
      </c>
      <c r="Q6" s="9">
        <v>100</v>
      </c>
      <c r="R6" s="9">
        <f t="shared" ref="R6:R46" si="4">E6/5</f>
        <v>19.915199999999999</v>
      </c>
      <c r="S6" s="4">
        <v>120</v>
      </c>
      <c r="T6" s="4">
        <f>IFERROR(VLOOKUP(A6,[1]Sheet!$A$1:$U$65536,21,0),0)</f>
        <v>0</v>
      </c>
      <c r="U6" s="4"/>
      <c r="V6" s="9">
        <v>39.383999999999972</v>
      </c>
      <c r="W6" s="9">
        <f t="shared" ref="W6:W46" si="5">(F6+O6+P6+Q6+S6)/R6</f>
        <v>24.047963364666185</v>
      </c>
      <c r="X6" s="9">
        <f t="shared" ref="X6:X46" si="6">(F6+O6+P6+Q6)/R6</f>
        <v>18.022415039768617</v>
      </c>
      <c r="Y6" s="9">
        <v>6.8971999999999998</v>
      </c>
      <c r="Z6" s="9">
        <v>47.304199999999987</v>
      </c>
      <c r="AA6" s="9">
        <v>22.1328</v>
      </c>
      <c r="AB6" s="9">
        <v>11.405799999999999</v>
      </c>
      <c r="AC6" s="9">
        <v>22.1328</v>
      </c>
      <c r="AD6" s="9">
        <v>23.523</v>
      </c>
      <c r="AE6" s="9">
        <v>24.957999999999998</v>
      </c>
      <c r="AF6" s="9">
        <v>37.103200000000001</v>
      </c>
      <c r="AG6" s="9"/>
      <c r="AH6" s="9">
        <f>G6*S6</f>
        <v>120</v>
      </c>
      <c r="AI6" s="9">
        <f>G6*T6</f>
        <v>0</v>
      </c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:52" x14ac:dyDescent="0.25">
      <c r="A7" s="9" t="s">
        <v>37</v>
      </c>
      <c r="B7" s="9" t="s">
        <v>38</v>
      </c>
      <c r="C7" s="9">
        <v>351</v>
      </c>
      <c r="D7" s="9"/>
      <c r="E7" s="9">
        <v>327</v>
      </c>
      <c r="F7" s="9">
        <v>8</v>
      </c>
      <c r="G7" s="7">
        <v>0.35</v>
      </c>
      <c r="H7" s="9">
        <v>45</v>
      </c>
      <c r="I7" s="9" t="s">
        <v>36</v>
      </c>
      <c r="J7" s="9"/>
      <c r="K7" s="9"/>
      <c r="L7" s="9">
        <f t="shared" si="3"/>
        <v>327</v>
      </c>
      <c r="M7" s="9"/>
      <c r="N7" s="9"/>
      <c r="O7" s="9">
        <v>800</v>
      </c>
      <c r="P7" s="9">
        <v>300</v>
      </c>
      <c r="Q7" s="9">
        <v>200</v>
      </c>
      <c r="R7" s="9">
        <f t="shared" si="4"/>
        <v>65.400000000000006</v>
      </c>
      <c r="S7" s="4">
        <v>360</v>
      </c>
      <c r="T7" s="4">
        <f>IFERROR(VLOOKUP(A7,[1]Sheet!$A$1:$U$65536,21,0),0)</f>
        <v>0</v>
      </c>
      <c r="U7" s="4"/>
      <c r="V7" s="9"/>
      <c r="W7" s="9">
        <f t="shared" si="5"/>
        <v>25.5045871559633</v>
      </c>
      <c r="X7" s="9">
        <f t="shared" si="6"/>
        <v>20</v>
      </c>
      <c r="Y7" s="9">
        <v>26.2</v>
      </c>
      <c r="Z7" s="9">
        <v>224.2</v>
      </c>
      <c r="AA7" s="9">
        <v>103.2</v>
      </c>
      <c r="AB7" s="9">
        <v>58.6</v>
      </c>
      <c r="AC7" s="9">
        <v>103.2</v>
      </c>
      <c r="AD7" s="9">
        <v>82</v>
      </c>
      <c r="AE7" s="9">
        <v>113</v>
      </c>
      <c r="AF7" s="9">
        <v>115.2</v>
      </c>
      <c r="AG7" s="9"/>
      <c r="AH7" s="9">
        <f>G7*S7</f>
        <v>125.99999999999999</v>
      </c>
      <c r="AI7" s="9">
        <f t="shared" ref="AI7:AI46" si="7">G7*T7</f>
        <v>0</v>
      </c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 x14ac:dyDescent="0.25">
      <c r="A8" s="9" t="s">
        <v>39</v>
      </c>
      <c r="B8" s="9" t="s">
        <v>35</v>
      </c>
      <c r="C8" s="9">
        <v>47.4</v>
      </c>
      <c r="D8" s="9"/>
      <c r="E8" s="9">
        <v>31.15</v>
      </c>
      <c r="F8" s="9">
        <v>4.056</v>
      </c>
      <c r="G8" s="7">
        <v>1</v>
      </c>
      <c r="H8" s="9">
        <v>45</v>
      </c>
      <c r="I8" s="9" t="s">
        <v>36</v>
      </c>
      <c r="J8" s="9"/>
      <c r="K8" s="9"/>
      <c r="L8" s="9">
        <f t="shared" si="3"/>
        <v>31.15</v>
      </c>
      <c r="M8" s="9"/>
      <c r="N8" s="9"/>
      <c r="O8" s="9">
        <v>150</v>
      </c>
      <c r="P8" s="9">
        <v>50</v>
      </c>
      <c r="Q8" s="9">
        <v>80</v>
      </c>
      <c r="R8" s="9">
        <f t="shared" si="4"/>
        <v>6.2299999999999995</v>
      </c>
      <c r="S8" s="4">
        <v>150</v>
      </c>
      <c r="T8" s="4">
        <f>IFERROR(VLOOKUP(A8,[1]Sheet!$A$1:$U$65536,21,0),0)</f>
        <v>0</v>
      </c>
      <c r="U8" s="4"/>
      <c r="V8" s="9"/>
      <c r="W8" s="9">
        <f t="shared" si="5"/>
        <v>69.671910112359569</v>
      </c>
      <c r="X8" s="9">
        <f t="shared" si="6"/>
        <v>45.594863563402896</v>
      </c>
      <c r="Y8" s="9">
        <v>8.3230000000000004</v>
      </c>
      <c r="Z8" s="9">
        <v>25.483599999999999</v>
      </c>
      <c r="AA8" s="9">
        <v>14.5526</v>
      </c>
      <c r="AB8" s="9">
        <v>1.5815999999999999</v>
      </c>
      <c r="AC8" s="9">
        <v>14.5526</v>
      </c>
      <c r="AD8" s="9">
        <v>18.255800000000001</v>
      </c>
      <c r="AE8" s="9">
        <v>18.2606</v>
      </c>
      <c r="AF8" s="9">
        <v>18.8154</v>
      </c>
      <c r="AG8" s="9"/>
      <c r="AH8" s="9">
        <f>G8*S8</f>
        <v>150</v>
      </c>
      <c r="AI8" s="9">
        <f t="shared" si="7"/>
        <v>0</v>
      </c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 x14ac:dyDescent="0.25">
      <c r="A9" s="9" t="s">
        <v>40</v>
      </c>
      <c r="B9" s="9" t="s">
        <v>38</v>
      </c>
      <c r="C9" s="9">
        <v>40</v>
      </c>
      <c r="D9" s="9"/>
      <c r="E9" s="9"/>
      <c r="F9" s="9">
        <v>30</v>
      </c>
      <c r="G9" s="7">
        <v>0.1</v>
      </c>
      <c r="H9" s="9">
        <v>60</v>
      </c>
      <c r="I9" s="9">
        <v>1001191975179</v>
      </c>
      <c r="J9" s="9"/>
      <c r="K9" s="9"/>
      <c r="L9" s="9">
        <f t="shared" si="3"/>
        <v>0</v>
      </c>
      <c r="M9" s="9"/>
      <c r="N9" s="9"/>
      <c r="O9" s="9">
        <v>150</v>
      </c>
      <c r="P9" s="9">
        <v>100</v>
      </c>
      <c r="Q9" s="9">
        <v>160</v>
      </c>
      <c r="R9" s="9">
        <f t="shared" si="4"/>
        <v>0</v>
      </c>
      <c r="S9" s="4"/>
      <c r="T9" s="4">
        <f>IFERROR(VLOOKUP(A9,[1]Sheet!$A$1:$U$65536,21,0),0)</f>
        <v>0</v>
      </c>
      <c r="U9" s="4"/>
      <c r="V9" s="9"/>
      <c r="W9" s="9" t="e">
        <f t="shared" si="5"/>
        <v>#DIV/0!</v>
      </c>
      <c r="X9" s="9" t="e">
        <f t="shared" si="6"/>
        <v>#DIV/0!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15" t="s">
        <v>86</v>
      </c>
      <c r="AH9" s="9">
        <f>G9*S9</f>
        <v>0</v>
      </c>
      <c r="AI9" s="9">
        <f t="shared" si="7"/>
        <v>0</v>
      </c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 x14ac:dyDescent="0.25">
      <c r="A10" s="11" t="s">
        <v>42</v>
      </c>
      <c r="B10" s="11" t="s">
        <v>38</v>
      </c>
      <c r="C10" s="11">
        <v>-2</v>
      </c>
      <c r="D10" s="11"/>
      <c r="E10" s="11"/>
      <c r="F10" s="14">
        <v>-2</v>
      </c>
      <c r="G10" s="12">
        <v>0</v>
      </c>
      <c r="H10" s="11"/>
      <c r="I10" s="11" t="s">
        <v>43</v>
      </c>
      <c r="J10" s="11" t="s">
        <v>44</v>
      </c>
      <c r="K10" s="11"/>
      <c r="L10" s="11">
        <f t="shared" si="3"/>
        <v>0</v>
      </c>
      <c r="M10" s="11"/>
      <c r="N10" s="11"/>
      <c r="O10" s="11">
        <v>0</v>
      </c>
      <c r="P10" s="11">
        <v>0</v>
      </c>
      <c r="Q10" s="11">
        <v>0</v>
      </c>
      <c r="R10" s="11">
        <f t="shared" si="4"/>
        <v>0</v>
      </c>
      <c r="S10" s="4"/>
      <c r="T10" s="4">
        <f>IFERROR(VLOOKUP(A10,[1]Sheet!$A$1:$U$65536,21,0),0)</f>
        <v>0</v>
      </c>
      <c r="U10" s="13"/>
      <c r="V10" s="11"/>
      <c r="W10" s="11" t="e">
        <f t="shared" si="5"/>
        <v>#DIV/0!</v>
      </c>
      <c r="X10" s="11" t="e">
        <f t="shared" si="6"/>
        <v>#DIV/0!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/>
      <c r="AH10" s="11"/>
      <c r="AI10" s="9">
        <f t="shared" si="7"/>
        <v>0</v>
      </c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 x14ac:dyDescent="0.25">
      <c r="A11" s="9" t="s">
        <v>45</v>
      </c>
      <c r="B11" s="9" t="s">
        <v>38</v>
      </c>
      <c r="C11" s="9">
        <v>270</v>
      </c>
      <c r="D11" s="9"/>
      <c r="E11" s="9">
        <v>232</v>
      </c>
      <c r="F11" s="9">
        <v>8</v>
      </c>
      <c r="G11" s="7">
        <v>0.35</v>
      </c>
      <c r="H11" s="9">
        <v>45</v>
      </c>
      <c r="I11" s="9" t="s">
        <v>36</v>
      </c>
      <c r="J11" s="9"/>
      <c r="K11" s="9"/>
      <c r="L11" s="9">
        <f t="shared" si="3"/>
        <v>232</v>
      </c>
      <c r="M11" s="9"/>
      <c r="N11" s="9"/>
      <c r="O11" s="9">
        <v>600</v>
      </c>
      <c r="P11" s="9">
        <v>300</v>
      </c>
      <c r="Q11" s="9">
        <v>400</v>
      </c>
      <c r="R11" s="9">
        <f t="shared" si="4"/>
        <v>46.4</v>
      </c>
      <c r="S11" s="4">
        <v>200</v>
      </c>
      <c r="T11" s="4">
        <f>IFERROR(VLOOKUP(A11,[1]Sheet!$A$1:$U$65536,21,0),0)</f>
        <v>0</v>
      </c>
      <c r="U11" s="4"/>
      <c r="V11" s="9"/>
      <c r="W11" s="9">
        <f t="shared" si="5"/>
        <v>32.5</v>
      </c>
      <c r="X11" s="9">
        <f t="shared" si="6"/>
        <v>28.189655172413794</v>
      </c>
      <c r="Y11" s="9">
        <v>36.4</v>
      </c>
      <c r="Z11" s="9">
        <v>187.6</v>
      </c>
      <c r="AA11" s="9">
        <v>81.2</v>
      </c>
      <c r="AB11" s="9">
        <v>32.200000000000003</v>
      </c>
      <c r="AC11" s="9">
        <v>81.2</v>
      </c>
      <c r="AD11" s="9">
        <v>47.6</v>
      </c>
      <c r="AE11" s="9">
        <v>66.8</v>
      </c>
      <c r="AF11" s="9">
        <v>76</v>
      </c>
      <c r="AG11" s="9"/>
      <c r="AH11" s="9">
        <f t="shared" ref="AH11:AH16" si="8">G11*S11</f>
        <v>70</v>
      </c>
      <c r="AI11" s="9">
        <f t="shared" si="7"/>
        <v>0</v>
      </c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 x14ac:dyDescent="0.25">
      <c r="A12" s="9" t="s">
        <v>46</v>
      </c>
      <c r="B12" s="9" t="s">
        <v>38</v>
      </c>
      <c r="C12" s="9">
        <v>43</v>
      </c>
      <c r="D12" s="9"/>
      <c r="E12" s="9"/>
      <c r="F12" s="9">
        <v>29</v>
      </c>
      <c r="G12" s="7">
        <v>0.15</v>
      </c>
      <c r="H12" s="9">
        <v>60</v>
      </c>
      <c r="I12" s="9">
        <v>1001190765681</v>
      </c>
      <c r="J12" s="9"/>
      <c r="K12" s="9"/>
      <c r="L12" s="9">
        <f t="shared" si="3"/>
        <v>0</v>
      </c>
      <c r="M12" s="9"/>
      <c r="N12" s="9"/>
      <c r="O12" s="9">
        <v>150</v>
      </c>
      <c r="P12" s="9">
        <v>100</v>
      </c>
      <c r="Q12" s="9">
        <v>160</v>
      </c>
      <c r="R12" s="9">
        <f t="shared" si="4"/>
        <v>0</v>
      </c>
      <c r="S12" s="4"/>
      <c r="T12" s="4">
        <f>IFERROR(VLOOKUP(A12,[1]Sheet!$A$1:$U$65536,21,0),0)</f>
        <v>0</v>
      </c>
      <c r="U12" s="4"/>
      <c r="V12" s="9"/>
      <c r="W12" s="9" t="e">
        <f t="shared" si="5"/>
        <v>#DIV/0!</v>
      </c>
      <c r="X12" s="9" t="e">
        <f t="shared" si="6"/>
        <v>#DIV/0!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15" t="s">
        <v>86</v>
      </c>
      <c r="AH12" s="9">
        <f t="shared" si="8"/>
        <v>0</v>
      </c>
      <c r="AI12" s="9">
        <f t="shared" si="7"/>
        <v>0</v>
      </c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 x14ac:dyDescent="0.25">
      <c r="A13" s="9" t="s">
        <v>47</v>
      </c>
      <c r="B13" s="9" t="s">
        <v>38</v>
      </c>
      <c r="C13" s="9">
        <v>798</v>
      </c>
      <c r="D13" s="9"/>
      <c r="E13" s="9">
        <v>398</v>
      </c>
      <c r="F13" s="9">
        <v>374</v>
      </c>
      <c r="G13" s="7">
        <v>0.4</v>
      </c>
      <c r="H13" s="9">
        <v>60</v>
      </c>
      <c r="I13" s="9" t="s">
        <v>36</v>
      </c>
      <c r="J13" s="9"/>
      <c r="K13" s="9"/>
      <c r="L13" s="9">
        <f t="shared" si="3"/>
        <v>398</v>
      </c>
      <c r="M13" s="9"/>
      <c r="N13" s="9"/>
      <c r="O13" s="9">
        <v>400</v>
      </c>
      <c r="P13" s="9">
        <v>200</v>
      </c>
      <c r="Q13" s="9">
        <v>0</v>
      </c>
      <c r="R13" s="9">
        <f t="shared" si="4"/>
        <v>79.599999999999994</v>
      </c>
      <c r="S13" s="4">
        <v>320</v>
      </c>
      <c r="T13" s="4">
        <f>IFERROR(VLOOKUP(A13,[1]Sheet!$A$1:$U$65536,21,0),0)</f>
        <v>0</v>
      </c>
      <c r="U13" s="4"/>
      <c r="V13" s="9">
        <v>618</v>
      </c>
      <c r="W13" s="9">
        <f t="shared" si="5"/>
        <v>16.256281407035178</v>
      </c>
      <c r="X13" s="9">
        <f t="shared" si="6"/>
        <v>12.236180904522614</v>
      </c>
      <c r="Y13" s="9">
        <v>41.8</v>
      </c>
      <c r="Z13" s="9">
        <v>123</v>
      </c>
      <c r="AA13" s="9">
        <v>80</v>
      </c>
      <c r="AB13" s="9">
        <v>72.8</v>
      </c>
      <c r="AC13" s="9">
        <v>140.19999999999999</v>
      </c>
      <c r="AD13" s="9">
        <v>55.2</v>
      </c>
      <c r="AE13" s="9">
        <v>68.400000000000006</v>
      </c>
      <c r="AF13" s="9">
        <v>154.19999999999999</v>
      </c>
      <c r="AG13" s="9"/>
      <c r="AH13" s="9">
        <f t="shared" si="8"/>
        <v>128</v>
      </c>
      <c r="AI13" s="9">
        <f t="shared" si="7"/>
        <v>0</v>
      </c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spans="1:52" x14ac:dyDescent="0.25">
      <c r="A14" s="9" t="s">
        <v>49</v>
      </c>
      <c r="B14" s="9" t="s">
        <v>35</v>
      </c>
      <c r="C14" s="9"/>
      <c r="D14" s="9"/>
      <c r="E14" s="9"/>
      <c r="F14" s="9"/>
      <c r="G14" s="7">
        <v>1</v>
      </c>
      <c r="H14" s="9">
        <v>60</v>
      </c>
      <c r="I14" s="9" t="s">
        <v>36</v>
      </c>
      <c r="J14" s="9"/>
      <c r="K14" s="9"/>
      <c r="L14" s="9">
        <f t="shared" si="3"/>
        <v>0</v>
      </c>
      <c r="M14" s="9"/>
      <c r="N14" s="9"/>
      <c r="O14" s="9">
        <v>100</v>
      </c>
      <c r="P14" s="9">
        <v>50</v>
      </c>
      <c r="Q14" s="9">
        <v>50</v>
      </c>
      <c r="R14" s="9">
        <f t="shared" si="4"/>
        <v>0</v>
      </c>
      <c r="S14" s="4">
        <v>30</v>
      </c>
      <c r="T14" s="4">
        <f>IFERROR(VLOOKUP(A14,[1]Sheet!$A$1:$U$65536,21,0),0)</f>
        <v>0</v>
      </c>
      <c r="U14" s="4"/>
      <c r="V14" s="9"/>
      <c r="W14" s="9" t="e">
        <f t="shared" si="5"/>
        <v>#DIV/0!</v>
      </c>
      <c r="X14" s="9" t="e">
        <f t="shared" si="6"/>
        <v>#DIV/0!</v>
      </c>
      <c r="Y14" s="9">
        <v>7.2688000000000006</v>
      </c>
      <c r="Z14" s="9">
        <v>15.963800000000001</v>
      </c>
      <c r="AA14" s="9">
        <v>7.7178000000000004</v>
      </c>
      <c r="AB14" s="9">
        <v>4.7084000000000001</v>
      </c>
      <c r="AC14" s="9">
        <v>7.7178000000000004</v>
      </c>
      <c r="AD14" s="9">
        <v>7.7827999999999999</v>
      </c>
      <c r="AE14" s="9">
        <v>5.1351999999999993</v>
      </c>
      <c r="AF14" s="9">
        <v>8.2263999999999999</v>
      </c>
      <c r="AG14" s="9"/>
      <c r="AH14" s="9">
        <f t="shared" si="8"/>
        <v>30</v>
      </c>
      <c r="AI14" s="9">
        <f t="shared" si="7"/>
        <v>0</v>
      </c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x14ac:dyDescent="0.25">
      <c r="A15" s="9" t="s">
        <v>50</v>
      </c>
      <c r="B15" s="9" t="s">
        <v>38</v>
      </c>
      <c r="C15" s="9">
        <v>280</v>
      </c>
      <c r="D15" s="9"/>
      <c r="E15" s="9">
        <v>275</v>
      </c>
      <c r="F15" s="9"/>
      <c r="G15" s="7">
        <v>0.4</v>
      </c>
      <c r="H15" s="9">
        <v>60</v>
      </c>
      <c r="I15" s="9" t="s">
        <v>36</v>
      </c>
      <c r="J15" s="9"/>
      <c r="K15" s="9"/>
      <c r="L15" s="9">
        <f t="shared" si="3"/>
        <v>275</v>
      </c>
      <c r="M15" s="9"/>
      <c r="N15" s="9"/>
      <c r="O15" s="9">
        <v>700</v>
      </c>
      <c r="P15" s="9">
        <v>200</v>
      </c>
      <c r="Q15" s="9">
        <v>320</v>
      </c>
      <c r="R15" s="9">
        <f t="shared" si="4"/>
        <v>55</v>
      </c>
      <c r="S15" s="4">
        <v>320</v>
      </c>
      <c r="T15" s="4">
        <f>IFERROR(VLOOKUP(A15,[1]Sheet!$A$1:$U$65536,21,0),0)</f>
        <v>0</v>
      </c>
      <c r="U15" s="4"/>
      <c r="V15" s="9"/>
      <c r="W15" s="9">
        <f t="shared" si="5"/>
        <v>28</v>
      </c>
      <c r="X15" s="9">
        <f t="shared" si="6"/>
        <v>22.181818181818183</v>
      </c>
      <c r="Y15" s="9">
        <v>43.6</v>
      </c>
      <c r="Z15" s="9">
        <v>134.19999999999999</v>
      </c>
      <c r="AA15" s="9">
        <v>57</v>
      </c>
      <c r="AB15" s="9">
        <v>51.2</v>
      </c>
      <c r="AC15" s="9">
        <v>57</v>
      </c>
      <c r="AD15" s="9">
        <v>57.2</v>
      </c>
      <c r="AE15" s="9">
        <v>64.400000000000006</v>
      </c>
      <c r="AF15" s="9">
        <v>60</v>
      </c>
      <c r="AG15" s="9"/>
      <c r="AH15" s="9">
        <f t="shared" si="8"/>
        <v>128</v>
      </c>
      <c r="AI15" s="9">
        <f t="shared" si="7"/>
        <v>0</v>
      </c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x14ac:dyDescent="0.25">
      <c r="A16" s="9" t="s">
        <v>52</v>
      </c>
      <c r="B16" s="9" t="s">
        <v>35</v>
      </c>
      <c r="C16" s="9">
        <v>50.6</v>
      </c>
      <c r="D16" s="9"/>
      <c r="E16" s="9">
        <v>45.408000000000001</v>
      </c>
      <c r="F16" s="9">
        <v>-0.246</v>
      </c>
      <c r="G16" s="7">
        <v>1</v>
      </c>
      <c r="H16" s="9">
        <v>60</v>
      </c>
      <c r="I16" s="9" t="s">
        <v>36</v>
      </c>
      <c r="J16" s="9"/>
      <c r="K16" s="9"/>
      <c r="L16" s="9">
        <f t="shared" si="3"/>
        <v>45.408000000000001</v>
      </c>
      <c r="M16" s="9"/>
      <c r="N16" s="9"/>
      <c r="O16" s="9">
        <v>80</v>
      </c>
      <c r="P16" s="9">
        <v>50</v>
      </c>
      <c r="Q16" s="9">
        <v>30</v>
      </c>
      <c r="R16" s="9">
        <f t="shared" si="4"/>
        <v>9.0815999999999999</v>
      </c>
      <c r="S16" s="4">
        <v>50</v>
      </c>
      <c r="T16" s="4">
        <f>IFERROR(VLOOKUP(A16,[1]Sheet!$A$1:$U$65536,21,0),0)</f>
        <v>0</v>
      </c>
      <c r="U16" s="4"/>
      <c r="V16" s="9">
        <v>21.878000000000004</v>
      </c>
      <c r="W16" s="9">
        <f t="shared" si="5"/>
        <v>23.09659090909091</v>
      </c>
      <c r="X16" s="9">
        <f t="shared" si="6"/>
        <v>17.590953136011279</v>
      </c>
      <c r="Y16" s="9">
        <v>7.0063999999999993</v>
      </c>
      <c r="Z16" s="9">
        <v>13.821999999999999</v>
      </c>
      <c r="AA16" s="9">
        <v>10.1762</v>
      </c>
      <c r="AB16" s="9">
        <v>-0.82479999999999998</v>
      </c>
      <c r="AC16" s="9">
        <v>10.1762</v>
      </c>
      <c r="AD16" s="9">
        <v>11.0776</v>
      </c>
      <c r="AE16" s="9">
        <v>6.9219999999999997</v>
      </c>
      <c r="AF16" s="9">
        <v>2.5983999999999998</v>
      </c>
      <c r="AG16" s="9"/>
      <c r="AH16" s="9">
        <f t="shared" si="8"/>
        <v>50</v>
      </c>
      <c r="AI16" s="9">
        <f t="shared" si="7"/>
        <v>0</v>
      </c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x14ac:dyDescent="0.25">
      <c r="A17" s="11" t="s">
        <v>53</v>
      </c>
      <c r="B17" s="11" t="s">
        <v>38</v>
      </c>
      <c r="C17" s="11">
        <v>-3</v>
      </c>
      <c r="D17" s="11"/>
      <c r="E17" s="11"/>
      <c r="F17" s="14">
        <v>-3</v>
      </c>
      <c r="G17" s="12">
        <v>0</v>
      </c>
      <c r="H17" s="11"/>
      <c r="I17" s="11" t="s">
        <v>43</v>
      </c>
      <c r="J17" s="11" t="s">
        <v>54</v>
      </c>
      <c r="K17" s="11"/>
      <c r="L17" s="11">
        <f t="shared" si="3"/>
        <v>0</v>
      </c>
      <c r="M17" s="11"/>
      <c r="N17" s="11"/>
      <c r="O17" s="11">
        <v>0</v>
      </c>
      <c r="P17" s="11">
        <v>0</v>
      </c>
      <c r="Q17" s="11">
        <v>0</v>
      </c>
      <c r="R17" s="11">
        <f t="shared" si="4"/>
        <v>0</v>
      </c>
      <c r="S17" s="4"/>
      <c r="T17" s="4">
        <f>IFERROR(VLOOKUP(A17,[1]Sheet!$A$1:$U$65536,21,0),0)</f>
        <v>0</v>
      </c>
      <c r="U17" s="13"/>
      <c r="V17" s="11"/>
      <c r="W17" s="11" t="e">
        <f t="shared" si="5"/>
        <v>#DIV/0!</v>
      </c>
      <c r="X17" s="11" t="e">
        <f t="shared" si="6"/>
        <v>#DIV/0!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/>
      <c r="AH17" s="11"/>
      <c r="AI17" s="9">
        <f t="shared" si="7"/>
        <v>0</v>
      </c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x14ac:dyDescent="0.25">
      <c r="A18" s="9" t="s">
        <v>55</v>
      </c>
      <c r="B18" s="9" t="s">
        <v>35</v>
      </c>
      <c r="C18" s="9">
        <v>38.5</v>
      </c>
      <c r="D18" s="9"/>
      <c r="E18" s="9">
        <v>27.672000000000001</v>
      </c>
      <c r="F18" s="9">
        <v>5.3890000000000002</v>
      </c>
      <c r="G18" s="7">
        <v>1</v>
      </c>
      <c r="H18" s="9">
        <v>120</v>
      </c>
      <c r="I18" s="9" t="s">
        <v>36</v>
      </c>
      <c r="J18" s="9"/>
      <c r="K18" s="9"/>
      <c r="L18" s="9">
        <f t="shared" si="3"/>
        <v>27.672000000000001</v>
      </c>
      <c r="M18" s="9"/>
      <c r="N18" s="9"/>
      <c r="O18" s="9">
        <v>100</v>
      </c>
      <c r="P18" s="9">
        <v>200</v>
      </c>
      <c r="Q18" s="9">
        <v>0</v>
      </c>
      <c r="R18" s="9">
        <f t="shared" si="4"/>
        <v>5.5343999999999998</v>
      </c>
      <c r="S18" s="4"/>
      <c r="T18" s="4">
        <f>IFERROR(VLOOKUP(A18,[1]Sheet!$A$1:$U$65536,21,0),0)</f>
        <v>0</v>
      </c>
      <c r="U18" s="4"/>
      <c r="V18" s="9"/>
      <c r="W18" s="9">
        <f t="shared" si="5"/>
        <v>55.180145995952593</v>
      </c>
      <c r="X18" s="9">
        <f t="shared" si="6"/>
        <v>55.180145995952593</v>
      </c>
      <c r="Y18" s="9">
        <v>-8.8200000000000001E-2</v>
      </c>
      <c r="Z18" s="9">
        <v>10.9802</v>
      </c>
      <c r="AA18" s="9">
        <v>11.061</v>
      </c>
      <c r="AB18" s="9">
        <v>3.4205999999999999</v>
      </c>
      <c r="AC18" s="9">
        <v>11.061</v>
      </c>
      <c r="AD18" s="9">
        <v>5.2569999999999997</v>
      </c>
      <c r="AE18" s="9">
        <v>10.797800000000001</v>
      </c>
      <c r="AF18" s="9">
        <v>7.4238</v>
      </c>
      <c r="AG18" s="9"/>
      <c r="AH18" s="9">
        <f t="shared" ref="AH18:AH25" si="9">G18*S18</f>
        <v>0</v>
      </c>
      <c r="AI18" s="9">
        <f t="shared" si="7"/>
        <v>0</v>
      </c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x14ac:dyDescent="0.25">
      <c r="A19" s="9" t="s">
        <v>56</v>
      </c>
      <c r="B19" s="9" t="s">
        <v>38</v>
      </c>
      <c r="C19" s="9">
        <v>377</v>
      </c>
      <c r="D19" s="9"/>
      <c r="E19" s="9">
        <v>142</v>
      </c>
      <c r="F19" s="9">
        <v>229</v>
      </c>
      <c r="G19" s="7">
        <v>0.25</v>
      </c>
      <c r="H19" s="9">
        <v>120</v>
      </c>
      <c r="I19" s="9" t="s">
        <v>36</v>
      </c>
      <c r="J19" s="9"/>
      <c r="K19" s="9"/>
      <c r="L19" s="9">
        <f t="shared" si="3"/>
        <v>142</v>
      </c>
      <c r="M19" s="9"/>
      <c r="N19" s="9"/>
      <c r="O19" s="9">
        <v>400</v>
      </c>
      <c r="P19" s="9">
        <v>400</v>
      </c>
      <c r="Q19" s="9">
        <v>120</v>
      </c>
      <c r="R19" s="9">
        <f t="shared" si="4"/>
        <v>28.4</v>
      </c>
      <c r="S19" s="4"/>
      <c r="T19" s="4">
        <f>IFERROR(VLOOKUP(A19,[1]Sheet!$A$1:$U$65536,21,0),0)</f>
        <v>1000</v>
      </c>
      <c r="U19" s="4"/>
      <c r="V19" s="9"/>
      <c r="W19" s="9">
        <f t="shared" si="5"/>
        <v>40.45774647887324</v>
      </c>
      <c r="X19" s="9">
        <f t="shared" si="6"/>
        <v>40.45774647887324</v>
      </c>
      <c r="Y19" s="9">
        <v>24.2</v>
      </c>
      <c r="Z19" s="9">
        <v>114.8</v>
      </c>
      <c r="AA19" s="9">
        <v>37.4</v>
      </c>
      <c r="AB19" s="9">
        <v>25.4</v>
      </c>
      <c r="AC19" s="9">
        <v>37.4</v>
      </c>
      <c r="AD19" s="9">
        <v>27.2</v>
      </c>
      <c r="AE19" s="9">
        <v>40</v>
      </c>
      <c r="AF19" s="9">
        <v>34</v>
      </c>
      <c r="AG19" s="16" t="s">
        <v>48</v>
      </c>
      <c r="AH19" s="9">
        <f t="shared" si="9"/>
        <v>0</v>
      </c>
      <c r="AI19" s="9">
        <f t="shared" si="7"/>
        <v>250</v>
      </c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 x14ac:dyDescent="0.25">
      <c r="A20" s="9" t="s">
        <v>57</v>
      </c>
      <c r="B20" s="9" t="s">
        <v>38</v>
      </c>
      <c r="C20" s="9">
        <v>386</v>
      </c>
      <c r="D20" s="9"/>
      <c r="E20" s="9">
        <v>334</v>
      </c>
      <c r="F20" s="9">
        <v>40</v>
      </c>
      <c r="G20" s="7">
        <v>0.25</v>
      </c>
      <c r="H20" s="9">
        <v>120</v>
      </c>
      <c r="I20" s="9" t="s">
        <v>36</v>
      </c>
      <c r="J20" s="9"/>
      <c r="K20" s="9"/>
      <c r="L20" s="9">
        <f t="shared" si="3"/>
        <v>334</v>
      </c>
      <c r="M20" s="9"/>
      <c r="N20" s="9"/>
      <c r="O20" s="9">
        <v>500</v>
      </c>
      <c r="P20" s="9">
        <v>500</v>
      </c>
      <c r="Q20" s="9">
        <v>120</v>
      </c>
      <c r="R20" s="9">
        <f t="shared" si="4"/>
        <v>66.8</v>
      </c>
      <c r="S20" s="4">
        <v>200</v>
      </c>
      <c r="T20" s="4">
        <f>IFERROR(VLOOKUP(A20,[1]Sheet!$A$1:$U$65536,21,0),0)</f>
        <v>0</v>
      </c>
      <c r="U20" s="4"/>
      <c r="V20" s="9">
        <v>176</v>
      </c>
      <c r="W20" s="9">
        <f t="shared" si="5"/>
        <v>20.359281437125748</v>
      </c>
      <c r="X20" s="9">
        <f t="shared" si="6"/>
        <v>17.365269461077844</v>
      </c>
      <c r="Y20" s="9">
        <v>39.799999999999997</v>
      </c>
      <c r="Z20" s="9">
        <v>154.4</v>
      </c>
      <c r="AA20" s="9">
        <v>68.8</v>
      </c>
      <c r="AB20" s="9">
        <v>42.4</v>
      </c>
      <c r="AC20" s="9">
        <v>68.8</v>
      </c>
      <c r="AD20" s="9">
        <v>56.2</v>
      </c>
      <c r="AE20" s="9">
        <v>65.8</v>
      </c>
      <c r="AF20" s="9">
        <v>52.4</v>
      </c>
      <c r="AG20" s="9"/>
      <c r="AH20" s="9">
        <f t="shared" si="9"/>
        <v>50</v>
      </c>
      <c r="AI20" s="9">
        <f t="shared" si="7"/>
        <v>0</v>
      </c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 x14ac:dyDescent="0.25">
      <c r="A21" s="9" t="s">
        <v>58</v>
      </c>
      <c r="B21" s="9" t="s">
        <v>35</v>
      </c>
      <c r="C21" s="9">
        <v>33.5</v>
      </c>
      <c r="D21" s="9"/>
      <c r="E21" s="9">
        <v>33.713999999999999</v>
      </c>
      <c r="F21" s="9">
        <v>-1.1910000000000001</v>
      </c>
      <c r="G21" s="7">
        <v>1</v>
      </c>
      <c r="H21" s="9">
        <v>120</v>
      </c>
      <c r="I21" s="9" t="s">
        <v>36</v>
      </c>
      <c r="J21" s="9"/>
      <c r="K21" s="9"/>
      <c r="L21" s="9">
        <f t="shared" si="3"/>
        <v>33.713999999999999</v>
      </c>
      <c r="M21" s="9"/>
      <c r="N21" s="9"/>
      <c r="O21" s="9">
        <v>100</v>
      </c>
      <c r="P21" s="9">
        <v>200</v>
      </c>
      <c r="Q21" s="9">
        <v>0</v>
      </c>
      <c r="R21" s="9">
        <f t="shared" si="4"/>
        <v>6.7427999999999999</v>
      </c>
      <c r="S21" s="4">
        <v>50</v>
      </c>
      <c r="T21" s="4">
        <f>IFERROR(VLOOKUP(A21,[1]Sheet!$A$1:$U$65536,21,0),0)</f>
        <v>0</v>
      </c>
      <c r="U21" s="4"/>
      <c r="V21" s="9"/>
      <c r="W21" s="9">
        <f t="shared" si="5"/>
        <v>51.730586699887283</v>
      </c>
      <c r="X21" s="9">
        <f t="shared" si="6"/>
        <v>44.315269620928987</v>
      </c>
      <c r="Y21" s="9">
        <v>2.2357999999999998</v>
      </c>
      <c r="Z21" s="9">
        <v>8.5774000000000008</v>
      </c>
      <c r="AA21" s="9">
        <v>9.9432000000000009</v>
      </c>
      <c r="AB21" s="9">
        <v>5.8616000000000001</v>
      </c>
      <c r="AC21" s="9">
        <v>9.9432000000000009</v>
      </c>
      <c r="AD21" s="9">
        <v>6.5418000000000003</v>
      </c>
      <c r="AE21" s="9">
        <v>5.2915999999999999</v>
      </c>
      <c r="AF21" s="9">
        <v>13.229799999999999</v>
      </c>
      <c r="AG21" s="9"/>
      <c r="AH21" s="9">
        <f t="shared" si="9"/>
        <v>50</v>
      </c>
      <c r="AI21" s="9">
        <f t="shared" si="7"/>
        <v>0</v>
      </c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x14ac:dyDescent="0.25">
      <c r="A22" s="9" t="s">
        <v>59</v>
      </c>
      <c r="B22" s="9" t="s">
        <v>38</v>
      </c>
      <c r="C22" s="9">
        <v>423</v>
      </c>
      <c r="D22" s="9"/>
      <c r="E22" s="9">
        <v>157</v>
      </c>
      <c r="F22" s="9">
        <v>261</v>
      </c>
      <c r="G22" s="7">
        <v>0.25</v>
      </c>
      <c r="H22" s="9">
        <v>120</v>
      </c>
      <c r="I22" s="9" t="s">
        <v>36</v>
      </c>
      <c r="J22" s="9"/>
      <c r="K22" s="9"/>
      <c r="L22" s="9">
        <f t="shared" si="3"/>
        <v>157</v>
      </c>
      <c r="M22" s="9"/>
      <c r="N22" s="9"/>
      <c r="O22" s="9">
        <v>400</v>
      </c>
      <c r="P22" s="9">
        <v>400</v>
      </c>
      <c r="Q22" s="9">
        <v>80</v>
      </c>
      <c r="R22" s="9">
        <f t="shared" si="4"/>
        <v>31.4</v>
      </c>
      <c r="S22" s="4"/>
      <c r="T22" s="4">
        <f>IFERROR(VLOOKUP(A22,[1]Sheet!$A$1:$U$65536,21,0),0)</f>
        <v>1000</v>
      </c>
      <c r="U22" s="4"/>
      <c r="V22" s="9"/>
      <c r="W22" s="9">
        <f t="shared" si="5"/>
        <v>36.337579617834393</v>
      </c>
      <c r="X22" s="9">
        <f t="shared" si="6"/>
        <v>36.337579617834393</v>
      </c>
      <c r="Y22" s="9">
        <v>18.600000000000001</v>
      </c>
      <c r="Z22" s="9">
        <v>126.4</v>
      </c>
      <c r="AA22" s="9">
        <v>44.2</v>
      </c>
      <c r="AB22" s="9">
        <v>23.4</v>
      </c>
      <c r="AC22" s="9">
        <v>44.2</v>
      </c>
      <c r="AD22" s="9">
        <v>27.2</v>
      </c>
      <c r="AE22" s="9">
        <v>47.4</v>
      </c>
      <c r="AF22" s="9">
        <v>44.4</v>
      </c>
      <c r="AG22" s="16" t="s">
        <v>48</v>
      </c>
      <c r="AH22" s="9">
        <f t="shared" si="9"/>
        <v>0</v>
      </c>
      <c r="AI22" s="9">
        <f t="shared" si="7"/>
        <v>250</v>
      </c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x14ac:dyDescent="0.25">
      <c r="A23" s="9" t="s">
        <v>60</v>
      </c>
      <c r="B23" s="9" t="s">
        <v>38</v>
      </c>
      <c r="C23" s="9">
        <v>93</v>
      </c>
      <c r="D23" s="9"/>
      <c r="E23" s="9"/>
      <c r="F23" s="9">
        <v>90</v>
      </c>
      <c r="G23" s="7">
        <v>0.3</v>
      </c>
      <c r="H23" s="9">
        <v>45</v>
      </c>
      <c r="I23" s="9">
        <v>1001083446207</v>
      </c>
      <c r="J23" s="9"/>
      <c r="K23" s="9"/>
      <c r="L23" s="9">
        <f t="shared" si="3"/>
        <v>0</v>
      </c>
      <c r="M23" s="9"/>
      <c r="N23" s="9"/>
      <c r="O23" s="9">
        <v>200</v>
      </c>
      <c r="P23" s="9">
        <v>200</v>
      </c>
      <c r="Q23" s="9">
        <v>0</v>
      </c>
      <c r="R23" s="9">
        <f t="shared" si="4"/>
        <v>0</v>
      </c>
      <c r="S23" s="4">
        <v>120</v>
      </c>
      <c r="T23" s="4">
        <f>IFERROR(VLOOKUP(A23,[1]Sheet!$A$1:$U$65536,21,0),0)</f>
        <v>0</v>
      </c>
      <c r="U23" s="4"/>
      <c r="V23" s="9"/>
      <c r="W23" s="9" t="e">
        <f t="shared" si="5"/>
        <v>#DIV/0!</v>
      </c>
      <c r="X23" s="9" t="e">
        <f t="shared" si="6"/>
        <v>#DIV/0!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15" t="s">
        <v>86</v>
      </c>
      <c r="AH23" s="9">
        <f t="shared" si="9"/>
        <v>36</v>
      </c>
      <c r="AI23" s="9">
        <f t="shared" si="7"/>
        <v>0</v>
      </c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x14ac:dyDescent="0.25">
      <c r="A24" s="9" t="s">
        <v>61</v>
      </c>
      <c r="B24" s="9" t="s">
        <v>35</v>
      </c>
      <c r="C24" s="9">
        <v>104</v>
      </c>
      <c r="D24" s="9"/>
      <c r="E24" s="9">
        <v>43.478000000000002</v>
      </c>
      <c r="F24" s="9">
        <v>60.521999999999998</v>
      </c>
      <c r="G24" s="7">
        <v>1</v>
      </c>
      <c r="H24" s="9">
        <v>60</v>
      </c>
      <c r="I24" s="9" t="s">
        <v>36</v>
      </c>
      <c r="J24" s="9"/>
      <c r="K24" s="9"/>
      <c r="L24" s="9">
        <f t="shared" si="3"/>
        <v>43.478000000000002</v>
      </c>
      <c r="M24" s="9"/>
      <c r="N24" s="9"/>
      <c r="O24" s="9">
        <v>50</v>
      </c>
      <c r="P24" s="9">
        <v>50</v>
      </c>
      <c r="Q24" s="9">
        <v>0</v>
      </c>
      <c r="R24" s="9">
        <f t="shared" si="4"/>
        <v>8.6956000000000007</v>
      </c>
      <c r="S24" s="4">
        <v>50</v>
      </c>
      <c r="T24" s="4">
        <f>IFERROR(VLOOKUP(A24,[1]Sheet!$A$1:$U$65536,21,0),0)</f>
        <v>0</v>
      </c>
      <c r="U24" s="4"/>
      <c r="V24" s="9">
        <v>13.390000000000008</v>
      </c>
      <c r="W24" s="9">
        <f t="shared" si="5"/>
        <v>24.210175261051564</v>
      </c>
      <c r="X24" s="9">
        <f t="shared" si="6"/>
        <v>18.460140760844563</v>
      </c>
      <c r="Y24" s="9">
        <v>5.1772</v>
      </c>
      <c r="Z24" s="9">
        <v>17.4148</v>
      </c>
      <c r="AA24" s="9">
        <v>8.007200000000001</v>
      </c>
      <c r="AB24" s="9">
        <v>6.4287999999999998</v>
      </c>
      <c r="AC24" s="9">
        <v>8.007200000000001</v>
      </c>
      <c r="AD24" s="9">
        <v>3.8077999999999999</v>
      </c>
      <c r="AE24" s="9">
        <v>4.3731999999999998</v>
      </c>
      <c r="AF24" s="9">
        <v>11.28</v>
      </c>
      <c r="AG24" s="9"/>
      <c r="AH24" s="9">
        <f t="shared" si="9"/>
        <v>50</v>
      </c>
      <c r="AI24" s="9">
        <f t="shared" si="7"/>
        <v>0</v>
      </c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 x14ac:dyDescent="0.25">
      <c r="A25" s="9" t="s">
        <v>62</v>
      </c>
      <c r="B25" s="9" t="s">
        <v>38</v>
      </c>
      <c r="C25" s="9">
        <v>933</v>
      </c>
      <c r="D25" s="9"/>
      <c r="E25" s="9">
        <v>286</v>
      </c>
      <c r="F25" s="9">
        <v>643</v>
      </c>
      <c r="G25" s="7">
        <v>0.4</v>
      </c>
      <c r="H25" s="9">
        <v>60</v>
      </c>
      <c r="I25" s="9" t="s">
        <v>36</v>
      </c>
      <c r="J25" s="9"/>
      <c r="K25" s="9"/>
      <c r="L25" s="9">
        <f t="shared" si="3"/>
        <v>286</v>
      </c>
      <c r="M25" s="9"/>
      <c r="N25" s="9"/>
      <c r="O25" s="9">
        <v>0</v>
      </c>
      <c r="P25" s="9">
        <v>0</v>
      </c>
      <c r="Q25" s="9">
        <v>400</v>
      </c>
      <c r="R25" s="9">
        <f t="shared" si="4"/>
        <v>57.2</v>
      </c>
      <c r="S25" s="4">
        <v>200</v>
      </c>
      <c r="T25" s="4">
        <f>IFERROR(VLOOKUP(A25,[1]Sheet!$A$1:$U$65536,21,0),0)</f>
        <v>0</v>
      </c>
      <c r="U25" s="4"/>
      <c r="V25" s="9">
        <v>101</v>
      </c>
      <c r="W25" s="9">
        <f t="shared" si="5"/>
        <v>21.73076923076923</v>
      </c>
      <c r="X25" s="9">
        <f t="shared" si="6"/>
        <v>18.234265734265733</v>
      </c>
      <c r="Y25" s="9">
        <v>41.8</v>
      </c>
      <c r="Z25" s="9">
        <v>101.8</v>
      </c>
      <c r="AA25" s="9">
        <v>41.8</v>
      </c>
      <c r="AB25" s="9">
        <v>27.8</v>
      </c>
      <c r="AC25" s="9">
        <v>41.8</v>
      </c>
      <c r="AD25" s="9">
        <v>26.4</v>
      </c>
      <c r="AE25" s="9">
        <v>17.2</v>
      </c>
      <c r="AF25" s="9">
        <v>45.4</v>
      </c>
      <c r="AG25" s="9"/>
      <c r="AH25" s="9">
        <f t="shared" si="9"/>
        <v>80</v>
      </c>
      <c r="AI25" s="9">
        <f t="shared" si="7"/>
        <v>0</v>
      </c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 x14ac:dyDescent="0.25">
      <c r="A26" s="11" t="s">
        <v>63</v>
      </c>
      <c r="B26" s="11" t="s">
        <v>38</v>
      </c>
      <c r="C26" s="11">
        <v>130</v>
      </c>
      <c r="D26" s="11"/>
      <c r="E26" s="14">
        <v>12</v>
      </c>
      <c r="F26" s="14">
        <v>110</v>
      </c>
      <c r="G26" s="12">
        <v>0</v>
      </c>
      <c r="H26" s="11"/>
      <c r="I26" s="11" t="s">
        <v>43</v>
      </c>
      <c r="J26" s="11" t="s">
        <v>64</v>
      </c>
      <c r="K26" s="11"/>
      <c r="L26" s="11">
        <f t="shared" si="3"/>
        <v>12</v>
      </c>
      <c r="M26" s="11"/>
      <c r="N26" s="11"/>
      <c r="O26" s="11">
        <v>0</v>
      </c>
      <c r="P26" s="11">
        <v>0</v>
      </c>
      <c r="Q26" s="11">
        <v>0</v>
      </c>
      <c r="R26" s="11">
        <f t="shared" si="4"/>
        <v>2.4</v>
      </c>
      <c r="S26" s="4"/>
      <c r="T26" s="4">
        <f>IFERROR(VLOOKUP(A26,[1]Sheet!$A$1:$U$65536,21,0),0)</f>
        <v>0</v>
      </c>
      <c r="U26" s="13"/>
      <c r="V26" s="11"/>
      <c r="W26" s="11">
        <f t="shared" si="5"/>
        <v>45.833333333333336</v>
      </c>
      <c r="X26" s="11">
        <f t="shared" si="6"/>
        <v>45.833333333333336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 t="s">
        <v>65</v>
      </c>
      <c r="AH26" s="11"/>
      <c r="AI26" s="9">
        <f t="shared" si="7"/>
        <v>0</v>
      </c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 x14ac:dyDescent="0.25">
      <c r="A27" s="9" t="s">
        <v>64</v>
      </c>
      <c r="B27" s="9" t="s">
        <v>38</v>
      </c>
      <c r="C27" s="9">
        <v>-73</v>
      </c>
      <c r="D27" s="9"/>
      <c r="E27" s="14">
        <f>91+E26</f>
        <v>103</v>
      </c>
      <c r="F27" s="14">
        <f>-181+F26</f>
        <v>-71</v>
      </c>
      <c r="G27" s="7">
        <v>0.5</v>
      </c>
      <c r="H27" s="9">
        <v>60</v>
      </c>
      <c r="I27" s="9" t="s">
        <v>36</v>
      </c>
      <c r="J27" s="9"/>
      <c r="K27" s="9"/>
      <c r="L27" s="9">
        <f t="shared" si="3"/>
        <v>103</v>
      </c>
      <c r="M27" s="9"/>
      <c r="N27" s="9"/>
      <c r="O27" s="9">
        <v>500</v>
      </c>
      <c r="P27" s="9">
        <v>400</v>
      </c>
      <c r="Q27" s="9">
        <v>400</v>
      </c>
      <c r="R27" s="9">
        <f t="shared" si="4"/>
        <v>20.6</v>
      </c>
      <c r="S27" s="4">
        <v>120</v>
      </c>
      <c r="T27" s="4">
        <f>IFERROR(VLOOKUP(A27,[1]Sheet!$A$1:$U$65536,21,0),0)</f>
        <v>0</v>
      </c>
      <c r="U27" s="4"/>
      <c r="V27" s="9"/>
      <c r="W27" s="9">
        <f t="shared" si="5"/>
        <v>65.485436893203882</v>
      </c>
      <c r="X27" s="9">
        <f t="shared" si="6"/>
        <v>59.660194174757279</v>
      </c>
      <c r="Y27" s="9">
        <v>35.4</v>
      </c>
      <c r="Z27" s="9">
        <v>133.4</v>
      </c>
      <c r="AA27" s="9">
        <v>128.80000000000001</v>
      </c>
      <c r="AB27" s="9">
        <v>29.4</v>
      </c>
      <c r="AC27" s="9">
        <v>128.80000000000001</v>
      </c>
      <c r="AD27" s="9">
        <v>64.8</v>
      </c>
      <c r="AE27" s="9">
        <v>88.2</v>
      </c>
      <c r="AF27" s="9">
        <v>83</v>
      </c>
      <c r="AG27" s="9" t="s">
        <v>66</v>
      </c>
      <c r="AH27" s="9">
        <f>G27*S27</f>
        <v>60</v>
      </c>
      <c r="AI27" s="9">
        <f t="shared" si="7"/>
        <v>0</v>
      </c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 x14ac:dyDescent="0.25">
      <c r="A28" s="9" t="s">
        <v>67</v>
      </c>
      <c r="B28" s="9"/>
      <c r="C28" s="9"/>
      <c r="D28" s="9"/>
      <c r="E28" s="9"/>
      <c r="F28" s="9">
        <v>-1.002</v>
      </c>
      <c r="G28" s="7">
        <v>1</v>
      </c>
      <c r="H28" s="9"/>
      <c r="I28" s="9">
        <v>1001032736549</v>
      </c>
      <c r="J28" s="9"/>
      <c r="K28" s="9"/>
      <c r="L28" s="9">
        <f t="shared" si="3"/>
        <v>0</v>
      </c>
      <c r="M28" s="9"/>
      <c r="N28" s="9"/>
      <c r="O28" s="9">
        <v>200</v>
      </c>
      <c r="P28" s="9">
        <v>200</v>
      </c>
      <c r="Q28" s="9">
        <v>0</v>
      </c>
      <c r="R28" s="9">
        <f t="shared" si="4"/>
        <v>0</v>
      </c>
      <c r="S28" s="4">
        <v>100</v>
      </c>
      <c r="T28" s="4">
        <f>IFERROR(VLOOKUP(A28,[1]Sheet!$A$1:$U$65536,21,0),0)</f>
        <v>0</v>
      </c>
      <c r="U28" s="4"/>
      <c r="V28" s="9"/>
      <c r="W28" s="9" t="e">
        <f t="shared" si="5"/>
        <v>#DIV/0!</v>
      </c>
      <c r="X28" s="9" t="e">
        <f t="shared" si="6"/>
        <v>#DIV/0!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10" t="s">
        <v>41</v>
      </c>
      <c r="AH28" s="9">
        <f>G28*S28</f>
        <v>100</v>
      </c>
      <c r="AI28" s="9">
        <f t="shared" si="7"/>
        <v>0</v>
      </c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52" x14ac:dyDescent="0.25">
      <c r="A29" s="9" t="s">
        <v>68</v>
      </c>
      <c r="B29" s="9" t="s">
        <v>38</v>
      </c>
      <c r="C29" s="9">
        <v>53</v>
      </c>
      <c r="D29" s="9"/>
      <c r="E29" s="9"/>
      <c r="F29" s="9">
        <v>50</v>
      </c>
      <c r="G29" s="7">
        <v>0.3</v>
      </c>
      <c r="H29" s="9">
        <v>45</v>
      </c>
      <c r="I29" s="9">
        <v>1001024976616</v>
      </c>
      <c r="J29" s="9"/>
      <c r="K29" s="9"/>
      <c r="L29" s="9">
        <f t="shared" si="3"/>
        <v>0</v>
      </c>
      <c r="M29" s="9"/>
      <c r="N29" s="9"/>
      <c r="O29" s="9">
        <v>150</v>
      </c>
      <c r="P29" s="9">
        <v>0</v>
      </c>
      <c r="Q29" s="9">
        <v>160</v>
      </c>
      <c r="R29" s="9">
        <f t="shared" si="4"/>
        <v>0</v>
      </c>
      <c r="S29" s="4">
        <v>60</v>
      </c>
      <c r="T29" s="4">
        <f>IFERROR(VLOOKUP(A29,[1]Sheet!$A$1:$U$65536,21,0),0)</f>
        <v>0</v>
      </c>
      <c r="U29" s="4"/>
      <c r="V29" s="9"/>
      <c r="W29" s="9" t="e">
        <f t="shared" si="5"/>
        <v>#DIV/0!</v>
      </c>
      <c r="X29" s="9" t="e">
        <f t="shared" si="6"/>
        <v>#DIV/0!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15" t="s">
        <v>86</v>
      </c>
      <c r="AH29" s="9">
        <f>G29*S29</f>
        <v>18</v>
      </c>
      <c r="AI29" s="9">
        <f t="shared" si="7"/>
        <v>0</v>
      </c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spans="1:52" x14ac:dyDescent="0.25">
      <c r="A30" s="11" t="s">
        <v>69</v>
      </c>
      <c r="B30" s="11" t="s">
        <v>38</v>
      </c>
      <c r="C30" s="11">
        <v>62</v>
      </c>
      <c r="D30" s="11"/>
      <c r="E30" s="11">
        <v>48</v>
      </c>
      <c r="F30" s="11">
        <v>6</v>
      </c>
      <c r="G30" s="12">
        <v>0</v>
      </c>
      <c r="H30" s="11">
        <v>45</v>
      </c>
      <c r="I30" s="11" t="s">
        <v>70</v>
      </c>
      <c r="J30" s="11"/>
      <c r="K30" s="11"/>
      <c r="L30" s="11">
        <f t="shared" si="3"/>
        <v>48</v>
      </c>
      <c r="M30" s="11"/>
      <c r="N30" s="11"/>
      <c r="O30" s="11">
        <v>0</v>
      </c>
      <c r="P30" s="11">
        <v>0</v>
      </c>
      <c r="Q30" s="11">
        <v>0</v>
      </c>
      <c r="R30" s="11">
        <f t="shared" si="4"/>
        <v>9.6</v>
      </c>
      <c r="S30" s="4"/>
      <c r="T30" s="4">
        <f>IFERROR(VLOOKUP(A30,[1]Sheet!$A$1:$U$65536,21,0),0)</f>
        <v>0</v>
      </c>
      <c r="U30" s="13"/>
      <c r="V30" s="11"/>
      <c r="W30" s="11">
        <f t="shared" si="5"/>
        <v>0.625</v>
      </c>
      <c r="X30" s="11">
        <f t="shared" si="6"/>
        <v>0.625</v>
      </c>
      <c r="Y30" s="11">
        <v>21.8</v>
      </c>
      <c r="Z30" s="11">
        <v>23.8</v>
      </c>
      <c r="AA30" s="11">
        <v>22</v>
      </c>
      <c r="AB30" s="11">
        <v>21.2</v>
      </c>
      <c r="AC30" s="11">
        <v>22</v>
      </c>
      <c r="AD30" s="11">
        <v>20.6</v>
      </c>
      <c r="AE30" s="11">
        <v>32.6</v>
      </c>
      <c r="AF30" s="11">
        <v>31.2</v>
      </c>
      <c r="AG30" s="11" t="s">
        <v>70</v>
      </c>
      <c r="AH30" s="11"/>
      <c r="AI30" s="9">
        <f t="shared" si="7"/>
        <v>0</v>
      </c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spans="1:52" x14ac:dyDescent="0.25">
      <c r="A31" s="9" t="s">
        <v>71</v>
      </c>
      <c r="B31" s="9" t="s">
        <v>38</v>
      </c>
      <c r="C31" s="9">
        <v>116</v>
      </c>
      <c r="D31" s="9"/>
      <c r="E31" s="9"/>
      <c r="F31" s="9">
        <v>112</v>
      </c>
      <c r="G31" s="7">
        <v>0.28000000000000003</v>
      </c>
      <c r="H31" s="9">
        <v>45</v>
      </c>
      <c r="I31" s="9">
        <v>1001303107241</v>
      </c>
      <c r="J31" s="9"/>
      <c r="K31" s="9"/>
      <c r="L31" s="9">
        <f t="shared" si="3"/>
        <v>0</v>
      </c>
      <c r="M31" s="9"/>
      <c r="N31" s="9"/>
      <c r="O31" s="9">
        <v>250</v>
      </c>
      <c r="P31" s="9">
        <v>0</v>
      </c>
      <c r="Q31" s="9">
        <v>120</v>
      </c>
      <c r="R31" s="9">
        <f t="shared" si="4"/>
        <v>0</v>
      </c>
      <c r="S31" s="4">
        <v>160</v>
      </c>
      <c r="T31" s="4">
        <f>IFERROR(VLOOKUP(A31,[1]Sheet!$A$1:$U$65536,21,0),0)</f>
        <v>0</v>
      </c>
      <c r="U31" s="4"/>
      <c r="V31" s="9"/>
      <c r="W31" s="9" t="e">
        <f t="shared" si="5"/>
        <v>#DIV/0!</v>
      </c>
      <c r="X31" s="9" t="e">
        <f t="shared" si="6"/>
        <v>#DIV/0!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15" t="s">
        <v>86</v>
      </c>
      <c r="AH31" s="9">
        <f t="shared" ref="AH31:AH46" si="10">G31*S31</f>
        <v>44.800000000000004</v>
      </c>
      <c r="AI31" s="9">
        <f t="shared" si="7"/>
        <v>0</v>
      </c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spans="1:52" x14ac:dyDescent="0.25">
      <c r="A32" s="9" t="s">
        <v>44</v>
      </c>
      <c r="B32" s="9" t="s">
        <v>38</v>
      </c>
      <c r="C32" s="9">
        <v>126</v>
      </c>
      <c r="D32" s="9"/>
      <c r="E32" s="9">
        <v>95</v>
      </c>
      <c r="F32" s="14">
        <f>16+F10</f>
        <v>14</v>
      </c>
      <c r="G32" s="7">
        <v>0.33</v>
      </c>
      <c r="H32" s="9">
        <v>45</v>
      </c>
      <c r="I32" s="9" t="s">
        <v>36</v>
      </c>
      <c r="J32" s="9"/>
      <c r="K32" s="9"/>
      <c r="L32" s="9">
        <f t="shared" si="3"/>
        <v>95</v>
      </c>
      <c r="M32" s="9"/>
      <c r="N32" s="9"/>
      <c r="O32" s="9">
        <v>500</v>
      </c>
      <c r="P32" s="9">
        <v>200</v>
      </c>
      <c r="Q32" s="9">
        <v>320</v>
      </c>
      <c r="R32" s="9">
        <f t="shared" si="4"/>
        <v>19</v>
      </c>
      <c r="S32" s="4">
        <v>200</v>
      </c>
      <c r="T32" s="4">
        <f>IFERROR(VLOOKUP(A32,[1]Sheet!$A$1:$U$65536,21,0),0)</f>
        <v>0</v>
      </c>
      <c r="U32" s="4"/>
      <c r="V32" s="9"/>
      <c r="W32" s="9">
        <f t="shared" si="5"/>
        <v>64.94736842105263</v>
      </c>
      <c r="X32" s="9">
        <f t="shared" si="6"/>
        <v>54.421052631578945</v>
      </c>
      <c r="Y32" s="9">
        <v>25.4</v>
      </c>
      <c r="Z32" s="9">
        <v>152.6</v>
      </c>
      <c r="AA32" s="9">
        <v>59.4</v>
      </c>
      <c r="AB32" s="9">
        <v>42.2</v>
      </c>
      <c r="AC32" s="9">
        <v>59.4</v>
      </c>
      <c r="AD32" s="9">
        <v>44.2</v>
      </c>
      <c r="AE32" s="9">
        <v>61.4</v>
      </c>
      <c r="AF32" s="9">
        <v>71.2</v>
      </c>
      <c r="AG32" s="9"/>
      <c r="AH32" s="9">
        <f t="shared" si="10"/>
        <v>66</v>
      </c>
      <c r="AI32" s="9">
        <f t="shared" si="7"/>
        <v>0</v>
      </c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spans="1:52" x14ac:dyDescent="0.25">
      <c r="A33" s="9" t="s">
        <v>72</v>
      </c>
      <c r="B33" s="9" t="s">
        <v>38</v>
      </c>
      <c r="C33" s="9">
        <v>140</v>
      </c>
      <c r="D33" s="9"/>
      <c r="E33" s="9">
        <v>105</v>
      </c>
      <c r="F33" s="9">
        <v>29</v>
      </c>
      <c r="G33" s="7">
        <v>0.4</v>
      </c>
      <c r="H33" s="9">
        <v>45</v>
      </c>
      <c r="I33" s="9" t="s">
        <v>36</v>
      </c>
      <c r="J33" s="9"/>
      <c r="K33" s="9"/>
      <c r="L33" s="9">
        <f t="shared" si="3"/>
        <v>105</v>
      </c>
      <c r="M33" s="9"/>
      <c r="N33" s="9"/>
      <c r="O33" s="9">
        <v>150</v>
      </c>
      <c r="P33" s="9">
        <v>100</v>
      </c>
      <c r="Q33" s="9">
        <v>40</v>
      </c>
      <c r="R33" s="9">
        <f t="shared" si="4"/>
        <v>21</v>
      </c>
      <c r="S33" s="4">
        <v>160</v>
      </c>
      <c r="T33" s="4">
        <f>IFERROR(VLOOKUP(A33,[1]Sheet!$A$1:$U$65536,21,0),0)</f>
        <v>0</v>
      </c>
      <c r="U33" s="4"/>
      <c r="V33" s="9">
        <v>101</v>
      </c>
      <c r="W33" s="9">
        <f t="shared" si="5"/>
        <v>22.80952380952381</v>
      </c>
      <c r="X33" s="9">
        <f t="shared" si="6"/>
        <v>15.19047619047619</v>
      </c>
      <c r="Y33" s="9">
        <v>16.8</v>
      </c>
      <c r="Z33" s="9">
        <v>15.2</v>
      </c>
      <c r="AA33" s="9">
        <v>18.2</v>
      </c>
      <c r="AB33" s="9">
        <v>12.6</v>
      </c>
      <c r="AC33" s="9">
        <v>18.2</v>
      </c>
      <c r="AD33" s="9">
        <v>20</v>
      </c>
      <c r="AE33" s="9">
        <v>31</v>
      </c>
      <c r="AF33" s="9">
        <v>24.2</v>
      </c>
      <c r="AG33" s="9"/>
      <c r="AH33" s="9">
        <f t="shared" si="10"/>
        <v>64</v>
      </c>
      <c r="AI33" s="9">
        <f t="shared" si="7"/>
        <v>0</v>
      </c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spans="1:52" x14ac:dyDescent="0.25">
      <c r="A34" s="9" t="s">
        <v>73</v>
      </c>
      <c r="B34" s="9" t="s">
        <v>35</v>
      </c>
      <c r="C34" s="9">
        <v>217</v>
      </c>
      <c r="D34" s="9"/>
      <c r="E34" s="9">
        <v>212.005</v>
      </c>
      <c r="F34" s="9">
        <v>2.246</v>
      </c>
      <c r="G34" s="7">
        <v>1</v>
      </c>
      <c r="H34" s="9">
        <v>60</v>
      </c>
      <c r="I34" s="9" t="s">
        <v>36</v>
      </c>
      <c r="J34" s="9"/>
      <c r="K34" s="9"/>
      <c r="L34" s="9">
        <f t="shared" si="3"/>
        <v>212.005</v>
      </c>
      <c r="M34" s="9"/>
      <c r="N34" s="9"/>
      <c r="O34" s="9">
        <v>150</v>
      </c>
      <c r="P34" s="9">
        <v>150</v>
      </c>
      <c r="Q34" s="9">
        <v>300</v>
      </c>
      <c r="R34" s="9">
        <f t="shared" si="4"/>
        <v>42.400999999999996</v>
      </c>
      <c r="S34" s="4">
        <v>250</v>
      </c>
      <c r="T34" s="4">
        <f>IFERROR(VLOOKUP(A34,[1]Sheet!$A$1:$U$65536,21,0),0)</f>
        <v>0</v>
      </c>
      <c r="U34" s="4"/>
      <c r="V34" s="9">
        <v>245.77399999999997</v>
      </c>
      <c r="W34" s="9">
        <f t="shared" si="5"/>
        <v>20.0996674606731</v>
      </c>
      <c r="X34" s="9">
        <f t="shared" si="6"/>
        <v>14.203580104242825</v>
      </c>
      <c r="Y34" s="9">
        <v>42.771000000000001</v>
      </c>
      <c r="Z34" s="9">
        <v>47.454000000000001</v>
      </c>
      <c r="AA34" s="9">
        <v>36.903599999999997</v>
      </c>
      <c r="AB34" s="9">
        <v>31.8858</v>
      </c>
      <c r="AC34" s="9">
        <v>36.903599999999997</v>
      </c>
      <c r="AD34" s="9">
        <v>42.125799999999998</v>
      </c>
      <c r="AE34" s="9">
        <v>45.726999999999997</v>
      </c>
      <c r="AF34" s="9">
        <v>51.441999999999993</v>
      </c>
      <c r="AG34" s="9"/>
      <c r="AH34" s="9">
        <f t="shared" si="10"/>
        <v>250</v>
      </c>
      <c r="AI34" s="9">
        <f t="shared" si="7"/>
        <v>0</v>
      </c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spans="1:52" x14ac:dyDescent="0.25">
      <c r="A35" s="9" t="s">
        <v>74</v>
      </c>
      <c r="B35" s="9" t="s">
        <v>38</v>
      </c>
      <c r="C35" s="9">
        <v>303</v>
      </c>
      <c r="D35" s="9"/>
      <c r="E35" s="9">
        <v>105</v>
      </c>
      <c r="F35" s="9">
        <v>197</v>
      </c>
      <c r="G35" s="7">
        <v>0.3</v>
      </c>
      <c r="H35" s="9">
        <v>60</v>
      </c>
      <c r="I35" s="9" t="s">
        <v>36</v>
      </c>
      <c r="J35" s="9"/>
      <c r="K35" s="9"/>
      <c r="L35" s="9">
        <f t="shared" si="3"/>
        <v>105</v>
      </c>
      <c r="M35" s="9"/>
      <c r="N35" s="9"/>
      <c r="O35" s="9">
        <v>200</v>
      </c>
      <c r="P35" s="9">
        <v>0</v>
      </c>
      <c r="Q35" s="9">
        <v>200</v>
      </c>
      <c r="R35" s="9">
        <f t="shared" si="4"/>
        <v>21</v>
      </c>
      <c r="S35" s="4"/>
      <c r="T35" s="4">
        <f>IFERROR(VLOOKUP(A35,[1]Sheet!$A$1:$U$65536,21,0),0)</f>
        <v>0</v>
      </c>
      <c r="U35" s="4"/>
      <c r="V35" s="9"/>
      <c r="W35" s="9">
        <f t="shared" si="5"/>
        <v>28.428571428571427</v>
      </c>
      <c r="X35" s="9">
        <f t="shared" si="6"/>
        <v>28.428571428571427</v>
      </c>
      <c r="Y35" s="9">
        <v>14.8</v>
      </c>
      <c r="Z35" s="9">
        <v>22.8</v>
      </c>
      <c r="AA35" s="9">
        <v>29</v>
      </c>
      <c r="AB35" s="9">
        <v>-0.4</v>
      </c>
      <c r="AC35" s="9">
        <v>29</v>
      </c>
      <c r="AD35" s="9">
        <v>27.6</v>
      </c>
      <c r="AE35" s="9">
        <v>21.2</v>
      </c>
      <c r="AF35" s="9">
        <v>28.4</v>
      </c>
      <c r="AG35" s="17" t="s">
        <v>51</v>
      </c>
      <c r="AH35" s="9">
        <f t="shared" si="10"/>
        <v>0</v>
      </c>
      <c r="AI35" s="9">
        <f t="shared" si="7"/>
        <v>0</v>
      </c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spans="1:52" x14ac:dyDescent="0.25">
      <c r="A36" s="9" t="s">
        <v>54</v>
      </c>
      <c r="B36" s="9" t="s">
        <v>38</v>
      </c>
      <c r="C36" s="9">
        <v>369</v>
      </c>
      <c r="D36" s="9"/>
      <c r="E36" s="9">
        <v>281</v>
      </c>
      <c r="F36" s="14">
        <f>81+F17</f>
        <v>78</v>
      </c>
      <c r="G36" s="7">
        <v>0.41</v>
      </c>
      <c r="H36" s="9">
        <v>50</v>
      </c>
      <c r="I36" s="9" t="s">
        <v>36</v>
      </c>
      <c r="J36" s="9"/>
      <c r="K36" s="9"/>
      <c r="L36" s="9">
        <f t="shared" si="3"/>
        <v>281</v>
      </c>
      <c r="M36" s="9"/>
      <c r="N36" s="9"/>
      <c r="O36" s="9">
        <v>150</v>
      </c>
      <c r="P36" s="9">
        <v>100</v>
      </c>
      <c r="Q36" s="9">
        <v>0</v>
      </c>
      <c r="R36" s="9">
        <f t="shared" si="4"/>
        <v>56.2</v>
      </c>
      <c r="S36" s="4">
        <v>200</v>
      </c>
      <c r="T36" s="4">
        <f>IFERROR(VLOOKUP(A36,[1]Sheet!$A$1:$U$65536,21,0),0)</f>
        <v>0</v>
      </c>
      <c r="U36" s="4"/>
      <c r="V36" s="9">
        <v>458.80000000000007</v>
      </c>
      <c r="W36" s="9">
        <f t="shared" si="5"/>
        <v>9.395017793594306</v>
      </c>
      <c r="X36" s="9">
        <f t="shared" si="6"/>
        <v>5.8362989323843415</v>
      </c>
      <c r="Y36" s="9">
        <v>16.2</v>
      </c>
      <c r="Z36" s="9">
        <v>39.4</v>
      </c>
      <c r="AA36" s="9">
        <v>36.200000000000003</v>
      </c>
      <c r="AB36" s="9">
        <v>20</v>
      </c>
      <c r="AC36" s="9">
        <v>36.200000000000003</v>
      </c>
      <c r="AD36" s="9">
        <v>26.6</v>
      </c>
      <c r="AE36" s="9">
        <v>43</v>
      </c>
      <c r="AF36" s="9">
        <v>26.8</v>
      </c>
      <c r="AG36" s="9"/>
      <c r="AH36" s="9">
        <f t="shared" si="10"/>
        <v>82</v>
      </c>
      <c r="AI36" s="9">
        <f t="shared" si="7"/>
        <v>0</v>
      </c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spans="1:52" x14ac:dyDescent="0.25">
      <c r="A37" s="9" t="s">
        <v>75</v>
      </c>
      <c r="B37" s="9" t="s">
        <v>35</v>
      </c>
      <c r="C37" s="9">
        <v>203.77500000000001</v>
      </c>
      <c r="D37" s="9"/>
      <c r="E37" s="9">
        <v>174.08600000000001</v>
      </c>
      <c r="F37" s="9">
        <v>19.172000000000001</v>
      </c>
      <c r="G37" s="7">
        <v>1</v>
      </c>
      <c r="H37" s="9">
        <v>50</v>
      </c>
      <c r="I37" s="9" t="s">
        <v>36</v>
      </c>
      <c r="J37" s="9"/>
      <c r="K37" s="9"/>
      <c r="L37" s="9">
        <f t="shared" si="3"/>
        <v>174.08600000000001</v>
      </c>
      <c r="M37" s="9"/>
      <c r="N37" s="9"/>
      <c r="O37" s="9">
        <v>400</v>
      </c>
      <c r="P37" s="9">
        <v>400</v>
      </c>
      <c r="Q37" s="9">
        <v>450</v>
      </c>
      <c r="R37" s="9">
        <f t="shared" si="4"/>
        <v>34.8172</v>
      </c>
      <c r="S37" s="4">
        <v>350</v>
      </c>
      <c r="T37" s="4">
        <f>IFERROR(VLOOKUP(A37,[1]Sheet!$A$1:$U$65536,21,0),0)</f>
        <v>0</v>
      </c>
      <c r="U37" s="4"/>
      <c r="V37" s="9"/>
      <c r="W37" s="9">
        <f t="shared" si="5"/>
        <v>46.504945831370705</v>
      </c>
      <c r="X37" s="9">
        <f t="shared" si="6"/>
        <v>36.452443045391362</v>
      </c>
      <c r="Y37" s="9">
        <v>59.212000000000003</v>
      </c>
      <c r="Z37" s="9">
        <v>91.616600000000005</v>
      </c>
      <c r="AA37" s="9">
        <v>65.309400000000011</v>
      </c>
      <c r="AB37" s="9">
        <v>78.678399999999996</v>
      </c>
      <c r="AC37" s="9">
        <v>65.309400000000011</v>
      </c>
      <c r="AD37" s="9">
        <v>62.679200000000002</v>
      </c>
      <c r="AE37" s="9">
        <v>68.656800000000004</v>
      </c>
      <c r="AF37" s="9">
        <v>94.631600000000006</v>
      </c>
      <c r="AG37" s="9"/>
      <c r="AH37" s="9">
        <f t="shared" si="10"/>
        <v>350</v>
      </c>
      <c r="AI37" s="9">
        <f t="shared" si="7"/>
        <v>0</v>
      </c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spans="1:52" x14ac:dyDescent="0.25">
      <c r="A38" s="9" t="s">
        <v>76</v>
      </c>
      <c r="B38" s="9" t="s">
        <v>35</v>
      </c>
      <c r="C38" s="9">
        <v>192.2</v>
      </c>
      <c r="D38" s="9"/>
      <c r="E38" s="9">
        <v>185.32900000000001</v>
      </c>
      <c r="F38" s="9">
        <v>5.3330000000000002</v>
      </c>
      <c r="G38" s="7">
        <v>1</v>
      </c>
      <c r="H38" s="9">
        <v>50</v>
      </c>
      <c r="I38" s="9" t="s">
        <v>36</v>
      </c>
      <c r="J38" s="9"/>
      <c r="K38" s="9"/>
      <c r="L38" s="9">
        <f t="shared" si="3"/>
        <v>185.32900000000001</v>
      </c>
      <c r="M38" s="9"/>
      <c r="N38" s="9"/>
      <c r="O38" s="9">
        <v>150</v>
      </c>
      <c r="P38" s="9">
        <v>50</v>
      </c>
      <c r="Q38" s="9">
        <v>100</v>
      </c>
      <c r="R38" s="9">
        <f t="shared" si="4"/>
        <v>37.065800000000003</v>
      </c>
      <c r="S38" s="4">
        <v>150</v>
      </c>
      <c r="T38" s="4">
        <f>IFERROR(VLOOKUP(A38,[1]Sheet!$A$1:$U$65536,21,0),0)</f>
        <v>0</v>
      </c>
      <c r="U38" s="4"/>
      <c r="V38" s="9">
        <v>287.71980000000002</v>
      </c>
      <c r="W38" s="9">
        <f t="shared" si="5"/>
        <v>12.284450895434604</v>
      </c>
      <c r="X38" s="9">
        <f t="shared" si="6"/>
        <v>8.2375936847444269</v>
      </c>
      <c r="Y38" s="9">
        <v>25.948</v>
      </c>
      <c r="Z38" s="9">
        <v>38.4572</v>
      </c>
      <c r="AA38" s="9">
        <v>25.52</v>
      </c>
      <c r="AB38" s="9">
        <v>21.434799999999999</v>
      </c>
      <c r="AC38" s="9">
        <v>25.52</v>
      </c>
      <c r="AD38" s="9">
        <v>27.374400000000001</v>
      </c>
      <c r="AE38" s="9">
        <v>26.291599999999999</v>
      </c>
      <c r="AF38" s="9">
        <v>25.154199999999999</v>
      </c>
      <c r="AG38" s="9"/>
      <c r="AH38" s="9">
        <f t="shared" si="10"/>
        <v>150</v>
      </c>
      <c r="AI38" s="9">
        <f t="shared" si="7"/>
        <v>0</v>
      </c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spans="1:52" x14ac:dyDescent="0.25">
      <c r="A39" s="9" t="s">
        <v>77</v>
      </c>
      <c r="B39" s="9" t="s">
        <v>38</v>
      </c>
      <c r="C39" s="9">
        <v>277</v>
      </c>
      <c r="D39" s="9"/>
      <c r="E39" s="9">
        <v>191</v>
      </c>
      <c r="F39" s="9">
        <v>80</v>
      </c>
      <c r="G39" s="7">
        <v>0.4</v>
      </c>
      <c r="H39" s="9">
        <v>50</v>
      </c>
      <c r="I39" s="9" t="s">
        <v>36</v>
      </c>
      <c r="J39" s="9"/>
      <c r="K39" s="9"/>
      <c r="L39" s="9">
        <f t="shared" si="3"/>
        <v>191</v>
      </c>
      <c r="M39" s="9"/>
      <c r="N39" s="9"/>
      <c r="O39" s="9">
        <v>250</v>
      </c>
      <c r="P39" s="9">
        <v>50</v>
      </c>
      <c r="Q39" s="9">
        <v>50</v>
      </c>
      <c r="R39" s="9">
        <f t="shared" si="4"/>
        <v>38.200000000000003</v>
      </c>
      <c r="S39" s="4">
        <v>200</v>
      </c>
      <c r="T39" s="4">
        <f>IFERROR(VLOOKUP(A39,[1]Sheet!$A$1:$U$65536,21,0),0)</f>
        <v>0</v>
      </c>
      <c r="U39" s="4"/>
      <c r="V39" s="9">
        <v>295.80000000000007</v>
      </c>
      <c r="W39" s="9">
        <f t="shared" si="5"/>
        <v>16.492146596858639</v>
      </c>
      <c r="X39" s="9">
        <f t="shared" si="6"/>
        <v>11.2565445026178</v>
      </c>
      <c r="Y39" s="9">
        <v>29</v>
      </c>
      <c r="Z39" s="9">
        <v>41.6</v>
      </c>
      <c r="AA39" s="9">
        <v>49.6</v>
      </c>
      <c r="AB39" s="9">
        <v>24.2</v>
      </c>
      <c r="AC39" s="9">
        <v>49.6</v>
      </c>
      <c r="AD39" s="9">
        <v>38</v>
      </c>
      <c r="AE39" s="9">
        <v>53</v>
      </c>
      <c r="AF39" s="9">
        <v>40.4</v>
      </c>
      <c r="AG39" s="9"/>
      <c r="AH39" s="9">
        <f t="shared" si="10"/>
        <v>80</v>
      </c>
      <c r="AI39" s="9">
        <f t="shared" si="7"/>
        <v>0</v>
      </c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spans="1:52" x14ac:dyDescent="0.25">
      <c r="A40" s="9" t="s">
        <v>78</v>
      </c>
      <c r="B40" s="9" t="s">
        <v>38</v>
      </c>
      <c r="C40" s="9">
        <v>138</v>
      </c>
      <c r="D40" s="9"/>
      <c r="E40" s="9">
        <v>126</v>
      </c>
      <c r="F40" s="9"/>
      <c r="G40" s="7">
        <v>0.18</v>
      </c>
      <c r="H40" s="9">
        <v>50</v>
      </c>
      <c r="I40" s="9" t="s">
        <v>36</v>
      </c>
      <c r="J40" s="9"/>
      <c r="K40" s="9"/>
      <c r="L40" s="9">
        <f t="shared" si="3"/>
        <v>126</v>
      </c>
      <c r="M40" s="9"/>
      <c r="N40" s="9"/>
      <c r="O40" s="9">
        <v>300</v>
      </c>
      <c r="P40" s="9">
        <v>0</v>
      </c>
      <c r="Q40" s="9">
        <v>200</v>
      </c>
      <c r="R40" s="9">
        <f t="shared" si="4"/>
        <v>25.2</v>
      </c>
      <c r="S40" s="4">
        <v>100</v>
      </c>
      <c r="T40" s="4">
        <f>IFERROR(VLOOKUP(A40,[1]Sheet!$A$1:$U$65536,21,0),0)</f>
        <v>0</v>
      </c>
      <c r="U40" s="4"/>
      <c r="V40" s="9">
        <v>4</v>
      </c>
      <c r="W40" s="9">
        <f t="shared" si="5"/>
        <v>23.80952380952381</v>
      </c>
      <c r="X40" s="9">
        <f t="shared" si="6"/>
        <v>19.841269841269842</v>
      </c>
      <c r="Y40" s="9">
        <v>12.4</v>
      </c>
      <c r="Z40" s="9">
        <v>38.4</v>
      </c>
      <c r="AA40" s="9">
        <v>10.8</v>
      </c>
      <c r="AB40" s="9">
        <v>-6.8</v>
      </c>
      <c r="AC40" s="9">
        <v>10.8</v>
      </c>
      <c r="AD40" s="9">
        <v>56.2</v>
      </c>
      <c r="AE40" s="9">
        <v>39</v>
      </c>
      <c r="AF40" s="9">
        <v>33.799999999999997</v>
      </c>
      <c r="AG40" s="9"/>
      <c r="AH40" s="9">
        <f t="shared" si="10"/>
        <v>18</v>
      </c>
      <c r="AI40" s="9">
        <f t="shared" si="7"/>
        <v>0</v>
      </c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spans="1:52" x14ac:dyDescent="0.25">
      <c r="A41" s="9" t="s">
        <v>79</v>
      </c>
      <c r="B41" s="9" t="s">
        <v>38</v>
      </c>
      <c r="C41" s="9">
        <v>450</v>
      </c>
      <c r="D41" s="9"/>
      <c r="E41" s="9">
        <v>416</v>
      </c>
      <c r="F41" s="9">
        <v>18</v>
      </c>
      <c r="G41" s="7">
        <v>0.3</v>
      </c>
      <c r="H41" s="9">
        <v>50</v>
      </c>
      <c r="I41" s="9" t="s">
        <v>36</v>
      </c>
      <c r="J41" s="9"/>
      <c r="K41" s="9"/>
      <c r="L41" s="9">
        <f t="shared" si="3"/>
        <v>416</v>
      </c>
      <c r="M41" s="9"/>
      <c r="N41" s="9"/>
      <c r="O41" s="9">
        <v>2000</v>
      </c>
      <c r="P41" s="9">
        <v>0</v>
      </c>
      <c r="Q41" s="9">
        <v>1600</v>
      </c>
      <c r="R41" s="9">
        <f t="shared" si="4"/>
        <v>83.2</v>
      </c>
      <c r="S41" s="4">
        <v>1800</v>
      </c>
      <c r="T41" s="4">
        <f>IFERROR(VLOOKUP(A41,[1]Sheet!$A$1:$U$65536,21,0),0)</f>
        <v>0</v>
      </c>
      <c r="U41" s="4"/>
      <c r="V41" s="9"/>
      <c r="W41" s="9">
        <f t="shared" si="5"/>
        <v>65.120192307692307</v>
      </c>
      <c r="X41" s="9">
        <f t="shared" si="6"/>
        <v>43.48557692307692</v>
      </c>
      <c r="Y41" s="9">
        <v>123.2</v>
      </c>
      <c r="Z41" s="9">
        <v>589.4</v>
      </c>
      <c r="AA41" s="9">
        <v>287.60000000000002</v>
      </c>
      <c r="AB41" s="9">
        <v>234</v>
      </c>
      <c r="AC41" s="9">
        <v>287.60000000000002</v>
      </c>
      <c r="AD41" s="9">
        <v>311</v>
      </c>
      <c r="AE41" s="9">
        <v>335.8</v>
      </c>
      <c r="AF41" s="9">
        <v>282.60000000000002</v>
      </c>
      <c r="AG41" s="9"/>
      <c r="AH41" s="9">
        <f t="shared" si="10"/>
        <v>540</v>
      </c>
      <c r="AI41" s="9">
        <f t="shared" si="7"/>
        <v>0</v>
      </c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spans="1:52" x14ac:dyDescent="0.25">
      <c r="A42" s="9" t="s">
        <v>80</v>
      </c>
      <c r="B42" s="9" t="s">
        <v>38</v>
      </c>
      <c r="C42" s="9">
        <v>116</v>
      </c>
      <c r="D42" s="9"/>
      <c r="E42" s="9"/>
      <c r="F42" s="9">
        <v>112</v>
      </c>
      <c r="G42" s="7">
        <v>0.28000000000000003</v>
      </c>
      <c r="H42" s="9">
        <v>45</v>
      </c>
      <c r="I42" s="9">
        <v>1001304507230</v>
      </c>
      <c r="J42" s="9"/>
      <c r="K42" s="9"/>
      <c r="L42" s="9">
        <f t="shared" si="3"/>
        <v>0</v>
      </c>
      <c r="M42" s="9"/>
      <c r="N42" s="9"/>
      <c r="O42" s="9">
        <v>250</v>
      </c>
      <c r="P42" s="9">
        <v>0</v>
      </c>
      <c r="Q42" s="9">
        <v>160</v>
      </c>
      <c r="R42" s="9">
        <f t="shared" si="4"/>
        <v>0</v>
      </c>
      <c r="S42" s="4">
        <v>160</v>
      </c>
      <c r="T42" s="4">
        <f>IFERROR(VLOOKUP(A42,[1]Sheet!$A$1:$U$65536,21,0),0)</f>
        <v>0</v>
      </c>
      <c r="U42" s="4"/>
      <c r="V42" s="9"/>
      <c r="W42" s="9" t="e">
        <f t="shared" si="5"/>
        <v>#DIV/0!</v>
      </c>
      <c r="X42" s="9" t="e">
        <f t="shared" si="6"/>
        <v>#DIV/0!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15" t="s">
        <v>86</v>
      </c>
      <c r="AH42" s="9">
        <f t="shared" si="10"/>
        <v>44.800000000000004</v>
      </c>
      <c r="AI42" s="9">
        <f t="shared" si="7"/>
        <v>0</v>
      </c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spans="1:52" x14ac:dyDescent="0.25">
      <c r="A43" s="9" t="s">
        <v>81</v>
      </c>
      <c r="B43" s="9" t="s">
        <v>38</v>
      </c>
      <c r="C43" s="9">
        <v>197</v>
      </c>
      <c r="D43" s="9"/>
      <c r="E43" s="9"/>
      <c r="F43" s="9">
        <v>194</v>
      </c>
      <c r="G43" s="7">
        <v>0.3</v>
      </c>
      <c r="H43" s="9">
        <v>60</v>
      </c>
      <c r="I43" s="9">
        <v>1001013957231</v>
      </c>
      <c r="J43" s="9"/>
      <c r="K43" s="9"/>
      <c r="L43" s="9">
        <f t="shared" si="3"/>
        <v>0</v>
      </c>
      <c r="M43" s="9"/>
      <c r="N43" s="9"/>
      <c r="O43" s="9">
        <v>200</v>
      </c>
      <c r="P43" s="9">
        <v>120</v>
      </c>
      <c r="Q43" s="9">
        <v>160</v>
      </c>
      <c r="R43" s="9">
        <f t="shared" si="4"/>
        <v>0</v>
      </c>
      <c r="S43" s="4"/>
      <c r="T43" s="4">
        <f>IFERROR(VLOOKUP(A43,[1]Sheet!$A$1:$U$65536,21,0),0)</f>
        <v>0</v>
      </c>
      <c r="U43" s="4"/>
      <c r="V43" s="9"/>
      <c r="W43" s="9" t="e">
        <f t="shared" si="5"/>
        <v>#DIV/0!</v>
      </c>
      <c r="X43" s="9" t="e">
        <f t="shared" si="6"/>
        <v>#DIV/0!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15" t="s">
        <v>86</v>
      </c>
      <c r="AH43" s="9">
        <f t="shared" si="10"/>
        <v>0</v>
      </c>
      <c r="AI43" s="9">
        <f t="shared" si="7"/>
        <v>0</v>
      </c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spans="1:52" x14ac:dyDescent="0.25">
      <c r="A44" s="9" t="s">
        <v>82</v>
      </c>
      <c r="B44" s="9" t="s">
        <v>38</v>
      </c>
      <c r="C44" s="9">
        <v>116</v>
      </c>
      <c r="D44" s="9"/>
      <c r="E44" s="9"/>
      <c r="F44" s="9">
        <v>112</v>
      </c>
      <c r="G44" s="7">
        <v>0.28000000000000003</v>
      </c>
      <c r="H44" s="9"/>
      <c r="I44" s="9">
        <v>1001301777332</v>
      </c>
      <c r="J44" s="9"/>
      <c r="K44" s="9"/>
      <c r="L44" s="9">
        <f t="shared" si="3"/>
        <v>0</v>
      </c>
      <c r="M44" s="9"/>
      <c r="N44" s="9"/>
      <c r="O44" s="9">
        <v>200</v>
      </c>
      <c r="P44" s="9">
        <v>0</v>
      </c>
      <c r="Q44" s="9">
        <v>160</v>
      </c>
      <c r="R44" s="9">
        <f t="shared" si="4"/>
        <v>0</v>
      </c>
      <c r="S44" s="4">
        <v>160</v>
      </c>
      <c r="T44" s="4">
        <f>IFERROR(VLOOKUP(A44,[1]Sheet!$A$1:$U$65536,21,0),0)</f>
        <v>0</v>
      </c>
      <c r="U44" s="4"/>
      <c r="V44" s="9"/>
      <c r="W44" s="9" t="e">
        <f t="shared" si="5"/>
        <v>#DIV/0!</v>
      </c>
      <c r="X44" s="9" t="e">
        <f t="shared" si="6"/>
        <v>#DIV/0!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15" t="s">
        <v>86</v>
      </c>
      <c r="AH44" s="9">
        <f t="shared" si="10"/>
        <v>44.800000000000004</v>
      </c>
      <c r="AI44" s="9">
        <f t="shared" si="7"/>
        <v>0</v>
      </c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spans="1:52" x14ac:dyDescent="0.25">
      <c r="A45" s="9" t="s">
        <v>83</v>
      </c>
      <c r="B45" s="9" t="s">
        <v>38</v>
      </c>
      <c r="C45" s="9">
        <v>426</v>
      </c>
      <c r="D45" s="9"/>
      <c r="E45" s="9">
        <v>160</v>
      </c>
      <c r="F45" s="9">
        <v>232</v>
      </c>
      <c r="G45" s="7">
        <v>0.28000000000000003</v>
      </c>
      <c r="H45" s="9">
        <v>50</v>
      </c>
      <c r="I45" s="9" t="s">
        <v>36</v>
      </c>
      <c r="J45" s="9"/>
      <c r="K45" s="9"/>
      <c r="L45" s="9">
        <f t="shared" si="3"/>
        <v>160</v>
      </c>
      <c r="M45" s="9"/>
      <c r="N45" s="9"/>
      <c r="O45" s="9">
        <v>160</v>
      </c>
      <c r="P45" s="9">
        <v>0</v>
      </c>
      <c r="Q45" s="9">
        <v>280</v>
      </c>
      <c r="R45" s="9">
        <f t="shared" si="4"/>
        <v>32</v>
      </c>
      <c r="S45" s="4">
        <v>200</v>
      </c>
      <c r="T45" s="4">
        <f>IFERROR(VLOOKUP(A45,[1]Sheet!$A$1:$U$65536,21,0),0)</f>
        <v>0</v>
      </c>
      <c r="U45" s="4"/>
      <c r="V45" s="9"/>
      <c r="W45" s="9">
        <f t="shared" si="5"/>
        <v>27.25</v>
      </c>
      <c r="X45" s="9">
        <f t="shared" si="6"/>
        <v>21</v>
      </c>
      <c r="Y45" s="9">
        <v>16.8</v>
      </c>
      <c r="Z45" s="9">
        <v>129.4</v>
      </c>
      <c r="AA45" s="9">
        <v>33</v>
      </c>
      <c r="AB45" s="9">
        <v>20.399999999999999</v>
      </c>
      <c r="AC45" s="9">
        <v>33</v>
      </c>
      <c r="AD45" s="9">
        <v>39</v>
      </c>
      <c r="AE45" s="9">
        <v>44.6</v>
      </c>
      <c r="AF45" s="9">
        <v>25.2</v>
      </c>
      <c r="AG45" s="9"/>
      <c r="AH45" s="9">
        <f t="shared" si="10"/>
        <v>56.000000000000007</v>
      </c>
      <c r="AI45" s="9">
        <f t="shared" si="7"/>
        <v>0</v>
      </c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spans="1:52" x14ac:dyDescent="0.25">
      <c r="A46" s="9" t="s">
        <v>84</v>
      </c>
      <c r="B46" s="9"/>
      <c r="C46" s="9"/>
      <c r="D46" s="9"/>
      <c r="E46" s="9"/>
      <c r="F46" s="9"/>
      <c r="G46" s="7">
        <v>1</v>
      </c>
      <c r="H46" s="9"/>
      <c r="I46" s="9">
        <v>1001031076548</v>
      </c>
      <c r="J46" s="9"/>
      <c r="K46" s="9"/>
      <c r="L46" s="9">
        <f t="shared" si="3"/>
        <v>0</v>
      </c>
      <c r="M46" s="9"/>
      <c r="N46" s="9"/>
      <c r="O46" s="9">
        <v>0</v>
      </c>
      <c r="P46" s="9">
        <v>0</v>
      </c>
      <c r="Q46" s="9">
        <v>0</v>
      </c>
      <c r="R46" s="9">
        <f t="shared" si="4"/>
        <v>0</v>
      </c>
      <c r="S46" s="4"/>
      <c r="T46" s="4">
        <f>IFERROR(VLOOKUP(A46,[1]Sheet!$A$1:$U$65536,21,0),0)</f>
        <v>0</v>
      </c>
      <c r="U46" s="4"/>
      <c r="V46" s="9"/>
      <c r="W46" s="9" t="e">
        <f t="shared" si="5"/>
        <v>#DIV/0!</v>
      </c>
      <c r="X46" s="9" t="e">
        <f t="shared" si="6"/>
        <v>#DIV/0!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 t="s">
        <v>85</v>
      </c>
      <c r="AH46" s="9">
        <f t="shared" si="10"/>
        <v>0</v>
      </c>
      <c r="AI46" s="9">
        <f t="shared" si="7"/>
        <v>0</v>
      </c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spans="1:52" x14ac:dyDescent="0.25">
      <c r="A47" s="9"/>
      <c r="B47" s="9"/>
      <c r="C47" s="9"/>
      <c r="D47" s="9"/>
      <c r="E47" s="9"/>
      <c r="F47" s="9"/>
      <c r="G47" s="7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spans="1:52" x14ac:dyDescent="0.25">
      <c r="A48" s="9"/>
      <c r="B48" s="9"/>
      <c r="C48" s="9"/>
      <c r="D48" s="9"/>
      <c r="E48" s="9"/>
      <c r="F48" s="9"/>
      <c r="G48" s="7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spans="1:52" x14ac:dyDescent="0.25">
      <c r="A49" s="9"/>
      <c r="B49" s="9"/>
      <c r="C49" s="9"/>
      <c r="D49" s="9"/>
      <c r="E49" s="9"/>
      <c r="F49" s="9"/>
      <c r="G49" s="7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spans="1:52" x14ac:dyDescent="0.25">
      <c r="A50" s="9"/>
      <c r="B50" s="9"/>
      <c r="C50" s="9"/>
      <c r="D50" s="9"/>
      <c r="E50" s="9"/>
      <c r="F50" s="9"/>
      <c r="G50" s="7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spans="1:52" x14ac:dyDescent="0.25">
      <c r="A51" s="9"/>
      <c r="B51" s="9"/>
      <c r="C51" s="9"/>
      <c r="D51" s="9"/>
      <c r="E51" s="9"/>
      <c r="F51" s="9"/>
      <c r="G51" s="7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spans="1:52" x14ac:dyDescent="0.25">
      <c r="A52" s="9"/>
      <c r="B52" s="9"/>
      <c r="C52" s="9"/>
      <c r="D52" s="9"/>
      <c r="E52" s="9"/>
      <c r="F52" s="9"/>
      <c r="G52" s="7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1:52" x14ac:dyDescent="0.25">
      <c r="A53" s="9"/>
      <c r="B53" s="9"/>
      <c r="C53" s="9"/>
      <c r="D53" s="9"/>
      <c r="E53" s="9"/>
      <c r="F53" s="9"/>
      <c r="G53" s="7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spans="1:52" x14ac:dyDescent="0.25">
      <c r="A54" s="9"/>
      <c r="B54" s="9"/>
      <c r="C54" s="9"/>
      <c r="D54" s="9"/>
      <c r="E54" s="9"/>
      <c r="F54" s="9"/>
      <c r="G54" s="7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 spans="1:52" x14ac:dyDescent="0.25">
      <c r="A55" s="9"/>
      <c r="B55" s="9"/>
      <c r="C55" s="9"/>
      <c r="D55" s="9"/>
      <c r="E55" s="9"/>
      <c r="F55" s="9"/>
      <c r="G55" s="7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spans="1:52" x14ac:dyDescent="0.25">
      <c r="A56" s="9"/>
      <c r="B56" s="9"/>
      <c r="C56" s="9"/>
      <c r="D56" s="9"/>
      <c r="E56" s="9"/>
      <c r="F56" s="9"/>
      <c r="G56" s="7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spans="1:52" x14ac:dyDescent="0.25">
      <c r="A57" s="9"/>
      <c r="B57" s="9"/>
      <c r="C57" s="9"/>
      <c r="D57" s="9"/>
      <c r="E57" s="9"/>
      <c r="F57" s="9"/>
      <c r="G57" s="7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spans="1:52" x14ac:dyDescent="0.25">
      <c r="A58" s="9"/>
      <c r="B58" s="9"/>
      <c r="C58" s="9"/>
      <c r="D58" s="9"/>
      <c r="E58" s="9"/>
      <c r="F58" s="9"/>
      <c r="G58" s="7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spans="1:52" x14ac:dyDescent="0.25">
      <c r="A59" s="9"/>
      <c r="B59" s="9"/>
      <c r="C59" s="9"/>
      <c r="D59" s="9"/>
      <c r="E59" s="9"/>
      <c r="F59" s="9"/>
      <c r="G59" s="7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spans="1:52" x14ac:dyDescent="0.25">
      <c r="A60" s="9"/>
      <c r="B60" s="9"/>
      <c r="C60" s="9"/>
      <c r="D60" s="9"/>
      <c r="E60" s="9"/>
      <c r="F60" s="9"/>
      <c r="G60" s="7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spans="1:52" x14ac:dyDescent="0.25">
      <c r="A61" s="9"/>
      <c r="B61" s="9"/>
      <c r="C61" s="9"/>
      <c r="D61" s="9"/>
      <c r="E61" s="9"/>
      <c r="F61" s="9"/>
      <c r="G61" s="7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spans="1:52" x14ac:dyDescent="0.25">
      <c r="A62" s="9"/>
      <c r="B62" s="9"/>
      <c r="C62" s="9"/>
      <c r="D62" s="9"/>
      <c r="E62" s="9"/>
      <c r="F62" s="9"/>
      <c r="G62" s="7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spans="1:52" x14ac:dyDescent="0.25">
      <c r="A63" s="9"/>
      <c r="B63" s="9"/>
      <c r="C63" s="9"/>
      <c r="D63" s="9"/>
      <c r="E63" s="9"/>
      <c r="F63" s="9"/>
      <c r="G63" s="7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spans="1:52" x14ac:dyDescent="0.25">
      <c r="A64" s="9"/>
      <c r="B64" s="9"/>
      <c r="C64" s="9"/>
      <c r="D64" s="9"/>
      <c r="E64" s="9"/>
      <c r="F64" s="9"/>
      <c r="G64" s="7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 spans="1:52" x14ac:dyDescent="0.25">
      <c r="A65" s="9"/>
      <c r="B65" s="9"/>
      <c r="C65" s="9"/>
      <c r="D65" s="9"/>
      <c r="E65" s="9"/>
      <c r="F65" s="9"/>
      <c r="G65" s="7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spans="1:52" x14ac:dyDescent="0.25">
      <c r="A66" s="9"/>
      <c r="B66" s="9"/>
      <c r="C66" s="9"/>
      <c r="D66" s="9"/>
      <c r="E66" s="9"/>
      <c r="F66" s="9"/>
      <c r="G66" s="7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spans="1:52" x14ac:dyDescent="0.25">
      <c r="A67" s="9"/>
      <c r="B67" s="9"/>
      <c r="C67" s="9"/>
      <c r="D67" s="9"/>
      <c r="E67" s="9"/>
      <c r="F67" s="9"/>
      <c r="G67" s="7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spans="1:52" x14ac:dyDescent="0.25">
      <c r="A68" s="9"/>
      <c r="B68" s="9"/>
      <c r="C68" s="9"/>
      <c r="D68" s="9"/>
      <c r="E68" s="9"/>
      <c r="F68" s="9"/>
      <c r="G68" s="7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spans="1:52" x14ac:dyDescent="0.25">
      <c r="A69" s="9"/>
      <c r="B69" s="9"/>
      <c r="C69" s="9"/>
      <c r="D69" s="9"/>
      <c r="E69" s="9"/>
      <c r="F69" s="9"/>
      <c r="G69" s="7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spans="1:52" x14ac:dyDescent="0.25">
      <c r="A70" s="9"/>
      <c r="B70" s="9"/>
      <c r="C70" s="9"/>
      <c r="D70" s="9"/>
      <c r="E70" s="9"/>
      <c r="F70" s="9"/>
      <c r="G70" s="7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spans="1:52" x14ac:dyDescent="0.25">
      <c r="A71" s="9"/>
      <c r="B71" s="9"/>
      <c r="C71" s="9"/>
      <c r="D71" s="9"/>
      <c r="E71" s="9"/>
      <c r="F71" s="9"/>
      <c r="G71" s="7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spans="1:52" x14ac:dyDescent="0.25">
      <c r="A72" s="9"/>
      <c r="B72" s="9"/>
      <c r="C72" s="9"/>
      <c r="D72" s="9"/>
      <c r="E72" s="9"/>
      <c r="F72" s="9"/>
      <c r="G72" s="7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spans="1:52" x14ac:dyDescent="0.25">
      <c r="A73" s="9"/>
      <c r="B73" s="9"/>
      <c r="C73" s="9"/>
      <c r="D73" s="9"/>
      <c r="E73" s="9"/>
      <c r="F73" s="9"/>
      <c r="G73" s="7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spans="1:52" x14ac:dyDescent="0.25">
      <c r="A74" s="9"/>
      <c r="B74" s="9"/>
      <c r="C74" s="9"/>
      <c r="D74" s="9"/>
      <c r="E74" s="9"/>
      <c r="F74" s="9"/>
      <c r="G74" s="7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spans="1:52" x14ac:dyDescent="0.25">
      <c r="A75" s="9"/>
      <c r="B75" s="9"/>
      <c r="C75" s="9"/>
      <c r="D75" s="9"/>
      <c r="E75" s="9"/>
      <c r="F75" s="9"/>
      <c r="G75" s="7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spans="1:52" x14ac:dyDescent="0.25">
      <c r="A76" s="9"/>
      <c r="B76" s="9"/>
      <c r="C76" s="9"/>
      <c r="D76" s="9"/>
      <c r="E76" s="9"/>
      <c r="F76" s="9"/>
      <c r="G76" s="7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spans="1:52" x14ac:dyDescent="0.25">
      <c r="A77" s="9"/>
      <c r="B77" s="9"/>
      <c r="C77" s="9"/>
      <c r="D77" s="9"/>
      <c r="E77" s="9"/>
      <c r="F77" s="9"/>
      <c r="G77" s="7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spans="1:52" x14ac:dyDescent="0.25">
      <c r="A78" s="9"/>
      <c r="B78" s="9"/>
      <c r="C78" s="9"/>
      <c r="D78" s="9"/>
      <c r="E78" s="9"/>
      <c r="F78" s="9"/>
      <c r="G78" s="7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spans="1:52" x14ac:dyDescent="0.25">
      <c r="A79" s="9"/>
      <c r="B79" s="9"/>
      <c r="C79" s="9"/>
      <c r="D79" s="9"/>
      <c r="E79" s="9"/>
      <c r="F79" s="9"/>
      <c r="G79" s="7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spans="1:52" x14ac:dyDescent="0.25">
      <c r="A80" s="9"/>
      <c r="B80" s="9"/>
      <c r="C80" s="9"/>
      <c r="D80" s="9"/>
      <c r="E80" s="9"/>
      <c r="F80" s="9"/>
      <c r="G80" s="7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spans="1:52" x14ac:dyDescent="0.25">
      <c r="A81" s="9"/>
      <c r="B81" s="9"/>
      <c r="C81" s="9"/>
      <c r="D81" s="9"/>
      <c r="E81" s="9"/>
      <c r="F81" s="9"/>
      <c r="G81" s="7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spans="1:52" x14ac:dyDescent="0.25">
      <c r="A82" s="9"/>
      <c r="B82" s="9"/>
      <c r="C82" s="9"/>
      <c r="D82" s="9"/>
      <c r="E82" s="9"/>
      <c r="F82" s="9"/>
      <c r="G82" s="7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spans="1:52" x14ac:dyDescent="0.25">
      <c r="A83" s="9"/>
      <c r="B83" s="9"/>
      <c r="C83" s="9"/>
      <c r="D83" s="9"/>
      <c r="E83" s="9"/>
      <c r="F83" s="9"/>
      <c r="G83" s="7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spans="1:52" x14ac:dyDescent="0.25">
      <c r="A84" s="9"/>
      <c r="B84" s="9"/>
      <c r="C84" s="9"/>
      <c r="D84" s="9"/>
      <c r="E84" s="9"/>
      <c r="F84" s="9"/>
      <c r="G84" s="7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spans="1:52" x14ac:dyDescent="0.25">
      <c r="A85" s="9"/>
      <c r="B85" s="9"/>
      <c r="C85" s="9"/>
      <c r="D85" s="9"/>
      <c r="E85" s="9"/>
      <c r="F85" s="9"/>
      <c r="G85" s="7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spans="1:52" x14ac:dyDescent="0.25">
      <c r="A86" s="9"/>
      <c r="B86" s="9"/>
      <c r="C86" s="9"/>
      <c r="D86" s="9"/>
      <c r="E86" s="9"/>
      <c r="F86" s="9"/>
      <c r="G86" s="7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spans="1:52" x14ac:dyDescent="0.25">
      <c r="A87" s="9"/>
      <c r="B87" s="9"/>
      <c r="C87" s="9"/>
      <c r="D87" s="9"/>
      <c r="E87" s="9"/>
      <c r="F87" s="9"/>
      <c r="G87" s="7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spans="1:52" x14ac:dyDescent="0.25">
      <c r="A88" s="9"/>
      <c r="B88" s="9"/>
      <c r="C88" s="9"/>
      <c r="D88" s="9"/>
      <c r="E88" s="9"/>
      <c r="F88" s="9"/>
      <c r="G88" s="7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spans="1:52" x14ac:dyDescent="0.25">
      <c r="A89" s="9"/>
      <c r="B89" s="9"/>
      <c r="C89" s="9"/>
      <c r="D89" s="9"/>
      <c r="E89" s="9"/>
      <c r="F89" s="9"/>
      <c r="G89" s="7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spans="1:52" x14ac:dyDescent="0.25">
      <c r="A90" s="9"/>
      <c r="B90" s="9"/>
      <c r="C90" s="9"/>
      <c r="D90" s="9"/>
      <c r="E90" s="9"/>
      <c r="F90" s="9"/>
      <c r="G90" s="7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spans="1:52" x14ac:dyDescent="0.25">
      <c r="A91" s="9"/>
      <c r="B91" s="9"/>
      <c r="C91" s="9"/>
      <c r="D91" s="9"/>
      <c r="E91" s="9"/>
      <c r="F91" s="9"/>
      <c r="G91" s="7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spans="1:52" x14ac:dyDescent="0.25">
      <c r="A92" s="9"/>
      <c r="B92" s="9"/>
      <c r="C92" s="9"/>
      <c r="D92" s="9"/>
      <c r="E92" s="9"/>
      <c r="F92" s="9"/>
      <c r="G92" s="7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spans="1:52" x14ac:dyDescent="0.25">
      <c r="A93" s="9"/>
      <c r="B93" s="9"/>
      <c r="C93" s="9"/>
      <c r="D93" s="9"/>
      <c r="E93" s="9"/>
      <c r="F93" s="9"/>
      <c r="G93" s="7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spans="1:52" x14ac:dyDescent="0.25">
      <c r="A94" s="9"/>
      <c r="B94" s="9"/>
      <c r="C94" s="9"/>
      <c r="D94" s="9"/>
      <c r="E94" s="9"/>
      <c r="F94" s="9"/>
      <c r="G94" s="7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spans="1:52" x14ac:dyDescent="0.25">
      <c r="A95" s="9"/>
      <c r="B95" s="9"/>
      <c r="C95" s="9"/>
      <c r="D95" s="9"/>
      <c r="E95" s="9"/>
      <c r="F95" s="9"/>
      <c r="G95" s="7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spans="1:52" x14ac:dyDescent="0.25">
      <c r="A96" s="9"/>
      <c r="B96" s="9"/>
      <c r="C96" s="9"/>
      <c r="D96" s="9"/>
      <c r="E96" s="9"/>
      <c r="F96" s="9"/>
      <c r="G96" s="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spans="1:52" x14ac:dyDescent="0.25">
      <c r="A97" s="9"/>
      <c r="B97" s="9"/>
      <c r="C97" s="9"/>
      <c r="D97" s="9"/>
      <c r="E97" s="9"/>
      <c r="F97" s="9"/>
      <c r="G97" s="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spans="1:52" x14ac:dyDescent="0.25">
      <c r="A98" s="9"/>
      <c r="B98" s="9"/>
      <c r="C98" s="9"/>
      <c r="D98" s="9"/>
      <c r="E98" s="9"/>
      <c r="F98" s="9"/>
      <c r="G98" s="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spans="1:52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spans="1:52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spans="1:52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spans="1:52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spans="1:52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spans="1:52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1:52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spans="1:52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spans="1:52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spans="1:52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09" spans="1:52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spans="1:52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spans="1:52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spans="1:52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spans="1:52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 spans="1:52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</row>
    <row r="115" spans="1:52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</row>
    <row r="116" spans="1:52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 spans="1:52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 spans="1:52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 spans="1:52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spans="1:52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 spans="1:52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 spans="1:52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</row>
    <row r="123" spans="1:52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spans="1:52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spans="1:52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spans="1:52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spans="1:52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spans="1:52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 spans="1:52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</row>
    <row r="130" spans="1:52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</row>
    <row r="131" spans="1:52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spans="1:52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spans="1:52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</row>
    <row r="134" spans="1:52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</row>
    <row r="135" spans="1:52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</row>
    <row r="136" spans="1:52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spans="1:52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</row>
    <row r="138" spans="1:52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</row>
    <row r="139" spans="1:52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</row>
    <row r="140" spans="1:52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spans="1:52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</row>
    <row r="142" spans="1:52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</row>
    <row r="143" spans="1:52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</row>
    <row r="144" spans="1:52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</row>
    <row r="145" spans="1:52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</row>
    <row r="146" spans="1:52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</row>
    <row r="147" spans="1:52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</row>
    <row r="148" spans="1:52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</row>
    <row r="149" spans="1:52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</row>
    <row r="150" spans="1:52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</row>
    <row r="151" spans="1:52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</row>
    <row r="152" spans="1:52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</row>
    <row r="153" spans="1:52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</row>
    <row r="154" spans="1:52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</row>
    <row r="155" spans="1:52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</row>
    <row r="156" spans="1:52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spans="1:52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</row>
    <row r="158" spans="1:52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</row>
    <row r="159" spans="1:52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</row>
    <row r="160" spans="1:52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</row>
    <row r="161" spans="1:52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</row>
    <row r="162" spans="1:52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</row>
    <row r="163" spans="1:52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</row>
    <row r="164" spans="1:52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</row>
    <row r="165" spans="1:52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</row>
    <row r="166" spans="1:52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</row>
    <row r="167" spans="1:52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</row>
    <row r="168" spans="1:52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</row>
    <row r="169" spans="1:52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</row>
    <row r="170" spans="1:52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</row>
    <row r="171" spans="1:52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</row>
    <row r="172" spans="1:52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</row>
    <row r="173" spans="1:52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</row>
    <row r="174" spans="1:52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</row>
    <row r="175" spans="1:52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</row>
    <row r="176" spans="1:52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</row>
    <row r="177" spans="1:52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</row>
    <row r="178" spans="1:52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</row>
    <row r="179" spans="1:52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</row>
    <row r="180" spans="1:52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</row>
    <row r="181" spans="1:52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</row>
    <row r="182" spans="1:52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</row>
    <row r="183" spans="1:52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</row>
    <row r="184" spans="1:52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</row>
    <row r="185" spans="1:52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</row>
    <row r="186" spans="1:52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</row>
    <row r="187" spans="1:52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</row>
    <row r="188" spans="1:52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</row>
    <row r="189" spans="1:52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</row>
    <row r="190" spans="1:52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</row>
    <row r="191" spans="1:52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</row>
    <row r="192" spans="1:52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</row>
    <row r="193" spans="1:52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</row>
    <row r="194" spans="1:52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</row>
    <row r="195" spans="1:52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</row>
    <row r="196" spans="1:52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</row>
    <row r="197" spans="1:52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</row>
    <row r="198" spans="1:52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</row>
    <row r="199" spans="1:52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</row>
    <row r="200" spans="1:52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</row>
    <row r="201" spans="1:52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</row>
    <row r="202" spans="1:52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</row>
    <row r="203" spans="1:52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</row>
    <row r="204" spans="1:52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</row>
    <row r="205" spans="1:52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</row>
    <row r="206" spans="1:52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</row>
    <row r="207" spans="1:52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</row>
    <row r="208" spans="1:52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</row>
    <row r="209" spans="1:52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</row>
    <row r="210" spans="1:52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</row>
    <row r="211" spans="1:52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</row>
    <row r="212" spans="1:52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</row>
    <row r="213" spans="1:52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</row>
    <row r="214" spans="1:52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</row>
    <row r="215" spans="1:52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</row>
    <row r="216" spans="1:52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</row>
    <row r="217" spans="1:52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</row>
    <row r="218" spans="1:52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</row>
    <row r="219" spans="1:52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</row>
    <row r="220" spans="1:52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</row>
    <row r="221" spans="1:52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</row>
    <row r="222" spans="1:52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</row>
    <row r="223" spans="1:52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</row>
    <row r="224" spans="1:52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</row>
    <row r="225" spans="1:52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</row>
    <row r="226" spans="1:52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</row>
    <row r="227" spans="1:52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</row>
    <row r="228" spans="1:52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</row>
    <row r="229" spans="1:52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</row>
    <row r="230" spans="1:52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</row>
    <row r="231" spans="1:52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</row>
    <row r="232" spans="1:52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</row>
    <row r="233" spans="1:52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</row>
    <row r="234" spans="1:52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</row>
    <row r="235" spans="1:52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</row>
    <row r="236" spans="1:52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</row>
    <row r="237" spans="1:52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</row>
    <row r="238" spans="1:52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</row>
    <row r="239" spans="1:52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</row>
    <row r="240" spans="1:52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</row>
    <row r="241" spans="1:52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</row>
    <row r="242" spans="1:52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</row>
    <row r="243" spans="1:52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</row>
    <row r="244" spans="1:52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</row>
    <row r="245" spans="1:52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</row>
    <row r="246" spans="1:52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</row>
    <row r="247" spans="1:52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</row>
    <row r="248" spans="1:52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</row>
    <row r="249" spans="1:52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</row>
    <row r="250" spans="1:52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</row>
    <row r="251" spans="1:52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</row>
    <row r="252" spans="1:52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</row>
    <row r="253" spans="1:52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</row>
    <row r="254" spans="1:52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</row>
    <row r="255" spans="1:52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</row>
    <row r="256" spans="1:52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</row>
    <row r="257" spans="1:52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</row>
    <row r="258" spans="1:52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</row>
    <row r="259" spans="1:52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</row>
    <row r="260" spans="1:52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</row>
    <row r="261" spans="1:52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</row>
    <row r="262" spans="1:52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</row>
    <row r="263" spans="1:52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</row>
    <row r="264" spans="1:52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</row>
    <row r="265" spans="1:52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</row>
    <row r="266" spans="1:52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</row>
    <row r="267" spans="1:52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</row>
    <row r="268" spans="1:52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</row>
    <row r="269" spans="1:52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</row>
    <row r="270" spans="1:52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</row>
    <row r="271" spans="1:52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</row>
    <row r="272" spans="1:52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</row>
    <row r="273" spans="1:52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</row>
    <row r="274" spans="1:52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</row>
    <row r="275" spans="1:52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</row>
    <row r="276" spans="1:52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</row>
    <row r="277" spans="1:52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</row>
    <row r="278" spans="1:52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</row>
    <row r="279" spans="1:52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</row>
    <row r="280" spans="1:52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</row>
    <row r="281" spans="1:52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</row>
    <row r="282" spans="1:52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</row>
    <row r="283" spans="1:52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</row>
    <row r="284" spans="1:52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</row>
    <row r="285" spans="1:52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</row>
    <row r="286" spans="1:52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</row>
    <row r="287" spans="1:52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</row>
    <row r="288" spans="1:52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</row>
    <row r="289" spans="1:52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</row>
    <row r="290" spans="1:52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</row>
    <row r="291" spans="1:52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</row>
    <row r="292" spans="1:52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</row>
    <row r="293" spans="1:52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</row>
    <row r="294" spans="1:52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</row>
    <row r="295" spans="1:52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</row>
    <row r="296" spans="1:52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</row>
    <row r="297" spans="1:52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</row>
    <row r="298" spans="1:52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</row>
    <row r="299" spans="1:52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</row>
    <row r="300" spans="1:52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</row>
    <row r="301" spans="1:52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</row>
    <row r="302" spans="1:52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</row>
    <row r="303" spans="1:52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</row>
    <row r="304" spans="1:52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</row>
    <row r="305" spans="1:52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</row>
    <row r="306" spans="1:52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</row>
    <row r="307" spans="1:52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</row>
    <row r="308" spans="1:52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</row>
    <row r="309" spans="1:52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</row>
    <row r="310" spans="1:52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</row>
    <row r="311" spans="1:52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</row>
    <row r="312" spans="1:52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</row>
    <row r="313" spans="1:52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</row>
    <row r="314" spans="1:52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</row>
    <row r="315" spans="1:52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</row>
    <row r="316" spans="1:52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</row>
    <row r="317" spans="1:52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</row>
    <row r="318" spans="1:52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</row>
    <row r="319" spans="1:52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</row>
    <row r="320" spans="1:52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</row>
    <row r="321" spans="1:52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</row>
    <row r="322" spans="1:52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</row>
    <row r="323" spans="1:52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</row>
    <row r="324" spans="1:52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</row>
    <row r="325" spans="1:52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</row>
    <row r="326" spans="1:52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</row>
    <row r="327" spans="1:52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</row>
    <row r="328" spans="1:52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</row>
    <row r="329" spans="1:52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</row>
    <row r="330" spans="1:52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</row>
    <row r="331" spans="1:52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</row>
    <row r="332" spans="1:52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</row>
    <row r="333" spans="1:52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</row>
    <row r="334" spans="1:52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</row>
    <row r="335" spans="1:52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</row>
    <row r="336" spans="1:52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</row>
    <row r="337" spans="1:52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</row>
    <row r="338" spans="1:52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</row>
    <row r="339" spans="1:52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</row>
    <row r="340" spans="1:52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</row>
    <row r="341" spans="1:52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</row>
    <row r="342" spans="1:52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</row>
    <row r="343" spans="1:52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</row>
    <row r="344" spans="1:52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</row>
    <row r="345" spans="1:52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</row>
    <row r="346" spans="1:52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</row>
    <row r="347" spans="1:52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</row>
    <row r="348" spans="1:52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</row>
    <row r="349" spans="1:52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</row>
    <row r="350" spans="1:52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</row>
    <row r="351" spans="1:52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</row>
    <row r="352" spans="1:52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</row>
    <row r="353" spans="1:52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</row>
    <row r="354" spans="1:52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</row>
    <row r="355" spans="1:52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</row>
    <row r="356" spans="1:52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</row>
    <row r="357" spans="1:52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</row>
    <row r="358" spans="1:52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</row>
    <row r="359" spans="1:52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</row>
    <row r="360" spans="1:52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</row>
    <row r="361" spans="1:52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</row>
    <row r="362" spans="1:52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</row>
    <row r="363" spans="1:52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</row>
    <row r="364" spans="1:52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</row>
    <row r="365" spans="1:52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</row>
    <row r="366" spans="1:52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</row>
    <row r="367" spans="1:52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</row>
    <row r="368" spans="1:52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</row>
    <row r="369" spans="1:52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</row>
    <row r="370" spans="1:52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</row>
    <row r="371" spans="1:52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</row>
    <row r="372" spans="1:52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</row>
    <row r="373" spans="1:52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</row>
    <row r="374" spans="1:52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</row>
    <row r="375" spans="1:52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</row>
    <row r="376" spans="1:52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</row>
    <row r="377" spans="1:52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</row>
    <row r="378" spans="1:52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</row>
    <row r="379" spans="1:52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</row>
    <row r="380" spans="1:52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</row>
    <row r="381" spans="1:52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</row>
    <row r="382" spans="1:52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</row>
    <row r="383" spans="1:52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</row>
    <row r="384" spans="1:52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</row>
    <row r="385" spans="1:52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</row>
    <row r="386" spans="1:52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</row>
    <row r="387" spans="1:52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</row>
    <row r="388" spans="1:52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</row>
    <row r="389" spans="1:52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</row>
    <row r="390" spans="1:52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</row>
    <row r="391" spans="1:52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</row>
    <row r="392" spans="1:52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</row>
    <row r="393" spans="1:52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</row>
    <row r="394" spans="1:52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</row>
    <row r="395" spans="1:52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</row>
    <row r="396" spans="1:52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</row>
    <row r="397" spans="1:52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</row>
    <row r="398" spans="1:52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</row>
    <row r="399" spans="1:52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</row>
    <row r="400" spans="1:52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</row>
    <row r="401" spans="1:52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</row>
    <row r="402" spans="1:52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</row>
    <row r="403" spans="1:52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</row>
    <row r="404" spans="1:52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</row>
    <row r="405" spans="1:52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</row>
    <row r="406" spans="1:52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</row>
    <row r="407" spans="1:52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</row>
    <row r="408" spans="1:52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</row>
    <row r="409" spans="1:52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</row>
    <row r="410" spans="1:52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</row>
    <row r="411" spans="1:52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</row>
    <row r="412" spans="1:52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</row>
    <row r="413" spans="1:52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</row>
    <row r="414" spans="1:52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</row>
    <row r="415" spans="1:52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</row>
    <row r="416" spans="1:52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</row>
    <row r="417" spans="1:52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</row>
    <row r="418" spans="1:52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</row>
    <row r="419" spans="1:52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</row>
    <row r="420" spans="1:52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</row>
    <row r="421" spans="1:52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</row>
    <row r="422" spans="1:52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</row>
    <row r="423" spans="1:52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</row>
    <row r="424" spans="1:52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</row>
    <row r="425" spans="1:52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</row>
    <row r="426" spans="1:52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</row>
    <row r="427" spans="1:52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</row>
    <row r="428" spans="1:52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</row>
    <row r="429" spans="1:52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</row>
    <row r="430" spans="1:52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</row>
    <row r="431" spans="1:52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</row>
    <row r="432" spans="1:52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</row>
    <row r="433" spans="1:52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</row>
    <row r="434" spans="1:52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</row>
    <row r="435" spans="1:52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</row>
    <row r="436" spans="1:52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</row>
    <row r="437" spans="1:52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</row>
    <row r="438" spans="1:52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</row>
    <row r="439" spans="1:52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</row>
    <row r="440" spans="1:52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</row>
    <row r="441" spans="1:52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</row>
    <row r="442" spans="1:52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</row>
    <row r="443" spans="1:52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</row>
    <row r="444" spans="1:52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</row>
    <row r="445" spans="1:52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</row>
    <row r="446" spans="1:52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</row>
    <row r="447" spans="1:52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</row>
    <row r="448" spans="1:52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</row>
    <row r="449" spans="1:52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</row>
    <row r="450" spans="1:52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</row>
    <row r="451" spans="1:52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</row>
    <row r="452" spans="1:52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</row>
    <row r="453" spans="1:52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</row>
    <row r="454" spans="1:52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</row>
    <row r="455" spans="1:52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</row>
    <row r="456" spans="1:52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</row>
    <row r="457" spans="1:52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</row>
    <row r="458" spans="1:52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</row>
    <row r="459" spans="1:52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</row>
    <row r="460" spans="1:52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</row>
    <row r="461" spans="1:52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</row>
    <row r="462" spans="1:52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</row>
    <row r="463" spans="1:52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</row>
    <row r="464" spans="1:52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</row>
    <row r="465" spans="1:52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</row>
    <row r="466" spans="1:52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</row>
    <row r="467" spans="1:52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</row>
    <row r="468" spans="1:52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</row>
    <row r="469" spans="1:52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</row>
    <row r="470" spans="1:52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</row>
    <row r="471" spans="1:52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</row>
    <row r="472" spans="1:52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</row>
    <row r="473" spans="1:52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</row>
    <row r="474" spans="1:52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</row>
    <row r="475" spans="1:52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</row>
    <row r="476" spans="1:52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</row>
    <row r="477" spans="1:52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</row>
    <row r="478" spans="1:52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</row>
    <row r="479" spans="1:52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</row>
    <row r="480" spans="1:52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</row>
    <row r="481" spans="1:52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</row>
    <row r="482" spans="1:52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</row>
    <row r="483" spans="1:52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</row>
    <row r="484" spans="1:52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</row>
    <row r="485" spans="1:52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</row>
    <row r="486" spans="1:52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</row>
    <row r="487" spans="1:52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</row>
    <row r="488" spans="1:52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</row>
    <row r="489" spans="1:52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</row>
    <row r="490" spans="1:52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</row>
    <row r="491" spans="1:52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</row>
    <row r="492" spans="1:52" x14ac:dyDescent="0.25">
      <c r="A492" s="9"/>
      <c r="B492" s="9"/>
      <c r="C492" s="9"/>
      <c r="D492" s="9"/>
      <c r="E492" s="9"/>
      <c r="F492" s="9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</row>
    <row r="493" spans="1:52" x14ac:dyDescent="0.25">
      <c r="A493" s="9"/>
      <c r="B493" s="9"/>
      <c r="C493" s="9"/>
      <c r="D493" s="9"/>
      <c r="E493" s="9"/>
      <c r="F493" s="9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</row>
    <row r="494" spans="1:52" x14ac:dyDescent="0.25">
      <c r="A494" s="9"/>
      <c r="B494" s="9"/>
      <c r="C494" s="9"/>
      <c r="D494" s="9"/>
      <c r="E494" s="9"/>
      <c r="F494" s="9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</row>
    <row r="495" spans="1:52" x14ac:dyDescent="0.25">
      <c r="A495" s="9"/>
      <c r="B495" s="9"/>
      <c r="C495" s="9"/>
      <c r="D495" s="9"/>
      <c r="E495" s="9"/>
      <c r="F495" s="9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</row>
    <row r="496" spans="1:52" x14ac:dyDescent="0.25">
      <c r="A496" s="9"/>
      <c r="B496" s="9"/>
      <c r="C496" s="9"/>
      <c r="D496" s="9"/>
      <c r="E496" s="9"/>
      <c r="F496" s="9"/>
      <c r="G496" s="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</row>
    <row r="497" spans="1:52" x14ac:dyDescent="0.25">
      <c r="A497" s="9"/>
      <c r="B497" s="9"/>
      <c r="C497" s="9"/>
      <c r="D497" s="9"/>
      <c r="E497" s="9"/>
      <c r="F497" s="9"/>
      <c r="G497" s="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</row>
    <row r="498" spans="1:52" x14ac:dyDescent="0.25">
      <c r="A498" s="9"/>
      <c r="B498" s="9"/>
      <c r="C498" s="9"/>
      <c r="D498" s="9"/>
      <c r="E498" s="9"/>
      <c r="F498" s="9"/>
      <c r="G498" s="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</row>
  </sheetData>
  <autoFilter ref="A3:AH4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2026-01-19T10:50:08Z</dcterms:created>
  <dcterms:modified xsi:type="dcterms:W3CDTF">2026-01-26T11:24:30Z</dcterms:modified>
</cp:coreProperties>
</file>