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Новороссийск\"/>
    </mc:Choice>
  </mc:AlternateContent>
  <xr:revisionPtr revIDLastSave="0" documentId="13_ncr:1_{CD56B78A-E408-4F11-A615-95800B79EE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D3" i="1"/>
  <c r="D4" i="1"/>
  <c r="D5" i="1"/>
  <c r="D6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<sst xmlns="http://schemas.openxmlformats.org/spreadsheetml/2006/main" count="70" uniqueCount="39">
  <si>
    <t>Номенклатура</t>
  </si>
  <si>
    <t>Ед. изм.</t>
  </si>
  <si>
    <t>Конечный остаток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</si>
  <si>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</si>
  <si>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</si>
  <si>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</si>
  <si>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</si>
  <si>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</si>
  <si>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</si>
  <si>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</si>
  <si>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</si>
  <si>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</si>
  <si>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334  Паштет Любительский ТМ Стародворье ламистер 0,1 кг  ПОКОМ</t>
  </si>
  <si>
    <t>SU003389</t>
  </si>
  <si>
    <t xml:space="preserve"> 485  Колбаса Молочная по-стародворски ТМ Стародворье в оболочке полиамид. ВЕС ПОКОМ </t>
  </si>
  <si>
    <t>кг</t>
  </si>
  <si>
    <t>БОНУС_ 319  Колбаса вареная Филейская ТМ Вязанка ТС Классическая, 0,45 кг. ПОКОМ</t>
  </si>
  <si>
    <t>ИТОГО, шт</t>
  </si>
  <si>
    <t>SU</t>
  </si>
  <si>
    <t>SU001485</t>
  </si>
  <si>
    <t>SU001718</t>
  </si>
  <si>
    <t>SU002618</t>
  </si>
  <si>
    <t>SU002621</t>
  </si>
  <si>
    <t>SU002312</t>
  </si>
  <si>
    <t>SU002815</t>
  </si>
  <si>
    <t>SU002816</t>
  </si>
  <si>
    <t>SU002814</t>
  </si>
  <si>
    <t>SU002841</t>
  </si>
  <si>
    <t>1С НВ</t>
  </si>
  <si>
    <t>нет в матрице</t>
  </si>
  <si>
    <t>Бердянск</t>
  </si>
  <si>
    <t>Донецк</t>
  </si>
  <si>
    <t>Луганск</t>
  </si>
  <si>
    <t>Мелитополь</t>
  </si>
  <si>
    <t>1С КСК</t>
  </si>
  <si>
    <t>Крым</t>
  </si>
  <si>
    <t>сроки</t>
  </si>
  <si>
    <t>НВ</t>
  </si>
  <si>
    <t>Донецк, Луганск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</si>
</sst>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horizontal="left" vertical="top" wrapText="1" indent="2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right" vertical="top"/>
    </xf>
    <xf numFmtId="0" fontId="0" fillId="0" borderId="1" xfId="0" applyBorder="1"/>
    <xf numFmtId="0" fontId="2" fillId="0" borderId="1" xfId="0" applyFont="1" applyBorder="1"/>
    <xf numFmtId="1" fontId="0" fillId="0" borderId="1" xfId="0" applyNumberFormat="1" applyBorder="1"/>
    <xf numFmtId="164" fontId="0" fillId="6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9" fontId="0" fillId="5" borderId="1" xfId="0" applyNumberFormat="1" applyFill="1" applyBorder="1" applyAlignment="1">
      <alignment horizontal="left" vertical="top" wrapText="1" indent="2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1" fontId="0" fillId="7" borderId="1" xfId="0" applyNumberFormat="1" applyFill="1" applyBorder="1"/>
    <xf numFmtId="0" fontId="0" fillId="8" borderId="1" xfId="0" applyFill="1" applyBorder="1"/>
    <xf numFmtId="0" fontId="2" fillId="8" borderId="1" xfId="0" applyFont="1" applyFill="1" applyBorder="1"/>
    <xf numFmtId="1" fontId="0" fillId="8" borderId="1" xfId="0" applyNumberFormat="1" applyFill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pane ySplit="1" topLeftCell="A2" activePane="bottomLeft" state="frozen"/>
      <selection pane="bottomLeft" activeCell="M15" sqref="M15"/>
    </sheetView>
  </sheetViews>
  <sheetFormatPr defaultRowHeight="15" x14ac:dyDescent="0.25"/>
  <cols>
    <col min="1" max="1" width="60.85546875" customWidth="1"/>
    <col min="2" max="2" width="5" customWidth="1"/>
    <col min="3" max="3" width="8.85546875" customWidth="1"/>
    <col min="4" max="4" width="8.28515625" customWidth="1"/>
    <col min="9" max="9" width="45.5703125" customWidth="1"/>
    <col min="10" max="13" width="8.85546875" style="2" customWidth="1"/>
    <col min="14" max="14" width="49.140625" customWidth="1"/>
    <col min="15" max="15" width="8.85546875" style="2" customWidth="1"/>
  </cols>
  <sheetData>
    <row r="1" spans="1:15" s="1" customFormat="1" ht="25.5" x14ac:dyDescent="0.25">
      <c r="A1" s="3" t="s">
        <v>0</v>
      </c>
      <c r="B1" s="3" t="s">
        <v>1</v>
      </c>
      <c r="C1" s="4" t="s">
        <v>2</v>
      </c>
      <c r="D1" s="4" t="s">
        <v>17</v>
      </c>
      <c r="E1" s="16" t="s">
        <v>36</v>
      </c>
      <c r="F1" s="16" t="s">
        <v>35</v>
      </c>
      <c r="G1" s="16" t="s">
        <v>37</v>
      </c>
      <c r="H1" s="16" t="s">
        <v>18</v>
      </c>
      <c r="I1" s="16" t="s">
        <v>28</v>
      </c>
      <c r="J1" s="17" t="s">
        <v>30</v>
      </c>
      <c r="K1" s="17" t="s">
        <v>31</v>
      </c>
      <c r="L1" s="17" t="s">
        <v>32</v>
      </c>
      <c r="M1" s="17" t="s">
        <v>33</v>
      </c>
      <c r="N1" s="16" t="s">
        <v>34</v>
      </c>
      <c r="O1" s="17" t="s">
        <v>35</v>
      </c>
    </row>
    <row r="2" spans="1:15" ht="30" x14ac:dyDescent="0.25">
      <c r="A2" s="5" t="s">
        <v>3</v>
      </c>
      <c r="B2" s="6" t="s">
        <v>4</v>
      </c>
      <c r="C2" s="7">
        <v>327</v>
      </c>
      <c r="D2" s="7">
        <f>C2</f>
        <v>327</v>
      </c>
      <c r="E2" s="8"/>
      <c r="F2" s="8"/>
      <c r="G2" s="8"/>
      <c r="H2" s="8" t="s">
        <v>19</v>
      </c>
      <c r="I2" s="9" t="s">
        <v>29</v>
      </c>
      <c r="J2" s="10"/>
      <c r="K2" s="10"/>
      <c r="L2" s="10"/>
      <c r="M2" s="10"/>
      <c r="N2" s="8" t="s">
        <v>3</v>
      </c>
      <c r="O2" s="18">
        <v>740</v>
      </c>
    </row>
    <row r="3" spans="1:15" ht="30" x14ac:dyDescent="0.25">
      <c r="A3" s="5" t="s">
        <v>5</v>
      </c>
      <c r="B3" s="6" t="s">
        <v>4</v>
      </c>
      <c r="C3" s="7">
        <v>200</v>
      </c>
      <c r="D3" s="7">
        <f t="shared" ref="D3:D11" si="0">C3</f>
        <v>200</v>
      </c>
      <c r="E3" s="8"/>
      <c r="F3" s="8"/>
      <c r="G3" s="8"/>
      <c r="H3" s="8" t="s">
        <v>20</v>
      </c>
      <c r="I3" s="8" t="s">
        <v>5</v>
      </c>
      <c r="J3" s="10">
        <v>65.2</v>
      </c>
      <c r="K3" s="18">
        <v>199.2</v>
      </c>
      <c r="L3" s="10">
        <v>89.807600000000008</v>
      </c>
      <c r="M3" s="10">
        <v>50</v>
      </c>
      <c r="N3" s="8" t="s">
        <v>5</v>
      </c>
      <c r="O3" s="10">
        <v>942.4</v>
      </c>
    </row>
    <row r="4" spans="1:15" ht="30" x14ac:dyDescent="0.25">
      <c r="A4" s="5" t="s">
        <v>6</v>
      </c>
      <c r="B4" s="6" t="s">
        <v>4</v>
      </c>
      <c r="C4" s="7">
        <v>300</v>
      </c>
      <c r="D4" s="7">
        <f t="shared" si="0"/>
        <v>300</v>
      </c>
      <c r="E4" s="8"/>
      <c r="F4" s="8"/>
      <c r="G4" s="8"/>
      <c r="H4" s="8" t="s">
        <v>21</v>
      </c>
      <c r="I4" s="8" t="s">
        <v>6</v>
      </c>
      <c r="J4" s="10">
        <v>159.19999999999999</v>
      </c>
      <c r="K4" s="10">
        <v>268.60000000000002</v>
      </c>
      <c r="L4" s="18">
        <v>547</v>
      </c>
      <c r="M4" s="10">
        <v>81.2</v>
      </c>
      <c r="N4" s="8" t="s">
        <v>6</v>
      </c>
      <c r="O4" s="10">
        <v>610.4</v>
      </c>
    </row>
    <row r="5" spans="1:15" ht="30" x14ac:dyDescent="0.25">
      <c r="A5" s="5" t="s">
        <v>7</v>
      </c>
      <c r="B5" s="6" t="s">
        <v>4</v>
      </c>
      <c r="C5" s="7">
        <v>400</v>
      </c>
      <c r="D5" s="7">
        <f t="shared" si="0"/>
        <v>400</v>
      </c>
      <c r="E5" s="8"/>
      <c r="F5" s="8"/>
      <c r="G5" s="8"/>
      <c r="H5" s="8" t="s">
        <v>22</v>
      </c>
      <c r="I5" s="8" t="s">
        <v>7</v>
      </c>
      <c r="J5" s="10">
        <v>114.4</v>
      </c>
      <c r="K5" s="10">
        <v>238.6</v>
      </c>
      <c r="L5" s="18">
        <v>319.2</v>
      </c>
      <c r="M5" s="10">
        <v>70.400000000000006</v>
      </c>
      <c r="N5" s="9" t="s">
        <v>29</v>
      </c>
      <c r="O5" s="10"/>
    </row>
    <row r="6" spans="1:15" ht="30" x14ac:dyDescent="0.25">
      <c r="A6" s="5" t="s">
        <v>8</v>
      </c>
      <c r="B6" s="6" t="s">
        <v>4</v>
      </c>
      <c r="C6" s="7">
        <v>361</v>
      </c>
      <c r="D6" s="7">
        <f t="shared" si="0"/>
        <v>361</v>
      </c>
      <c r="E6" s="8"/>
      <c r="F6" s="8" t="s">
        <v>35</v>
      </c>
      <c r="G6" s="8" t="s">
        <v>32</v>
      </c>
      <c r="H6" s="19" t="s">
        <v>23</v>
      </c>
      <c r="I6" s="20" t="s">
        <v>29</v>
      </c>
      <c r="J6" s="21"/>
      <c r="K6" s="21"/>
      <c r="L6" s="21"/>
      <c r="M6" s="21"/>
      <c r="N6" s="20" t="s">
        <v>29</v>
      </c>
      <c r="O6" s="21"/>
    </row>
    <row r="7" spans="1:15" ht="30" x14ac:dyDescent="0.25">
      <c r="A7" s="5" t="s">
        <v>9</v>
      </c>
      <c r="B7" s="6" t="s">
        <v>4</v>
      </c>
      <c r="C7" s="7">
        <v>268</v>
      </c>
      <c r="D7" s="11">
        <f>C7+C12</f>
        <v>406</v>
      </c>
      <c r="E7" s="8"/>
      <c r="F7" s="8"/>
      <c r="G7" s="8"/>
      <c r="H7" s="8" t="s">
        <v>24</v>
      </c>
      <c r="I7" s="9" t="s">
        <v>29</v>
      </c>
      <c r="J7" s="10"/>
      <c r="K7" s="10"/>
      <c r="L7" s="10"/>
      <c r="M7" s="10"/>
      <c r="N7" s="8" t="s">
        <v>9</v>
      </c>
      <c r="O7" s="18">
        <v>1032.4000000000001</v>
      </c>
    </row>
    <row r="8" spans="1:15" x14ac:dyDescent="0.25">
      <c r="A8" s="5" t="s">
        <v>10</v>
      </c>
      <c r="B8" s="6" t="s">
        <v>4</v>
      </c>
      <c r="C8" s="7">
        <v>342</v>
      </c>
      <c r="D8" s="7">
        <f t="shared" si="0"/>
        <v>342</v>
      </c>
      <c r="E8" s="8"/>
      <c r="F8" s="8"/>
      <c r="G8" s="8"/>
      <c r="H8" s="8" t="s">
        <v>25</v>
      </c>
      <c r="I8" s="8" t="s">
        <v>10</v>
      </c>
      <c r="J8" s="10">
        <v>31.4</v>
      </c>
      <c r="K8" s="10">
        <v>44.512199999999993</v>
      </c>
      <c r="L8" s="18">
        <v>110</v>
      </c>
      <c r="M8" s="10">
        <v>49.8</v>
      </c>
      <c r="N8" s="8" t="s">
        <v>10</v>
      </c>
      <c r="O8" s="10">
        <v>1023.4</v>
      </c>
    </row>
    <row r="9" spans="1:15" ht="30" x14ac:dyDescent="0.25">
      <c r="A9" s="5" t="s">
        <v>11</v>
      </c>
      <c r="B9" s="6" t="s">
        <v>4</v>
      </c>
      <c r="C9" s="7">
        <v>224</v>
      </c>
      <c r="D9" s="7">
        <f t="shared" si="0"/>
        <v>224</v>
      </c>
      <c r="E9" s="8"/>
      <c r="F9" s="8"/>
      <c r="G9" s="8"/>
      <c r="H9" s="8" t="s">
        <v>26</v>
      </c>
      <c r="I9" s="9" t="s">
        <v>29</v>
      </c>
      <c r="J9" s="10"/>
      <c r="K9" s="10"/>
      <c r="L9" s="10"/>
      <c r="M9" s="10"/>
      <c r="N9" s="8" t="s">
        <v>11</v>
      </c>
      <c r="O9" s="18">
        <v>396.4</v>
      </c>
    </row>
    <row r="10" spans="1:15" ht="30" x14ac:dyDescent="0.25">
      <c r="A10" s="5" t="s">
        <v>12</v>
      </c>
      <c r="B10" s="6" t="s">
        <v>4</v>
      </c>
      <c r="C10" s="12">
        <v>1046</v>
      </c>
      <c r="D10" s="7">
        <f t="shared" si="0"/>
        <v>1046</v>
      </c>
      <c r="E10" s="8"/>
      <c r="F10" s="8"/>
      <c r="G10" s="8"/>
      <c r="H10" s="8" t="s">
        <v>27</v>
      </c>
      <c r="I10" s="8" t="s">
        <v>12</v>
      </c>
      <c r="J10" s="10">
        <v>5.6</v>
      </c>
      <c r="K10" s="10">
        <v>27</v>
      </c>
      <c r="L10" s="10">
        <v>20.399999999999999</v>
      </c>
      <c r="M10" s="10">
        <v>6.6</v>
      </c>
      <c r="N10" s="8" t="s">
        <v>12</v>
      </c>
      <c r="O10" s="18">
        <v>113.6</v>
      </c>
    </row>
    <row r="11" spans="1:15" ht="30" x14ac:dyDescent="0.25">
      <c r="A11" s="5" t="s">
        <v>14</v>
      </c>
      <c r="B11" s="6" t="s">
        <v>15</v>
      </c>
      <c r="C11" s="7">
        <v>95.914000000000001</v>
      </c>
      <c r="D11" s="7">
        <f t="shared" si="0"/>
        <v>95.914000000000001</v>
      </c>
      <c r="E11" s="8"/>
      <c r="F11" s="8"/>
      <c r="G11" s="22" t="s">
        <v>38</v>
      </c>
      <c r="H11" s="19" t="s">
        <v>13</v>
      </c>
      <c r="I11" s="20" t="s">
        <v>29</v>
      </c>
      <c r="J11" s="21"/>
      <c r="K11" s="21"/>
      <c r="L11" s="21"/>
      <c r="M11" s="21"/>
      <c r="N11" s="20" t="s">
        <v>29</v>
      </c>
      <c r="O11" s="21"/>
    </row>
    <row r="12" spans="1:15" ht="30" x14ac:dyDescent="0.25">
      <c r="A12" s="13" t="s">
        <v>16</v>
      </c>
      <c r="B12" s="14" t="s">
        <v>4</v>
      </c>
      <c r="C12" s="15">
        <v>138</v>
      </c>
      <c r="D12" s="15"/>
      <c r="E12" s="8"/>
      <c r="F12" s="8"/>
      <c r="G12" s="8"/>
      <c r="H12" s="8"/>
      <c r="I12" s="8"/>
      <c r="J12" s="10"/>
      <c r="K12" s="10"/>
      <c r="L12" s="10"/>
      <c r="M12" s="10"/>
      <c r="N12" s="8"/>
      <c r="O12" s="10"/>
    </row>
  </sheetData>
  <autoFilter ref="A1:C12" xr:uid="{DD07DAE8-C794-4ED8-8519-D6491F9037B7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2025-12-24T13:27:53Z</dcterms:modified>
</cp:coreProperties>
</file>