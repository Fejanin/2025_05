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65C66804-6DFA-4DA3-A57D-6FAF6906354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DSheet" sheetId="1" r:id="rId1"/>
  </sheets>
  <externalReferences>
    <externalReference r:id="rId2"/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12" i="1" l="1"/>
  <c r="U13" i="1"/>
  <c r="U16" i="1"/>
  <c r="U17" i="1"/>
  <c r="U20" i="1"/>
  <c r="U21" i="1"/>
  <c r="U24" i="1"/>
  <c r="U25" i="1"/>
  <c r="U28" i="1"/>
  <c r="U29" i="1"/>
  <c r="U32" i="1"/>
  <c r="U33" i="1"/>
  <c r="U36" i="1"/>
  <c r="U37" i="1"/>
  <c r="U40" i="1"/>
  <c r="U41" i="1"/>
  <c r="U44" i="1"/>
  <c r="U45" i="1"/>
  <c r="U48" i="1"/>
  <c r="U49" i="1"/>
  <c r="P12" i="1"/>
  <c r="P13" i="1"/>
  <c r="P14" i="1"/>
  <c r="U14" i="1" s="1"/>
  <c r="P15" i="1"/>
  <c r="U15" i="1" s="1"/>
  <c r="P16" i="1"/>
  <c r="P17" i="1"/>
  <c r="P18" i="1"/>
  <c r="U18" i="1" s="1"/>
  <c r="P19" i="1"/>
  <c r="U19" i="1" s="1"/>
  <c r="P20" i="1"/>
  <c r="P21" i="1"/>
  <c r="P22" i="1"/>
  <c r="P23" i="1"/>
  <c r="P24" i="1"/>
  <c r="P25" i="1"/>
  <c r="P26" i="1"/>
  <c r="U26" i="1" s="1"/>
  <c r="P27" i="1"/>
  <c r="U27" i="1" s="1"/>
  <c r="P28" i="1"/>
  <c r="P29" i="1"/>
  <c r="P30" i="1"/>
  <c r="U30" i="1" s="1"/>
  <c r="P31" i="1"/>
  <c r="U31" i="1" s="1"/>
  <c r="P32" i="1"/>
  <c r="P33" i="1"/>
  <c r="P34" i="1"/>
  <c r="U34" i="1" s="1"/>
  <c r="P35" i="1"/>
  <c r="U35" i="1" s="1"/>
  <c r="P36" i="1"/>
  <c r="P37" i="1"/>
  <c r="P38" i="1"/>
  <c r="U38" i="1" s="1"/>
  <c r="P39" i="1"/>
  <c r="U39" i="1" s="1"/>
  <c r="P40" i="1"/>
  <c r="P41" i="1"/>
  <c r="P42" i="1"/>
  <c r="U42" i="1" s="1"/>
  <c r="P43" i="1"/>
  <c r="U43" i="1" s="1"/>
  <c r="P44" i="1"/>
  <c r="P45" i="1"/>
  <c r="P46" i="1"/>
  <c r="U46" i="1" s="1"/>
  <c r="P47" i="1"/>
  <c r="U47" i="1" s="1"/>
  <c r="P48" i="1"/>
  <c r="P49" i="1"/>
  <c r="P11" i="1"/>
  <c r="U11" i="1" s="1"/>
  <c r="L12" i="1"/>
  <c r="L14" i="1"/>
  <c r="L15" i="1"/>
  <c r="L16" i="1"/>
  <c r="L19" i="1"/>
  <c r="L20" i="1"/>
  <c r="L23" i="1"/>
  <c r="L24" i="1"/>
  <c r="L27" i="1"/>
  <c r="L28" i="1"/>
  <c r="L31" i="1"/>
  <c r="L32" i="1"/>
  <c r="L35" i="1"/>
  <c r="L36" i="1"/>
  <c r="L39" i="1"/>
  <c r="L40" i="1"/>
  <c r="L43" i="1"/>
  <c r="L44" i="1"/>
  <c r="L48" i="1"/>
  <c r="K12" i="1"/>
  <c r="K13" i="1"/>
  <c r="L13" i="1" s="1"/>
  <c r="K15" i="1"/>
  <c r="K16" i="1"/>
  <c r="K17" i="1"/>
  <c r="L17" i="1" s="1"/>
  <c r="K18" i="1"/>
  <c r="L18" i="1" s="1"/>
  <c r="K19" i="1"/>
  <c r="K20" i="1"/>
  <c r="K21" i="1"/>
  <c r="L21" i="1" s="1"/>
  <c r="K22" i="1"/>
  <c r="L22" i="1" s="1"/>
  <c r="K23" i="1"/>
  <c r="K24" i="1"/>
  <c r="K25" i="1"/>
  <c r="L25" i="1" s="1"/>
  <c r="K26" i="1"/>
  <c r="L26" i="1" s="1"/>
  <c r="K27" i="1"/>
  <c r="K28" i="1"/>
  <c r="K29" i="1"/>
  <c r="L29" i="1" s="1"/>
  <c r="K30" i="1"/>
  <c r="L30" i="1" s="1"/>
  <c r="K31" i="1"/>
  <c r="K32" i="1"/>
  <c r="K33" i="1"/>
  <c r="L33" i="1" s="1"/>
  <c r="K34" i="1"/>
  <c r="L34" i="1" s="1"/>
  <c r="K35" i="1"/>
  <c r="K36" i="1"/>
  <c r="K37" i="1"/>
  <c r="L37" i="1" s="1"/>
  <c r="K38" i="1"/>
  <c r="L38" i="1" s="1"/>
  <c r="K39" i="1"/>
  <c r="K40" i="1"/>
  <c r="K41" i="1"/>
  <c r="L41" i="1" s="1"/>
  <c r="K42" i="1"/>
  <c r="L42" i="1" s="1"/>
  <c r="K43" i="1"/>
  <c r="K44" i="1"/>
  <c r="K45" i="1"/>
  <c r="L45" i="1" s="1"/>
  <c r="K46" i="1"/>
  <c r="L46" i="1" s="1"/>
  <c r="K47" i="1"/>
  <c r="L47" i="1" s="1"/>
  <c r="K48" i="1"/>
  <c r="K49" i="1"/>
  <c r="L49" i="1" s="1"/>
  <c r="K11" i="1"/>
  <c r="L11" i="1" s="1"/>
  <c r="Q45" i="1" l="1"/>
  <c r="T45" i="1" s="1"/>
  <c r="U23" i="1"/>
  <c r="Q30" i="1"/>
  <c r="U22" i="1"/>
  <c r="AA14" i="1"/>
  <c r="AA18" i="1"/>
  <c r="AA26" i="1"/>
  <c r="AA30" i="1"/>
  <c r="AA38" i="1"/>
  <c r="AA46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11" i="1"/>
  <c r="O12" i="1"/>
  <c r="T12" i="1" s="1"/>
  <c r="O13" i="1"/>
  <c r="T13" i="1" s="1"/>
  <c r="O14" i="1"/>
  <c r="T14" i="1" s="1"/>
  <c r="O15" i="1"/>
  <c r="T15" i="1" s="1"/>
  <c r="O16" i="1"/>
  <c r="T16" i="1" s="1"/>
  <c r="O17" i="1"/>
  <c r="T17" i="1" s="1"/>
  <c r="O18" i="1"/>
  <c r="T18" i="1" s="1"/>
  <c r="O19" i="1"/>
  <c r="T19" i="1" s="1"/>
  <c r="O20" i="1"/>
  <c r="T20" i="1" s="1"/>
  <c r="O21" i="1"/>
  <c r="Q21" i="1" s="1"/>
  <c r="T21" i="1" s="1"/>
  <c r="O22" i="1"/>
  <c r="Q22" i="1" s="1"/>
  <c r="O23" i="1"/>
  <c r="Q23" i="1" s="1"/>
  <c r="O24" i="1"/>
  <c r="T24" i="1" s="1"/>
  <c r="O25" i="1"/>
  <c r="T25" i="1" s="1"/>
  <c r="O26" i="1"/>
  <c r="T26" i="1" s="1"/>
  <c r="O27" i="1"/>
  <c r="T27" i="1" s="1"/>
  <c r="O28" i="1"/>
  <c r="O29" i="1"/>
  <c r="Q29" i="1" s="1"/>
  <c r="AA29" i="1" s="1"/>
  <c r="O30" i="1"/>
  <c r="O31" i="1"/>
  <c r="Q31" i="1" s="1"/>
  <c r="O32" i="1"/>
  <c r="T32" i="1" s="1"/>
  <c r="O33" i="1"/>
  <c r="T33" i="1" s="1"/>
  <c r="O34" i="1"/>
  <c r="Q34" i="1" s="1"/>
  <c r="O35" i="1"/>
  <c r="T35" i="1" s="1"/>
  <c r="O36" i="1"/>
  <c r="T36" i="1" s="1"/>
  <c r="O37" i="1"/>
  <c r="T37" i="1" s="1"/>
  <c r="O38" i="1"/>
  <c r="T38" i="1" s="1"/>
  <c r="O39" i="1"/>
  <c r="T39" i="1" s="1"/>
  <c r="O40" i="1"/>
  <c r="T40" i="1" s="1"/>
  <c r="O41" i="1"/>
  <c r="O42" i="1"/>
  <c r="O43" i="1"/>
  <c r="T43" i="1" s="1"/>
  <c r="O44" i="1"/>
  <c r="Q44" i="1" s="1"/>
  <c r="T44" i="1" s="1"/>
  <c r="O45" i="1"/>
  <c r="O46" i="1"/>
  <c r="T46" i="1" s="1"/>
  <c r="O47" i="1"/>
  <c r="T47" i="1" s="1"/>
  <c r="O48" i="1"/>
  <c r="Q48" i="1" s="1"/>
  <c r="T48" i="1" s="1"/>
  <c r="O49" i="1"/>
  <c r="Q49" i="1" s="1"/>
  <c r="AA49" i="1" s="1"/>
  <c r="O11" i="1"/>
  <c r="Q11" i="1" s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11" i="1"/>
  <c r="G12" i="1"/>
  <c r="AA12" i="1" s="1"/>
  <c r="G13" i="1"/>
  <c r="AA13" i="1" s="1"/>
  <c r="G14" i="1"/>
  <c r="G15" i="1"/>
  <c r="AA15" i="1" s="1"/>
  <c r="G16" i="1"/>
  <c r="AA16" i="1" s="1"/>
  <c r="G17" i="1"/>
  <c r="AA17" i="1" s="1"/>
  <c r="G18" i="1"/>
  <c r="G19" i="1"/>
  <c r="AA19" i="1" s="1"/>
  <c r="G20" i="1"/>
  <c r="AA20" i="1" s="1"/>
  <c r="G21" i="1"/>
  <c r="G22" i="1"/>
  <c r="G23" i="1"/>
  <c r="G24" i="1"/>
  <c r="AA24" i="1" s="1"/>
  <c r="G25" i="1"/>
  <c r="AA25" i="1" s="1"/>
  <c r="G26" i="1"/>
  <c r="G27" i="1"/>
  <c r="AA27" i="1" s="1"/>
  <c r="G28" i="1"/>
  <c r="G29" i="1"/>
  <c r="G30" i="1"/>
  <c r="G31" i="1"/>
  <c r="G32" i="1"/>
  <c r="AA32" i="1" s="1"/>
  <c r="G33" i="1"/>
  <c r="AA33" i="1" s="1"/>
  <c r="G34" i="1"/>
  <c r="G35" i="1"/>
  <c r="AA35" i="1" s="1"/>
  <c r="G36" i="1"/>
  <c r="AA36" i="1" s="1"/>
  <c r="G37" i="1"/>
  <c r="AA37" i="1" s="1"/>
  <c r="G38" i="1"/>
  <c r="G39" i="1"/>
  <c r="AA39" i="1" s="1"/>
  <c r="G40" i="1"/>
  <c r="AA40" i="1" s="1"/>
  <c r="G41" i="1"/>
  <c r="G42" i="1"/>
  <c r="G43" i="1"/>
  <c r="AA43" i="1" s="1"/>
  <c r="G44" i="1"/>
  <c r="G45" i="1"/>
  <c r="G46" i="1"/>
  <c r="G47" i="1"/>
  <c r="AA47" i="1" s="1"/>
  <c r="G48" i="1"/>
  <c r="G49" i="1"/>
  <c r="G11" i="1"/>
  <c r="T22" i="1" l="1"/>
  <c r="AA22" i="1"/>
  <c r="T11" i="1"/>
  <c r="AA11" i="1"/>
  <c r="T34" i="1"/>
  <c r="AA34" i="1"/>
  <c r="T31" i="1"/>
  <c r="AA31" i="1"/>
  <c r="T23" i="1"/>
  <c r="AA23" i="1"/>
  <c r="AA45" i="1"/>
  <c r="AA21" i="1"/>
  <c r="T30" i="1"/>
  <c r="AA48" i="1"/>
  <c r="AA44" i="1"/>
  <c r="Q42" i="1"/>
  <c r="AA42" i="1" s="1"/>
  <c r="Q28" i="1"/>
  <c r="AA28" i="1" s="1"/>
  <c r="T28" i="1"/>
  <c r="T49" i="1"/>
  <c r="T29" i="1"/>
  <c r="Q41" i="1"/>
  <c r="AA41" i="1" s="1"/>
  <c r="D10" i="1"/>
  <c r="E10" i="1"/>
  <c r="F10" i="1"/>
  <c r="C10" i="1"/>
  <c r="AA10" i="1"/>
  <c r="Y10" i="1"/>
  <c r="X10" i="1"/>
  <c r="W10" i="1"/>
  <c r="V10" i="1"/>
  <c r="R10" i="1"/>
  <c r="P10" i="1"/>
  <c r="O10" i="1"/>
  <c r="N10" i="1"/>
  <c r="L10" i="1"/>
  <c r="K10" i="1"/>
  <c r="Q10" i="1" l="1"/>
  <c r="T41" i="1"/>
  <c r="T42" i="1"/>
</calcChain>
</file>

<file path=xl/sharedStrings.xml><?xml version="1.0" encoding="utf-8"?>
<sst xmlns="http://schemas.openxmlformats.org/spreadsheetml/2006/main" count="117" uniqueCount="75">
  <si>
    <t>Ведомость по товарам на складах</t>
  </si>
  <si>
    <t>Период: 15.06.2026 - 22.06.2026</t>
  </si>
  <si>
    <t>Склад В списке "АСП Донецк Останкино моло..." И
Номенклатура В группе из списка "Останкино ООО"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</si>
  <si>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</si>
  <si>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</si>
  <si>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</si>
  <si>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</si>
  <si>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</si>
  <si>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</si>
  <si>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</si>
  <si>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</si>
  <si>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</si>
  <si>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</si>
  <si>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</si>
  <si>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</si>
  <si>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</si>
  <si>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</si>
  <si>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</si>
  <si>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</si>
  <si>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</si>
  <si>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</si>
  <si>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</si>
  <si>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</si>
  <si>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</si>
  <si>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</si>
  <si>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</si>
  <si>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</si>
  <si>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</si>
  <si>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</si>
  <si>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</si>
  <si>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</si>
  <si>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</si>
  <si>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</si>
  <si>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</si>
  <si>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</si>
  <si>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</si>
  <si>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</si>
  <si>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</si>
  <si>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</si>
  <si>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</si>
  <si>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</si>
  <si>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</si>
  <si>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</si>
  <si>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</si>
  <si>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</si>
  <si>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</si>
  <si>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</si>
  <si>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</si>
  <si>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</si>
  <si>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</si>
  <si>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</si>
  <si>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</si>
  <si>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</si>
  <si>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</si>
  <si>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</si>
  <si>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</si>
  <si>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</si>
  <si>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</si>
  <si>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</si>
  <si>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</si>
  <si>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</si>
  <si>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</si>
  <si>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</si>
  <si>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</si>
  <si>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</si>
  <si>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</si>
  <si>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</si>
  <si>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</si>
  <si>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22,06,</t>
  </si>
  <si>
    <t>28,06,</t>
  </si>
  <si>
    <t>29,06,</t>
  </si>
  <si>
    <t>26,05,</t>
  </si>
  <si>
    <t>01,05,</t>
  </si>
  <si>
    <t>08,06,</t>
  </si>
  <si>
    <t>15,06,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</si>
</sst>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8"/>
      <name val="Arial"/>
    </font>
    <font>
      <b/>
      <sz val="18"/>
      <name val="Arial"/>
      <family val="2"/>
      <charset val="204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8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4C5"/>
      </patternFill>
    </fill>
    <fill>
      <patternFill patternType="solid">
        <fgColor rgb="FF13E22E"/>
        <bgColor rgb="FF13E22E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0" fillId="0" borderId="0" xfId="0" applyAlignment="1"/>
    <xf numFmtId="0" fontId="2" fillId="2" borderId="1" xfId="0" applyFont="1" applyFill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2" fillId="0" borderId="0" xfId="0" applyFont="1" applyAlignment="1">
      <alignment horizontal="center" vertical="top"/>
    </xf>
    <xf numFmtId="164" fontId="0" fillId="0" borderId="2" xfId="0" applyNumberFormat="1" applyBorder="1" applyAlignment="1">
      <alignment horizontal="right" vertical="top"/>
    </xf>
    <xf numFmtId="164" fontId="0" fillId="0" borderId="0" xfId="0" applyNumberFormat="1" applyAlignment="1"/>
    <xf numFmtId="164" fontId="0" fillId="0" borderId="0" xfId="0" applyNumberFormat="1" applyAlignment="1">
      <alignment horizontal="left"/>
    </xf>
    <xf numFmtId="164" fontId="2" fillId="2" borderId="0" xfId="0" applyNumberFormat="1" applyFont="1" applyFill="1" applyAlignment="1">
      <alignment horizontal="left" vertical="top" wrapText="1"/>
    </xf>
    <xf numFmtId="164" fontId="3" fillId="3" borderId="0" xfId="1" applyNumberFormat="1" applyFont="1" applyFill="1"/>
    <xf numFmtId="164" fontId="3" fillId="3" borderId="0" xfId="1" applyNumberFormat="1" applyFont="1" applyFill="1" applyAlignment="1">
      <alignment wrapText="1"/>
    </xf>
    <xf numFmtId="164" fontId="4" fillId="3" borderId="0" xfId="1" applyNumberFormat="1" applyFont="1" applyFill="1" applyAlignment="1">
      <alignment wrapText="1"/>
    </xf>
    <xf numFmtId="164" fontId="3" fillId="4" borderId="0" xfId="1" applyNumberFormat="1" applyFont="1" applyFill="1" applyAlignment="1">
      <alignment wrapText="1"/>
    </xf>
    <xf numFmtId="164" fontId="2" fillId="2" borderId="2" xfId="0" applyNumberFormat="1" applyFont="1" applyFill="1" applyBorder="1" applyAlignment="1">
      <alignment horizontal="left" vertical="top" wrapText="1"/>
    </xf>
    <xf numFmtId="164" fontId="2" fillId="2" borderId="2" xfId="0" applyNumberFormat="1" applyFont="1" applyFill="1" applyBorder="1" applyAlignment="1">
      <alignment horizontal="left" vertical="top"/>
    </xf>
    <xf numFmtId="164" fontId="2" fillId="0" borderId="0" xfId="1" applyNumberFormat="1"/>
    <xf numFmtId="164" fontId="2" fillId="5" borderId="0" xfId="1" applyNumberFormat="1" applyFill="1"/>
    <xf numFmtId="164" fontId="5" fillId="0" borderId="3" xfId="0" applyNumberFormat="1" applyFont="1" applyBorder="1" applyAlignment="1"/>
    <xf numFmtId="0" fontId="0" fillId="6" borderId="2" xfId="0" applyFill="1" applyBorder="1" applyAlignment="1">
      <alignment horizontal="left" vertical="top"/>
    </xf>
    <xf numFmtId="164" fontId="0" fillId="6" borderId="2" xfId="0" applyNumberFormat="1" applyFill="1" applyBorder="1" applyAlignment="1">
      <alignment horizontal="right" vertical="top"/>
    </xf>
    <xf numFmtId="164" fontId="0" fillId="6" borderId="0" xfId="0" applyNumberFormat="1" applyFill="1" applyAlignment="1"/>
  </cellXfs>
  <cellStyles count="2">
    <cellStyle name="Arial10px" xfId="1" xr:uid="{63B11A9E-AF2E-40F9-8D8F-7CA7C2D971A2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SI\Desktop\&#1044;&#1074;.%20&#1054;&#1089;&#1090;&#1072;&#1085;&#1082;&#1080;&#1085;&#1086;%20&#1057;&#1099;&#1088;%20&#1086;&#1090;%2015,06,26,%20&#1044;&#1086;&#1085;&#1077;&#1094;&#1082;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SI\Desktop\&#1047;&#1072;&#1082;&#1072;&#1079;&#1072;&#1085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Период: 08.06.2026 - 15.06.2026</v>
          </cell>
        </row>
        <row r="6">
          <cell r="A6" t="str">
            <v>Склад В списке "АСП Донецк Останкино моло..." И
Номенклатура В группе из списка "Останкино ООО"</v>
          </cell>
        </row>
        <row r="8">
          <cell r="A8" t="str">
            <v>Номенклатура</v>
          </cell>
          <cell r="B8" t="str">
            <v>Ед. изм.</v>
          </cell>
          <cell r="C8" t="str">
            <v>Начальный остаток</v>
          </cell>
          <cell r="D8" t="str">
            <v>Приход</v>
          </cell>
          <cell r="E8" t="str">
            <v>Расход</v>
          </cell>
          <cell r="F8" t="str">
            <v>Конечный остаток</v>
          </cell>
          <cell r="G8" t="str">
            <v>крат</v>
          </cell>
          <cell r="H8" t="str">
            <v>сроки</v>
          </cell>
          <cell r="I8" t="str">
            <v>метка</v>
          </cell>
          <cell r="J8" t="str">
            <v>метка2</v>
          </cell>
          <cell r="K8" t="str">
            <v>заяв</v>
          </cell>
          <cell r="L8" t="str">
            <v>разн</v>
          </cell>
          <cell r="M8" t="str">
            <v>без опта</v>
          </cell>
          <cell r="N8" t="str">
            <v>опт</v>
          </cell>
          <cell r="O8" t="str">
            <v>Заказ</v>
          </cell>
          <cell r="P8" t="str">
            <v>ср нов</v>
          </cell>
          <cell r="Q8" t="str">
            <v>расчет</v>
          </cell>
          <cell r="R8" t="str">
            <v>заказ филиала</v>
          </cell>
          <cell r="S8" t="str">
            <v>Комментарии филиала</v>
          </cell>
          <cell r="T8" t="str">
            <v>кон ост</v>
          </cell>
          <cell r="U8" t="str">
            <v>факт</v>
          </cell>
          <cell r="V8" t="str">
            <v>ср</v>
          </cell>
          <cell r="W8" t="str">
            <v>ср</v>
          </cell>
          <cell r="X8" t="str">
            <v>ср</v>
          </cell>
          <cell r="Y8" t="str">
            <v>ср</v>
          </cell>
          <cell r="Z8" t="str">
            <v>комментарии</v>
          </cell>
        </row>
        <row r="9">
          <cell r="O9" t="str">
            <v>15,06,</v>
          </cell>
          <cell r="P9" t="str">
            <v>15,06,</v>
          </cell>
          <cell r="Q9" t="str">
            <v>22,06,</v>
          </cell>
          <cell r="R9" t="str">
            <v>22,06,</v>
          </cell>
          <cell r="V9" t="str">
            <v>18,05,</v>
          </cell>
          <cell r="W9" t="str">
            <v>25,05,</v>
          </cell>
          <cell r="X9" t="str">
            <v>01,06,</v>
          </cell>
          <cell r="Y9" t="str">
            <v>08,06,</v>
          </cell>
        </row>
        <row r="10">
          <cell r="C10">
            <v>8099.6270000000004</v>
          </cell>
          <cell r="D10">
            <v>5295.043999999999</v>
          </cell>
          <cell r="E10">
            <v>1877.5499999999997</v>
          </cell>
          <cell r="F10">
            <v>10984.020999999999</v>
          </cell>
          <cell r="K10">
            <v>3192.3</v>
          </cell>
          <cell r="L10">
            <v>-1314.7500000000002</v>
          </cell>
          <cell r="N10">
            <v>0</v>
          </cell>
          <cell r="O10">
            <v>1530</v>
          </cell>
          <cell r="P10">
            <v>375.51</v>
          </cell>
          <cell r="Q10">
            <v>1190</v>
          </cell>
          <cell r="R10">
            <v>970</v>
          </cell>
          <cell r="V10">
            <v>397.16739999999999</v>
          </cell>
          <cell r="W10">
            <v>429.01400000000007</v>
          </cell>
          <cell r="X10">
            <v>516.0128000000002</v>
          </cell>
          <cell r="Y10">
            <v>391.67239999999998</v>
          </cell>
        </row>
        <row r="11">
          <cell r="A11" t="str">
            <v>3323 Сыр Российский цилиндр 1/4 пленка ЮКМП м.д.ж. 50%  ОСТАНКИНО</v>
          </cell>
          <cell r="B11" t="str">
            <v>кг</v>
          </cell>
          <cell r="C11">
            <v>437.69299999999998</v>
          </cell>
          <cell r="E11">
            <v>22.456</v>
          </cell>
          <cell r="F11">
            <v>415.23700000000002</v>
          </cell>
          <cell r="G11">
            <v>1</v>
          </cell>
          <cell r="H11">
            <v>0</v>
          </cell>
          <cell r="I11">
            <v>8783323</v>
          </cell>
          <cell r="K11">
            <v>22.4</v>
          </cell>
          <cell r="L11">
            <v>5.6000000000000938E-2</v>
          </cell>
          <cell r="O11">
            <v>0</v>
          </cell>
          <cell r="P11">
            <v>4.4912000000000001</v>
          </cell>
          <cell r="S11">
            <v>0</v>
          </cell>
          <cell r="T11">
            <v>92.455691129319561</v>
          </cell>
          <cell r="U11">
            <v>92.455691129319561</v>
          </cell>
          <cell r="V11">
            <v>15.979200000000001</v>
          </cell>
          <cell r="W11">
            <v>4.0884</v>
          </cell>
          <cell r="X11">
            <v>6.2723999999999993</v>
          </cell>
          <cell r="Y11">
            <v>5.9976000000000003</v>
          </cell>
          <cell r="Z11" t="str">
            <v>увел продажи</v>
          </cell>
        </row>
        <row r="12">
          <cell r="A12" t="str">
            <v>4421577 Спред растительно-сливочный "Сливочный вкус" 82,5% 180гр  Останкино</v>
          </cell>
          <cell r="B12" t="str">
            <v>шт</v>
          </cell>
          <cell r="C12">
            <v>102</v>
          </cell>
          <cell r="E12">
            <v>3</v>
          </cell>
          <cell r="F12">
            <v>99</v>
          </cell>
          <cell r="G12">
            <v>0.18</v>
          </cell>
          <cell r="H12" t="e">
            <v>#N/A</v>
          </cell>
          <cell r="I12">
            <v>4421577</v>
          </cell>
          <cell r="K12">
            <v>6</v>
          </cell>
          <cell r="L12">
            <v>-3</v>
          </cell>
          <cell r="O12">
            <v>0</v>
          </cell>
          <cell r="P12">
            <v>0.6</v>
          </cell>
          <cell r="S12">
            <v>0</v>
          </cell>
          <cell r="T12">
            <v>165</v>
          </cell>
          <cell r="U12">
            <v>165</v>
          </cell>
          <cell r="V12">
            <v>0</v>
          </cell>
          <cell r="W12">
            <v>2.4</v>
          </cell>
          <cell r="X12">
            <v>4.2</v>
          </cell>
          <cell r="Y12">
            <v>2.6</v>
          </cell>
          <cell r="Z12" t="e">
            <v>#N/A</v>
          </cell>
        </row>
        <row r="13">
          <cell r="A13" t="str">
            <v>4421584 Спред растительно-сливочный "Сливочный вкус" 72,5% 180гр  Останкино</v>
          </cell>
          <cell r="B13" t="str">
            <v>шт</v>
          </cell>
          <cell r="C13">
            <v>73</v>
          </cell>
          <cell r="E13">
            <v>3</v>
          </cell>
          <cell r="F13">
            <v>70</v>
          </cell>
          <cell r="G13">
            <v>0.18</v>
          </cell>
          <cell r="H13" t="e">
            <v>#N/A</v>
          </cell>
          <cell r="I13">
            <v>4421584</v>
          </cell>
          <cell r="K13">
            <v>6</v>
          </cell>
          <cell r="L13">
            <v>-3</v>
          </cell>
          <cell r="O13">
            <v>0</v>
          </cell>
          <cell r="P13">
            <v>0.6</v>
          </cell>
          <cell r="S13">
            <v>0</v>
          </cell>
          <cell r="T13">
            <v>116.66666666666667</v>
          </cell>
          <cell r="U13">
            <v>116.66666666666667</v>
          </cell>
          <cell r="V13">
            <v>0</v>
          </cell>
          <cell r="W13">
            <v>1.4</v>
          </cell>
          <cell r="X13">
            <v>3.6</v>
          </cell>
          <cell r="Y13">
            <v>2.6</v>
          </cell>
          <cell r="Z13" t="e">
            <v>#N/A</v>
          </cell>
        </row>
        <row r="14">
          <cell r="A14" t="str">
            <v>4931  Сыр полутвердый "Купеческий" с ароматом топленого молока, с м.д.ж. 50% ОСТАНКИНО</v>
          </cell>
          <cell r="B14" t="str">
            <v>кг</v>
          </cell>
          <cell r="C14">
            <v>114.36199999999999</v>
          </cell>
          <cell r="D14">
            <v>97.534000000000006</v>
          </cell>
          <cell r="E14">
            <v>13.087999999999999</v>
          </cell>
          <cell r="F14">
            <v>198.80799999999999</v>
          </cell>
          <cell r="G14">
            <v>1</v>
          </cell>
          <cell r="H14" t="e">
            <v>#N/A</v>
          </cell>
          <cell r="I14">
            <v>0</v>
          </cell>
          <cell r="K14">
            <v>0</v>
          </cell>
          <cell r="L14">
            <v>13.087999999999999</v>
          </cell>
          <cell r="O14">
            <v>0</v>
          </cell>
          <cell r="P14">
            <v>2.6175999999999999</v>
          </cell>
          <cell r="S14">
            <v>0</v>
          </cell>
          <cell r="T14">
            <v>75.950488997555013</v>
          </cell>
          <cell r="U14">
            <v>75.950488997555013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 t="e">
            <v>#N/A</v>
          </cell>
        </row>
        <row r="15">
          <cell r="A15" t="str">
            <v>6948249 Майонезный соус провансаль 824,5гр деликатес.с массовой долей жирн.25% Коровино Останкино</v>
          </cell>
          <cell r="B15" t="str">
            <v>шт</v>
          </cell>
          <cell r="C15">
            <v>149</v>
          </cell>
          <cell r="E15">
            <v>1</v>
          </cell>
          <cell r="F15">
            <v>148</v>
          </cell>
          <cell r="G15">
            <v>0.82450000000000001</v>
          </cell>
          <cell r="H15">
            <v>180</v>
          </cell>
          <cell r="I15">
            <v>6948249</v>
          </cell>
          <cell r="K15">
            <v>1</v>
          </cell>
          <cell r="L15">
            <v>0</v>
          </cell>
          <cell r="O15">
            <v>0</v>
          </cell>
          <cell r="P15">
            <v>0.2</v>
          </cell>
          <cell r="S15">
            <v>0</v>
          </cell>
          <cell r="T15">
            <v>740</v>
          </cell>
          <cell r="U15">
            <v>740</v>
          </cell>
          <cell r="V15">
            <v>0.4</v>
          </cell>
          <cell r="W15">
            <v>0</v>
          </cell>
          <cell r="X15">
            <v>0.4</v>
          </cell>
          <cell r="Y15">
            <v>1</v>
          </cell>
          <cell r="Z15">
            <v>0</v>
          </cell>
        </row>
        <row r="16">
          <cell r="A16" t="str">
            <v>6948256 Майонез провансаль классич.оливковый Папа может 372гр с массовой долей жирн. 67% Останкино</v>
          </cell>
          <cell r="B16" t="str">
            <v>шт</v>
          </cell>
          <cell r="C16">
            <v>656</v>
          </cell>
          <cell r="D16">
            <v>34</v>
          </cell>
          <cell r="E16">
            <v>52</v>
          </cell>
          <cell r="F16">
            <v>604</v>
          </cell>
          <cell r="G16">
            <v>0.372</v>
          </cell>
          <cell r="H16">
            <v>180</v>
          </cell>
          <cell r="I16">
            <v>6948256</v>
          </cell>
          <cell r="K16">
            <v>86</v>
          </cell>
          <cell r="L16">
            <v>-34</v>
          </cell>
          <cell r="O16">
            <v>0</v>
          </cell>
          <cell r="P16">
            <v>10.4</v>
          </cell>
          <cell r="S16">
            <v>0</v>
          </cell>
          <cell r="T16">
            <v>58.076923076923073</v>
          </cell>
          <cell r="U16">
            <v>58.076923076923073</v>
          </cell>
          <cell r="V16">
            <v>15.8</v>
          </cell>
          <cell r="W16">
            <v>19.600000000000001</v>
          </cell>
          <cell r="X16">
            <v>10</v>
          </cell>
          <cell r="Y16">
            <v>10.6</v>
          </cell>
          <cell r="Z16">
            <v>0</v>
          </cell>
        </row>
        <row r="17">
          <cell r="A17" t="str">
            <v>6948263 Майонез провансаль классич.оливковый Папа может 744гр с массовой долей жирн. 67% Останкино</v>
          </cell>
          <cell r="B17" t="str">
            <v>шт</v>
          </cell>
          <cell r="C17">
            <v>507</v>
          </cell>
          <cell r="E17">
            <v>12</v>
          </cell>
          <cell r="F17">
            <v>495</v>
          </cell>
          <cell r="G17">
            <v>0.74399999999999999</v>
          </cell>
          <cell r="H17">
            <v>180</v>
          </cell>
          <cell r="I17">
            <v>6948263</v>
          </cell>
          <cell r="K17">
            <v>12</v>
          </cell>
          <cell r="L17">
            <v>0</v>
          </cell>
          <cell r="O17">
            <v>0</v>
          </cell>
          <cell r="P17">
            <v>2.4</v>
          </cell>
          <cell r="S17">
            <v>0</v>
          </cell>
          <cell r="T17">
            <v>206.25</v>
          </cell>
          <cell r="U17">
            <v>206.25</v>
          </cell>
          <cell r="V17">
            <v>1.4</v>
          </cell>
          <cell r="W17">
            <v>5</v>
          </cell>
          <cell r="X17">
            <v>4</v>
          </cell>
          <cell r="Y17">
            <v>4.2</v>
          </cell>
          <cell r="Z17" t="str">
            <v>нужно увеличить продажи!!!</v>
          </cell>
        </row>
        <row r="18">
          <cell r="A18" t="str">
            <v>6948270 Майонез провансаль классич.Папа может 372гр с массовой долей жирн. 67% Останкино</v>
          </cell>
          <cell r="B18" t="str">
            <v>шт</v>
          </cell>
          <cell r="C18">
            <v>1311</v>
          </cell>
          <cell r="D18">
            <v>37</v>
          </cell>
          <cell r="E18">
            <v>85</v>
          </cell>
          <cell r="F18">
            <v>1226</v>
          </cell>
          <cell r="G18">
            <v>0.372</v>
          </cell>
          <cell r="H18">
            <v>180</v>
          </cell>
          <cell r="I18">
            <v>6948270</v>
          </cell>
          <cell r="K18">
            <v>122</v>
          </cell>
          <cell r="L18">
            <v>-37</v>
          </cell>
          <cell r="O18">
            <v>0</v>
          </cell>
          <cell r="P18">
            <v>17</v>
          </cell>
          <cell r="S18">
            <v>0</v>
          </cell>
          <cell r="T18">
            <v>72.117647058823536</v>
          </cell>
          <cell r="U18">
            <v>72.117647058823536</v>
          </cell>
          <cell r="V18">
            <v>60.2</v>
          </cell>
          <cell r="W18">
            <v>60.6</v>
          </cell>
          <cell r="X18">
            <v>21.4</v>
          </cell>
          <cell r="Y18">
            <v>16.399999999999999</v>
          </cell>
          <cell r="Z18">
            <v>0</v>
          </cell>
        </row>
        <row r="19">
          <cell r="A19" t="str">
            <v>6948287 Майонез провансаль классич.Папа может 744гр с массовой долей жирн. 67% Останкино</v>
          </cell>
          <cell r="B19" t="str">
            <v>шт</v>
          </cell>
          <cell r="C19">
            <v>409</v>
          </cell>
          <cell r="E19">
            <v>48</v>
          </cell>
          <cell r="F19">
            <v>360</v>
          </cell>
          <cell r="G19">
            <v>0.74399999999999999</v>
          </cell>
          <cell r="H19">
            <v>180</v>
          </cell>
          <cell r="I19">
            <v>6948287</v>
          </cell>
          <cell r="K19">
            <v>48</v>
          </cell>
          <cell r="L19">
            <v>0</v>
          </cell>
          <cell r="O19">
            <v>0</v>
          </cell>
          <cell r="P19">
            <v>9.6</v>
          </cell>
          <cell r="S19">
            <v>0</v>
          </cell>
          <cell r="T19">
            <v>37.5</v>
          </cell>
          <cell r="U19">
            <v>37.5</v>
          </cell>
          <cell r="V19">
            <v>4.4000000000000004</v>
          </cell>
          <cell r="W19">
            <v>13.2</v>
          </cell>
          <cell r="X19">
            <v>3.6</v>
          </cell>
          <cell r="Y19">
            <v>4.4000000000000004</v>
          </cell>
          <cell r="Z19" t="str">
            <v>нужно увеличить продажи!!!</v>
          </cell>
        </row>
        <row r="20">
          <cell r="A20" t="str">
            <v>9988438 Плавленый Сыр 45% "С ветчиной" СТМ"ПапаМожет" 180гр  Останкино</v>
          </cell>
          <cell r="B20" t="str">
            <v>шт</v>
          </cell>
          <cell r="C20">
            <v>167</v>
          </cell>
          <cell r="E20">
            <v>32</v>
          </cell>
          <cell r="F20">
            <v>135</v>
          </cell>
          <cell r="G20">
            <v>0.18</v>
          </cell>
          <cell r="H20">
            <v>270</v>
          </cell>
          <cell r="I20">
            <v>9988438</v>
          </cell>
          <cell r="K20">
            <v>32</v>
          </cell>
          <cell r="L20">
            <v>0</v>
          </cell>
          <cell r="O20">
            <v>0</v>
          </cell>
          <cell r="P20">
            <v>6.4</v>
          </cell>
          <cell r="S20">
            <v>0</v>
          </cell>
          <cell r="T20">
            <v>21.09375</v>
          </cell>
          <cell r="U20">
            <v>21.09375</v>
          </cell>
          <cell r="V20">
            <v>6.2</v>
          </cell>
          <cell r="W20">
            <v>7.2</v>
          </cell>
          <cell r="X20">
            <v>5.8</v>
          </cell>
          <cell r="Y20">
            <v>9.1999999999999993</v>
          </cell>
          <cell r="Z20">
            <v>0</v>
          </cell>
        </row>
        <row r="21">
          <cell r="A21" t="str">
            <v>9988445 Плавленый Сыр 45%"С грибами" СТМ"ПапаМожет" 180 гр  Останкино</v>
          </cell>
          <cell r="B21" t="str">
            <v>шт</v>
          </cell>
          <cell r="C21">
            <v>205</v>
          </cell>
          <cell r="E21">
            <v>29</v>
          </cell>
          <cell r="F21">
            <v>176</v>
          </cell>
          <cell r="G21">
            <v>0.18</v>
          </cell>
          <cell r="H21">
            <v>270</v>
          </cell>
          <cell r="I21">
            <v>9988445</v>
          </cell>
          <cell r="K21">
            <v>29</v>
          </cell>
          <cell r="L21">
            <v>0</v>
          </cell>
          <cell r="O21">
            <v>0</v>
          </cell>
          <cell r="P21">
            <v>5.8</v>
          </cell>
          <cell r="S21">
            <v>0</v>
          </cell>
          <cell r="T21">
            <v>30.344827586206897</v>
          </cell>
          <cell r="U21">
            <v>30.344827586206897</v>
          </cell>
          <cell r="V21">
            <v>7.6</v>
          </cell>
          <cell r="W21">
            <v>7.6</v>
          </cell>
          <cell r="X21">
            <v>6.8</v>
          </cell>
          <cell r="Y21">
            <v>7.8</v>
          </cell>
          <cell r="Z21">
            <v>0</v>
          </cell>
        </row>
        <row r="22">
          <cell r="A22" t="str">
            <v>Масло "Папа может" 82,5% 180гр  Останкино</v>
          </cell>
          <cell r="B22" t="str">
            <v>шт</v>
          </cell>
          <cell r="C22">
            <v>213</v>
          </cell>
          <cell r="D22">
            <v>911</v>
          </cell>
          <cell r="E22">
            <v>173</v>
          </cell>
          <cell r="F22">
            <v>938</v>
          </cell>
          <cell r="G22">
            <v>0.18</v>
          </cell>
          <cell r="H22">
            <v>120</v>
          </cell>
          <cell r="I22">
            <v>1018967</v>
          </cell>
          <cell r="K22">
            <v>189</v>
          </cell>
          <cell r="L22">
            <v>-16</v>
          </cell>
          <cell r="O22">
            <v>100</v>
          </cell>
          <cell r="P22">
            <v>34.6</v>
          </cell>
          <cell r="S22">
            <v>0</v>
          </cell>
          <cell r="T22">
            <v>30</v>
          </cell>
          <cell r="U22">
            <v>27.109826589595375</v>
          </cell>
          <cell r="V22">
            <v>12</v>
          </cell>
          <cell r="W22">
            <v>33.200000000000003</v>
          </cell>
          <cell r="X22">
            <v>64.8</v>
          </cell>
          <cell r="Y22">
            <v>34.799999999999997</v>
          </cell>
          <cell r="Z22" t="str">
            <v>ЮгТех</v>
          </cell>
        </row>
        <row r="23">
          <cell r="A23" t="str">
            <v>Масло сливочное 72,5 % 180 гр.(10 шт) СЛАВЯНА  Останкино</v>
          </cell>
          <cell r="B23" t="str">
            <v>шт</v>
          </cell>
          <cell r="C23">
            <v>415</v>
          </cell>
          <cell r="D23">
            <v>255</v>
          </cell>
          <cell r="E23">
            <v>57</v>
          </cell>
          <cell r="F23">
            <v>584</v>
          </cell>
          <cell r="G23">
            <v>0.18</v>
          </cell>
          <cell r="H23">
            <v>120</v>
          </cell>
          <cell r="I23">
            <v>1018950</v>
          </cell>
          <cell r="K23">
            <v>68</v>
          </cell>
          <cell r="L23">
            <v>-11</v>
          </cell>
          <cell r="O23">
            <v>0</v>
          </cell>
          <cell r="P23">
            <v>11.4</v>
          </cell>
          <cell r="S23">
            <v>0</v>
          </cell>
          <cell r="T23">
            <v>51.228070175438596</v>
          </cell>
          <cell r="U23">
            <v>51.228070175438596</v>
          </cell>
          <cell r="V23">
            <v>3.6</v>
          </cell>
          <cell r="W23">
            <v>28.8</v>
          </cell>
          <cell r="X23">
            <v>37</v>
          </cell>
          <cell r="Y23">
            <v>10.4</v>
          </cell>
          <cell r="Z23" t="str">
            <v>ЮгТех</v>
          </cell>
        </row>
        <row r="24">
          <cell r="A24" t="str">
            <v>Плавленый продукт с Сыром колбасный копченый 40% СТМ "Коровино" 400гр  Останкино</v>
          </cell>
          <cell r="B24" t="str">
            <v>шт</v>
          </cell>
          <cell r="C24">
            <v>81</v>
          </cell>
          <cell r="E24">
            <v>5</v>
          </cell>
          <cell r="F24">
            <v>76</v>
          </cell>
          <cell r="G24">
            <v>0.4</v>
          </cell>
          <cell r="H24">
            <v>270</v>
          </cell>
          <cell r="I24">
            <v>9988476</v>
          </cell>
          <cell r="K24">
            <v>5</v>
          </cell>
          <cell r="L24">
            <v>0</v>
          </cell>
          <cell r="O24">
            <v>0</v>
          </cell>
          <cell r="P24">
            <v>1</v>
          </cell>
          <cell r="S24">
            <v>0</v>
          </cell>
          <cell r="T24">
            <v>76</v>
          </cell>
          <cell r="U24">
            <v>76</v>
          </cell>
          <cell r="V24">
            <v>0.2</v>
          </cell>
          <cell r="W24">
            <v>0.6</v>
          </cell>
          <cell r="X24">
            <v>2.2000000000000002</v>
          </cell>
          <cell r="Y24">
            <v>0.2</v>
          </cell>
          <cell r="Z24" t="str">
            <v>увел продажи</v>
          </cell>
        </row>
        <row r="25">
          <cell r="A25" t="str">
            <v>Плавленый Сыр колбасный копченый 40% СТМ"ПапаМожет"400гр  Останкино</v>
          </cell>
          <cell r="B25" t="str">
            <v>шт</v>
          </cell>
          <cell r="C25">
            <v>60</v>
          </cell>
          <cell r="E25">
            <v>8</v>
          </cell>
          <cell r="F25">
            <v>52</v>
          </cell>
          <cell r="G25">
            <v>0.4</v>
          </cell>
          <cell r="H25">
            <v>270</v>
          </cell>
          <cell r="I25">
            <v>9988452</v>
          </cell>
          <cell r="K25">
            <v>8</v>
          </cell>
          <cell r="L25">
            <v>0</v>
          </cell>
          <cell r="O25">
            <v>0</v>
          </cell>
          <cell r="P25">
            <v>1.6</v>
          </cell>
          <cell r="S25">
            <v>0</v>
          </cell>
          <cell r="T25">
            <v>32.5</v>
          </cell>
          <cell r="U25">
            <v>32.5</v>
          </cell>
          <cell r="V25">
            <v>2</v>
          </cell>
          <cell r="W25">
            <v>3.2</v>
          </cell>
          <cell r="X25">
            <v>0.8</v>
          </cell>
          <cell r="Y25">
            <v>2</v>
          </cell>
          <cell r="Z25" t="str">
            <v>нужно увеличить продажи / 29,09,25 завод не отгрузит</v>
          </cell>
        </row>
        <row r="26">
          <cell r="A26" t="str">
            <v>Сыр "Пармезан" 40% кусок 180 гр  ОСТАНКИНО</v>
          </cell>
          <cell r="B26" t="str">
            <v>шт</v>
          </cell>
          <cell r="C26">
            <v>94</v>
          </cell>
          <cell r="D26">
            <v>1</v>
          </cell>
          <cell r="E26">
            <v>42</v>
          </cell>
          <cell r="F26">
            <v>50</v>
          </cell>
          <cell r="G26">
            <v>0.18</v>
          </cell>
          <cell r="H26">
            <v>150</v>
          </cell>
          <cell r="I26">
            <v>5034819</v>
          </cell>
          <cell r="K26">
            <v>56</v>
          </cell>
          <cell r="L26">
            <v>-14</v>
          </cell>
          <cell r="O26">
            <v>180</v>
          </cell>
          <cell r="P26">
            <v>8.4</v>
          </cell>
          <cell r="S26">
            <v>0</v>
          </cell>
          <cell r="T26">
            <v>27.38095238095238</v>
          </cell>
          <cell r="U26">
            <v>5.9523809523809526</v>
          </cell>
          <cell r="V26">
            <v>2.4</v>
          </cell>
          <cell r="W26">
            <v>3.8</v>
          </cell>
          <cell r="X26">
            <v>5.4</v>
          </cell>
          <cell r="Y26">
            <v>13.8</v>
          </cell>
          <cell r="Z26" t="str">
            <v>остаток?</v>
          </cell>
        </row>
        <row r="27">
          <cell r="A27" t="str">
            <v>Сыр Боккончини копченый 40% 100 гр.  ОСТАНКИНО</v>
          </cell>
          <cell r="B27" t="str">
            <v>шт</v>
          </cell>
          <cell r="C27">
            <v>328</v>
          </cell>
          <cell r="D27">
            <v>48</v>
          </cell>
          <cell r="E27">
            <v>116</v>
          </cell>
          <cell r="F27">
            <v>252</v>
          </cell>
          <cell r="G27">
            <v>0.1</v>
          </cell>
          <cell r="H27">
            <v>90</v>
          </cell>
          <cell r="I27">
            <v>8444163</v>
          </cell>
          <cell r="K27">
            <v>124</v>
          </cell>
          <cell r="L27">
            <v>-8</v>
          </cell>
          <cell r="O27">
            <v>80</v>
          </cell>
          <cell r="P27">
            <v>23.2</v>
          </cell>
          <cell r="Q27">
            <v>130</v>
          </cell>
          <cell r="S27">
            <v>0</v>
          </cell>
          <cell r="T27">
            <v>19.913793103448278</v>
          </cell>
          <cell r="U27">
            <v>10.862068965517242</v>
          </cell>
          <cell r="V27">
            <v>20.8</v>
          </cell>
          <cell r="W27">
            <v>7.4</v>
          </cell>
          <cell r="X27">
            <v>20.399999999999999</v>
          </cell>
          <cell r="Y27">
            <v>20</v>
          </cell>
          <cell r="Z27">
            <v>0</v>
          </cell>
        </row>
        <row r="28">
          <cell r="A28" t="str">
            <v>Сыр Косичка сырная 45% 100г/8шт Папа Может Останкино</v>
          </cell>
          <cell r="B28" t="str">
            <v>шт</v>
          </cell>
          <cell r="C28">
            <v>287</v>
          </cell>
          <cell r="D28">
            <v>5</v>
          </cell>
          <cell r="E28">
            <v>60</v>
          </cell>
          <cell r="F28">
            <v>225</v>
          </cell>
          <cell r="G28">
            <v>0.1</v>
          </cell>
          <cell r="H28" t="e">
            <v>#N/A</v>
          </cell>
          <cell r="I28">
            <v>8445160</v>
          </cell>
          <cell r="K28">
            <v>67</v>
          </cell>
          <cell r="L28">
            <v>-7</v>
          </cell>
          <cell r="O28">
            <v>0</v>
          </cell>
          <cell r="P28">
            <v>12</v>
          </cell>
          <cell r="S28">
            <v>0</v>
          </cell>
          <cell r="T28">
            <v>18.75</v>
          </cell>
          <cell r="U28">
            <v>18.75</v>
          </cell>
          <cell r="V28">
            <v>12</v>
          </cell>
          <cell r="W28">
            <v>7.8</v>
          </cell>
          <cell r="X28">
            <v>12.8</v>
          </cell>
          <cell r="Y28">
            <v>10.8</v>
          </cell>
          <cell r="Z28">
            <v>0</v>
          </cell>
        </row>
        <row r="29">
          <cell r="A29" t="str">
            <v>Сыр Косичка сырная копченая 43% 100г/8шт Папа Может Останкино</v>
          </cell>
          <cell r="B29" t="str">
            <v>шт</v>
          </cell>
          <cell r="C29">
            <v>201</v>
          </cell>
          <cell r="D29">
            <v>2</v>
          </cell>
          <cell r="E29">
            <v>64</v>
          </cell>
          <cell r="F29">
            <v>137</v>
          </cell>
          <cell r="G29">
            <v>0.1</v>
          </cell>
          <cell r="H29" t="e">
            <v>#N/A</v>
          </cell>
          <cell r="I29">
            <v>8445177</v>
          </cell>
          <cell r="K29">
            <v>66</v>
          </cell>
          <cell r="L29">
            <v>-2</v>
          </cell>
          <cell r="O29">
            <v>80</v>
          </cell>
          <cell r="P29">
            <v>12.8</v>
          </cell>
          <cell r="S29">
            <v>0</v>
          </cell>
          <cell r="T29">
            <v>16.953125</v>
          </cell>
          <cell r="U29">
            <v>10.703125</v>
          </cell>
          <cell r="V29">
            <v>15.8</v>
          </cell>
          <cell r="W29">
            <v>15.4</v>
          </cell>
          <cell r="X29">
            <v>9.8000000000000007</v>
          </cell>
          <cell r="Y29">
            <v>10</v>
          </cell>
          <cell r="Z29">
            <v>0</v>
          </cell>
        </row>
        <row r="30">
          <cell r="A30" t="str">
            <v>Сыр ПАПА МОЖЕТ "Гауда Голд" 45 % 180 гр (10шт) Останкино</v>
          </cell>
          <cell r="B30" t="str">
            <v>шт</v>
          </cell>
          <cell r="C30">
            <v>84</v>
          </cell>
          <cell r="D30">
            <v>202</v>
          </cell>
          <cell r="E30">
            <v>61</v>
          </cell>
          <cell r="F30">
            <v>221</v>
          </cell>
          <cell r="G30">
            <v>0.18</v>
          </cell>
          <cell r="H30">
            <v>150</v>
          </cell>
          <cell r="I30">
            <v>5038411</v>
          </cell>
          <cell r="K30">
            <v>63</v>
          </cell>
          <cell r="L30">
            <v>-2</v>
          </cell>
          <cell r="O30">
            <v>50</v>
          </cell>
          <cell r="P30">
            <v>12.2</v>
          </cell>
          <cell r="Q30">
            <v>100</v>
          </cell>
          <cell r="R30">
            <v>100</v>
          </cell>
          <cell r="S30" t="str">
            <v>со свежими сроками</v>
          </cell>
          <cell r="T30">
            <v>30.409836065573771</v>
          </cell>
          <cell r="U30">
            <v>18.114754098360656</v>
          </cell>
          <cell r="V30">
            <v>8</v>
          </cell>
          <cell r="W30">
            <v>11.6</v>
          </cell>
          <cell r="X30">
            <v>15.8</v>
          </cell>
          <cell r="Y30">
            <v>11.8</v>
          </cell>
          <cell r="Z30" t="str">
            <v>нужно увеличить продажи</v>
          </cell>
        </row>
        <row r="31">
          <cell r="A31" t="str">
            <v>Сыр ПАПА МОЖЕТ "Голландский традиционный" 45% 180 гр (10шт)  Останкино</v>
          </cell>
          <cell r="B31" t="str">
            <v>шт</v>
          </cell>
          <cell r="C31">
            <v>7</v>
          </cell>
          <cell r="D31">
            <v>480</v>
          </cell>
          <cell r="E31">
            <v>127</v>
          </cell>
          <cell r="F31">
            <v>350</v>
          </cell>
          <cell r="G31">
            <v>0.18</v>
          </cell>
          <cell r="H31">
            <v>150</v>
          </cell>
          <cell r="I31">
            <v>5038459</v>
          </cell>
          <cell r="K31">
            <v>297</v>
          </cell>
          <cell r="L31">
            <v>-170</v>
          </cell>
          <cell r="O31">
            <v>270</v>
          </cell>
          <cell r="P31">
            <v>25.4</v>
          </cell>
          <cell r="S31">
            <v>0</v>
          </cell>
          <cell r="T31">
            <v>24.409448818897641</v>
          </cell>
          <cell r="U31">
            <v>13.779527559055119</v>
          </cell>
          <cell r="V31">
            <v>12.6</v>
          </cell>
          <cell r="W31">
            <v>15.6</v>
          </cell>
          <cell r="X31">
            <v>32.200000000000003</v>
          </cell>
          <cell r="Y31">
            <v>37.799999999999997</v>
          </cell>
          <cell r="Z31" t="str">
            <v>ЮгТех</v>
          </cell>
        </row>
        <row r="32">
          <cell r="A32" t="str">
            <v>Сыр ПАПА МОЖЕТ "Министерский" 180 г фасованный массовая  Останкино</v>
          </cell>
          <cell r="B32" t="str">
            <v>шт</v>
          </cell>
          <cell r="D32">
            <v>220</v>
          </cell>
          <cell r="E32">
            <v>1</v>
          </cell>
          <cell r="F32">
            <v>219</v>
          </cell>
          <cell r="G32">
            <v>0.18</v>
          </cell>
          <cell r="H32">
            <v>150</v>
          </cell>
          <cell r="I32">
            <v>5038831</v>
          </cell>
          <cell r="K32">
            <v>2</v>
          </cell>
          <cell r="L32">
            <v>-1</v>
          </cell>
          <cell r="O32">
            <v>50</v>
          </cell>
          <cell r="P32">
            <v>0.2</v>
          </cell>
          <cell r="Q32">
            <v>250</v>
          </cell>
          <cell r="R32">
            <v>250</v>
          </cell>
          <cell r="S32" t="str">
            <v>для сетей со свежими сроками</v>
          </cell>
          <cell r="T32">
            <v>2595</v>
          </cell>
          <cell r="U32">
            <v>1095</v>
          </cell>
          <cell r="V32">
            <v>6</v>
          </cell>
          <cell r="W32">
            <v>6</v>
          </cell>
          <cell r="X32">
            <v>11.2</v>
          </cell>
          <cell r="Y32">
            <v>0.2</v>
          </cell>
          <cell r="Z32" t="str">
            <v>ЮгТех / 14,06,25 в уценку 30шт.</v>
          </cell>
        </row>
        <row r="33">
          <cell r="A33" t="str">
            <v>Сыр ПАПА МОЖЕТ "Папин завтрак"  45% 180 г  Останкино</v>
          </cell>
          <cell r="B33" t="str">
            <v>шт</v>
          </cell>
          <cell r="C33">
            <v>115</v>
          </cell>
          <cell r="D33">
            <v>1</v>
          </cell>
          <cell r="E33">
            <v>9</v>
          </cell>
          <cell r="F33">
            <v>106</v>
          </cell>
          <cell r="G33">
            <v>0.18</v>
          </cell>
          <cell r="H33">
            <v>120</v>
          </cell>
          <cell r="I33">
            <v>5038855</v>
          </cell>
          <cell r="K33">
            <v>11</v>
          </cell>
          <cell r="L33">
            <v>-2</v>
          </cell>
          <cell r="O33">
            <v>30</v>
          </cell>
          <cell r="P33">
            <v>1.8</v>
          </cell>
          <cell r="S33">
            <v>0</v>
          </cell>
          <cell r="T33">
            <v>75.555555555555557</v>
          </cell>
          <cell r="U33">
            <v>58.888888888888886</v>
          </cell>
          <cell r="V33">
            <v>2.2000000000000002</v>
          </cell>
          <cell r="W33">
            <v>4.4000000000000004</v>
          </cell>
          <cell r="X33">
            <v>4</v>
          </cell>
          <cell r="Y33">
            <v>5.4</v>
          </cell>
          <cell r="Z33">
            <v>0</v>
          </cell>
        </row>
        <row r="34">
          <cell r="A34" t="str">
            <v>Сыр ПАПА МОЖЕТ "Российский традиционный"45 % 180 г Останкино</v>
          </cell>
          <cell r="B34" t="str">
            <v>шт</v>
          </cell>
          <cell r="C34">
            <v>-5</v>
          </cell>
          <cell r="D34">
            <v>1420</v>
          </cell>
          <cell r="E34">
            <v>238</v>
          </cell>
          <cell r="F34">
            <v>1057</v>
          </cell>
          <cell r="G34">
            <v>0.18</v>
          </cell>
          <cell r="H34">
            <v>150</v>
          </cell>
          <cell r="I34">
            <v>5038435</v>
          </cell>
          <cell r="K34">
            <v>748</v>
          </cell>
          <cell r="L34">
            <v>-510</v>
          </cell>
          <cell r="O34">
            <v>0</v>
          </cell>
          <cell r="P34">
            <v>47.6</v>
          </cell>
          <cell r="Q34">
            <v>300</v>
          </cell>
          <cell r="R34">
            <v>300</v>
          </cell>
          <cell r="S34" t="str">
            <v>для сетей со свежими сроками</v>
          </cell>
          <cell r="T34">
            <v>28.508403361344538</v>
          </cell>
          <cell r="U34">
            <v>22.205882352941178</v>
          </cell>
          <cell r="V34">
            <v>17.399999999999999</v>
          </cell>
          <cell r="W34">
            <v>19.2</v>
          </cell>
          <cell r="X34">
            <v>69.8</v>
          </cell>
          <cell r="Y34">
            <v>15</v>
          </cell>
          <cell r="Z34" t="str">
            <v>ЮгТех</v>
          </cell>
        </row>
        <row r="35">
          <cell r="A35" t="str">
            <v>Сыр ПАПА МОЖЕТ "Тильзитер" фасованный массовая доля жира в сухом веществе 45%, 180г  Останкино</v>
          </cell>
          <cell r="B35" t="str">
            <v>шт</v>
          </cell>
          <cell r="C35">
            <v>122</v>
          </cell>
          <cell r="D35">
            <v>402</v>
          </cell>
          <cell r="E35">
            <v>33</v>
          </cell>
          <cell r="F35">
            <v>275</v>
          </cell>
          <cell r="G35">
            <v>0.18</v>
          </cell>
          <cell r="H35">
            <v>120</v>
          </cell>
          <cell r="I35">
            <v>5038398</v>
          </cell>
          <cell r="K35">
            <v>439</v>
          </cell>
          <cell r="L35">
            <v>-406</v>
          </cell>
          <cell r="O35">
            <v>50</v>
          </cell>
          <cell r="P35">
            <v>6.6</v>
          </cell>
          <cell r="Q35">
            <v>300</v>
          </cell>
          <cell r="R35">
            <v>300</v>
          </cell>
          <cell r="S35" t="str">
            <v>для сетей со свежими сроками</v>
          </cell>
          <cell r="T35">
            <v>94.696969696969703</v>
          </cell>
          <cell r="U35">
            <v>41.666666666666671</v>
          </cell>
          <cell r="V35">
            <v>6.6</v>
          </cell>
          <cell r="W35">
            <v>9.8000000000000007</v>
          </cell>
          <cell r="X35">
            <v>18.2</v>
          </cell>
          <cell r="Y35">
            <v>13.4</v>
          </cell>
          <cell r="Z35" t="str">
            <v>ЮгТех</v>
          </cell>
        </row>
        <row r="36">
          <cell r="A36" t="str">
            <v>Сыр плавленный Сливочный ж.45% 180г ТМ Папа может (16шт)  Останкино</v>
          </cell>
          <cell r="B36" t="str">
            <v>шт</v>
          </cell>
          <cell r="C36">
            <v>281</v>
          </cell>
          <cell r="E36">
            <v>29</v>
          </cell>
          <cell r="F36">
            <v>251</v>
          </cell>
          <cell r="G36">
            <v>0.18</v>
          </cell>
          <cell r="H36">
            <v>270</v>
          </cell>
          <cell r="I36">
            <v>9988681</v>
          </cell>
          <cell r="K36">
            <v>30</v>
          </cell>
          <cell r="L36">
            <v>-1</v>
          </cell>
          <cell r="O36">
            <v>0</v>
          </cell>
          <cell r="P36">
            <v>5.8</v>
          </cell>
          <cell r="S36">
            <v>0</v>
          </cell>
          <cell r="T36">
            <v>43.275862068965516</v>
          </cell>
          <cell r="U36">
            <v>43.275862068965516</v>
          </cell>
          <cell r="V36">
            <v>11.4</v>
          </cell>
          <cell r="W36">
            <v>9.1999999999999993</v>
          </cell>
          <cell r="X36">
            <v>12.6</v>
          </cell>
          <cell r="Y36">
            <v>9.8000000000000007</v>
          </cell>
          <cell r="Z36" t="str">
            <v>увел продажи</v>
          </cell>
        </row>
        <row r="37">
          <cell r="A37" t="str">
            <v>Сыр полутвердый "Гауда" с массовой долей жира в пересчете на сухое вещество 45%,   Останкино</v>
          </cell>
          <cell r="B37" t="str">
            <v>кг</v>
          </cell>
          <cell r="C37">
            <v>33.966000000000001</v>
          </cell>
          <cell r="D37">
            <v>135.98599999999999</v>
          </cell>
          <cell r="E37">
            <v>6.7039999999999997</v>
          </cell>
          <cell r="F37">
            <v>163.24799999999999</v>
          </cell>
          <cell r="G37">
            <v>1</v>
          </cell>
          <cell r="H37">
            <v>0</v>
          </cell>
          <cell r="I37">
            <v>8785242</v>
          </cell>
          <cell r="K37">
            <v>6</v>
          </cell>
          <cell r="L37">
            <v>0.70399999999999974</v>
          </cell>
          <cell r="O37">
            <v>0</v>
          </cell>
          <cell r="P37">
            <v>1.3408</v>
          </cell>
          <cell r="S37">
            <v>0</v>
          </cell>
          <cell r="T37">
            <v>121.75417661097852</v>
          </cell>
          <cell r="U37">
            <v>121.75417661097852</v>
          </cell>
          <cell r="V37">
            <v>1.1864000000000001</v>
          </cell>
          <cell r="W37">
            <v>4.3655999999999997</v>
          </cell>
          <cell r="X37">
            <v>8.0055999999999994</v>
          </cell>
          <cell r="Y37">
            <v>3.3899999999999997</v>
          </cell>
          <cell r="Z37" t="str">
            <v>нужно увеличить продажи!!!</v>
          </cell>
        </row>
        <row r="38">
          <cell r="A38" t="str">
            <v>Сыр полутвердый "Голландский" с массовой долей жира в пересчете на сухое  Останкино</v>
          </cell>
          <cell r="B38" t="str">
            <v>кг</v>
          </cell>
          <cell r="C38">
            <v>93.38</v>
          </cell>
          <cell r="E38">
            <v>3.056</v>
          </cell>
          <cell r="F38">
            <v>90.323999999999998</v>
          </cell>
          <cell r="G38">
            <v>1</v>
          </cell>
          <cell r="H38" t="e">
            <v>#N/A</v>
          </cell>
          <cell r="I38">
            <v>0</v>
          </cell>
          <cell r="K38">
            <v>3</v>
          </cell>
          <cell r="L38">
            <v>5.600000000000005E-2</v>
          </cell>
          <cell r="O38">
            <v>0</v>
          </cell>
          <cell r="P38">
            <v>0.61119999999999997</v>
          </cell>
          <cell r="S38">
            <v>0</v>
          </cell>
          <cell r="T38">
            <v>147.78141361256544</v>
          </cell>
          <cell r="U38">
            <v>147.78141361256544</v>
          </cell>
          <cell r="V38">
            <v>0</v>
          </cell>
          <cell r="W38">
            <v>0</v>
          </cell>
          <cell r="X38">
            <v>0</v>
          </cell>
          <cell r="Y38">
            <v>0.67199999999999993</v>
          </cell>
          <cell r="Z38" t="e">
            <v>#N/A</v>
          </cell>
        </row>
        <row r="39">
          <cell r="A39" t="str">
            <v>Сыр полутвердый "Сметанковый", с масс долей жира в пересчете на сухое вещес50%, брус  Останкино</v>
          </cell>
          <cell r="B39" t="str">
            <v>кг</v>
          </cell>
          <cell r="C39">
            <v>79.718000000000004</v>
          </cell>
          <cell r="D39">
            <v>64.492000000000004</v>
          </cell>
          <cell r="E39">
            <v>13.337999999999999</v>
          </cell>
          <cell r="F39">
            <v>121.09399999999999</v>
          </cell>
          <cell r="G39">
            <v>1</v>
          </cell>
          <cell r="H39">
            <v>120</v>
          </cell>
          <cell r="I39">
            <v>8785198</v>
          </cell>
          <cell r="K39">
            <v>12.5</v>
          </cell>
          <cell r="L39">
            <v>0.83799999999999919</v>
          </cell>
          <cell r="O39">
            <v>0</v>
          </cell>
          <cell r="P39">
            <v>2.6675999999999997</v>
          </cell>
          <cell r="S39">
            <v>0</v>
          </cell>
          <cell r="T39">
            <v>45.394361973309344</v>
          </cell>
          <cell r="U39">
            <v>45.394361973309344</v>
          </cell>
          <cell r="V39">
            <v>10.078199999999999</v>
          </cell>
          <cell r="W39">
            <v>1.8356000000000001</v>
          </cell>
          <cell r="X39">
            <v>8.7568000000000001</v>
          </cell>
          <cell r="Y39">
            <v>7.4495999999999993</v>
          </cell>
          <cell r="Z39" t="str">
            <v>нужно увеличить продажи!!! / 28,07,25 в уценку - 57кг</v>
          </cell>
        </row>
        <row r="40">
          <cell r="A40" t="str">
            <v>Сыр полутвердый "Тильзитер" с массовой долей жира в пересчете на сухое вещество 45%. 1/5  Останкино</v>
          </cell>
          <cell r="B40" t="str">
            <v>кг</v>
          </cell>
          <cell r="C40">
            <v>26.085999999999999</v>
          </cell>
          <cell r="D40">
            <v>16.574000000000002</v>
          </cell>
          <cell r="E40">
            <v>0</v>
          </cell>
          <cell r="F40">
            <v>42.66</v>
          </cell>
          <cell r="G40">
            <v>1</v>
          </cell>
          <cell r="H40" t="e">
            <v>#N/A</v>
          </cell>
          <cell r="I40">
            <v>0</v>
          </cell>
          <cell r="K40">
            <v>0</v>
          </cell>
          <cell r="L40">
            <v>0</v>
          </cell>
          <cell r="O40">
            <v>0</v>
          </cell>
          <cell r="P40">
            <v>0</v>
          </cell>
          <cell r="S40">
            <v>0</v>
          </cell>
          <cell r="T40" t="e">
            <v>#DIV/0!</v>
          </cell>
          <cell r="U40" t="e">
            <v>#DIV/0!</v>
          </cell>
          <cell r="V40">
            <v>0</v>
          </cell>
          <cell r="W40">
            <v>0.48559999999999998</v>
          </cell>
          <cell r="X40">
            <v>3.2023999999999999</v>
          </cell>
          <cell r="Y40">
            <v>3.8592</v>
          </cell>
          <cell r="Z40" t="e">
            <v>#N/A</v>
          </cell>
        </row>
        <row r="41">
          <cell r="A41" t="str">
            <v>Сыр рассольный жирный Чечил 45% 100 гр  ОСТАНКИНО</v>
          </cell>
          <cell r="B41" t="str">
            <v>шт</v>
          </cell>
          <cell r="C41">
            <v>37</v>
          </cell>
          <cell r="D41">
            <v>767</v>
          </cell>
          <cell r="E41">
            <v>100</v>
          </cell>
          <cell r="F41">
            <v>697</v>
          </cell>
          <cell r="G41">
            <v>0.1</v>
          </cell>
          <cell r="H41">
            <v>60</v>
          </cell>
          <cell r="I41">
            <v>8444187</v>
          </cell>
          <cell r="K41">
            <v>175</v>
          </cell>
          <cell r="L41">
            <v>-75</v>
          </cell>
          <cell r="O41">
            <v>0</v>
          </cell>
          <cell r="P41">
            <v>20</v>
          </cell>
          <cell r="S41">
            <v>0</v>
          </cell>
          <cell r="T41">
            <v>34.85</v>
          </cell>
          <cell r="U41">
            <v>34.85</v>
          </cell>
          <cell r="V41">
            <v>51.4</v>
          </cell>
          <cell r="W41">
            <v>38.6</v>
          </cell>
          <cell r="X41">
            <v>45.6</v>
          </cell>
          <cell r="Y41">
            <v>24.8</v>
          </cell>
          <cell r="Z41" t="str">
            <v>остаток?</v>
          </cell>
        </row>
        <row r="42">
          <cell r="A42" t="str">
            <v>Сыр рассольный жирный Чечил копченый 43% 100 гр  Останкино</v>
          </cell>
          <cell r="B42" t="str">
            <v>шт</v>
          </cell>
          <cell r="C42">
            <v>426</v>
          </cell>
          <cell r="D42">
            <v>162</v>
          </cell>
          <cell r="E42">
            <v>221</v>
          </cell>
          <cell r="F42">
            <v>364</v>
          </cell>
          <cell r="G42">
            <v>0.1</v>
          </cell>
          <cell r="H42">
            <v>90</v>
          </cell>
          <cell r="I42">
            <v>8444194</v>
          </cell>
          <cell r="K42">
            <v>234</v>
          </cell>
          <cell r="L42">
            <v>-13</v>
          </cell>
          <cell r="O42">
            <v>430</v>
          </cell>
          <cell r="P42">
            <v>44.2</v>
          </cell>
          <cell r="Q42">
            <v>90</v>
          </cell>
          <cell r="S42">
            <v>0</v>
          </cell>
          <cell r="T42">
            <v>20</v>
          </cell>
          <cell r="U42">
            <v>8.235294117647058</v>
          </cell>
          <cell r="V42">
            <v>46.4</v>
          </cell>
          <cell r="W42">
            <v>39.6</v>
          </cell>
          <cell r="X42">
            <v>39.6</v>
          </cell>
          <cell r="Y42">
            <v>47</v>
          </cell>
          <cell r="Z42" t="str">
            <v>ЮгТех / 11,08,25 завод не отгрузил</v>
          </cell>
        </row>
        <row r="43">
          <cell r="A43" t="str">
            <v>Сыр твердый "Пармезан", с масовой долей жира 35% Останкино</v>
          </cell>
          <cell r="B43" t="str">
            <v>кг</v>
          </cell>
          <cell r="D43">
            <v>19.73</v>
          </cell>
          <cell r="E43">
            <v>0</v>
          </cell>
          <cell r="F43">
            <v>19.73</v>
          </cell>
          <cell r="G43">
            <v>1</v>
          </cell>
          <cell r="H43">
            <v>0</v>
          </cell>
          <cell r="I43">
            <v>8786928</v>
          </cell>
          <cell r="K43">
            <v>1.4</v>
          </cell>
          <cell r="L43">
            <v>-1.4</v>
          </cell>
          <cell r="O43">
            <v>0</v>
          </cell>
          <cell r="P43">
            <v>0</v>
          </cell>
          <cell r="Q43">
            <v>20</v>
          </cell>
          <cell r="R43">
            <v>20</v>
          </cell>
          <cell r="S43" t="str">
            <v>со свежими сроками</v>
          </cell>
          <cell r="T43" t="e">
            <v>#DIV/0!</v>
          </cell>
          <cell r="U43" t="e">
            <v>#DIV/0!</v>
          </cell>
          <cell r="V43">
            <v>0</v>
          </cell>
          <cell r="W43">
            <v>0.48</v>
          </cell>
          <cell r="X43">
            <v>1.0096000000000001</v>
          </cell>
          <cell r="Y43">
            <v>0</v>
          </cell>
          <cell r="Z43" t="e">
            <v>#N/A</v>
          </cell>
        </row>
        <row r="44">
          <cell r="A44" t="str">
            <v>Сыр Творожный с зеленью 60% Папа может 140 гр.  Останкино</v>
          </cell>
          <cell r="B44" t="str">
            <v>шт</v>
          </cell>
          <cell r="C44">
            <v>175</v>
          </cell>
          <cell r="E44">
            <v>15</v>
          </cell>
          <cell r="F44">
            <v>160</v>
          </cell>
          <cell r="G44">
            <v>0.14000000000000001</v>
          </cell>
          <cell r="H44">
            <v>180</v>
          </cell>
          <cell r="I44">
            <v>9988391</v>
          </cell>
          <cell r="K44">
            <v>15</v>
          </cell>
          <cell r="L44">
            <v>0</v>
          </cell>
          <cell r="O44">
            <v>0</v>
          </cell>
          <cell r="P44">
            <v>3</v>
          </cell>
          <cell r="S44">
            <v>0</v>
          </cell>
          <cell r="T44">
            <v>53.333333333333336</v>
          </cell>
          <cell r="U44">
            <v>53.333333333333336</v>
          </cell>
          <cell r="V44">
            <v>6.2</v>
          </cell>
          <cell r="W44">
            <v>6.6</v>
          </cell>
          <cell r="X44">
            <v>4.8</v>
          </cell>
          <cell r="Y44">
            <v>5</v>
          </cell>
          <cell r="Z44">
            <v>0</v>
          </cell>
        </row>
        <row r="45">
          <cell r="A45" t="str">
            <v>Сыр творожный Сливочный 140 гр.  Останкино</v>
          </cell>
          <cell r="B45" t="str">
            <v>шт</v>
          </cell>
          <cell r="C45">
            <v>221</v>
          </cell>
          <cell r="D45">
            <v>2</v>
          </cell>
          <cell r="E45">
            <v>46</v>
          </cell>
          <cell r="F45">
            <v>175</v>
          </cell>
          <cell r="G45">
            <v>0.14000000000000001</v>
          </cell>
          <cell r="H45">
            <v>180</v>
          </cell>
          <cell r="I45">
            <v>9988377</v>
          </cell>
          <cell r="K45">
            <v>48</v>
          </cell>
          <cell r="L45">
            <v>-2</v>
          </cell>
          <cell r="O45">
            <v>0</v>
          </cell>
          <cell r="P45">
            <v>9.1999999999999993</v>
          </cell>
          <cell r="S45">
            <v>0</v>
          </cell>
          <cell r="T45">
            <v>19.021739130434785</v>
          </cell>
          <cell r="U45">
            <v>19.021739130434785</v>
          </cell>
          <cell r="V45">
            <v>11.2</v>
          </cell>
          <cell r="W45">
            <v>7.2</v>
          </cell>
          <cell r="X45">
            <v>7.2</v>
          </cell>
          <cell r="Y45">
            <v>7.4</v>
          </cell>
          <cell r="Z45">
            <v>0</v>
          </cell>
        </row>
        <row r="46">
          <cell r="A46" t="str">
            <v>Сыч/Прод Коровино Российский 50% 200г НОВАЯ СЗМЖ  ОСТАНКИНО</v>
          </cell>
          <cell r="B46" t="str">
            <v>шт</v>
          </cell>
          <cell r="C46">
            <v>252</v>
          </cell>
          <cell r="D46">
            <v>5</v>
          </cell>
          <cell r="E46">
            <v>46</v>
          </cell>
          <cell r="F46">
            <v>205</v>
          </cell>
          <cell r="G46">
            <v>0.2</v>
          </cell>
          <cell r="H46" t="e">
            <v>#N/A</v>
          </cell>
          <cell r="I46" t="str">
            <v>783К798</v>
          </cell>
          <cell r="K46">
            <v>51</v>
          </cell>
          <cell r="L46">
            <v>-5</v>
          </cell>
          <cell r="O46">
            <v>0</v>
          </cell>
          <cell r="P46">
            <v>9.1999999999999993</v>
          </cell>
          <cell r="S46">
            <v>0</v>
          </cell>
          <cell r="T46">
            <v>22.282608695652176</v>
          </cell>
          <cell r="U46">
            <v>22.282608695652176</v>
          </cell>
          <cell r="V46">
            <v>0</v>
          </cell>
          <cell r="W46">
            <v>15.2</v>
          </cell>
          <cell r="X46">
            <v>3.8</v>
          </cell>
          <cell r="Y46">
            <v>5.6</v>
          </cell>
          <cell r="Z46" t="e">
            <v>#N/A</v>
          </cell>
        </row>
        <row r="47">
          <cell r="A47" t="str">
            <v>Сыч/Прод Коровино Российский Оригин 50% ВЕС НОВАЯ (3,5 кг)  ОСТАНКИНО</v>
          </cell>
          <cell r="B47" t="str">
            <v>кг</v>
          </cell>
          <cell r="C47">
            <v>58.896000000000001</v>
          </cell>
          <cell r="E47">
            <v>0</v>
          </cell>
          <cell r="F47">
            <v>58.896000000000001</v>
          </cell>
          <cell r="G47">
            <v>1</v>
          </cell>
          <cell r="H47">
            <v>0</v>
          </cell>
          <cell r="I47" t="str">
            <v>783К811</v>
          </cell>
          <cell r="K47">
            <v>3.5</v>
          </cell>
          <cell r="L47">
            <v>-3.5</v>
          </cell>
          <cell r="O47">
            <v>0</v>
          </cell>
          <cell r="P47">
            <v>0</v>
          </cell>
          <cell r="S47">
            <v>0</v>
          </cell>
          <cell r="T47" t="e">
            <v>#DIV/0!</v>
          </cell>
          <cell r="U47" t="e">
            <v>#DIV/0!</v>
          </cell>
          <cell r="V47">
            <v>0</v>
          </cell>
          <cell r="W47">
            <v>1.8675999999999999</v>
          </cell>
          <cell r="X47">
            <v>0</v>
          </cell>
          <cell r="Y47">
            <v>1.8264</v>
          </cell>
          <cell r="Z47" t="str">
            <v>увел продажи</v>
          </cell>
        </row>
        <row r="48">
          <cell r="A48" t="str">
            <v>Сыч/Прод Коровино Тильзитер 50% 200г НОВАЯ СЗМЖ  ОСТАНКИНО</v>
          </cell>
          <cell r="B48" t="str">
            <v>шт</v>
          </cell>
          <cell r="C48">
            <v>203</v>
          </cell>
          <cell r="D48">
            <v>5</v>
          </cell>
          <cell r="E48">
            <v>64</v>
          </cell>
          <cell r="F48">
            <v>139</v>
          </cell>
          <cell r="G48">
            <v>0.2</v>
          </cell>
          <cell r="H48">
            <v>0</v>
          </cell>
          <cell r="I48" t="str">
            <v>783К801</v>
          </cell>
          <cell r="K48">
            <v>69</v>
          </cell>
          <cell r="L48">
            <v>-5</v>
          </cell>
          <cell r="O48">
            <v>90</v>
          </cell>
          <cell r="P48">
            <v>12.8</v>
          </cell>
          <cell r="S48">
            <v>0</v>
          </cell>
          <cell r="T48">
            <v>17.890625</v>
          </cell>
          <cell r="U48">
            <v>10.859375</v>
          </cell>
          <cell r="V48">
            <v>18.8</v>
          </cell>
          <cell r="W48">
            <v>10.8</v>
          </cell>
          <cell r="X48">
            <v>7.4</v>
          </cell>
          <cell r="Y48">
            <v>14.6</v>
          </cell>
          <cell r="Z48">
            <v>0</v>
          </cell>
        </row>
        <row r="49">
          <cell r="A49" t="str">
            <v>Сыч/Прод Коровино Тильзитер Оригин 50% ВЕС НОВАЯ (5 кг брус) СЗМЖ  ОСТАНКИНО</v>
          </cell>
          <cell r="B49" t="str">
            <v>кг</v>
          </cell>
          <cell r="C49">
            <v>79.525999999999996</v>
          </cell>
          <cell r="D49">
            <v>1.728</v>
          </cell>
          <cell r="E49">
            <v>38.908000000000001</v>
          </cell>
          <cell r="F49">
            <v>28.024000000000001</v>
          </cell>
          <cell r="G49">
            <v>1</v>
          </cell>
          <cell r="H49">
            <v>0</v>
          </cell>
          <cell r="I49">
            <v>8785259</v>
          </cell>
          <cell r="K49">
            <v>36.5</v>
          </cell>
          <cell r="L49">
            <v>2.4080000000000013</v>
          </cell>
          <cell r="O49">
            <v>120</v>
          </cell>
          <cell r="P49">
            <v>7.7816000000000001</v>
          </cell>
          <cell r="S49">
            <v>0</v>
          </cell>
          <cell r="T49">
            <v>19.022309036701962</v>
          </cell>
          <cell r="U49">
            <v>3.6013159247455535</v>
          </cell>
          <cell r="V49">
            <v>6.9236000000000004</v>
          </cell>
          <cell r="W49">
            <v>4.8911999999999995</v>
          </cell>
          <cell r="X49">
            <v>3.5659999999999998</v>
          </cell>
          <cell r="Y49">
            <v>9.8775999999999993</v>
          </cell>
          <cell r="Z49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</row>
        <row r="3">
          <cell r="A3" t="str">
            <v>Отбор:</v>
          </cell>
        </row>
        <row r="5">
          <cell r="A5" t="str">
            <v>Документ.Склад</v>
          </cell>
          <cell r="B5" t="str">
            <v>по заказам</v>
          </cell>
        </row>
        <row r="6">
          <cell r="A6" t="str">
            <v>Номенклатура</v>
          </cell>
          <cell r="B6" t="str">
            <v>Заказано</v>
          </cell>
        </row>
        <row r="7">
          <cell r="A7" t="str">
            <v>АСП Донецк Заморозка</v>
          </cell>
          <cell r="B7">
            <v>26</v>
          </cell>
        </row>
        <row r="8">
          <cell r="A8" t="str">
            <v>Останкино ООО</v>
          </cell>
          <cell r="B8">
            <v>26</v>
          </cell>
        </row>
        <row r="9">
          <cell r="A9" t="str">
            <v>Останкино Заморозка</v>
          </cell>
          <cell r="B9">
            <v>26</v>
          </cell>
        </row>
        <row r="10">
          <cell r="A10" t="str">
            <v>6149 БЛИНЧ.КРУГЛЫЕ С ПЕЧЕНЬЮ ПМ 1/300 зам. ОСТАНКИНО</v>
          </cell>
          <cell r="B10">
            <v>5</v>
          </cell>
        </row>
        <row r="11">
          <cell r="A11" t="str">
            <v>6168 Блинчики с мясом пл. 1/350 зам. ОСТАНКИНО</v>
          </cell>
          <cell r="B11">
            <v>11</v>
          </cell>
        </row>
        <row r="12">
          <cell r="A12" t="str">
            <v>6202 БЛИНЧ.КРУГЛЫЕ С ТВОРОГОМ ПМ 1/300 зам. ОСТАНКИНО</v>
          </cell>
          <cell r="B12">
            <v>5</v>
          </cell>
        </row>
        <row r="13">
          <cell r="A13" t="str">
            <v>6209 Блинчики с куриным мясом пл. 1/350 зам. ОСТАНКИНО</v>
          </cell>
          <cell r="B13">
            <v>5</v>
          </cell>
        </row>
        <row r="14">
          <cell r="A14" t="str">
            <v>АСП Донецк Останкино</v>
          </cell>
          <cell r="B14">
            <v>28928.653999999999</v>
          </cell>
        </row>
        <row r="15">
          <cell r="A15" t="str">
            <v>Останкино ООО</v>
          </cell>
          <cell r="B15">
            <v>28928.653999999999</v>
          </cell>
        </row>
        <row r="16">
          <cell r="A16" t="str">
            <v>ООО Останкино-Краснодар</v>
          </cell>
          <cell r="B16">
            <v>5917.152</v>
          </cell>
        </row>
        <row r="17">
          <cell r="A17" t="str">
            <v>3287 САЛЯМИ ИТАЛЬЯНСКАЯ с/к в/у ОСТАНКИНО</v>
          </cell>
          <cell r="B17">
            <v>10.1</v>
          </cell>
        </row>
        <row r="18">
          <cell r="A18" t="str">
            <v>3717 СОЧНЫЕ сос п/о мгс 1*6 ОСТАНКИНО</v>
          </cell>
          <cell r="B18">
            <v>10</v>
          </cell>
        </row>
        <row r="19">
          <cell r="A19" t="str">
            <v>4063 МЯСНАЯ Папа может вар п/о_Л   ОСТАНКИНО</v>
          </cell>
          <cell r="B19">
            <v>1358.326</v>
          </cell>
        </row>
        <row r="20">
          <cell r="A20" t="str">
            <v>4117 ЭКСТРА Папа может с/к в/у_Л   ОСТАНКИНО</v>
          </cell>
          <cell r="B20">
            <v>33.6</v>
          </cell>
        </row>
        <row r="21">
          <cell r="A21" t="str">
            <v>4342 Салями Финская п/к в/у ОСТАНКИНО</v>
          </cell>
          <cell r="B21">
            <v>2</v>
          </cell>
        </row>
        <row r="22">
          <cell r="A22" t="str">
            <v>4574 Мясная со шпиком Папа может вар п/о ОСТАНКИНО</v>
          </cell>
          <cell r="B22">
            <v>187.298</v>
          </cell>
        </row>
        <row r="23">
          <cell r="A23" t="str">
            <v>4813 ФИЛЕЙНАЯ Папа может вар п/о_Л   ОСТАНКИНО</v>
          </cell>
          <cell r="B23">
            <v>517.83199999999999</v>
          </cell>
        </row>
        <row r="24">
          <cell r="A24" t="str">
            <v>5452 ВЕТЧ.МЯСНАЯ Папа может п/о    ОСТАНКИНО</v>
          </cell>
          <cell r="B24">
            <v>62.4</v>
          </cell>
        </row>
        <row r="25">
          <cell r="A25" t="str">
            <v>5544 Сервелат Финский в/к в/у_45с НОВАЯ ОСТАНКИНО</v>
          </cell>
          <cell r="B25">
            <v>372.71</v>
          </cell>
        </row>
        <row r="26">
          <cell r="A26" t="str">
            <v>5708 ПОСОЛЬСКАЯ Папа может с/к в/у ОСТАНКИНО</v>
          </cell>
          <cell r="B26">
            <v>20.626000000000001</v>
          </cell>
        </row>
        <row r="27">
          <cell r="A27" t="str">
            <v>5851 ЭКСТРА Папа может вар п/о   ОСТАНКИНО</v>
          </cell>
          <cell r="B27">
            <v>331.32299999999998</v>
          </cell>
        </row>
        <row r="28">
          <cell r="A28" t="str">
            <v>6008 САЛО СОЛЕНОЕ С ЧЕРНЫМ ПЕРЦЕМ мл/к в/у ОСТАНКИНО</v>
          </cell>
          <cell r="B28">
            <v>24.526</v>
          </cell>
        </row>
        <row r="29">
          <cell r="A29" t="str">
            <v>6220 ГОВЯЖЬЯ папа может вар п/о  Останкино</v>
          </cell>
          <cell r="B29">
            <v>359.65800000000002</v>
          </cell>
        </row>
        <row r="30">
          <cell r="A30" t="str">
            <v>6303 Мясные Папа может сос п/о мгс 1,5*3  Останкино</v>
          </cell>
          <cell r="B30">
            <v>360.91199999999998</v>
          </cell>
        </row>
        <row r="31">
          <cell r="A31" t="str">
            <v>6470 ВЕТЧ.МРАМОРНАЯ в/у_45с  Останкино</v>
          </cell>
          <cell r="B31">
            <v>18.3</v>
          </cell>
        </row>
        <row r="32">
          <cell r="A32" t="str">
            <v>6498 МОЛОЧНАЯ Папа может вар п/о  ОСТАНКИНО</v>
          </cell>
          <cell r="B32">
            <v>159.19300000000001</v>
          </cell>
        </row>
        <row r="33">
          <cell r="A33" t="str">
            <v>6527 ШПИКАЧКИ СОЧНЫЕ ПМ сар б/о мгс 1*3 45с ОСТАНКИНО</v>
          </cell>
          <cell r="B33">
            <v>78.099999999999994</v>
          </cell>
        </row>
        <row r="34">
          <cell r="A34" t="str">
            <v>6550 МЯСНЫЕ Папа может сар б/о мгс 1*3 О 45с  Останкино</v>
          </cell>
          <cell r="B34">
            <v>136.03399999999999</v>
          </cell>
        </row>
        <row r="35">
          <cell r="A35" t="str">
            <v>6608 С ГОВЯДИНОЙ ОРИГИН. сар б/о мгс 1*3_45с  ОСТАНКИНО</v>
          </cell>
          <cell r="B35">
            <v>217.93100000000001</v>
          </cell>
        </row>
        <row r="36">
          <cell r="A36" t="str">
            <v>6661 СОЧНЫЙ ГРИЛЬ ПМ сос п/о мгс 1,5*4_Маяк Останкино</v>
          </cell>
          <cell r="B36">
            <v>13.663</v>
          </cell>
        </row>
        <row r="37">
          <cell r="A37" t="str">
            <v>6829  МОЛОЧНЫЕ КЛАССИЧЕСКИЕ сос п/о мгс 2*4 С  Останккино</v>
          </cell>
          <cell r="B37">
            <v>472.25599999999997</v>
          </cell>
        </row>
        <row r="38">
          <cell r="A38" t="str">
            <v>7001 КЛАССИЧЕСКИЕ Папа может сар б/о мгс 1*3  Останкино</v>
          </cell>
          <cell r="B38">
            <v>18.600000000000001</v>
          </cell>
        </row>
        <row r="39">
          <cell r="A39" t="str">
            <v>7070 СОЧНЫЕ ПМ сос п/о 1,5*4_А_50с  Останкино</v>
          </cell>
          <cell r="B39">
            <v>469.07400000000001</v>
          </cell>
        </row>
        <row r="40">
          <cell r="A40" t="str">
            <v>7075 МОЛОЧ.ПРЕМИУМ ПМ сос п/о мгс 1,5*4_О_50с  Останкино</v>
          </cell>
          <cell r="B40">
            <v>3.5</v>
          </cell>
        </row>
        <row r="41">
          <cell r="A41" t="str">
            <v>7082 СЛИВОЧНЫЕ ПМ сос п/о мгс 1,5*4_50с  Останкино</v>
          </cell>
          <cell r="B41">
            <v>10.8</v>
          </cell>
        </row>
        <row r="42">
          <cell r="A42" t="str">
            <v>7083 СЛИВОЧНЫЕ ПМ сос п/о мгс 1.5*4_А_50с  ОСТАНКИНО</v>
          </cell>
          <cell r="B42">
            <v>133.065</v>
          </cell>
        </row>
        <row r="43">
          <cell r="A43" t="str">
            <v>7157 СЕРВЕЛАТ ЗЕРНИСТЫЙ ПМ в/к в/у_50с  Останкино</v>
          </cell>
          <cell r="B43">
            <v>121.447</v>
          </cell>
        </row>
        <row r="44">
          <cell r="A44" t="str">
            <v>7166 СЕРВЕЛАТ ОХОТНИЧИЙ ПМ в/к в/у_50с  Останкино</v>
          </cell>
          <cell r="B44">
            <v>388.24299999999999</v>
          </cell>
        </row>
        <row r="45">
          <cell r="A45" t="str">
            <v>7299 НАБОР ДЛЯ ПИЦЦЫ Папа Может с/к в/у  ОСТАНКИНО</v>
          </cell>
          <cell r="B45">
            <v>3</v>
          </cell>
        </row>
        <row r="46">
          <cell r="A46" t="str">
            <v>7564 Балыковая в/к в/у Останкино Вес  ОСТАНКИНО</v>
          </cell>
          <cell r="B46">
            <v>22.635000000000002</v>
          </cell>
        </row>
        <row r="47">
          <cell r="A47" t="str">
            <v>ООО Останкино-Краснодар (ШТ)</v>
          </cell>
          <cell r="B47">
            <v>22461.601999999999</v>
          </cell>
        </row>
        <row r="48">
          <cell r="A48" t="str">
            <v>3215 ВЕТЧ.МЯСНАЯ Папа может п/о 0.4кг 8шт.    ОСТАНКИНО</v>
          </cell>
          <cell r="B48">
            <v>392</v>
          </cell>
        </row>
        <row r="49">
          <cell r="A49" t="str">
            <v>3986 Ароматная с/к в/у 1/250 ОСТАНКИНО</v>
          </cell>
          <cell r="B49">
            <v>230</v>
          </cell>
        </row>
        <row r="50">
          <cell r="A50" t="str">
            <v>4993 САЛЯМИ ИТАЛЬЯНСКАЯ с/к в/у 1/250*8_120c ОСТАНКИНО</v>
          </cell>
          <cell r="B50">
            <v>101</v>
          </cell>
        </row>
        <row r="51">
          <cell r="A51" t="str">
            <v>5483 ЭКСТРА Папа может с/к в/у 1/250 8шт.   ОСТАНКИНО</v>
          </cell>
          <cell r="B51">
            <v>70</v>
          </cell>
        </row>
        <row r="52">
          <cell r="A52" t="str">
            <v>5495 ВЕТЧ.С ИНДЕЙКОЙ Папа может п/о 400*6  Останкино</v>
          </cell>
          <cell r="B52">
            <v>461</v>
          </cell>
        </row>
        <row r="53">
          <cell r="A53" t="str">
            <v>5819 Сосиски Папа может 400г Мясные  ОСТАНКИНО</v>
          </cell>
          <cell r="B53">
            <v>284</v>
          </cell>
        </row>
        <row r="54">
          <cell r="A54" t="str">
            <v>5931 ОХОТНИЧЬЯ Папа может с/к в/у 1/220 8шт.   ОСТАНКИНО</v>
          </cell>
          <cell r="B54">
            <v>220</v>
          </cell>
        </row>
        <row r="55">
          <cell r="A55" t="str">
            <v>6208 ДЫМОВИЦА ИЗ ЛОПАТКИ ПМ к/в с/н в/у 1/150  Останкино</v>
          </cell>
          <cell r="B55">
            <v>11</v>
          </cell>
        </row>
        <row r="56">
          <cell r="A56" t="str">
            <v>6213 СЕРВЕЛАТ ФИНСКИЙ СН в/к в/у 0,35кг 8шт  Останкино</v>
          </cell>
          <cell r="B56">
            <v>2</v>
          </cell>
        </row>
        <row r="57">
          <cell r="A57" t="str">
            <v>6221 НЕОПОЛИТАНСКИЙ ДУЭТ с/к с/н мгс 1/90  Останкино</v>
          </cell>
          <cell r="B57">
            <v>455</v>
          </cell>
        </row>
        <row r="58">
          <cell r="A58" t="str">
            <v>6228 МЯСНОЕ АССОРТИ к/з с/н мгс 1/90 10шт  Останкино</v>
          </cell>
          <cell r="B58">
            <v>213</v>
          </cell>
        </row>
        <row r="59">
          <cell r="A59" t="str">
            <v>6268 Колбаса Папа может 400г Говяжья вар п/о  ОСТАНКИНО</v>
          </cell>
          <cell r="B59">
            <v>13</v>
          </cell>
        </row>
        <row r="60">
          <cell r="A60" t="str">
            <v>6279 КОРЕЙКА ПО-ОСТ.к/в в/с с/н в/у 1/150_45с  Останкино</v>
          </cell>
          <cell r="B60">
            <v>161</v>
          </cell>
        </row>
        <row r="61">
          <cell r="A61" t="str">
            <v>6324 ДОКТОРСКАЯ ГОСТ вар п/о 0,4кг 8шт  Останкино</v>
          </cell>
          <cell r="B61">
            <v>390</v>
          </cell>
        </row>
        <row r="62">
          <cell r="A62" t="str">
            <v>6325 ДОКТОРСКАЯ ПРЕМИУМ вар п/о 0.4кг 8шт.  ОСТАНКИНО</v>
          </cell>
          <cell r="B62">
            <v>149</v>
          </cell>
        </row>
        <row r="63">
          <cell r="A63" t="str">
            <v>6333 МЯСНАЯ Папа может вар п/о 0.4кг 8шт.  ОСТАНКИНО</v>
          </cell>
          <cell r="B63">
            <v>669.3</v>
          </cell>
        </row>
        <row r="64">
          <cell r="A64" t="str">
            <v>6353 ЭКСТРА Папа может вар п/о 0.4кг 8шт.  ОСТАНКИНО</v>
          </cell>
          <cell r="B64">
            <v>572.6</v>
          </cell>
        </row>
        <row r="65">
          <cell r="A65" t="str">
            <v>6392 ФИЛЕЙНАЯ Папа может вар п/о 0,4кг  ОСТАНКИНО</v>
          </cell>
          <cell r="B65">
            <v>826</v>
          </cell>
        </row>
        <row r="66">
          <cell r="A66" t="str">
            <v>6453 ЭКСТРА Папа может с/к с/н в/у 1/100 14шт.   ОСТАНКИНО</v>
          </cell>
          <cell r="B66">
            <v>376</v>
          </cell>
        </row>
        <row r="67">
          <cell r="A67" t="str">
            <v>6454 АРОМАТНАЯ с/к с/н в/у 1/100 10шт.  ОСТАНКИНО</v>
          </cell>
          <cell r="B67">
            <v>246</v>
          </cell>
        </row>
        <row r="68">
          <cell r="A68" t="str">
            <v>6459 СЕРВЕЛАТ ШВЕЙЦАРСК. в/к с/н в/у 1/100*10  Останкино</v>
          </cell>
          <cell r="B68">
            <v>134</v>
          </cell>
        </row>
        <row r="69">
          <cell r="A69" t="str">
            <v>6475 Сосиски Папа может 400г С сыром  ОСТАНКИНО</v>
          </cell>
          <cell r="B69">
            <v>66</v>
          </cell>
        </row>
        <row r="70">
          <cell r="A70" t="str">
            <v>6495 ВЕТЧ.МРАМОРНАЯ в/у срез 0,3кг 6шт_45с  Останкино</v>
          </cell>
          <cell r="B70">
            <v>212</v>
          </cell>
        </row>
        <row r="71">
          <cell r="A71" t="str">
            <v>6602 БАВАРСКИЕ ПМ сос ц/о мгс 0,35кг 8шт  Останкино</v>
          </cell>
          <cell r="B71">
            <v>38</v>
          </cell>
        </row>
        <row r="72">
          <cell r="A72" t="str">
            <v>6609 С ГОВЯДИНОЙ ПМ сар б/о мгс 0,4 кг_45с</v>
          </cell>
          <cell r="B72">
            <v>43</v>
          </cell>
        </row>
        <row r="73">
          <cell r="A73" t="str">
            <v>6616 МОЛОЧНЫЕ КЛАССИЧЕСКИЕ сос п/о в/у 0,3 кг  Останкино</v>
          </cell>
          <cell r="B73">
            <v>5795</v>
          </cell>
        </row>
        <row r="74">
          <cell r="A74" t="str">
            <v>6697 СЕРВЕЛАТ ФИНСКИЙ ПМ в/к в/у 0,35кг 8шт  ОСТАНКИНО</v>
          </cell>
          <cell r="B74">
            <v>1311</v>
          </cell>
        </row>
        <row r="75">
          <cell r="A75" t="str">
            <v>6713 СОЧНЫЙ ГРИЛЬ ПМ сос п/о мгс 0,41кг 8 шт.  ОСТАНКИНО</v>
          </cell>
          <cell r="B75">
            <v>466</v>
          </cell>
        </row>
        <row r="76">
          <cell r="A76" t="str">
            <v>6724 МОЛОЧНЫЕ ПМ сос п/о мгс 0,41кг 10шт  Останкино</v>
          </cell>
          <cell r="B76">
            <v>132</v>
          </cell>
        </row>
        <row r="77">
          <cell r="A77" t="str">
            <v>6765 РУБЛЕНЫЕ сос ц/о мгс 0,36кг 6шт  Останкино</v>
          </cell>
          <cell r="B77">
            <v>342</v>
          </cell>
        </row>
        <row r="78">
          <cell r="A78" t="str">
            <v>6787 СЕРВЕЛАТ КРЕМЛЕВСКИЙ в/к в/у 0,33кг 8шт  Останкино</v>
          </cell>
          <cell r="B78">
            <v>282</v>
          </cell>
        </row>
        <row r="79">
          <cell r="A79" t="str">
            <v>6791 СЕРВЕЛАТ ПРЕМИУМ в/к в/у 0,33кг 8шт  Останкино</v>
          </cell>
          <cell r="B79">
            <v>4</v>
          </cell>
        </row>
        <row r="80">
          <cell r="A80" t="str">
            <v>6793 БАЛЫКОВАЯ в/к в/у 0,33кг 8шт  Останкино</v>
          </cell>
          <cell r="B80">
            <v>140</v>
          </cell>
        </row>
        <row r="81">
          <cell r="A81" t="str">
            <v>6797 С ИНДЕЙКОЙ Папа может вар п/о 0,4кг 8шт. ОСТАНКИНО</v>
          </cell>
          <cell r="B81">
            <v>193</v>
          </cell>
        </row>
        <row r="82">
          <cell r="A82" t="str">
            <v>6807 СЕРВЕЛАТ ЕВРОПЕЙСКИЙ в/к в/у 0,33кг 8шт  Останкино</v>
          </cell>
          <cell r="B82">
            <v>36</v>
          </cell>
        </row>
        <row r="83">
          <cell r="A83" t="str">
            <v>6834 ПОСОЛЬСКАЯ с/к с/н в/у 1/100 10шт  Останкино</v>
          </cell>
          <cell r="B83">
            <v>14</v>
          </cell>
        </row>
        <row r="84">
          <cell r="A84" t="str">
            <v>6837 ФИЛЕЙНЫЕ Папа Может сос ц/о мгс 0,4кг  Останкино</v>
          </cell>
          <cell r="B84">
            <v>54</v>
          </cell>
        </row>
        <row r="85">
          <cell r="A85" t="str">
            <v>6909 ДЛЯ ДЕТЕЙ сос п/о мгс 0,33кг 8шт  Останкино</v>
          </cell>
          <cell r="B85">
            <v>2</v>
          </cell>
        </row>
        <row r="86">
          <cell r="A86" t="str">
            <v>6925 ВЕТЧ.КЛАССИЧЕСКАЯ в/у 0,6кг 8шт. ОСТАНКИНО</v>
          </cell>
          <cell r="B86">
            <v>17</v>
          </cell>
        </row>
        <row r="87">
          <cell r="A87" t="str">
            <v>6967 БУРГУНДИЯ Папа может с/к в/у 1/250 8шт  Останкино</v>
          </cell>
          <cell r="B87">
            <v>24</v>
          </cell>
        </row>
        <row r="88">
          <cell r="A88" t="str">
            <v>7059 ШПИКАЧКИ СОЧНЫЕ С БЕК. п/о мгс 0,3кг 60с ОСТАНКИНО</v>
          </cell>
          <cell r="B88">
            <v>138</v>
          </cell>
        </row>
        <row r="89">
          <cell r="A89" t="str">
            <v>7066 СОЧНЫЕ ПМ сос п/о мгс 0,41кг 10шт 50с  Останкино</v>
          </cell>
          <cell r="B89">
            <v>1452</v>
          </cell>
        </row>
        <row r="90">
          <cell r="A90" t="str">
            <v>7073 МОЛОЧ.ПРЕМИУМ ПМ сос п/о в/у 1/350_50с  Останкино</v>
          </cell>
          <cell r="B90">
            <v>50</v>
          </cell>
        </row>
        <row r="91">
          <cell r="A91" t="str">
            <v>7077 МЯСНЫЕ С ГОВЯД. ПМ сос п/о мгс 0,4кг_50с  Останкино</v>
          </cell>
          <cell r="B91">
            <v>20</v>
          </cell>
        </row>
        <row r="92">
          <cell r="A92" t="str">
            <v>7080 СЛИВОЧНЫЕ ПМ сос п/о мгс 0,41кг 10шт 50с  Останкино</v>
          </cell>
          <cell r="B92">
            <v>638.1</v>
          </cell>
        </row>
        <row r="93">
          <cell r="A93" t="str">
            <v>7090 СВИНИНА ПО-ДОМ.к/в мл/к в/у 0,3кг_50с  Останкино</v>
          </cell>
          <cell r="B93">
            <v>163</v>
          </cell>
        </row>
        <row r="94">
          <cell r="A94" t="str">
            <v>7103 БЕКОН Останкино с/к с/н в/у 1/180_50с  Останкино</v>
          </cell>
          <cell r="B94">
            <v>255</v>
          </cell>
        </row>
        <row r="95">
          <cell r="A95" t="str">
            <v>7147 САЛЬЧИЧОН Останкино с/к в/у 1/220 8 шт  Останкино</v>
          </cell>
          <cell r="B95">
            <v>16</v>
          </cell>
        </row>
        <row r="96">
          <cell r="A96" t="str">
            <v>7154 СЕРВЕЛАТ ЗЕРНИСТЫЙ ПМ в/к в/у 0,35кг_50с  Останкино</v>
          </cell>
          <cell r="B96">
            <v>900</v>
          </cell>
        </row>
        <row r="97">
          <cell r="A97" t="str">
            <v>7163 СЕРВЕЛАТ КЛАССИЧ.ПМ в/к в/у 0,62кг_50с  Останкино</v>
          </cell>
          <cell r="B97">
            <v>6.22</v>
          </cell>
        </row>
        <row r="98">
          <cell r="A98" t="str">
            <v>7169 СЕРВЕЛАТ ОХОТНИЧИЙ ПМ в/к в/у 0,35кг_50с  Останкино</v>
          </cell>
          <cell r="B98">
            <v>890.7</v>
          </cell>
        </row>
        <row r="99">
          <cell r="A99" t="str">
            <v>7187 ГРУДИНКА ПРЕМИУМ к/в мл/к в/у 0,3кг_50с  Останкино</v>
          </cell>
          <cell r="B99">
            <v>117</v>
          </cell>
        </row>
        <row r="100">
          <cell r="A100" t="str">
            <v>7231 КЛАССИЧЕСКАЯ ПМ вар п/о 0,3кг 8 шт_209к  Останкино</v>
          </cell>
          <cell r="B100">
            <v>81</v>
          </cell>
        </row>
        <row r="101">
          <cell r="A101" t="str">
            <v>7232 БОЯNСКАЯ ПМ п/к в/у 0,28кг 8шт_209к  Останкино</v>
          </cell>
          <cell r="B101">
            <v>165</v>
          </cell>
        </row>
        <row r="102">
          <cell r="A102" t="str">
            <v>7233 БАЛЫКОВАЯ ПМ п/к в/у 0,31кг 8шт_209к  Останкино</v>
          </cell>
          <cell r="B102">
            <v>34</v>
          </cell>
        </row>
        <row r="103">
          <cell r="A103" t="str">
            <v>7236 СЕРВЕЛАТ КАРЕЛЬСКИЙ в/к в/у 0,28кг_209к  Останкино</v>
          </cell>
          <cell r="B103">
            <v>336</v>
          </cell>
        </row>
        <row r="104">
          <cell r="A104" t="str">
            <v>7237 СЕРВЕЛАТ ШВАРЦЕР ПМ в/к в/у 0,28кг_209к  Останкино</v>
          </cell>
          <cell r="B104">
            <v>64</v>
          </cell>
        </row>
        <row r="105">
          <cell r="A105" t="str">
            <v>7241 САЛЯМИ Папа может п/к в/у 0,28кг ОСТАНКИНО</v>
          </cell>
          <cell r="B105">
            <v>298</v>
          </cell>
        </row>
        <row r="106">
          <cell r="A106" t="str">
            <v>7255 МЯСНЫЕ С ГОВЯД.ПМ сос п/о мгс 0.4кг 6шт.  ОСТАНКИНО</v>
          </cell>
          <cell r="B106">
            <v>453</v>
          </cell>
        </row>
        <row r="107">
          <cell r="A107" t="str">
            <v>7271 МЯСНЫЕ С ГОВЯДИНОЙ ПМ сос п/о мгс 1.5*4  ОСТАНКИНО</v>
          </cell>
          <cell r="B107">
            <v>18.681999999999999</v>
          </cell>
        </row>
        <row r="108">
          <cell r="A108" t="str">
            <v>7276 СЛИВОЧНЫЕ ПМ сос п/о мгс 0,3кг 7шт  Останкино</v>
          </cell>
          <cell r="B108">
            <v>12</v>
          </cell>
        </row>
        <row r="109">
          <cell r="A109" t="str">
            <v>7284 ДЛЯ ДЕТЕЙ сос п/о мгс 0,33кг 6шт  Останкино</v>
          </cell>
          <cell r="B109">
            <v>49</v>
          </cell>
        </row>
        <row r="110">
          <cell r="A110" t="str">
            <v>7288 БАЛЫК с/к с/н в/у 1/100 10шт ОСТАНКИНО</v>
          </cell>
          <cell r="B110">
            <v>76</v>
          </cell>
        </row>
        <row r="111">
          <cell r="A111" t="str">
            <v>7332 БОЯРСКАЯ ПМ п/к в/у 0,28кг ОСТАНКИНО</v>
          </cell>
          <cell r="B111">
            <v>33</v>
          </cell>
        </row>
        <row r="112">
          <cell r="A112" t="str">
            <v>7333 СЕРВЕЛАТ ОХОТНИЧИЙ ПМ в/к в/у 0,28кг ОСТАНКИНО</v>
          </cell>
          <cell r="B112">
            <v>20</v>
          </cell>
        </row>
        <row r="113">
          <cell r="A113" t="str">
            <v>7371 БРЕСТСКИЕ сос п/о в/у 0,3кг 8шт. ОСТАНКИНО</v>
          </cell>
          <cell r="B113">
            <v>173</v>
          </cell>
        </row>
        <row r="114">
          <cell r="A114" t="str">
            <v>7382  САЛЯМИ МЕЛКОЗЕРНЕНАЯ с/к в/у1/120 8шт.  ОСТАНКИНО</v>
          </cell>
          <cell r="B114">
            <v>267</v>
          </cell>
        </row>
        <row r="115">
          <cell r="A115" t="str">
            <v>7461 ДЛЯ ДЕТЕЙ Папа Может сос п/о мгс 0,33кг ОСТАНКИНО</v>
          </cell>
          <cell r="B115">
            <v>296</v>
          </cell>
        </row>
        <row r="116">
          <cell r="A116" t="str">
            <v>7489 СЫРРРВЕЛАТ Папа Может в/к в/у 0,28кг 8шт. ОСТАНКИНО</v>
          </cell>
          <cell r="B116">
            <v>91</v>
          </cell>
        </row>
        <row r="117">
          <cell r="A117" t="str">
            <v>7523 ГОВЯЖЬЯ Папа Может вар п/о 0,4кг 6шт. ОСТАНКИНО</v>
          </cell>
          <cell r="B117">
            <v>181</v>
          </cell>
        </row>
        <row r="118">
          <cell r="A118" t="str">
            <v>7539 ДОКТОРСКАЯ ГОСТ вар п/о 0,35кг ОСТАНКИНО</v>
          </cell>
          <cell r="B118">
            <v>1</v>
          </cell>
        </row>
        <row r="119">
          <cell r="A119" t="str">
            <v>А_6325 ДОКТОРСКАЯ ПРЕМИУМ вар п/о 0.4кг 8шт.  ОСТАНКИНО</v>
          </cell>
          <cell r="B119">
            <v>2</v>
          </cell>
        </row>
        <row r="120">
          <cell r="A120" t="str">
            <v>А_7382  САЛЯМИ МЕЛКОЗЕРНЕНАЯ с/к в/у1/120 8шт.  ОСТАНКИНО</v>
          </cell>
          <cell r="B120">
            <v>1</v>
          </cell>
        </row>
        <row r="121">
          <cell r="A121" t="str">
            <v>БОНУС_6087 СОЧНЫЕ ПМ сос п/о мгс 0,41кг 10шт.  ОСТАНКИНО</v>
          </cell>
          <cell r="B121">
            <v>17</v>
          </cell>
        </row>
        <row r="122">
          <cell r="A122" t="str">
            <v>Останкино Заморозка</v>
          </cell>
          <cell r="B122">
            <v>444.6</v>
          </cell>
        </row>
        <row r="123">
          <cell r="A123" t="str">
            <v>5579 БЛИНЧ.КРУГЛЫЕ С САД.ЯБЛОК.пл.1/420 зам. ОСТАНКИНО</v>
          </cell>
          <cell r="B123">
            <v>6</v>
          </cell>
        </row>
        <row r="124">
          <cell r="A124" t="str">
            <v>5754 БЛИНЧ.КРУГЛЫЕ С МЯСОМ 4,5кг зам. ПМ ОСТАНКИНО</v>
          </cell>
          <cell r="B124">
            <v>22.6</v>
          </cell>
        </row>
        <row r="125">
          <cell r="A125" t="str">
            <v>5755 БЛИНЧ.КРУГЛЫЕ С ТВОРОГОМ 4,5кг зам. ПМ ОСТАНКИНО</v>
          </cell>
          <cell r="B125">
            <v>4</v>
          </cell>
        </row>
        <row r="126">
          <cell r="A126" t="str">
            <v>5897 БЛИНЧ.КРУГЛЫЕ С ГРУШЕЙ пл.1/420 зам.   ОСТАНКИНО</v>
          </cell>
          <cell r="B126">
            <v>5</v>
          </cell>
        </row>
        <row r="127">
          <cell r="A127" t="str">
            <v>6148 БЛИНЧ.КРУГЛЫЕ С ВЕТЧ.И СЫР. ПМ 1/300 зам. ОСТАНКИНО</v>
          </cell>
          <cell r="B127">
            <v>54</v>
          </cell>
        </row>
        <row r="128">
          <cell r="A128" t="str">
            <v>6149 БЛИНЧ.КРУГЛЫЕ С ПЕЧЕНЬЮ ПМ 1/300 зам. ОСТАНКИНО</v>
          </cell>
          <cell r="B128">
            <v>65</v>
          </cell>
        </row>
        <row r="129">
          <cell r="A129" t="str">
            <v>6168 Блинчики с мясом пл. 1/350 зам. ОСТАНКИНО</v>
          </cell>
          <cell r="B129">
            <v>60</v>
          </cell>
        </row>
        <row r="130">
          <cell r="A130" t="str">
            <v>6202 БЛИНЧ.КРУГЛЫЕ С ТВОРОГОМ ПМ 1/300 зам. ОСТАНКИНО</v>
          </cell>
          <cell r="B130">
            <v>61</v>
          </cell>
        </row>
        <row r="131">
          <cell r="A131" t="str">
            <v>6209 Блинчики с куриным мясом пл. 1/350 зам. ОСТАНКИНО</v>
          </cell>
          <cell r="B131">
            <v>77</v>
          </cell>
        </row>
        <row r="132">
          <cell r="A132" t="str">
            <v>6819 БЛИНЧ.КРУГЛЫЕ С САД.ЯБЛОК. пл. 1/300 зам. ОСТАНКИНО</v>
          </cell>
          <cell r="B132">
            <v>3</v>
          </cell>
        </row>
        <row r="133">
          <cell r="A133" t="str">
            <v>7216 СОЧНЫЕ СО СЛ.МАСЛ.ПМ пельм пл.0.7кг зам. ОСТАНКИНО</v>
          </cell>
          <cell r="B133">
            <v>87</v>
          </cell>
        </row>
        <row r="134">
          <cell r="A134" t="str">
            <v>Останкино КОРОВИНО (ВЕС)</v>
          </cell>
          <cell r="B134">
            <v>98.3</v>
          </cell>
        </row>
        <row r="135">
          <cell r="A135" t="str">
            <v>6832 АССОРТИ СЫРОКОПЧЕНЫХ КОЛБАС Коровино в/у  ОСТАНКИНО</v>
          </cell>
          <cell r="B135">
            <v>42.4</v>
          </cell>
        </row>
        <row r="136">
          <cell r="A136" t="str">
            <v>6861 ДОМАШНИЙ РЕЦЕПТ Коровино вар п/о  Останкино</v>
          </cell>
          <cell r="B136">
            <v>33.5</v>
          </cell>
        </row>
        <row r="137">
          <cell r="A137" t="str">
            <v>6866 ВЕТЧ.НЕЖНАЯ Коровино п/о_Маяк  Останкино</v>
          </cell>
          <cell r="B137">
            <v>22.4</v>
          </cell>
        </row>
        <row r="138">
          <cell r="A138" t="str">
            <v>Останкино СЫР</v>
          </cell>
          <cell r="B138">
            <v>7</v>
          </cell>
        </row>
        <row r="139">
          <cell r="A139" t="str">
            <v>Сыр Боккончини копченый 40% 100 гр.  ОСТАНКИНО</v>
          </cell>
          <cell r="B139">
            <v>1</v>
          </cell>
        </row>
        <row r="140">
          <cell r="A140" t="str">
            <v>Сыр ПАПА МОЖЕТ "Министерский" 180 г фасованный массовая  Останкино</v>
          </cell>
          <cell r="B140">
            <v>2</v>
          </cell>
        </row>
        <row r="141">
          <cell r="A141" t="str">
            <v>Сыр ПАПА МОЖЕТ "Папин завтрак"  45% 180 г  Останкино</v>
          </cell>
          <cell r="B141">
            <v>2</v>
          </cell>
        </row>
        <row r="142">
          <cell r="A142" t="str">
            <v>Сыр Творожный с зеленью 60% Папа может 140 гр.  Останкино</v>
          </cell>
          <cell r="B142">
            <v>1</v>
          </cell>
        </row>
        <row r="143">
          <cell r="A143" t="str">
            <v>Сыр творожный Сливочный 140 гр.  Останкино</v>
          </cell>
          <cell r="B143">
            <v>1</v>
          </cell>
        </row>
        <row r="144">
          <cell r="A144" t="str">
            <v>АСП Донецк Останкино молоко</v>
          </cell>
          <cell r="B144">
            <v>3580.0520000000001</v>
          </cell>
        </row>
        <row r="145">
          <cell r="A145" t="str">
            <v>Останкино ООО</v>
          </cell>
          <cell r="B145">
            <v>3580.0520000000001</v>
          </cell>
        </row>
        <row r="146">
          <cell r="A146" t="str">
            <v>ООО Останкино-Краснодар (ШТ)</v>
          </cell>
          <cell r="B146">
            <v>96</v>
          </cell>
        </row>
        <row r="147">
          <cell r="A147" t="str">
            <v>6324 ДОКТОРСКАЯ ГОСТ вар п/о 0,4кг 8шт  Останкино</v>
          </cell>
          <cell r="B147">
            <v>8</v>
          </cell>
        </row>
        <row r="148">
          <cell r="A148" t="str">
            <v>6333 МЯСНАЯ Папа может вар п/о 0.4кг 8шт.  ОСТАНКИНО</v>
          </cell>
          <cell r="B148">
            <v>8</v>
          </cell>
        </row>
        <row r="149">
          <cell r="A149" t="str">
            <v>6353 ЭКСТРА Папа может вар п/о 0.4кг 8шт.  ОСТАНКИНО</v>
          </cell>
          <cell r="B149">
            <v>8</v>
          </cell>
        </row>
        <row r="150">
          <cell r="A150" t="str">
            <v>6697 СЕРВЕЛАТ ФИНСКИЙ ПМ в/к в/у 0,35кг 8шт  ОСТАНКИНО</v>
          </cell>
          <cell r="B150">
            <v>16</v>
          </cell>
        </row>
        <row r="151">
          <cell r="A151" t="str">
            <v>6713 СОЧНЫЙ ГРИЛЬ ПМ сос п/о мгс 0,41кг 8 шт.  ОСТАНКИНО</v>
          </cell>
          <cell r="B151">
            <v>8</v>
          </cell>
        </row>
        <row r="152">
          <cell r="A152" t="str">
            <v>6787 СЕРВЕЛАТ КРЕМЛЕВСКИЙ в/к в/у 0,33кг 8шт  Останкино</v>
          </cell>
          <cell r="B152">
            <v>9</v>
          </cell>
        </row>
        <row r="153">
          <cell r="A153" t="str">
            <v>6807 СЕРВЕЛАТ ЕВРОПЕЙСКИЙ в/к в/у 0,33кг 8шт  Останкино</v>
          </cell>
          <cell r="B153">
            <v>1</v>
          </cell>
        </row>
        <row r="154">
          <cell r="A154" t="str">
            <v>7066 СОЧНЫЕ ПМ сос п/о мгс 0,41кг 10шт 50с  Останкино</v>
          </cell>
          <cell r="B154">
            <v>20</v>
          </cell>
        </row>
        <row r="155">
          <cell r="A155" t="str">
            <v>7154 СЕРВЕЛАТ ЗЕРНИСТЫЙ ПМ в/к в/у 0,35кг_50с  Останкино</v>
          </cell>
          <cell r="B155">
            <v>8</v>
          </cell>
        </row>
        <row r="156">
          <cell r="A156" t="str">
            <v>7169 СЕРВЕЛАТ ОХОТНИЧИЙ ПМ в/к в/у 0,35кг_50с  Останкино</v>
          </cell>
          <cell r="B156">
            <v>8</v>
          </cell>
        </row>
        <row r="157">
          <cell r="A157" t="str">
            <v>7236 СЕРВЕЛАТ КАРЕЛЬСКИЙ в/к в/у 0,28кг_209к  Останкино</v>
          </cell>
          <cell r="B157">
            <v>1</v>
          </cell>
        </row>
        <row r="158">
          <cell r="A158" t="str">
            <v>7237 СЕРВЕЛАТ ШВАРЦЕР ПМ в/к в/у 0,28кг_209к  Останкино</v>
          </cell>
          <cell r="B158">
            <v>1</v>
          </cell>
        </row>
        <row r="159">
          <cell r="A159" t="str">
            <v>Останкино (соусы, майонезы)</v>
          </cell>
          <cell r="B159">
            <v>141</v>
          </cell>
        </row>
        <row r="160">
          <cell r="A160" t="str">
            <v>6948249 Майонезный соус провансаль 824,5гр деликатес.с массовой долей жирн.25% Коровино Останкино</v>
          </cell>
          <cell r="B160">
            <v>3</v>
          </cell>
        </row>
        <row r="161">
          <cell r="A161" t="str">
            <v>6948256 Майонез провансаль классич.оливковый Папа может 372гр с массовой долей жирн. 67% Останкино</v>
          </cell>
          <cell r="B161">
            <v>24</v>
          </cell>
        </row>
        <row r="162">
          <cell r="A162" t="str">
            <v>6948263 Майонез провансаль классич.оливковый Папа может 744гр с массовой долей жирн. 67% Останкино</v>
          </cell>
          <cell r="B162">
            <v>16</v>
          </cell>
        </row>
        <row r="163">
          <cell r="A163" t="str">
            <v>6948270 Майонез провансаль классич.Папа может 372гр с массовой долей жирн. 67% Останкино</v>
          </cell>
          <cell r="B163">
            <v>60</v>
          </cell>
        </row>
        <row r="164">
          <cell r="A164" t="str">
            <v>6948287 Майонез провансаль классич.Папа может 744гр с массовой долей жирн. 67% Останкино</v>
          </cell>
          <cell r="B164">
            <v>38</v>
          </cell>
        </row>
        <row r="165">
          <cell r="A165" t="str">
            <v>Останкино СЫР</v>
          </cell>
          <cell r="B165">
            <v>3343.0520000000001</v>
          </cell>
        </row>
        <row r="166">
          <cell r="A166" t="str">
            <v>3323 Сыр Российский цилиндр 1/4 пленка ЮКМП м.д.ж. 50%  ОСТАНКИНО</v>
          </cell>
          <cell r="B166">
            <v>52.04</v>
          </cell>
        </row>
        <row r="167">
          <cell r="A167" t="str">
            <v>4421577 Спред растительно-сливочный "Сливочный вкус" 82,5% 180гр  Останкино</v>
          </cell>
          <cell r="B167">
            <v>5</v>
          </cell>
        </row>
        <row r="168">
          <cell r="A168" t="str">
            <v>4421584 Спред растительно-сливочный "Сливочный вкус" 72,5% 180гр  Останкино</v>
          </cell>
          <cell r="B168">
            <v>5</v>
          </cell>
        </row>
        <row r="169">
          <cell r="A169" t="str">
            <v>9988438 Плавленый Сыр 45% "С ветчиной" СТМ"ПапаМожет" 180гр  Останкино</v>
          </cell>
          <cell r="B169">
            <v>39</v>
          </cell>
        </row>
        <row r="170">
          <cell r="A170" t="str">
            <v>9988445 Плавленый Сыр 45%"С грибами" СТМ"ПапаМожет" 180 гр  Останкино</v>
          </cell>
          <cell r="B170">
            <v>49</v>
          </cell>
        </row>
        <row r="171">
          <cell r="A171" t="str">
            <v>Масло "Папа может" 82,5% 180гр  Останкино</v>
          </cell>
          <cell r="B171">
            <v>301</v>
          </cell>
        </row>
        <row r="172">
          <cell r="A172" t="str">
            <v>Масло сливочное 72,5 % 180 гр.(10 шт) СЛАВЯНА  Останкино</v>
          </cell>
          <cell r="B172">
            <v>150</v>
          </cell>
        </row>
        <row r="173">
          <cell r="A173" t="str">
            <v>Плавленый продукт с Сыром колбасный копченый 40% СТМ "Коровино" 400гр  Останкино</v>
          </cell>
          <cell r="B173">
            <v>8</v>
          </cell>
        </row>
        <row r="174">
          <cell r="A174" t="str">
            <v>Плавленый Сыр колбасный копченый 40% СТМ"ПапаМожет"400гр  Останкино</v>
          </cell>
          <cell r="B174">
            <v>3</v>
          </cell>
        </row>
        <row r="175">
          <cell r="A175" t="str">
            <v>Сыр "Пармезан" 40% кусок 180 гр  ОСТАНКИНО</v>
          </cell>
          <cell r="B175">
            <v>81</v>
          </cell>
        </row>
        <row r="176">
          <cell r="A176" t="str">
            <v>Сыр Боккончини копченый 40% 100 гр.  ОСТАНКИНО</v>
          </cell>
          <cell r="B176">
            <v>108</v>
          </cell>
        </row>
        <row r="177">
          <cell r="A177" t="str">
            <v>Сыр Косичка сырная 45% 100г/8шт Папа Может Останкино</v>
          </cell>
          <cell r="B177">
            <v>112</v>
          </cell>
        </row>
        <row r="178">
          <cell r="A178" t="str">
            <v>Сыр Косичка сырная копченая 43% 100г/8шт Папа Может Останкино</v>
          </cell>
          <cell r="B178">
            <v>95</v>
          </cell>
        </row>
        <row r="179">
          <cell r="A179" t="str">
            <v>Сыр ПАПА МОЖЕТ "Гауда Голд" 45 % 180 гр (10шт) Останкино</v>
          </cell>
          <cell r="B179">
            <v>105</v>
          </cell>
        </row>
        <row r="180">
          <cell r="A180" t="str">
            <v>Сыр ПАПА МОЖЕТ "Голландский традиционный" 45% 180 гр (10шт)  Останкино</v>
          </cell>
          <cell r="B180">
            <v>342</v>
          </cell>
        </row>
        <row r="181">
          <cell r="A181" t="str">
            <v>Сыр ПАПА МОЖЕТ "Министерский" 180 г фасованный массовая  Останкино</v>
          </cell>
          <cell r="B181">
            <v>37</v>
          </cell>
        </row>
        <row r="182">
          <cell r="A182" t="str">
            <v>Сыр ПАПА МОЖЕТ "Папин завтрак"  45% 180 г  Останкино</v>
          </cell>
          <cell r="B182">
            <v>23</v>
          </cell>
        </row>
        <row r="183">
          <cell r="A183" t="str">
            <v>Сыр ПАПА МОЖЕТ "Российский традиционный"45 % 180 г Останкино</v>
          </cell>
          <cell r="B183">
            <v>662</v>
          </cell>
        </row>
        <row r="184">
          <cell r="A184" t="str">
            <v>Сыр ПАПА МОЖЕТ "Тильзитер" фасованный массовая доля жира в сухом веществе 45%, 180г  Останкино</v>
          </cell>
          <cell r="B184">
            <v>233</v>
          </cell>
        </row>
        <row r="185">
          <cell r="A185" t="str">
            <v>Сыр Папа Может Гауда  45% 200гр     Останкино</v>
          </cell>
          <cell r="B185">
            <v>5</v>
          </cell>
        </row>
        <row r="186">
          <cell r="A186" t="str">
            <v>Сыр Папа Может Голландский  45% 200гр     Останкино</v>
          </cell>
          <cell r="B186">
            <v>3</v>
          </cell>
        </row>
        <row r="187">
          <cell r="A187" t="str">
            <v>Сыр плавленный Сливочный ж.45% 180г ТМ Папа может (16шт)  Останкино</v>
          </cell>
          <cell r="B187">
            <v>50</v>
          </cell>
        </row>
        <row r="188">
          <cell r="A188" t="str">
            <v>Сыр полутвердый "Гауда" с массовой долей жира в пересчете на сухое вещество 45%,   Останкино</v>
          </cell>
          <cell r="B188">
            <v>15.112</v>
          </cell>
        </row>
        <row r="189">
          <cell r="A189" t="str">
            <v>Сыр полутвердый "Голландский" с массовой долей жира в пересчете на сухое  Останкино</v>
          </cell>
          <cell r="B189">
            <v>10.1</v>
          </cell>
        </row>
        <row r="190">
          <cell r="A190" t="str">
            <v>Сыр полутвердый "Сметанковый", с масс долей жира в пересчете на сухое вещес50%, брус  Останкино</v>
          </cell>
          <cell r="B190">
            <v>37.799999999999997</v>
          </cell>
        </row>
        <row r="191">
          <cell r="A191" t="str">
            <v>Сыр полутвердый "Тильзитер" с массовой долей жира в пересчете на сухое вещество 45%. 1/5  Останкино</v>
          </cell>
          <cell r="B191">
            <v>3.5</v>
          </cell>
        </row>
        <row r="192">
          <cell r="A192" t="str">
            <v>Сыр рассольный жирный Чечил 45% 100 гр  ОСТАНКИНО</v>
          </cell>
          <cell r="B192">
            <v>272</v>
          </cell>
        </row>
        <row r="193">
          <cell r="A193" t="str">
            <v>Сыр рассольный жирный Чечил копченый 43% 100 гр  Останкино</v>
          </cell>
          <cell r="B193">
            <v>247</v>
          </cell>
        </row>
        <row r="194">
          <cell r="A194" t="str">
            <v>Сыр твердый "Пармезан", с масовой долей жира 35% Останкино</v>
          </cell>
          <cell r="B194">
            <v>4.2</v>
          </cell>
        </row>
        <row r="195">
          <cell r="A195" t="str">
            <v>Сыр Творожный с зеленью 60% Папа может 140 гр.  Останкино</v>
          </cell>
          <cell r="B195">
            <v>47</v>
          </cell>
        </row>
        <row r="196">
          <cell r="A196" t="str">
            <v>Сыр творожный Сливочный 140 гр.  Останкино</v>
          </cell>
          <cell r="B196">
            <v>66</v>
          </cell>
        </row>
        <row r="197">
          <cell r="A197" t="str">
            <v>Сыч/Прод Коровино Российский 50% 200г НОВАЯ СЗМЖ  ОСТАНКИНО</v>
          </cell>
          <cell r="B197">
            <v>70</v>
          </cell>
        </row>
        <row r="198">
          <cell r="A198" t="str">
            <v>Сыч/Прод Коровино Российский Оригин 50% ВЕС НОВАЯ (3,5 кг)  ОСТАНКИНО</v>
          </cell>
          <cell r="B198">
            <v>3.5</v>
          </cell>
        </row>
        <row r="199">
          <cell r="A199" t="str">
            <v>Сыч/Прод Коровино Тильзитер 50% 200г НОВАЯ СЗМЖ  ОСТАНКИНО</v>
          </cell>
          <cell r="B199">
            <v>64</v>
          </cell>
        </row>
        <row r="200">
          <cell r="A200" t="str">
            <v>Сыч/Прод Коровино Тильзитер Оригин 50% ВЕС НОВАЯ (5 кг брус) СЗМЖ  ОСТАНКИНО</v>
          </cell>
          <cell r="B200">
            <v>34.799999999999997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I210"/>
  <sheetViews>
    <sheetView tabSelected="1" topLeftCell="A5" workbookViewId="0">
      <pane xSplit="1" ySplit="6" topLeftCell="B38" activePane="bottomRight" state="frozen"/>
      <selection activeCell="A5" sqref="A5"/>
      <selection pane="topRight" activeCell="B5" sqref="B5"/>
      <selection pane="bottomLeft" activeCell="A11" sqref="A11"/>
      <selection pane="bottomRight" activeCell="Q55" sqref="Q55"/>
    </sheetView>
  </sheetViews>
  <sheetFormatPr defaultColWidth="10.42578125" defaultRowHeight="11.4" customHeight="1" outlineLevelRow="1" x14ac:dyDescent="0.2"/>
  <cols>
    <col min="1" max="1" width="68.7109375" style="1" customWidth="1"/>
    <col min="2" max="2" width="5.28515625" style="1" customWidth="1"/>
    <col min="3" max="3" width="12.42578125" style="1" customWidth="1"/>
    <col min="4" max="5" width="8.7109375" style="1" bestFit="1" customWidth="1"/>
    <col min="6" max="6" width="11.28515625" style="1" customWidth="1"/>
    <col min="7" max="27" width="8.42578125" style="5" customWidth="1"/>
    <col min="28" max="16384" width="10.42578125" style="5"/>
  </cols>
  <sheetData>
    <row r="1" spans="1:61" s="1" customFormat="1" ht="9.9" customHeight="1" x14ac:dyDescent="0.2"/>
    <row r="2" spans="1:61" ht="24.9" customHeight="1" x14ac:dyDescent="0.2">
      <c r="A2" s="2" t="s">
        <v>0</v>
      </c>
    </row>
    <row r="3" spans="1:61" s="1" customFormat="1" ht="9.9" customHeight="1" x14ac:dyDescent="0.2"/>
    <row r="4" spans="1:61" ht="12.9" customHeight="1" outlineLevel="1" x14ac:dyDescent="0.2">
      <c r="A4" s="3" t="s">
        <v>1</v>
      </c>
      <c r="B4" s="3"/>
      <c r="C4" s="3"/>
    </row>
    <row r="5" spans="1:61" ht="12.9" customHeight="1" outlineLevel="1" x14ac:dyDescent="0.2">
      <c r="B5" s="3"/>
      <c r="C5" s="3"/>
    </row>
    <row r="6" spans="1:61" ht="26.1" customHeight="1" outlineLevel="1" x14ac:dyDescent="0.2">
      <c r="A6" s="8" t="s">
        <v>2</v>
      </c>
      <c r="B6" s="3"/>
      <c r="C6" s="3"/>
      <c r="D6" s="3"/>
      <c r="E6" s="3"/>
      <c r="F6" s="3"/>
    </row>
    <row r="7" spans="1:61" s="1" customFormat="1" ht="9.9" customHeight="1" x14ac:dyDescent="0.2"/>
    <row r="8" spans="1:61" ht="12.9" customHeight="1" x14ac:dyDescent="0.3">
      <c r="A8" s="6" t="s">
        <v>3</v>
      </c>
      <c r="B8" s="6" t="s">
        <v>4</v>
      </c>
      <c r="C8" s="4" t="s">
        <v>5</v>
      </c>
      <c r="D8" s="4" t="s">
        <v>6</v>
      </c>
      <c r="E8" s="4" t="s">
        <v>7</v>
      </c>
      <c r="F8" s="4" t="s">
        <v>8</v>
      </c>
      <c r="G8" s="12" t="s">
        <v>50</v>
      </c>
      <c r="H8" s="12" t="s">
        <v>51</v>
      </c>
      <c r="I8" s="13" t="s">
        <v>52</v>
      </c>
      <c r="J8" s="14" t="s">
        <v>53</v>
      </c>
      <c r="K8" s="14" t="s">
        <v>54</v>
      </c>
      <c r="L8" s="14" t="s">
        <v>55</v>
      </c>
      <c r="M8" s="14" t="s">
        <v>56</v>
      </c>
      <c r="N8" s="14" t="s">
        <v>57</v>
      </c>
      <c r="O8" s="14" t="s">
        <v>58</v>
      </c>
      <c r="P8" s="14" t="s">
        <v>59</v>
      </c>
      <c r="Q8" s="15" t="s">
        <v>60</v>
      </c>
      <c r="R8" s="16" t="s">
        <v>61</v>
      </c>
      <c r="S8" s="16" t="s">
        <v>62</v>
      </c>
      <c r="T8" s="14" t="s">
        <v>63</v>
      </c>
      <c r="U8" s="14" t="s">
        <v>64</v>
      </c>
      <c r="V8" s="14" t="s">
        <v>65</v>
      </c>
      <c r="W8" s="14" t="s">
        <v>65</v>
      </c>
      <c r="X8" s="14" t="s">
        <v>65</v>
      </c>
      <c r="Y8" s="14" t="s">
        <v>65</v>
      </c>
      <c r="Z8" s="14" t="s">
        <v>66</v>
      </c>
      <c r="AA8" s="14" t="s">
        <v>67</v>
      </c>
    </row>
    <row r="9" spans="1:61" ht="12.9" customHeight="1" x14ac:dyDescent="0.25">
      <c r="A9" s="6"/>
      <c r="B9" s="6"/>
      <c r="C9" s="4"/>
      <c r="D9" s="4"/>
      <c r="E9" s="4"/>
      <c r="F9" s="4"/>
      <c r="G9" s="17"/>
      <c r="H9" s="17"/>
      <c r="I9" s="18"/>
      <c r="J9" s="17"/>
      <c r="K9" s="17"/>
      <c r="L9" s="17"/>
      <c r="M9" s="17"/>
      <c r="N9" s="17"/>
      <c r="O9" s="17" t="s">
        <v>68</v>
      </c>
      <c r="P9" s="17" t="s">
        <v>68</v>
      </c>
      <c r="Q9" s="17" t="s">
        <v>69</v>
      </c>
      <c r="R9" s="17" t="s">
        <v>70</v>
      </c>
      <c r="S9" s="17"/>
      <c r="T9" s="17"/>
      <c r="U9" s="17"/>
      <c r="V9" s="19" t="s">
        <v>71</v>
      </c>
      <c r="W9" s="19" t="s">
        <v>72</v>
      </c>
      <c r="X9" s="19" t="s">
        <v>73</v>
      </c>
      <c r="Y9" s="19" t="s">
        <v>74</v>
      </c>
      <c r="Z9" s="17"/>
      <c r="AA9" s="17" t="s">
        <v>69</v>
      </c>
    </row>
    <row r="10" spans="1:61" ht="12.9" customHeight="1" x14ac:dyDescent="0.25">
      <c r="A10" s="6"/>
      <c r="B10" s="6"/>
      <c r="C10" s="20">
        <f>SUM(C11:C351)</f>
        <v>10984.020999999999</v>
      </c>
      <c r="D10" s="20">
        <f t="shared" ref="D10:F10" si="0">SUM(D11:D351)</f>
        <v>1894.7819999999999</v>
      </c>
      <c r="E10" s="20">
        <f t="shared" si="0"/>
        <v>3056.6879999999992</v>
      </c>
      <c r="F10" s="20">
        <f t="shared" si="0"/>
        <v>9316.023000000001</v>
      </c>
      <c r="G10" s="17"/>
      <c r="H10" s="17"/>
      <c r="I10" s="18"/>
      <c r="J10" s="17"/>
      <c r="K10" s="20">
        <f>SUM(K11:K351)</f>
        <v>3202.0520000000001</v>
      </c>
      <c r="L10" s="20">
        <f>SUM(L11:L351)</f>
        <v>-145.364</v>
      </c>
      <c r="M10" s="17"/>
      <c r="N10" s="20">
        <f>SUM(N11:N351)</f>
        <v>0</v>
      </c>
      <c r="O10" s="20">
        <f>SUM(O11:O351)</f>
        <v>1190</v>
      </c>
      <c r="P10" s="20">
        <f>SUM(P11:P351)</f>
        <v>611.33759999999984</v>
      </c>
      <c r="Q10" s="20">
        <f>SUM(Q11:Q351)</f>
        <v>5038.0470000000005</v>
      </c>
      <c r="R10" s="20">
        <f>SUM(R11:R351)</f>
        <v>2265</v>
      </c>
      <c r="S10" s="17"/>
      <c r="T10" s="17"/>
      <c r="U10" s="17"/>
      <c r="V10" s="20">
        <f>SUM(V11:V351)</f>
        <v>429.01400000000007</v>
      </c>
      <c r="W10" s="20">
        <f>SUM(W11:W351)</f>
        <v>516.0128000000002</v>
      </c>
      <c r="X10" s="20">
        <f>SUM(X11:X351)</f>
        <v>391.67239999999998</v>
      </c>
      <c r="Y10" s="20">
        <f>SUM(Y11:Y351)</f>
        <v>375.51</v>
      </c>
      <c r="Z10" s="17"/>
      <c r="AA10" s="20">
        <f>SUM(AA11:AA351)</f>
        <v>673.04700000000003</v>
      </c>
    </row>
    <row r="11" spans="1:61" ht="11.1" customHeight="1" x14ac:dyDescent="0.2">
      <c r="A11" s="7" t="s">
        <v>9</v>
      </c>
      <c r="B11" s="7" t="s">
        <v>10</v>
      </c>
      <c r="C11" s="9">
        <v>415.23700000000002</v>
      </c>
      <c r="D11" s="9">
        <v>1.482</v>
      </c>
      <c r="E11" s="9">
        <v>50.137999999999998</v>
      </c>
      <c r="F11" s="9">
        <v>363.27300000000002</v>
      </c>
      <c r="G11" s="10">
        <f>VLOOKUP(A:A,[1]TDSheet!$A:$G,7,0)</f>
        <v>1</v>
      </c>
      <c r="H11" s="10">
        <f>VLOOKUP(A:A,[1]TDSheet!$A:$H,8,0)</f>
        <v>0</v>
      </c>
      <c r="I11" s="10">
        <f>VLOOKUP(A:A,[1]TDSheet!$A:$I,9,0)</f>
        <v>8783323</v>
      </c>
      <c r="J11" s="10"/>
      <c r="K11" s="10">
        <f>VLOOKUP(A:A,[2]TDSheet!$A:$B,2,0)</f>
        <v>52.04</v>
      </c>
      <c r="L11" s="10">
        <f>E11-K11</f>
        <v>-1.902000000000001</v>
      </c>
      <c r="M11" s="10"/>
      <c r="N11" s="10"/>
      <c r="O11" s="10">
        <f>VLOOKUP(A:A,[1]TDSheet!$A:$Q,17,0)</f>
        <v>0</v>
      </c>
      <c r="P11" s="10">
        <f>E11/5</f>
        <v>10.0276</v>
      </c>
      <c r="Q11" s="21">
        <f>P11*20-F11-O11</f>
        <v>-162.72100000000003</v>
      </c>
      <c r="R11" s="21"/>
      <c r="S11" s="10"/>
      <c r="T11" s="10">
        <f>(F11+O11+Q11)/P11</f>
        <v>20</v>
      </c>
      <c r="U11" s="10">
        <f>F11/P11</f>
        <v>36.227312617176594</v>
      </c>
      <c r="V11" s="10">
        <f>VLOOKUP(A:A,[1]TDSheet!$A:$W,23,0)</f>
        <v>4.0884</v>
      </c>
      <c r="W11" s="10">
        <f>VLOOKUP(A:A,[1]TDSheet!$A:$X,24,0)</f>
        <v>6.2723999999999993</v>
      </c>
      <c r="X11" s="10">
        <f>VLOOKUP(A:A,[1]TDSheet!$A:$Y,25,0)</f>
        <v>5.9976000000000003</v>
      </c>
      <c r="Y11" s="10">
        <f>VLOOKUP(A:A,[1]TDSheet!$A:$P,16,0)</f>
        <v>4.4912000000000001</v>
      </c>
      <c r="Z11" s="10" t="str">
        <f>VLOOKUP(A:A,[1]TDSheet!$A:$Z,26,0)</f>
        <v>увел продажи</v>
      </c>
      <c r="AA11" s="10">
        <f>Q11*G11</f>
        <v>-162.72100000000003</v>
      </c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</row>
    <row r="12" spans="1:61" ht="11.1" customHeight="1" x14ac:dyDescent="0.2">
      <c r="A12" s="22" t="s">
        <v>11</v>
      </c>
      <c r="B12" s="22" t="s">
        <v>12</v>
      </c>
      <c r="C12" s="23">
        <v>99</v>
      </c>
      <c r="D12" s="23"/>
      <c r="E12" s="23">
        <v>2</v>
      </c>
      <c r="F12" s="23">
        <v>97</v>
      </c>
      <c r="G12" s="24">
        <f>VLOOKUP(A:A,[1]TDSheet!$A:$G,7,0)</f>
        <v>0.18</v>
      </c>
      <c r="H12" s="24" t="e">
        <f>VLOOKUP(A:A,[1]TDSheet!$A:$H,8,0)</f>
        <v>#N/A</v>
      </c>
      <c r="I12" s="24">
        <f>VLOOKUP(A:A,[1]TDSheet!$A:$I,9,0)</f>
        <v>4421577</v>
      </c>
      <c r="J12" s="10"/>
      <c r="K12" s="10">
        <f>VLOOKUP(A:A,[2]TDSheet!$A:$B,2,0)</f>
        <v>5</v>
      </c>
      <c r="L12" s="10">
        <f t="shared" ref="L12:L49" si="1">E12-K12</f>
        <v>-3</v>
      </c>
      <c r="M12" s="10"/>
      <c r="N12" s="10"/>
      <c r="O12" s="10">
        <f>VLOOKUP(A:A,[1]TDSheet!$A:$Q,17,0)</f>
        <v>0</v>
      </c>
      <c r="P12" s="10">
        <f t="shared" ref="P12:P49" si="2">E12/5</f>
        <v>0.4</v>
      </c>
      <c r="Q12" s="21"/>
      <c r="R12" s="21"/>
      <c r="S12" s="10"/>
      <c r="T12" s="10">
        <f t="shared" ref="T12:T49" si="3">(F12+O12+Q12)/P12</f>
        <v>242.5</v>
      </c>
      <c r="U12" s="10">
        <f t="shared" ref="U12:U49" si="4">F12/P12</f>
        <v>242.5</v>
      </c>
      <c r="V12" s="10">
        <f>VLOOKUP(A:A,[1]TDSheet!$A:$W,23,0)</f>
        <v>2.4</v>
      </c>
      <c r="W12" s="10">
        <f>VLOOKUP(A:A,[1]TDSheet!$A:$X,24,0)</f>
        <v>4.2</v>
      </c>
      <c r="X12" s="10">
        <f>VLOOKUP(A:A,[1]TDSheet!$A:$Y,25,0)</f>
        <v>2.6</v>
      </c>
      <c r="Y12" s="10">
        <f>VLOOKUP(A:A,[1]TDSheet!$A:$P,16,0)</f>
        <v>0.6</v>
      </c>
      <c r="Z12" s="10" t="e">
        <f>VLOOKUP(A:A,[1]TDSheet!$A:$Z,26,0)</f>
        <v>#N/A</v>
      </c>
      <c r="AA12" s="10">
        <f t="shared" ref="AA12:AA49" si="5">Q12*G12</f>
        <v>0</v>
      </c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</row>
    <row r="13" spans="1:61" ht="11.1" customHeight="1" x14ac:dyDescent="0.2">
      <c r="A13" s="22" t="s">
        <v>13</v>
      </c>
      <c r="B13" s="22" t="s">
        <v>12</v>
      </c>
      <c r="C13" s="23">
        <v>70</v>
      </c>
      <c r="D13" s="23"/>
      <c r="E13" s="23">
        <v>2</v>
      </c>
      <c r="F13" s="23">
        <v>68</v>
      </c>
      <c r="G13" s="24">
        <f>VLOOKUP(A:A,[1]TDSheet!$A:$G,7,0)</f>
        <v>0.18</v>
      </c>
      <c r="H13" s="24" t="e">
        <f>VLOOKUP(A:A,[1]TDSheet!$A:$H,8,0)</f>
        <v>#N/A</v>
      </c>
      <c r="I13" s="24">
        <f>VLOOKUP(A:A,[1]TDSheet!$A:$I,9,0)</f>
        <v>4421584</v>
      </c>
      <c r="J13" s="10"/>
      <c r="K13" s="10">
        <f>VLOOKUP(A:A,[2]TDSheet!$A:$B,2,0)</f>
        <v>5</v>
      </c>
      <c r="L13" s="10">
        <f t="shared" si="1"/>
        <v>-3</v>
      </c>
      <c r="M13" s="10"/>
      <c r="N13" s="10"/>
      <c r="O13" s="10">
        <f>VLOOKUP(A:A,[1]TDSheet!$A:$Q,17,0)</f>
        <v>0</v>
      </c>
      <c r="P13" s="10">
        <f t="shared" si="2"/>
        <v>0.4</v>
      </c>
      <c r="Q13" s="21"/>
      <c r="R13" s="21"/>
      <c r="S13" s="10"/>
      <c r="T13" s="10">
        <f t="shared" si="3"/>
        <v>170</v>
      </c>
      <c r="U13" s="10">
        <f t="shared" si="4"/>
        <v>170</v>
      </c>
      <c r="V13" s="10">
        <f>VLOOKUP(A:A,[1]TDSheet!$A:$W,23,0)</f>
        <v>1.4</v>
      </c>
      <c r="W13" s="10">
        <f>VLOOKUP(A:A,[1]TDSheet!$A:$X,24,0)</f>
        <v>3.6</v>
      </c>
      <c r="X13" s="10">
        <f>VLOOKUP(A:A,[1]TDSheet!$A:$Y,25,0)</f>
        <v>2.6</v>
      </c>
      <c r="Y13" s="10">
        <f>VLOOKUP(A:A,[1]TDSheet!$A:$P,16,0)</f>
        <v>0.6</v>
      </c>
      <c r="Z13" s="10" t="e">
        <f>VLOOKUP(A:A,[1]TDSheet!$A:$Z,26,0)</f>
        <v>#N/A</v>
      </c>
      <c r="AA13" s="10">
        <f t="shared" si="5"/>
        <v>0</v>
      </c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</row>
    <row r="14" spans="1:61" ht="21.9" customHeight="1" x14ac:dyDescent="0.2">
      <c r="A14" s="22" t="s">
        <v>14</v>
      </c>
      <c r="B14" s="22" t="s">
        <v>10</v>
      </c>
      <c r="C14" s="23">
        <v>198.80799999999999</v>
      </c>
      <c r="D14" s="23"/>
      <c r="E14" s="23">
        <v>16.739999999999998</v>
      </c>
      <c r="F14" s="23">
        <v>182.06800000000001</v>
      </c>
      <c r="G14" s="24">
        <f>VLOOKUP(A:A,[1]TDSheet!$A:$G,7,0)</f>
        <v>1</v>
      </c>
      <c r="H14" s="24" t="e">
        <f>VLOOKUP(A:A,[1]TDSheet!$A:$H,8,0)</f>
        <v>#N/A</v>
      </c>
      <c r="I14" s="24">
        <f>VLOOKUP(A:A,[1]TDSheet!$A:$I,9,0)</f>
        <v>0</v>
      </c>
      <c r="J14" s="10"/>
      <c r="K14" s="10">
        <v>0</v>
      </c>
      <c r="L14" s="10">
        <f t="shared" si="1"/>
        <v>16.739999999999998</v>
      </c>
      <c r="M14" s="10"/>
      <c r="N14" s="10"/>
      <c r="O14" s="10">
        <f>VLOOKUP(A:A,[1]TDSheet!$A:$Q,17,0)</f>
        <v>0</v>
      </c>
      <c r="P14" s="10">
        <f t="shared" si="2"/>
        <v>3.3479999999999999</v>
      </c>
      <c r="Q14" s="21"/>
      <c r="R14" s="21"/>
      <c r="S14" s="10"/>
      <c r="T14" s="10">
        <f t="shared" si="3"/>
        <v>54.381123058542421</v>
      </c>
      <c r="U14" s="10">
        <f t="shared" si="4"/>
        <v>54.381123058542421</v>
      </c>
      <c r="V14" s="10">
        <f>VLOOKUP(A:A,[1]TDSheet!$A:$W,23,0)</f>
        <v>0</v>
      </c>
      <c r="W14" s="10">
        <f>VLOOKUP(A:A,[1]TDSheet!$A:$X,24,0)</f>
        <v>0</v>
      </c>
      <c r="X14" s="10">
        <f>VLOOKUP(A:A,[1]TDSheet!$A:$Y,25,0)</f>
        <v>0</v>
      </c>
      <c r="Y14" s="10">
        <f>VLOOKUP(A:A,[1]TDSheet!$A:$P,16,0)</f>
        <v>2.6175999999999999</v>
      </c>
      <c r="Z14" s="10" t="e">
        <f>VLOOKUP(A:A,[1]TDSheet!$A:$Z,26,0)</f>
        <v>#N/A</v>
      </c>
      <c r="AA14" s="10">
        <f t="shared" si="5"/>
        <v>0</v>
      </c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</row>
    <row r="15" spans="1:61" ht="21.9" customHeight="1" x14ac:dyDescent="0.2">
      <c r="A15" s="22" t="s">
        <v>15</v>
      </c>
      <c r="B15" s="22" t="s">
        <v>12</v>
      </c>
      <c r="C15" s="23">
        <v>148</v>
      </c>
      <c r="D15" s="23"/>
      <c r="E15" s="23">
        <v>3</v>
      </c>
      <c r="F15" s="23">
        <v>145</v>
      </c>
      <c r="G15" s="24">
        <f>VLOOKUP(A:A,[1]TDSheet!$A:$G,7,0)</f>
        <v>0.82450000000000001</v>
      </c>
      <c r="H15" s="24">
        <f>VLOOKUP(A:A,[1]TDSheet!$A:$H,8,0)</f>
        <v>180</v>
      </c>
      <c r="I15" s="24">
        <f>VLOOKUP(A:A,[1]TDSheet!$A:$I,9,0)</f>
        <v>6948249</v>
      </c>
      <c r="J15" s="10"/>
      <c r="K15" s="10">
        <f>VLOOKUP(A:A,[2]TDSheet!$A:$B,2,0)</f>
        <v>3</v>
      </c>
      <c r="L15" s="10">
        <f t="shared" si="1"/>
        <v>0</v>
      </c>
      <c r="M15" s="10"/>
      <c r="N15" s="10"/>
      <c r="O15" s="10">
        <f>VLOOKUP(A:A,[1]TDSheet!$A:$Q,17,0)</f>
        <v>0</v>
      </c>
      <c r="P15" s="10">
        <f t="shared" si="2"/>
        <v>0.6</v>
      </c>
      <c r="Q15" s="21"/>
      <c r="R15" s="21"/>
      <c r="S15" s="10"/>
      <c r="T15" s="10">
        <f t="shared" si="3"/>
        <v>241.66666666666669</v>
      </c>
      <c r="U15" s="10">
        <f t="shared" si="4"/>
        <v>241.66666666666669</v>
      </c>
      <c r="V15" s="10">
        <f>VLOOKUP(A:A,[1]TDSheet!$A:$W,23,0)</f>
        <v>0</v>
      </c>
      <c r="W15" s="10">
        <f>VLOOKUP(A:A,[1]TDSheet!$A:$X,24,0)</f>
        <v>0.4</v>
      </c>
      <c r="X15" s="10">
        <f>VLOOKUP(A:A,[1]TDSheet!$A:$Y,25,0)</f>
        <v>1</v>
      </c>
      <c r="Y15" s="10">
        <f>VLOOKUP(A:A,[1]TDSheet!$A:$P,16,0)</f>
        <v>0.2</v>
      </c>
      <c r="Z15" s="10">
        <f>VLOOKUP(A:A,[1]TDSheet!$A:$Z,26,0)</f>
        <v>0</v>
      </c>
      <c r="AA15" s="10">
        <f t="shared" si="5"/>
        <v>0</v>
      </c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</row>
    <row r="16" spans="1:61" ht="21.9" customHeight="1" x14ac:dyDescent="0.2">
      <c r="A16" s="22" t="s">
        <v>16</v>
      </c>
      <c r="B16" s="22" t="s">
        <v>12</v>
      </c>
      <c r="C16" s="23">
        <v>604</v>
      </c>
      <c r="D16" s="23"/>
      <c r="E16" s="23">
        <v>22</v>
      </c>
      <c r="F16" s="23">
        <v>582</v>
      </c>
      <c r="G16" s="24">
        <f>VLOOKUP(A:A,[1]TDSheet!$A:$G,7,0)</f>
        <v>0.372</v>
      </c>
      <c r="H16" s="24">
        <f>VLOOKUP(A:A,[1]TDSheet!$A:$H,8,0)</f>
        <v>180</v>
      </c>
      <c r="I16" s="24">
        <f>VLOOKUP(A:A,[1]TDSheet!$A:$I,9,0)</f>
        <v>6948256</v>
      </c>
      <c r="J16" s="10"/>
      <c r="K16" s="10">
        <f>VLOOKUP(A:A,[2]TDSheet!$A:$B,2,0)</f>
        <v>24</v>
      </c>
      <c r="L16" s="10">
        <f t="shared" si="1"/>
        <v>-2</v>
      </c>
      <c r="M16" s="10"/>
      <c r="N16" s="10"/>
      <c r="O16" s="10">
        <f>VLOOKUP(A:A,[1]TDSheet!$A:$Q,17,0)</f>
        <v>0</v>
      </c>
      <c r="P16" s="10">
        <f t="shared" si="2"/>
        <v>4.4000000000000004</v>
      </c>
      <c r="Q16" s="21"/>
      <c r="R16" s="21"/>
      <c r="S16" s="10"/>
      <c r="T16" s="10">
        <f t="shared" si="3"/>
        <v>132.27272727272725</v>
      </c>
      <c r="U16" s="10">
        <f t="shared" si="4"/>
        <v>132.27272727272725</v>
      </c>
      <c r="V16" s="10">
        <f>VLOOKUP(A:A,[1]TDSheet!$A:$W,23,0)</f>
        <v>19.600000000000001</v>
      </c>
      <c r="W16" s="10">
        <f>VLOOKUP(A:A,[1]TDSheet!$A:$X,24,0)</f>
        <v>10</v>
      </c>
      <c r="X16" s="10">
        <f>VLOOKUP(A:A,[1]TDSheet!$A:$Y,25,0)</f>
        <v>10.6</v>
      </c>
      <c r="Y16" s="10">
        <f>VLOOKUP(A:A,[1]TDSheet!$A:$P,16,0)</f>
        <v>10.4</v>
      </c>
      <c r="Z16" s="10">
        <f>VLOOKUP(A:A,[1]TDSheet!$A:$Z,26,0)</f>
        <v>0</v>
      </c>
      <c r="AA16" s="10">
        <f t="shared" si="5"/>
        <v>0</v>
      </c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</row>
    <row r="17" spans="1:61" ht="21.9" customHeight="1" x14ac:dyDescent="0.2">
      <c r="A17" s="22" t="s">
        <v>17</v>
      </c>
      <c r="B17" s="22" t="s">
        <v>12</v>
      </c>
      <c r="C17" s="23">
        <v>495</v>
      </c>
      <c r="D17" s="23"/>
      <c r="E17" s="23">
        <v>16</v>
      </c>
      <c r="F17" s="23">
        <v>479</v>
      </c>
      <c r="G17" s="24">
        <f>VLOOKUP(A:A,[1]TDSheet!$A:$G,7,0)</f>
        <v>0.74399999999999999</v>
      </c>
      <c r="H17" s="24">
        <f>VLOOKUP(A:A,[1]TDSheet!$A:$H,8,0)</f>
        <v>180</v>
      </c>
      <c r="I17" s="24">
        <f>VLOOKUP(A:A,[1]TDSheet!$A:$I,9,0)</f>
        <v>6948263</v>
      </c>
      <c r="J17" s="10"/>
      <c r="K17" s="10">
        <f>VLOOKUP(A:A,[2]TDSheet!$A:$B,2,0)</f>
        <v>16</v>
      </c>
      <c r="L17" s="10">
        <f t="shared" si="1"/>
        <v>0</v>
      </c>
      <c r="M17" s="10"/>
      <c r="N17" s="10"/>
      <c r="O17" s="10">
        <f>VLOOKUP(A:A,[1]TDSheet!$A:$Q,17,0)</f>
        <v>0</v>
      </c>
      <c r="P17" s="10">
        <f t="shared" si="2"/>
        <v>3.2</v>
      </c>
      <c r="Q17" s="21"/>
      <c r="R17" s="21"/>
      <c r="S17" s="10"/>
      <c r="T17" s="10">
        <f t="shared" si="3"/>
        <v>149.6875</v>
      </c>
      <c r="U17" s="10">
        <f t="shared" si="4"/>
        <v>149.6875</v>
      </c>
      <c r="V17" s="10">
        <f>VLOOKUP(A:A,[1]TDSheet!$A:$W,23,0)</f>
        <v>5</v>
      </c>
      <c r="W17" s="10">
        <f>VLOOKUP(A:A,[1]TDSheet!$A:$X,24,0)</f>
        <v>4</v>
      </c>
      <c r="X17" s="10">
        <f>VLOOKUP(A:A,[1]TDSheet!$A:$Y,25,0)</f>
        <v>4.2</v>
      </c>
      <c r="Y17" s="10">
        <f>VLOOKUP(A:A,[1]TDSheet!$A:$P,16,0)</f>
        <v>2.4</v>
      </c>
      <c r="Z17" s="10" t="str">
        <f>VLOOKUP(A:A,[1]TDSheet!$A:$Z,26,0)</f>
        <v>нужно увеличить продажи!!!</v>
      </c>
      <c r="AA17" s="10">
        <f t="shared" si="5"/>
        <v>0</v>
      </c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</row>
    <row r="18" spans="1:61" ht="21.9" customHeight="1" x14ac:dyDescent="0.2">
      <c r="A18" s="22" t="s">
        <v>18</v>
      </c>
      <c r="B18" s="22" t="s">
        <v>12</v>
      </c>
      <c r="C18" s="23">
        <v>1226</v>
      </c>
      <c r="D18" s="23"/>
      <c r="E18" s="23">
        <v>60</v>
      </c>
      <c r="F18" s="23">
        <v>1166</v>
      </c>
      <c r="G18" s="24">
        <f>VLOOKUP(A:A,[1]TDSheet!$A:$G,7,0)</f>
        <v>0.372</v>
      </c>
      <c r="H18" s="24">
        <f>VLOOKUP(A:A,[1]TDSheet!$A:$H,8,0)</f>
        <v>180</v>
      </c>
      <c r="I18" s="24">
        <f>VLOOKUP(A:A,[1]TDSheet!$A:$I,9,0)</f>
        <v>6948270</v>
      </c>
      <c r="J18" s="10"/>
      <c r="K18" s="10">
        <f>VLOOKUP(A:A,[2]TDSheet!$A:$B,2,0)</f>
        <v>60</v>
      </c>
      <c r="L18" s="10">
        <f t="shared" si="1"/>
        <v>0</v>
      </c>
      <c r="M18" s="10"/>
      <c r="N18" s="10"/>
      <c r="O18" s="10">
        <f>VLOOKUP(A:A,[1]TDSheet!$A:$Q,17,0)</f>
        <v>0</v>
      </c>
      <c r="P18" s="10">
        <f t="shared" si="2"/>
        <v>12</v>
      </c>
      <c r="Q18" s="21"/>
      <c r="R18" s="21"/>
      <c r="S18" s="10"/>
      <c r="T18" s="10">
        <f t="shared" si="3"/>
        <v>97.166666666666671</v>
      </c>
      <c r="U18" s="10">
        <f t="shared" si="4"/>
        <v>97.166666666666671</v>
      </c>
      <c r="V18" s="10">
        <f>VLOOKUP(A:A,[1]TDSheet!$A:$W,23,0)</f>
        <v>60.6</v>
      </c>
      <c r="W18" s="10">
        <f>VLOOKUP(A:A,[1]TDSheet!$A:$X,24,0)</f>
        <v>21.4</v>
      </c>
      <c r="X18" s="10">
        <f>VLOOKUP(A:A,[1]TDSheet!$A:$Y,25,0)</f>
        <v>16.399999999999999</v>
      </c>
      <c r="Y18" s="10">
        <f>VLOOKUP(A:A,[1]TDSheet!$A:$P,16,0)</f>
        <v>17</v>
      </c>
      <c r="Z18" s="10">
        <f>VLOOKUP(A:A,[1]TDSheet!$A:$Z,26,0)</f>
        <v>0</v>
      </c>
      <c r="AA18" s="10">
        <f t="shared" si="5"/>
        <v>0</v>
      </c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</row>
    <row r="19" spans="1:61" ht="21.9" customHeight="1" x14ac:dyDescent="0.2">
      <c r="A19" s="22" t="s">
        <v>19</v>
      </c>
      <c r="B19" s="22" t="s">
        <v>12</v>
      </c>
      <c r="C19" s="23">
        <v>360</v>
      </c>
      <c r="D19" s="23"/>
      <c r="E19" s="23">
        <v>36</v>
      </c>
      <c r="F19" s="23">
        <v>312</v>
      </c>
      <c r="G19" s="24">
        <f>VLOOKUP(A:A,[1]TDSheet!$A:$G,7,0)</f>
        <v>0.74399999999999999</v>
      </c>
      <c r="H19" s="24">
        <f>VLOOKUP(A:A,[1]TDSheet!$A:$H,8,0)</f>
        <v>180</v>
      </c>
      <c r="I19" s="24">
        <f>VLOOKUP(A:A,[1]TDSheet!$A:$I,9,0)</f>
        <v>6948287</v>
      </c>
      <c r="J19" s="10"/>
      <c r="K19" s="10">
        <f>VLOOKUP(A:A,[2]TDSheet!$A:$B,2,0)</f>
        <v>38</v>
      </c>
      <c r="L19" s="10">
        <f t="shared" si="1"/>
        <v>-2</v>
      </c>
      <c r="M19" s="10"/>
      <c r="N19" s="10"/>
      <c r="O19" s="10">
        <f>VLOOKUP(A:A,[1]TDSheet!$A:$Q,17,0)</f>
        <v>0</v>
      </c>
      <c r="P19" s="10">
        <f t="shared" si="2"/>
        <v>7.2</v>
      </c>
      <c r="Q19" s="21"/>
      <c r="R19" s="21"/>
      <c r="S19" s="10"/>
      <c r="T19" s="10">
        <f t="shared" si="3"/>
        <v>43.333333333333336</v>
      </c>
      <c r="U19" s="10">
        <f t="shared" si="4"/>
        <v>43.333333333333336</v>
      </c>
      <c r="V19" s="10">
        <f>VLOOKUP(A:A,[1]TDSheet!$A:$W,23,0)</f>
        <v>13.2</v>
      </c>
      <c r="W19" s="10">
        <f>VLOOKUP(A:A,[1]TDSheet!$A:$X,24,0)</f>
        <v>3.6</v>
      </c>
      <c r="X19" s="10">
        <f>VLOOKUP(A:A,[1]TDSheet!$A:$Y,25,0)</f>
        <v>4.4000000000000004</v>
      </c>
      <c r="Y19" s="10">
        <f>VLOOKUP(A:A,[1]TDSheet!$A:$P,16,0)</f>
        <v>9.6</v>
      </c>
      <c r="Z19" s="10" t="str">
        <f>VLOOKUP(A:A,[1]TDSheet!$A:$Z,26,0)</f>
        <v>нужно увеличить продажи!!!</v>
      </c>
      <c r="AA19" s="10">
        <f t="shared" si="5"/>
        <v>0</v>
      </c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</row>
    <row r="20" spans="1:61" ht="11.1" customHeight="1" x14ac:dyDescent="0.2">
      <c r="A20" s="7" t="s">
        <v>20</v>
      </c>
      <c r="B20" s="7" t="s">
        <v>12</v>
      </c>
      <c r="C20" s="9">
        <v>135</v>
      </c>
      <c r="D20" s="9">
        <v>3</v>
      </c>
      <c r="E20" s="9">
        <v>35</v>
      </c>
      <c r="F20" s="9">
        <v>99</v>
      </c>
      <c r="G20" s="10">
        <f>VLOOKUP(A:A,[1]TDSheet!$A:$G,7,0)</f>
        <v>0.18</v>
      </c>
      <c r="H20" s="10">
        <f>VLOOKUP(A:A,[1]TDSheet!$A:$H,8,0)</f>
        <v>270</v>
      </c>
      <c r="I20" s="10">
        <f>VLOOKUP(A:A,[1]TDSheet!$A:$I,9,0)</f>
        <v>9988438</v>
      </c>
      <c r="J20" s="10"/>
      <c r="K20" s="10">
        <f>VLOOKUP(A:A,[2]TDSheet!$A:$B,2,0)</f>
        <v>39</v>
      </c>
      <c r="L20" s="10">
        <f t="shared" si="1"/>
        <v>-4</v>
      </c>
      <c r="M20" s="10"/>
      <c r="N20" s="10"/>
      <c r="O20" s="10">
        <f>VLOOKUP(A:A,[1]TDSheet!$A:$Q,17,0)</f>
        <v>0</v>
      </c>
      <c r="P20" s="10">
        <f t="shared" si="2"/>
        <v>7</v>
      </c>
      <c r="Q20" s="21"/>
      <c r="R20" s="21"/>
      <c r="S20" s="10"/>
      <c r="T20" s="10">
        <f t="shared" si="3"/>
        <v>14.142857142857142</v>
      </c>
      <c r="U20" s="10">
        <f t="shared" si="4"/>
        <v>14.142857142857142</v>
      </c>
      <c r="V20" s="10">
        <f>VLOOKUP(A:A,[1]TDSheet!$A:$W,23,0)</f>
        <v>7.2</v>
      </c>
      <c r="W20" s="10">
        <f>VLOOKUP(A:A,[1]TDSheet!$A:$X,24,0)</f>
        <v>5.8</v>
      </c>
      <c r="X20" s="10">
        <f>VLOOKUP(A:A,[1]TDSheet!$A:$Y,25,0)</f>
        <v>9.1999999999999993</v>
      </c>
      <c r="Y20" s="10">
        <f>VLOOKUP(A:A,[1]TDSheet!$A:$P,16,0)</f>
        <v>6.4</v>
      </c>
      <c r="Z20" s="10">
        <f>VLOOKUP(A:A,[1]TDSheet!$A:$Z,26,0)</f>
        <v>0</v>
      </c>
      <c r="AA20" s="10">
        <f t="shared" si="5"/>
        <v>0</v>
      </c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</row>
    <row r="21" spans="1:61" ht="11.1" customHeight="1" x14ac:dyDescent="0.2">
      <c r="A21" s="7" t="s">
        <v>21</v>
      </c>
      <c r="B21" s="7" t="s">
        <v>12</v>
      </c>
      <c r="C21" s="9">
        <v>176</v>
      </c>
      <c r="D21" s="9">
        <v>3</v>
      </c>
      <c r="E21" s="9">
        <v>45</v>
      </c>
      <c r="F21" s="9">
        <v>130</v>
      </c>
      <c r="G21" s="10">
        <f>VLOOKUP(A:A,[1]TDSheet!$A:$G,7,0)</f>
        <v>0.18</v>
      </c>
      <c r="H21" s="10">
        <f>VLOOKUP(A:A,[1]TDSheet!$A:$H,8,0)</f>
        <v>270</v>
      </c>
      <c r="I21" s="10">
        <f>VLOOKUP(A:A,[1]TDSheet!$A:$I,9,0)</f>
        <v>9988445</v>
      </c>
      <c r="J21" s="10"/>
      <c r="K21" s="10">
        <f>VLOOKUP(A:A,[2]TDSheet!$A:$B,2,0)</f>
        <v>49</v>
      </c>
      <c r="L21" s="10">
        <f t="shared" si="1"/>
        <v>-4</v>
      </c>
      <c r="M21" s="10"/>
      <c r="N21" s="10"/>
      <c r="O21" s="10">
        <f>VLOOKUP(A:A,[1]TDSheet!$A:$Q,17,0)</f>
        <v>0</v>
      </c>
      <c r="P21" s="10">
        <f t="shared" si="2"/>
        <v>9</v>
      </c>
      <c r="Q21" s="21">
        <f t="shared" ref="Q21:Q49" si="6">P21*20-F21-O21</f>
        <v>50</v>
      </c>
      <c r="R21" s="21"/>
      <c r="S21" s="10"/>
      <c r="T21" s="10">
        <f t="shared" si="3"/>
        <v>20</v>
      </c>
      <c r="U21" s="10">
        <f t="shared" si="4"/>
        <v>14.444444444444445</v>
      </c>
      <c r="V21" s="10">
        <f>VLOOKUP(A:A,[1]TDSheet!$A:$W,23,0)</f>
        <v>7.6</v>
      </c>
      <c r="W21" s="10">
        <f>VLOOKUP(A:A,[1]TDSheet!$A:$X,24,0)</f>
        <v>6.8</v>
      </c>
      <c r="X21" s="10">
        <f>VLOOKUP(A:A,[1]TDSheet!$A:$Y,25,0)</f>
        <v>7.8</v>
      </c>
      <c r="Y21" s="10">
        <f>VLOOKUP(A:A,[1]TDSheet!$A:$P,16,0)</f>
        <v>5.8</v>
      </c>
      <c r="Z21" s="10">
        <f>VLOOKUP(A:A,[1]TDSheet!$A:$Z,26,0)</f>
        <v>0</v>
      </c>
      <c r="AA21" s="10">
        <f t="shared" si="5"/>
        <v>9</v>
      </c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</row>
    <row r="22" spans="1:61" ht="11.1" customHeight="1" x14ac:dyDescent="0.2">
      <c r="A22" s="7" t="s">
        <v>22</v>
      </c>
      <c r="B22" s="7" t="s">
        <v>12</v>
      </c>
      <c r="C22" s="9">
        <v>938</v>
      </c>
      <c r="D22" s="9">
        <v>100</v>
      </c>
      <c r="E22" s="9">
        <v>295</v>
      </c>
      <c r="F22" s="9">
        <v>738</v>
      </c>
      <c r="G22" s="10">
        <f>VLOOKUP(A:A,[1]TDSheet!$A:$G,7,0)</f>
        <v>0.18</v>
      </c>
      <c r="H22" s="10">
        <f>VLOOKUP(A:A,[1]TDSheet!$A:$H,8,0)</f>
        <v>120</v>
      </c>
      <c r="I22" s="10">
        <f>VLOOKUP(A:A,[1]TDSheet!$A:$I,9,0)</f>
        <v>1018967</v>
      </c>
      <c r="J22" s="10"/>
      <c r="K22" s="10">
        <f>VLOOKUP(A:A,[2]TDSheet!$A:$B,2,0)</f>
        <v>301</v>
      </c>
      <c r="L22" s="10">
        <f t="shared" si="1"/>
        <v>-6</v>
      </c>
      <c r="M22" s="10"/>
      <c r="N22" s="10"/>
      <c r="O22" s="10">
        <f>VLOOKUP(A:A,[1]TDSheet!$A:$Q,17,0)</f>
        <v>0</v>
      </c>
      <c r="P22" s="10">
        <f t="shared" si="2"/>
        <v>59</v>
      </c>
      <c r="Q22" s="21">
        <f t="shared" si="6"/>
        <v>442</v>
      </c>
      <c r="R22" s="21">
        <v>200</v>
      </c>
      <c r="S22" s="10"/>
      <c r="T22" s="10">
        <f t="shared" si="3"/>
        <v>20</v>
      </c>
      <c r="U22" s="10">
        <f t="shared" si="4"/>
        <v>12.508474576271187</v>
      </c>
      <c r="V22" s="10">
        <f>VLOOKUP(A:A,[1]TDSheet!$A:$W,23,0)</f>
        <v>33.200000000000003</v>
      </c>
      <c r="W22" s="10">
        <f>VLOOKUP(A:A,[1]TDSheet!$A:$X,24,0)</f>
        <v>64.8</v>
      </c>
      <c r="X22" s="10">
        <f>VLOOKUP(A:A,[1]TDSheet!$A:$Y,25,0)</f>
        <v>34.799999999999997</v>
      </c>
      <c r="Y22" s="10">
        <f>VLOOKUP(A:A,[1]TDSheet!$A:$P,16,0)</f>
        <v>34.6</v>
      </c>
      <c r="Z22" s="10" t="str">
        <f>VLOOKUP(A:A,[1]TDSheet!$A:$Z,26,0)</f>
        <v>ЮгТех</v>
      </c>
      <c r="AA22" s="10">
        <f t="shared" si="5"/>
        <v>79.56</v>
      </c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</row>
    <row r="23" spans="1:61" ht="11.1" customHeight="1" x14ac:dyDescent="0.2">
      <c r="A23" s="7" t="s">
        <v>23</v>
      </c>
      <c r="B23" s="7" t="s">
        <v>12</v>
      </c>
      <c r="C23" s="9">
        <v>584</v>
      </c>
      <c r="D23" s="9"/>
      <c r="E23" s="9">
        <v>143</v>
      </c>
      <c r="F23" s="9">
        <v>437</v>
      </c>
      <c r="G23" s="10">
        <f>VLOOKUP(A:A,[1]TDSheet!$A:$G,7,0)</f>
        <v>0.18</v>
      </c>
      <c r="H23" s="10">
        <f>VLOOKUP(A:A,[1]TDSheet!$A:$H,8,0)</f>
        <v>120</v>
      </c>
      <c r="I23" s="10">
        <f>VLOOKUP(A:A,[1]TDSheet!$A:$I,9,0)</f>
        <v>1018950</v>
      </c>
      <c r="J23" s="10"/>
      <c r="K23" s="10">
        <f>VLOOKUP(A:A,[2]TDSheet!$A:$B,2,0)</f>
        <v>150</v>
      </c>
      <c r="L23" s="10">
        <f t="shared" si="1"/>
        <v>-7</v>
      </c>
      <c r="M23" s="10"/>
      <c r="N23" s="10"/>
      <c r="O23" s="10">
        <f>VLOOKUP(A:A,[1]TDSheet!$A:$Q,17,0)</f>
        <v>0</v>
      </c>
      <c r="P23" s="10">
        <f t="shared" si="2"/>
        <v>28.6</v>
      </c>
      <c r="Q23" s="21">
        <f t="shared" si="6"/>
        <v>135</v>
      </c>
      <c r="R23" s="21">
        <v>0</v>
      </c>
      <c r="S23" s="10"/>
      <c r="T23" s="10">
        <f t="shared" si="3"/>
        <v>20</v>
      </c>
      <c r="U23" s="10">
        <f t="shared" si="4"/>
        <v>15.279720279720278</v>
      </c>
      <c r="V23" s="10">
        <f>VLOOKUP(A:A,[1]TDSheet!$A:$W,23,0)</f>
        <v>28.8</v>
      </c>
      <c r="W23" s="10">
        <f>VLOOKUP(A:A,[1]TDSheet!$A:$X,24,0)</f>
        <v>37</v>
      </c>
      <c r="X23" s="10">
        <f>VLOOKUP(A:A,[1]TDSheet!$A:$Y,25,0)</f>
        <v>10.4</v>
      </c>
      <c r="Y23" s="10">
        <f>VLOOKUP(A:A,[1]TDSheet!$A:$P,16,0)</f>
        <v>11.4</v>
      </c>
      <c r="Z23" s="10" t="str">
        <f>VLOOKUP(A:A,[1]TDSheet!$A:$Z,26,0)</f>
        <v>ЮгТех</v>
      </c>
      <c r="AA23" s="10">
        <f t="shared" si="5"/>
        <v>24.3</v>
      </c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</row>
    <row r="24" spans="1:61" ht="21.9" customHeight="1" x14ac:dyDescent="0.2">
      <c r="A24" s="7" t="s">
        <v>24</v>
      </c>
      <c r="B24" s="7" t="s">
        <v>12</v>
      </c>
      <c r="C24" s="9">
        <v>76</v>
      </c>
      <c r="D24" s="9"/>
      <c r="E24" s="9">
        <v>8</v>
      </c>
      <c r="F24" s="9">
        <v>68</v>
      </c>
      <c r="G24" s="10">
        <f>VLOOKUP(A:A,[1]TDSheet!$A:$G,7,0)</f>
        <v>0.4</v>
      </c>
      <c r="H24" s="10">
        <f>VLOOKUP(A:A,[1]TDSheet!$A:$H,8,0)</f>
        <v>270</v>
      </c>
      <c r="I24" s="10">
        <f>VLOOKUP(A:A,[1]TDSheet!$A:$I,9,0)</f>
        <v>9988476</v>
      </c>
      <c r="J24" s="10"/>
      <c r="K24" s="10">
        <f>VLOOKUP(A:A,[2]TDSheet!$A:$B,2,0)</f>
        <v>8</v>
      </c>
      <c r="L24" s="10">
        <f t="shared" si="1"/>
        <v>0</v>
      </c>
      <c r="M24" s="10"/>
      <c r="N24" s="10"/>
      <c r="O24" s="10">
        <f>VLOOKUP(A:A,[1]TDSheet!$A:$Q,17,0)</f>
        <v>0</v>
      </c>
      <c r="P24" s="10">
        <f t="shared" si="2"/>
        <v>1.6</v>
      </c>
      <c r="Q24" s="21"/>
      <c r="R24" s="21"/>
      <c r="S24" s="10"/>
      <c r="T24" s="10">
        <f t="shared" si="3"/>
        <v>42.5</v>
      </c>
      <c r="U24" s="10">
        <f t="shared" si="4"/>
        <v>42.5</v>
      </c>
      <c r="V24" s="10">
        <f>VLOOKUP(A:A,[1]TDSheet!$A:$W,23,0)</f>
        <v>0.6</v>
      </c>
      <c r="W24" s="10">
        <f>VLOOKUP(A:A,[1]TDSheet!$A:$X,24,0)</f>
        <v>2.2000000000000002</v>
      </c>
      <c r="X24" s="10">
        <f>VLOOKUP(A:A,[1]TDSheet!$A:$Y,25,0)</f>
        <v>0.2</v>
      </c>
      <c r="Y24" s="10">
        <f>VLOOKUP(A:A,[1]TDSheet!$A:$P,16,0)</f>
        <v>1</v>
      </c>
      <c r="Z24" s="10" t="str">
        <f>VLOOKUP(A:A,[1]TDSheet!$A:$Z,26,0)</f>
        <v>увел продажи</v>
      </c>
      <c r="AA24" s="10">
        <f t="shared" si="5"/>
        <v>0</v>
      </c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</row>
    <row r="25" spans="1:61" ht="11.1" customHeight="1" x14ac:dyDescent="0.2">
      <c r="A25" s="22" t="s">
        <v>25</v>
      </c>
      <c r="B25" s="22" t="s">
        <v>12</v>
      </c>
      <c r="C25" s="23">
        <v>52</v>
      </c>
      <c r="D25" s="23"/>
      <c r="E25" s="23">
        <v>1</v>
      </c>
      <c r="F25" s="23">
        <v>49</v>
      </c>
      <c r="G25" s="24">
        <f>VLOOKUP(A:A,[1]TDSheet!$A:$G,7,0)</f>
        <v>0.4</v>
      </c>
      <c r="H25" s="24">
        <f>VLOOKUP(A:A,[1]TDSheet!$A:$H,8,0)</f>
        <v>270</v>
      </c>
      <c r="I25" s="24">
        <f>VLOOKUP(A:A,[1]TDSheet!$A:$I,9,0)</f>
        <v>9988452</v>
      </c>
      <c r="J25" s="10"/>
      <c r="K25" s="10">
        <f>VLOOKUP(A:A,[2]TDSheet!$A:$B,2,0)</f>
        <v>3</v>
      </c>
      <c r="L25" s="10">
        <f t="shared" si="1"/>
        <v>-2</v>
      </c>
      <c r="M25" s="10"/>
      <c r="N25" s="10"/>
      <c r="O25" s="10">
        <f>VLOOKUP(A:A,[1]TDSheet!$A:$Q,17,0)</f>
        <v>0</v>
      </c>
      <c r="P25" s="10">
        <f t="shared" si="2"/>
        <v>0.2</v>
      </c>
      <c r="Q25" s="21"/>
      <c r="R25" s="21"/>
      <c r="S25" s="10"/>
      <c r="T25" s="10">
        <f t="shared" si="3"/>
        <v>245</v>
      </c>
      <c r="U25" s="10">
        <f t="shared" si="4"/>
        <v>245</v>
      </c>
      <c r="V25" s="10">
        <f>VLOOKUP(A:A,[1]TDSheet!$A:$W,23,0)</f>
        <v>3.2</v>
      </c>
      <c r="W25" s="10">
        <f>VLOOKUP(A:A,[1]TDSheet!$A:$X,24,0)</f>
        <v>0.8</v>
      </c>
      <c r="X25" s="10">
        <f>VLOOKUP(A:A,[1]TDSheet!$A:$Y,25,0)</f>
        <v>2</v>
      </c>
      <c r="Y25" s="10">
        <f>VLOOKUP(A:A,[1]TDSheet!$A:$P,16,0)</f>
        <v>1.6</v>
      </c>
      <c r="Z25" s="10" t="str">
        <f>VLOOKUP(A:A,[1]TDSheet!$A:$Z,26,0)</f>
        <v>нужно увеличить продажи / 29,09,25 завод не отгрузит</v>
      </c>
      <c r="AA25" s="10">
        <f t="shared" si="5"/>
        <v>0</v>
      </c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</row>
    <row r="26" spans="1:61" ht="11.1" customHeight="1" x14ac:dyDescent="0.2">
      <c r="A26" s="7" t="s">
        <v>26</v>
      </c>
      <c r="B26" s="7" t="s">
        <v>12</v>
      </c>
      <c r="C26" s="9">
        <v>50</v>
      </c>
      <c r="D26" s="9">
        <v>182</v>
      </c>
      <c r="E26" s="9">
        <v>27</v>
      </c>
      <c r="F26" s="9">
        <v>202</v>
      </c>
      <c r="G26" s="10">
        <f>VLOOKUP(A:A,[1]TDSheet!$A:$G,7,0)</f>
        <v>0.18</v>
      </c>
      <c r="H26" s="10">
        <f>VLOOKUP(A:A,[1]TDSheet!$A:$H,8,0)</f>
        <v>150</v>
      </c>
      <c r="I26" s="10">
        <f>VLOOKUP(A:A,[1]TDSheet!$A:$I,9,0)</f>
        <v>5034819</v>
      </c>
      <c r="J26" s="10"/>
      <c r="K26" s="10">
        <f>VLOOKUP(A:A,[2]TDSheet!$A:$B,2,0)</f>
        <v>81</v>
      </c>
      <c r="L26" s="10">
        <f t="shared" si="1"/>
        <v>-54</v>
      </c>
      <c r="M26" s="10"/>
      <c r="N26" s="10"/>
      <c r="O26" s="10">
        <f>VLOOKUP(A:A,[1]TDSheet!$A:$Q,17,0)</f>
        <v>0</v>
      </c>
      <c r="P26" s="10">
        <f t="shared" si="2"/>
        <v>5.4</v>
      </c>
      <c r="Q26" s="21"/>
      <c r="R26" s="21"/>
      <c r="S26" s="10"/>
      <c r="T26" s="10">
        <f t="shared" si="3"/>
        <v>37.407407407407405</v>
      </c>
      <c r="U26" s="10">
        <f t="shared" si="4"/>
        <v>37.407407407407405</v>
      </c>
      <c r="V26" s="10">
        <f>VLOOKUP(A:A,[1]TDSheet!$A:$W,23,0)</f>
        <v>3.8</v>
      </c>
      <c r="W26" s="10">
        <f>VLOOKUP(A:A,[1]TDSheet!$A:$X,24,0)</f>
        <v>5.4</v>
      </c>
      <c r="X26" s="10">
        <f>VLOOKUP(A:A,[1]TDSheet!$A:$Y,25,0)</f>
        <v>13.8</v>
      </c>
      <c r="Y26" s="10">
        <f>VLOOKUP(A:A,[1]TDSheet!$A:$P,16,0)</f>
        <v>8.4</v>
      </c>
      <c r="Z26" s="10" t="str">
        <f>VLOOKUP(A:A,[1]TDSheet!$A:$Z,26,0)</f>
        <v>остаток?</v>
      </c>
      <c r="AA26" s="10">
        <f t="shared" si="5"/>
        <v>0</v>
      </c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</row>
    <row r="27" spans="1:61" ht="11.1" customHeight="1" x14ac:dyDescent="0.2">
      <c r="A27" s="7" t="s">
        <v>27</v>
      </c>
      <c r="B27" s="7" t="s">
        <v>12</v>
      </c>
      <c r="C27" s="9">
        <v>252</v>
      </c>
      <c r="D27" s="9">
        <v>80</v>
      </c>
      <c r="E27" s="9">
        <v>98</v>
      </c>
      <c r="F27" s="9">
        <v>226</v>
      </c>
      <c r="G27" s="10">
        <f>VLOOKUP(A:A,[1]TDSheet!$A:$G,7,0)</f>
        <v>0.1</v>
      </c>
      <c r="H27" s="10">
        <f>VLOOKUP(A:A,[1]TDSheet!$A:$H,8,0)</f>
        <v>90</v>
      </c>
      <c r="I27" s="10">
        <f>VLOOKUP(A:A,[1]TDSheet!$A:$I,9,0)</f>
        <v>8444163</v>
      </c>
      <c r="J27" s="10"/>
      <c r="K27" s="10">
        <f>VLOOKUP(A:A,[2]TDSheet!$A:$B,2,0)</f>
        <v>1</v>
      </c>
      <c r="L27" s="10">
        <f t="shared" si="1"/>
        <v>97</v>
      </c>
      <c r="M27" s="10"/>
      <c r="N27" s="10"/>
      <c r="O27" s="10">
        <f>VLOOKUP(A:A,[1]TDSheet!$A:$Q,17,0)</f>
        <v>130</v>
      </c>
      <c r="P27" s="10">
        <f t="shared" si="2"/>
        <v>19.600000000000001</v>
      </c>
      <c r="Q27" s="21"/>
      <c r="R27" s="21"/>
      <c r="S27" s="10"/>
      <c r="T27" s="10">
        <f t="shared" si="3"/>
        <v>18.163265306122447</v>
      </c>
      <c r="U27" s="10">
        <f t="shared" si="4"/>
        <v>11.530612244897958</v>
      </c>
      <c r="V27" s="10">
        <f>VLOOKUP(A:A,[1]TDSheet!$A:$W,23,0)</f>
        <v>7.4</v>
      </c>
      <c r="W27" s="10">
        <f>VLOOKUP(A:A,[1]TDSheet!$A:$X,24,0)</f>
        <v>20.399999999999999</v>
      </c>
      <c r="X27" s="10">
        <f>VLOOKUP(A:A,[1]TDSheet!$A:$Y,25,0)</f>
        <v>20</v>
      </c>
      <c r="Y27" s="10">
        <f>VLOOKUP(A:A,[1]TDSheet!$A:$P,16,0)</f>
        <v>23.2</v>
      </c>
      <c r="Z27" s="10">
        <f>VLOOKUP(A:A,[1]TDSheet!$A:$Z,26,0)</f>
        <v>0</v>
      </c>
      <c r="AA27" s="10">
        <f t="shared" si="5"/>
        <v>0</v>
      </c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</row>
    <row r="28" spans="1:61" ht="11.1" customHeight="1" x14ac:dyDescent="0.2">
      <c r="A28" s="7" t="s">
        <v>28</v>
      </c>
      <c r="B28" s="7" t="s">
        <v>12</v>
      </c>
      <c r="C28" s="9">
        <v>225</v>
      </c>
      <c r="D28" s="9"/>
      <c r="E28" s="9">
        <v>110</v>
      </c>
      <c r="F28" s="9">
        <v>113</v>
      </c>
      <c r="G28" s="10">
        <f>VLOOKUP(A:A,[1]TDSheet!$A:$G,7,0)</f>
        <v>0.1</v>
      </c>
      <c r="H28" s="10" t="e">
        <f>VLOOKUP(A:A,[1]TDSheet!$A:$H,8,0)</f>
        <v>#N/A</v>
      </c>
      <c r="I28" s="10">
        <f>VLOOKUP(A:A,[1]TDSheet!$A:$I,9,0)</f>
        <v>8445160</v>
      </c>
      <c r="J28" s="10"/>
      <c r="K28" s="10">
        <f>VLOOKUP(A:A,[2]TDSheet!$A:$B,2,0)</f>
        <v>112</v>
      </c>
      <c r="L28" s="10">
        <f t="shared" si="1"/>
        <v>-2</v>
      </c>
      <c r="M28" s="10"/>
      <c r="N28" s="10"/>
      <c r="O28" s="10">
        <f>VLOOKUP(A:A,[1]TDSheet!$A:$Q,17,0)</f>
        <v>0</v>
      </c>
      <c r="P28" s="10">
        <f t="shared" si="2"/>
        <v>22</v>
      </c>
      <c r="Q28" s="21">
        <f t="shared" si="6"/>
        <v>327</v>
      </c>
      <c r="R28" s="21">
        <v>200</v>
      </c>
      <c r="S28" s="10"/>
      <c r="T28" s="10">
        <f t="shared" si="3"/>
        <v>20</v>
      </c>
      <c r="U28" s="10">
        <f t="shared" si="4"/>
        <v>5.1363636363636367</v>
      </c>
      <c r="V28" s="10">
        <f>VLOOKUP(A:A,[1]TDSheet!$A:$W,23,0)</f>
        <v>7.8</v>
      </c>
      <c r="W28" s="10">
        <f>VLOOKUP(A:A,[1]TDSheet!$A:$X,24,0)</f>
        <v>12.8</v>
      </c>
      <c r="X28" s="10">
        <f>VLOOKUP(A:A,[1]TDSheet!$A:$Y,25,0)</f>
        <v>10.8</v>
      </c>
      <c r="Y28" s="10">
        <f>VLOOKUP(A:A,[1]TDSheet!$A:$P,16,0)</f>
        <v>12</v>
      </c>
      <c r="Z28" s="10">
        <f>VLOOKUP(A:A,[1]TDSheet!$A:$Z,26,0)</f>
        <v>0</v>
      </c>
      <c r="AA28" s="10">
        <f t="shared" si="5"/>
        <v>32.700000000000003</v>
      </c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</row>
    <row r="29" spans="1:61" ht="11.1" customHeight="1" x14ac:dyDescent="0.2">
      <c r="A29" s="7" t="s">
        <v>29</v>
      </c>
      <c r="B29" s="7" t="s">
        <v>12</v>
      </c>
      <c r="C29" s="9">
        <v>137</v>
      </c>
      <c r="D29" s="9">
        <v>80</v>
      </c>
      <c r="E29" s="9">
        <v>95</v>
      </c>
      <c r="F29" s="9">
        <v>122</v>
      </c>
      <c r="G29" s="10">
        <f>VLOOKUP(A:A,[1]TDSheet!$A:$G,7,0)</f>
        <v>0.1</v>
      </c>
      <c r="H29" s="10" t="e">
        <f>VLOOKUP(A:A,[1]TDSheet!$A:$H,8,0)</f>
        <v>#N/A</v>
      </c>
      <c r="I29" s="10">
        <f>VLOOKUP(A:A,[1]TDSheet!$A:$I,9,0)</f>
        <v>8445177</v>
      </c>
      <c r="J29" s="10"/>
      <c r="K29" s="10">
        <f>VLOOKUP(A:A,[2]TDSheet!$A:$B,2,0)</f>
        <v>95</v>
      </c>
      <c r="L29" s="10">
        <f t="shared" si="1"/>
        <v>0</v>
      </c>
      <c r="M29" s="10"/>
      <c r="N29" s="10"/>
      <c r="O29" s="10">
        <f>VLOOKUP(A:A,[1]TDSheet!$A:$Q,17,0)</f>
        <v>0</v>
      </c>
      <c r="P29" s="10">
        <f t="shared" si="2"/>
        <v>19</v>
      </c>
      <c r="Q29" s="21">
        <f t="shared" si="6"/>
        <v>258</v>
      </c>
      <c r="R29" s="21">
        <v>200</v>
      </c>
      <c r="S29" s="10"/>
      <c r="T29" s="10">
        <f t="shared" si="3"/>
        <v>20</v>
      </c>
      <c r="U29" s="10">
        <f t="shared" si="4"/>
        <v>6.4210526315789478</v>
      </c>
      <c r="V29" s="10">
        <f>VLOOKUP(A:A,[1]TDSheet!$A:$W,23,0)</f>
        <v>15.4</v>
      </c>
      <c r="W29" s="10">
        <f>VLOOKUP(A:A,[1]TDSheet!$A:$X,24,0)</f>
        <v>9.8000000000000007</v>
      </c>
      <c r="X29" s="10">
        <f>VLOOKUP(A:A,[1]TDSheet!$A:$Y,25,0)</f>
        <v>10</v>
      </c>
      <c r="Y29" s="10">
        <f>VLOOKUP(A:A,[1]TDSheet!$A:$P,16,0)</f>
        <v>12.8</v>
      </c>
      <c r="Z29" s="10">
        <f>VLOOKUP(A:A,[1]TDSheet!$A:$Z,26,0)</f>
        <v>0</v>
      </c>
      <c r="AA29" s="10">
        <f t="shared" si="5"/>
        <v>25.8</v>
      </c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</row>
    <row r="30" spans="1:61" ht="11.1" customHeight="1" x14ac:dyDescent="0.2">
      <c r="A30" s="7" t="s">
        <v>30</v>
      </c>
      <c r="B30" s="7" t="s">
        <v>12</v>
      </c>
      <c r="C30" s="9">
        <v>221</v>
      </c>
      <c r="D30" s="9">
        <v>3</v>
      </c>
      <c r="E30" s="9">
        <v>95</v>
      </c>
      <c r="F30" s="9">
        <v>126</v>
      </c>
      <c r="G30" s="10">
        <f>VLOOKUP(A:A,[1]TDSheet!$A:$G,7,0)</f>
        <v>0.18</v>
      </c>
      <c r="H30" s="10">
        <f>VLOOKUP(A:A,[1]TDSheet!$A:$H,8,0)</f>
        <v>150</v>
      </c>
      <c r="I30" s="10">
        <f>VLOOKUP(A:A,[1]TDSheet!$A:$I,9,0)</f>
        <v>5038411</v>
      </c>
      <c r="J30" s="10"/>
      <c r="K30" s="10">
        <f>VLOOKUP(A:A,[2]TDSheet!$A:$B,2,0)</f>
        <v>105</v>
      </c>
      <c r="L30" s="10">
        <f t="shared" si="1"/>
        <v>-10</v>
      </c>
      <c r="M30" s="10"/>
      <c r="N30" s="10"/>
      <c r="O30" s="10">
        <f>VLOOKUP(A:A,[1]TDSheet!$A:$Q,17,0)</f>
        <v>100</v>
      </c>
      <c r="P30" s="10">
        <f t="shared" si="2"/>
        <v>19</v>
      </c>
      <c r="Q30" s="21">
        <f t="shared" si="6"/>
        <v>154</v>
      </c>
      <c r="R30" s="21">
        <v>54</v>
      </c>
      <c r="S30" s="10"/>
      <c r="T30" s="10">
        <f t="shared" si="3"/>
        <v>20</v>
      </c>
      <c r="U30" s="10">
        <f t="shared" si="4"/>
        <v>6.6315789473684212</v>
      </c>
      <c r="V30" s="10">
        <f>VLOOKUP(A:A,[1]TDSheet!$A:$W,23,0)</f>
        <v>11.6</v>
      </c>
      <c r="W30" s="10">
        <f>VLOOKUP(A:A,[1]TDSheet!$A:$X,24,0)</f>
        <v>15.8</v>
      </c>
      <c r="X30" s="10">
        <f>VLOOKUP(A:A,[1]TDSheet!$A:$Y,25,0)</f>
        <v>11.8</v>
      </c>
      <c r="Y30" s="10">
        <f>VLOOKUP(A:A,[1]TDSheet!$A:$P,16,0)</f>
        <v>12.2</v>
      </c>
      <c r="Z30" s="10" t="str">
        <f>VLOOKUP(A:A,[1]TDSheet!$A:$Z,26,0)</f>
        <v>нужно увеличить продажи</v>
      </c>
      <c r="AA30" s="10">
        <f t="shared" si="5"/>
        <v>27.72</v>
      </c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</row>
    <row r="31" spans="1:61" ht="11.1" customHeight="1" x14ac:dyDescent="0.2">
      <c r="A31" s="7" t="s">
        <v>31</v>
      </c>
      <c r="B31" s="7" t="s">
        <v>12</v>
      </c>
      <c r="C31" s="9">
        <v>350</v>
      </c>
      <c r="D31" s="9">
        <v>287</v>
      </c>
      <c r="E31" s="9">
        <v>323</v>
      </c>
      <c r="F31" s="9">
        <v>297</v>
      </c>
      <c r="G31" s="10">
        <f>VLOOKUP(A:A,[1]TDSheet!$A:$G,7,0)</f>
        <v>0.18</v>
      </c>
      <c r="H31" s="10">
        <f>VLOOKUP(A:A,[1]TDSheet!$A:$H,8,0)</f>
        <v>150</v>
      </c>
      <c r="I31" s="10">
        <f>VLOOKUP(A:A,[1]TDSheet!$A:$I,9,0)</f>
        <v>5038459</v>
      </c>
      <c r="J31" s="10"/>
      <c r="K31" s="10">
        <f>VLOOKUP(A:A,[2]TDSheet!$A:$B,2,0)</f>
        <v>342</v>
      </c>
      <c r="L31" s="10">
        <f t="shared" si="1"/>
        <v>-19</v>
      </c>
      <c r="M31" s="10"/>
      <c r="N31" s="10"/>
      <c r="O31" s="10">
        <f>VLOOKUP(A:A,[1]TDSheet!$A:$Q,17,0)</f>
        <v>0</v>
      </c>
      <c r="P31" s="10">
        <f t="shared" si="2"/>
        <v>64.599999999999994</v>
      </c>
      <c r="Q31" s="21">
        <f t="shared" si="6"/>
        <v>995</v>
      </c>
      <c r="R31" s="21">
        <v>495</v>
      </c>
      <c r="S31" s="10"/>
      <c r="T31" s="10">
        <f t="shared" si="3"/>
        <v>20</v>
      </c>
      <c r="U31" s="10">
        <f t="shared" si="4"/>
        <v>4.5975232198142422</v>
      </c>
      <c r="V31" s="10">
        <f>VLOOKUP(A:A,[1]TDSheet!$A:$W,23,0)</f>
        <v>15.6</v>
      </c>
      <c r="W31" s="10">
        <f>VLOOKUP(A:A,[1]TDSheet!$A:$X,24,0)</f>
        <v>32.200000000000003</v>
      </c>
      <c r="X31" s="10">
        <f>VLOOKUP(A:A,[1]TDSheet!$A:$Y,25,0)</f>
        <v>37.799999999999997</v>
      </c>
      <c r="Y31" s="10">
        <f>VLOOKUP(A:A,[1]TDSheet!$A:$P,16,0)</f>
        <v>25.4</v>
      </c>
      <c r="Z31" s="10" t="str">
        <f>VLOOKUP(A:A,[1]TDSheet!$A:$Z,26,0)</f>
        <v>ЮгТех</v>
      </c>
      <c r="AA31" s="10">
        <f t="shared" si="5"/>
        <v>179.1</v>
      </c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</row>
    <row r="32" spans="1:61" ht="11.1" customHeight="1" x14ac:dyDescent="0.2">
      <c r="A32" s="22" t="s">
        <v>32</v>
      </c>
      <c r="B32" s="22" t="s">
        <v>12</v>
      </c>
      <c r="C32" s="23">
        <v>219</v>
      </c>
      <c r="D32" s="23">
        <v>50</v>
      </c>
      <c r="E32" s="23">
        <v>17</v>
      </c>
      <c r="F32" s="23">
        <v>252</v>
      </c>
      <c r="G32" s="24">
        <f>VLOOKUP(A:A,[1]TDSheet!$A:$G,7,0)</f>
        <v>0.18</v>
      </c>
      <c r="H32" s="24">
        <f>VLOOKUP(A:A,[1]TDSheet!$A:$H,8,0)</f>
        <v>150</v>
      </c>
      <c r="I32" s="24">
        <f>VLOOKUP(A:A,[1]TDSheet!$A:$I,9,0)</f>
        <v>5038831</v>
      </c>
      <c r="J32" s="10"/>
      <c r="K32" s="10">
        <f>VLOOKUP(A:A,[2]TDSheet!$A:$B,2,0)</f>
        <v>2</v>
      </c>
      <c r="L32" s="10">
        <f t="shared" si="1"/>
        <v>15</v>
      </c>
      <c r="M32" s="10"/>
      <c r="N32" s="10"/>
      <c r="O32" s="10">
        <f>VLOOKUP(A:A,[1]TDSheet!$A:$Q,17,0)</f>
        <v>250</v>
      </c>
      <c r="P32" s="10">
        <f t="shared" si="2"/>
        <v>3.4</v>
      </c>
      <c r="Q32" s="21"/>
      <c r="R32" s="21"/>
      <c r="S32" s="10"/>
      <c r="T32" s="10">
        <f t="shared" si="3"/>
        <v>147.64705882352942</v>
      </c>
      <c r="U32" s="10">
        <f t="shared" si="4"/>
        <v>74.117647058823536</v>
      </c>
      <c r="V32" s="10">
        <f>VLOOKUP(A:A,[1]TDSheet!$A:$W,23,0)</f>
        <v>6</v>
      </c>
      <c r="W32" s="10">
        <f>VLOOKUP(A:A,[1]TDSheet!$A:$X,24,0)</f>
        <v>11.2</v>
      </c>
      <c r="X32" s="10">
        <f>VLOOKUP(A:A,[1]TDSheet!$A:$Y,25,0)</f>
        <v>0.2</v>
      </c>
      <c r="Y32" s="10">
        <f>VLOOKUP(A:A,[1]TDSheet!$A:$P,16,0)</f>
        <v>0.2</v>
      </c>
      <c r="Z32" s="10" t="str">
        <f>VLOOKUP(A:A,[1]TDSheet!$A:$Z,26,0)</f>
        <v>ЮгТех / 14,06,25 в уценку 30шт.</v>
      </c>
      <c r="AA32" s="10">
        <f t="shared" si="5"/>
        <v>0</v>
      </c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</row>
    <row r="33" spans="1:61" ht="11.1" customHeight="1" x14ac:dyDescent="0.2">
      <c r="A33" s="22" t="s">
        <v>33</v>
      </c>
      <c r="B33" s="22" t="s">
        <v>12</v>
      </c>
      <c r="C33" s="23">
        <v>106</v>
      </c>
      <c r="D33" s="23">
        <v>30</v>
      </c>
      <c r="E33" s="23">
        <v>7</v>
      </c>
      <c r="F33" s="23">
        <v>128</v>
      </c>
      <c r="G33" s="24">
        <f>VLOOKUP(A:A,[1]TDSheet!$A:$G,7,0)</f>
        <v>0.18</v>
      </c>
      <c r="H33" s="24">
        <f>VLOOKUP(A:A,[1]TDSheet!$A:$H,8,0)</f>
        <v>120</v>
      </c>
      <c r="I33" s="24">
        <f>VLOOKUP(A:A,[1]TDSheet!$A:$I,9,0)</f>
        <v>5038855</v>
      </c>
      <c r="J33" s="10"/>
      <c r="K33" s="10">
        <f>VLOOKUP(A:A,[2]TDSheet!$A:$B,2,0)</f>
        <v>2</v>
      </c>
      <c r="L33" s="10">
        <f t="shared" si="1"/>
        <v>5</v>
      </c>
      <c r="M33" s="10"/>
      <c r="N33" s="10"/>
      <c r="O33" s="10">
        <f>VLOOKUP(A:A,[1]TDSheet!$A:$Q,17,0)</f>
        <v>0</v>
      </c>
      <c r="P33" s="10">
        <f t="shared" si="2"/>
        <v>1.4</v>
      </c>
      <c r="Q33" s="21"/>
      <c r="R33" s="21"/>
      <c r="S33" s="10"/>
      <c r="T33" s="10">
        <f t="shared" si="3"/>
        <v>91.428571428571431</v>
      </c>
      <c r="U33" s="10">
        <f t="shared" si="4"/>
        <v>91.428571428571431</v>
      </c>
      <c r="V33" s="10">
        <f>VLOOKUP(A:A,[1]TDSheet!$A:$W,23,0)</f>
        <v>4.4000000000000004</v>
      </c>
      <c r="W33" s="10">
        <f>VLOOKUP(A:A,[1]TDSheet!$A:$X,24,0)</f>
        <v>4</v>
      </c>
      <c r="X33" s="10">
        <f>VLOOKUP(A:A,[1]TDSheet!$A:$Y,25,0)</f>
        <v>5.4</v>
      </c>
      <c r="Y33" s="10">
        <f>VLOOKUP(A:A,[1]TDSheet!$A:$P,16,0)</f>
        <v>1.8</v>
      </c>
      <c r="Z33" s="10">
        <f>VLOOKUP(A:A,[1]TDSheet!$A:$Z,26,0)</f>
        <v>0</v>
      </c>
      <c r="AA33" s="10">
        <f t="shared" si="5"/>
        <v>0</v>
      </c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</row>
    <row r="34" spans="1:61" ht="11.1" customHeight="1" x14ac:dyDescent="0.2">
      <c r="A34" s="7" t="s">
        <v>34</v>
      </c>
      <c r="B34" s="7" t="s">
        <v>12</v>
      </c>
      <c r="C34" s="9">
        <v>1057</v>
      </c>
      <c r="D34" s="9">
        <v>17</v>
      </c>
      <c r="E34" s="9">
        <v>632</v>
      </c>
      <c r="F34" s="9">
        <v>414</v>
      </c>
      <c r="G34" s="10">
        <f>VLOOKUP(A:A,[1]TDSheet!$A:$G,7,0)</f>
        <v>0.18</v>
      </c>
      <c r="H34" s="10">
        <f>VLOOKUP(A:A,[1]TDSheet!$A:$H,8,0)</f>
        <v>150</v>
      </c>
      <c r="I34" s="10">
        <f>VLOOKUP(A:A,[1]TDSheet!$A:$I,9,0)</f>
        <v>5038435</v>
      </c>
      <c r="J34" s="10"/>
      <c r="K34" s="10">
        <f>VLOOKUP(A:A,[2]TDSheet!$A:$B,2,0)</f>
        <v>662</v>
      </c>
      <c r="L34" s="10">
        <f t="shared" si="1"/>
        <v>-30</v>
      </c>
      <c r="M34" s="10"/>
      <c r="N34" s="10"/>
      <c r="O34" s="10">
        <f>VLOOKUP(A:A,[1]TDSheet!$A:$Q,17,0)</f>
        <v>300</v>
      </c>
      <c r="P34" s="10">
        <f t="shared" si="2"/>
        <v>126.4</v>
      </c>
      <c r="Q34" s="21">
        <f t="shared" si="6"/>
        <v>1814</v>
      </c>
      <c r="R34" s="21">
        <v>600</v>
      </c>
      <c r="S34" s="10"/>
      <c r="T34" s="10">
        <f t="shared" si="3"/>
        <v>20</v>
      </c>
      <c r="U34" s="10">
        <f t="shared" si="4"/>
        <v>3.2753164556962022</v>
      </c>
      <c r="V34" s="10">
        <f>VLOOKUP(A:A,[1]TDSheet!$A:$W,23,0)</f>
        <v>19.2</v>
      </c>
      <c r="W34" s="10">
        <f>VLOOKUP(A:A,[1]TDSheet!$A:$X,24,0)</f>
        <v>69.8</v>
      </c>
      <c r="X34" s="10">
        <f>VLOOKUP(A:A,[1]TDSheet!$A:$Y,25,0)</f>
        <v>15</v>
      </c>
      <c r="Y34" s="10">
        <f>VLOOKUP(A:A,[1]TDSheet!$A:$P,16,0)</f>
        <v>47.6</v>
      </c>
      <c r="Z34" s="10" t="str">
        <f>VLOOKUP(A:A,[1]TDSheet!$A:$Z,26,0)</f>
        <v>ЮгТех</v>
      </c>
      <c r="AA34" s="10">
        <f t="shared" si="5"/>
        <v>326.52</v>
      </c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</row>
    <row r="35" spans="1:61" ht="21.9" customHeight="1" x14ac:dyDescent="0.2">
      <c r="A35" s="7" t="s">
        <v>35</v>
      </c>
      <c r="B35" s="7" t="s">
        <v>12</v>
      </c>
      <c r="C35" s="9">
        <v>275</v>
      </c>
      <c r="D35" s="9">
        <v>103</v>
      </c>
      <c r="E35" s="9">
        <v>131</v>
      </c>
      <c r="F35" s="9">
        <v>164</v>
      </c>
      <c r="G35" s="10">
        <f>VLOOKUP(A:A,[1]TDSheet!$A:$G,7,0)</f>
        <v>0.18</v>
      </c>
      <c r="H35" s="10">
        <f>VLOOKUP(A:A,[1]TDSheet!$A:$H,8,0)</f>
        <v>120</v>
      </c>
      <c r="I35" s="10">
        <f>VLOOKUP(A:A,[1]TDSheet!$A:$I,9,0)</f>
        <v>5038398</v>
      </c>
      <c r="J35" s="10"/>
      <c r="K35" s="10">
        <f>VLOOKUP(A:A,[2]TDSheet!$A:$B,2,0)</f>
        <v>233</v>
      </c>
      <c r="L35" s="10">
        <f t="shared" si="1"/>
        <v>-102</v>
      </c>
      <c r="M35" s="10"/>
      <c r="N35" s="10"/>
      <c r="O35" s="10">
        <f>VLOOKUP(A:A,[1]TDSheet!$A:$Q,17,0)</f>
        <v>300</v>
      </c>
      <c r="P35" s="10">
        <f t="shared" si="2"/>
        <v>26.2</v>
      </c>
      <c r="Q35" s="21"/>
      <c r="R35" s="21"/>
      <c r="S35" s="10"/>
      <c r="T35" s="10">
        <f t="shared" si="3"/>
        <v>17.709923664122137</v>
      </c>
      <c r="U35" s="10">
        <f t="shared" si="4"/>
        <v>6.2595419847328246</v>
      </c>
      <c r="V35" s="10">
        <f>VLOOKUP(A:A,[1]TDSheet!$A:$W,23,0)</f>
        <v>9.8000000000000007</v>
      </c>
      <c r="W35" s="10">
        <f>VLOOKUP(A:A,[1]TDSheet!$A:$X,24,0)</f>
        <v>18.2</v>
      </c>
      <c r="X35" s="10">
        <f>VLOOKUP(A:A,[1]TDSheet!$A:$Y,25,0)</f>
        <v>13.4</v>
      </c>
      <c r="Y35" s="10">
        <f>VLOOKUP(A:A,[1]TDSheet!$A:$P,16,0)</f>
        <v>6.6</v>
      </c>
      <c r="Z35" s="10" t="str">
        <f>VLOOKUP(A:A,[1]TDSheet!$A:$Z,26,0)</f>
        <v>ЮгТех</v>
      </c>
      <c r="AA35" s="10">
        <f t="shared" si="5"/>
        <v>0</v>
      </c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</row>
    <row r="36" spans="1:61" ht="11.1" customHeight="1" x14ac:dyDescent="0.2">
      <c r="A36" s="22" t="s">
        <v>36</v>
      </c>
      <c r="B36" s="22" t="s">
        <v>12</v>
      </c>
      <c r="C36" s="23">
        <v>251</v>
      </c>
      <c r="D36" s="23">
        <v>3</v>
      </c>
      <c r="E36" s="23">
        <v>47</v>
      </c>
      <c r="F36" s="23">
        <v>204</v>
      </c>
      <c r="G36" s="24">
        <f>VLOOKUP(A:A,[1]TDSheet!$A:$G,7,0)</f>
        <v>0.18</v>
      </c>
      <c r="H36" s="24">
        <f>VLOOKUP(A:A,[1]TDSheet!$A:$H,8,0)</f>
        <v>270</v>
      </c>
      <c r="I36" s="24">
        <f>VLOOKUP(A:A,[1]TDSheet!$A:$I,9,0)</f>
        <v>9988681</v>
      </c>
      <c r="J36" s="10"/>
      <c r="K36" s="10">
        <f>VLOOKUP(A:A,[2]TDSheet!$A:$B,2,0)</f>
        <v>50</v>
      </c>
      <c r="L36" s="10">
        <f t="shared" si="1"/>
        <v>-3</v>
      </c>
      <c r="M36" s="10"/>
      <c r="N36" s="10"/>
      <c r="O36" s="10">
        <f>VLOOKUP(A:A,[1]TDSheet!$A:$Q,17,0)</f>
        <v>0</v>
      </c>
      <c r="P36" s="10">
        <f t="shared" si="2"/>
        <v>9.4</v>
      </c>
      <c r="Q36" s="21"/>
      <c r="R36" s="21"/>
      <c r="S36" s="10"/>
      <c r="T36" s="10">
        <f t="shared" si="3"/>
        <v>21.702127659574469</v>
      </c>
      <c r="U36" s="10">
        <f t="shared" si="4"/>
        <v>21.702127659574469</v>
      </c>
      <c r="V36" s="10">
        <f>VLOOKUP(A:A,[1]TDSheet!$A:$W,23,0)</f>
        <v>9.1999999999999993</v>
      </c>
      <c r="W36" s="10">
        <f>VLOOKUP(A:A,[1]TDSheet!$A:$X,24,0)</f>
        <v>12.6</v>
      </c>
      <c r="X36" s="10">
        <f>VLOOKUP(A:A,[1]TDSheet!$A:$Y,25,0)</f>
        <v>9.8000000000000007</v>
      </c>
      <c r="Y36" s="10">
        <f>VLOOKUP(A:A,[1]TDSheet!$A:$P,16,0)</f>
        <v>5.8</v>
      </c>
      <c r="Z36" s="10" t="str">
        <f>VLOOKUP(A:A,[1]TDSheet!$A:$Z,26,0)</f>
        <v>увел продажи</v>
      </c>
      <c r="AA36" s="10">
        <f t="shared" si="5"/>
        <v>0</v>
      </c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</row>
    <row r="37" spans="1:61" ht="21.9" customHeight="1" x14ac:dyDescent="0.2">
      <c r="A37" s="22" t="s">
        <v>37</v>
      </c>
      <c r="B37" s="22" t="s">
        <v>10</v>
      </c>
      <c r="C37" s="23">
        <v>163.24799999999999</v>
      </c>
      <c r="D37" s="23">
        <v>3.294</v>
      </c>
      <c r="E37" s="23">
        <v>13.736000000000001</v>
      </c>
      <c r="F37" s="23">
        <v>149.512</v>
      </c>
      <c r="G37" s="24">
        <f>VLOOKUP(A:A,[1]TDSheet!$A:$G,7,0)</f>
        <v>1</v>
      </c>
      <c r="H37" s="24">
        <f>VLOOKUP(A:A,[1]TDSheet!$A:$H,8,0)</f>
        <v>0</v>
      </c>
      <c r="I37" s="24">
        <f>VLOOKUP(A:A,[1]TDSheet!$A:$I,9,0)</f>
        <v>8785242</v>
      </c>
      <c r="J37" s="10"/>
      <c r="K37" s="10">
        <f>VLOOKUP(A:A,[2]TDSheet!$A:$B,2,0)</f>
        <v>15.112</v>
      </c>
      <c r="L37" s="10">
        <f t="shared" si="1"/>
        <v>-1.3759999999999994</v>
      </c>
      <c r="M37" s="10"/>
      <c r="N37" s="10"/>
      <c r="O37" s="10">
        <f>VLOOKUP(A:A,[1]TDSheet!$A:$Q,17,0)</f>
        <v>0</v>
      </c>
      <c r="P37" s="10">
        <f t="shared" si="2"/>
        <v>2.7472000000000003</v>
      </c>
      <c r="Q37" s="21"/>
      <c r="R37" s="21"/>
      <c r="S37" s="10"/>
      <c r="T37" s="10">
        <f t="shared" si="3"/>
        <v>54.42341292952824</v>
      </c>
      <c r="U37" s="10">
        <f t="shared" si="4"/>
        <v>54.42341292952824</v>
      </c>
      <c r="V37" s="10">
        <f>VLOOKUP(A:A,[1]TDSheet!$A:$W,23,0)</f>
        <v>4.3655999999999997</v>
      </c>
      <c r="W37" s="10">
        <f>VLOOKUP(A:A,[1]TDSheet!$A:$X,24,0)</f>
        <v>8.0055999999999994</v>
      </c>
      <c r="X37" s="10">
        <f>VLOOKUP(A:A,[1]TDSheet!$A:$Y,25,0)</f>
        <v>3.3899999999999997</v>
      </c>
      <c r="Y37" s="10">
        <f>VLOOKUP(A:A,[1]TDSheet!$A:$P,16,0)</f>
        <v>1.3408</v>
      </c>
      <c r="Z37" s="10" t="str">
        <f>VLOOKUP(A:A,[1]TDSheet!$A:$Z,26,0)</f>
        <v>нужно увеличить продажи!!!</v>
      </c>
      <c r="AA37" s="10">
        <f t="shared" si="5"/>
        <v>0</v>
      </c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</row>
    <row r="38" spans="1:61" ht="21.9" customHeight="1" x14ac:dyDescent="0.2">
      <c r="A38" s="7" t="s">
        <v>38</v>
      </c>
      <c r="B38" s="7" t="s">
        <v>10</v>
      </c>
      <c r="C38" s="9">
        <v>90.323999999999998</v>
      </c>
      <c r="D38" s="9">
        <v>9.65</v>
      </c>
      <c r="E38" s="9">
        <v>0</v>
      </c>
      <c r="F38" s="9">
        <v>90.323999999999998</v>
      </c>
      <c r="G38" s="10">
        <f>VLOOKUP(A:A,[1]TDSheet!$A:$G,7,0)</f>
        <v>1</v>
      </c>
      <c r="H38" s="10" t="e">
        <f>VLOOKUP(A:A,[1]TDSheet!$A:$H,8,0)</f>
        <v>#N/A</v>
      </c>
      <c r="I38" s="10">
        <f>VLOOKUP(A:A,[1]TDSheet!$A:$I,9,0)</f>
        <v>0</v>
      </c>
      <c r="J38" s="10"/>
      <c r="K38" s="10">
        <f>VLOOKUP(A:A,[2]TDSheet!$A:$B,2,0)</f>
        <v>10.1</v>
      </c>
      <c r="L38" s="10">
        <f t="shared" si="1"/>
        <v>-10.1</v>
      </c>
      <c r="M38" s="10"/>
      <c r="N38" s="10"/>
      <c r="O38" s="10">
        <f>VLOOKUP(A:A,[1]TDSheet!$A:$Q,17,0)</f>
        <v>0</v>
      </c>
      <c r="P38" s="10">
        <f t="shared" si="2"/>
        <v>0</v>
      </c>
      <c r="Q38" s="21"/>
      <c r="R38" s="21"/>
      <c r="S38" s="10"/>
      <c r="T38" s="10" t="e">
        <f t="shared" si="3"/>
        <v>#DIV/0!</v>
      </c>
      <c r="U38" s="10" t="e">
        <f t="shared" si="4"/>
        <v>#DIV/0!</v>
      </c>
      <c r="V38" s="10">
        <f>VLOOKUP(A:A,[1]TDSheet!$A:$W,23,0)</f>
        <v>0</v>
      </c>
      <c r="W38" s="10">
        <f>VLOOKUP(A:A,[1]TDSheet!$A:$X,24,0)</f>
        <v>0</v>
      </c>
      <c r="X38" s="10">
        <f>VLOOKUP(A:A,[1]TDSheet!$A:$Y,25,0)</f>
        <v>0.67199999999999993</v>
      </c>
      <c r="Y38" s="10">
        <f>VLOOKUP(A:A,[1]TDSheet!$A:$P,16,0)</f>
        <v>0.61119999999999997</v>
      </c>
      <c r="Z38" s="10" t="e">
        <f>VLOOKUP(A:A,[1]TDSheet!$A:$Z,26,0)</f>
        <v>#N/A</v>
      </c>
      <c r="AA38" s="10">
        <f t="shared" si="5"/>
        <v>0</v>
      </c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</row>
    <row r="39" spans="1:61" ht="21.9" customHeight="1" x14ac:dyDescent="0.2">
      <c r="A39" s="7" t="s">
        <v>39</v>
      </c>
      <c r="B39" s="7" t="s">
        <v>10</v>
      </c>
      <c r="C39" s="9">
        <v>121.09399999999999</v>
      </c>
      <c r="D39" s="9">
        <v>10.257999999999999</v>
      </c>
      <c r="E39" s="9">
        <v>30.37</v>
      </c>
      <c r="F39" s="9">
        <v>90.724000000000004</v>
      </c>
      <c r="G39" s="10">
        <f>VLOOKUP(A:A,[1]TDSheet!$A:$G,7,0)</f>
        <v>1</v>
      </c>
      <c r="H39" s="10">
        <f>VLOOKUP(A:A,[1]TDSheet!$A:$H,8,0)</f>
        <v>120</v>
      </c>
      <c r="I39" s="10">
        <f>VLOOKUP(A:A,[1]TDSheet!$A:$I,9,0)</f>
        <v>8785198</v>
      </c>
      <c r="J39" s="10"/>
      <c r="K39" s="10">
        <f>VLOOKUP(A:A,[2]TDSheet!$A:$B,2,0)</f>
        <v>37.799999999999997</v>
      </c>
      <c r="L39" s="10">
        <f t="shared" si="1"/>
        <v>-7.4299999999999962</v>
      </c>
      <c r="M39" s="10"/>
      <c r="N39" s="10"/>
      <c r="O39" s="10">
        <f>VLOOKUP(A:A,[1]TDSheet!$A:$Q,17,0)</f>
        <v>0</v>
      </c>
      <c r="P39" s="10">
        <f t="shared" si="2"/>
        <v>6.0739999999999998</v>
      </c>
      <c r="Q39" s="21"/>
      <c r="R39" s="21"/>
      <c r="S39" s="10"/>
      <c r="T39" s="10">
        <f t="shared" si="3"/>
        <v>14.936450444517616</v>
      </c>
      <c r="U39" s="10">
        <f t="shared" si="4"/>
        <v>14.936450444517616</v>
      </c>
      <c r="V39" s="10">
        <f>VLOOKUP(A:A,[1]TDSheet!$A:$W,23,0)</f>
        <v>1.8356000000000001</v>
      </c>
      <c r="W39" s="10">
        <f>VLOOKUP(A:A,[1]TDSheet!$A:$X,24,0)</f>
        <v>8.7568000000000001</v>
      </c>
      <c r="X39" s="10">
        <f>VLOOKUP(A:A,[1]TDSheet!$A:$Y,25,0)</f>
        <v>7.4495999999999993</v>
      </c>
      <c r="Y39" s="10">
        <f>VLOOKUP(A:A,[1]TDSheet!$A:$P,16,0)</f>
        <v>2.6675999999999997</v>
      </c>
      <c r="Z39" s="10" t="str">
        <f>VLOOKUP(A:A,[1]TDSheet!$A:$Z,26,0)</f>
        <v>нужно увеличить продажи!!! / 28,07,25 в уценку - 57кг</v>
      </c>
      <c r="AA39" s="10">
        <f t="shared" si="5"/>
        <v>0</v>
      </c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</row>
    <row r="40" spans="1:61" ht="21.9" customHeight="1" x14ac:dyDescent="0.2">
      <c r="A40" s="22" t="s">
        <v>40</v>
      </c>
      <c r="B40" s="22" t="s">
        <v>10</v>
      </c>
      <c r="C40" s="23">
        <v>42.66</v>
      </c>
      <c r="D40" s="23">
        <v>137.09800000000001</v>
      </c>
      <c r="E40" s="23">
        <v>3.2080000000000002</v>
      </c>
      <c r="F40" s="23">
        <v>176.55</v>
      </c>
      <c r="G40" s="24">
        <f>VLOOKUP(A:A,[1]TDSheet!$A:$G,7,0)</f>
        <v>1</v>
      </c>
      <c r="H40" s="24" t="e">
        <f>VLOOKUP(A:A,[1]TDSheet!$A:$H,8,0)</f>
        <v>#N/A</v>
      </c>
      <c r="I40" s="24">
        <f>VLOOKUP(A:A,[1]TDSheet!$A:$I,9,0)</f>
        <v>0</v>
      </c>
      <c r="J40" s="10"/>
      <c r="K40" s="10">
        <f>VLOOKUP(A:A,[2]TDSheet!$A:$B,2,0)</f>
        <v>3.5</v>
      </c>
      <c r="L40" s="10">
        <f t="shared" si="1"/>
        <v>-0.29199999999999982</v>
      </c>
      <c r="M40" s="10"/>
      <c r="N40" s="10"/>
      <c r="O40" s="10">
        <f>VLOOKUP(A:A,[1]TDSheet!$A:$Q,17,0)</f>
        <v>0</v>
      </c>
      <c r="P40" s="10">
        <f t="shared" si="2"/>
        <v>0.64160000000000006</v>
      </c>
      <c r="Q40" s="21"/>
      <c r="R40" s="21"/>
      <c r="S40" s="10"/>
      <c r="T40" s="10">
        <f t="shared" si="3"/>
        <v>275.17144638403988</v>
      </c>
      <c r="U40" s="10">
        <f t="shared" si="4"/>
        <v>275.17144638403988</v>
      </c>
      <c r="V40" s="10">
        <f>VLOOKUP(A:A,[1]TDSheet!$A:$W,23,0)</f>
        <v>0.48559999999999998</v>
      </c>
      <c r="W40" s="10">
        <f>VLOOKUP(A:A,[1]TDSheet!$A:$X,24,0)</f>
        <v>3.2023999999999999</v>
      </c>
      <c r="X40" s="10">
        <f>VLOOKUP(A:A,[1]TDSheet!$A:$Y,25,0)</f>
        <v>3.8592</v>
      </c>
      <c r="Y40" s="10">
        <f>VLOOKUP(A:A,[1]TDSheet!$A:$P,16,0)</f>
        <v>0</v>
      </c>
      <c r="Z40" s="10" t="e">
        <f>VLOOKUP(A:A,[1]TDSheet!$A:$Z,26,0)</f>
        <v>#N/A</v>
      </c>
      <c r="AA40" s="10">
        <f t="shared" si="5"/>
        <v>0</v>
      </c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</row>
    <row r="41" spans="1:61" ht="11.1" customHeight="1" x14ac:dyDescent="0.2">
      <c r="A41" s="7" t="s">
        <v>41</v>
      </c>
      <c r="B41" s="7" t="s">
        <v>12</v>
      </c>
      <c r="C41" s="9">
        <v>697</v>
      </c>
      <c r="D41" s="9">
        <v>91</v>
      </c>
      <c r="E41" s="9">
        <v>241</v>
      </c>
      <c r="F41" s="9">
        <v>449</v>
      </c>
      <c r="G41" s="10">
        <f>VLOOKUP(A:A,[1]TDSheet!$A:$G,7,0)</f>
        <v>0.1</v>
      </c>
      <c r="H41" s="10">
        <f>VLOOKUP(A:A,[1]TDSheet!$A:$H,8,0)</f>
        <v>60</v>
      </c>
      <c r="I41" s="10">
        <f>VLOOKUP(A:A,[1]TDSheet!$A:$I,9,0)</f>
        <v>8444187</v>
      </c>
      <c r="J41" s="10"/>
      <c r="K41" s="10">
        <f>VLOOKUP(A:A,[2]TDSheet!$A:$B,2,0)</f>
        <v>272</v>
      </c>
      <c r="L41" s="10">
        <f t="shared" si="1"/>
        <v>-31</v>
      </c>
      <c r="M41" s="10"/>
      <c r="N41" s="10"/>
      <c r="O41" s="10">
        <f>VLOOKUP(A:A,[1]TDSheet!$A:$Q,17,0)</f>
        <v>0</v>
      </c>
      <c r="P41" s="10">
        <f t="shared" si="2"/>
        <v>48.2</v>
      </c>
      <c r="Q41" s="21">
        <f t="shared" si="6"/>
        <v>515</v>
      </c>
      <c r="R41" s="21">
        <v>200</v>
      </c>
      <c r="S41" s="10"/>
      <c r="T41" s="10">
        <f t="shared" si="3"/>
        <v>20</v>
      </c>
      <c r="U41" s="10">
        <f t="shared" si="4"/>
        <v>9.3153526970954346</v>
      </c>
      <c r="V41" s="10">
        <f>VLOOKUP(A:A,[1]TDSheet!$A:$W,23,0)</f>
        <v>38.6</v>
      </c>
      <c r="W41" s="10">
        <f>VLOOKUP(A:A,[1]TDSheet!$A:$X,24,0)</f>
        <v>45.6</v>
      </c>
      <c r="X41" s="10">
        <f>VLOOKUP(A:A,[1]TDSheet!$A:$Y,25,0)</f>
        <v>24.8</v>
      </c>
      <c r="Y41" s="10">
        <f>VLOOKUP(A:A,[1]TDSheet!$A:$P,16,0)</f>
        <v>20</v>
      </c>
      <c r="Z41" s="10" t="str">
        <f>VLOOKUP(A:A,[1]TDSheet!$A:$Z,26,0)</f>
        <v>остаток?</v>
      </c>
      <c r="AA41" s="10">
        <f t="shared" si="5"/>
        <v>51.5</v>
      </c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</row>
    <row r="42" spans="1:61" ht="11.1" customHeight="1" x14ac:dyDescent="0.2">
      <c r="A42" s="7" t="s">
        <v>42</v>
      </c>
      <c r="B42" s="7" t="s">
        <v>12</v>
      </c>
      <c r="C42" s="9">
        <v>364</v>
      </c>
      <c r="D42" s="9">
        <v>580</v>
      </c>
      <c r="E42" s="9">
        <v>224</v>
      </c>
      <c r="F42" s="9">
        <v>575</v>
      </c>
      <c r="G42" s="10">
        <f>VLOOKUP(A:A,[1]TDSheet!$A:$G,7,0)</f>
        <v>0.1</v>
      </c>
      <c r="H42" s="10">
        <f>VLOOKUP(A:A,[1]TDSheet!$A:$H,8,0)</f>
        <v>90</v>
      </c>
      <c r="I42" s="10">
        <f>VLOOKUP(A:A,[1]TDSheet!$A:$I,9,0)</f>
        <v>8444194</v>
      </c>
      <c r="J42" s="10"/>
      <c r="K42" s="10">
        <f>VLOOKUP(A:A,[2]TDSheet!$A:$B,2,0)</f>
        <v>247</v>
      </c>
      <c r="L42" s="10">
        <f t="shared" si="1"/>
        <v>-23</v>
      </c>
      <c r="M42" s="10"/>
      <c r="N42" s="10"/>
      <c r="O42" s="10">
        <f>VLOOKUP(A:A,[1]TDSheet!$A:$Q,17,0)</f>
        <v>90</v>
      </c>
      <c r="P42" s="10">
        <f t="shared" si="2"/>
        <v>44.8</v>
      </c>
      <c r="Q42" s="21">
        <f t="shared" si="6"/>
        <v>231</v>
      </c>
      <c r="R42" s="21">
        <v>81</v>
      </c>
      <c r="S42" s="10"/>
      <c r="T42" s="10">
        <f t="shared" si="3"/>
        <v>20</v>
      </c>
      <c r="U42" s="10">
        <f t="shared" si="4"/>
        <v>12.834821428571429</v>
      </c>
      <c r="V42" s="10">
        <f>VLOOKUP(A:A,[1]TDSheet!$A:$W,23,0)</f>
        <v>39.6</v>
      </c>
      <c r="W42" s="10">
        <f>VLOOKUP(A:A,[1]TDSheet!$A:$X,24,0)</f>
        <v>39.6</v>
      </c>
      <c r="X42" s="10">
        <f>VLOOKUP(A:A,[1]TDSheet!$A:$Y,25,0)</f>
        <v>47</v>
      </c>
      <c r="Y42" s="10">
        <f>VLOOKUP(A:A,[1]TDSheet!$A:$P,16,0)</f>
        <v>44.2</v>
      </c>
      <c r="Z42" s="10" t="str">
        <f>VLOOKUP(A:A,[1]TDSheet!$A:$Z,26,0)</f>
        <v>ЮгТех / 11,08,25 завод не отгрузил</v>
      </c>
      <c r="AA42" s="10">
        <f t="shared" si="5"/>
        <v>23.1</v>
      </c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</row>
    <row r="43" spans="1:61" ht="11.1" customHeight="1" x14ac:dyDescent="0.2">
      <c r="A43" s="7" t="s">
        <v>43</v>
      </c>
      <c r="B43" s="7" t="s">
        <v>10</v>
      </c>
      <c r="C43" s="9">
        <v>19.73</v>
      </c>
      <c r="D43" s="9"/>
      <c r="E43" s="9">
        <v>4.5060000000000002</v>
      </c>
      <c r="F43" s="9">
        <v>15.224</v>
      </c>
      <c r="G43" s="10">
        <f>VLOOKUP(A:A,[1]TDSheet!$A:$G,7,0)</f>
        <v>1</v>
      </c>
      <c r="H43" s="10">
        <f>VLOOKUP(A:A,[1]TDSheet!$A:$H,8,0)</f>
        <v>0</v>
      </c>
      <c r="I43" s="10">
        <f>VLOOKUP(A:A,[1]TDSheet!$A:$I,9,0)</f>
        <v>8786928</v>
      </c>
      <c r="J43" s="10"/>
      <c r="K43" s="10">
        <f>VLOOKUP(A:A,[2]TDSheet!$A:$B,2,0)</f>
        <v>4.2</v>
      </c>
      <c r="L43" s="10">
        <f t="shared" si="1"/>
        <v>0.30600000000000005</v>
      </c>
      <c r="M43" s="10"/>
      <c r="N43" s="10"/>
      <c r="O43" s="10">
        <f>VLOOKUP(A:A,[1]TDSheet!$A:$Q,17,0)</f>
        <v>20</v>
      </c>
      <c r="P43" s="10">
        <f t="shared" si="2"/>
        <v>0.9012</v>
      </c>
      <c r="Q43" s="21"/>
      <c r="R43" s="21"/>
      <c r="S43" s="10"/>
      <c r="T43" s="10">
        <f t="shared" si="3"/>
        <v>39.085663559698183</v>
      </c>
      <c r="U43" s="10">
        <f t="shared" si="4"/>
        <v>16.893031513537505</v>
      </c>
      <c r="V43" s="10">
        <f>VLOOKUP(A:A,[1]TDSheet!$A:$W,23,0)</f>
        <v>0.48</v>
      </c>
      <c r="W43" s="10">
        <f>VLOOKUP(A:A,[1]TDSheet!$A:$X,24,0)</f>
        <v>1.0096000000000001</v>
      </c>
      <c r="X43" s="10">
        <f>VLOOKUP(A:A,[1]TDSheet!$A:$Y,25,0)</f>
        <v>0</v>
      </c>
      <c r="Y43" s="10">
        <f>VLOOKUP(A:A,[1]TDSheet!$A:$P,16,0)</f>
        <v>0</v>
      </c>
      <c r="Z43" s="10" t="e">
        <f>VLOOKUP(A:A,[1]TDSheet!$A:$Z,26,0)</f>
        <v>#N/A</v>
      </c>
      <c r="AA43" s="10">
        <f t="shared" si="5"/>
        <v>0</v>
      </c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</row>
    <row r="44" spans="1:61" ht="11.1" customHeight="1" x14ac:dyDescent="0.2">
      <c r="A44" s="7" t="s">
        <v>44</v>
      </c>
      <c r="B44" s="7" t="s">
        <v>12</v>
      </c>
      <c r="C44" s="9">
        <v>160</v>
      </c>
      <c r="D44" s="9">
        <v>3</v>
      </c>
      <c r="E44" s="9">
        <v>44</v>
      </c>
      <c r="F44" s="9">
        <v>116</v>
      </c>
      <c r="G44" s="10">
        <f>VLOOKUP(A:A,[1]TDSheet!$A:$G,7,0)</f>
        <v>0.14000000000000001</v>
      </c>
      <c r="H44" s="10">
        <f>VLOOKUP(A:A,[1]TDSheet!$A:$H,8,0)</f>
        <v>180</v>
      </c>
      <c r="I44" s="10">
        <f>VLOOKUP(A:A,[1]TDSheet!$A:$I,9,0)</f>
        <v>9988391</v>
      </c>
      <c r="J44" s="10"/>
      <c r="K44" s="10">
        <f>VLOOKUP(A:A,[2]TDSheet!$A:$B,2,0)</f>
        <v>1</v>
      </c>
      <c r="L44" s="10">
        <f t="shared" si="1"/>
        <v>43</v>
      </c>
      <c r="M44" s="10"/>
      <c r="N44" s="10"/>
      <c r="O44" s="10">
        <f>VLOOKUP(A:A,[1]TDSheet!$A:$Q,17,0)</f>
        <v>0</v>
      </c>
      <c r="P44" s="10">
        <f t="shared" si="2"/>
        <v>8.8000000000000007</v>
      </c>
      <c r="Q44" s="21">
        <f t="shared" si="6"/>
        <v>60</v>
      </c>
      <c r="R44" s="21">
        <v>30</v>
      </c>
      <c r="S44" s="10"/>
      <c r="T44" s="10">
        <f t="shared" si="3"/>
        <v>20</v>
      </c>
      <c r="U44" s="10">
        <f t="shared" si="4"/>
        <v>13.18181818181818</v>
      </c>
      <c r="V44" s="10">
        <f>VLOOKUP(A:A,[1]TDSheet!$A:$W,23,0)</f>
        <v>6.6</v>
      </c>
      <c r="W44" s="10">
        <f>VLOOKUP(A:A,[1]TDSheet!$A:$X,24,0)</f>
        <v>4.8</v>
      </c>
      <c r="X44" s="10">
        <f>VLOOKUP(A:A,[1]TDSheet!$A:$Y,25,0)</f>
        <v>5</v>
      </c>
      <c r="Y44" s="10">
        <f>VLOOKUP(A:A,[1]TDSheet!$A:$P,16,0)</f>
        <v>3</v>
      </c>
      <c r="Z44" s="10">
        <f>VLOOKUP(A:A,[1]TDSheet!$A:$Z,26,0)</f>
        <v>0</v>
      </c>
      <c r="AA44" s="10">
        <f t="shared" si="5"/>
        <v>8.4</v>
      </c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</row>
    <row r="45" spans="1:61" ht="11.1" customHeight="1" x14ac:dyDescent="0.2">
      <c r="A45" s="7" t="s">
        <v>45</v>
      </c>
      <c r="B45" s="7" t="s">
        <v>12</v>
      </c>
      <c r="C45" s="9">
        <v>175</v>
      </c>
      <c r="D45" s="9">
        <v>8</v>
      </c>
      <c r="E45" s="9">
        <v>58</v>
      </c>
      <c r="F45" s="9">
        <v>117</v>
      </c>
      <c r="G45" s="10">
        <f>VLOOKUP(A:A,[1]TDSheet!$A:$G,7,0)</f>
        <v>0.14000000000000001</v>
      </c>
      <c r="H45" s="10">
        <f>VLOOKUP(A:A,[1]TDSheet!$A:$H,8,0)</f>
        <v>180</v>
      </c>
      <c r="I45" s="10">
        <f>VLOOKUP(A:A,[1]TDSheet!$A:$I,9,0)</f>
        <v>9988377</v>
      </c>
      <c r="J45" s="10"/>
      <c r="K45" s="10">
        <f>VLOOKUP(A:A,[2]TDSheet!$A:$B,2,0)</f>
        <v>1</v>
      </c>
      <c r="L45" s="10">
        <f t="shared" si="1"/>
        <v>57</v>
      </c>
      <c r="M45" s="10"/>
      <c r="N45" s="10"/>
      <c r="O45" s="10">
        <f>VLOOKUP(A:A,[1]TDSheet!$A:$Q,17,0)</f>
        <v>0</v>
      </c>
      <c r="P45" s="10">
        <f t="shared" si="2"/>
        <v>11.6</v>
      </c>
      <c r="Q45" s="21">
        <f t="shared" si="6"/>
        <v>115</v>
      </c>
      <c r="R45" s="21">
        <v>55</v>
      </c>
      <c r="S45" s="10"/>
      <c r="T45" s="10">
        <f t="shared" si="3"/>
        <v>20</v>
      </c>
      <c r="U45" s="10">
        <f t="shared" si="4"/>
        <v>10.086206896551724</v>
      </c>
      <c r="V45" s="10">
        <f>VLOOKUP(A:A,[1]TDSheet!$A:$W,23,0)</f>
        <v>7.2</v>
      </c>
      <c r="W45" s="10">
        <f>VLOOKUP(A:A,[1]TDSheet!$A:$X,24,0)</f>
        <v>7.2</v>
      </c>
      <c r="X45" s="10">
        <f>VLOOKUP(A:A,[1]TDSheet!$A:$Y,25,0)</f>
        <v>7.4</v>
      </c>
      <c r="Y45" s="10">
        <f>VLOOKUP(A:A,[1]TDSheet!$A:$P,16,0)</f>
        <v>9.1999999999999993</v>
      </c>
      <c r="Z45" s="10">
        <f>VLOOKUP(A:A,[1]TDSheet!$A:$Z,26,0)</f>
        <v>0</v>
      </c>
      <c r="AA45" s="10">
        <f t="shared" si="5"/>
        <v>16.100000000000001</v>
      </c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</row>
    <row r="46" spans="1:61" ht="11.1" customHeight="1" x14ac:dyDescent="0.2">
      <c r="A46" s="7" t="s">
        <v>46</v>
      </c>
      <c r="B46" s="7" t="s">
        <v>12</v>
      </c>
      <c r="C46" s="9">
        <v>205</v>
      </c>
      <c r="D46" s="9">
        <v>20</v>
      </c>
      <c r="E46" s="9">
        <v>50</v>
      </c>
      <c r="F46" s="9">
        <v>153</v>
      </c>
      <c r="G46" s="10">
        <f>VLOOKUP(A:A,[1]TDSheet!$A:$G,7,0)</f>
        <v>0.2</v>
      </c>
      <c r="H46" s="10" t="e">
        <f>VLOOKUP(A:A,[1]TDSheet!$A:$H,8,0)</f>
        <v>#N/A</v>
      </c>
      <c r="I46" s="10" t="str">
        <f>VLOOKUP(A:A,[1]TDSheet!$A:$I,9,0)</f>
        <v>783К798</v>
      </c>
      <c r="J46" s="10"/>
      <c r="K46" s="10">
        <f>VLOOKUP(A:A,[2]TDSheet!$A:$B,2,0)</f>
        <v>70</v>
      </c>
      <c r="L46" s="10">
        <f t="shared" si="1"/>
        <v>-20</v>
      </c>
      <c r="M46" s="10"/>
      <c r="N46" s="10"/>
      <c r="O46" s="10">
        <f>VLOOKUP(A:A,[1]TDSheet!$A:$Q,17,0)</f>
        <v>0</v>
      </c>
      <c r="P46" s="10">
        <f t="shared" si="2"/>
        <v>10</v>
      </c>
      <c r="Q46" s="21"/>
      <c r="R46" s="21"/>
      <c r="S46" s="10"/>
      <c r="T46" s="10">
        <f t="shared" si="3"/>
        <v>15.3</v>
      </c>
      <c r="U46" s="10">
        <f t="shared" si="4"/>
        <v>15.3</v>
      </c>
      <c r="V46" s="10">
        <f>VLOOKUP(A:A,[1]TDSheet!$A:$W,23,0)</f>
        <v>15.2</v>
      </c>
      <c r="W46" s="10">
        <f>VLOOKUP(A:A,[1]TDSheet!$A:$X,24,0)</f>
        <v>3.8</v>
      </c>
      <c r="X46" s="10">
        <f>VLOOKUP(A:A,[1]TDSheet!$A:$Y,25,0)</f>
        <v>5.6</v>
      </c>
      <c r="Y46" s="10">
        <f>VLOOKUP(A:A,[1]TDSheet!$A:$P,16,0)</f>
        <v>9.1999999999999993</v>
      </c>
      <c r="Z46" s="10" t="e">
        <f>VLOOKUP(A:A,[1]TDSheet!$A:$Z,26,0)</f>
        <v>#N/A</v>
      </c>
      <c r="AA46" s="10">
        <f t="shared" si="5"/>
        <v>0</v>
      </c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</row>
    <row r="47" spans="1:61" ht="11.1" customHeight="1" x14ac:dyDescent="0.2">
      <c r="A47" s="7" t="s">
        <v>47</v>
      </c>
      <c r="B47" s="7" t="s">
        <v>10</v>
      </c>
      <c r="C47" s="9">
        <v>58.896000000000001</v>
      </c>
      <c r="D47" s="9"/>
      <c r="E47" s="9">
        <v>3.548</v>
      </c>
      <c r="F47" s="9">
        <v>55.347999999999999</v>
      </c>
      <c r="G47" s="10">
        <f>VLOOKUP(A:A,[1]TDSheet!$A:$G,7,0)</f>
        <v>1</v>
      </c>
      <c r="H47" s="10">
        <f>VLOOKUP(A:A,[1]TDSheet!$A:$H,8,0)</f>
        <v>0</v>
      </c>
      <c r="I47" s="10" t="str">
        <f>VLOOKUP(A:A,[1]TDSheet!$A:$I,9,0)</f>
        <v>783К811</v>
      </c>
      <c r="J47" s="10"/>
      <c r="K47" s="10">
        <f>VLOOKUP(A:A,[2]TDSheet!$A:$B,2,0)</f>
        <v>3.5</v>
      </c>
      <c r="L47" s="10">
        <f t="shared" si="1"/>
        <v>4.8000000000000043E-2</v>
      </c>
      <c r="M47" s="10"/>
      <c r="N47" s="10"/>
      <c r="O47" s="10">
        <f>VLOOKUP(A:A,[1]TDSheet!$A:$Q,17,0)</f>
        <v>0</v>
      </c>
      <c r="P47" s="10">
        <f t="shared" si="2"/>
        <v>0.70960000000000001</v>
      </c>
      <c r="Q47" s="21"/>
      <c r="R47" s="21"/>
      <c r="S47" s="10"/>
      <c r="T47" s="10">
        <f t="shared" si="3"/>
        <v>77.998872604284102</v>
      </c>
      <c r="U47" s="10">
        <f t="shared" si="4"/>
        <v>77.998872604284102</v>
      </c>
      <c r="V47" s="10">
        <f>VLOOKUP(A:A,[1]TDSheet!$A:$W,23,0)</f>
        <v>1.8675999999999999</v>
      </c>
      <c r="W47" s="10">
        <f>VLOOKUP(A:A,[1]TDSheet!$A:$X,24,0)</f>
        <v>0</v>
      </c>
      <c r="X47" s="10">
        <f>VLOOKUP(A:A,[1]TDSheet!$A:$Y,25,0)</f>
        <v>1.8264</v>
      </c>
      <c r="Y47" s="10">
        <f>VLOOKUP(A:A,[1]TDSheet!$A:$P,16,0)</f>
        <v>0</v>
      </c>
      <c r="Z47" s="10" t="str">
        <f>VLOOKUP(A:A,[1]TDSheet!$A:$Z,26,0)</f>
        <v>увел продажи</v>
      </c>
      <c r="AA47" s="10">
        <f t="shared" si="5"/>
        <v>0</v>
      </c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</row>
    <row r="48" spans="1:61" ht="11.1" customHeight="1" x14ac:dyDescent="0.2">
      <c r="A48" s="7" t="s">
        <v>48</v>
      </c>
      <c r="B48" s="7" t="s">
        <v>12</v>
      </c>
      <c r="C48" s="9">
        <v>139</v>
      </c>
      <c r="D48" s="9">
        <v>90</v>
      </c>
      <c r="E48" s="9">
        <v>64</v>
      </c>
      <c r="F48" s="9">
        <v>165</v>
      </c>
      <c r="G48" s="10">
        <f>VLOOKUP(A:A,[1]TDSheet!$A:$G,7,0)</f>
        <v>0.2</v>
      </c>
      <c r="H48" s="10">
        <f>VLOOKUP(A:A,[1]TDSheet!$A:$H,8,0)</f>
        <v>0</v>
      </c>
      <c r="I48" s="10" t="str">
        <f>VLOOKUP(A:A,[1]TDSheet!$A:$I,9,0)</f>
        <v>783К801</v>
      </c>
      <c r="J48" s="10"/>
      <c r="K48" s="10">
        <f>VLOOKUP(A:A,[2]TDSheet!$A:$B,2,0)</f>
        <v>64</v>
      </c>
      <c r="L48" s="10">
        <f t="shared" si="1"/>
        <v>0</v>
      </c>
      <c r="M48" s="10"/>
      <c r="N48" s="10"/>
      <c r="O48" s="10">
        <f>VLOOKUP(A:A,[1]TDSheet!$A:$Q,17,0)</f>
        <v>0</v>
      </c>
      <c r="P48" s="10">
        <f t="shared" si="2"/>
        <v>12.8</v>
      </c>
      <c r="Q48" s="21">
        <f t="shared" si="6"/>
        <v>91</v>
      </c>
      <c r="R48" s="21">
        <v>50</v>
      </c>
      <c r="S48" s="10"/>
      <c r="T48" s="10">
        <f t="shared" si="3"/>
        <v>20</v>
      </c>
      <c r="U48" s="10">
        <f t="shared" si="4"/>
        <v>12.890625</v>
      </c>
      <c r="V48" s="10">
        <f>VLOOKUP(A:A,[1]TDSheet!$A:$W,23,0)</f>
        <v>10.8</v>
      </c>
      <c r="W48" s="10">
        <f>VLOOKUP(A:A,[1]TDSheet!$A:$X,24,0)</f>
        <v>7.4</v>
      </c>
      <c r="X48" s="10">
        <f>VLOOKUP(A:A,[1]TDSheet!$A:$Y,25,0)</f>
        <v>14.6</v>
      </c>
      <c r="Y48" s="10">
        <f>VLOOKUP(A:A,[1]TDSheet!$A:$P,16,0)</f>
        <v>12.8</v>
      </c>
      <c r="Z48" s="10">
        <f>VLOOKUP(A:A,[1]TDSheet!$A:$Z,26,0)</f>
        <v>0</v>
      </c>
      <c r="AA48" s="10">
        <f t="shared" si="5"/>
        <v>18.2</v>
      </c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</row>
    <row r="49" spans="1:61" ht="21.9" customHeight="1" x14ac:dyDescent="0.2">
      <c r="A49" s="7" t="s">
        <v>49</v>
      </c>
      <c r="B49" s="7" t="s">
        <v>10</v>
      </c>
      <c r="C49" s="9">
        <v>28.024000000000001</v>
      </c>
      <c r="D49" s="9"/>
      <c r="E49" s="9">
        <v>3.4420000000000002</v>
      </c>
      <c r="F49" s="9"/>
      <c r="G49" s="10">
        <f>VLOOKUP(A:A,[1]TDSheet!$A:$G,7,0)</f>
        <v>1</v>
      </c>
      <c r="H49" s="10">
        <f>VLOOKUP(A:A,[1]TDSheet!$A:$H,8,0)</f>
        <v>0</v>
      </c>
      <c r="I49" s="10">
        <f>VLOOKUP(A:A,[1]TDSheet!$A:$I,9,0)</f>
        <v>8785259</v>
      </c>
      <c r="J49" s="10"/>
      <c r="K49" s="10">
        <f>VLOOKUP(A:A,[2]TDSheet!$A:$B,2,0)</f>
        <v>34.799999999999997</v>
      </c>
      <c r="L49" s="10">
        <f t="shared" si="1"/>
        <v>-31.357999999999997</v>
      </c>
      <c r="M49" s="10"/>
      <c r="N49" s="10"/>
      <c r="O49" s="10">
        <f>VLOOKUP(A:A,[1]TDSheet!$A:$Q,17,0)</f>
        <v>0</v>
      </c>
      <c r="P49" s="10">
        <f t="shared" si="2"/>
        <v>0.68840000000000001</v>
      </c>
      <c r="Q49" s="21">
        <f t="shared" si="6"/>
        <v>13.768000000000001</v>
      </c>
      <c r="R49" s="21">
        <v>100</v>
      </c>
      <c r="S49" s="10"/>
      <c r="T49" s="10">
        <f t="shared" si="3"/>
        <v>20</v>
      </c>
      <c r="U49" s="10">
        <f t="shared" si="4"/>
        <v>0</v>
      </c>
      <c r="V49" s="10">
        <f>VLOOKUP(A:A,[1]TDSheet!$A:$W,23,0)</f>
        <v>4.8911999999999995</v>
      </c>
      <c r="W49" s="10">
        <f>VLOOKUP(A:A,[1]TDSheet!$A:$X,24,0)</f>
        <v>3.5659999999999998</v>
      </c>
      <c r="X49" s="10">
        <f>VLOOKUP(A:A,[1]TDSheet!$A:$Y,25,0)</f>
        <v>9.8775999999999993</v>
      </c>
      <c r="Y49" s="10">
        <f>VLOOKUP(A:A,[1]TDSheet!$A:$P,16,0)</f>
        <v>7.7816000000000001</v>
      </c>
      <c r="Z49" s="10">
        <f>VLOOKUP(A:A,[1]TDSheet!$A:$Z,26,0)</f>
        <v>0</v>
      </c>
      <c r="AA49" s="10">
        <f t="shared" si="5"/>
        <v>13.768000000000001</v>
      </c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</row>
    <row r="50" spans="1:61" ht="11.4" customHeight="1" x14ac:dyDescent="0.2">
      <c r="C50" s="11"/>
      <c r="D50" s="11"/>
      <c r="E50" s="11"/>
      <c r="F50" s="11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</row>
    <row r="51" spans="1:61" ht="11.4" customHeight="1" x14ac:dyDescent="0.2">
      <c r="C51" s="11"/>
      <c r="D51" s="11"/>
      <c r="E51" s="11"/>
      <c r="F51" s="11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</row>
    <row r="52" spans="1:61" ht="11.4" customHeight="1" x14ac:dyDescent="0.2">
      <c r="C52" s="11"/>
      <c r="D52" s="11"/>
      <c r="E52" s="11"/>
      <c r="F52" s="11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</row>
    <row r="53" spans="1:61" ht="11.4" customHeight="1" x14ac:dyDescent="0.2">
      <c r="C53" s="11"/>
      <c r="D53" s="11"/>
      <c r="E53" s="11"/>
      <c r="F53" s="11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</row>
    <row r="54" spans="1:61" ht="11.4" customHeight="1" x14ac:dyDescent="0.2">
      <c r="C54" s="11"/>
      <c r="D54" s="11"/>
      <c r="E54" s="11"/>
      <c r="F54" s="11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</row>
    <row r="55" spans="1:61" ht="11.4" customHeight="1" x14ac:dyDescent="0.2">
      <c r="C55" s="11"/>
      <c r="D55" s="11"/>
      <c r="E55" s="11"/>
      <c r="F55" s="11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</row>
    <row r="56" spans="1:61" ht="11.4" customHeight="1" x14ac:dyDescent="0.2">
      <c r="C56" s="11"/>
      <c r="D56" s="11"/>
      <c r="E56" s="11"/>
      <c r="F56" s="11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</row>
    <row r="57" spans="1:61" ht="11.4" customHeight="1" x14ac:dyDescent="0.2">
      <c r="C57" s="11"/>
      <c r="D57" s="11"/>
      <c r="E57" s="11"/>
      <c r="F57" s="11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</row>
    <row r="58" spans="1:61" ht="11.4" customHeight="1" x14ac:dyDescent="0.2">
      <c r="C58" s="11"/>
      <c r="D58" s="11"/>
      <c r="E58" s="11"/>
      <c r="F58" s="11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</row>
    <row r="59" spans="1:61" ht="11.4" customHeight="1" x14ac:dyDescent="0.2">
      <c r="C59" s="11"/>
      <c r="D59" s="11"/>
      <c r="E59" s="11"/>
      <c r="F59" s="11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</row>
    <row r="60" spans="1:61" ht="11.4" customHeight="1" x14ac:dyDescent="0.2">
      <c r="C60" s="11"/>
      <c r="D60" s="11"/>
      <c r="E60" s="11"/>
      <c r="F60" s="11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</row>
    <row r="61" spans="1:61" ht="11.4" customHeight="1" x14ac:dyDescent="0.2">
      <c r="C61" s="11"/>
      <c r="D61" s="11"/>
      <c r="E61" s="11"/>
      <c r="F61" s="11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</row>
    <row r="62" spans="1:61" ht="11.4" customHeight="1" x14ac:dyDescent="0.2">
      <c r="C62" s="11"/>
      <c r="D62" s="11"/>
      <c r="E62" s="11"/>
      <c r="F62" s="11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</row>
    <row r="63" spans="1:61" ht="11.4" customHeight="1" x14ac:dyDescent="0.2">
      <c r="C63" s="11"/>
      <c r="D63" s="11"/>
      <c r="E63" s="11"/>
      <c r="F63" s="11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</row>
    <row r="64" spans="1:61" ht="11.4" customHeight="1" x14ac:dyDescent="0.2">
      <c r="C64" s="11"/>
      <c r="D64" s="11"/>
      <c r="E64" s="11"/>
      <c r="F64" s="11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</row>
    <row r="65" spans="3:61" ht="11.4" customHeight="1" x14ac:dyDescent="0.2">
      <c r="C65" s="11"/>
      <c r="D65" s="11"/>
      <c r="E65" s="11"/>
      <c r="F65" s="11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</row>
    <row r="66" spans="3:61" ht="11.4" customHeight="1" x14ac:dyDescent="0.2">
      <c r="C66" s="11"/>
      <c r="D66" s="11"/>
      <c r="E66" s="11"/>
      <c r="F66" s="11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</row>
    <row r="67" spans="3:61" ht="11.4" customHeight="1" x14ac:dyDescent="0.2">
      <c r="C67" s="11"/>
      <c r="D67" s="11"/>
      <c r="E67" s="11"/>
      <c r="F67" s="11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</row>
    <row r="68" spans="3:61" ht="11.4" customHeight="1" x14ac:dyDescent="0.2">
      <c r="C68" s="11"/>
      <c r="D68" s="11"/>
      <c r="E68" s="11"/>
      <c r="F68" s="11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</row>
    <row r="69" spans="3:61" ht="11.4" customHeight="1" x14ac:dyDescent="0.2">
      <c r="C69" s="11"/>
      <c r="D69" s="11"/>
      <c r="E69" s="11"/>
      <c r="F69" s="11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</row>
    <row r="70" spans="3:61" ht="11.4" customHeight="1" x14ac:dyDescent="0.2">
      <c r="C70" s="11"/>
      <c r="D70" s="11"/>
      <c r="E70" s="11"/>
      <c r="F70" s="11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</row>
    <row r="71" spans="3:61" ht="11.4" customHeight="1" x14ac:dyDescent="0.2">
      <c r="C71" s="11"/>
      <c r="D71" s="11"/>
      <c r="E71" s="11"/>
      <c r="F71" s="11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</row>
    <row r="72" spans="3:61" ht="11.4" customHeight="1" x14ac:dyDescent="0.2">
      <c r="C72" s="11"/>
      <c r="D72" s="11"/>
      <c r="E72" s="11"/>
      <c r="F72" s="11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</row>
    <row r="73" spans="3:61" ht="11.4" customHeight="1" x14ac:dyDescent="0.2">
      <c r="C73" s="11"/>
      <c r="D73" s="11"/>
      <c r="E73" s="11"/>
      <c r="F73" s="11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</row>
    <row r="74" spans="3:61" ht="11.4" customHeight="1" x14ac:dyDescent="0.2">
      <c r="C74" s="11"/>
      <c r="D74" s="11"/>
      <c r="E74" s="11"/>
      <c r="F74" s="11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</row>
    <row r="75" spans="3:61" ht="11.4" customHeight="1" x14ac:dyDescent="0.2">
      <c r="C75" s="11"/>
      <c r="D75" s="11"/>
      <c r="E75" s="11"/>
      <c r="F75" s="11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</row>
    <row r="76" spans="3:61" ht="11.4" customHeight="1" x14ac:dyDescent="0.2">
      <c r="C76" s="11"/>
      <c r="D76" s="11"/>
      <c r="E76" s="11"/>
      <c r="F76" s="11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</row>
    <row r="77" spans="3:61" ht="11.4" customHeight="1" x14ac:dyDescent="0.2">
      <c r="C77" s="11"/>
      <c r="D77" s="11"/>
      <c r="E77" s="11"/>
      <c r="F77" s="11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</row>
    <row r="78" spans="3:61" ht="11.4" customHeight="1" x14ac:dyDescent="0.2">
      <c r="C78" s="11"/>
      <c r="D78" s="11"/>
      <c r="E78" s="11"/>
      <c r="F78" s="11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</row>
    <row r="79" spans="3:61" ht="11.4" customHeight="1" x14ac:dyDescent="0.2">
      <c r="C79" s="11"/>
      <c r="D79" s="11"/>
      <c r="E79" s="11"/>
      <c r="F79" s="11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</row>
    <row r="80" spans="3:61" ht="11.4" customHeight="1" x14ac:dyDescent="0.2">
      <c r="C80" s="11"/>
      <c r="D80" s="11"/>
      <c r="E80" s="11"/>
      <c r="F80" s="11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</row>
    <row r="81" spans="3:61" ht="11.4" customHeight="1" x14ac:dyDescent="0.2">
      <c r="C81" s="11"/>
      <c r="D81" s="11"/>
      <c r="E81" s="11"/>
      <c r="F81" s="11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</row>
    <row r="82" spans="3:61" ht="11.4" customHeight="1" x14ac:dyDescent="0.2">
      <c r="C82" s="11"/>
      <c r="D82" s="11"/>
      <c r="E82" s="11"/>
      <c r="F82" s="11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</row>
    <row r="83" spans="3:61" ht="11.4" customHeight="1" x14ac:dyDescent="0.2">
      <c r="C83" s="11"/>
      <c r="D83" s="11"/>
      <c r="E83" s="11"/>
      <c r="F83" s="11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</row>
    <row r="84" spans="3:61" ht="11.4" customHeight="1" x14ac:dyDescent="0.2">
      <c r="C84" s="11"/>
      <c r="D84" s="11"/>
      <c r="E84" s="11"/>
      <c r="F84" s="11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</row>
    <row r="85" spans="3:61" ht="11.4" customHeight="1" x14ac:dyDescent="0.2">
      <c r="C85" s="11"/>
      <c r="D85" s="11"/>
      <c r="E85" s="11"/>
      <c r="F85" s="11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</row>
    <row r="86" spans="3:61" ht="11.4" customHeight="1" x14ac:dyDescent="0.2">
      <c r="C86" s="11"/>
      <c r="D86" s="11"/>
      <c r="E86" s="11"/>
      <c r="F86" s="11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</row>
    <row r="87" spans="3:61" ht="11.4" customHeight="1" x14ac:dyDescent="0.2">
      <c r="C87" s="11"/>
      <c r="D87" s="11"/>
      <c r="E87" s="11"/>
      <c r="F87" s="11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</row>
    <row r="88" spans="3:61" ht="11.4" customHeight="1" x14ac:dyDescent="0.2">
      <c r="C88" s="11"/>
      <c r="D88" s="11"/>
      <c r="E88" s="11"/>
      <c r="F88" s="11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</row>
    <row r="89" spans="3:61" ht="11.4" customHeight="1" x14ac:dyDescent="0.2">
      <c r="C89" s="11"/>
      <c r="D89" s="11"/>
      <c r="E89" s="11"/>
      <c r="F89" s="11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</row>
    <row r="90" spans="3:61" ht="11.4" customHeight="1" x14ac:dyDescent="0.2">
      <c r="C90" s="11"/>
      <c r="D90" s="11"/>
      <c r="E90" s="11"/>
      <c r="F90" s="11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</row>
    <row r="91" spans="3:61" ht="11.4" customHeight="1" x14ac:dyDescent="0.2">
      <c r="C91" s="11"/>
      <c r="D91" s="11"/>
      <c r="E91" s="11"/>
      <c r="F91" s="11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</row>
    <row r="92" spans="3:61" ht="11.4" customHeight="1" x14ac:dyDescent="0.2">
      <c r="C92" s="11"/>
      <c r="D92" s="11"/>
      <c r="E92" s="11"/>
      <c r="F92" s="11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</row>
    <row r="93" spans="3:61" ht="11.4" customHeight="1" x14ac:dyDescent="0.2">
      <c r="C93" s="11"/>
      <c r="D93" s="11"/>
      <c r="E93" s="11"/>
      <c r="F93" s="11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</row>
    <row r="94" spans="3:61" ht="11.4" customHeight="1" x14ac:dyDescent="0.2">
      <c r="C94" s="11"/>
      <c r="D94" s="11"/>
      <c r="E94" s="11"/>
      <c r="F94" s="11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</row>
    <row r="95" spans="3:61" ht="11.4" customHeight="1" x14ac:dyDescent="0.2">
      <c r="C95" s="11"/>
      <c r="D95" s="11"/>
      <c r="E95" s="11"/>
      <c r="F95" s="11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</row>
    <row r="96" spans="3:61" ht="11.4" customHeight="1" x14ac:dyDescent="0.2">
      <c r="C96" s="11"/>
      <c r="D96" s="11"/>
      <c r="E96" s="11"/>
      <c r="F96" s="11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</row>
    <row r="97" spans="3:61" ht="11.4" customHeight="1" x14ac:dyDescent="0.2">
      <c r="C97" s="11"/>
      <c r="D97" s="11"/>
      <c r="E97" s="11"/>
      <c r="F97" s="11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</row>
    <row r="98" spans="3:61" ht="11.4" customHeight="1" x14ac:dyDescent="0.2">
      <c r="C98" s="11"/>
      <c r="D98" s="11"/>
      <c r="E98" s="11"/>
      <c r="F98" s="11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</row>
    <row r="99" spans="3:61" ht="11.4" customHeight="1" x14ac:dyDescent="0.2">
      <c r="C99" s="11"/>
      <c r="D99" s="11"/>
      <c r="E99" s="11"/>
      <c r="F99" s="11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</row>
    <row r="100" spans="3:61" ht="11.4" customHeight="1" x14ac:dyDescent="0.2">
      <c r="C100" s="11"/>
      <c r="D100" s="11"/>
      <c r="E100" s="11"/>
      <c r="F100" s="11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</row>
    <row r="101" spans="3:61" ht="11.4" customHeight="1" x14ac:dyDescent="0.2">
      <c r="C101" s="11"/>
      <c r="D101" s="11"/>
      <c r="E101" s="11"/>
      <c r="F101" s="11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</row>
    <row r="102" spans="3:61" ht="11.4" customHeight="1" x14ac:dyDescent="0.2">
      <c r="C102" s="11"/>
      <c r="D102" s="11"/>
      <c r="E102" s="11"/>
      <c r="F102" s="11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</row>
    <row r="103" spans="3:61" ht="11.4" customHeight="1" x14ac:dyDescent="0.2">
      <c r="C103" s="11"/>
      <c r="D103" s="11"/>
      <c r="E103" s="11"/>
      <c r="F103" s="11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</row>
    <row r="104" spans="3:61" ht="11.4" customHeight="1" x14ac:dyDescent="0.2">
      <c r="C104" s="11"/>
      <c r="D104" s="11"/>
      <c r="E104" s="11"/>
      <c r="F104" s="11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</row>
    <row r="105" spans="3:61" ht="11.4" customHeight="1" x14ac:dyDescent="0.2">
      <c r="C105" s="11"/>
      <c r="D105" s="11"/>
      <c r="E105" s="11"/>
      <c r="F105" s="11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</row>
    <row r="106" spans="3:61" ht="11.4" customHeight="1" x14ac:dyDescent="0.2">
      <c r="C106" s="11"/>
      <c r="D106" s="11"/>
      <c r="E106" s="11"/>
      <c r="F106" s="11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</row>
    <row r="107" spans="3:61" ht="11.4" customHeight="1" x14ac:dyDescent="0.2">
      <c r="C107" s="11"/>
      <c r="D107" s="11"/>
      <c r="E107" s="11"/>
      <c r="F107" s="11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</row>
    <row r="108" spans="3:61" ht="11.4" customHeight="1" x14ac:dyDescent="0.2">
      <c r="C108" s="11"/>
      <c r="D108" s="11"/>
      <c r="E108" s="11"/>
      <c r="F108" s="11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</row>
    <row r="109" spans="3:61" ht="11.4" customHeight="1" x14ac:dyDescent="0.2">
      <c r="C109" s="11"/>
      <c r="D109" s="11"/>
      <c r="E109" s="11"/>
      <c r="F109" s="11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</row>
    <row r="110" spans="3:61" ht="11.4" customHeight="1" x14ac:dyDescent="0.2">
      <c r="C110" s="11"/>
      <c r="D110" s="11"/>
      <c r="E110" s="11"/>
      <c r="F110" s="11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</row>
    <row r="111" spans="3:61" ht="11.4" customHeight="1" x14ac:dyDescent="0.2">
      <c r="C111" s="11"/>
      <c r="D111" s="11"/>
      <c r="E111" s="11"/>
      <c r="F111" s="11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</row>
    <row r="112" spans="3:61" ht="11.4" customHeight="1" x14ac:dyDescent="0.2">
      <c r="C112" s="11"/>
      <c r="D112" s="11"/>
      <c r="E112" s="11"/>
      <c r="F112" s="11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</row>
    <row r="113" spans="3:61" ht="11.4" customHeight="1" x14ac:dyDescent="0.2">
      <c r="C113" s="11"/>
      <c r="D113" s="11"/>
      <c r="E113" s="11"/>
      <c r="F113" s="11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</row>
    <row r="114" spans="3:61" ht="11.4" customHeight="1" x14ac:dyDescent="0.2">
      <c r="C114" s="11"/>
      <c r="D114" s="11"/>
      <c r="E114" s="11"/>
      <c r="F114" s="11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</row>
    <row r="115" spans="3:61" ht="11.4" customHeight="1" x14ac:dyDescent="0.2">
      <c r="C115" s="11"/>
      <c r="D115" s="11"/>
      <c r="E115" s="11"/>
      <c r="F115" s="11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</row>
    <row r="116" spans="3:61" ht="11.4" customHeight="1" x14ac:dyDescent="0.2">
      <c r="C116" s="11"/>
      <c r="D116" s="11"/>
      <c r="E116" s="11"/>
      <c r="F116" s="11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</row>
    <row r="117" spans="3:61" ht="11.4" customHeight="1" x14ac:dyDescent="0.2">
      <c r="C117" s="11"/>
      <c r="D117" s="11"/>
      <c r="E117" s="11"/>
      <c r="F117" s="11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</row>
    <row r="118" spans="3:61" ht="11.4" customHeight="1" x14ac:dyDescent="0.2">
      <c r="C118" s="11"/>
      <c r="D118" s="11"/>
      <c r="E118" s="11"/>
      <c r="F118" s="11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</row>
    <row r="119" spans="3:61" ht="11.4" customHeight="1" x14ac:dyDescent="0.2">
      <c r="C119" s="11"/>
      <c r="D119" s="11"/>
      <c r="E119" s="11"/>
      <c r="F119" s="11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</row>
    <row r="120" spans="3:61" ht="11.4" customHeight="1" x14ac:dyDescent="0.2">
      <c r="C120" s="11"/>
      <c r="D120" s="11"/>
      <c r="E120" s="11"/>
      <c r="F120" s="11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</row>
    <row r="121" spans="3:61" ht="11.4" customHeight="1" x14ac:dyDescent="0.2">
      <c r="C121" s="11"/>
      <c r="D121" s="11"/>
      <c r="E121" s="11"/>
      <c r="F121" s="11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</row>
    <row r="122" spans="3:61" ht="11.4" customHeight="1" x14ac:dyDescent="0.2">
      <c r="C122" s="11"/>
      <c r="D122" s="11"/>
      <c r="E122" s="11"/>
      <c r="F122" s="11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</row>
    <row r="123" spans="3:61" ht="11.4" customHeight="1" x14ac:dyDescent="0.2">
      <c r="C123" s="11"/>
      <c r="D123" s="11"/>
      <c r="E123" s="11"/>
      <c r="F123" s="11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</row>
    <row r="124" spans="3:61" ht="11.4" customHeight="1" x14ac:dyDescent="0.2">
      <c r="C124" s="11"/>
      <c r="D124" s="11"/>
      <c r="E124" s="11"/>
      <c r="F124" s="11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</row>
    <row r="125" spans="3:61" ht="11.4" customHeight="1" x14ac:dyDescent="0.2">
      <c r="C125" s="11"/>
      <c r="D125" s="11"/>
      <c r="E125" s="11"/>
      <c r="F125" s="11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</row>
    <row r="126" spans="3:61" ht="11.4" customHeight="1" x14ac:dyDescent="0.2">
      <c r="C126" s="11"/>
      <c r="D126" s="11"/>
      <c r="E126" s="11"/>
      <c r="F126" s="11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</row>
    <row r="127" spans="3:61" ht="11.4" customHeight="1" x14ac:dyDescent="0.2">
      <c r="C127" s="11"/>
      <c r="D127" s="11"/>
      <c r="E127" s="11"/>
      <c r="F127" s="11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</row>
    <row r="128" spans="3:61" ht="11.4" customHeight="1" x14ac:dyDescent="0.2">
      <c r="C128" s="11"/>
      <c r="D128" s="11"/>
      <c r="E128" s="11"/>
      <c r="F128" s="11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</row>
    <row r="129" spans="3:61" ht="11.4" customHeight="1" x14ac:dyDescent="0.2">
      <c r="C129" s="11"/>
      <c r="D129" s="11"/>
      <c r="E129" s="11"/>
      <c r="F129" s="11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</row>
    <row r="130" spans="3:61" ht="11.4" customHeight="1" x14ac:dyDescent="0.2">
      <c r="C130" s="11"/>
      <c r="D130" s="11"/>
      <c r="E130" s="11"/>
      <c r="F130" s="11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</row>
    <row r="131" spans="3:61" ht="11.4" customHeight="1" x14ac:dyDescent="0.2">
      <c r="C131" s="11"/>
      <c r="D131" s="11"/>
      <c r="E131" s="11"/>
      <c r="F131" s="11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</row>
    <row r="132" spans="3:61" ht="11.4" customHeight="1" x14ac:dyDescent="0.2">
      <c r="C132" s="11"/>
      <c r="D132" s="11"/>
      <c r="E132" s="11"/>
      <c r="F132" s="11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</row>
    <row r="133" spans="3:61" ht="11.4" customHeight="1" x14ac:dyDescent="0.2">
      <c r="C133" s="11"/>
      <c r="D133" s="11"/>
      <c r="E133" s="11"/>
      <c r="F133" s="11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</row>
    <row r="134" spans="3:61" ht="11.4" customHeight="1" x14ac:dyDescent="0.2">
      <c r="C134" s="11"/>
      <c r="D134" s="11"/>
      <c r="E134" s="11"/>
      <c r="F134" s="11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</row>
    <row r="135" spans="3:61" ht="11.4" customHeight="1" x14ac:dyDescent="0.2">
      <c r="C135" s="11"/>
      <c r="D135" s="11"/>
      <c r="E135" s="11"/>
      <c r="F135" s="11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</row>
    <row r="136" spans="3:61" ht="11.4" customHeight="1" x14ac:dyDescent="0.2">
      <c r="C136" s="11"/>
      <c r="D136" s="11"/>
      <c r="E136" s="11"/>
      <c r="F136" s="11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</row>
    <row r="137" spans="3:61" ht="11.4" customHeight="1" x14ac:dyDescent="0.2">
      <c r="C137" s="11"/>
      <c r="D137" s="11"/>
      <c r="E137" s="11"/>
      <c r="F137" s="11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</row>
    <row r="138" spans="3:61" ht="11.4" customHeight="1" x14ac:dyDescent="0.2">
      <c r="C138" s="11"/>
      <c r="D138" s="11"/>
      <c r="E138" s="11"/>
      <c r="F138" s="11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</row>
    <row r="139" spans="3:61" ht="11.4" customHeight="1" x14ac:dyDescent="0.2">
      <c r="C139" s="11"/>
      <c r="D139" s="11"/>
      <c r="E139" s="11"/>
      <c r="F139" s="11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</row>
    <row r="140" spans="3:61" ht="11.4" customHeight="1" x14ac:dyDescent="0.2">
      <c r="C140" s="11"/>
      <c r="D140" s="11"/>
      <c r="E140" s="11"/>
      <c r="F140" s="11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</row>
    <row r="141" spans="3:61" ht="11.4" customHeight="1" x14ac:dyDescent="0.2">
      <c r="C141" s="11"/>
      <c r="D141" s="11"/>
      <c r="E141" s="11"/>
      <c r="F141" s="11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</row>
    <row r="142" spans="3:61" ht="11.4" customHeight="1" x14ac:dyDescent="0.2">
      <c r="C142" s="11"/>
      <c r="D142" s="11"/>
      <c r="E142" s="11"/>
      <c r="F142" s="11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</row>
    <row r="143" spans="3:61" ht="11.4" customHeight="1" x14ac:dyDescent="0.2">
      <c r="C143" s="11"/>
      <c r="D143" s="11"/>
      <c r="E143" s="11"/>
      <c r="F143" s="11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</row>
    <row r="144" spans="3:61" ht="11.4" customHeight="1" x14ac:dyDescent="0.2">
      <c r="C144" s="11"/>
      <c r="D144" s="11"/>
      <c r="E144" s="11"/>
      <c r="F144" s="11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</row>
    <row r="145" spans="3:61" ht="11.4" customHeight="1" x14ac:dyDescent="0.2">
      <c r="C145" s="11"/>
      <c r="D145" s="11"/>
      <c r="E145" s="11"/>
      <c r="F145" s="11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</row>
    <row r="146" spans="3:61" ht="11.4" customHeight="1" x14ac:dyDescent="0.2">
      <c r="C146" s="11"/>
      <c r="D146" s="11"/>
      <c r="E146" s="11"/>
      <c r="F146" s="11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</row>
    <row r="147" spans="3:61" ht="11.4" customHeight="1" x14ac:dyDescent="0.2">
      <c r="C147" s="11"/>
      <c r="D147" s="11"/>
      <c r="E147" s="11"/>
      <c r="F147" s="11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</row>
    <row r="148" spans="3:61" ht="11.4" customHeight="1" x14ac:dyDescent="0.2">
      <c r="C148" s="11"/>
      <c r="D148" s="11"/>
      <c r="E148" s="11"/>
      <c r="F148" s="11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</row>
    <row r="149" spans="3:61" ht="11.4" customHeight="1" x14ac:dyDescent="0.2">
      <c r="C149" s="11"/>
      <c r="D149" s="11"/>
      <c r="E149" s="11"/>
      <c r="F149" s="11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</row>
    <row r="150" spans="3:61" ht="11.4" customHeight="1" x14ac:dyDescent="0.2">
      <c r="C150" s="11"/>
      <c r="D150" s="11"/>
      <c r="E150" s="11"/>
      <c r="F150" s="11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</row>
    <row r="151" spans="3:61" ht="11.4" customHeight="1" x14ac:dyDescent="0.2">
      <c r="C151" s="11"/>
      <c r="D151" s="11"/>
      <c r="E151" s="11"/>
      <c r="F151" s="11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</row>
    <row r="152" spans="3:61" ht="11.4" customHeight="1" x14ac:dyDescent="0.2">
      <c r="C152" s="11"/>
      <c r="D152" s="11"/>
      <c r="E152" s="11"/>
      <c r="F152" s="11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</row>
    <row r="153" spans="3:61" ht="11.4" customHeight="1" x14ac:dyDescent="0.2">
      <c r="C153" s="11"/>
      <c r="D153" s="11"/>
      <c r="E153" s="11"/>
      <c r="F153" s="11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</row>
    <row r="154" spans="3:61" ht="11.4" customHeight="1" x14ac:dyDescent="0.2">
      <c r="C154" s="11"/>
      <c r="D154" s="11"/>
      <c r="E154" s="11"/>
      <c r="F154" s="11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</row>
    <row r="155" spans="3:61" ht="11.4" customHeight="1" x14ac:dyDescent="0.2">
      <c r="C155" s="11"/>
      <c r="D155" s="11"/>
      <c r="E155" s="11"/>
      <c r="F155" s="11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</row>
    <row r="156" spans="3:61" ht="11.4" customHeight="1" x14ac:dyDescent="0.2">
      <c r="C156" s="11"/>
      <c r="D156" s="11"/>
      <c r="E156" s="11"/>
      <c r="F156" s="11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</row>
    <row r="157" spans="3:61" ht="11.4" customHeight="1" x14ac:dyDescent="0.2">
      <c r="C157" s="11"/>
      <c r="D157" s="11"/>
      <c r="E157" s="11"/>
      <c r="F157" s="11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</row>
    <row r="158" spans="3:61" ht="11.4" customHeight="1" x14ac:dyDescent="0.2">
      <c r="C158" s="11"/>
      <c r="D158" s="11"/>
      <c r="E158" s="11"/>
      <c r="F158" s="11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</row>
    <row r="159" spans="3:61" ht="11.4" customHeight="1" x14ac:dyDescent="0.2">
      <c r="C159" s="11"/>
      <c r="D159" s="11"/>
      <c r="E159" s="11"/>
      <c r="F159" s="11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</row>
    <row r="160" spans="3:61" ht="11.4" customHeight="1" x14ac:dyDescent="0.2">
      <c r="C160" s="11"/>
      <c r="D160" s="11"/>
      <c r="E160" s="11"/>
      <c r="F160" s="11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</row>
    <row r="161" spans="3:61" ht="11.4" customHeight="1" x14ac:dyDescent="0.2">
      <c r="C161" s="11"/>
      <c r="D161" s="11"/>
      <c r="E161" s="11"/>
      <c r="F161" s="11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</row>
    <row r="162" spans="3:61" ht="11.4" customHeight="1" x14ac:dyDescent="0.2">
      <c r="C162" s="11"/>
      <c r="D162" s="11"/>
      <c r="E162" s="11"/>
      <c r="F162" s="11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</row>
    <row r="163" spans="3:61" ht="11.4" customHeight="1" x14ac:dyDescent="0.2">
      <c r="C163" s="11"/>
      <c r="D163" s="11"/>
      <c r="E163" s="11"/>
      <c r="F163" s="11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</row>
    <row r="164" spans="3:61" ht="11.4" customHeight="1" x14ac:dyDescent="0.2">
      <c r="C164" s="11"/>
      <c r="D164" s="11"/>
      <c r="E164" s="11"/>
      <c r="F164" s="11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</row>
    <row r="165" spans="3:61" ht="11.4" customHeight="1" x14ac:dyDescent="0.2">
      <c r="C165" s="11"/>
      <c r="D165" s="11"/>
      <c r="E165" s="11"/>
      <c r="F165" s="11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</row>
    <row r="166" spans="3:61" ht="11.4" customHeight="1" x14ac:dyDescent="0.2">
      <c r="C166" s="11"/>
      <c r="D166" s="11"/>
      <c r="E166" s="11"/>
      <c r="F166" s="11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</row>
    <row r="167" spans="3:61" ht="11.4" customHeight="1" x14ac:dyDescent="0.2">
      <c r="C167" s="11"/>
      <c r="D167" s="11"/>
      <c r="E167" s="11"/>
      <c r="F167" s="11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</row>
    <row r="168" spans="3:61" ht="11.4" customHeight="1" x14ac:dyDescent="0.2">
      <c r="C168" s="11"/>
      <c r="D168" s="11"/>
      <c r="E168" s="11"/>
      <c r="F168" s="11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</row>
    <row r="169" spans="3:61" ht="11.4" customHeight="1" x14ac:dyDescent="0.2">
      <c r="C169" s="11"/>
      <c r="D169" s="11"/>
      <c r="E169" s="11"/>
      <c r="F169" s="11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</row>
    <row r="170" spans="3:61" ht="11.4" customHeight="1" x14ac:dyDescent="0.2">
      <c r="C170" s="11"/>
      <c r="D170" s="11"/>
      <c r="E170" s="11"/>
      <c r="F170" s="11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</row>
    <row r="171" spans="3:61" ht="11.4" customHeight="1" x14ac:dyDescent="0.2">
      <c r="C171" s="11"/>
      <c r="D171" s="11"/>
      <c r="E171" s="11"/>
      <c r="F171" s="11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</row>
    <row r="172" spans="3:61" ht="11.4" customHeight="1" x14ac:dyDescent="0.2">
      <c r="C172" s="11"/>
      <c r="D172" s="11"/>
      <c r="E172" s="11"/>
      <c r="F172" s="11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</row>
    <row r="173" spans="3:61" ht="11.4" customHeight="1" x14ac:dyDescent="0.2">
      <c r="C173" s="11"/>
      <c r="D173" s="11"/>
      <c r="E173" s="11"/>
      <c r="F173" s="11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</row>
    <row r="174" spans="3:61" ht="11.4" customHeight="1" x14ac:dyDescent="0.2">
      <c r="C174" s="11"/>
      <c r="D174" s="11"/>
      <c r="E174" s="11"/>
      <c r="F174" s="11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</row>
    <row r="175" spans="3:61" ht="11.4" customHeight="1" x14ac:dyDescent="0.2">
      <c r="C175" s="11"/>
      <c r="D175" s="11"/>
      <c r="E175" s="11"/>
      <c r="F175" s="11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</row>
    <row r="176" spans="3:61" ht="11.4" customHeight="1" x14ac:dyDescent="0.2">
      <c r="C176" s="11"/>
      <c r="D176" s="11"/>
      <c r="E176" s="11"/>
      <c r="F176" s="11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</row>
    <row r="177" spans="3:61" ht="11.4" customHeight="1" x14ac:dyDescent="0.2">
      <c r="C177" s="11"/>
      <c r="D177" s="11"/>
      <c r="E177" s="11"/>
      <c r="F177" s="11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</row>
    <row r="178" spans="3:61" ht="11.4" customHeight="1" x14ac:dyDescent="0.2">
      <c r="C178" s="11"/>
      <c r="D178" s="11"/>
      <c r="E178" s="11"/>
      <c r="F178" s="11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</row>
    <row r="179" spans="3:61" ht="11.4" customHeight="1" x14ac:dyDescent="0.2">
      <c r="C179" s="11"/>
      <c r="D179" s="11"/>
      <c r="E179" s="11"/>
      <c r="F179" s="11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</row>
    <row r="180" spans="3:61" ht="11.4" customHeight="1" x14ac:dyDescent="0.2">
      <c r="C180" s="11"/>
      <c r="D180" s="11"/>
      <c r="E180" s="11"/>
      <c r="F180" s="11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</row>
    <row r="181" spans="3:61" ht="11.4" customHeight="1" x14ac:dyDescent="0.2">
      <c r="C181" s="11"/>
      <c r="D181" s="11"/>
      <c r="E181" s="11"/>
      <c r="F181" s="11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</row>
    <row r="182" spans="3:61" ht="11.4" customHeight="1" x14ac:dyDescent="0.2">
      <c r="C182" s="11"/>
      <c r="D182" s="11"/>
      <c r="E182" s="11"/>
      <c r="F182" s="11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</row>
    <row r="183" spans="3:61" ht="11.4" customHeight="1" x14ac:dyDescent="0.2">
      <c r="C183" s="11"/>
      <c r="D183" s="11"/>
      <c r="E183" s="11"/>
      <c r="F183" s="11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</row>
    <row r="184" spans="3:61" ht="11.4" customHeight="1" x14ac:dyDescent="0.2">
      <c r="C184" s="11"/>
      <c r="D184" s="11"/>
      <c r="E184" s="11"/>
      <c r="F184" s="11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</row>
    <row r="185" spans="3:61" ht="11.4" customHeight="1" x14ac:dyDescent="0.2">
      <c r="C185" s="11"/>
      <c r="D185" s="11"/>
      <c r="E185" s="11"/>
      <c r="F185" s="11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</row>
    <row r="186" spans="3:61" ht="11.4" customHeight="1" x14ac:dyDescent="0.2">
      <c r="C186" s="11"/>
      <c r="D186" s="11"/>
      <c r="E186" s="11"/>
      <c r="F186" s="11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</row>
    <row r="187" spans="3:61" ht="11.4" customHeight="1" x14ac:dyDescent="0.2">
      <c r="C187" s="11"/>
      <c r="D187" s="11"/>
      <c r="E187" s="11"/>
      <c r="F187" s="11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</row>
    <row r="188" spans="3:61" ht="11.4" customHeight="1" x14ac:dyDescent="0.2">
      <c r="C188" s="11"/>
      <c r="D188" s="11"/>
      <c r="E188" s="11"/>
      <c r="F188" s="11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</row>
    <row r="189" spans="3:61" ht="11.4" customHeight="1" x14ac:dyDescent="0.2">
      <c r="C189" s="11"/>
      <c r="D189" s="11"/>
      <c r="E189" s="11"/>
      <c r="F189" s="11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</row>
    <row r="190" spans="3:61" ht="11.4" customHeight="1" x14ac:dyDescent="0.2">
      <c r="C190" s="11"/>
      <c r="D190" s="11"/>
      <c r="E190" s="11"/>
      <c r="F190" s="11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</row>
    <row r="191" spans="3:61" ht="11.4" customHeight="1" x14ac:dyDescent="0.2">
      <c r="C191" s="11"/>
      <c r="D191" s="11"/>
      <c r="E191" s="11"/>
      <c r="F191" s="11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</row>
    <row r="192" spans="3:61" ht="11.4" customHeight="1" x14ac:dyDescent="0.2">
      <c r="C192" s="11"/>
      <c r="D192" s="11"/>
      <c r="E192" s="11"/>
      <c r="F192" s="11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</row>
    <row r="193" spans="3:61" ht="11.4" customHeight="1" x14ac:dyDescent="0.2">
      <c r="C193" s="11"/>
      <c r="D193" s="11"/>
      <c r="E193" s="11"/>
      <c r="F193" s="11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</row>
    <row r="194" spans="3:61" ht="11.4" customHeight="1" x14ac:dyDescent="0.2">
      <c r="C194" s="11"/>
      <c r="D194" s="11"/>
      <c r="E194" s="11"/>
      <c r="F194" s="11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</row>
    <row r="195" spans="3:61" ht="11.4" customHeight="1" x14ac:dyDescent="0.2">
      <c r="C195" s="11"/>
      <c r="D195" s="11"/>
      <c r="E195" s="11"/>
      <c r="F195" s="11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</row>
    <row r="196" spans="3:61" ht="11.4" customHeight="1" x14ac:dyDescent="0.2">
      <c r="C196" s="11"/>
      <c r="D196" s="11"/>
      <c r="E196" s="11"/>
      <c r="F196" s="11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</row>
    <row r="197" spans="3:61" ht="11.4" customHeight="1" x14ac:dyDescent="0.2">
      <c r="C197" s="11"/>
      <c r="D197" s="11"/>
      <c r="E197" s="11"/>
      <c r="F197" s="11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</row>
    <row r="198" spans="3:61" ht="11.4" customHeight="1" x14ac:dyDescent="0.2">
      <c r="C198" s="11"/>
      <c r="D198" s="11"/>
      <c r="E198" s="11"/>
      <c r="F198" s="11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</row>
    <row r="199" spans="3:61" ht="11.4" customHeight="1" x14ac:dyDescent="0.2">
      <c r="C199" s="11"/>
      <c r="D199" s="11"/>
      <c r="E199" s="11"/>
      <c r="F199" s="11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</row>
    <row r="200" spans="3:61" ht="11.4" customHeight="1" x14ac:dyDescent="0.2">
      <c r="C200" s="11"/>
      <c r="D200" s="11"/>
      <c r="E200" s="11"/>
      <c r="F200" s="11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</row>
    <row r="201" spans="3:61" ht="11.4" customHeight="1" x14ac:dyDescent="0.2">
      <c r="C201" s="11"/>
      <c r="D201" s="11"/>
      <c r="E201" s="11"/>
      <c r="F201" s="11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</row>
    <row r="202" spans="3:61" ht="11.4" customHeight="1" x14ac:dyDescent="0.2">
      <c r="C202" s="11"/>
      <c r="D202" s="11"/>
      <c r="E202" s="11"/>
      <c r="F202" s="11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</row>
    <row r="203" spans="3:61" ht="11.4" customHeight="1" x14ac:dyDescent="0.2">
      <c r="C203" s="11"/>
      <c r="D203" s="11"/>
      <c r="E203" s="11"/>
      <c r="F203" s="11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</row>
    <row r="204" spans="3:61" ht="11.4" customHeight="1" x14ac:dyDescent="0.2">
      <c r="C204" s="11"/>
      <c r="D204" s="11"/>
      <c r="E204" s="11"/>
      <c r="F204" s="11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</row>
    <row r="205" spans="3:61" ht="11.4" customHeight="1" x14ac:dyDescent="0.2">
      <c r="C205" s="11"/>
      <c r="D205" s="11"/>
      <c r="E205" s="11"/>
      <c r="F205" s="11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</row>
    <row r="206" spans="3:61" ht="11.4" customHeight="1" x14ac:dyDescent="0.2">
      <c r="C206" s="11"/>
      <c r="D206" s="11"/>
      <c r="E206" s="11"/>
      <c r="F206" s="11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</row>
    <row r="207" spans="3:61" ht="11.4" customHeight="1" x14ac:dyDescent="0.2">
      <c r="C207" s="11"/>
      <c r="D207" s="11"/>
      <c r="E207" s="11"/>
      <c r="F207" s="11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</row>
    <row r="208" spans="3:61" ht="11.4" customHeight="1" x14ac:dyDescent="0.2">
      <c r="C208" s="11"/>
      <c r="D208" s="11"/>
      <c r="E208" s="11"/>
      <c r="F208" s="11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</row>
    <row r="209" spans="3:61" ht="11.4" customHeight="1" x14ac:dyDescent="0.2">
      <c r="C209" s="11"/>
      <c r="D209" s="11"/>
      <c r="E209" s="11"/>
      <c r="F209" s="11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</row>
    <row r="210" spans="3:61" ht="11.4" customHeight="1" x14ac:dyDescent="0.2">
      <c r="C210" s="11"/>
      <c r="D210" s="11"/>
      <c r="E210" s="11"/>
      <c r="F210" s="11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</row>
  </sheetData>
  <pageMargins left="0.75" right="1" top="0.75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Dasha</dc:creator>
  <cp:lastModifiedBy>Dasha</cp:lastModifiedBy>
  <dcterms:created xsi:type="dcterms:W3CDTF">2026-06-23T07:26:40Z</dcterms:created>
  <dcterms:modified xsi:type="dcterms:W3CDTF">2026-06-23T08:42:34Z</dcterms:modified>
</cp:coreProperties>
</file>