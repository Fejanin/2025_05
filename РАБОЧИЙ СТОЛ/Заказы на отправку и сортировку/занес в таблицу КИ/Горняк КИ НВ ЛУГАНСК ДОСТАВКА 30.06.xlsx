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сортировку\"/>
    </mc:Choice>
  </mc:AlternateContent>
  <xr:revisionPtr revIDLastSave="0" documentId="13_ncr:1_{C0618913-5048-4B17-A695-D4289C32E38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66" i="2" s="1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Z267" i="2" s="1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Z90" i="2" s="1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Z214" i="2" s="1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Z362" i="2" s="1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Z258" i="2" s="1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46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Z481" i="2" s="1"/>
  <c r="Y486" i="2"/>
  <c r="Z242" i="2" l="1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<sst xmlns="http://schemas.openxmlformats.org/spreadsheetml/2006/main" count="3643" uniqueCount="787">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</sst>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Z9" sqref="Z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49" t="s">
        <v>26</v>
      </c>
      <c r="E1" s="549"/>
      <c r="F1" s="549"/>
      <c r="G1" s="14" t="s">
        <v>66</v>
      </c>
      <c r="H1" s="549" t="s">
        <v>46</v>
      </c>
      <c r="I1" s="549"/>
      <c r="J1" s="549"/>
      <c r="K1" s="549"/>
      <c r="L1" s="549"/>
      <c r="M1" s="549"/>
      <c r="N1" s="549"/>
      <c r="O1" s="549"/>
      <c r="P1" s="549"/>
      <c r="Q1" s="549"/>
      <c r="R1" s="550" t="s">
        <v>67</v>
      </c>
      <c r="S1" s="551"/>
      <c r="T1" s="55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2"/>
      <c r="R2" s="552"/>
      <c r="S2" s="552"/>
      <c r="T2" s="552"/>
      <c r="U2" s="552"/>
      <c r="V2" s="552"/>
      <c r="W2" s="5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2"/>
      <c r="Q3" s="552"/>
      <c r="R3" s="552"/>
      <c r="S3" s="552"/>
      <c r="T3" s="552"/>
      <c r="U3" s="552"/>
      <c r="V3" s="552"/>
      <c r="W3" s="5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53" t="s">
        <v>8</v>
      </c>
      <c r="B5" s="553"/>
      <c r="C5" s="553"/>
      <c r="D5" s="554"/>
      <c r="E5" s="554"/>
      <c r="F5" s="555" t="s">
        <v>14</v>
      </c>
      <c r="G5" s="555"/>
      <c r="H5" s="554"/>
      <c r="I5" s="554"/>
      <c r="J5" s="554"/>
      <c r="K5" s="554"/>
      <c r="L5" s="554"/>
      <c r="M5" s="554"/>
      <c r="N5" s="69"/>
      <c r="P5" s="26" t="s">
        <v>4</v>
      </c>
      <c r="Q5" s="556"/>
      <c r="R5" s="556"/>
      <c r="T5" s="557" t="s">
        <v>3</v>
      </c>
      <c r="U5" s="558"/>
      <c r="V5" s="559" t="s">
        <v>750</v>
      </c>
      <c r="W5" s="560"/>
      <c r="AB5" s="57"/>
      <c r="AC5" s="57"/>
      <c r="AD5" s="57"/>
      <c r="AE5" s="57"/>
    </row>
    <row r="6" spans="1:32" s="17" customFormat="1" ht="24" customHeight="1" x14ac:dyDescent="0.2">
      <c r="A6" s="553" t="s">
        <v>1</v>
      </c>
      <c r="B6" s="553"/>
      <c r="C6" s="553"/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70"/>
      <c r="P6" s="26" t="s">
        <v>27</v>
      </c>
      <c r="Q6" s="562" t="str">
        <f>IF(Q5=0," ",CHOOSE(WEEKDAY(Q5,2),"Понедельник","Вторник","Среда","Четверг","Пятница","Суббота","Воскресенье"))</f>
        <v xml:space="preserve"> </v>
      </c>
      <c r="R6" s="562"/>
      <c r="T6" s="563" t="s">
        <v>5</v>
      </c>
      <c r="U6" s="564"/>
      <c r="V6" s="565" t="s">
        <v>69</v>
      </c>
      <c r="W6" s="56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571">
        <f>IFERROR(VLOOKUP(DeliveryAddress,Table,3,0),1)</f>
        <v>1</v>
      </c>
      <c r="E7" s="572"/>
      <c r="F7" s="572"/>
      <c r="G7" s="572"/>
      <c r="H7" s="572"/>
      <c r="I7" s="572"/>
      <c r="J7" s="572"/>
      <c r="K7" s="572"/>
      <c r="L7" s="572"/>
      <c r="M7" s="573"/>
      <c r="N7" s="71"/>
      <c r="P7" s="26"/>
      <c r="Q7" s="46"/>
      <c r="R7" s="46"/>
      <c r="T7" s="563"/>
      <c r="U7" s="564"/>
      <c r="V7" s="567"/>
      <c r="W7" s="568"/>
      <c r="AB7" s="57"/>
      <c r="AC7" s="57"/>
      <c r="AD7" s="57"/>
      <c r="AE7" s="57"/>
    </row>
    <row r="8" spans="1:32" s="17" customFormat="1" ht="25.5" customHeight="1" x14ac:dyDescent="0.2">
      <c r="A8" s="574" t="s">
        <v>57</v>
      </c>
      <c r="B8" s="574"/>
      <c r="C8" s="574"/>
      <c r="D8" s="575"/>
      <c r="E8" s="575"/>
      <c r="F8" s="575"/>
      <c r="G8" s="575"/>
      <c r="H8" s="575"/>
      <c r="I8" s="575"/>
      <c r="J8" s="575"/>
      <c r="K8" s="575"/>
      <c r="L8" s="575"/>
      <c r="M8" s="575"/>
      <c r="N8" s="72"/>
      <c r="P8" s="26" t="s">
        <v>11</v>
      </c>
      <c r="Q8" s="576"/>
      <c r="R8" s="576"/>
      <c r="T8" s="563"/>
      <c r="U8" s="564"/>
      <c r="V8" s="567"/>
      <c r="W8" s="568"/>
      <c r="AB8" s="57"/>
      <c r="AC8" s="57"/>
      <c r="AD8" s="57"/>
      <c r="AE8" s="57"/>
    </row>
    <row r="9" spans="1:32" s="17" customFormat="1" ht="39.950000000000003" customHeight="1" x14ac:dyDescent="0.2">
      <c r="A9" s="5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7"/>
      <c r="C9" s="577"/>
      <c r="D9" s="578" t="s">
        <v>45</v>
      </c>
      <c r="E9" s="579"/>
      <c r="F9" s="5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7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0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0"/>
      <c r="L9" s="580"/>
      <c r="M9" s="580"/>
      <c r="N9" s="67"/>
      <c r="P9" s="29" t="s">
        <v>15</v>
      </c>
      <c r="Q9" s="581">
        <v>46203</v>
      </c>
      <c r="R9" s="581"/>
      <c r="T9" s="563"/>
      <c r="U9" s="564"/>
      <c r="V9" s="569"/>
      <c r="W9" s="57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5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7"/>
      <c r="C10" s="577"/>
      <c r="D10" s="578"/>
      <c r="E10" s="579"/>
      <c r="F10" s="5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7"/>
      <c r="H10" s="582" t="str">
        <f>IFERROR(VLOOKUP($D$10,Proxy,2,FALSE),"")</f>
        <v/>
      </c>
      <c r="I10" s="582"/>
      <c r="J10" s="582"/>
      <c r="K10" s="582"/>
      <c r="L10" s="582"/>
      <c r="M10" s="582"/>
      <c r="N10" s="68"/>
      <c r="P10" s="29" t="s">
        <v>32</v>
      </c>
      <c r="Q10" s="583">
        <v>0.54166666666666663</v>
      </c>
      <c r="R10" s="583"/>
      <c r="U10" s="26" t="s">
        <v>12</v>
      </c>
      <c r="V10" s="584" t="s">
        <v>70</v>
      </c>
      <c r="W10" s="58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586"/>
      <c r="R11" s="586"/>
      <c r="U11" s="26" t="s">
        <v>28</v>
      </c>
      <c r="V11" s="587" t="s">
        <v>54</v>
      </c>
      <c r="W11" s="58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588" t="s">
        <v>71</v>
      </c>
      <c r="B12" s="588"/>
      <c r="C12" s="588"/>
      <c r="D12" s="588"/>
      <c r="E12" s="588"/>
      <c r="F12" s="588"/>
      <c r="G12" s="588"/>
      <c r="H12" s="588"/>
      <c r="I12" s="588"/>
      <c r="J12" s="588"/>
      <c r="K12" s="588"/>
      <c r="L12" s="588"/>
      <c r="M12" s="588"/>
      <c r="N12" s="73"/>
      <c r="P12" s="26" t="s">
        <v>30</v>
      </c>
      <c r="Q12" s="576"/>
      <c r="R12" s="576"/>
      <c r="S12" s="27"/>
      <c r="T12"/>
      <c r="U12" s="26" t="s">
        <v>45</v>
      </c>
      <c r="V12" s="589"/>
      <c r="W12" s="589"/>
      <c r="X12"/>
      <c r="AB12" s="57"/>
      <c r="AC12" s="57"/>
      <c r="AD12" s="57"/>
      <c r="AE12" s="57"/>
    </row>
    <row r="13" spans="1:32" s="17" customFormat="1" ht="23.25" customHeight="1" x14ac:dyDescent="0.2">
      <c r="A13" s="588" t="s">
        <v>72</v>
      </c>
      <c r="B13" s="588"/>
      <c r="C13" s="588"/>
      <c r="D13" s="588"/>
      <c r="E13" s="588"/>
      <c r="F13" s="588"/>
      <c r="G13" s="588"/>
      <c r="H13" s="588"/>
      <c r="I13" s="588"/>
      <c r="J13" s="588"/>
      <c r="K13" s="588"/>
      <c r="L13" s="588"/>
      <c r="M13" s="588"/>
      <c r="N13" s="73"/>
      <c r="O13" s="29"/>
      <c r="P13" s="29" t="s">
        <v>31</v>
      </c>
      <c r="Q13" s="587"/>
      <c r="R13" s="58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588" t="s">
        <v>73</v>
      </c>
      <c r="B14" s="588"/>
      <c r="C14" s="588"/>
      <c r="D14" s="588"/>
      <c r="E14" s="588"/>
      <c r="F14" s="588"/>
      <c r="G14" s="588"/>
      <c r="H14" s="588"/>
      <c r="I14" s="588"/>
      <c r="J14" s="588"/>
      <c r="K14" s="588"/>
      <c r="L14" s="588"/>
      <c r="M14" s="5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590" t="s">
        <v>74</v>
      </c>
      <c r="B15" s="590"/>
      <c r="C15" s="590"/>
      <c r="D15" s="590"/>
      <c r="E15" s="590"/>
      <c r="F15" s="590"/>
      <c r="G15" s="590"/>
      <c r="H15" s="590"/>
      <c r="I15" s="590"/>
      <c r="J15" s="590"/>
      <c r="K15" s="590"/>
      <c r="L15" s="590"/>
      <c r="M15" s="590"/>
      <c r="N15" s="74"/>
      <c r="O15"/>
      <c r="P15" s="591" t="s">
        <v>60</v>
      </c>
      <c r="Q15" s="591"/>
      <c r="R15" s="591"/>
      <c r="S15" s="591"/>
      <c r="T15" s="5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2"/>
      <c r="Q16" s="592"/>
      <c r="R16" s="592"/>
      <c r="S16" s="592"/>
      <c r="T16" s="5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5" t="s">
        <v>58</v>
      </c>
      <c r="B17" s="595" t="s">
        <v>48</v>
      </c>
      <c r="C17" s="597" t="s">
        <v>47</v>
      </c>
      <c r="D17" s="599" t="s">
        <v>49</v>
      </c>
      <c r="E17" s="600"/>
      <c r="F17" s="595" t="s">
        <v>21</v>
      </c>
      <c r="G17" s="595" t="s">
        <v>24</v>
      </c>
      <c r="H17" s="595" t="s">
        <v>22</v>
      </c>
      <c r="I17" s="595" t="s">
        <v>23</v>
      </c>
      <c r="J17" s="595" t="s">
        <v>16</v>
      </c>
      <c r="K17" s="595" t="s">
        <v>65</v>
      </c>
      <c r="L17" s="595" t="s">
        <v>63</v>
      </c>
      <c r="M17" s="595" t="s">
        <v>2</v>
      </c>
      <c r="N17" s="595" t="s">
        <v>62</v>
      </c>
      <c r="O17" s="595" t="s">
        <v>25</v>
      </c>
      <c r="P17" s="599" t="s">
        <v>17</v>
      </c>
      <c r="Q17" s="603"/>
      <c r="R17" s="603"/>
      <c r="S17" s="603"/>
      <c r="T17" s="600"/>
      <c r="U17" s="593" t="s">
        <v>55</v>
      </c>
      <c r="V17" s="594"/>
      <c r="W17" s="595" t="s">
        <v>6</v>
      </c>
      <c r="X17" s="595" t="s">
        <v>41</v>
      </c>
      <c r="Y17" s="605" t="s">
        <v>53</v>
      </c>
      <c r="Z17" s="607" t="s">
        <v>18</v>
      </c>
      <c r="AA17" s="609" t="s">
        <v>59</v>
      </c>
      <c r="AB17" s="609" t="s">
        <v>19</v>
      </c>
      <c r="AC17" s="609" t="s">
        <v>64</v>
      </c>
      <c r="AD17" s="611" t="s">
        <v>56</v>
      </c>
      <c r="AE17" s="612"/>
      <c r="AF17" s="613"/>
      <c r="AG17" s="77"/>
      <c r="BD17" s="76" t="s">
        <v>61</v>
      </c>
    </row>
    <row r="18" spans="1:68" ht="14.25" customHeight="1" x14ac:dyDescent="0.2">
      <c r="A18" s="596"/>
      <c r="B18" s="596"/>
      <c r="C18" s="598"/>
      <c r="D18" s="601"/>
      <c r="E18" s="602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01"/>
      <c r="Q18" s="604"/>
      <c r="R18" s="604"/>
      <c r="S18" s="604"/>
      <c r="T18" s="602"/>
      <c r="U18" s="78" t="s">
        <v>44</v>
      </c>
      <c r="V18" s="78" t="s">
        <v>43</v>
      </c>
      <c r="W18" s="596"/>
      <c r="X18" s="596"/>
      <c r="Y18" s="606"/>
      <c r="Z18" s="608"/>
      <c r="AA18" s="610"/>
      <c r="AB18" s="610"/>
      <c r="AC18" s="610"/>
      <c r="AD18" s="614"/>
      <c r="AE18" s="615"/>
      <c r="AF18" s="616"/>
      <c r="AG18" s="77"/>
      <c r="BD18" s="76"/>
    </row>
    <row r="19" spans="1:68" ht="27.75" customHeight="1" x14ac:dyDescent="0.2">
      <c r="A19" s="617" t="s">
        <v>75</v>
      </c>
      <c r="B19" s="617"/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/>
      <c r="Y19" s="617"/>
      <c r="Z19" s="617"/>
      <c r="AA19" s="52"/>
      <c r="AB19" s="52"/>
      <c r="AC19" s="52"/>
    </row>
    <row r="20" spans="1:68" ht="16.5" customHeight="1" x14ac:dyDescent="0.25">
      <c r="A20" s="618" t="s">
        <v>75</v>
      </c>
      <c r="B20" s="618"/>
      <c r="C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  <c r="P20" s="618"/>
      <c r="Q20" s="618"/>
      <c r="R20" s="618"/>
      <c r="S20" s="618"/>
      <c r="T20" s="618"/>
      <c r="U20" s="618"/>
      <c r="V20" s="618"/>
      <c r="W20" s="618"/>
      <c r="X20" s="618"/>
      <c r="Y20" s="618"/>
      <c r="Z20" s="618"/>
      <c r="AA20" s="62"/>
      <c r="AB20" s="62"/>
      <c r="AC20" s="62"/>
    </row>
    <row r="21" spans="1:68" ht="14.25" customHeight="1" x14ac:dyDescent="0.25">
      <c r="A21" s="619" t="s">
        <v>76</v>
      </c>
      <c r="B21" s="619"/>
      <c r="C21" s="619"/>
      <c r="D21" s="619"/>
      <c r="E21" s="619"/>
      <c r="F21" s="619"/>
      <c r="G21" s="619"/>
      <c r="H21" s="619"/>
      <c r="I21" s="619"/>
      <c r="J21" s="619"/>
      <c r="K21" s="619"/>
      <c r="L21" s="619"/>
      <c r="M21" s="619"/>
      <c r="N21" s="619"/>
      <c r="O21" s="619"/>
      <c r="P21" s="619"/>
      <c r="Q21" s="619"/>
      <c r="R21" s="619"/>
      <c r="S21" s="619"/>
      <c r="T21" s="619"/>
      <c r="U21" s="619"/>
      <c r="V21" s="619"/>
      <c r="W21" s="619"/>
      <c r="X21" s="619"/>
      <c r="Y21" s="619"/>
      <c r="Z21" s="619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4301031446</v>
      </c>
      <c r="D22" s="620">
        <v>4680115887510</v>
      </c>
      <c r="E22" s="620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62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2"/>
      <c r="R22" s="622"/>
      <c r="S22" s="622"/>
      <c r="T22" s="623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4301031278</v>
      </c>
      <c r="D23" s="620">
        <v>4680115886643</v>
      </c>
      <c r="E23" s="620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6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2"/>
      <c r="R23" s="622"/>
      <c r="S23" s="622"/>
      <c r="T23" s="623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19" t="s">
        <v>86</v>
      </c>
      <c r="B26" s="619"/>
      <c r="C26" s="619"/>
      <c r="D26" s="619"/>
      <c r="E26" s="619"/>
      <c r="F26" s="619"/>
      <c r="G26" s="619"/>
      <c r="H26" s="619"/>
      <c r="I26" s="619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620">
        <v>4680115885912</v>
      </c>
      <c r="E27" s="62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620">
        <v>4607091388237</v>
      </c>
      <c r="E28" s="62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620">
        <v>4680115887350</v>
      </c>
      <c r="E29" s="62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620">
        <v>4680115885905</v>
      </c>
      <c r="E30" s="62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4301052078</v>
      </c>
      <c r="D31" s="620">
        <v>4680115887657</v>
      </c>
      <c r="E31" s="62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63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2"/>
      <c r="R31" s="622"/>
      <c r="S31" s="622"/>
      <c r="T31" s="623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103</v>
      </c>
      <c r="B32" s="60" t="s">
        <v>104</v>
      </c>
      <c r="C32" s="34">
        <v>4301052071</v>
      </c>
      <c r="D32" s="620">
        <v>4680115887619</v>
      </c>
      <c r="E32" s="620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6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2"/>
      <c r="R32" s="622"/>
      <c r="S32" s="622"/>
      <c r="T32" s="623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619" t="s">
        <v>106</v>
      </c>
      <c r="B35" s="619"/>
      <c r="C35" s="619"/>
      <c r="D35" s="619"/>
      <c r="E35" s="619"/>
      <c r="F35" s="619"/>
      <c r="G35" s="619"/>
      <c r="H35" s="619"/>
      <c r="I35" s="619"/>
      <c r="J35" s="619"/>
      <c r="K35" s="619"/>
      <c r="L35" s="619"/>
      <c r="M35" s="619"/>
      <c r="N35" s="619"/>
      <c r="O35" s="619"/>
      <c r="P35" s="619"/>
      <c r="Q35" s="619"/>
      <c r="R35" s="619"/>
      <c r="S35" s="619"/>
      <c r="T35" s="619"/>
      <c r="U35" s="619"/>
      <c r="V35" s="619"/>
      <c r="W35" s="619"/>
      <c r="X35" s="619"/>
      <c r="Y35" s="619"/>
      <c r="Z35" s="619"/>
      <c r="AA35" s="63"/>
      <c r="AB35" s="63"/>
      <c r="AC35" s="63"/>
    </row>
    <row r="36" spans="1:68" ht="27" customHeight="1" x14ac:dyDescent="0.25">
      <c r="A36" s="60" t="s">
        <v>107</v>
      </c>
      <c r="B36" s="60" t="s">
        <v>108</v>
      </c>
      <c r="C36" s="34">
        <v>4301032013</v>
      </c>
      <c r="D36" s="620">
        <v>4607091388503</v>
      </c>
      <c r="E36" s="620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63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2"/>
      <c r="R36" s="622"/>
      <c r="S36" s="622"/>
      <c r="T36" s="623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617" t="s">
        <v>112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52"/>
      <c r="AB39" s="52"/>
      <c r="AC39" s="52"/>
    </row>
    <row r="40" spans="1:68" ht="16.5" customHeight="1" x14ac:dyDescent="0.25">
      <c r="A40" s="618" t="s">
        <v>113</v>
      </c>
      <c r="B40" s="618"/>
      <c r="C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U40" s="618"/>
      <c r="V40" s="618"/>
      <c r="W40" s="618"/>
      <c r="X40" s="618"/>
      <c r="Y40" s="618"/>
      <c r="Z40" s="618"/>
      <c r="AA40" s="62"/>
      <c r="AB40" s="62"/>
      <c r="AC40" s="62"/>
    </row>
    <row r="41" spans="1:68" ht="14.25" customHeight="1" x14ac:dyDescent="0.25">
      <c r="A41" s="619" t="s">
        <v>114</v>
      </c>
      <c r="B41" s="619"/>
      <c r="C41" s="619"/>
      <c r="D41" s="619"/>
      <c r="E41" s="619"/>
      <c r="F41" s="619"/>
      <c r="G41" s="619"/>
      <c r="H41" s="619"/>
      <c r="I41" s="619"/>
      <c r="J41" s="619"/>
      <c r="K41" s="619"/>
      <c r="L41" s="619"/>
      <c r="M41" s="619"/>
      <c r="N41" s="619"/>
      <c r="O41" s="619"/>
      <c r="P41" s="619"/>
      <c r="Q41" s="619"/>
      <c r="R41" s="619"/>
      <c r="S41" s="619"/>
      <c r="T41" s="619"/>
      <c r="U41" s="619"/>
      <c r="V41" s="619"/>
      <c r="W41" s="619"/>
      <c r="X41" s="619"/>
      <c r="Y41" s="619"/>
      <c r="Z41" s="619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620">
        <v>4607091385670</v>
      </c>
      <c r="E42" s="620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63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2"/>
      <c r="R42" s="622"/>
      <c r="S42" s="622"/>
      <c r="T42" s="623"/>
      <c r="U42" s="37" t="s">
        <v>45</v>
      </c>
      <c r="V42" s="37" t="s">
        <v>45</v>
      </c>
      <c r="W42" s="38" t="s">
        <v>0</v>
      </c>
      <c r="X42" s="56">
        <v>864</v>
      </c>
      <c r="Y42" s="53">
        <f>IFERROR(IF(X42="",0,CEILING((X42/$H42),1)*$H42),"")</f>
        <v>864</v>
      </c>
      <c r="Z42" s="39">
        <f>IFERROR(IF(Y42=0,"",ROUNDUP(Y42/H42,0)*0.01898),"")</f>
        <v>1.5184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896.8</v>
      </c>
      <c r="BN42" s="75">
        <f>IFERROR(Y42*I42/H42,"0")</f>
        <v>896.8</v>
      </c>
      <c r="BO42" s="75">
        <f>IFERROR(1/J42*(X42/H42),"0")</f>
        <v>1.25</v>
      </c>
      <c r="BP42" s="75">
        <f>IFERROR(1/J42*(Y42/H42),"0")</f>
        <v>1.25</v>
      </c>
    </row>
    <row r="43" spans="1:68" ht="27" customHeight="1" x14ac:dyDescent="0.25">
      <c r="A43" s="60" t="s">
        <v>120</v>
      </c>
      <c r="B43" s="60" t="s">
        <v>121</v>
      </c>
      <c r="C43" s="34">
        <v>4301011565</v>
      </c>
      <c r="D43" s="620">
        <v>4680115882539</v>
      </c>
      <c r="E43" s="620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2"/>
      <c r="R43" s="622"/>
      <c r="S43" s="622"/>
      <c r="T43" s="623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123</v>
      </c>
      <c r="B44" s="60" t="s">
        <v>124</v>
      </c>
      <c r="C44" s="34">
        <v>4301011382</v>
      </c>
      <c r="D44" s="620">
        <v>4607091385687</v>
      </c>
      <c r="E44" s="620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6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2"/>
      <c r="R44" s="622"/>
      <c r="S44" s="622"/>
      <c r="T44" s="623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28"/>
      <c r="B45" s="628"/>
      <c r="C45" s="628"/>
      <c r="D45" s="628"/>
      <c r="E45" s="628"/>
      <c r="F45" s="628"/>
      <c r="G45" s="628"/>
      <c r="H45" s="628"/>
      <c r="I45" s="628"/>
      <c r="J45" s="628"/>
      <c r="K45" s="628"/>
      <c r="L45" s="628"/>
      <c r="M45" s="628"/>
      <c r="N45" s="628"/>
      <c r="O45" s="629"/>
      <c r="P45" s="625" t="s">
        <v>40</v>
      </c>
      <c r="Q45" s="626"/>
      <c r="R45" s="626"/>
      <c r="S45" s="626"/>
      <c r="T45" s="626"/>
      <c r="U45" s="626"/>
      <c r="V45" s="627"/>
      <c r="W45" s="40" t="s">
        <v>39</v>
      </c>
      <c r="X45" s="41">
        <f>IFERROR(X42/H42,"0")+IFERROR(X43/H43,"0")+IFERROR(X44/H44,"0")</f>
        <v>80</v>
      </c>
      <c r="Y45" s="41">
        <f>IFERROR(Y42/H42,"0")+IFERROR(Y43/H43,"0")+IFERROR(Y44/H44,"0")</f>
        <v>80</v>
      </c>
      <c r="Z45" s="41">
        <f>IFERROR(IF(Z42="",0,Z42),"0")+IFERROR(IF(Z43="",0,Z43),"0")+IFERROR(IF(Z44="",0,Z44),"0")</f>
        <v>1.5184</v>
      </c>
      <c r="AA45" s="64"/>
      <c r="AB45" s="64"/>
      <c r="AC45" s="64"/>
    </row>
    <row r="46" spans="1:68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0" t="s">
        <v>0</v>
      </c>
      <c r="X46" s="41">
        <f>IFERROR(SUM(X42:X44),"0")</f>
        <v>864</v>
      </c>
      <c r="Y46" s="41">
        <f>IFERROR(SUM(Y42:Y44),"0")</f>
        <v>864</v>
      </c>
      <c r="Z46" s="40"/>
      <c r="AA46" s="64"/>
      <c r="AB46" s="64"/>
      <c r="AC46" s="64"/>
    </row>
    <row r="47" spans="1:68" ht="14.25" customHeight="1" x14ac:dyDescent="0.25">
      <c r="A47" s="619" t="s">
        <v>86</v>
      </c>
      <c r="B47" s="619"/>
      <c r="C47" s="619"/>
      <c r="D47" s="619"/>
      <c r="E47" s="619"/>
      <c r="F47" s="619"/>
      <c r="G47" s="619"/>
      <c r="H47" s="619"/>
      <c r="I47" s="619"/>
      <c r="J47" s="619"/>
      <c r="K47" s="619"/>
      <c r="L47" s="619"/>
      <c r="M47" s="619"/>
      <c r="N47" s="619"/>
      <c r="O47" s="619"/>
      <c r="P47" s="619"/>
      <c r="Q47" s="619"/>
      <c r="R47" s="619"/>
      <c r="S47" s="619"/>
      <c r="T47" s="619"/>
      <c r="U47" s="619"/>
      <c r="V47" s="619"/>
      <c r="W47" s="619"/>
      <c r="X47" s="619"/>
      <c r="Y47" s="619"/>
      <c r="Z47" s="619"/>
      <c r="AA47" s="63"/>
      <c r="AB47" s="63"/>
      <c r="AC47" s="63"/>
    </row>
    <row r="48" spans="1:68" ht="16.5" customHeight="1" x14ac:dyDescent="0.25">
      <c r="A48" s="60" t="s">
        <v>125</v>
      </c>
      <c r="B48" s="60" t="s">
        <v>126</v>
      </c>
      <c r="C48" s="34">
        <v>4301051820</v>
      </c>
      <c r="D48" s="620">
        <v>4680115884915</v>
      </c>
      <c r="E48" s="620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6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2"/>
      <c r="R48" s="622"/>
      <c r="S48" s="622"/>
      <c r="T48" s="623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x14ac:dyDescent="0.2">
      <c r="A49" s="628"/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9"/>
      <c r="P49" s="625" t="s">
        <v>40</v>
      </c>
      <c r="Q49" s="626"/>
      <c r="R49" s="626"/>
      <c r="S49" s="626"/>
      <c r="T49" s="626"/>
      <c r="U49" s="626"/>
      <c r="V49" s="627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customHeight="1" x14ac:dyDescent="0.25">
      <c r="A51" s="618" t="s">
        <v>128</v>
      </c>
      <c r="B51" s="618"/>
      <c r="C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  <c r="P51" s="618"/>
      <c r="Q51" s="618"/>
      <c r="R51" s="618"/>
      <c r="S51" s="618"/>
      <c r="T51" s="618"/>
      <c r="U51" s="618"/>
      <c r="V51" s="618"/>
      <c r="W51" s="618"/>
      <c r="X51" s="618"/>
      <c r="Y51" s="618"/>
      <c r="Z51" s="618"/>
      <c r="AA51" s="62"/>
      <c r="AB51" s="62"/>
      <c r="AC51" s="62"/>
    </row>
    <row r="52" spans="1:68" ht="14.25" customHeight="1" x14ac:dyDescent="0.25">
      <c r="A52" s="619" t="s">
        <v>114</v>
      </c>
      <c r="B52" s="619"/>
      <c r="C52" s="619"/>
      <c r="D52" s="619"/>
      <c r="E52" s="619"/>
      <c r="F52" s="619"/>
      <c r="G52" s="619"/>
      <c r="H52" s="619"/>
      <c r="I52" s="619"/>
      <c r="J52" s="619"/>
      <c r="K52" s="619"/>
      <c r="L52" s="619"/>
      <c r="M52" s="619"/>
      <c r="N52" s="619"/>
      <c r="O52" s="619"/>
      <c r="P52" s="619"/>
      <c r="Q52" s="619"/>
      <c r="R52" s="619"/>
      <c r="S52" s="619"/>
      <c r="T52" s="619"/>
      <c r="U52" s="619"/>
      <c r="V52" s="619"/>
      <c r="W52" s="619"/>
      <c r="X52" s="619"/>
      <c r="Y52" s="619"/>
      <c r="Z52" s="619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620">
        <v>4680115885882</v>
      </c>
      <c r="E53" s="620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6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2"/>
      <c r="R53" s="622"/>
      <c r="S53" s="622"/>
      <c r="T53" s="623"/>
      <c r="U53" s="37" t="s">
        <v>45</v>
      </c>
      <c r="V53" s="37" t="s">
        <v>45</v>
      </c>
      <c r="W53" s="38" t="s">
        <v>0</v>
      </c>
      <c r="X53" s="56">
        <v>179.2</v>
      </c>
      <c r="Y53" s="53">
        <f t="shared" ref="Y53:Y58" si="6">IFERROR(IF(X53="",0,CEILING((X53/$H53),1)*$H53),"")</f>
        <v>179.2</v>
      </c>
      <c r="Z53" s="39">
        <f>IFERROR(IF(Y53=0,"",ROUNDUP(Y53/H53,0)*0.01898),"")</f>
        <v>0.30368000000000001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185.76</v>
      </c>
      <c r="BN53" s="75">
        <f t="shared" ref="BN53:BN58" si="8">IFERROR(Y53*I53/H53,"0")</f>
        <v>185.76</v>
      </c>
      <c r="BO53" s="75">
        <f t="shared" ref="BO53:BO58" si="9">IFERROR(1/J53*(X53/H53),"0")</f>
        <v>0.25</v>
      </c>
      <c r="BP53" s="75">
        <f t="shared" ref="BP53:BP58" si="10">IFERROR(1/J53*(Y53/H53),"0")</f>
        <v>0.25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620">
        <v>4680115881426</v>
      </c>
      <c r="E54" s="620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6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2"/>
      <c r="R54" s="622"/>
      <c r="S54" s="622"/>
      <c r="T54" s="623"/>
      <c r="U54" s="37" t="s">
        <v>45</v>
      </c>
      <c r="V54" s="37" t="s">
        <v>45</v>
      </c>
      <c r="W54" s="38" t="s">
        <v>0</v>
      </c>
      <c r="X54" s="56">
        <v>259.2</v>
      </c>
      <c r="Y54" s="53">
        <f t="shared" si="6"/>
        <v>259.20000000000005</v>
      </c>
      <c r="Z54" s="39">
        <f>IFERROR(IF(Y54=0,"",ROUNDUP(Y54/H54,0)*0.01898),"")</f>
        <v>0.45552000000000004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269.03999999999996</v>
      </c>
      <c r="BN54" s="75">
        <f t="shared" si="8"/>
        <v>269.04000000000002</v>
      </c>
      <c r="BO54" s="75">
        <f t="shared" si="9"/>
        <v>0.37499999999999994</v>
      </c>
      <c r="BP54" s="75">
        <f t="shared" si="10"/>
        <v>0.37500000000000006</v>
      </c>
    </row>
    <row r="55" spans="1:68" ht="27" customHeight="1" x14ac:dyDescent="0.25">
      <c r="A55" s="60" t="s">
        <v>135</v>
      </c>
      <c r="B55" s="60" t="s">
        <v>136</v>
      </c>
      <c r="C55" s="34">
        <v>4301011386</v>
      </c>
      <c r="D55" s="620">
        <v>4680115880283</v>
      </c>
      <c r="E55" s="620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64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2"/>
      <c r="R55" s="622"/>
      <c r="S55" s="622"/>
      <c r="T55" s="623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4301011806</v>
      </c>
      <c r="D56" s="620">
        <v>4680115881525</v>
      </c>
      <c r="E56" s="620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6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2"/>
      <c r="R56" s="622"/>
      <c r="S56" s="622"/>
      <c r="T56" s="623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customHeight="1" x14ac:dyDescent="0.25">
      <c r="A57" s="60" t="s">
        <v>141</v>
      </c>
      <c r="B57" s="60" t="s">
        <v>142</v>
      </c>
      <c r="C57" s="34">
        <v>4301011589</v>
      </c>
      <c r="D57" s="620">
        <v>4680115885899</v>
      </c>
      <c r="E57" s="620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64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2"/>
      <c r="R57" s="622"/>
      <c r="S57" s="622"/>
      <c r="T57" s="623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customHeight="1" x14ac:dyDescent="0.25">
      <c r="A58" s="60" t="s">
        <v>144</v>
      </c>
      <c r="B58" s="60" t="s">
        <v>145</v>
      </c>
      <c r="C58" s="34">
        <v>4301011801</v>
      </c>
      <c r="D58" s="620">
        <v>4680115881419</v>
      </c>
      <c r="E58" s="620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6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2"/>
      <c r="R58" s="622"/>
      <c r="S58" s="622"/>
      <c r="T58" s="623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628"/>
      <c r="B59" s="628"/>
      <c r="C59" s="628"/>
      <c r="D59" s="628"/>
      <c r="E59" s="628"/>
      <c r="F59" s="628"/>
      <c r="G59" s="628"/>
      <c r="H59" s="628"/>
      <c r="I59" s="628"/>
      <c r="J59" s="628"/>
      <c r="K59" s="628"/>
      <c r="L59" s="628"/>
      <c r="M59" s="628"/>
      <c r="N59" s="628"/>
      <c r="O59" s="629"/>
      <c r="P59" s="625" t="s">
        <v>40</v>
      </c>
      <c r="Q59" s="626"/>
      <c r="R59" s="626"/>
      <c r="S59" s="626"/>
      <c r="T59" s="626"/>
      <c r="U59" s="626"/>
      <c r="V59" s="627"/>
      <c r="W59" s="40" t="s">
        <v>39</v>
      </c>
      <c r="X59" s="41">
        <f>IFERROR(X53/H53,"0")+IFERROR(X54/H54,"0")+IFERROR(X55/H55,"0")+IFERROR(X56/H56,"0")+IFERROR(X57/H57,"0")+IFERROR(X58/H58,"0")</f>
        <v>40</v>
      </c>
      <c r="Y59" s="41">
        <f>IFERROR(Y53/H53,"0")+IFERROR(Y54/H54,"0")+IFERROR(Y55/H55,"0")+IFERROR(Y56/H56,"0")+IFERROR(Y57/H57,"0")+IFERROR(Y58/H58,"0")</f>
        <v>40</v>
      </c>
      <c r="Z59" s="41">
        <f>IFERROR(IF(Z53="",0,Z53),"0")+IFERROR(IF(Z54="",0,Z54),"0")+IFERROR(IF(Z55="",0,Z55),"0")+IFERROR(IF(Z56="",0,Z56),"0")+IFERROR(IF(Z57="",0,Z57),"0")+IFERROR(IF(Z58="",0,Z58),"0")</f>
        <v>0.7592000000000001</v>
      </c>
      <c r="AA59" s="64"/>
      <c r="AB59" s="64"/>
      <c r="AC59" s="64"/>
    </row>
    <row r="60" spans="1:68" x14ac:dyDescent="0.2">
      <c r="A60" s="628"/>
      <c r="B60" s="628"/>
      <c r="C60" s="628"/>
      <c r="D60" s="628"/>
      <c r="E60" s="628"/>
      <c r="F60" s="628"/>
      <c r="G60" s="628"/>
      <c r="H60" s="628"/>
      <c r="I60" s="628"/>
      <c r="J60" s="628"/>
      <c r="K60" s="628"/>
      <c r="L60" s="628"/>
      <c r="M60" s="628"/>
      <c r="N60" s="628"/>
      <c r="O60" s="629"/>
      <c r="P60" s="625" t="s">
        <v>40</v>
      </c>
      <c r="Q60" s="626"/>
      <c r="R60" s="626"/>
      <c r="S60" s="626"/>
      <c r="T60" s="626"/>
      <c r="U60" s="626"/>
      <c r="V60" s="627"/>
      <c r="W60" s="40" t="s">
        <v>0</v>
      </c>
      <c r="X60" s="41">
        <f>IFERROR(SUM(X53:X58),"0")</f>
        <v>438.4</v>
      </c>
      <c r="Y60" s="41">
        <f>IFERROR(SUM(Y53:Y58),"0")</f>
        <v>438.40000000000003</v>
      </c>
      <c r="Z60" s="40"/>
      <c r="AA60" s="64"/>
      <c r="AB60" s="64"/>
      <c r="AC60" s="64"/>
    </row>
    <row r="61" spans="1:68" ht="14.25" customHeight="1" x14ac:dyDescent="0.25">
      <c r="A61" s="619" t="s">
        <v>147</v>
      </c>
      <c r="B61" s="619"/>
      <c r="C61" s="619"/>
      <c r="D61" s="619"/>
      <c r="E61" s="619"/>
      <c r="F61" s="619"/>
      <c r="G61" s="619"/>
      <c r="H61" s="619"/>
      <c r="I61" s="619"/>
      <c r="J61" s="619"/>
      <c r="K61" s="619"/>
      <c r="L61" s="619"/>
      <c r="M61" s="619"/>
      <c r="N61" s="619"/>
      <c r="O61" s="619"/>
      <c r="P61" s="619"/>
      <c r="Q61" s="619"/>
      <c r="R61" s="619"/>
      <c r="S61" s="619"/>
      <c r="T61" s="619"/>
      <c r="U61" s="619"/>
      <c r="V61" s="619"/>
      <c r="W61" s="619"/>
      <c r="X61" s="619"/>
      <c r="Y61" s="619"/>
      <c r="Z61" s="619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620">
        <v>4680115881440</v>
      </c>
      <c r="E62" s="620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6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2"/>
      <c r="R62" s="622"/>
      <c r="S62" s="622"/>
      <c r="T62" s="623"/>
      <c r="U62" s="37" t="s">
        <v>45</v>
      </c>
      <c r="V62" s="37" t="s">
        <v>45</v>
      </c>
      <c r="W62" s="38" t="s">
        <v>0</v>
      </c>
      <c r="X62" s="56">
        <v>259.2</v>
      </c>
      <c r="Y62" s="53">
        <f>IFERROR(IF(X62="",0,CEILING((X62/$H62),1)*$H62),"")</f>
        <v>259.20000000000005</v>
      </c>
      <c r="Z62" s="39">
        <f>IFERROR(IF(Y62=0,"",ROUNDUP(Y62/H62,0)*0.01898),"")</f>
        <v>0.45552000000000004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269.03999999999996</v>
      </c>
      <c r="BN62" s="75">
        <f>IFERROR(Y62*I62/H62,"0")</f>
        <v>269.04000000000002</v>
      </c>
      <c r="BO62" s="75">
        <f>IFERROR(1/J62*(X62/H62),"0")</f>
        <v>0.37499999999999994</v>
      </c>
      <c r="BP62" s="75">
        <f>IFERROR(1/J62*(Y62/H62),"0")</f>
        <v>0.37500000000000006</v>
      </c>
    </row>
    <row r="63" spans="1:68" ht="16.5" customHeight="1" x14ac:dyDescent="0.25">
      <c r="A63" s="60" t="s">
        <v>151</v>
      </c>
      <c r="B63" s="60" t="s">
        <v>152</v>
      </c>
      <c r="C63" s="34">
        <v>4301020358</v>
      </c>
      <c r="D63" s="620">
        <v>4680115885950</v>
      </c>
      <c r="E63" s="620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2"/>
      <c r="R63" s="622"/>
      <c r="S63" s="622"/>
      <c r="T63" s="623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customHeight="1" x14ac:dyDescent="0.25">
      <c r="A64" s="60" t="s">
        <v>153</v>
      </c>
      <c r="B64" s="60" t="s">
        <v>154</v>
      </c>
      <c r="C64" s="34">
        <v>4301020371</v>
      </c>
      <c r="D64" s="620">
        <v>4680115887688</v>
      </c>
      <c r="E64" s="620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6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2"/>
      <c r="R64" s="622"/>
      <c r="S64" s="622"/>
      <c r="T64" s="623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157</v>
      </c>
      <c r="B65" s="60" t="s">
        <v>158</v>
      </c>
      <c r="C65" s="34">
        <v>4301020296</v>
      </c>
      <c r="D65" s="620">
        <v>4680115881433</v>
      </c>
      <c r="E65" s="620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2"/>
      <c r="R65" s="622"/>
      <c r="S65" s="622"/>
      <c r="T65" s="623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628"/>
      <c r="B66" s="628"/>
      <c r="C66" s="628"/>
      <c r="D66" s="628"/>
      <c r="E66" s="628"/>
      <c r="F66" s="628"/>
      <c r="G66" s="628"/>
      <c r="H66" s="628"/>
      <c r="I66" s="628"/>
      <c r="J66" s="628"/>
      <c r="K66" s="628"/>
      <c r="L66" s="628"/>
      <c r="M66" s="628"/>
      <c r="N66" s="628"/>
      <c r="O66" s="629"/>
      <c r="P66" s="625" t="s">
        <v>40</v>
      </c>
      <c r="Q66" s="626"/>
      <c r="R66" s="626"/>
      <c r="S66" s="626"/>
      <c r="T66" s="626"/>
      <c r="U66" s="626"/>
      <c r="V66" s="627"/>
      <c r="W66" s="40" t="s">
        <v>39</v>
      </c>
      <c r="X66" s="41">
        <f>IFERROR(X62/H62,"0")+IFERROR(X63/H63,"0")+IFERROR(X64/H64,"0")+IFERROR(X65/H65,"0")</f>
        <v>23.999999999999996</v>
      </c>
      <c r="Y66" s="41">
        <f>IFERROR(Y62/H62,"0")+IFERROR(Y63/H63,"0")+IFERROR(Y64/H64,"0")+IFERROR(Y65/H65,"0")</f>
        <v>24.000000000000004</v>
      </c>
      <c r="Z66" s="41">
        <f>IFERROR(IF(Z62="",0,Z62),"0")+IFERROR(IF(Z63="",0,Z63),"0")+IFERROR(IF(Z64="",0,Z64),"0")+IFERROR(IF(Z65="",0,Z65),"0")</f>
        <v>0.45552000000000004</v>
      </c>
      <c r="AA66" s="64"/>
      <c r="AB66" s="64"/>
      <c r="AC66" s="64"/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0" t="s">
        <v>0</v>
      </c>
      <c r="X67" s="41">
        <f>IFERROR(SUM(X62:X65),"0")</f>
        <v>259.2</v>
      </c>
      <c r="Y67" s="41">
        <f>IFERROR(SUM(Y62:Y65),"0")</f>
        <v>259.20000000000005</v>
      </c>
      <c r="Z67" s="40"/>
      <c r="AA67" s="64"/>
      <c r="AB67" s="64"/>
      <c r="AC67" s="64"/>
    </row>
    <row r="68" spans="1:68" ht="14.25" customHeight="1" x14ac:dyDescent="0.25">
      <c r="A68" s="619" t="s">
        <v>76</v>
      </c>
      <c r="B68" s="619"/>
      <c r="C68" s="619"/>
      <c r="D68" s="619"/>
      <c r="E68" s="619"/>
      <c r="F68" s="619"/>
      <c r="G68" s="619"/>
      <c r="H68" s="619"/>
      <c r="I68" s="619"/>
      <c r="J68" s="619"/>
      <c r="K68" s="619"/>
      <c r="L68" s="619"/>
      <c r="M68" s="619"/>
      <c r="N68" s="619"/>
      <c r="O68" s="619"/>
      <c r="P68" s="619"/>
      <c r="Q68" s="619"/>
      <c r="R68" s="619"/>
      <c r="S68" s="619"/>
      <c r="T68" s="619"/>
      <c r="U68" s="619"/>
      <c r="V68" s="619"/>
      <c r="W68" s="619"/>
      <c r="X68" s="619"/>
      <c r="Y68" s="619"/>
      <c r="Z68" s="619"/>
      <c r="AA68" s="63"/>
      <c r="AB68" s="63"/>
      <c r="AC68" s="63"/>
    </row>
    <row r="69" spans="1:68" ht="27" customHeight="1" x14ac:dyDescent="0.25">
      <c r="A69" s="60" t="s">
        <v>159</v>
      </c>
      <c r="B69" s="60" t="s">
        <v>160</v>
      </c>
      <c r="C69" s="34">
        <v>4301031316</v>
      </c>
      <c r="D69" s="620">
        <v>4680115885097</v>
      </c>
      <c r="E69" s="620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2"/>
      <c r="R69" s="622"/>
      <c r="S69" s="622"/>
      <c r="T69" s="623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x14ac:dyDescent="0.2">
      <c r="A71" s="628"/>
      <c r="B71" s="628"/>
      <c r="C71" s="628"/>
      <c r="D71" s="628"/>
      <c r="E71" s="628"/>
      <c r="F71" s="628"/>
      <c r="G71" s="628"/>
      <c r="H71" s="628"/>
      <c r="I71" s="628"/>
      <c r="J71" s="628"/>
      <c r="K71" s="628"/>
      <c r="L71" s="628"/>
      <c r="M71" s="628"/>
      <c r="N71" s="628"/>
      <c r="O71" s="629"/>
      <c r="P71" s="625" t="s">
        <v>40</v>
      </c>
      <c r="Q71" s="626"/>
      <c r="R71" s="626"/>
      <c r="S71" s="626"/>
      <c r="T71" s="626"/>
      <c r="U71" s="626"/>
      <c r="V71" s="627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customHeight="1" x14ac:dyDescent="0.25">
      <c r="A72" s="619" t="s">
        <v>86</v>
      </c>
      <c r="B72" s="619"/>
      <c r="C72" s="619"/>
      <c r="D72" s="619"/>
      <c r="E72" s="619"/>
      <c r="F72" s="619"/>
      <c r="G72" s="619"/>
      <c r="H72" s="619"/>
      <c r="I72" s="619"/>
      <c r="J72" s="619"/>
      <c r="K72" s="619"/>
      <c r="L72" s="619"/>
      <c r="M72" s="619"/>
      <c r="N72" s="619"/>
      <c r="O72" s="619"/>
      <c r="P72" s="619"/>
      <c r="Q72" s="619"/>
      <c r="R72" s="619"/>
      <c r="S72" s="619"/>
      <c r="T72" s="619"/>
      <c r="U72" s="619"/>
      <c r="V72" s="619"/>
      <c r="W72" s="619"/>
      <c r="X72" s="619"/>
      <c r="Y72" s="619"/>
      <c r="Z72" s="619"/>
      <c r="AA72" s="63"/>
      <c r="AB72" s="63"/>
      <c r="AC72" s="63"/>
    </row>
    <row r="73" spans="1:68" ht="27" customHeight="1" x14ac:dyDescent="0.25">
      <c r="A73" s="60" t="s">
        <v>162</v>
      </c>
      <c r="B73" s="60" t="s">
        <v>163</v>
      </c>
      <c r="C73" s="34">
        <v>4301051846</v>
      </c>
      <c r="D73" s="620">
        <v>4680115885769</v>
      </c>
      <c r="E73" s="620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2"/>
      <c r="R73" s="622"/>
      <c r="S73" s="622"/>
      <c r="T73" s="623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165</v>
      </c>
      <c r="B74" s="60" t="s">
        <v>166</v>
      </c>
      <c r="C74" s="34">
        <v>4301051837</v>
      </c>
      <c r="D74" s="620">
        <v>4680115884311</v>
      </c>
      <c r="E74" s="620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2"/>
      <c r="R74" s="622"/>
      <c r="S74" s="622"/>
      <c r="T74" s="623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168</v>
      </c>
      <c r="B75" s="60" t="s">
        <v>169</v>
      </c>
      <c r="C75" s="34">
        <v>4301051844</v>
      </c>
      <c r="D75" s="620">
        <v>4680115885929</v>
      </c>
      <c r="E75" s="620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2"/>
      <c r="R75" s="622"/>
      <c r="S75" s="622"/>
      <c r="T75" s="623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170</v>
      </c>
      <c r="B76" s="60" t="s">
        <v>171</v>
      </c>
      <c r="C76" s="34">
        <v>4301051929</v>
      </c>
      <c r="D76" s="620">
        <v>4680115884403</v>
      </c>
      <c r="E76" s="620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2"/>
      <c r="R76" s="622"/>
      <c r="S76" s="622"/>
      <c r="T76" s="623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628"/>
      <c r="B78" s="628"/>
      <c r="C78" s="628"/>
      <c r="D78" s="628"/>
      <c r="E78" s="628"/>
      <c r="F78" s="628"/>
      <c r="G78" s="628"/>
      <c r="H78" s="628"/>
      <c r="I78" s="628"/>
      <c r="J78" s="628"/>
      <c r="K78" s="628"/>
      <c r="L78" s="628"/>
      <c r="M78" s="628"/>
      <c r="N78" s="628"/>
      <c r="O78" s="629"/>
      <c r="P78" s="625" t="s">
        <v>40</v>
      </c>
      <c r="Q78" s="626"/>
      <c r="R78" s="626"/>
      <c r="S78" s="626"/>
      <c r="T78" s="626"/>
      <c r="U78" s="626"/>
      <c r="V78" s="627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customHeight="1" x14ac:dyDescent="0.25">
      <c r="A79" s="619" t="s">
        <v>173</v>
      </c>
      <c r="B79" s="619"/>
      <c r="C79" s="619"/>
      <c r="D79" s="619"/>
      <c r="E79" s="619"/>
      <c r="F79" s="619"/>
      <c r="G79" s="619"/>
      <c r="H79" s="619"/>
      <c r="I79" s="619"/>
      <c r="J79" s="619"/>
      <c r="K79" s="619"/>
      <c r="L79" s="619"/>
      <c r="M79" s="619"/>
      <c r="N79" s="619"/>
      <c r="O79" s="619"/>
      <c r="P79" s="619"/>
      <c r="Q79" s="619"/>
      <c r="R79" s="619"/>
      <c r="S79" s="619"/>
      <c r="T79" s="619"/>
      <c r="U79" s="619"/>
      <c r="V79" s="619"/>
      <c r="W79" s="619"/>
      <c r="X79" s="619"/>
      <c r="Y79" s="619"/>
      <c r="Z79" s="619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620">
        <v>4680115881532</v>
      </c>
      <c r="E80" s="620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2"/>
      <c r="R80" s="622"/>
      <c r="S80" s="622"/>
      <c r="T80" s="623"/>
      <c r="U80" s="37" t="s">
        <v>45</v>
      </c>
      <c r="V80" s="37" t="s">
        <v>45</v>
      </c>
      <c r="W80" s="38" t="s">
        <v>0</v>
      </c>
      <c r="X80" s="56">
        <v>62.4</v>
      </c>
      <c r="Y80" s="53">
        <f>IFERROR(IF(X80="",0,CEILING((X80/$H80),1)*$H80),"")</f>
        <v>62.4</v>
      </c>
      <c r="Z80" s="39">
        <f>IFERROR(IF(Y80=0,"",ROUNDUP(Y80/H80,0)*0.01898),"")</f>
        <v>0.15184</v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65.680000000000007</v>
      </c>
      <c r="BN80" s="75">
        <f>IFERROR(Y80*I80/H80,"0")</f>
        <v>65.680000000000007</v>
      </c>
      <c r="BO80" s="75">
        <f>IFERROR(1/J80*(X80/H80),"0")</f>
        <v>0.125</v>
      </c>
      <c r="BP80" s="75">
        <f>IFERROR(1/J80*(Y80/H80),"0")</f>
        <v>0.125</v>
      </c>
    </row>
    <row r="81" spans="1:68" ht="27" customHeight="1" x14ac:dyDescent="0.25">
      <c r="A81" s="60" t="s">
        <v>177</v>
      </c>
      <c r="B81" s="60" t="s">
        <v>178</v>
      </c>
      <c r="C81" s="34">
        <v>4301060351</v>
      </c>
      <c r="D81" s="620">
        <v>4680115881464</v>
      </c>
      <c r="E81" s="620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2"/>
      <c r="R81" s="622"/>
      <c r="S81" s="622"/>
      <c r="T81" s="623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0" t="s">
        <v>39</v>
      </c>
      <c r="X82" s="41">
        <f>IFERROR(X80/H80,"0")+IFERROR(X81/H81,"0")</f>
        <v>8</v>
      </c>
      <c r="Y82" s="41">
        <f>IFERROR(Y80/H80,"0")+IFERROR(Y81/H81,"0")</f>
        <v>8</v>
      </c>
      <c r="Z82" s="41">
        <f>IFERROR(IF(Z80="",0,Z80),"0")+IFERROR(IF(Z81="",0,Z81),"0")</f>
        <v>0.15184</v>
      </c>
      <c r="AA82" s="64"/>
      <c r="AB82" s="64"/>
      <c r="AC82" s="64"/>
    </row>
    <row r="83" spans="1:68" x14ac:dyDescent="0.2">
      <c r="A83" s="628"/>
      <c r="B83" s="628"/>
      <c r="C83" s="628"/>
      <c r="D83" s="628"/>
      <c r="E83" s="628"/>
      <c r="F83" s="628"/>
      <c r="G83" s="628"/>
      <c r="H83" s="628"/>
      <c r="I83" s="628"/>
      <c r="J83" s="628"/>
      <c r="K83" s="628"/>
      <c r="L83" s="628"/>
      <c r="M83" s="628"/>
      <c r="N83" s="628"/>
      <c r="O83" s="629"/>
      <c r="P83" s="625" t="s">
        <v>40</v>
      </c>
      <c r="Q83" s="626"/>
      <c r="R83" s="626"/>
      <c r="S83" s="626"/>
      <c r="T83" s="626"/>
      <c r="U83" s="626"/>
      <c r="V83" s="627"/>
      <c r="W83" s="40" t="s">
        <v>0</v>
      </c>
      <c r="X83" s="41">
        <f>IFERROR(SUM(X80:X81),"0")</f>
        <v>62.4</v>
      </c>
      <c r="Y83" s="41">
        <f>IFERROR(SUM(Y80:Y81),"0")</f>
        <v>62.4</v>
      </c>
      <c r="Z83" s="40"/>
      <c r="AA83" s="64"/>
      <c r="AB83" s="64"/>
      <c r="AC83" s="64"/>
    </row>
    <row r="84" spans="1:68" ht="16.5" customHeight="1" x14ac:dyDescent="0.25">
      <c r="A84" s="618" t="s">
        <v>180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2"/>
      <c r="AB84" s="62"/>
      <c r="AC84" s="62"/>
    </row>
    <row r="85" spans="1:68" ht="14.25" customHeight="1" x14ac:dyDescent="0.25">
      <c r="A85" s="619" t="s">
        <v>114</v>
      </c>
      <c r="B85" s="619"/>
      <c r="C85" s="619"/>
      <c r="D85" s="619"/>
      <c r="E85" s="619"/>
      <c r="F85" s="619"/>
      <c r="G85" s="619"/>
      <c r="H85" s="619"/>
      <c r="I85" s="619"/>
      <c r="J85" s="619"/>
      <c r="K85" s="619"/>
      <c r="L85" s="619"/>
      <c r="M85" s="619"/>
      <c r="N85" s="619"/>
      <c r="O85" s="619"/>
      <c r="P85" s="619"/>
      <c r="Q85" s="619"/>
      <c r="R85" s="619"/>
      <c r="S85" s="619"/>
      <c r="T85" s="619"/>
      <c r="U85" s="619"/>
      <c r="V85" s="619"/>
      <c r="W85" s="619"/>
      <c r="X85" s="619"/>
      <c r="Y85" s="619"/>
      <c r="Z85" s="619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620">
        <v>4680115881327</v>
      </c>
      <c r="E86" s="620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2"/>
      <c r="R86" s="622"/>
      <c r="S86" s="622"/>
      <c r="T86" s="623"/>
      <c r="U86" s="37" t="s">
        <v>45</v>
      </c>
      <c r="V86" s="37" t="s">
        <v>45</v>
      </c>
      <c r="W86" s="38" t="s">
        <v>0</v>
      </c>
      <c r="X86" s="56">
        <v>345.6</v>
      </c>
      <c r="Y86" s="53">
        <f>IFERROR(IF(X86="",0,CEILING((X86/$H86),1)*$H86),"")</f>
        <v>345.6</v>
      </c>
      <c r="Z86" s="39">
        <f>IFERROR(IF(Y86=0,"",ROUNDUP(Y86/H86,0)*0.01898),"")</f>
        <v>0.60736000000000001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358.72</v>
      </c>
      <c r="BN86" s="75">
        <f>IFERROR(Y86*I86/H86,"0")</f>
        <v>358.72</v>
      </c>
      <c r="BO86" s="75">
        <f>IFERROR(1/J86*(X86/H86),"0")</f>
        <v>0.5</v>
      </c>
      <c r="BP86" s="75">
        <f>IFERROR(1/J86*(Y86/H86),"0")</f>
        <v>0.5</v>
      </c>
    </row>
    <row r="87" spans="1:68" ht="27" customHeight="1" x14ac:dyDescent="0.25">
      <c r="A87" s="60" t="s">
        <v>184</v>
      </c>
      <c r="B87" s="60" t="s">
        <v>185</v>
      </c>
      <c r="C87" s="34">
        <v>4301011261</v>
      </c>
      <c r="D87" s="620">
        <v>4680115887732</v>
      </c>
      <c r="E87" s="620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65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2"/>
      <c r="R87" s="622"/>
      <c r="S87" s="622"/>
      <c r="T87" s="623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187</v>
      </c>
      <c r="B88" s="60" t="s">
        <v>188</v>
      </c>
      <c r="C88" s="34">
        <v>4301011476</v>
      </c>
      <c r="D88" s="620">
        <v>4680115881518</v>
      </c>
      <c r="E88" s="62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6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2"/>
      <c r="R88" s="622"/>
      <c r="S88" s="622"/>
      <c r="T88" s="623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189</v>
      </c>
      <c r="B89" s="60" t="s">
        <v>190</v>
      </c>
      <c r="C89" s="34">
        <v>4301011443</v>
      </c>
      <c r="D89" s="620">
        <v>4680115881303</v>
      </c>
      <c r="E89" s="62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6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2"/>
      <c r="R89" s="622"/>
      <c r="S89" s="622"/>
      <c r="T89" s="623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IFERROR(X86/H86,"0")+IFERROR(X87/H87,"0")+IFERROR(X88/H88,"0")+IFERROR(X89/H89,"0")</f>
        <v>32</v>
      </c>
      <c r="Y90" s="41">
        <f>IFERROR(Y86/H86,"0")+IFERROR(Y87/H87,"0")+IFERROR(Y88/H88,"0")+IFERROR(Y89/H89,"0")</f>
        <v>32</v>
      </c>
      <c r="Z90" s="41">
        <f>IFERROR(IF(Z86="",0,Z86),"0")+IFERROR(IF(Z87="",0,Z87),"0")+IFERROR(IF(Z88="",0,Z88),"0")+IFERROR(IF(Z89="",0,Z89),"0")</f>
        <v>0.60736000000000001</v>
      </c>
      <c r="AA90" s="64"/>
      <c r="AB90" s="64"/>
      <c r="AC90" s="64"/>
    </row>
    <row r="91" spans="1:68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IFERROR(SUM(X86:X89),"0")</f>
        <v>345.6</v>
      </c>
      <c r="Y91" s="41">
        <f>IFERROR(SUM(Y86:Y89),"0")</f>
        <v>345.6</v>
      </c>
      <c r="Z91" s="40"/>
      <c r="AA91" s="64"/>
      <c r="AB91" s="64"/>
      <c r="AC91" s="64"/>
    </row>
    <row r="92" spans="1:68" ht="14.25" customHeight="1" x14ac:dyDescent="0.25">
      <c r="A92" s="619" t="s">
        <v>86</v>
      </c>
      <c r="B92" s="619"/>
      <c r="C92" s="619"/>
      <c r="D92" s="619"/>
      <c r="E92" s="619"/>
      <c r="F92" s="619"/>
      <c r="G92" s="619"/>
      <c r="H92" s="619"/>
      <c r="I92" s="619"/>
      <c r="J92" s="619"/>
      <c r="K92" s="619"/>
      <c r="L92" s="619"/>
      <c r="M92" s="619"/>
      <c r="N92" s="619"/>
      <c r="O92" s="619"/>
      <c r="P92" s="619"/>
      <c r="Q92" s="619"/>
      <c r="R92" s="619"/>
      <c r="S92" s="619"/>
      <c r="T92" s="619"/>
      <c r="U92" s="619"/>
      <c r="V92" s="619"/>
      <c r="W92" s="619"/>
      <c r="X92" s="619"/>
      <c r="Y92" s="619"/>
      <c r="Z92" s="619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620">
        <v>4607091386967</v>
      </c>
      <c r="E93" s="62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2"/>
      <c r="R93" s="622"/>
      <c r="S93" s="622"/>
      <c r="T93" s="623"/>
      <c r="U93" s="37" t="s">
        <v>45</v>
      </c>
      <c r="V93" s="37" t="s">
        <v>45</v>
      </c>
      <c r="W93" s="38" t="s">
        <v>0</v>
      </c>
      <c r="X93" s="56">
        <v>194.4</v>
      </c>
      <c r="Y93" s="53">
        <f>IFERROR(IF(X93="",0,CEILING((X93/$H93),1)*$H93),"")</f>
        <v>194.39999999999998</v>
      </c>
      <c r="Z93" s="39">
        <f>IFERROR(IF(Y93=0,"",ROUNDUP(Y93/H93,0)*0.01898),"")</f>
        <v>0.45552000000000004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206.256</v>
      </c>
      <c r="BN93" s="75">
        <f>IFERROR(Y93*I93/H93,"0")</f>
        <v>206.25599999999997</v>
      </c>
      <c r="BO93" s="75">
        <f>IFERROR(1/J93*(X93/H93),"0")</f>
        <v>0.375</v>
      </c>
      <c r="BP93" s="75">
        <f>IFERROR(1/J93*(Y93/H93),"0")</f>
        <v>0.375</v>
      </c>
    </row>
    <row r="94" spans="1:68" ht="27" customHeight="1" x14ac:dyDescent="0.25">
      <c r="A94" s="60" t="s">
        <v>194</v>
      </c>
      <c r="B94" s="60" t="s">
        <v>195</v>
      </c>
      <c r="C94" s="34">
        <v>4301051788</v>
      </c>
      <c r="D94" s="620">
        <v>4680115884953</v>
      </c>
      <c r="E94" s="620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6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620">
        <v>4607091385731</v>
      </c>
      <c r="E95" s="620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6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2"/>
      <c r="R95" s="622"/>
      <c r="S95" s="622"/>
      <c r="T95" s="623"/>
      <c r="U95" s="37" t="s">
        <v>45</v>
      </c>
      <c r="V95" s="37" t="s">
        <v>45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customHeight="1" x14ac:dyDescent="0.25">
      <c r="A96" s="60" t="s">
        <v>198</v>
      </c>
      <c r="B96" s="60" t="s">
        <v>199</v>
      </c>
      <c r="C96" s="34">
        <v>4301051438</v>
      </c>
      <c r="D96" s="620">
        <v>4680115880894</v>
      </c>
      <c r="E96" s="620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6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2"/>
      <c r="R96" s="622"/>
      <c r="S96" s="622"/>
      <c r="T96" s="623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24</v>
      </c>
      <c r="Y97" s="41">
        <f>IFERROR(Y93/H93,"0")+IFERROR(Y94/H94,"0")+IFERROR(Y95/H95,"0")+IFERROR(Y96/H96,"0")</f>
        <v>24</v>
      </c>
      <c r="Z97" s="41">
        <f>IFERROR(IF(Z93="",0,Z93),"0")+IFERROR(IF(Z94="",0,Z94),"0")+IFERROR(IF(Z95="",0,Z95),"0")+IFERROR(IF(Z96="",0,Z96),"0")</f>
        <v>0.45552000000000004</v>
      </c>
      <c r="AA97" s="64"/>
      <c r="AB97" s="64"/>
      <c r="AC97" s="64"/>
    </row>
    <row r="98" spans="1:68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194.4</v>
      </c>
      <c r="Y98" s="41">
        <f>IFERROR(SUM(Y93:Y96),"0")</f>
        <v>194.39999999999998</v>
      </c>
      <c r="Z98" s="40"/>
      <c r="AA98" s="64"/>
      <c r="AB98" s="64"/>
      <c r="AC98" s="64"/>
    </row>
    <row r="99" spans="1:68" ht="16.5" customHeight="1" x14ac:dyDescent="0.25">
      <c r="A99" s="618" t="s">
        <v>201</v>
      </c>
      <c r="B99" s="618"/>
      <c r="C99" s="618"/>
      <c r="D99" s="618"/>
      <c r="E99" s="618"/>
      <c r="F99" s="618"/>
      <c r="G99" s="618"/>
      <c r="H99" s="618"/>
      <c r="I99" s="618"/>
      <c r="J99" s="618"/>
      <c r="K99" s="618"/>
      <c r="L99" s="618"/>
      <c r="M99" s="618"/>
      <c r="N99" s="618"/>
      <c r="O99" s="618"/>
      <c r="P99" s="618"/>
      <c r="Q99" s="618"/>
      <c r="R99" s="618"/>
      <c r="S99" s="618"/>
      <c r="T99" s="618"/>
      <c r="U99" s="618"/>
      <c r="V99" s="618"/>
      <c r="W99" s="618"/>
      <c r="X99" s="618"/>
      <c r="Y99" s="618"/>
      <c r="Z99" s="618"/>
      <c r="AA99" s="62"/>
      <c r="AB99" s="62"/>
      <c r="AC99" s="62"/>
    </row>
    <row r="100" spans="1:68" ht="14.25" customHeight="1" x14ac:dyDescent="0.25">
      <c r="A100" s="619" t="s">
        <v>114</v>
      </c>
      <c r="B100" s="619"/>
      <c r="C100" s="619"/>
      <c r="D100" s="619"/>
      <c r="E100" s="619"/>
      <c r="F100" s="619"/>
      <c r="G100" s="619"/>
      <c r="H100" s="619"/>
      <c r="I100" s="619"/>
      <c r="J100" s="619"/>
      <c r="K100" s="619"/>
      <c r="L100" s="619"/>
      <c r="M100" s="619"/>
      <c r="N100" s="619"/>
      <c r="O100" s="619"/>
      <c r="P100" s="619"/>
      <c r="Q100" s="619"/>
      <c r="R100" s="619"/>
      <c r="S100" s="619"/>
      <c r="T100" s="619"/>
      <c r="U100" s="619"/>
      <c r="V100" s="619"/>
      <c r="W100" s="619"/>
      <c r="X100" s="619"/>
      <c r="Y100" s="619"/>
      <c r="Z100" s="619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620">
        <v>4680115882133</v>
      </c>
      <c r="E101" s="620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6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7" t="s">
        <v>45</v>
      </c>
      <c r="V101" s="37" t="s">
        <v>45</v>
      </c>
      <c r="W101" s="38" t="s">
        <v>0</v>
      </c>
      <c r="X101" s="56">
        <v>691.2</v>
      </c>
      <c r="Y101" s="53">
        <f>IFERROR(IF(X101="",0,CEILING((X101/$H101),1)*$H101),"")</f>
        <v>691.2</v>
      </c>
      <c r="Z101" s="39">
        <f>IFERROR(IF(Y101=0,"",ROUNDUP(Y101/H101,0)*0.01898),"")</f>
        <v>1.21472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717.44</v>
      </c>
      <c r="BN101" s="75">
        <f>IFERROR(Y101*I101/H101,"0")</f>
        <v>717.44</v>
      </c>
      <c r="BO101" s="75">
        <f>IFERROR(1/J101*(X101/H101),"0")</f>
        <v>1</v>
      </c>
      <c r="BP101" s="75">
        <f>IFERROR(1/J101*(Y101/H101),"0")</f>
        <v>1</v>
      </c>
    </row>
    <row r="102" spans="1:68" ht="27" customHeight="1" x14ac:dyDescent="0.25">
      <c r="A102" s="60" t="s">
        <v>205</v>
      </c>
      <c r="B102" s="60" t="s">
        <v>206</v>
      </c>
      <c r="C102" s="34">
        <v>4301012051</v>
      </c>
      <c r="D102" s="620">
        <v>4680115887718</v>
      </c>
      <c r="E102" s="620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2"/>
      <c r="R102" s="622"/>
      <c r="S102" s="622"/>
      <c r="T102" s="623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208</v>
      </c>
      <c r="B103" s="60" t="s">
        <v>209</v>
      </c>
      <c r="C103" s="34">
        <v>4301011417</v>
      </c>
      <c r="D103" s="620">
        <v>4680115880269</v>
      </c>
      <c r="E103" s="620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6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2"/>
      <c r="R103" s="622"/>
      <c r="S103" s="622"/>
      <c r="T103" s="623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customHeight="1" x14ac:dyDescent="0.25">
      <c r="A104" s="60" t="s">
        <v>210</v>
      </c>
      <c r="B104" s="60" t="s">
        <v>211</v>
      </c>
      <c r="C104" s="34">
        <v>4301011415</v>
      </c>
      <c r="D104" s="620">
        <v>4680115880429</v>
      </c>
      <c r="E104" s="620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66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2"/>
      <c r="R104" s="622"/>
      <c r="S104" s="622"/>
      <c r="T104" s="623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customHeight="1" x14ac:dyDescent="0.25">
      <c r="A105" s="60" t="s">
        <v>212</v>
      </c>
      <c r="B105" s="60" t="s">
        <v>213</v>
      </c>
      <c r="C105" s="34">
        <v>4301011462</v>
      </c>
      <c r="D105" s="620">
        <v>4680115881457</v>
      </c>
      <c r="E105" s="620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6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2"/>
      <c r="R105" s="622"/>
      <c r="S105" s="622"/>
      <c r="T105" s="623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628"/>
      <c r="B106" s="628"/>
      <c r="C106" s="628"/>
      <c r="D106" s="628"/>
      <c r="E106" s="628"/>
      <c r="F106" s="628"/>
      <c r="G106" s="628"/>
      <c r="H106" s="628"/>
      <c r="I106" s="628"/>
      <c r="J106" s="628"/>
      <c r="K106" s="628"/>
      <c r="L106" s="628"/>
      <c r="M106" s="628"/>
      <c r="N106" s="628"/>
      <c r="O106" s="629"/>
      <c r="P106" s="625" t="s">
        <v>40</v>
      </c>
      <c r="Q106" s="626"/>
      <c r="R106" s="626"/>
      <c r="S106" s="626"/>
      <c r="T106" s="626"/>
      <c r="U106" s="626"/>
      <c r="V106" s="627"/>
      <c r="W106" s="40" t="s">
        <v>39</v>
      </c>
      <c r="X106" s="41">
        <f>IFERROR(X101/H101,"0")+IFERROR(X102/H102,"0")+IFERROR(X103/H103,"0")+IFERROR(X104/H104,"0")+IFERROR(X105/H105,"0")</f>
        <v>64</v>
      </c>
      <c r="Y106" s="41">
        <f>IFERROR(Y101/H101,"0")+IFERROR(Y102/H102,"0")+IFERROR(Y103/H103,"0")+IFERROR(Y104/H104,"0")+IFERROR(Y105/H105,"0")</f>
        <v>64</v>
      </c>
      <c r="Z106" s="41">
        <f>IFERROR(IF(Z101="",0,Z101),"0")+IFERROR(IF(Z102="",0,Z102),"0")+IFERROR(IF(Z103="",0,Z103),"0")+IFERROR(IF(Z104="",0,Z104),"0")+IFERROR(IF(Z105="",0,Z105),"0")</f>
        <v>1.21472</v>
      </c>
      <c r="AA106" s="64"/>
      <c r="AB106" s="64"/>
      <c r="AC106" s="64"/>
    </row>
    <row r="107" spans="1:68" x14ac:dyDescent="0.2">
      <c r="A107" s="628"/>
      <c r="B107" s="628"/>
      <c r="C107" s="628"/>
      <c r="D107" s="628"/>
      <c r="E107" s="628"/>
      <c r="F107" s="628"/>
      <c r="G107" s="628"/>
      <c r="H107" s="628"/>
      <c r="I107" s="628"/>
      <c r="J107" s="628"/>
      <c r="K107" s="628"/>
      <c r="L107" s="628"/>
      <c r="M107" s="628"/>
      <c r="N107" s="628"/>
      <c r="O107" s="629"/>
      <c r="P107" s="625" t="s">
        <v>40</v>
      </c>
      <c r="Q107" s="626"/>
      <c r="R107" s="626"/>
      <c r="S107" s="626"/>
      <c r="T107" s="626"/>
      <c r="U107" s="626"/>
      <c r="V107" s="627"/>
      <c r="W107" s="40" t="s">
        <v>0</v>
      </c>
      <c r="X107" s="41">
        <f>IFERROR(SUM(X101:X105),"0")</f>
        <v>691.2</v>
      </c>
      <c r="Y107" s="41">
        <f>IFERROR(SUM(Y101:Y105),"0")</f>
        <v>691.2</v>
      </c>
      <c r="Z107" s="40"/>
      <c r="AA107" s="64"/>
      <c r="AB107" s="64"/>
      <c r="AC107" s="64"/>
    </row>
    <row r="108" spans="1:68" ht="14.25" customHeight="1" x14ac:dyDescent="0.25">
      <c r="A108" s="619" t="s">
        <v>147</v>
      </c>
      <c r="B108" s="619"/>
      <c r="C108" s="619"/>
      <c r="D108" s="619"/>
      <c r="E108" s="619"/>
      <c r="F108" s="619"/>
      <c r="G108" s="619"/>
      <c r="H108" s="619"/>
      <c r="I108" s="619"/>
      <c r="J108" s="619"/>
      <c r="K108" s="619"/>
      <c r="L108" s="619"/>
      <c r="M108" s="619"/>
      <c r="N108" s="619"/>
      <c r="O108" s="619"/>
      <c r="P108" s="619"/>
      <c r="Q108" s="619"/>
      <c r="R108" s="619"/>
      <c r="S108" s="619"/>
      <c r="T108" s="619"/>
      <c r="U108" s="619"/>
      <c r="V108" s="619"/>
      <c r="W108" s="619"/>
      <c r="X108" s="619"/>
      <c r="Y108" s="619"/>
      <c r="Z108" s="619"/>
      <c r="AA108" s="63"/>
      <c r="AB108" s="63"/>
      <c r="AC108" s="63"/>
    </row>
    <row r="109" spans="1:68" ht="16.5" customHeight="1" x14ac:dyDescent="0.25">
      <c r="A109" s="60" t="s">
        <v>214</v>
      </c>
      <c r="B109" s="60" t="s">
        <v>215</v>
      </c>
      <c r="C109" s="34">
        <v>4301020345</v>
      </c>
      <c r="D109" s="620">
        <v>4680115881488</v>
      </c>
      <c r="E109" s="620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2"/>
      <c r="R109" s="622"/>
      <c r="S109" s="622"/>
      <c r="T109" s="623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217</v>
      </c>
      <c r="B110" s="60" t="s">
        <v>218</v>
      </c>
      <c r="C110" s="34">
        <v>4301020186</v>
      </c>
      <c r="D110" s="620">
        <v>4680115887664</v>
      </c>
      <c r="E110" s="620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6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2"/>
      <c r="R110" s="622"/>
      <c r="S110" s="622"/>
      <c r="T110" s="623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customHeight="1" x14ac:dyDescent="0.25">
      <c r="A111" s="60" t="s">
        <v>221</v>
      </c>
      <c r="B111" s="60" t="s">
        <v>222</v>
      </c>
      <c r="C111" s="34">
        <v>4301020346</v>
      </c>
      <c r="D111" s="620">
        <v>4680115882775</v>
      </c>
      <c r="E111" s="620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6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2"/>
      <c r="R111" s="622"/>
      <c r="S111" s="622"/>
      <c r="T111" s="623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customHeight="1" x14ac:dyDescent="0.25">
      <c r="A112" s="60" t="s">
        <v>223</v>
      </c>
      <c r="B112" s="60" t="s">
        <v>224</v>
      </c>
      <c r="C112" s="34">
        <v>4301020344</v>
      </c>
      <c r="D112" s="620">
        <v>4680115880658</v>
      </c>
      <c r="E112" s="620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6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2"/>
      <c r="R112" s="622"/>
      <c r="S112" s="622"/>
      <c r="T112" s="623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">
      <c r="A113" s="628"/>
      <c r="B113" s="628"/>
      <c r="C113" s="628"/>
      <c r="D113" s="628"/>
      <c r="E113" s="628"/>
      <c r="F113" s="628"/>
      <c r="G113" s="628"/>
      <c r="H113" s="628"/>
      <c r="I113" s="628"/>
      <c r="J113" s="628"/>
      <c r="K113" s="628"/>
      <c r="L113" s="628"/>
      <c r="M113" s="628"/>
      <c r="N113" s="628"/>
      <c r="O113" s="629"/>
      <c r="P113" s="625" t="s">
        <v>40</v>
      </c>
      <c r="Q113" s="626"/>
      <c r="R113" s="626"/>
      <c r="S113" s="626"/>
      <c r="T113" s="626"/>
      <c r="U113" s="626"/>
      <c r="V113" s="627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">
      <c r="A114" s="628"/>
      <c r="B114" s="628"/>
      <c r="C114" s="628"/>
      <c r="D114" s="628"/>
      <c r="E114" s="628"/>
      <c r="F114" s="628"/>
      <c r="G114" s="628"/>
      <c r="H114" s="628"/>
      <c r="I114" s="628"/>
      <c r="J114" s="628"/>
      <c r="K114" s="628"/>
      <c r="L114" s="628"/>
      <c r="M114" s="628"/>
      <c r="N114" s="628"/>
      <c r="O114" s="629"/>
      <c r="P114" s="625" t="s">
        <v>40</v>
      </c>
      <c r="Q114" s="626"/>
      <c r="R114" s="626"/>
      <c r="S114" s="626"/>
      <c r="T114" s="626"/>
      <c r="U114" s="626"/>
      <c r="V114" s="627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customHeight="1" x14ac:dyDescent="0.25">
      <c r="A115" s="619" t="s">
        <v>86</v>
      </c>
      <c r="B115" s="619"/>
      <c r="C115" s="619"/>
      <c r="D115" s="619"/>
      <c r="E115" s="619"/>
      <c r="F115" s="619"/>
      <c r="G115" s="619"/>
      <c r="H115" s="619"/>
      <c r="I115" s="619"/>
      <c r="J115" s="619"/>
      <c r="K115" s="619"/>
      <c r="L115" s="619"/>
      <c r="M115" s="619"/>
      <c r="N115" s="619"/>
      <c r="O115" s="619"/>
      <c r="P115" s="619"/>
      <c r="Q115" s="619"/>
      <c r="R115" s="619"/>
      <c r="S115" s="619"/>
      <c r="T115" s="619"/>
      <c r="U115" s="619"/>
      <c r="V115" s="619"/>
      <c r="W115" s="619"/>
      <c r="X115" s="619"/>
      <c r="Y115" s="619"/>
      <c r="Z115" s="619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620">
        <v>4607091385168</v>
      </c>
      <c r="E116" s="620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6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2"/>
      <c r="R116" s="622"/>
      <c r="S116" s="622"/>
      <c r="T116" s="623"/>
      <c r="U116" s="37" t="s">
        <v>45</v>
      </c>
      <c r="V116" s="37" t="s">
        <v>45</v>
      </c>
      <c r="W116" s="38" t="s">
        <v>0</v>
      </c>
      <c r="X116" s="56">
        <v>324</v>
      </c>
      <c r="Y116" s="53">
        <f>IFERROR(IF(X116="",0,CEILING((X116/$H116),1)*$H116),"")</f>
        <v>324</v>
      </c>
      <c r="Z116" s="39">
        <f>IFERROR(IF(Y116=0,"",ROUNDUP(Y116/H116,0)*0.01898),"")</f>
        <v>0.75919999999999999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343.52</v>
      </c>
      <c r="BN116" s="75">
        <f>IFERROR(Y116*I116/H116,"0")</f>
        <v>343.52</v>
      </c>
      <c r="BO116" s="75">
        <f>IFERROR(1/J116*(X116/H116),"0")</f>
        <v>0.625</v>
      </c>
      <c r="BP116" s="75">
        <f>IFERROR(1/J116*(Y116/H116),"0")</f>
        <v>0.625</v>
      </c>
    </row>
    <row r="117" spans="1:68" ht="27" customHeight="1" x14ac:dyDescent="0.25">
      <c r="A117" s="60" t="s">
        <v>228</v>
      </c>
      <c r="B117" s="60" t="s">
        <v>229</v>
      </c>
      <c r="C117" s="34">
        <v>4301051730</v>
      </c>
      <c r="D117" s="620">
        <v>4607091383256</v>
      </c>
      <c r="E117" s="620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2"/>
      <c r="R117" s="622"/>
      <c r="S117" s="622"/>
      <c r="T117" s="623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620">
        <v>4607091385748</v>
      </c>
      <c r="E118" s="620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2"/>
      <c r="R118" s="622"/>
      <c r="S118" s="622"/>
      <c r="T118" s="623"/>
      <c r="U118" s="37" t="s">
        <v>45</v>
      </c>
      <c r="V118" s="37" t="s">
        <v>45</v>
      </c>
      <c r="W118" s="38" t="s">
        <v>0</v>
      </c>
      <c r="X118" s="56">
        <v>97.2</v>
      </c>
      <c r="Y118" s="53">
        <f>IFERROR(IF(X118="",0,CEILING((X118/$H118),1)*$H118),"")</f>
        <v>97.2</v>
      </c>
      <c r="Z118" s="39">
        <f>IFERROR(IF(Y118=0,"",ROUNDUP(Y118/H118,0)*0.00651),"")</f>
        <v>0.23436000000000001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106.27199999999999</v>
      </c>
      <c r="BN118" s="75">
        <f>IFERROR(Y118*I118/H118,"0")</f>
        <v>106.27199999999999</v>
      </c>
      <c r="BO118" s="75">
        <f>IFERROR(1/J118*(X118/H118),"0")</f>
        <v>0.19780219780219782</v>
      </c>
      <c r="BP118" s="75">
        <f>IFERROR(1/J118*(Y118/H118),"0")</f>
        <v>0.19780219780219782</v>
      </c>
    </row>
    <row r="119" spans="1:68" ht="16.5" customHeight="1" x14ac:dyDescent="0.25">
      <c r="A119" s="60" t="s">
        <v>232</v>
      </c>
      <c r="B119" s="60" t="s">
        <v>233</v>
      </c>
      <c r="C119" s="34">
        <v>4301051740</v>
      </c>
      <c r="D119" s="620">
        <v>4680115884533</v>
      </c>
      <c r="E119" s="620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6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2"/>
      <c r="R119" s="622"/>
      <c r="S119" s="622"/>
      <c r="T119" s="623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0" t="s">
        <v>39</v>
      </c>
      <c r="X120" s="41">
        <f>IFERROR(X116/H116,"0")+IFERROR(X117/H117,"0")+IFERROR(X118/H118,"0")+IFERROR(X119/H119,"0")</f>
        <v>76</v>
      </c>
      <c r="Y120" s="41">
        <f>IFERROR(Y116/H116,"0")+IFERROR(Y117/H117,"0")+IFERROR(Y118/H118,"0")+IFERROR(Y119/H119,"0")</f>
        <v>76</v>
      </c>
      <c r="Z120" s="41">
        <f>IFERROR(IF(Z116="",0,Z116),"0")+IFERROR(IF(Z117="",0,Z117),"0")+IFERROR(IF(Z118="",0,Z118),"0")+IFERROR(IF(Z119="",0,Z119),"0")</f>
        <v>0.99356</v>
      </c>
      <c r="AA120" s="64"/>
      <c r="AB120" s="64"/>
      <c r="AC120" s="64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0" t="s">
        <v>0</v>
      </c>
      <c r="X121" s="41">
        <f>IFERROR(SUM(X116:X119),"0")</f>
        <v>421.2</v>
      </c>
      <c r="Y121" s="41">
        <f>IFERROR(SUM(Y116:Y119),"0")</f>
        <v>421.2</v>
      </c>
      <c r="Z121" s="40"/>
      <c r="AA121" s="64"/>
      <c r="AB121" s="64"/>
      <c r="AC121" s="64"/>
    </row>
    <row r="122" spans="1:68" ht="14.25" customHeight="1" x14ac:dyDescent="0.25">
      <c r="A122" s="619" t="s">
        <v>173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3"/>
      <c r="AB122" s="63"/>
      <c r="AC122" s="63"/>
    </row>
    <row r="123" spans="1:68" ht="16.5" customHeight="1" x14ac:dyDescent="0.25">
      <c r="A123" s="60" t="s">
        <v>235</v>
      </c>
      <c r="B123" s="60" t="s">
        <v>236</v>
      </c>
      <c r="C123" s="34">
        <v>4301060317</v>
      </c>
      <c r="D123" s="620">
        <v>4680115880238</v>
      </c>
      <c r="E123" s="620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6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2"/>
      <c r="R123" s="622"/>
      <c r="S123" s="622"/>
      <c r="T123" s="623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628"/>
      <c r="B125" s="628"/>
      <c r="C125" s="628"/>
      <c r="D125" s="628"/>
      <c r="E125" s="628"/>
      <c r="F125" s="628"/>
      <c r="G125" s="628"/>
      <c r="H125" s="628"/>
      <c r="I125" s="628"/>
      <c r="J125" s="628"/>
      <c r="K125" s="628"/>
      <c r="L125" s="628"/>
      <c r="M125" s="628"/>
      <c r="N125" s="628"/>
      <c r="O125" s="629"/>
      <c r="P125" s="625" t="s">
        <v>40</v>
      </c>
      <c r="Q125" s="626"/>
      <c r="R125" s="626"/>
      <c r="S125" s="626"/>
      <c r="T125" s="626"/>
      <c r="U125" s="626"/>
      <c r="V125" s="627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618" t="s">
        <v>238</v>
      </c>
      <c r="B126" s="618"/>
      <c r="C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  <c r="Q126" s="618"/>
      <c r="R126" s="618"/>
      <c r="S126" s="618"/>
      <c r="T126" s="618"/>
      <c r="U126" s="618"/>
      <c r="V126" s="618"/>
      <c r="W126" s="618"/>
      <c r="X126" s="618"/>
      <c r="Y126" s="618"/>
      <c r="Z126" s="618"/>
      <c r="AA126" s="62"/>
      <c r="AB126" s="62"/>
      <c r="AC126" s="62"/>
    </row>
    <row r="127" spans="1:68" ht="14.25" customHeight="1" x14ac:dyDescent="0.25">
      <c r="A127" s="619" t="s">
        <v>114</v>
      </c>
      <c r="B127" s="619"/>
      <c r="C127" s="619"/>
      <c r="D127" s="619"/>
      <c r="E127" s="619"/>
      <c r="F127" s="619"/>
      <c r="G127" s="619"/>
      <c r="H127" s="619"/>
      <c r="I127" s="619"/>
      <c r="J127" s="619"/>
      <c r="K127" s="619"/>
      <c r="L127" s="619"/>
      <c r="M127" s="619"/>
      <c r="N127" s="619"/>
      <c r="O127" s="619"/>
      <c r="P127" s="619"/>
      <c r="Q127" s="619"/>
      <c r="R127" s="619"/>
      <c r="S127" s="619"/>
      <c r="T127" s="619"/>
      <c r="U127" s="619"/>
      <c r="V127" s="619"/>
      <c r="W127" s="619"/>
      <c r="X127" s="619"/>
      <c r="Y127" s="619"/>
      <c r="Z127" s="619"/>
      <c r="AA127" s="63"/>
      <c r="AB127" s="63"/>
      <c r="AC127" s="63"/>
    </row>
    <row r="128" spans="1:68" ht="27" customHeight="1" x14ac:dyDescent="0.25">
      <c r="A128" s="60" t="s">
        <v>239</v>
      </c>
      <c r="B128" s="60" t="s">
        <v>240</v>
      </c>
      <c r="C128" s="34">
        <v>4301011564</v>
      </c>
      <c r="D128" s="620">
        <v>4680115882577</v>
      </c>
      <c r="E128" s="620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6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2"/>
      <c r="R128" s="622"/>
      <c r="S128" s="622"/>
      <c r="T128" s="623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239</v>
      </c>
      <c r="B129" s="60" t="s">
        <v>242</v>
      </c>
      <c r="C129" s="34">
        <v>4301011562</v>
      </c>
      <c r="D129" s="620">
        <v>4680115882577</v>
      </c>
      <c r="E129" s="620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6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2"/>
      <c r="R129" s="622"/>
      <c r="S129" s="622"/>
      <c r="T129" s="623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customHeight="1" x14ac:dyDescent="0.25">
      <c r="A132" s="619" t="s">
        <v>76</v>
      </c>
      <c r="B132" s="619"/>
      <c r="C132" s="619"/>
      <c r="D132" s="619"/>
      <c r="E132" s="619"/>
      <c r="F132" s="619"/>
      <c r="G132" s="619"/>
      <c r="H132" s="619"/>
      <c r="I132" s="619"/>
      <c r="J132" s="619"/>
      <c r="K132" s="619"/>
      <c r="L132" s="619"/>
      <c r="M132" s="619"/>
      <c r="N132" s="619"/>
      <c r="O132" s="619"/>
      <c r="P132" s="619"/>
      <c r="Q132" s="619"/>
      <c r="R132" s="619"/>
      <c r="S132" s="619"/>
      <c r="T132" s="619"/>
      <c r="U132" s="619"/>
      <c r="V132" s="619"/>
      <c r="W132" s="619"/>
      <c r="X132" s="619"/>
      <c r="Y132" s="619"/>
      <c r="Z132" s="619"/>
      <c r="AA132" s="63"/>
      <c r="AB132" s="63"/>
      <c r="AC132" s="63"/>
    </row>
    <row r="133" spans="1:68" ht="27" customHeight="1" x14ac:dyDescent="0.25">
      <c r="A133" s="60" t="s">
        <v>243</v>
      </c>
      <c r="B133" s="60" t="s">
        <v>244</v>
      </c>
      <c r="C133" s="34">
        <v>4301031234</v>
      </c>
      <c r="D133" s="620">
        <v>4680115883444</v>
      </c>
      <c r="E133" s="620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6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2"/>
      <c r="R133" s="622"/>
      <c r="S133" s="622"/>
      <c r="T133" s="623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243</v>
      </c>
      <c r="B134" s="60" t="s">
        <v>246</v>
      </c>
      <c r="C134" s="34">
        <v>4301031235</v>
      </c>
      <c r="D134" s="620">
        <v>4680115883444</v>
      </c>
      <c r="E134" s="620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6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2"/>
      <c r="R134" s="622"/>
      <c r="S134" s="622"/>
      <c r="T134" s="623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628"/>
      <c r="B135" s="628"/>
      <c r="C135" s="628"/>
      <c r="D135" s="628"/>
      <c r="E135" s="628"/>
      <c r="F135" s="628"/>
      <c r="G135" s="628"/>
      <c r="H135" s="628"/>
      <c r="I135" s="628"/>
      <c r="J135" s="628"/>
      <c r="K135" s="628"/>
      <c r="L135" s="628"/>
      <c r="M135" s="628"/>
      <c r="N135" s="628"/>
      <c r="O135" s="629"/>
      <c r="P135" s="625" t="s">
        <v>40</v>
      </c>
      <c r="Q135" s="626"/>
      <c r="R135" s="626"/>
      <c r="S135" s="626"/>
      <c r="T135" s="626"/>
      <c r="U135" s="626"/>
      <c r="V135" s="627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619" t="s">
        <v>86</v>
      </c>
      <c r="B137" s="619"/>
      <c r="C137" s="619"/>
      <c r="D137" s="619"/>
      <c r="E137" s="619"/>
      <c r="F137" s="619"/>
      <c r="G137" s="619"/>
      <c r="H137" s="619"/>
      <c r="I137" s="619"/>
      <c r="J137" s="619"/>
      <c r="K137" s="619"/>
      <c r="L137" s="619"/>
      <c r="M137" s="619"/>
      <c r="N137" s="619"/>
      <c r="O137" s="619"/>
      <c r="P137" s="619"/>
      <c r="Q137" s="619"/>
      <c r="R137" s="619"/>
      <c r="S137" s="619"/>
      <c r="T137" s="619"/>
      <c r="U137" s="619"/>
      <c r="V137" s="619"/>
      <c r="W137" s="619"/>
      <c r="X137" s="619"/>
      <c r="Y137" s="619"/>
      <c r="Z137" s="619"/>
      <c r="AA137" s="63"/>
      <c r="AB137" s="63"/>
      <c r="AC137" s="63"/>
    </row>
    <row r="138" spans="1:68" ht="16.5" customHeight="1" x14ac:dyDescent="0.25">
      <c r="A138" s="60" t="s">
        <v>247</v>
      </c>
      <c r="B138" s="60" t="s">
        <v>248</v>
      </c>
      <c r="C138" s="34">
        <v>4301051477</v>
      </c>
      <c r="D138" s="620">
        <v>4680115882584</v>
      </c>
      <c r="E138" s="620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2"/>
      <c r="R138" s="622"/>
      <c r="S138" s="622"/>
      <c r="T138" s="623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customHeight="1" x14ac:dyDescent="0.25">
      <c r="A139" s="60" t="s">
        <v>247</v>
      </c>
      <c r="B139" s="60" t="s">
        <v>249</v>
      </c>
      <c r="C139" s="34">
        <v>4301051476</v>
      </c>
      <c r="D139" s="620">
        <v>4680115882584</v>
      </c>
      <c r="E139" s="620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6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2"/>
      <c r="R139" s="622"/>
      <c r="S139" s="622"/>
      <c r="T139" s="623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28"/>
      <c r="B140" s="628"/>
      <c r="C140" s="628"/>
      <c r="D140" s="628"/>
      <c r="E140" s="628"/>
      <c r="F140" s="628"/>
      <c r="G140" s="628"/>
      <c r="H140" s="628"/>
      <c r="I140" s="628"/>
      <c r="J140" s="628"/>
      <c r="K140" s="628"/>
      <c r="L140" s="628"/>
      <c r="M140" s="628"/>
      <c r="N140" s="628"/>
      <c r="O140" s="629"/>
      <c r="P140" s="625" t="s">
        <v>40</v>
      </c>
      <c r="Q140" s="626"/>
      <c r="R140" s="626"/>
      <c r="S140" s="626"/>
      <c r="T140" s="626"/>
      <c r="U140" s="626"/>
      <c r="V140" s="627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customHeight="1" x14ac:dyDescent="0.25">
      <c r="A142" s="618" t="s">
        <v>112</v>
      </c>
      <c r="B142" s="618"/>
      <c r="C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  <c r="Q142" s="618"/>
      <c r="R142" s="618"/>
      <c r="S142" s="618"/>
      <c r="T142" s="618"/>
      <c r="U142" s="618"/>
      <c r="V142" s="618"/>
      <c r="W142" s="618"/>
      <c r="X142" s="618"/>
      <c r="Y142" s="618"/>
      <c r="Z142" s="618"/>
      <c r="AA142" s="62"/>
      <c r="AB142" s="62"/>
      <c r="AC142" s="62"/>
    </row>
    <row r="143" spans="1:68" ht="14.25" customHeight="1" x14ac:dyDescent="0.25">
      <c r="A143" s="619" t="s">
        <v>114</v>
      </c>
      <c r="B143" s="619"/>
      <c r="C143" s="619"/>
      <c r="D143" s="619"/>
      <c r="E143" s="619"/>
      <c r="F143" s="619"/>
      <c r="G143" s="619"/>
      <c r="H143" s="619"/>
      <c r="I143" s="619"/>
      <c r="J143" s="619"/>
      <c r="K143" s="619"/>
      <c r="L143" s="619"/>
      <c r="M143" s="619"/>
      <c r="N143" s="619"/>
      <c r="O143" s="619"/>
      <c r="P143" s="619"/>
      <c r="Q143" s="619"/>
      <c r="R143" s="619"/>
      <c r="S143" s="619"/>
      <c r="T143" s="619"/>
      <c r="U143" s="619"/>
      <c r="V143" s="619"/>
      <c r="W143" s="619"/>
      <c r="X143" s="619"/>
      <c r="Y143" s="619"/>
      <c r="Z143" s="619"/>
      <c r="AA143" s="63"/>
      <c r="AB143" s="63"/>
      <c r="AC143" s="63"/>
    </row>
    <row r="144" spans="1:68" ht="27" customHeight="1" x14ac:dyDescent="0.25">
      <c r="A144" s="60" t="s">
        <v>250</v>
      </c>
      <c r="B144" s="60" t="s">
        <v>251</v>
      </c>
      <c r="C144" s="34">
        <v>4301012244</v>
      </c>
      <c r="D144" s="620">
        <v>4680115887374</v>
      </c>
      <c r="E144" s="620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2"/>
      <c r="R144" s="622"/>
      <c r="S144" s="622"/>
      <c r="T144" s="623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customHeight="1" x14ac:dyDescent="0.25">
      <c r="A145" s="60" t="s">
        <v>253</v>
      </c>
      <c r="B145" s="60" t="s">
        <v>254</v>
      </c>
      <c r="C145" s="34">
        <v>4301011705</v>
      </c>
      <c r="D145" s="620">
        <v>4607091384604</v>
      </c>
      <c r="E145" s="620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2"/>
      <c r="R145" s="622"/>
      <c r="S145" s="622"/>
      <c r="T145" s="623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customHeight="1" x14ac:dyDescent="0.25">
      <c r="A148" s="619" t="s">
        <v>76</v>
      </c>
      <c r="B148" s="619"/>
      <c r="C148" s="619"/>
      <c r="D148" s="619"/>
      <c r="E148" s="619"/>
      <c r="F148" s="619"/>
      <c r="G148" s="619"/>
      <c r="H148" s="619"/>
      <c r="I148" s="619"/>
      <c r="J148" s="619"/>
      <c r="K148" s="619"/>
      <c r="L148" s="619"/>
      <c r="M148" s="619"/>
      <c r="N148" s="619"/>
      <c r="O148" s="619"/>
      <c r="P148" s="619"/>
      <c r="Q148" s="619"/>
      <c r="R148" s="619"/>
      <c r="S148" s="619"/>
      <c r="T148" s="619"/>
      <c r="U148" s="619"/>
      <c r="V148" s="619"/>
      <c r="W148" s="619"/>
      <c r="X148" s="619"/>
      <c r="Y148" s="619"/>
      <c r="Z148" s="619"/>
      <c r="AA148" s="63"/>
      <c r="AB148" s="63"/>
      <c r="AC148" s="63"/>
    </row>
    <row r="149" spans="1:68" ht="16.5" customHeight="1" x14ac:dyDescent="0.25">
      <c r="A149" s="60" t="s">
        <v>256</v>
      </c>
      <c r="B149" s="60" t="s">
        <v>257</v>
      </c>
      <c r="C149" s="34">
        <v>4301031450</v>
      </c>
      <c r="D149" s="620">
        <v>4680115887428</v>
      </c>
      <c r="E149" s="620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68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2"/>
      <c r="R149" s="622"/>
      <c r="S149" s="622"/>
      <c r="T149" s="623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259</v>
      </c>
      <c r="B150" s="60" t="s">
        <v>260</v>
      </c>
      <c r="C150" s="34">
        <v>4301031453</v>
      </c>
      <c r="D150" s="620">
        <v>4680115887336</v>
      </c>
      <c r="E150" s="620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68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2"/>
      <c r="R150" s="622"/>
      <c r="S150" s="622"/>
      <c r="T150" s="623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262</v>
      </c>
      <c r="B151" s="60" t="s">
        <v>263</v>
      </c>
      <c r="C151" s="34">
        <v>4301030963</v>
      </c>
      <c r="D151" s="620">
        <v>4607091382426</v>
      </c>
      <c r="E151" s="620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69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2"/>
      <c r="R151" s="622"/>
      <c r="S151" s="622"/>
      <c r="T151" s="623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265</v>
      </c>
      <c r="B152" s="60" t="s">
        <v>266</v>
      </c>
      <c r="C152" s="34">
        <v>4301031456</v>
      </c>
      <c r="D152" s="620">
        <v>4680115887398</v>
      </c>
      <c r="E152" s="620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69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2"/>
      <c r="R152" s="622"/>
      <c r="S152" s="622"/>
      <c r="T152" s="623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268</v>
      </c>
      <c r="B153" s="60" t="s">
        <v>269</v>
      </c>
      <c r="C153" s="34">
        <v>4301031389</v>
      </c>
      <c r="D153" s="620">
        <v>4680115887763</v>
      </c>
      <c r="E153" s="620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692" t="s">
        <v>270</v>
      </c>
      <c r="Q153" s="622"/>
      <c r="R153" s="622"/>
      <c r="S153" s="622"/>
      <c r="T153" s="623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customHeight="1" x14ac:dyDescent="0.25">
      <c r="A156" s="619" t="s">
        <v>86</v>
      </c>
      <c r="B156" s="619"/>
      <c r="C156" s="619"/>
      <c r="D156" s="619"/>
      <c r="E156" s="619"/>
      <c r="F156" s="619"/>
      <c r="G156" s="619"/>
      <c r="H156" s="619"/>
      <c r="I156" s="619"/>
      <c r="J156" s="619"/>
      <c r="K156" s="619"/>
      <c r="L156" s="619"/>
      <c r="M156" s="619"/>
      <c r="N156" s="619"/>
      <c r="O156" s="619"/>
      <c r="P156" s="619"/>
      <c r="Q156" s="619"/>
      <c r="R156" s="619"/>
      <c r="S156" s="619"/>
      <c r="T156" s="619"/>
      <c r="U156" s="619"/>
      <c r="V156" s="619"/>
      <c r="W156" s="619"/>
      <c r="X156" s="619"/>
      <c r="Y156" s="619"/>
      <c r="Z156" s="619"/>
      <c r="AA156" s="63"/>
      <c r="AB156" s="63"/>
      <c r="AC156" s="63"/>
    </row>
    <row r="157" spans="1:68" ht="27" customHeight="1" x14ac:dyDescent="0.25">
      <c r="A157" s="60" t="s">
        <v>272</v>
      </c>
      <c r="B157" s="60" t="s">
        <v>273</v>
      </c>
      <c r="C157" s="34">
        <v>4301052064</v>
      </c>
      <c r="D157" s="620">
        <v>4680115887459</v>
      </c>
      <c r="E157" s="620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6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2"/>
      <c r="R157" s="622"/>
      <c r="S157" s="622"/>
      <c r="T157" s="623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628"/>
      <c r="B158" s="628"/>
      <c r="C158" s="628"/>
      <c r="D158" s="628"/>
      <c r="E158" s="628"/>
      <c r="F158" s="628"/>
      <c r="G158" s="628"/>
      <c r="H158" s="628"/>
      <c r="I158" s="628"/>
      <c r="J158" s="628"/>
      <c r="K158" s="628"/>
      <c r="L158" s="628"/>
      <c r="M158" s="628"/>
      <c r="N158" s="628"/>
      <c r="O158" s="629"/>
      <c r="P158" s="625" t="s">
        <v>40</v>
      </c>
      <c r="Q158" s="626"/>
      <c r="R158" s="626"/>
      <c r="S158" s="626"/>
      <c r="T158" s="626"/>
      <c r="U158" s="626"/>
      <c r="V158" s="627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customHeight="1" x14ac:dyDescent="0.2">
      <c r="A160" s="617" t="s">
        <v>275</v>
      </c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17"/>
      <c r="P160" s="617"/>
      <c r="Q160" s="617"/>
      <c r="R160" s="617"/>
      <c r="S160" s="617"/>
      <c r="T160" s="617"/>
      <c r="U160" s="617"/>
      <c r="V160" s="617"/>
      <c r="W160" s="617"/>
      <c r="X160" s="617"/>
      <c r="Y160" s="617"/>
      <c r="Z160" s="617"/>
      <c r="AA160" s="52"/>
      <c r="AB160" s="52"/>
      <c r="AC160" s="52"/>
    </row>
    <row r="161" spans="1:68" ht="16.5" customHeight="1" x14ac:dyDescent="0.25">
      <c r="A161" s="618" t="s">
        <v>276</v>
      </c>
      <c r="B161" s="618"/>
      <c r="C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  <c r="Q161" s="618"/>
      <c r="R161" s="618"/>
      <c r="S161" s="618"/>
      <c r="T161" s="618"/>
      <c r="U161" s="618"/>
      <c r="V161" s="618"/>
      <c r="W161" s="618"/>
      <c r="X161" s="618"/>
      <c r="Y161" s="618"/>
      <c r="Z161" s="618"/>
      <c r="AA161" s="62"/>
      <c r="AB161" s="62"/>
      <c r="AC161" s="62"/>
    </row>
    <row r="162" spans="1:68" ht="14.25" customHeight="1" x14ac:dyDescent="0.25">
      <c r="A162" s="619" t="s">
        <v>147</v>
      </c>
      <c r="B162" s="619"/>
      <c r="C162" s="619"/>
      <c r="D162" s="619"/>
      <c r="E162" s="619"/>
      <c r="F162" s="619"/>
      <c r="G162" s="619"/>
      <c r="H162" s="619"/>
      <c r="I162" s="619"/>
      <c r="J162" s="619"/>
      <c r="K162" s="619"/>
      <c r="L162" s="619"/>
      <c r="M162" s="619"/>
      <c r="N162" s="619"/>
      <c r="O162" s="619"/>
      <c r="P162" s="619"/>
      <c r="Q162" s="619"/>
      <c r="R162" s="619"/>
      <c r="S162" s="619"/>
      <c r="T162" s="619"/>
      <c r="U162" s="619"/>
      <c r="V162" s="619"/>
      <c r="W162" s="619"/>
      <c r="X162" s="619"/>
      <c r="Y162" s="619"/>
      <c r="Z162" s="619"/>
      <c r="AA162" s="63"/>
      <c r="AB162" s="63"/>
      <c r="AC162" s="63"/>
    </row>
    <row r="163" spans="1:68" ht="27" customHeight="1" x14ac:dyDescent="0.25">
      <c r="A163" s="60" t="s">
        <v>277</v>
      </c>
      <c r="B163" s="60" t="s">
        <v>278</v>
      </c>
      <c r="C163" s="34">
        <v>4301020323</v>
      </c>
      <c r="D163" s="620">
        <v>4680115886223</v>
      </c>
      <c r="E163" s="620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69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2"/>
      <c r="R163" s="622"/>
      <c r="S163" s="622"/>
      <c r="T163" s="623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customHeight="1" x14ac:dyDescent="0.25">
      <c r="A166" s="619" t="s">
        <v>76</v>
      </c>
      <c r="B166" s="619"/>
      <c r="C166" s="619"/>
      <c r="D166" s="619"/>
      <c r="E166" s="619"/>
      <c r="F166" s="619"/>
      <c r="G166" s="619"/>
      <c r="H166" s="619"/>
      <c r="I166" s="619"/>
      <c r="J166" s="619"/>
      <c r="K166" s="619"/>
      <c r="L166" s="619"/>
      <c r="M166" s="619"/>
      <c r="N166" s="619"/>
      <c r="O166" s="619"/>
      <c r="P166" s="619"/>
      <c r="Q166" s="619"/>
      <c r="R166" s="619"/>
      <c r="S166" s="619"/>
      <c r="T166" s="619"/>
      <c r="U166" s="619"/>
      <c r="V166" s="619"/>
      <c r="W166" s="619"/>
      <c r="X166" s="619"/>
      <c r="Y166" s="619"/>
      <c r="Z166" s="619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620">
        <v>4680115880993</v>
      </c>
      <c r="E167" s="620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69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2"/>
      <c r="R167" s="622"/>
      <c r="S167" s="622"/>
      <c r="T167" s="623"/>
      <c r="U167" s="37" t="s">
        <v>45</v>
      </c>
      <c r="V167" s="37" t="s">
        <v>45</v>
      </c>
      <c r="W167" s="38" t="s">
        <v>0</v>
      </c>
      <c r="X167" s="56">
        <v>0</v>
      </c>
      <c r="Y167" s="53">
        <f t="shared" ref="Y167:Y181" si="11">IFERROR(IF(X167="",0,CEILING((X167/$H167),1)*$H167),"")</f>
        <v>0</v>
      </c>
      <c r="Z167" s="39" t="str">
        <f>IFERROR(IF(Y167=0,"",ROUNDUP(Y167/H167,0)*0.00902),"")</f>
        <v/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0</v>
      </c>
      <c r="BN167" s="75">
        <f t="shared" ref="BN167:BN181" si="13">IFERROR(Y167*I167/H167,"0")</f>
        <v>0</v>
      </c>
      <c r="BO167" s="75">
        <f t="shared" ref="BO167:BO181" si="14">IFERROR(1/J167*(X167/H167),"0")</f>
        <v>0</v>
      </c>
      <c r="BP167" s="75">
        <f t="shared" ref="BP167:BP181" si="15">IFERROR(1/J167*(Y167/H167),"0")</f>
        <v>0</v>
      </c>
    </row>
    <row r="168" spans="1:68" ht="27" customHeight="1" x14ac:dyDescent="0.25">
      <c r="A168" s="60" t="s">
        <v>283</v>
      </c>
      <c r="B168" s="60" t="s">
        <v>284</v>
      </c>
      <c r="C168" s="34">
        <v>4301031204</v>
      </c>
      <c r="D168" s="620">
        <v>4680115881761</v>
      </c>
      <c r="E168" s="620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2"/>
      <c r="R168" s="622"/>
      <c r="S168" s="622"/>
      <c r="T168" s="623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620">
        <v>4680115881563</v>
      </c>
      <c r="E169" s="620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2"/>
      <c r="R169" s="622"/>
      <c r="S169" s="622"/>
      <c r="T169" s="623"/>
      <c r="U169" s="37" t="s">
        <v>45</v>
      </c>
      <c r="V169" s="37" t="s">
        <v>45</v>
      </c>
      <c r="W169" s="38" t="s">
        <v>0</v>
      </c>
      <c r="X169" s="56">
        <v>151.19999999999999</v>
      </c>
      <c r="Y169" s="53">
        <f t="shared" si="11"/>
        <v>151.20000000000002</v>
      </c>
      <c r="Z169" s="39">
        <f>IFERROR(IF(Y169=0,"",ROUNDUP(Y169/H169,0)*0.00902),"")</f>
        <v>0.32472000000000001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158.03999999999996</v>
      </c>
      <c r="BN169" s="75">
        <f t="shared" si="13"/>
        <v>158.04</v>
      </c>
      <c r="BO169" s="75">
        <f t="shared" si="14"/>
        <v>0.27272727272727271</v>
      </c>
      <c r="BP169" s="75">
        <f t="shared" si="15"/>
        <v>0.27272727272727271</v>
      </c>
    </row>
    <row r="170" spans="1:68" ht="37.5" customHeight="1" x14ac:dyDescent="0.25">
      <c r="A170" s="60" t="s">
        <v>289</v>
      </c>
      <c r="B170" s="60" t="s">
        <v>290</v>
      </c>
      <c r="C170" s="34">
        <v>4301031447</v>
      </c>
      <c r="D170" s="620">
        <v>4680115887565</v>
      </c>
      <c r="E170" s="620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6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2"/>
      <c r="R170" s="622"/>
      <c r="S170" s="622"/>
      <c r="T170" s="623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620">
        <v>4680115880986</v>
      </c>
      <c r="E171" s="620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6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2"/>
      <c r="R171" s="622"/>
      <c r="S171" s="622"/>
      <c r="T171" s="623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si="11"/>
        <v>0</v>
      </c>
      <c r="Z171" s="39" t="str">
        <f>IFERROR(IF(Y171=0,"",ROUNDUP(Y171/H171,0)*0.00502),"")</f>
        <v/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0</v>
      </c>
      <c r="BN171" s="75">
        <f t="shared" si="13"/>
        <v>0</v>
      </c>
      <c r="BO171" s="75">
        <f t="shared" si="14"/>
        <v>0</v>
      </c>
      <c r="BP171" s="75">
        <f t="shared" si="15"/>
        <v>0</v>
      </c>
    </row>
    <row r="172" spans="1:68" ht="27" customHeight="1" x14ac:dyDescent="0.25">
      <c r="A172" s="60" t="s">
        <v>294</v>
      </c>
      <c r="B172" s="60" t="s">
        <v>295</v>
      </c>
      <c r="C172" s="34">
        <v>4301031443</v>
      </c>
      <c r="D172" s="620">
        <v>4680115887213</v>
      </c>
      <c r="E172" s="620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2"/>
      <c r="R172" s="622"/>
      <c r="S172" s="622"/>
      <c r="T172" s="623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customHeight="1" x14ac:dyDescent="0.25">
      <c r="A173" s="60" t="s">
        <v>297</v>
      </c>
      <c r="B173" s="60" t="s">
        <v>298</v>
      </c>
      <c r="C173" s="34">
        <v>4301031205</v>
      </c>
      <c r="D173" s="620">
        <v>4680115881785</v>
      </c>
      <c r="E173" s="620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0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2"/>
      <c r="R173" s="622"/>
      <c r="S173" s="622"/>
      <c r="T173" s="623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customHeight="1" x14ac:dyDescent="0.25">
      <c r="A174" s="60" t="s">
        <v>299</v>
      </c>
      <c r="B174" s="60" t="s">
        <v>300</v>
      </c>
      <c r="C174" s="34">
        <v>4301031463</v>
      </c>
      <c r="D174" s="620">
        <v>4680115887824</v>
      </c>
      <c r="E174" s="620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0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2"/>
      <c r="R174" s="622"/>
      <c r="S174" s="622"/>
      <c r="T174" s="623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customHeight="1" x14ac:dyDescent="0.25">
      <c r="A175" s="60" t="s">
        <v>303</v>
      </c>
      <c r="B175" s="60" t="s">
        <v>304</v>
      </c>
      <c r="C175" s="34">
        <v>4301031464</v>
      </c>
      <c r="D175" s="620">
        <v>4680115887701</v>
      </c>
      <c r="E175" s="620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0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2"/>
      <c r="R175" s="622"/>
      <c r="S175" s="622"/>
      <c r="T175" s="623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customHeight="1" x14ac:dyDescent="0.25">
      <c r="A176" s="60" t="s">
        <v>305</v>
      </c>
      <c r="B176" s="60" t="s">
        <v>306</v>
      </c>
      <c r="C176" s="34">
        <v>4301031427</v>
      </c>
      <c r="D176" s="620">
        <v>4680115888104</v>
      </c>
      <c r="E176" s="620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04" t="s">
        <v>307</v>
      </c>
      <c r="Q176" s="622"/>
      <c r="R176" s="622"/>
      <c r="S176" s="622"/>
      <c r="T176" s="623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customHeight="1" x14ac:dyDescent="0.25">
      <c r="A177" s="60" t="s">
        <v>309</v>
      </c>
      <c r="B177" s="60" t="s">
        <v>310</v>
      </c>
      <c r="C177" s="34">
        <v>4301031399</v>
      </c>
      <c r="D177" s="620">
        <v>4680115886537</v>
      </c>
      <c r="E177" s="620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0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2"/>
      <c r="R177" s="622"/>
      <c r="S177" s="622"/>
      <c r="T177" s="623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customHeight="1" x14ac:dyDescent="0.25">
      <c r="A178" s="60" t="s">
        <v>312</v>
      </c>
      <c r="B178" s="60" t="s">
        <v>313</v>
      </c>
      <c r="C178" s="34">
        <v>4301031279</v>
      </c>
      <c r="D178" s="620">
        <v>4680115887596</v>
      </c>
      <c r="E178" s="620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2"/>
      <c r="R178" s="622"/>
      <c r="S178" s="622"/>
      <c r="T178" s="623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620">
        <v>4680115881679</v>
      </c>
      <c r="E179" s="620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2"/>
      <c r="R179" s="622"/>
      <c r="S179" s="622"/>
      <c r="T179" s="623"/>
      <c r="U179" s="37" t="s">
        <v>45</v>
      </c>
      <c r="V179" s="37" t="s">
        <v>45</v>
      </c>
      <c r="W179" s="38" t="s">
        <v>0</v>
      </c>
      <c r="X179" s="56">
        <v>37.799999999999997</v>
      </c>
      <c r="Y179" s="53">
        <f t="shared" si="11"/>
        <v>37.800000000000004</v>
      </c>
      <c r="Z179" s="39">
        <f>IFERROR(IF(Y179=0,"",ROUNDUP(Y179/H179,0)*0.00502),"")</f>
        <v>9.0359999999999996E-2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39.599999999999994</v>
      </c>
      <c r="BN179" s="75">
        <f t="shared" si="13"/>
        <v>39.6</v>
      </c>
      <c r="BO179" s="75">
        <f t="shared" si="14"/>
        <v>7.6923076923076913E-2</v>
      </c>
      <c r="BP179" s="75">
        <f t="shared" si="15"/>
        <v>7.6923076923076927E-2</v>
      </c>
    </row>
    <row r="180" spans="1:68" ht="27" customHeight="1" x14ac:dyDescent="0.25">
      <c r="A180" s="60" t="s">
        <v>317</v>
      </c>
      <c r="B180" s="60" t="s">
        <v>318</v>
      </c>
      <c r="C180" s="34">
        <v>4301031158</v>
      </c>
      <c r="D180" s="620">
        <v>4680115880191</v>
      </c>
      <c r="E180" s="620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0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2"/>
      <c r="R180" s="622"/>
      <c r="S180" s="622"/>
      <c r="T180" s="623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customHeight="1" x14ac:dyDescent="0.25">
      <c r="A181" s="60" t="s">
        <v>319</v>
      </c>
      <c r="B181" s="60" t="s">
        <v>320</v>
      </c>
      <c r="C181" s="34">
        <v>4301031245</v>
      </c>
      <c r="D181" s="620">
        <v>4680115883963</v>
      </c>
      <c r="E181" s="620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2"/>
      <c r="R181" s="622"/>
      <c r="S181" s="622"/>
      <c r="T181" s="623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53.999999999999986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54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0.41508</v>
      </c>
      <c r="AA182" s="64"/>
      <c r="AB182" s="64"/>
      <c r="AC182" s="64"/>
    </row>
    <row r="183" spans="1:68" x14ac:dyDescent="0.2">
      <c r="A183" s="628"/>
      <c r="B183" s="628"/>
      <c r="C183" s="628"/>
      <c r="D183" s="628"/>
      <c r="E183" s="628"/>
      <c r="F183" s="628"/>
      <c r="G183" s="628"/>
      <c r="H183" s="628"/>
      <c r="I183" s="628"/>
      <c r="J183" s="628"/>
      <c r="K183" s="628"/>
      <c r="L183" s="628"/>
      <c r="M183" s="628"/>
      <c r="N183" s="628"/>
      <c r="O183" s="629"/>
      <c r="P183" s="625" t="s">
        <v>40</v>
      </c>
      <c r="Q183" s="626"/>
      <c r="R183" s="626"/>
      <c r="S183" s="626"/>
      <c r="T183" s="626"/>
      <c r="U183" s="626"/>
      <c r="V183" s="627"/>
      <c r="W183" s="40" t="s">
        <v>0</v>
      </c>
      <c r="X183" s="41">
        <f>IFERROR(SUM(X167:X181),"0")</f>
        <v>189</v>
      </c>
      <c r="Y183" s="41">
        <f>IFERROR(SUM(Y167:Y181),"0")</f>
        <v>189.00000000000003</v>
      </c>
      <c r="Z183" s="40"/>
      <c r="AA183" s="64"/>
      <c r="AB183" s="64"/>
      <c r="AC183" s="64"/>
    </row>
    <row r="184" spans="1:68" ht="14.25" customHeight="1" x14ac:dyDescent="0.25">
      <c r="A184" s="619" t="s">
        <v>106</v>
      </c>
      <c r="B184" s="619"/>
      <c r="C184" s="619"/>
      <c r="D184" s="619"/>
      <c r="E184" s="619"/>
      <c r="F184" s="619"/>
      <c r="G184" s="619"/>
      <c r="H184" s="619"/>
      <c r="I184" s="619"/>
      <c r="J184" s="619"/>
      <c r="K184" s="619"/>
      <c r="L184" s="619"/>
      <c r="M184" s="619"/>
      <c r="N184" s="619"/>
      <c r="O184" s="619"/>
      <c r="P184" s="619"/>
      <c r="Q184" s="619"/>
      <c r="R184" s="619"/>
      <c r="S184" s="619"/>
      <c r="T184" s="619"/>
      <c r="U184" s="619"/>
      <c r="V184" s="619"/>
      <c r="W184" s="619"/>
      <c r="X184" s="619"/>
      <c r="Y184" s="619"/>
      <c r="Z184" s="619"/>
      <c r="AA184" s="63"/>
      <c r="AB184" s="63"/>
      <c r="AC184" s="63"/>
    </row>
    <row r="185" spans="1:68" ht="27" customHeight="1" x14ac:dyDescent="0.25">
      <c r="A185" s="60" t="s">
        <v>322</v>
      </c>
      <c r="B185" s="60" t="s">
        <v>323</v>
      </c>
      <c r="C185" s="34">
        <v>4301032053</v>
      </c>
      <c r="D185" s="620">
        <v>4680115886780</v>
      </c>
      <c r="E185" s="620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2"/>
      <c r="R185" s="622"/>
      <c r="S185" s="622"/>
      <c r="T185" s="623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4301032051</v>
      </c>
      <c r="D186" s="620">
        <v>4680115886742</v>
      </c>
      <c r="E186" s="620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2"/>
      <c r="R186" s="622"/>
      <c r="S186" s="622"/>
      <c r="T186" s="623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329</v>
      </c>
      <c r="B187" s="60" t="s">
        <v>330</v>
      </c>
      <c r="C187" s="34">
        <v>4301032052</v>
      </c>
      <c r="D187" s="620">
        <v>4680115886766</v>
      </c>
      <c r="E187" s="620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2"/>
      <c r="R187" s="622"/>
      <c r="S187" s="622"/>
      <c r="T187" s="623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customHeight="1" x14ac:dyDescent="0.25">
      <c r="A190" s="619" t="s">
        <v>331</v>
      </c>
      <c r="B190" s="619"/>
      <c r="C190" s="619"/>
      <c r="D190" s="619"/>
      <c r="E190" s="619"/>
      <c r="F190" s="619"/>
      <c r="G190" s="619"/>
      <c r="H190" s="619"/>
      <c r="I190" s="619"/>
      <c r="J190" s="619"/>
      <c r="K190" s="619"/>
      <c r="L190" s="619"/>
      <c r="M190" s="619"/>
      <c r="N190" s="619"/>
      <c r="O190" s="619"/>
      <c r="P190" s="619"/>
      <c r="Q190" s="619"/>
      <c r="R190" s="619"/>
      <c r="S190" s="619"/>
      <c r="T190" s="619"/>
      <c r="U190" s="619"/>
      <c r="V190" s="619"/>
      <c r="W190" s="619"/>
      <c r="X190" s="619"/>
      <c r="Y190" s="619"/>
      <c r="Z190" s="619"/>
      <c r="AA190" s="63"/>
      <c r="AB190" s="63"/>
      <c r="AC190" s="63"/>
    </row>
    <row r="191" spans="1:68" ht="27" customHeight="1" x14ac:dyDescent="0.25">
      <c r="A191" s="60" t="s">
        <v>332</v>
      </c>
      <c r="B191" s="60" t="s">
        <v>333</v>
      </c>
      <c r="C191" s="34">
        <v>4301170013</v>
      </c>
      <c r="D191" s="620">
        <v>4680115886797</v>
      </c>
      <c r="E191" s="620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2"/>
      <c r="R191" s="622"/>
      <c r="S191" s="622"/>
      <c r="T191" s="623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customHeight="1" x14ac:dyDescent="0.25">
      <c r="A194" s="618" t="s">
        <v>334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2"/>
      <c r="AB194" s="62"/>
      <c r="AC194" s="62"/>
    </row>
    <row r="195" spans="1:68" ht="14.25" customHeight="1" x14ac:dyDescent="0.25">
      <c r="A195" s="619" t="s">
        <v>114</v>
      </c>
      <c r="B195" s="619"/>
      <c r="C195" s="619"/>
      <c r="D195" s="619"/>
      <c r="E195" s="619"/>
      <c r="F195" s="619"/>
      <c r="G195" s="619"/>
      <c r="H195" s="619"/>
      <c r="I195" s="619"/>
      <c r="J195" s="619"/>
      <c r="K195" s="619"/>
      <c r="L195" s="619"/>
      <c r="M195" s="619"/>
      <c r="N195" s="619"/>
      <c r="O195" s="619"/>
      <c r="P195" s="619"/>
      <c r="Q195" s="619"/>
      <c r="R195" s="619"/>
      <c r="S195" s="619"/>
      <c r="T195" s="619"/>
      <c r="U195" s="619"/>
      <c r="V195" s="619"/>
      <c r="W195" s="619"/>
      <c r="X195" s="619"/>
      <c r="Y195" s="619"/>
      <c r="Z195" s="619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4301011450</v>
      </c>
      <c r="D196" s="620">
        <v>4680115881402</v>
      </c>
      <c r="E196" s="620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2"/>
      <c r="R196" s="622"/>
      <c r="S196" s="622"/>
      <c r="T196" s="623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customHeight="1" x14ac:dyDescent="0.25">
      <c r="A197" s="60" t="s">
        <v>338</v>
      </c>
      <c r="B197" s="60" t="s">
        <v>339</v>
      </c>
      <c r="C197" s="34">
        <v>4301011768</v>
      </c>
      <c r="D197" s="620">
        <v>4680115881396</v>
      </c>
      <c r="E197" s="620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2"/>
      <c r="R197" s="622"/>
      <c r="S197" s="622"/>
      <c r="T197" s="623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628"/>
      <c r="B198" s="628"/>
      <c r="C198" s="628"/>
      <c r="D198" s="628"/>
      <c r="E198" s="628"/>
      <c r="F198" s="628"/>
      <c r="G198" s="628"/>
      <c r="H198" s="628"/>
      <c r="I198" s="628"/>
      <c r="J198" s="628"/>
      <c r="K198" s="628"/>
      <c r="L198" s="628"/>
      <c r="M198" s="628"/>
      <c r="N198" s="628"/>
      <c r="O198" s="629"/>
      <c r="P198" s="625" t="s">
        <v>40</v>
      </c>
      <c r="Q198" s="626"/>
      <c r="R198" s="626"/>
      <c r="S198" s="626"/>
      <c r="T198" s="626"/>
      <c r="U198" s="626"/>
      <c r="V198" s="627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628"/>
      <c r="B199" s="628"/>
      <c r="C199" s="628"/>
      <c r="D199" s="628"/>
      <c r="E199" s="628"/>
      <c r="F199" s="628"/>
      <c r="G199" s="628"/>
      <c r="H199" s="628"/>
      <c r="I199" s="628"/>
      <c r="J199" s="628"/>
      <c r="K199" s="628"/>
      <c r="L199" s="628"/>
      <c r="M199" s="628"/>
      <c r="N199" s="628"/>
      <c r="O199" s="629"/>
      <c r="P199" s="625" t="s">
        <v>40</v>
      </c>
      <c r="Q199" s="626"/>
      <c r="R199" s="626"/>
      <c r="S199" s="626"/>
      <c r="T199" s="626"/>
      <c r="U199" s="626"/>
      <c r="V199" s="627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619" t="s">
        <v>147</v>
      </c>
      <c r="B200" s="619"/>
      <c r="C200" s="619"/>
      <c r="D200" s="619"/>
      <c r="E200" s="619"/>
      <c r="F200" s="619"/>
      <c r="G200" s="619"/>
      <c r="H200" s="619"/>
      <c r="I200" s="619"/>
      <c r="J200" s="619"/>
      <c r="K200" s="619"/>
      <c r="L200" s="619"/>
      <c r="M200" s="619"/>
      <c r="N200" s="619"/>
      <c r="O200" s="619"/>
      <c r="P200" s="619"/>
      <c r="Q200" s="619"/>
      <c r="R200" s="619"/>
      <c r="S200" s="619"/>
      <c r="T200" s="619"/>
      <c r="U200" s="619"/>
      <c r="V200" s="619"/>
      <c r="W200" s="619"/>
      <c r="X200" s="619"/>
      <c r="Y200" s="619"/>
      <c r="Z200" s="619"/>
      <c r="AA200" s="63"/>
      <c r="AB200" s="63"/>
      <c r="AC200" s="63"/>
    </row>
    <row r="201" spans="1:68" ht="16.5" customHeight="1" x14ac:dyDescent="0.25">
      <c r="A201" s="60" t="s">
        <v>340</v>
      </c>
      <c r="B201" s="60" t="s">
        <v>341</v>
      </c>
      <c r="C201" s="34">
        <v>4301020261</v>
      </c>
      <c r="D201" s="620">
        <v>4680115882935</v>
      </c>
      <c r="E201" s="620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2"/>
      <c r="R201" s="622"/>
      <c r="S201" s="622"/>
      <c r="T201" s="623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customHeight="1" x14ac:dyDescent="0.25">
      <c r="A202" s="60" t="s">
        <v>343</v>
      </c>
      <c r="B202" s="60" t="s">
        <v>344</v>
      </c>
      <c r="C202" s="34">
        <v>4301020220</v>
      </c>
      <c r="D202" s="620">
        <v>4680115880764</v>
      </c>
      <c r="E202" s="620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2"/>
      <c r="R202" s="622"/>
      <c r="S202" s="622"/>
      <c r="T202" s="623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customHeight="1" x14ac:dyDescent="0.25">
      <c r="A205" s="619" t="s">
        <v>76</v>
      </c>
      <c r="B205" s="619"/>
      <c r="C205" s="619"/>
      <c r="D205" s="619"/>
      <c r="E205" s="619"/>
      <c r="F205" s="619"/>
      <c r="G205" s="619"/>
      <c r="H205" s="619"/>
      <c r="I205" s="619"/>
      <c r="J205" s="619"/>
      <c r="K205" s="619"/>
      <c r="L205" s="619"/>
      <c r="M205" s="619"/>
      <c r="N205" s="619"/>
      <c r="O205" s="619"/>
      <c r="P205" s="619"/>
      <c r="Q205" s="619"/>
      <c r="R205" s="619"/>
      <c r="S205" s="619"/>
      <c r="T205" s="619"/>
      <c r="U205" s="619"/>
      <c r="V205" s="619"/>
      <c r="W205" s="619"/>
      <c r="X205" s="619"/>
      <c r="Y205" s="619"/>
      <c r="Z205" s="619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620">
        <v>4680115882683</v>
      </c>
      <c r="E206" s="620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2"/>
      <c r="R206" s="622"/>
      <c r="S206" s="622"/>
      <c r="T206" s="623"/>
      <c r="U206" s="37" t="s">
        <v>45</v>
      </c>
      <c r="V206" s="37" t="s">
        <v>45</v>
      </c>
      <c r="W206" s="38" t="s">
        <v>0</v>
      </c>
      <c r="X206" s="56">
        <v>259.2</v>
      </c>
      <c r="Y206" s="53">
        <f t="shared" ref="Y206:Y213" si="16">IFERROR(IF(X206="",0,CEILING((X206/$H206),1)*$H206),"")</f>
        <v>259.20000000000005</v>
      </c>
      <c r="Z206" s="39">
        <f>IFERROR(IF(Y206=0,"",ROUNDUP(Y206/H206,0)*0.00902),"")</f>
        <v>0.43296000000000001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268.31999999999994</v>
      </c>
      <c r="BN206" s="75">
        <f t="shared" ref="BN206:BN213" si="18">IFERROR(Y206*I206/H206,"0")</f>
        <v>268.32</v>
      </c>
      <c r="BO206" s="75">
        <f t="shared" ref="BO206:BO213" si="19">IFERROR(1/J206*(X206/H206),"0")</f>
        <v>0.36363636363636359</v>
      </c>
      <c r="BP206" s="75">
        <f t="shared" ref="BP206:BP213" si="20">IFERROR(1/J206*(Y206/H206),"0")</f>
        <v>0.3636363636363637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620">
        <v>4680115882690</v>
      </c>
      <c r="E207" s="620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2"/>
      <c r="R207" s="622"/>
      <c r="S207" s="622"/>
      <c r="T207" s="623"/>
      <c r="U207" s="37" t="s">
        <v>45</v>
      </c>
      <c r="V207" s="37" t="s">
        <v>45</v>
      </c>
      <c r="W207" s="38" t="s">
        <v>0</v>
      </c>
      <c r="X207" s="56">
        <v>129.6</v>
      </c>
      <c r="Y207" s="53">
        <f t="shared" si="16"/>
        <v>129.60000000000002</v>
      </c>
      <c r="Z207" s="39">
        <f>IFERROR(IF(Y207=0,"",ROUNDUP(Y207/H207,0)*0.00902),"")</f>
        <v>0.21648000000000001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134.15999999999997</v>
      </c>
      <c r="BN207" s="75">
        <f t="shared" si="18"/>
        <v>134.16</v>
      </c>
      <c r="BO207" s="75">
        <f t="shared" si="19"/>
        <v>0.1818181818181818</v>
      </c>
      <c r="BP207" s="75">
        <f t="shared" si="20"/>
        <v>0.18181818181818185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620">
        <v>4680115882669</v>
      </c>
      <c r="E208" s="620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2"/>
      <c r="R208" s="622"/>
      <c r="S208" s="622"/>
      <c r="T208" s="623"/>
      <c r="U208" s="37" t="s">
        <v>45</v>
      </c>
      <c r="V208" s="37" t="s">
        <v>45</v>
      </c>
      <c r="W208" s="38" t="s">
        <v>0</v>
      </c>
      <c r="X208" s="56">
        <v>194.4</v>
      </c>
      <c r="Y208" s="53">
        <f t="shared" si="16"/>
        <v>194.4</v>
      </c>
      <c r="Z208" s="39">
        <f>IFERROR(IF(Y208=0,"",ROUNDUP(Y208/H208,0)*0.00902),"")</f>
        <v>0.32472000000000001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201.23999999999998</v>
      </c>
      <c r="BN208" s="75">
        <f t="shared" si="18"/>
        <v>201.23999999999998</v>
      </c>
      <c r="BO208" s="75">
        <f t="shared" si="19"/>
        <v>0.27272727272727271</v>
      </c>
      <c r="BP208" s="75">
        <f t="shared" si="20"/>
        <v>0.27272727272727271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620">
        <v>4680115882676</v>
      </c>
      <c r="E209" s="620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2"/>
      <c r="R209" s="622"/>
      <c r="S209" s="622"/>
      <c r="T209" s="623"/>
      <c r="U209" s="37" t="s">
        <v>45</v>
      </c>
      <c r="V209" s="37" t="s">
        <v>45</v>
      </c>
      <c r="W209" s="38" t="s">
        <v>0</v>
      </c>
      <c r="X209" s="56">
        <v>64.8</v>
      </c>
      <c r="Y209" s="53">
        <f t="shared" si="16"/>
        <v>64.800000000000011</v>
      </c>
      <c r="Z209" s="39">
        <f>IFERROR(IF(Y209=0,"",ROUNDUP(Y209/H209,0)*0.00902),"")</f>
        <v>0.10824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67.079999999999984</v>
      </c>
      <c r="BN209" s="75">
        <f t="shared" si="18"/>
        <v>67.08</v>
      </c>
      <c r="BO209" s="75">
        <f t="shared" si="19"/>
        <v>9.0909090909090898E-2</v>
      </c>
      <c r="BP209" s="75">
        <f t="shared" si="20"/>
        <v>9.0909090909090925E-2</v>
      </c>
    </row>
    <row r="210" spans="1:68" ht="27" customHeight="1" x14ac:dyDescent="0.25">
      <c r="A210" s="60" t="s">
        <v>357</v>
      </c>
      <c r="B210" s="60" t="s">
        <v>358</v>
      </c>
      <c r="C210" s="34">
        <v>4301031223</v>
      </c>
      <c r="D210" s="620">
        <v>4680115884014</v>
      </c>
      <c r="E210" s="620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2"/>
      <c r="R210" s="622"/>
      <c r="S210" s="622"/>
      <c r="T210" s="623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359</v>
      </c>
      <c r="B211" s="60" t="s">
        <v>360</v>
      </c>
      <c r="C211" s="34">
        <v>4301031222</v>
      </c>
      <c r="D211" s="620">
        <v>4680115884007</v>
      </c>
      <c r="E211" s="620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2"/>
      <c r="R211" s="622"/>
      <c r="S211" s="622"/>
      <c r="T211" s="623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customHeight="1" x14ac:dyDescent="0.25">
      <c r="A212" s="60" t="s">
        <v>361</v>
      </c>
      <c r="B212" s="60" t="s">
        <v>362</v>
      </c>
      <c r="C212" s="34">
        <v>4301031229</v>
      </c>
      <c r="D212" s="620">
        <v>4680115884038</v>
      </c>
      <c r="E212" s="620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2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2"/>
      <c r="R212" s="622"/>
      <c r="S212" s="622"/>
      <c r="T212" s="623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363</v>
      </c>
      <c r="B213" s="60" t="s">
        <v>364</v>
      </c>
      <c r="C213" s="34">
        <v>4301031225</v>
      </c>
      <c r="D213" s="620">
        <v>4680115884021</v>
      </c>
      <c r="E213" s="620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2"/>
      <c r="R213" s="622"/>
      <c r="S213" s="622"/>
      <c r="T213" s="623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628"/>
      <c r="B214" s="628"/>
      <c r="C214" s="628"/>
      <c r="D214" s="628"/>
      <c r="E214" s="628"/>
      <c r="F214" s="628"/>
      <c r="G214" s="628"/>
      <c r="H214" s="628"/>
      <c r="I214" s="628"/>
      <c r="J214" s="628"/>
      <c r="K214" s="628"/>
      <c r="L214" s="628"/>
      <c r="M214" s="628"/>
      <c r="N214" s="628"/>
      <c r="O214" s="629"/>
      <c r="P214" s="625" t="s">
        <v>40</v>
      </c>
      <c r="Q214" s="626"/>
      <c r="R214" s="626"/>
      <c r="S214" s="626"/>
      <c r="T214" s="626"/>
      <c r="U214" s="626"/>
      <c r="V214" s="627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119.99999999999999</v>
      </c>
      <c r="Y214" s="41">
        <f>IFERROR(Y206/H206,"0")+IFERROR(Y207/H207,"0")+IFERROR(Y208/H208,"0")+IFERROR(Y209/H209,"0")+IFERROR(Y210/H210,"0")+IFERROR(Y211/H211,"0")+IFERROR(Y212/H212,"0")+IFERROR(Y213/H213,"0")</f>
        <v>120.00000000000001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1.0824</v>
      </c>
      <c r="AA214" s="64"/>
      <c r="AB214" s="64"/>
      <c r="AC214" s="64"/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0" t="s">
        <v>0</v>
      </c>
      <c r="X215" s="41">
        <f>IFERROR(SUM(X206:X213),"0")</f>
        <v>647.99999999999989</v>
      </c>
      <c r="Y215" s="41">
        <f>IFERROR(SUM(Y206:Y213),"0")</f>
        <v>648</v>
      </c>
      <c r="Z215" s="40"/>
      <c r="AA215" s="64"/>
      <c r="AB215" s="64"/>
      <c r="AC215" s="64"/>
    </row>
    <row r="216" spans="1:68" ht="14.25" customHeight="1" x14ac:dyDescent="0.25">
      <c r="A216" s="619" t="s">
        <v>86</v>
      </c>
      <c r="B216" s="619"/>
      <c r="C216" s="619"/>
      <c r="D216" s="619"/>
      <c r="E216" s="619"/>
      <c r="F216" s="619"/>
      <c r="G216" s="619"/>
      <c r="H216" s="619"/>
      <c r="I216" s="619"/>
      <c r="J216" s="619"/>
      <c r="K216" s="619"/>
      <c r="L216" s="619"/>
      <c r="M216" s="619"/>
      <c r="N216" s="619"/>
      <c r="O216" s="619"/>
      <c r="P216" s="619"/>
      <c r="Q216" s="619"/>
      <c r="R216" s="619"/>
      <c r="S216" s="619"/>
      <c r="T216" s="619"/>
      <c r="U216" s="619"/>
      <c r="V216" s="619"/>
      <c r="W216" s="619"/>
      <c r="X216" s="619"/>
      <c r="Y216" s="619"/>
      <c r="Z216" s="619"/>
      <c r="AA216" s="63"/>
      <c r="AB216" s="63"/>
      <c r="AC216" s="63"/>
    </row>
    <row r="217" spans="1:68" ht="37.5" customHeight="1" x14ac:dyDescent="0.25">
      <c r="A217" s="60" t="s">
        <v>365</v>
      </c>
      <c r="B217" s="60" t="s">
        <v>366</v>
      </c>
      <c r="C217" s="34">
        <v>4301051408</v>
      </c>
      <c r="D217" s="620">
        <v>4680115881594</v>
      </c>
      <c r="E217" s="620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2"/>
      <c r="R217" s="622"/>
      <c r="S217" s="622"/>
      <c r="T217" s="623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customHeight="1" x14ac:dyDescent="0.25">
      <c r="A218" s="60" t="s">
        <v>368</v>
      </c>
      <c r="B218" s="60" t="s">
        <v>369</v>
      </c>
      <c r="C218" s="34">
        <v>4301051411</v>
      </c>
      <c r="D218" s="620">
        <v>4680115881617</v>
      </c>
      <c r="E218" s="620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2"/>
      <c r="R218" s="622"/>
      <c r="S218" s="622"/>
      <c r="T218" s="623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620">
        <v>4680115880573</v>
      </c>
      <c r="E219" s="620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2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2"/>
      <c r="R219" s="622"/>
      <c r="S219" s="622"/>
      <c r="T219" s="623"/>
      <c r="U219" s="37" t="s">
        <v>45</v>
      </c>
      <c r="V219" s="37" t="s">
        <v>45</v>
      </c>
      <c r="W219" s="38" t="s">
        <v>0</v>
      </c>
      <c r="X219" s="56">
        <v>417.6</v>
      </c>
      <c r="Y219" s="53">
        <f t="shared" si="21"/>
        <v>417.59999999999997</v>
      </c>
      <c r="Z219" s="39">
        <f>IFERROR(IF(Y219=0,"",ROUNDUP(Y219/H219,0)*0.01898),"")</f>
        <v>0.91104000000000007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441.31200000000013</v>
      </c>
      <c r="BN219" s="75">
        <f t="shared" si="23"/>
        <v>441.31200000000007</v>
      </c>
      <c r="BO219" s="75">
        <f t="shared" si="24"/>
        <v>0.75000000000000011</v>
      </c>
      <c r="BP219" s="75">
        <f t="shared" si="25"/>
        <v>0.75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620">
        <v>4680115882195</v>
      </c>
      <c r="E220" s="620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2"/>
      <c r="R220" s="622"/>
      <c r="S220" s="622"/>
      <c r="T220" s="623"/>
      <c r="U220" s="37" t="s">
        <v>45</v>
      </c>
      <c r="V220" s="37" t="s">
        <v>45</v>
      </c>
      <c r="W220" s="38" t="s">
        <v>0</v>
      </c>
      <c r="X220" s="56">
        <v>144</v>
      </c>
      <c r="Y220" s="53">
        <f t="shared" si="21"/>
        <v>144</v>
      </c>
      <c r="Z220" s="39">
        <f t="shared" ref="Z220:Z225" si="26">IFERROR(IF(Y220=0,"",ROUNDUP(Y220/H220,0)*0.00651),"")</f>
        <v>0.3906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160.20000000000002</v>
      </c>
      <c r="BN220" s="75">
        <f t="shared" si="23"/>
        <v>160.20000000000002</v>
      </c>
      <c r="BO220" s="75">
        <f t="shared" si="24"/>
        <v>0.32967032967032972</v>
      </c>
      <c r="BP220" s="75">
        <f t="shared" si="25"/>
        <v>0.32967032967032972</v>
      </c>
    </row>
    <row r="221" spans="1:68" ht="27" customHeight="1" x14ac:dyDescent="0.25">
      <c r="A221" s="60" t="s">
        <v>376</v>
      </c>
      <c r="B221" s="60" t="s">
        <v>377</v>
      </c>
      <c r="C221" s="34">
        <v>4301051752</v>
      </c>
      <c r="D221" s="620">
        <v>4680115882607</v>
      </c>
      <c r="E221" s="620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73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2"/>
      <c r="R221" s="622"/>
      <c r="S221" s="622"/>
      <c r="T221" s="623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620">
        <v>4680115880092</v>
      </c>
      <c r="E222" s="620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7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2"/>
      <c r="R222" s="622"/>
      <c r="S222" s="622"/>
      <c r="T222" s="623"/>
      <c r="U222" s="37" t="s">
        <v>45</v>
      </c>
      <c r="V222" s="37" t="s">
        <v>45</v>
      </c>
      <c r="W222" s="38" t="s">
        <v>0</v>
      </c>
      <c r="X222" s="56">
        <v>86.4</v>
      </c>
      <c r="Y222" s="53">
        <f t="shared" si="21"/>
        <v>86.399999999999991</v>
      </c>
      <c r="Z222" s="39">
        <f t="shared" si="26"/>
        <v>0.23436000000000001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95.472000000000023</v>
      </c>
      <c r="BN222" s="75">
        <f t="shared" si="23"/>
        <v>95.472000000000008</v>
      </c>
      <c r="BO222" s="75">
        <f t="shared" si="24"/>
        <v>0.19780219780219785</v>
      </c>
      <c r="BP222" s="75">
        <f t="shared" si="25"/>
        <v>0.19780219780219782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620">
        <v>4680115880221</v>
      </c>
      <c r="E223" s="620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73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2"/>
      <c r="R223" s="622"/>
      <c r="S223" s="622"/>
      <c r="T223" s="623"/>
      <c r="U223" s="37" t="s">
        <v>45</v>
      </c>
      <c r="V223" s="37" t="s">
        <v>45</v>
      </c>
      <c r="W223" s="38" t="s">
        <v>0</v>
      </c>
      <c r="X223" s="56">
        <v>86.4</v>
      </c>
      <c r="Y223" s="53">
        <f t="shared" si="21"/>
        <v>86.399999999999991</v>
      </c>
      <c r="Z223" s="39">
        <f t="shared" si="26"/>
        <v>0.23436000000000001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95.472000000000023</v>
      </c>
      <c r="BN223" s="75">
        <f t="shared" si="23"/>
        <v>95.472000000000008</v>
      </c>
      <c r="BO223" s="75">
        <f t="shared" si="24"/>
        <v>0.19780219780219785</v>
      </c>
      <c r="BP223" s="75">
        <f t="shared" si="25"/>
        <v>0.19780219780219782</v>
      </c>
    </row>
    <row r="224" spans="1:68" ht="27" customHeight="1" x14ac:dyDescent="0.25">
      <c r="A224" s="60" t="s">
        <v>382</v>
      </c>
      <c r="B224" s="60" t="s">
        <v>383</v>
      </c>
      <c r="C224" s="34">
        <v>4301051945</v>
      </c>
      <c r="D224" s="620">
        <v>4680115880504</v>
      </c>
      <c r="E224" s="620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2"/>
      <c r="R224" s="622"/>
      <c r="S224" s="622"/>
      <c r="T224" s="623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620">
        <v>4680115882164</v>
      </c>
      <c r="E225" s="620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2"/>
      <c r="R225" s="622"/>
      <c r="S225" s="622"/>
      <c r="T225" s="623"/>
      <c r="U225" s="37" t="s">
        <v>45</v>
      </c>
      <c r="V225" s="37" t="s">
        <v>45</v>
      </c>
      <c r="W225" s="38" t="s">
        <v>0</v>
      </c>
      <c r="X225" s="56">
        <v>57.6</v>
      </c>
      <c r="Y225" s="53">
        <f t="shared" si="21"/>
        <v>57.599999999999994</v>
      </c>
      <c r="Z225" s="39">
        <f t="shared" si="26"/>
        <v>0.15623999999999999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63.792000000000002</v>
      </c>
      <c r="BN225" s="75">
        <f t="shared" si="23"/>
        <v>63.792000000000002</v>
      </c>
      <c r="BO225" s="75">
        <f t="shared" si="24"/>
        <v>0.13186813186813187</v>
      </c>
      <c r="BP225" s="75">
        <f t="shared" si="25"/>
        <v>0.13186813186813187</v>
      </c>
    </row>
    <row r="226" spans="1:68" x14ac:dyDescent="0.2">
      <c r="A226" s="628"/>
      <c r="B226" s="628"/>
      <c r="C226" s="628"/>
      <c r="D226" s="628"/>
      <c r="E226" s="628"/>
      <c r="F226" s="628"/>
      <c r="G226" s="628"/>
      <c r="H226" s="628"/>
      <c r="I226" s="628"/>
      <c r="J226" s="628"/>
      <c r="K226" s="628"/>
      <c r="L226" s="628"/>
      <c r="M226" s="628"/>
      <c r="N226" s="628"/>
      <c r="O226" s="629"/>
      <c r="P226" s="625" t="s">
        <v>40</v>
      </c>
      <c r="Q226" s="626"/>
      <c r="R226" s="626"/>
      <c r="S226" s="626"/>
      <c r="T226" s="626"/>
      <c r="U226" s="626"/>
      <c r="V226" s="627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204</v>
      </c>
      <c r="Y226" s="41">
        <f>IFERROR(Y217/H217,"0")+IFERROR(Y218/H218,"0")+IFERROR(Y219/H219,"0")+IFERROR(Y220/H220,"0")+IFERROR(Y221/H221,"0")+IFERROR(Y222/H222,"0")+IFERROR(Y223/H223,"0")+IFERROR(Y224/H224,"0")+IFERROR(Y225/H225,"0")</f>
        <v>204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1.9266000000000001</v>
      </c>
      <c r="AA226" s="64"/>
      <c r="AB226" s="64"/>
      <c r="AC226" s="64"/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0</v>
      </c>
      <c r="X227" s="41">
        <f>IFERROR(SUM(X217:X225),"0")</f>
        <v>792</v>
      </c>
      <c r="Y227" s="41">
        <f>IFERROR(SUM(Y217:Y225),"0")</f>
        <v>791.99999999999989</v>
      </c>
      <c r="Z227" s="40"/>
      <c r="AA227" s="64"/>
      <c r="AB227" s="64"/>
      <c r="AC227" s="64"/>
    </row>
    <row r="228" spans="1:68" ht="14.25" customHeight="1" x14ac:dyDescent="0.25">
      <c r="A228" s="619" t="s">
        <v>173</v>
      </c>
      <c r="B228" s="619"/>
      <c r="C228" s="619"/>
      <c r="D228" s="619"/>
      <c r="E228" s="619"/>
      <c r="F228" s="619"/>
      <c r="G228" s="619"/>
      <c r="H228" s="619"/>
      <c r="I228" s="619"/>
      <c r="J228" s="619"/>
      <c r="K228" s="619"/>
      <c r="L228" s="619"/>
      <c r="M228" s="619"/>
      <c r="N228" s="619"/>
      <c r="O228" s="619"/>
      <c r="P228" s="619"/>
      <c r="Q228" s="619"/>
      <c r="R228" s="619"/>
      <c r="S228" s="619"/>
      <c r="T228" s="619"/>
      <c r="U228" s="619"/>
      <c r="V228" s="619"/>
      <c r="W228" s="619"/>
      <c r="X228" s="619"/>
      <c r="Y228" s="619"/>
      <c r="Z228" s="619"/>
      <c r="AA228" s="63"/>
      <c r="AB228" s="63"/>
      <c r="AC228" s="63"/>
    </row>
    <row r="229" spans="1:68" ht="27" customHeight="1" x14ac:dyDescent="0.25">
      <c r="A229" s="60" t="s">
        <v>387</v>
      </c>
      <c r="B229" s="60" t="s">
        <v>388</v>
      </c>
      <c r="C229" s="34">
        <v>4301060463</v>
      </c>
      <c r="D229" s="620">
        <v>4680115880818</v>
      </c>
      <c r="E229" s="620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2"/>
      <c r="R229" s="622"/>
      <c r="S229" s="622"/>
      <c r="T229" s="623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customHeight="1" x14ac:dyDescent="0.25">
      <c r="A230" s="60" t="s">
        <v>390</v>
      </c>
      <c r="B230" s="60" t="s">
        <v>391</v>
      </c>
      <c r="C230" s="34">
        <v>4301060389</v>
      </c>
      <c r="D230" s="620">
        <v>4680115880801</v>
      </c>
      <c r="E230" s="620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73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2"/>
      <c r="R230" s="622"/>
      <c r="S230" s="622"/>
      <c r="T230" s="623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x14ac:dyDescent="0.2">
      <c r="A231" s="628"/>
      <c r="B231" s="628"/>
      <c r="C231" s="628"/>
      <c r="D231" s="628"/>
      <c r="E231" s="628"/>
      <c r="F231" s="628"/>
      <c r="G231" s="628"/>
      <c r="H231" s="628"/>
      <c r="I231" s="628"/>
      <c r="J231" s="628"/>
      <c r="K231" s="628"/>
      <c r="L231" s="628"/>
      <c r="M231" s="628"/>
      <c r="N231" s="628"/>
      <c r="O231" s="629"/>
      <c r="P231" s="625" t="s">
        <v>40</v>
      </c>
      <c r="Q231" s="626"/>
      <c r="R231" s="626"/>
      <c r="S231" s="626"/>
      <c r="T231" s="626"/>
      <c r="U231" s="626"/>
      <c r="V231" s="627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x14ac:dyDescent="0.2">
      <c r="A232" s="628"/>
      <c r="B232" s="628"/>
      <c r="C232" s="628"/>
      <c r="D232" s="628"/>
      <c r="E232" s="628"/>
      <c r="F232" s="628"/>
      <c r="G232" s="628"/>
      <c r="H232" s="628"/>
      <c r="I232" s="628"/>
      <c r="J232" s="628"/>
      <c r="K232" s="628"/>
      <c r="L232" s="628"/>
      <c r="M232" s="628"/>
      <c r="N232" s="628"/>
      <c r="O232" s="629"/>
      <c r="P232" s="625" t="s">
        <v>40</v>
      </c>
      <c r="Q232" s="626"/>
      <c r="R232" s="626"/>
      <c r="S232" s="626"/>
      <c r="T232" s="626"/>
      <c r="U232" s="626"/>
      <c r="V232" s="627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customHeight="1" x14ac:dyDescent="0.25">
      <c r="A233" s="618" t="s">
        <v>393</v>
      </c>
      <c r="B233" s="618"/>
      <c r="C233" s="618"/>
      <c r="D233" s="618"/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  <c r="R233" s="618"/>
      <c r="S233" s="618"/>
      <c r="T233" s="618"/>
      <c r="U233" s="618"/>
      <c r="V233" s="618"/>
      <c r="W233" s="618"/>
      <c r="X233" s="618"/>
      <c r="Y233" s="618"/>
      <c r="Z233" s="618"/>
      <c r="AA233" s="62"/>
      <c r="AB233" s="62"/>
      <c r="AC233" s="62"/>
    </row>
    <row r="234" spans="1:68" ht="14.25" customHeight="1" x14ac:dyDescent="0.25">
      <c r="A234" s="619" t="s">
        <v>114</v>
      </c>
      <c r="B234" s="619"/>
      <c r="C234" s="619"/>
      <c r="D234" s="619"/>
      <c r="E234" s="619"/>
      <c r="F234" s="619"/>
      <c r="G234" s="619"/>
      <c r="H234" s="619"/>
      <c r="I234" s="619"/>
      <c r="J234" s="619"/>
      <c r="K234" s="619"/>
      <c r="L234" s="619"/>
      <c r="M234" s="619"/>
      <c r="N234" s="619"/>
      <c r="O234" s="619"/>
      <c r="P234" s="619"/>
      <c r="Q234" s="619"/>
      <c r="R234" s="619"/>
      <c r="S234" s="619"/>
      <c r="T234" s="619"/>
      <c r="U234" s="619"/>
      <c r="V234" s="619"/>
      <c r="W234" s="619"/>
      <c r="X234" s="619"/>
      <c r="Y234" s="619"/>
      <c r="Z234" s="619"/>
      <c r="AA234" s="63"/>
      <c r="AB234" s="63"/>
      <c r="AC234" s="63"/>
    </row>
    <row r="235" spans="1:68" ht="27" customHeight="1" x14ac:dyDescent="0.25">
      <c r="A235" s="60" t="s">
        <v>394</v>
      </c>
      <c r="B235" s="60" t="s">
        <v>395</v>
      </c>
      <c r="C235" s="34">
        <v>4301011826</v>
      </c>
      <c r="D235" s="620">
        <v>4680115884137</v>
      </c>
      <c r="E235" s="620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2"/>
      <c r="R235" s="622"/>
      <c r="S235" s="622"/>
      <c r="T235" s="623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customHeight="1" x14ac:dyDescent="0.25">
      <c r="A236" s="60" t="s">
        <v>397</v>
      </c>
      <c r="B236" s="60" t="s">
        <v>398</v>
      </c>
      <c r="C236" s="34">
        <v>4301011724</v>
      </c>
      <c r="D236" s="620">
        <v>4680115884236</v>
      </c>
      <c r="E236" s="620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2"/>
      <c r="R236" s="622"/>
      <c r="S236" s="622"/>
      <c r="T236" s="623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customHeight="1" x14ac:dyDescent="0.25">
      <c r="A237" s="60" t="s">
        <v>400</v>
      </c>
      <c r="B237" s="60" t="s">
        <v>401</v>
      </c>
      <c r="C237" s="34">
        <v>4301011721</v>
      </c>
      <c r="D237" s="620">
        <v>4680115884175</v>
      </c>
      <c r="E237" s="620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2"/>
      <c r="R237" s="622"/>
      <c r="S237" s="622"/>
      <c r="T237" s="623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customHeight="1" x14ac:dyDescent="0.25">
      <c r="A238" s="60" t="s">
        <v>403</v>
      </c>
      <c r="B238" s="60" t="s">
        <v>404</v>
      </c>
      <c r="C238" s="34">
        <v>4301011824</v>
      </c>
      <c r="D238" s="620">
        <v>4680115884144</v>
      </c>
      <c r="E238" s="620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2"/>
      <c r="R238" s="622"/>
      <c r="S238" s="622"/>
      <c r="T238" s="623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customHeight="1" x14ac:dyDescent="0.25">
      <c r="A239" s="60" t="s">
        <v>405</v>
      </c>
      <c r="B239" s="60" t="s">
        <v>406</v>
      </c>
      <c r="C239" s="34">
        <v>4301012149</v>
      </c>
      <c r="D239" s="620">
        <v>4680115886551</v>
      </c>
      <c r="E239" s="620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74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2"/>
      <c r="R239" s="622"/>
      <c r="S239" s="622"/>
      <c r="T239" s="623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customHeight="1" x14ac:dyDescent="0.25">
      <c r="A240" s="60" t="s">
        <v>408</v>
      </c>
      <c r="B240" s="60" t="s">
        <v>409</v>
      </c>
      <c r="C240" s="34">
        <v>4301012228</v>
      </c>
      <c r="D240" s="620">
        <v>4680115887282</v>
      </c>
      <c r="E240" s="620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74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2"/>
      <c r="R240" s="622"/>
      <c r="S240" s="622"/>
      <c r="T240" s="623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customHeight="1" x14ac:dyDescent="0.25">
      <c r="A241" s="60" t="s">
        <v>411</v>
      </c>
      <c r="B241" s="60" t="s">
        <v>412</v>
      </c>
      <c r="C241" s="34">
        <v>4301011722</v>
      </c>
      <c r="D241" s="620">
        <v>4680115884205</v>
      </c>
      <c r="E241" s="620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7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2"/>
      <c r="R241" s="622"/>
      <c r="S241" s="622"/>
      <c r="T241" s="623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customHeight="1" x14ac:dyDescent="0.25">
      <c r="A244" s="619" t="s">
        <v>147</v>
      </c>
      <c r="B244" s="619"/>
      <c r="C244" s="619"/>
      <c r="D244" s="619"/>
      <c r="E244" s="619"/>
      <c r="F244" s="619"/>
      <c r="G244" s="619"/>
      <c r="H244" s="619"/>
      <c r="I244" s="619"/>
      <c r="J244" s="619"/>
      <c r="K244" s="619"/>
      <c r="L244" s="619"/>
      <c r="M244" s="619"/>
      <c r="N244" s="619"/>
      <c r="O244" s="619"/>
      <c r="P244" s="619"/>
      <c r="Q244" s="619"/>
      <c r="R244" s="619"/>
      <c r="S244" s="619"/>
      <c r="T244" s="619"/>
      <c r="U244" s="619"/>
      <c r="V244" s="619"/>
      <c r="W244" s="619"/>
      <c r="X244" s="619"/>
      <c r="Y244" s="619"/>
      <c r="Z244" s="619"/>
      <c r="AA244" s="63"/>
      <c r="AB244" s="63"/>
      <c r="AC244" s="63"/>
    </row>
    <row r="245" spans="1:68" ht="27" customHeight="1" x14ac:dyDescent="0.25">
      <c r="A245" s="60" t="s">
        <v>413</v>
      </c>
      <c r="B245" s="60" t="s">
        <v>414</v>
      </c>
      <c r="C245" s="34">
        <v>4301020377</v>
      </c>
      <c r="D245" s="620">
        <v>4680115885981</v>
      </c>
      <c r="E245" s="620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7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2"/>
      <c r="R245" s="622"/>
      <c r="S245" s="622"/>
      <c r="T245" s="623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x14ac:dyDescent="0.2">
      <c r="A247" s="628"/>
      <c r="B247" s="628"/>
      <c r="C247" s="628"/>
      <c r="D247" s="628"/>
      <c r="E247" s="628"/>
      <c r="F247" s="628"/>
      <c r="G247" s="628"/>
      <c r="H247" s="628"/>
      <c r="I247" s="628"/>
      <c r="J247" s="628"/>
      <c r="K247" s="628"/>
      <c r="L247" s="628"/>
      <c r="M247" s="628"/>
      <c r="N247" s="628"/>
      <c r="O247" s="629"/>
      <c r="P247" s="625" t="s">
        <v>40</v>
      </c>
      <c r="Q247" s="626"/>
      <c r="R247" s="626"/>
      <c r="S247" s="626"/>
      <c r="T247" s="626"/>
      <c r="U247" s="626"/>
      <c r="V247" s="627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customHeight="1" x14ac:dyDescent="0.25">
      <c r="A248" s="619" t="s">
        <v>416</v>
      </c>
      <c r="B248" s="619"/>
      <c r="C248" s="619"/>
      <c r="D248" s="619"/>
      <c r="E248" s="619"/>
      <c r="F248" s="619"/>
      <c r="G248" s="619"/>
      <c r="H248" s="619"/>
      <c r="I248" s="619"/>
      <c r="J248" s="619"/>
      <c r="K248" s="619"/>
      <c r="L248" s="619"/>
      <c r="M248" s="619"/>
      <c r="N248" s="619"/>
      <c r="O248" s="619"/>
      <c r="P248" s="619"/>
      <c r="Q248" s="619"/>
      <c r="R248" s="619"/>
      <c r="S248" s="619"/>
      <c r="T248" s="619"/>
      <c r="U248" s="619"/>
      <c r="V248" s="619"/>
      <c r="W248" s="619"/>
      <c r="X248" s="619"/>
      <c r="Y248" s="619"/>
      <c r="Z248" s="619"/>
      <c r="AA248" s="63"/>
      <c r="AB248" s="63"/>
      <c r="AC248" s="63"/>
    </row>
    <row r="249" spans="1:68" ht="27" customHeight="1" x14ac:dyDescent="0.25">
      <c r="A249" s="60" t="s">
        <v>417</v>
      </c>
      <c r="B249" s="60" t="s">
        <v>418</v>
      </c>
      <c r="C249" s="34">
        <v>4301040362</v>
      </c>
      <c r="D249" s="620">
        <v>4680115886803</v>
      </c>
      <c r="E249" s="620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74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2"/>
      <c r="R249" s="622"/>
      <c r="S249" s="622"/>
      <c r="T249" s="623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619" t="s">
        <v>420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3"/>
      <c r="AB252" s="63"/>
      <c r="AC252" s="63"/>
    </row>
    <row r="253" spans="1:68" ht="27" customHeight="1" x14ac:dyDescent="0.25">
      <c r="A253" s="60" t="s">
        <v>421</v>
      </c>
      <c r="B253" s="60" t="s">
        <v>422</v>
      </c>
      <c r="C253" s="34">
        <v>4301041004</v>
      </c>
      <c r="D253" s="620">
        <v>4680115886704</v>
      </c>
      <c r="E253" s="620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74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2"/>
      <c r="R253" s="622"/>
      <c r="S253" s="622"/>
      <c r="T253" s="623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424</v>
      </c>
      <c r="B254" s="60" t="s">
        <v>425</v>
      </c>
      <c r="C254" s="34">
        <v>4301041008</v>
      </c>
      <c r="D254" s="620">
        <v>4680115886681</v>
      </c>
      <c r="E254" s="620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7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2"/>
      <c r="R254" s="622"/>
      <c r="S254" s="622"/>
      <c r="T254" s="623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426</v>
      </c>
      <c r="B255" s="60" t="s">
        <v>427</v>
      </c>
      <c r="C255" s="34">
        <v>4301041007</v>
      </c>
      <c r="D255" s="620">
        <v>4680115886735</v>
      </c>
      <c r="E255" s="620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2"/>
      <c r="R255" s="622"/>
      <c r="S255" s="622"/>
      <c r="T255" s="623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428</v>
      </c>
      <c r="B256" s="60" t="s">
        <v>429</v>
      </c>
      <c r="C256" s="34">
        <v>4301041006</v>
      </c>
      <c r="D256" s="620">
        <v>4680115886728</v>
      </c>
      <c r="E256" s="620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7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2"/>
      <c r="R256" s="622"/>
      <c r="S256" s="622"/>
      <c r="T256" s="623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430</v>
      </c>
      <c r="B257" s="60" t="s">
        <v>431</v>
      </c>
      <c r="C257" s="34">
        <v>4301041005</v>
      </c>
      <c r="D257" s="620">
        <v>4680115886711</v>
      </c>
      <c r="E257" s="620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75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2"/>
      <c r="R257" s="622"/>
      <c r="S257" s="622"/>
      <c r="T257" s="623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628"/>
      <c r="B258" s="628"/>
      <c r="C258" s="628"/>
      <c r="D258" s="628"/>
      <c r="E258" s="628"/>
      <c r="F258" s="628"/>
      <c r="G258" s="628"/>
      <c r="H258" s="628"/>
      <c r="I258" s="628"/>
      <c r="J258" s="628"/>
      <c r="K258" s="628"/>
      <c r="L258" s="628"/>
      <c r="M258" s="628"/>
      <c r="N258" s="628"/>
      <c r="O258" s="629"/>
      <c r="P258" s="625" t="s">
        <v>40</v>
      </c>
      <c r="Q258" s="626"/>
      <c r="R258" s="626"/>
      <c r="S258" s="626"/>
      <c r="T258" s="626"/>
      <c r="U258" s="626"/>
      <c r="V258" s="627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618" t="s">
        <v>432</v>
      </c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  <c r="P260" s="618"/>
      <c r="Q260" s="618"/>
      <c r="R260" s="618"/>
      <c r="S260" s="618"/>
      <c r="T260" s="618"/>
      <c r="U260" s="618"/>
      <c r="V260" s="618"/>
      <c r="W260" s="618"/>
      <c r="X260" s="618"/>
      <c r="Y260" s="618"/>
      <c r="Z260" s="618"/>
      <c r="AA260" s="62"/>
      <c r="AB260" s="62"/>
      <c r="AC260" s="62"/>
    </row>
    <row r="261" spans="1:68" ht="14.25" customHeight="1" x14ac:dyDescent="0.25">
      <c r="A261" s="619" t="s">
        <v>114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3"/>
      <c r="AB261" s="63"/>
      <c r="AC261" s="63"/>
    </row>
    <row r="262" spans="1:68" ht="27" customHeight="1" x14ac:dyDescent="0.25">
      <c r="A262" s="60" t="s">
        <v>433</v>
      </c>
      <c r="B262" s="60" t="s">
        <v>434</v>
      </c>
      <c r="C262" s="34">
        <v>4301011855</v>
      </c>
      <c r="D262" s="620">
        <v>4680115885837</v>
      </c>
      <c r="E262" s="62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75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2"/>
      <c r="R262" s="622"/>
      <c r="S262" s="622"/>
      <c r="T262" s="623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customHeight="1" x14ac:dyDescent="0.25">
      <c r="A263" s="60" t="s">
        <v>436</v>
      </c>
      <c r="B263" s="60" t="s">
        <v>437</v>
      </c>
      <c r="C263" s="34">
        <v>4301011853</v>
      </c>
      <c r="D263" s="620">
        <v>4680115885851</v>
      </c>
      <c r="E263" s="620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75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2"/>
      <c r="R263" s="622"/>
      <c r="S263" s="622"/>
      <c r="T263" s="623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customHeight="1" x14ac:dyDescent="0.25">
      <c r="A264" s="60" t="s">
        <v>439</v>
      </c>
      <c r="B264" s="60" t="s">
        <v>440</v>
      </c>
      <c r="C264" s="34">
        <v>4301011850</v>
      </c>
      <c r="D264" s="620">
        <v>4680115885806</v>
      </c>
      <c r="E264" s="620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7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2"/>
      <c r="R264" s="622"/>
      <c r="S264" s="622"/>
      <c r="T264" s="623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442</v>
      </c>
      <c r="B265" s="60" t="s">
        <v>443</v>
      </c>
      <c r="C265" s="34">
        <v>4301011852</v>
      </c>
      <c r="D265" s="620">
        <v>4680115885844</v>
      </c>
      <c r="E265" s="620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75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2"/>
      <c r="R265" s="622"/>
      <c r="S265" s="622"/>
      <c r="T265" s="623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customHeight="1" x14ac:dyDescent="0.25">
      <c r="A266" s="60" t="s">
        <v>445</v>
      </c>
      <c r="B266" s="60" t="s">
        <v>446</v>
      </c>
      <c r="C266" s="34">
        <v>4301011851</v>
      </c>
      <c r="D266" s="620">
        <v>4680115885820</v>
      </c>
      <c r="E266" s="620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75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2"/>
      <c r="R266" s="622"/>
      <c r="S266" s="622"/>
      <c r="T266" s="623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customHeight="1" x14ac:dyDescent="0.25">
      <c r="A269" s="618" t="s">
        <v>448</v>
      </c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  <c r="P269" s="618"/>
      <c r="Q269" s="618"/>
      <c r="R269" s="618"/>
      <c r="S269" s="618"/>
      <c r="T269" s="618"/>
      <c r="U269" s="618"/>
      <c r="V269" s="618"/>
      <c r="W269" s="618"/>
      <c r="X269" s="618"/>
      <c r="Y269" s="618"/>
      <c r="Z269" s="618"/>
      <c r="AA269" s="62"/>
      <c r="AB269" s="62"/>
      <c r="AC269" s="62"/>
    </row>
    <row r="270" spans="1:68" ht="14.25" customHeight="1" x14ac:dyDescent="0.25">
      <c r="A270" s="619" t="s">
        <v>114</v>
      </c>
      <c r="B270" s="619"/>
      <c r="C270" s="619"/>
      <c r="D270" s="619"/>
      <c r="E270" s="619"/>
      <c r="F270" s="619"/>
      <c r="G270" s="619"/>
      <c r="H270" s="619"/>
      <c r="I270" s="619"/>
      <c r="J270" s="619"/>
      <c r="K270" s="619"/>
      <c r="L270" s="619"/>
      <c r="M270" s="619"/>
      <c r="N270" s="619"/>
      <c r="O270" s="619"/>
      <c r="P270" s="619"/>
      <c r="Q270" s="619"/>
      <c r="R270" s="619"/>
      <c r="S270" s="619"/>
      <c r="T270" s="619"/>
      <c r="U270" s="619"/>
      <c r="V270" s="619"/>
      <c r="W270" s="619"/>
      <c r="X270" s="619"/>
      <c r="Y270" s="619"/>
      <c r="Z270" s="619"/>
      <c r="AA270" s="63"/>
      <c r="AB270" s="63"/>
      <c r="AC270" s="63"/>
    </row>
    <row r="271" spans="1:68" ht="27" customHeight="1" x14ac:dyDescent="0.25">
      <c r="A271" s="60" t="s">
        <v>449</v>
      </c>
      <c r="B271" s="60" t="s">
        <v>450</v>
      </c>
      <c r="C271" s="34">
        <v>4301011223</v>
      </c>
      <c r="D271" s="620">
        <v>4607091383423</v>
      </c>
      <c r="E271" s="620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75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2"/>
      <c r="R271" s="622"/>
      <c r="S271" s="622"/>
      <c r="T271" s="623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customHeight="1" x14ac:dyDescent="0.25">
      <c r="A272" s="60" t="s">
        <v>451</v>
      </c>
      <c r="B272" s="60" t="s">
        <v>452</v>
      </c>
      <c r="C272" s="34">
        <v>4301012199</v>
      </c>
      <c r="D272" s="620">
        <v>4680115886957</v>
      </c>
      <c r="E272" s="620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75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2"/>
      <c r="R272" s="622"/>
      <c r="S272" s="622"/>
      <c r="T272" s="623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454</v>
      </c>
      <c r="B273" s="60" t="s">
        <v>455</v>
      </c>
      <c r="C273" s="34">
        <v>4301012098</v>
      </c>
      <c r="D273" s="620">
        <v>4680115885660</v>
      </c>
      <c r="E273" s="620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75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2"/>
      <c r="R273" s="622"/>
      <c r="S273" s="622"/>
      <c r="T273" s="623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customHeight="1" x14ac:dyDescent="0.25">
      <c r="A274" s="60" t="s">
        <v>456</v>
      </c>
      <c r="B274" s="60" t="s">
        <v>457</v>
      </c>
      <c r="C274" s="34">
        <v>4301012176</v>
      </c>
      <c r="D274" s="620">
        <v>4680115886773</v>
      </c>
      <c r="E274" s="620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75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2"/>
      <c r="R274" s="622"/>
      <c r="S274" s="622"/>
      <c r="T274" s="623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628"/>
      <c r="B276" s="628"/>
      <c r="C276" s="628"/>
      <c r="D276" s="628"/>
      <c r="E276" s="628"/>
      <c r="F276" s="628"/>
      <c r="G276" s="628"/>
      <c r="H276" s="628"/>
      <c r="I276" s="628"/>
      <c r="J276" s="628"/>
      <c r="K276" s="628"/>
      <c r="L276" s="628"/>
      <c r="M276" s="628"/>
      <c r="N276" s="628"/>
      <c r="O276" s="629"/>
      <c r="P276" s="625" t="s">
        <v>40</v>
      </c>
      <c r="Q276" s="626"/>
      <c r="R276" s="626"/>
      <c r="S276" s="626"/>
      <c r="T276" s="626"/>
      <c r="U276" s="626"/>
      <c r="V276" s="627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customHeight="1" x14ac:dyDescent="0.25">
      <c r="A277" s="618" t="s">
        <v>459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2"/>
      <c r="AB277" s="62"/>
      <c r="AC277" s="62"/>
    </row>
    <row r="278" spans="1:68" ht="14.25" customHeight="1" x14ac:dyDescent="0.25">
      <c r="A278" s="619" t="s">
        <v>86</v>
      </c>
      <c r="B278" s="619"/>
      <c r="C278" s="619"/>
      <c r="D278" s="619"/>
      <c r="E278" s="619"/>
      <c r="F278" s="619"/>
      <c r="G278" s="619"/>
      <c r="H278" s="619"/>
      <c r="I278" s="619"/>
      <c r="J278" s="619"/>
      <c r="K278" s="619"/>
      <c r="L278" s="619"/>
      <c r="M278" s="619"/>
      <c r="N278" s="619"/>
      <c r="O278" s="619"/>
      <c r="P278" s="619"/>
      <c r="Q278" s="619"/>
      <c r="R278" s="619"/>
      <c r="S278" s="619"/>
      <c r="T278" s="619"/>
      <c r="U278" s="619"/>
      <c r="V278" s="619"/>
      <c r="W278" s="619"/>
      <c r="X278" s="619"/>
      <c r="Y278" s="619"/>
      <c r="Z278" s="619"/>
      <c r="AA278" s="63"/>
      <c r="AB278" s="63"/>
      <c r="AC278" s="63"/>
    </row>
    <row r="279" spans="1:68" ht="27" customHeight="1" x14ac:dyDescent="0.25">
      <c r="A279" s="60" t="s">
        <v>460</v>
      </c>
      <c r="B279" s="60" t="s">
        <v>461</v>
      </c>
      <c r="C279" s="34">
        <v>4301051893</v>
      </c>
      <c r="D279" s="620">
        <v>4680115886186</v>
      </c>
      <c r="E279" s="620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2"/>
      <c r="R279" s="622"/>
      <c r="S279" s="622"/>
      <c r="T279" s="623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620">
        <v>4680115881228</v>
      </c>
      <c r="E280" s="620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2"/>
      <c r="R280" s="622"/>
      <c r="S280" s="622"/>
      <c r="T280" s="623"/>
      <c r="U280" s="37" t="s">
        <v>45</v>
      </c>
      <c r="V280" s="37" t="s">
        <v>45</v>
      </c>
      <c r="W280" s="38" t="s">
        <v>0</v>
      </c>
      <c r="X280" s="56">
        <v>86.4</v>
      </c>
      <c r="Y280" s="53">
        <f>IFERROR(IF(X280="",0,CEILING((X280/$H280),1)*$H280),"")</f>
        <v>86.399999999999991</v>
      </c>
      <c r="Z280" s="39">
        <f>IFERROR(IF(Y280=0,"",ROUNDUP(Y280/H280,0)*0.00651),"")</f>
        <v>0.23436000000000001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95.472000000000023</v>
      </c>
      <c r="BN280" s="75">
        <f>IFERROR(Y280*I280/H280,"0")</f>
        <v>95.472000000000008</v>
      </c>
      <c r="BO280" s="75">
        <f>IFERROR(1/J280*(X280/H280),"0")</f>
        <v>0.19780219780219785</v>
      </c>
      <c r="BP280" s="75">
        <f>IFERROR(1/J280*(Y280/H280),"0")</f>
        <v>0.19780219780219782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620">
        <v>4680115881211</v>
      </c>
      <c r="E281" s="620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2"/>
      <c r="R281" s="622"/>
      <c r="S281" s="622"/>
      <c r="T281" s="623"/>
      <c r="U281" s="37" t="s">
        <v>45</v>
      </c>
      <c r="V281" s="37" t="s">
        <v>45</v>
      </c>
      <c r="W281" s="38" t="s">
        <v>0</v>
      </c>
      <c r="X281" s="56">
        <v>57.6</v>
      </c>
      <c r="Y281" s="53">
        <f>IFERROR(IF(X281="",0,CEILING((X281/$H281),1)*$H281),"")</f>
        <v>57.599999999999994</v>
      </c>
      <c r="Z281" s="39">
        <f>IFERROR(IF(Y281=0,"",ROUNDUP(Y281/H281,0)*0.00651),"")</f>
        <v>0.15623999999999999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61.92</v>
      </c>
      <c r="BN281" s="75">
        <f>IFERROR(Y281*I281/H281,"0")</f>
        <v>61.919999999999995</v>
      </c>
      <c r="BO281" s="75">
        <f>IFERROR(1/J281*(X281/H281),"0")</f>
        <v>0.13186813186813187</v>
      </c>
      <c r="BP281" s="75">
        <f>IFERROR(1/J281*(Y281/H281),"0")</f>
        <v>0.13186813186813187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IFERROR(X279/H279,"0")+IFERROR(X280/H280,"0")+IFERROR(X281/H281,"0")</f>
        <v>60.000000000000007</v>
      </c>
      <c r="Y282" s="41">
        <f>IFERROR(Y279/H279,"0")+IFERROR(Y280/H280,"0")+IFERROR(Y281/H281,"0")</f>
        <v>60</v>
      </c>
      <c r="Z282" s="41">
        <f>IFERROR(IF(Z279="",0,Z279),"0")+IFERROR(IF(Z280="",0,Z280),"0")+IFERROR(IF(Z281="",0,Z281),"0")</f>
        <v>0.3906</v>
      </c>
      <c r="AA282" s="64"/>
      <c r="AB282" s="64"/>
      <c r="AC282" s="64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IFERROR(SUM(X279:X281),"0")</f>
        <v>144</v>
      </c>
      <c r="Y283" s="41">
        <f>IFERROR(SUM(Y279:Y281),"0")</f>
        <v>144</v>
      </c>
      <c r="Z283" s="40"/>
      <c r="AA283" s="64"/>
      <c r="AB283" s="64"/>
      <c r="AC283" s="64"/>
    </row>
    <row r="284" spans="1:68" ht="16.5" customHeight="1" x14ac:dyDescent="0.25">
      <c r="A284" s="618" t="s">
        <v>468</v>
      </c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  <c r="P284" s="618"/>
      <c r="Q284" s="618"/>
      <c r="R284" s="618"/>
      <c r="S284" s="618"/>
      <c r="T284" s="618"/>
      <c r="U284" s="618"/>
      <c r="V284" s="618"/>
      <c r="W284" s="618"/>
      <c r="X284" s="618"/>
      <c r="Y284" s="618"/>
      <c r="Z284" s="618"/>
      <c r="AA284" s="62"/>
      <c r="AB284" s="62"/>
      <c r="AC284" s="62"/>
    </row>
    <row r="285" spans="1:68" ht="14.25" customHeight="1" x14ac:dyDescent="0.25">
      <c r="A285" s="619" t="s">
        <v>76</v>
      </c>
      <c r="B285" s="619"/>
      <c r="C285" s="619"/>
      <c r="D285" s="619"/>
      <c r="E285" s="619"/>
      <c r="F285" s="619"/>
      <c r="G285" s="619"/>
      <c r="H285" s="619"/>
      <c r="I285" s="619"/>
      <c r="J285" s="619"/>
      <c r="K285" s="619"/>
      <c r="L285" s="619"/>
      <c r="M285" s="619"/>
      <c r="N285" s="619"/>
      <c r="O285" s="619"/>
      <c r="P285" s="619"/>
      <c r="Q285" s="619"/>
      <c r="R285" s="619"/>
      <c r="S285" s="619"/>
      <c r="T285" s="619"/>
      <c r="U285" s="619"/>
      <c r="V285" s="619"/>
      <c r="W285" s="619"/>
      <c r="X285" s="619"/>
      <c r="Y285" s="619"/>
      <c r="Z285" s="619"/>
      <c r="AA285" s="63"/>
      <c r="AB285" s="63"/>
      <c r="AC285" s="63"/>
    </row>
    <row r="286" spans="1:68" ht="27" customHeight="1" x14ac:dyDescent="0.25">
      <c r="A286" s="60" t="s">
        <v>469</v>
      </c>
      <c r="B286" s="60" t="s">
        <v>470</v>
      </c>
      <c r="C286" s="34">
        <v>4301031307</v>
      </c>
      <c r="D286" s="620">
        <v>4680115880344</v>
      </c>
      <c r="E286" s="620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2"/>
      <c r="R286" s="622"/>
      <c r="S286" s="622"/>
      <c r="T286" s="623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472</v>
      </c>
      <c r="B287" s="60" t="s">
        <v>473</v>
      </c>
      <c r="C287" s="34">
        <v>4301031429</v>
      </c>
      <c r="D287" s="620">
        <v>4680115886919</v>
      </c>
      <c r="E287" s="620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7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2"/>
      <c r="R287" s="622"/>
      <c r="S287" s="622"/>
      <c r="T287" s="623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x14ac:dyDescent="0.2">
      <c r="A289" s="628"/>
      <c r="B289" s="628"/>
      <c r="C289" s="628"/>
      <c r="D289" s="628"/>
      <c r="E289" s="628"/>
      <c r="F289" s="628"/>
      <c r="G289" s="628"/>
      <c r="H289" s="628"/>
      <c r="I289" s="628"/>
      <c r="J289" s="628"/>
      <c r="K289" s="628"/>
      <c r="L289" s="628"/>
      <c r="M289" s="628"/>
      <c r="N289" s="628"/>
      <c r="O289" s="629"/>
      <c r="P289" s="625" t="s">
        <v>40</v>
      </c>
      <c r="Q289" s="626"/>
      <c r="R289" s="626"/>
      <c r="S289" s="626"/>
      <c r="T289" s="626"/>
      <c r="U289" s="626"/>
      <c r="V289" s="627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customHeight="1" x14ac:dyDescent="0.25">
      <c r="A290" s="619" t="s">
        <v>86</v>
      </c>
      <c r="B290" s="619"/>
      <c r="C290" s="619"/>
      <c r="D290" s="619"/>
      <c r="E290" s="619"/>
      <c r="F290" s="619"/>
      <c r="G290" s="619"/>
      <c r="H290" s="619"/>
      <c r="I290" s="619"/>
      <c r="J290" s="619"/>
      <c r="K290" s="619"/>
      <c r="L290" s="619"/>
      <c r="M290" s="619"/>
      <c r="N290" s="619"/>
      <c r="O290" s="619"/>
      <c r="P290" s="619"/>
      <c r="Q290" s="619"/>
      <c r="R290" s="619"/>
      <c r="S290" s="619"/>
      <c r="T290" s="619"/>
      <c r="U290" s="619"/>
      <c r="V290" s="619"/>
      <c r="W290" s="619"/>
      <c r="X290" s="619"/>
      <c r="Y290" s="619"/>
      <c r="Z290" s="619"/>
      <c r="AA290" s="63"/>
      <c r="AB290" s="63"/>
      <c r="AC290" s="63"/>
    </row>
    <row r="291" spans="1:68" ht="37.5" customHeight="1" x14ac:dyDescent="0.25">
      <c r="A291" s="60" t="s">
        <v>475</v>
      </c>
      <c r="B291" s="60" t="s">
        <v>476</v>
      </c>
      <c r="C291" s="34">
        <v>4301051782</v>
      </c>
      <c r="D291" s="620">
        <v>4680115884618</v>
      </c>
      <c r="E291" s="620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2"/>
      <c r="R291" s="622"/>
      <c r="S291" s="622"/>
      <c r="T291" s="623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478</v>
      </c>
      <c r="B292" s="60" t="s">
        <v>479</v>
      </c>
      <c r="C292" s="34">
        <v>4301052057</v>
      </c>
      <c r="D292" s="620">
        <v>4680115887114</v>
      </c>
      <c r="E292" s="620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2"/>
      <c r="R292" s="622"/>
      <c r="S292" s="622"/>
      <c r="T292" s="623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628"/>
      <c r="B293" s="628"/>
      <c r="C293" s="628"/>
      <c r="D293" s="628"/>
      <c r="E293" s="628"/>
      <c r="F293" s="628"/>
      <c r="G293" s="628"/>
      <c r="H293" s="628"/>
      <c r="I293" s="628"/>
      <c r="J293" s="628"/>
      <c r="K293" s="628"/>
      <c r="L293" s="628"/>
      <c r="M293" s="628"/>
      <c r="N293" s="628"/>
      <c r="O293" s="629"/>
      <c r="P293" s="625" t="s">
        <v>40</v>
      </c>
      <c r="Q293" s="626"/>
      <c r="R293" s="626"/>
      <c r="S293" s="626"/>
      <c r="T293" s="626"/>
      <c r="U293" s="626"/>
      <c r="V293" s="627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628"/>
      <c r="B294" s="628"/>
      <c r="C294" s="628"/>
      <c r="D294" s="628"/>
      <c r="E294" s="628"/>
      <c r="F294" s="628"/>
      <c r="G294" s="628"/>
      <c r="H294" s="628"/>
      <c r="I294" s="628"/>
      <c r="J294" s="628"/>
      <c r="K294" s="628"/>
      <c r="L294" s="628"/>
      <c r="M294" s="628"/>
      <c r="N294" s="628"/>
      <c r="O294" s="629"/>
      <c r="P294" s="625" t="s">
        <v>40</v>
      </c>
      <c r="Q294" s="626"/>
      <c r="R294" s="626"/>
      <c r="S294" s="626"/>
      <c r="T294" s="626"/>
      <c r="U294" s="626"/>
      <c r="V294" s="627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618" t="s">
        <v>481</v>
      </c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  <c r="P295" s="618"/>
      <c r="Q295" s="618"/>
      <c r="R295" s="618"/>
      <c r="S295" s="618"/>
      <c r="T295" s="618"/>
      <c r="U295" s="618"/>
      <c r="V295" s="618"/>
      <c r="W295" s="618"/>
      <c r="X295" s="618"/>
      <c r="Y295" s="618"/>
      <c r="Z295" s="618"/>
      <c r="AA295" s="62"/>
      <c r="AB295" s="62"/>
      <c r="AC295" s="62"/>
    </row>
    <row r="296" spans="1:68" ht="14.25" customHeight="1" x14ac:dyDescent="0.25">
      <c r="A296" s="619" t="s">
        <v>114</v>
      </c>
      <c r="B296" s="619"/>
      <c r="C296" s="619"/>
      <c r="D296" s="619"/>
      <c r="E296" s="619"/>
      <c r="F296" s="619"/>
      <c r="G296" s="619"/>
      <c r="H296" s="619"/>
      <c r="I296" s="619"/>
      <c r="J296" s="619"/>
      <c r="K296" s="619"/>
      <c r="L296" s="619"/>
      <c r="M296" s="619"/>
      <c r="N296" s="619"/>
      <c r="O296" s="619"/>
      <c r="P296" s="619"/>
      <c r="Q296" s="619"/>
      <c r="R296" s="619"/>
      <c r="S296" s="619"/>
      <c r="T296" s="619"/>
      <c r="U296" s="619"/>
      <c r="V296" s="619"/>
      <c r="W296" s="619"/>
      <c r="X296" s="619"/>
      <c r="Y296" s="619"/>
      <c r="Z296" s="619"/>
      <c r="AA296" s="63"/>
      <c r="AB296" s="63"/>
      <c r="AC296" s="63"/>
    </row>
    <row r="297" spans="1:68" ht="27" customHeight="1" x14ac:dyDescent="0.25">
      <c r="A297" s="60" t="s">
        <v>482</v>
      </c>
      <c r="B297" s="60" t="s">
        <v>483</v>
      </c>
      <c r="C297" s="34">
        <v>4301012024</v>
      </c>
      <c r="D297" s="620">
        <v>4680115885615</v>
      </c>
      <c r="E297" s="620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76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2"/>
      <c r="R297" s="622"/>
      <c r="S297" s="622"/>
      <c r="T297" s="623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customHeight="1" x14ac:dyDescent="0.25">
      <c r="A298" s="60" t="s">
        <v>485</v>
      </c>
      <c r="B298" s="60" t="s">
        <v>486</v>
      </c>
      <c r="C298" s="34">
        <v>4301011858</v>
      </c>
      <c r="D298" s="620">
        <v>4680115885646</v>
      </c>
      <c r="E298" s="620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7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2"/>
      <c r="R298" s="622"/>
      <c r="S298" s="622"/>
      <c r="T298" s="623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customHeight="1" x14ac:dyDescent="0.25">
      <c r="A299" s="60" t="s">
        <v>488</v>
      </c>
      <c r="B299" s="60" t="s">
        <v>489</v>
      </c>
      <c r="C299" s="34">
        <v>4301012016</v>
      </c>
      <c r="D299" s="620">
        <v>4680115885554</v>
      </c>
      <c r="E299" s="620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7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2"/>
      <c r="R299" s="622"/>
      <c r="S299" s="622"/>
      <c r="T299" s="623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491</v>
      </c>
      <c r="B300" s="60" t="s">
        <v>492</v>
      </c>
      <c r="C300" s="34">
        <v>4301011857</v>
      </c>
      <c r="D300" s="620">
        <v>4680115885622</v>
      </c>
      <c r="E300" s="620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7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2"/>
      <c r="R300" s="622"/>
      <c r="S300" s="622"/>
      <c r="T300" s="623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493</v>
      </c>
      <c r="B301" s="60" t="s">
        <v>494</v>
      </c>
      <c r="C301" s="34">
        <v>4301011859</v>
      </c>
      <c r="D301" s="620">
        <v>4680115885608</v>
      </c>
      <c r="E301" s="620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7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2"/>
      <c r="R301" s="622"/>
      <c r="S301" s="622"/>
      <c r="T301" s="623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customHeight="1" x14ac:dyDescent="0.25">
      <c r="A304" s="619" t="s">
        <v>76</v>
      </c>
      <c r="B304" s="619"/>
      <c r="C304" s="619"/>
      <c r="D304" s="619"/>
      <c r="E304" s="619"/>
      <c r="F304" s="619"/>
      <c r="G304" s="619"/>
      <c r="H304" s="619"/>
      <c r="I304" s="619"/>
      <c r="J304" s="619"/>
      <c r="K304" s="619"/>
      <c r="L304" s="619"/>
      <c r="M304" s="619"/>
      <c r="N304" s="619"/>
      <c r="O304" s="619"/>
      <c r="P304" s="619"/>
      <c r="Q304" s="619"/>
      <c r="R304" s="619"/>
      <c r="S304" s="619"/>
      <c r="T304" s="619"/>
      <c r="U304" s="619"/>
      <c r="V304" s="619"/>
      <c r="W304" s="619"/>
      <c r="X304" s="619"/>
      <c r="Y304" s="619"/>
      <c r="Z304" s="619"/>
      <c r="AA304" s="63"/>
      <c r="AB304" s="63"/>
      <c r="AC304" s="63"/>
    </row>
    <row r="305" spans="1:68" ht="27" customHeight="1" x14ac:dyDescent="0.25">
      <c r="A305" s="60" t="s">
        <v>496</v>
      </c>
      <c r="B305" s="60" t="s">
        <v>497</v>
      </c>
      <c r="C305" s="34">
        <v>4301030878</v>
      </c>
      <c r="D305" s="620">
        <v>4607091387193</v>
      </c>
      <c r="E305" s="620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77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2"/>
      <c r="R305" s="622"/>
      <c r="S305" s="622"/>
      <c r="T305" s="623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customHeight="1" x14ac:dyDescent="0.25">
      <c r="A306" s="60" t="s">
        <v>499</v>
      </c>
      <c r="B306" s="60" t="s">
        <v>500</v>
      </c>
      <c r="C306" s="34">
        <v>4301031153</v>
      </c>
      <c r="D306" s="620">
        <v>4607091387230</v>
      </c>
      <c r="E306" s="620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2"/>
      <c r="R306" s="622"/>
      <c r="S306" s="622"/>
      <c r="T306" s="623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customHeight="1" x14ac:dyDescent="0.25">
      <c r="A307" s="60" t="s">
        <v>502</v>
      </c>
      <c r="B307" s="60" t="s">
        <v>503</v>
      </c>
      <c r="C307" s="34">
        <v>4301031154</v>
      </c>
      <c r="D307" s="620">
        <v>4607091387292</v>
      </c>
      <c r="E307" s="620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7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2"/>
      <c r="R307" s="622"/>
      <c r="S307" s="622"/>
      <c r="T307" s="623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customHeight="1" x14ac:dyDescent="0.25">
      <c r="A308" s="60" t="s">
        <v>505</v>
      </c>
      <c r="B308" s="60" t="s">
        <v>506</v>
      </c>
      <c r="C308" s="34">
        <v>4301031152</v>
      </c>
      <c r="D308" s="620">
        <v>4607091387285</v>
      </c>
      <c r="E308" s="620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7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2"/>
      <c r="R308" s="622"/>
      <c r="S308" s="622"/>
      <c r="T308" s="623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customHeight="1" x14ac:dyDescent="0.25">
      <c r="A309" s="60" t="s">
        <v>507</v>
      </c>
      <c r="B309" s="60" t="s">
        <v>508</v>
      </c>
      <c r="C309" s="34">
        <v>4301031305</v>
      </c>
      <c r="D309" s="620">
        <v>4607091389845</v>
      </c>
      <c r="E309" s="620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7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2"/>
      <c r="R309" s="622"/>
      <c r="S309" s="622"/>
      <c r="T309" s="623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customHeight="1" x14ac:dyDescent="0.25">
      <c r="A310" s="60" t="s">
        <v>510</v>
      </c>
      <c r="B310" s="60" t="s">
        <v>511</v>
      </c>
      <c r="C310" s="34">
        <v>4301031460</v>
      </c>
      <c r="D310" s="620">
        <v>4680115887442</v>
      </c>
      <c r="E310" s="620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777" t="s">
        <v>512</v>
      </c>
      <c r="Q310" s="622"/>
      <c r="R310" s="622"/>
      <c r="S310" s="622"/>
      <c r="T310" s="623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customHeight="1" x14ac:dyDescent="0.25">
      <c r="A311" s="60" t="s">
        <v>513</v>
      </c>
      <c r="B311" s="60" t="s">
        <v>514</v>
      </c>
      <c r="C311" s="34">
        <v>4301031066</v>
      </c>
      <c r="D311" s="620">
        <v>4607091383836</v>
      </c>
      <c r="E311" s="620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7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2"/>
      <c r="R311" s="622"/>
      <c r="S311" s="622"/>
      <c r="T311" s="623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customHeight="1" x14ac:dyDescent="0.25">
      <c r="A314" s="619" t="s">
        <v>86</v>
      </c>
      <c r="B314" s="619"/>
      <c r="C314" s="619"/>
      <c r="D314" s="619"/>
      <c r="E314" s="619"/>
      <c r="F314" s="619"/>
      <c r="G314" s="619"/>
      <c r="H314" s="619"/>
      <c r="I314" s="619"/>
      <c r="J314" s="619"/>
      <c r="K314" s="619"/>
      <c r="L314" s="619"/>
      <c r="M314" s="619"/>
      <c r="N314" s="619"/>
      <c r="O314" s="619"/>
      <c r="P314" s="619"/>
      <c r="Q314" s="619"/>
      <c r="R314" s="619"/>
      <c r="S314" s="619"/>
      <c r="T314" s="619"/>
      <c r="U314" s="619"/>
      <c r="V314" s="619"/>
      <c r="W314" s="619"/>
      <c r="X314" s="619"/>
      <c r="Y314" s="619"/>
      <c r="Z314" s="619"/>
      <c r="AA314" s="63"/>
      <c r="AB314" s="63"/>
      <c r="AC314" s="63"/>
    </row>
    <row r="315" spans="1:68" ht="27" customHeight="1" x14ac:dyDescent="0.25">
      <c r="A315" s="60" t="s">
        <v>516</v>
      </c>
      <c r="B315" s="60" t="s">
        <v>517</v>
      </c>
      <c r="C315" s="34">
        <v>4301051100</v>
      </c>
      <c r="D315" s="620">
        <v>4607091387766</v>
      </c>
      <c r="E315" s="620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7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2"/>
      <c r="R315" s="622"/>
      <c r="S315" s="622"/>
      <c r="T315" s="623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519</v>
      </c>
      <c r="B316" s="60" t="s">
        <v>520</v>
      </c>
      <c r="C316" s="34">
        <v>4301051818</v>
      </c>
      <c r="D316" s="620">
        <v>4607091387957</v>
      </c>
      <c r="E316" s="620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2"/>
      <c r="R316" s="622"/>
      <c r="S316" s="622"/>
      <c r="T316" s="623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522</v>
      </c>
      <c r="B317" s="60" t="s">
        <v>523</v>
      </c>
      <c r="C317" s="34">
        <v>4301051819</v>
      </c>
      <c r="D317" s="620">
        <v>4607091387964</v>
      </c>
      <c r="E317" s="620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7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2"/>
      <c r="R317" s="622"/>
      <c r="S317" s="622"/>
      <c r="T317" s="623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525</v>
      </c>
      <c r="B318" s="60" t="s">
        <v>526</v>
      </c>
      <c r="C318" s="34">
        <v>4301051734</v>
      </c>
      <c r="D318" s="620">
        <v>4680115884588</v>
      </c>
      <c r="E318" s="620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78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2"/>
      <c r="R318" s="622"/>
      <c r="S318" s="622"/>
      <c r="T318" s="623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x14ac:dyDescent="0.2">
      <c r="A319" s="628"/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9"/>
      <c r="P319" s="625" t="s">
        <v>40</v>
      </c>
      <c r="Q319" s="626"/>
      <c r="R319" s="626"/>
      <c r="S319" s="626"/>
      <c r="T319" s="626"/>
      <c r="U319" s="626"/>
      <c r="V319" s="627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x14ac:dyDescent="0.2">
      <c r="A320" s="628"/>
      <c r="B320" s="628"/>
      <c r="C320" s="628"/>
      <c r="D320" s="628"/>
      <c r="E320" s="628"/>
      <c r="F320" s="628"/>
      <c r="G320" s="628"/>
      <c r="H320" s="628"/>
      <c r="I320" s="628"/>
      <c r="J320" s="628"/>
      <c r="K320" s="628"/>
      <c r="L320" s="628"/>
      <c r="M320" s="628"/>
      <c r="N320" s="628"/>
      <c r="O320" s="629"/>
      <c r="P320" s="625" t="s">
        <v>40</v>
      </c>
      <c r="Q320" s="626"/>
      <c r="R320" s="626"/>
      <c r="S320" s="626"/>
      <c r="T320" s="626"/>
      <c r="U320" s="626"/>
      <c r="V320" s="627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customHeight="1" x14ac:dyDescent="0.25">
      <c r="A321" s="619" t="s">
        <v>173</v>
      </c>
      <c r="B321" s="619"/>
      <c r="C321" s="619"/>
      <c r="D321" s="619"/>
      <c r="E321" s="619"/>
      <c r="F321" s="619"/>
      <c r="G321" s="619"/>
      <c r="H321" s="619"/>
      <c r="I321" s="619"/>
      <c r="J321" s="619"/>
      <c r="K321" s="619"/>
      <c r="L321" s="619"/>
      <c r="M321" s="619"/>
      <c r="N321" s="619"/>
      <c r="O321" s="619"/>
      <c r="P321" s="619"/>
      <c r="Q321" s="619"/>
      <c r="R321" s="619"/>
      <c r="S321" s="619"/>
      <c r="T321" s="619"/>
      <c r="U321" s="619"/>
      <c r="V321" s="619"/>
      <c r="W321" s="619"/>
      <c r="X321" s="619"/>
      <c r="Y321" s="619"/>
      <c r="Z321" s="619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620">
        <v>4607091380880</v>
      </c>
      <c r="E322" s="620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78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2"/>
      <c r="R322" s="622"/>
      <c r="S322" s="622"/>
      <c r="T322" s="623"/>
      <c r="U322" s="37" t="s">
        <v>45</v>
      </c>
      <c r="V322" s="37" t="s">
        <v>45</v>
      </c>
      <c r="W322" s="38" t="s">
        <v>0</v>
      </c>
      <c r="X322" s="56">
        <v>201.6</v>
      </c>
      <c r="Y322" s="53">
        <f>IFERROR(IF(X322="",0,CEILING((X322/$H322),1)*$H322),"")</f>
        <v>201.60000000000002</v>
      </c>
      <c r="Z322" s="39">
        <f>IFERROR(IF(Y322=0,"",ROUNDUP(Y322/H322,0)*0.01898),"")</f>
        <v>0.45552000000000004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213.45599999999999</v>
      </c>
      <c r="BN322" s="75">
        <f>IFERROR(Y322*I322/H322,"0")</f>
        <v>213.45600000000002</v>
      </c>
      <c r="BO322" s="75">
        <f>IFERROR(1/J322*(X322/H322),"0")</f>
        <v>0.375</v>
      </c>
      <c r="BP322" s="75">
        <f>IFERROR(1/J322*(Y322/H322),"0")</f>
        <v>0.375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620">
        <v>4607091384482</v>
      </c>
      <c r="E323" s="620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7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2"/>
      <c r="R323" s="622"/>
      <c r="S323" s="622"/>
      <c r="T323" s="623"/>
      <c r="U323" s="37" t="s">
        <v>45</v>
      </c>
      <c r="V323" s="37" t="s">
        <v>45</v>
      </c>
      <c r="W323" s="38" t="s">
        <v>0</v>
      </c>
      <c r="X323" s="56">
        <v>436.8</v>
      </c>
      <c r="Y323" s="53">
        <f>IFERROR(IF(X323="",0,CEILING((X323/$H323),1)*$H323),"")</f>
        <v>436.8</v>
      </c>
      <c r="Z323" s="39">
        <f>IFERROR(IF(Y323=0,"",ROUNDUP(Y323/H323,0)*0.01898),"")</f>
        <v>1.06288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464.46400000000006</v>
      </c>
      <c r="BN323" s="75">
        <f>IFERROR(Y323*I323/H323,"0")</f>
        <v>464.46400000000006</v>
      </c>
      <c r="BO323" s="75">
        <f>IFERROR(1/J323*(X323/H323),"0")</f>
        <v>0.875</v>
      </c>
      <c r="BP323" s="75">
        <f>IFERROR(1/J323*(Y323/H323),"0")</f>
        <v>0.875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620">
        <v>4607091380897</v>
      </c>
      <c r="E324" s="620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78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2"/>
      <c r="R324" s="622"/>
      <c r="S324" s="622"/>
      <c r="T324" s="623"/>
      <c r="U324" s="37" t="s">
        <v>45</v>
      </c>
      <c r="V324" s="37" t="s">
        <v>45</v>
      </c>
      <c r="W324" s="38" t="s">
        <v>0</v>
      </c>
      <c r="X324" s="56">
        <v>134.4</v>
      </c>
      <c r="Y324" s="53">
        <f>IFERROR(IF(X324="",0,CEILING((X324/$H324),1)*$H324),"")</f>
        <v>134.4</v>
      </c>
      <c r="Z324" s="39">
        <f>IFERROR(IF(Y324=0,"",ROUNDUP(Y324/H324,0)*0.01898),"")</f>
        <v>0.30368000000000001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142.304</v>
      </c>
      <c r="BN324" s="75">
        <f>IFERROR(Y324*I324/H324,"0")</f>
        <v>142.304</v>
      </c>
      <c r="BO324" s="75">
        <f>IFERROR(1/J324*(X324/H324),"0")</f>
        <v>0.25</v>
      </c>
      <c r="BP324" s="75">
        <f>IFERROR(1/J324*(Y324/H324),"0")</f>
        <v>0.25</v>
      </c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0" t="s">
        <v>39</v>
      </c>
      <c r="X325" s="41">
        <f>IFERROR(X322/H322,"0")+IFERROR(X323/H323,"0")+IFERROR(X324/H324,"0")</f>
        <v>96</v>
      </c>
      <c r="Y325" s="41">
        <f>IFERROR(Y322/H322,"0")+IFERROR(Y323/H323,"0")+IFERROR(Y324/H324,"0")</f>
        <v>96</v>
      </c>
      <c r="Z325" s="41">
        <f>IFERROR(IF(Z322="",0,Z322),"0")+IFERROR(IF(Z323="",0,Z323),"0")+IFERROR(IF(Z324="",0,Z324),"0")</f>
        <v>1.8220800000000001</v>
      </c>
      <c r="AA325" s="64"/>
      <c r="AB325" s="64"/>
      <c r="AC325" s="64"/>
    </row>
    <row r="326" spans="1:68" x14ac:dyDescent="0.2">
      <c r="A326" s="628"/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9"/>
      <c r="P326" s="625" t="s">
        <v>40</v>
      </c>
      <c r="Q326" s="626"/>
      <c r="R326" s="626"/>
      <c r="S326" s="626"/>
      <c r="T326" s="626"/>
      <c r="U326" s="626"/>
      <c r="V326" s="627"/>
      <c r="W326" s="40" t="s">
        <v>0</v>
      </c>
      <c r="X326" s="41">
        <f>IFERROR(SUM(X322:X324),"0")</f>
        <v>772.8</v>
      </c>
      <c r="Y326" s="41">
        <f>IFERROR(SUM(Y322:Y324),"0")</f>
        <v>772.80000000000007</v>
      </c>
      <c r="Z326" s="40"/>
      <c r="AA326" s="64"/>
      <c r="AB326" s="64"/>
      <c r="AC326" s="64"/>
    </row>
    <row r="327" spans="1:68" ht="14.25" customHeight="1" x14ac:dyDescent="0.25">
      <c r="A327" s="619" t="s">
        <v>106</v>
      </c>
      <c r="B327" s="619"/>
      <c r="C327" s="619"/>
      <c r="D327" s="619"/>
      <c r="E327" s="619"/>
      <c r="F327" s="619"/>
      <c r="G327" s="619"/>
      <c r="H327" s="619"/>
      <c r="I327" s="619"/>
      <c r="J327" s="619"/>
      <c r="K327" s="619"/>
      <c r="L327" s="619"/>
      <c r="M327" s="619"/>
      <c r="N327" s="619"/>
      <c r="O327" s="619"/>
      <c r="P327" s="619"/>
      <c r="Q327" s="619"/>
      <c r="R327" s="619"/>
      <c r="S327" s="619"/>
      <c r="T327" s="619"/>
      <c r="U327" s="619"/>
      <c r="V327" s="619"/>
      <c r="W327" s="619"/>
      <c r="X327" s="619"/>
      <c r="Y327" s="619"/>
      <c r="Z327" s="619"/>
      <c r="AA327" s="63"/>
      <c r="AB327" s="63"/>
      <c r="AC327" s="63"/>
    </row>
    <row r="328" spans="1:68" ht="27" customHeight="1" x14ac:dyDescent="0.25">
      <c r="A328" s="60" t="s">
        <v>537</v>
      </c>
      <c r="B328" s="60" t="s">
        <v>538</v>
      </c>
      <c r="C328" s="34">
        <v>4301030235</v>
      </c>
      <c r="D328" s="620">
        <v>4607091388381</v>
      </c>
      <c r="E328" s="620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78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2"/>
      <c r="R328" s="622"/>
      <c r="S328" s="622"/>
      <c r="T328" s="623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540</v>
      </c>
      <c r="B329" s="60" t="s">
        <v>541</v>
      </c>
      <c r="C329" s="34">
        <v>4301030232</v>
      </c>
      <c r="D329" s="620">
        <v>4607091388374</v>
      </c>
      <c r="E329" s="620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7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2"/>
      <c r="R329" s="622"/>
      <c r="S329" s="622"/>
      <c r="T329" s="623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542</v>
      </c>
      <c r="B330" s="60" t="s">
        <v>543</v>
      </c>
      <c r="C330" s="34">
        <v>4301032015</v>
      </c>
      <c r="D330" s="620">
        <v>4607091383102</v>
      </c>
      <c r="E330" s="620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7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2"/>
      <c r="R330" s="622"/>
      <c r="S330" s="622"/>
      <c r="T330" s="623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544</v>
      </c>
      <c r="B331" s="60" t="s">
        <v>545</v>
      </c>
      <c r="C331" s="34">
        <v>4301030233</v>
      </c>
      <c r="D331" s="620">
        <v>4607091388404</v>
      </c>
      <c r="E331" s="620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2"/>
      <c r="R331" s="622"/>
      <c r="S331" s="622"/>
      <c r="T331" s="623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628"/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9"/>
      <c r="P332" s="625" t="s">
        <v>40</v>
      </c>
      <c r="Q332" s="626"/>
      <c r="R332" s="626"/>
      <c r="S332" s="626"/>
      <c r="T332" s="626"/>
      <c r="U332" s="626"/>
      <c r="V332" s="627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x14ac:dyDescent="0.2">
      <c r="A333" s="628"/>
      <c r="B333" s="628"/>
      <c r="C333" s="628"/>
      <c r="D333" s="628"/>
      <c r="E333" s="628"/>
      <c r="F333" s="628"/>
      <c r="G333" s="628"/>
      <c r="H333" s="628"/>
      <c r="I333" s="628"/>
      <c r="J333" s="628"/>
      <c r="K333" s="628"/>
      <c r="L333" s="628"/>
      <c r="M333" s="628"/>
      <c r="N333" s="628"/>
      <c r="O333" s="629"/>
      <c r="P333" s="625" t="s">
        <v>40</v>
      </c>
      <c r="Q333" s="626"/>
      <c r="R333" s="626"/>
      <c r="S333" s="626"/>
      <c r="T333" s="626"/>
      <c r="U333" s="626"/>
      <c r="V333" s="627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customHeight="1" x14ac:dyDescent="0.25">
      <c r="A334" s="619" t="s">
        <v>546</v>
      </c>
      <c r="B334" s="619"/>
      <c r="C334" s="619"/>
      <c r="D334" s="619"/>
      <c r="E334" s="619"/>
      <c r="F334" s="619"/>
      <c r="G334" s="619"/>
      <c r="H334" s="619"/>
      <c r="I334" s="619"/>
      <c r="J334" s="619"/>
      <c r="K334" s="619"/>
      <c r="L334" s="619"/>
      <c r="M334" s="619"/>
      <c r="N334" s="619"/>
      <c r="O334" s="619"/>
      <c r="P334" s="619"/>
      <c r="Q334" s="619"/>
      <c r="R334" s="619"/>
      <c r="S334" s="619"/>
      <c r="T334" s="619"/>
      <c r="U334" s="619"/>
      <c r="V334" s="619"/>
      <c r="W334" s="619"/>
      <c r="X334" s="619"/>
      <c r="Y334" s="619"/>
      <c r="Z334" s="619"/>
      <c r="AA334" s="63"/>
      <c r="AB334" s="63"/>
      <c r="AC334" s="63"/>
    </row>
    <row r="335" spans="1:68" ht="16.5" customHeight="1" x14ac:dyDescent="0.25">
      <c r="A335" s="60" t="s">
        <v>547</v>
      </c>
      <c r="B335" s="60" t="s">
        <v>548</v>
      </c>
      <c r="C335" s="34">
        <v>4301180007</v>
      </c>
      <c r="D335" s="620">
        <v>4680115881808</v>
      </c>
      <c r="E335" s="620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79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2"/>
      <c r="R335" s="622"/>
      <c r="S335" s="622"/>
      <c r="T335" s="623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551</v>
      </c>
      <c r="B336" s="60" t="s">
        <v>552</v>
      </c>
      <c r="C336" s="34">
        <v>4301180006</v>
      </c>
      <c r="D336" s="620">
        <v>4680115881822</v>
      </c>
      <c r="E336" s="620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7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2"/>
      <c r="R336" s="622"/>
      <c r="S336" s="622"/>
      <c r="T336" s="623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553</v>
      </c>
      <c r="B337" s="60" t="s">
        <v>554</v>
      </c>
      <c r="C337" s="34">
        <v>4301180001</v>
      </c>
      <c r="D337" s="620">
        <v>4680115880016</v>
      </c>
      <c r="E337" s="620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2"/>
      <c r="R337" s="622"/>
      <c r="S337" s="622"/>
      <c r="T337" s="623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628"/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9"/>
      <c r="P339" s="625" t="s">
        <v>40</v>
      </c>
      <c r="Q339" s="626"/>
      <c r="R339" s="626"/>
      <c r="S339" s="626"/>
      <c r="T339" s="626"/>
      <c r="U339" s="626"/>
      <c r="V339" s="62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618" t="s">
        <v>555</v>
      </c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8"/>
      <c r="U340" s="618"/>
      <c r="V340" s="618"/>
      <c r="W340" s="618"/>
      <c r="X340" s="618"/>
      <c r="Y340" s="618"/>
      <c r="Z340" s="618"/>
      <c r="AA340" s="62"/>
      <c r="AB340" s="62"/>
      <c r="AC340" s="62"/>
    </row>
    <row r="341" spans="1:68" ht="14.25" customHeight="1" x14ac:dyDescent="0.25">
      <c r="A341" s="619" t="s">
        <v>86</v>
      </c>
      <c r="B341" s="619"/>
      <c r="C341" s="619"/>
      <c r="D341" s="619"/>
      <c r="E341" s="619"/>
      <c r="F341" s="619"/>
      <c r="G341" s="619"/>
      <c r="H341" s="619"/>
      <c r="I341" s="619"/>
      <c r="J341" s="619"/>
      <c r="K341" s="619"/>
      <c r="L341" s="619"/>
      <c r="M341" s="619"/>
      <c r="N341" s="619"/>
      <c r="O341" s="619"/>
      <c r="P341" s="619"/>
      <c r="Q341" s="619"/>
      <c r="R341" s="619"/>
      <c r="S341" s="619"/>
      <c r="T341" s="619"/>
      <c r="U341" s="619"/>
      <c r="V341" s="619"/>
      <c r="W341" s="619"/>
      <c r="X341" s="619"/>
      <c r="Y341" s="619"/>
      <c r="Z341" s="619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620">
        <v>4607091387919</v>
      </c>
      <c r="E342" s="620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79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2"/>
      <c r="R342" s="622"/>
      <c r="S342" s="622"/>
      <c r="T342" s="623"/>
      <c r="U342" s="37" t="s">
        <v>45</v>
      </c>
      <c r="V342" s="37" t="s">
        <v>45</v>
      </c>
      <c r="W342" s="38" t="s">
        <v>0</v>
      </c>
      <c r="X342" s="56">
        <v>64.8</v>
      </c>
      <c r="Y342" s="53">
        <f>IFERROR(IF(X342="",0,CEILING((X342/$H342),1)*$H342),"")</f>
        <v>64.8</v>
      </c>
      <c r="Z342" s="39">
        <f>IFERROR(IF(Y342=0,"",ROUNDUP(Y342/H342,0)*0.01898),"")</f>
        <v>0.15184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68.751999999999995</v>
      </c>
      <c r="BN342" s="75">
        <f>IFERROR(Y342*I342/H342,"0")</f>
        <v>68.751999999999995</v>
      </c>
      <c r="BO342" s="75">
        <f>IFERROR(1/J342*(X342/H342),"0")</f>
        <v>0.125</v>
      </c>
      <c r="BP342" s="75">
        <f>IFERROR(1/J342*(Y342/H342),"0")</f>
        <v>0.125</v>
      </c>
    </row>
    <row r="343" spans="1:68" ht="27" customHeight="1" x14ac:dyDescent="0.25">
      <c r="A343" s="60" t="s">
        <v>559</v>
      </c>
      <c r="B343" s="60" t="s">
        <v>560</v>
      </c>
      <c r="C343" s="34">
        <v>4301051461</v>
      </c>
      <c r="D343" s="620">
        <v>4680115883604</v>
      </c>
      <c r="E343" s="620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2"/>
      <c r="R343" s="622"/>
      <c r="S343" s="622"/>
      <c r="T343" s="623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562</v>
      </c>
      <c r="B344" s="60" t="s">
        <v>563</v>
      </c>
      <c r="C344" s="34">
        <v>4301051864</v>
      </c>
      <c r="D344" s="620">
        <v>4680115883567</v>
      </c>
      <c r="E344" s="620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7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2"/>
      <c r="R344" s="622"/>
      <c r="S344" s="622"/>
      <c r="T344" s="623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628"/>
      <c r="B345" s="628"/>
      <c r="C345" s="628"/>
      <c r="D345" s="628"/>
      <c r="E345" s="628"/>
      <c r="F345" s="628"/>
      <c r="G345" s="628"/>
      <c r="H345" s="628"/>
      <c r="I345" s="628"/>
      <c r="J345" s="628"/>
      <c r="K345" s="628"/>
      <c r="L345" s="628"/>
      <c r="M345" s="628"/>
      <c r="N345" s="628"/>
      <c r="O345" s="629"/>
      <c r="P345" s="625" t="s">
        <v>40</v>
      </c>
      <c r="Q345" s="626"/>
      <c r="R345" s="626"/>
      <c r="S345" s="626"/>
      <c r="T345" s="626"/>
      <c r="U345" s="626"/>
      <c r="V345" s="627"/>
      <c r="W345" s="40" t="s">
        <v>39</v>
      </c>
      <c r="X345" s="41">
        <f>IFERROR(X342/H342,"0")+IFERROR(X343/H343,"0")+IFERROR(X344/H344,"0")</f>
        <v>8</v>
      </c>
      <c r="Y345" s="41">
        <f>IFERROR(Y342/H342,"0")+IFERROR(Y343/H343,"0")+IFERROR(Y344/H344,"0")</f>
        <v>8</v>
      </c>
      <c r="Z345" s="41">
        <f>IFERROR(IF(Z342="",0,Z342),"0")+IFERROR(IF(Z343="",0,Z343),"0")+IFERROR(IF(Z344="",0,Z344),"0")</f>
        <v>0.15184</v>
      </c>
      <c r="AA345" s="64"/>
      <c r="AB345" s="64"/>
      <c r="AC345" s="64"/>
    </row>
    <row r="346" spans="1:68" x14ac:dyDescent="0.2">
      <c r="A346" s="628"/>
      <c r="B346" s="628"/>
      <c r="C346" s="628"/>
      <c r="D346" s="628"/>
      <c r="E346" s="628"/>
      <c r="F346" s="628"/>
      <c r="G346" s="628"/>
      <c r="H346" s="628"/>
      <c r="I346" s="628"/>
      <c r="J346" s="628"/>
      <c r="K346" s="628"/>
      <c r="L346" s="628"/>
      <c r="M346" s="628"/>
      <c r="N346" s="628"/>
      <c r="O346" s="629"/>
      <c r="P346" s="625" t="s">
        <v>40</v>
      </c>
      <c r="Q346" s="626"/>
      <c r="R346" s="626"/>
      <c r="S346" s="626"/>
      <c r="T346" s="626"/>
      <c r="U346" s="626"/>
      <c r="V346" s="627"/>
      <c r="W346" s="40" t="s">
        <v>0</v>
      </c>
      <c r="X346" s="41">
        <f>IFERROR(SUM(X342:X344),"0")</f>
        <v>64.8</v>
      </c>
      <c r="Y346" s="41">
        <f>IFERROR(SUM(Y342:Y344),"0")</f>
        <v>64.8</v>
      </c>
      <c r="Z346" s="40"/>
      <c r="AA346" s="64"/>
      <c r="AB346" s="64"/>
      <c r="AC346" s="64"/>
    </row>
    <row r="347" spans="1:68" ht="27.75" customHeight="1" x14ac:dyDescent="0.2">
      <c r="A347" s="617" t="s">
        <v>565</v>
      </c>
      <c r="B347" s="617"/>
      <c r="C347" s="617"/>
      <c r="D347" s="617"/>
      <c r="E347" s="617"/>
      <c r="F347" s="617"/>
      <c r="G347" s="617"/>
      <c r="H347" s="617"/>
      <c r="I347" s="617"/>
      <c r="J347" s="617"/>
      <c r="K347" s="617"/>
      <c r="L347" s="617"/>
      <c r="M347" s="617"/>
      <c r="N347" s="617"/>
      <c r="O347" s="617"/>
      <c r="P347" s="617"/>
      <c r="Q347" s="617"/>
      <c r="R347" s="617"/>
      <c r="S347" s="617"/>
      <c r="T347" s="617"/>
      <c r="U347" s="617"/>
      <c r="V347" s="617"/>
      <c r="W347" s="617"/>
      <c r="X347" s="617"/>
      <c r="Y347" s="617"/>
      <c r="Z347" s="617"/>
      <c r="AA347" s="52"/>
      <c r="AB347" s="52"/>
      <c r="AC347" s="52"/>
    </row>
    <row r="348" spans="1:68" ht="16.5" customHeight="1" x14ac:dyDescent="0.25">
      <c r="A348" s="618" t="s">
        <v>566</v>
      </c>
      <c r="B348" s="618"/>
      <c r="C348" s="618"/>
      <c r="D348" s="618"/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  <c r="R348" s="618"/>
      <c r="S348" s="618"/>
      <c r="T348" s="618"/>
      <c r="U348" s="618"/>
      <c r="V348" s="618"/>
      <c r="W348" s="618"/>
      <c r="X348" s="618"/>
      <c r="Y348" s="618"/>
      <c r="Z348" s="618"/>
      <c r="AA348" s="62"/>
      <c r="AB348" s="62"/>
      <c r="AC348" s="62"/>
    </row>
    <row r="349" spans="1:68" ht="14.25" customHeight="1" x14ac:dyDescent="0.25">
      <c r="A349" s="619" t="s">
        <v>114</v>
      </c>
      <c r="B349" s="619"/>
      <c r="C349" s="619"/>
      <c r="D349" s="619"/>
      <c r="E349" s="619"/>
      <c r="F349" s="619"/>
      <c r="G349" s="619"/>
      <c r="H349" s="619"/>
      <c r="I349" s="619"/>
      <c r="J349" s="619"/>
      <c r="K349" s="619"/>
      <c r="L349" s="619"/>
      <c r="M349" s="619"/>
      <c r="N349" s="619"/>
      <c r="O349" s="619"/>
      <c r="P349" s="619"/>
      <c r="Q349" s="619"/>
      <c r="R349" s="619"/>
      <c r="S349" s="619"/>
      <c r="T349" s="619"/>
      <c r="U349" s="619"/>
      <c r="V349" s="619"/>
      <c r="W349" s="619"/>
      <c r="X349" s="619"/>
      <c r="Y349" s="619"/>
      <c r="Z349" s="619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620">
        <v>4680115884847</v>
      </c>
      <c r="E350" s="620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7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2"/>
      <c r="R350" s="622"/>
      <c r="S350" s="622"/>
      <c r="T350" s="623"/>
      <c r="U350" s="37" t="s">
        <v>45</v>
      </c>
      <c r="V350" s="37" t="s">
        <v>45</v>
      </c>
      <c r="W350" s="38" t="s">
        <v>0</v>
      </c>
      <c r="X350" s="56">
        <v>480</v>
      </c>
      <c r="Y350" s="53">
        <f t="shared" ref="Y350:Y356" si="37">IFERROR(IF(X350="",0,CEILING((X350/$H350),1)*$H350),"")</f>
        <v>480</v>
      </c>
      <c r="Z350" s="39">
        <f>IFERROR(IF(Y350=0,"",ROUNDUP(Y350/H350,0)*0.02175),"")</f>
        <v>0.69599999999999995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495.04</v>
      </c>
      <c r="BN350" s="75">
        <f t="shared" ref="BN350:BN356" si="39">IFERROR(Y350*I350/H350,"0")</f>
        <v>495.04</v>
      </c>
      <c r="BO350" s="75">
        <f t="shared" ref="BO350:BO356" si="40">IFERROR(1/J350*(X350/H350),"0")</f>
        <v>0.66666666666666663</v>
      </c>
      <c r="BP350" s="75">
        <f t="shared" ref="BP350:BP356" si="41">IFERROR(1/J350*(Y350/H350),"0")</f>
        <v>0.66666666666666663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620">
        <v>4680115884854</v>
      </c>
      <c r="E351" s="620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7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2"/>
      <c r="R351" s="622"/>
      <c r="S351" s="622"/>
      <c r="T351" s="623"/>
      <c r="U351" s="37" t="s">
        <v>45</v>
      </c>
      <c r="V351" s="37" t="s">
        <v>45</v>
      </c>
      <c r="W351" s="38" t="s">
        <v>0</v>
      </c>
      <c r="X351" s="56">
        <v>240</v>
      </c>
      <c r="Y351" s="53">
        <f t="shared" si="37"/>
        <v>240</v>
      </c>
      <c r="Z351" s="39">
        <f>IFERROR(IF(Y351=0,"",ROUNDUP(Y351/H351,0)*0.02175),"")</f>
        <v>0.34799999999999998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247.52</v>
      </c>
      <c r="BN351" s="75">
        <f t="shared" si="39"/>
        <v>247.52</v>
      </c>
      <c r="BO351" s="75">
        <f t="shared" si="40"/>
        <v>0.33333333333333331</v>
      </c>
      <c r="BP351" s="75">
        <f t="shared" si="41"/>
        <v>0.33333333333333331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620">
        <v>4680115884830</v>
      </c>
      <c r="E352" s="620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79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2"/>
      <c r="R352" s="622"/>
      <c r="S352" s="622"/>
      <c r="T352" s="623"/>
      <c r="U352" s="37" t="s">
        <v>45</v>
      </c>
      <c r="V352" s="37" t="s">
        <v>45</v>
      </c>
      <c r="W352" s="38" t="s">
        <v>0</v>
      </c>
      <c r="X352" s="56">
        <v>270</v>
      </c>
      <c r="Y352" s="53">
        <f t="shared" si="37"/>
        <v>270</v>
      </c>
      <c r="Z352" s="39">
        <f>IFERROR(IF(Y352=0,"",ROUNDUP(Y352/H352,0)*0.02175),"")</f>
        <v>0.39149999999999996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278.46000000000004</v>
      </c>
      <c r="BN352" s="75">
        <f t="shared" si="39"/>
        <v>278.46000000000004</v>
      </c>
      <c r="BO352" s="75">
        <f t="shared" si="40"/>
        <v>0.375</v>
      </c>
      <c r="BP352" s="75">
        <f t="shared" si="41"/>
        <v>0.375</v>
      </c>
    </row>
    <row r="353" spans="1:68" ht="27" customHeight="1" x14ac:dyDescent="0.25">
      <c r="A353" s="60" t="s">
        <v>576</v>
      </c>
      <c r="B353" s="60" t="s">
        <v>577</v>
      </c>
      <c r="C353" s="34">
        <v>4301012215</v>
      </c>
      <c r="D353" s="620">
        <v>4680115887046</v>
      </c>
      <c r="E353" s="620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2"/>
      <c r="R353" s="622"/>
      <c r="S353" s="622"/>
      <c r="T353" s="623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customHeight="1" x14ac:dyDescent="0.25">
      <c r="A354" s="60" t="s">
        <v>579</v>
      </c>
      <c r="B354" s="60" t="s">
        <v>580</v>
      </c>
      <c r="C354" s="34">
        <v>4301011433</v>
      </c>
      <c r="D354" s="620">
        <v>4680115882638</v>
      </c>
      <c r="E354" s="620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2"/>
      <c r="R354" s="622"/>
      <c r="S354" s="622"/>
      <c r="T354" s="623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customHeight="1" x14ac:dyDescent="0.25">
      <c r="A355" s="60" t="s">
        <v>582</v>
      </c>
      <c r="B355" s="60" t="s">
        <v>583</v>
      </c>
      <c r="C355" s="34">
        <v>4301011952</v>
      </c>
      <c r="D355" s="620">
        <v>4680115884922</v>
      </c>
      <c r="E355" s="620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8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2"/>
      <c r="R355" s="622"/>
      <c r="S355" s="622"/>
      <c r="T355" s="623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customHeight="1" x14ac:dyDescent="0.25">
      <c r="A356" s="60" t="s">
        <v>585</v>
      </c>
      <c r="B356" s="60" t="s">
        <v>586</v>
      </c>
      <c r="C356" s="34">
        <v>4301011868</v>
      </c>
      <c r="D356" s="620">
        <v>4680115884861</v>
      </c>
      <c r="E356" s="620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80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2"/>
      <c r="R356" s="622"/>
      <c r="S356" s="622"/>
      <c r="T356" s="623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628"/>
      <c r="B357" s="628"/>
      <c r="C357" s="628"/>
      <c r="D357" s="628"/>
      <c r="E357" s="628"/>
      <c r="F357" s="628"/>
      <c r="G357" s="628"/>
      <c r="H357" s="628"/>
      <c r="I357" s="628"/>
      <c r="J357" s="628"/>
      <c r="K357" s="628"/>
      <c r="L357" s="628"/>
      <c r="M357" s="628"/>
      <c r="N357" s="628"/>
      <c r="O357" s="629"/>
      <c r="P357" s="625" t="s">
        <v>40</v>
      </c>
      <c r="Q357" s="626"/>
      <c r="R357" s="626"/>
      <c r="S357" s="626"/>
      <c r="T357" s="626"/>
      <c r="U357" s="626"/>
      <c r="V357" s="627"/>
      <c r="W357" s="40" t="s">
        <v>39</v>
      </c>
      <c r="X357" s="41">
        <f>IFERROR(X350/H350,"0")+IFERROR(X351/H351,"0")+IFERROR(X352/H352,"0")+IFERROR(X353/H353,"0")+IFERROR(X354/H354,"0")+IFERROR(X355/H355,"0")+IFERROR(X356/H356,"0")</f>
        <v>66</v>
      </c>
      <c r="Y357" s="41">
        <f>IFERROR(Y350/H350,"0")+IFERROR(Y351/H351,"0")+IFERROR(Y352/H352,"0")+IFERROR(Y353/H353,"0")+IFERROR(Y354/H354,"0")+IFERROR(Y355/H355,"0")+IFERROR(Y356/H356,"0")</f>
        <v>66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1.4355</v>
      </c>
      <c r="AA357" s="64"/>
      <c r="AB357" s="64"/>
      <c r="AC357" s="64"/>
    </row>
    <row r="358" spans="1:68" x14ac:dyDescent="0.2">
      <c r="A358" s="628"/>
      <c r="B358" s="628"/>
      <c r="C358" s="628"/>
      <c r="D358" s="628"/>
      <c r="E358" s="628"/>
      <c r="F358" s="628"/>
      <c r="G358" s="628"/>
      <c r="H358" s="628"/>
      <c r="I358" s="628"/>
      <c r="J358" s="628"/>
      <c r="K358" s="628"/>
      <c r="L358" s="628"/>
      <c r="M358" s="628"/>
      <c r="N358" s="628"/>
      <c r="O358" s="629"/>
      <c r="P358" s="625" t="s">
        <v>40</v>
      </c>
      <c r="Q358" s="626"/>
      <c r="R358" s="626"/>
      <c r="S358" s="626"/>
      <c r="T358" s="626"/>
      <c r="U358" s="626"/>
      <c r="V358" s="627"/>
      <c r="W358" s="40" t="s">
        <v>0</v>
      </c>
      <c r="X358" s="41">
        <f>IFERROR(SUM(X350:X356),"0")</f>
        <v>990</v>
      </c>
      <c r="Y358" s="41">
        <f>IFERROR(SUM(Y350:Y356),"0")</f>
        <v>990</v>
      </c>
      <c r="Z358" s="40"/>
      <c r="AA358" s="64"/>
      <c r="AB358" s="64"/>
      <c r="AC358" s="64"/>
    </row>
    <row r="359" spans="1:68" ht="14.25" customHeight="1" x14ac:dyDescent="0.25">
      <c r="A359" s="619" t="s">
        <v>147</v>
      </c>
      <c r="B359" s="619"/>
      <c r="C359" s="619"/>
      <c r="D359" s="619"/>
      <c r="E359" s="619"/>
      <c r="F359" s="619"/>
      <c r="G359" s="619"/>
      <c r="H359" s="619"/>
      <c r="I359" s="619"/>
      <c r="J359" s="619"/>
      <c r="K359" s="619"/>
      <c r="L359" s="619"/>
      <c r="M359" s="619"/>
      <c r="N359" s="619"/>
      <c r="O359" s="619"/>
      <c r="P359" s="619"/>
      <c r="Q359" s="619"/>
      <c r="R359" s="619"/>
      <c r="S359" s="619"/>
      <c r="T359" s="619"/>
      <c r="U359" s="619"/>
      <c r="V359" s="619"/>
      <c r="W359" s="619"/>
      <c r="X359" s="619"/>
      <c r="Y359" s="619"/>
      <c r="Z359" s="619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620">
        <v>4607091383980</v>
      </c>
      <c r="E360" s="620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8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2"/>
      <c r="R360" s="622"/>
      <c r="S360" s="622"/>
      <c r="T360" s="623"/>
      <c r="U360" s="37" t="s">
        <v>45</v>
      </c>
      <c r="V360" s="37" t="s">
        <v>45</v>
      </c>
      <c r="W360" s="38" t="s">
        <v>0</v>
      </c>
      <c r="X360" s="56">
        <v>240</v>
      </c>
      <c r="Y360" s="53">
        <f>IFERROR(IF(X360="",0,CEILING((X360/$H360),1)*$H360),"")</f>
        <v>240</v>
      </c>
      <c r="Z360" s="39">
        <f>IFERROR(IF(Y360=0,"",ROUNDUP(Y360/H360,0)*0.02175),"")</f>
        <v>0.34799999999999998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247.52</v>
      </c>
      <c r="BN360" s="75">
        <f>IFERROR(Y360*I360/H360,"0")</f>
        <v>247.52</v>
      </c>
      <c r="BO360" s="75">
        <f>IFERROR(1/J360*(X360/H360),"0")</f>
        <v>0.33333333333333331</v>
      </c>
      <c r="BP360" s="75">
        <f>IFERROR(1/J360*(Y360/H360),"0")</f>
        <v>0.33333333333333331</v>
      </c>
    </row>
    <row r="361" spans="1:68" ht="27" customHeight="1" x14ac:dyDescent="0.25">
      <c r="A361" s="60" t="s">
        <v>590</v>
      </c>
      <c r="B361" s="60" t="s">
        <v>591</v>
      </c>
      <c r="C361" s="34">
        <v>4301020179</v>
      </c>
      <c r="D361" s="620">
        <v>4607091384178</v>
      </c>
      <c r="E361" s="620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80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2"/>
      <c r="R361" s="622"/>
      <c r="S361" s="622"/>
      <c r="T361" s="623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628"/>
      <c r="B362" s="628"/>
      <c r="C362" s="628"/>
      <c r="D362" s="628"/>
      <c r="E362" s="628"/>
      <c r="F362" s="628"/>
      <c r="G362" s="628"/>
      <c r="H362" s="628"/>
      <c r="I362" s="628"/>
      <c r="J362" s="628"/>
      <c r="K362" s="628"/>
      <c r="L362" s="628"/>
      <c r="M362" s="628"/>
      <c r="N362" s="628"/>
      <c r="O362" s="629"/>
      <c r="P362" s="625" t="s">
        <v>40</v>
      </c>
      <c r="Q362" s="626"/>
      <c r="R362" s="626"/>
      <c r="S362" s="626"/>
      <c r="T362" s="626"/>
      <c r="U362" s="626"/>
      <c r="V362" s="627"/>
      <c r="W362" s="40" t="s">
        <v>39</v>
      </c>
      <c r="X362" s="41">
        <f>IFERROR(X360/H360,"0")+IFERROR(X361/H361,"0")</f>
        <v>16</v>
      </c>
      <c r="Y362" s="41">
        <f>IFERROR(Y360/H360,"0")+IFERROR(Y361/H361,"0")</f>
        <v>16</v>
      </c>
      <c r="Z362" s="41">
        <f>IFERROR(IF(Z360="",0,Z360),"0")+IFERROR(IF(Z361="",0,Z361),"0")</f>
        <v>0.34799999999999998</v>
      </c>
      <c r="AA362" s="64"/>
      <c r="AB362" s="64"/>
      <c r="AC362" s="64"/>
    </row>
    <row r="363" spans="1:68" x14ac:dyDescent="0.2">
      <c r="A363" s="628"/>
      <c r="B363" s="628"/>
      <c r="C363" s="628"/>
      <c r="D363" s="628"/>
      <c r="E363" s="628"/>
      <c r="F363" s="628"/>
      <c r="G363" s="628"/>
      <c r="H363" s="628"/>
      <c r="I363" s="628"/>
      <c r="J363" s="628"/>
      <c r="K363" s="628"/>
      <c r="L363" s="628"/>
      <c r="M363" s="628"/>
      <c r="N363" s="628"/>
      <c r="O363" s="629"/>
      <c r="P363" s="625" t="s">
        <v>40</v>
      </c>
      <c r="Q363" s="626"/>
      <c r="R363" s="626"/>
      <c r="S363" s="626"/>
      <c r="T363" s="626"/>
      <c r="U363" s="626"/>
      <c r="V363" s="627"/>
      <c r="W363" s="40" t="s">
        <v>0</v>
      </c>
      <c r="X363" s="41">
        <f>IFERROR(SUM(X360:X361),"0")</f>
        <v>240</v>
      </c>
      <c r="Y363" s="41">
        <f>IFERROR(SUM(Y360:Y361),"0")</f>
        <v>240</v>
      </c>
      <c r="Z363" s="40"/>
      <c r="AA363" s="64"/>
      <c r="AB363" s="64"/>
      <c r="AC363" s="64"/>
    </row>
    <row r="364" spans="1:68" ht="14.25" customHeight="1" x14ac:dyDescent="0.25">
      <c r="A364" s="619" t="s">
        <v>86</v>
      </c>
      <c r="B364" s="619"/>
      <c r="C364" s="619"/>
      <c r="D364" s="619"/>
      <c r="E364" s="619"/>
      <c r="F364" s="619"/>
      <c r="G364" s="619"/>
      <c r="H364" s="619"/>
      <c r="I364" s="619"/>
      <c r="J364" s="619"/>
      <c r="K364" s="619"/>
      <c r="L364" s="619"/>
      <c r="M364" s="619"/>
      <c r="N364" s="619"/>
      <c r="O364" s="619"/>
      <c r="P364" s="619"/>
      <c r="Q364" s="619"/>
      <c r="R364" s="619"/>
      <c r="S364" s="619"/>
      <c r="T364" s="619"/>
      <c r="U364" s="619"/>
      <c r="V364" s="619"/>
      <c r="W364" s="619"/>
      <c r="X364" s="619"/>
      <c r="Y364" s="619"/>
      <c r="Z364" s="619"/>
      <c r="AA364" s="63"/>
      <c r="AB364" s="63"/>
      <c r="AC364" s="63"/>
    </row>
    <row r="365" spans="1:68" ht="27" customHeight="1" x14ac:dyDescent="0.25">
      <c r="A365" s="60" t="s">
        <v>593</v>
      </c>
      <c r="B365" s="60" t="s">
        <v>594</v>
      </c>
      <c r="C365" s="34">
        <v>4301051903</v>
      </c>
      <c r="D365" s="620">
        <v>4607091383928</v>
      </c>
      <c r="E365" s="620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8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2"/>
      <c r="R365" s="622"/>
      <c r="S365" s="622"/>
      <c r="T365" s="623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596</v>
      </c>
      <c r="B366" s="60" t="s">
        <v>597</v>
      </c>
      <c r="C366" s="34">
        <v>4301051897</v>
      </c>
      <c r="D366" s="620">
        <v>4607091384260</v>
      </c>
      <c r="E366" s="620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8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2"/>
      <c r="R366" s="622"/>
      <c r="S366" s="622"/>
      <c r="T366" s="623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">
      <c r="A367" s="628"/>
      <c r="B367" s="628"/>
      <c r="C367" s="628"/>
      <c r="D367" s="628"/>
      <c r="E367" s="628"/>
      <c r="F367" s="628"/>
      <c r="G367" s="628"/>
      <c r="H367" s="628"/>
      <c r="I367" s="628"/>
      <c r="J367" s="628"/>
      <c r="K367" s="628"/>
      <c r="L367" s="628"/>
      <c r="M367" s="628"/>
      <c r="N367" s="628"/>
      <c r="O367" s="629"/>
      <c r="P367" s="625" t="s">
        <v>40</v>
      </c>
      <c r="Q367" s="626"/>
      <c r="R367" s="626"/>
      <c r="S367" s="626"/>
      <c r="T367" s="626"/>
      <c r="U367" s="626"/>
      <c r="V367" s="627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x14ac:dyDescent="0.2">
      <c r="A368" s="628"/>
      <c r="B368" s="628"/>
      <c r="C368" s="628"/>
      <c r="D368" s="628"/>
      <c r="E368" s="628"/>
      <c r="F368" s="628"/>
      <c r="G368" s="628"/>
      <c r="H368" s="628"/>
      <c r="I368" s="628"/>
      <c r="J368" s="628"/>
      <c r="K368" s="628"/>
      <c r="L368" s="628"/>
      <c r="M368" s="628"/>
      <c r="N368" s="628"/>
      <c r="O368" s="629"/>
      <c r="P368" s="625" t="s">
        <v>40</v>
      </c>
      <c r="Q368" s="626"/>
      <c r="R368" s="626"/>
      <c r="S368" s="626"/>
      <c r="T368" s="626"/>
      <c r="U368" s="626"/>
      <c r="V368" s="627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customHeight="1" x14ac:dyDescent="0.25">
      <c r="A369" s="619" t="s">
        <v>173</v>
      </c>
      <c r="B369" s="619"/>
      <c r="C369" s="619"/>
      <c r="D369" s="619"/>
      <c r="E369" s="619"/>
      <c r="F369" s="619"/>
      <c r="G369" s="619"/>
      <c r="H369" s="619"/>
      <c r="I369" s="619"/>
      <c r="J369" s="619"/>
      <c r="K369" s="619"/>
      <c r="L369" s="619"/>
      <c r="M369" s="619"/>
      <c r="N369" s="619"/>
      <c r="O369" s="619"/>
      <c r="P369" s="619"/>
      <c r="Q369" s="619"/>
      <c r="R369" s="619"/>
      <c r="S369" s="619"/>
      <c r="T369" s="619"/>
      <c r="U369" s="619"/>
      <c r="V369" s="619"/>
      <c r="W369" s="619"/>
      <c r="X369" s="619"/>
      <c r="Y369" s="619"/>
      <c r="Z369" s="619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620">
        <v>4607091384673</v>
      </c>
      <c r="E370" s="620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8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2"/>
      <c r="R370" s="622"/>
      <c r="S370" s="622"/>
      <c r="T370" s="623"/>
      <c r="U370" s="37" t="s">
        <v>45</v>
      </c>
      <c r="V370" s="37" t="s">
        <v>45</v>
      </c>
      <c r="W370" s="38" t="s">
        <v>0</v>
      </c>
      <c r="X370" s="56">
        <v>72</v>
      </c>
      <c r="Y370" s="53">
        <f>IFERROR(IF(X370="",0,CEILING((X370/$H370),1)*$H370),"")</f>
        <v>72</v>
      </c>
      <c r="Z370" s="39">
        <f>IFERROR(IF(Y370=0,"",ROUNDUP(Y370/H370,0)*0.01898),"")</f>
        <v>0.15184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75.951999999999998</v>
      </c>
      <c r="BN370" s="75">
        <f>IFERROR(Y370*I370/H370,"0")</f>
        <v>75.951999999999998</v>
      </c>
      <c r="BO370" s="75">
        <f>IFERROR(1/J370*(X370/H370),"0")</f>
        <v>0.125</v>
      </c>
      <c r="BP370" s="75">
        <f>IFERROR(1/J370*(Y370/H370),"0")</f>
        <v>0.125</v>
      </c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39</v>
      </c>
      <c r="X371" s="41">
        <f>IFERROR(X370/H370,"0")</f>
        <v>8</v>
      </c>
      <c r="Y371" s="41">
        <f>IFERROR(Y370/H370,"0")</f>
        <v>8</v>
      </c>
      <c r="Z371" s="41">
        <f>IFERROR(IF(Z370="",0,Z370),"0")</f>
        <v>0.15184</v>
      </c>
      <c r="AA371" s="64"/>
      <c r="AB371" s="64"/>
      <c r="AC371" s="64"/>
    </row>
    <row r="372" spans="1:68" x14ac:dyDescent="0.2">
      <c r="A372" s="628"/>
      <c r="B372" s="628"/>
      <c r="C372" s="628"/>
      <c r="D372" s="628"/>
      <c r="E372" s="628"/>
      <c r="F372" s="628"/>
      <c r="G372" s="628"/>
      <c r="H372" s="628"/>
      <c r="I372" s="628"/>
      <c r="J372" s="628"/>
      <c r="K372" s="628"/>
      <c r="L372" s="628"/>
      <c r="M372" s="628"/>
      <c r="N372" s="628"/>
      <c r="O372" s="629"/>
      <c r="P372" s="625" t="s">
        <v>40</v>
      </c>
      <c r="Q372" s="626"/>
      <c r="R372" s="626"/>
      <c r="S372" s="626"/>
      <c r="T372" s="626"/>
      <c r="U372" s="626"/>
      <c r="V372" s="627"/>
      <c r="W372" s="40" t="s">
        <v>0</v>
      </c>
      <c r="X372" s="41">
        <f>IFERROR(SUM(X370:X370),"0")</f>
        <v>72</v>
      </c>
      <c r="Y372" s="41">
        <f>IFERROR(SUM(Y370:Y370),"0")</f>
        <v>72</v>
      </c>
      <c r="Z372" s="40"/>
      <c r="AA372" s="64"/>
      <c r="AB372" s="64"/>
      <c r="AC372" s="64"/>
    </row>
    <row r="373" spans="1:68" ht="16.5" customHeight="1" x14ac:dyDescent="0.25">
      <c r="A373" s="618" t="s">
        <v>602</v>
      </c>
      <c r="B373" s="618"/>
      <c r="C373" s="618"/>
      <c r="D373" s="618"/>
      <c r="E373" s="618"/>
      <c r="F373" s="618"/>
      <c r="G373" s="618"/>
      <c r="H373" s="618"/>
      <c r="I373" s="618"/>
      <c r="J373" s="618"/>
      <c r="K373" s="618"/>
      <c r="L373" s="618"/>
      <c r="M373" s="618"/>
      <c r="N373" s="618"/>
      <c r="O373" s="618"/>
      <c r="P373" s="618"/>
      <c r="Q373" s="618"/>
      <c r="R373" s="618"/>
      <c r="S373" s="618"/>
      <c r="T373" s="618"/>
      <c r="U373" s="618"/>
      <c r="V373" s="618"/>
      <c r="W373" s="618"/>
      <c r="X373" s="618"/>
      <c r="Y373" s="618"/>
      <c r="Z373" s="618"/>
      <c r="AA373" s="62"/>
      <c r="AB373" s="62"/>
      <c r="AC373" s="62"/>
    </row>
    <row r="374" spans="1:68" ht="14.25" customHeight="1" x14ac:dyDescent="0.25">
      <c r="A374" s="619" t="s">
        <v>114</v>
      </c>
      <c r="B374" s="619"/>
      <c r="C374" s="619"/>
      <c r="D374" s="619"/>
      <c r="E374" s="619"/>
      <c r="F374" s="619"/>
      <c r="G374" s="619"/>
      <c r="H374" s="619"/>
      <c r="I374" s="619"/>
      <c r="J374" s="619"/>
      <c r="K374" s="619"/>
      <c r="L374" s="619"/>
      <c r="M374" s="619"/>
      <c r="N374" s="619"/>
      <c r="O374" s="619"/>
      <c r="P374" s="619"/>
      <c r="Q374" s="619"/>
      <c r="R374" s="619"/>
      <c r="S374" s="619"/>
      <c r="T374" s="619"/>
      <c r="U374" s="619"/>
      <c r="V374" s="619"/>
      <c r="W374" s="619"/>
      <c r="X374" s="619"/>
      <c r="Y374" s="619"/>
      <c r="Z374" s="619"/>
      <c r="AA374" s="63"/>
      <c r="AB374" s="63"/>
      <c r="AC374" s="63"/>
    </row>
    <row r="375" spans="1:68" ht="37.5" customHeight="1" x14ac:dyDescent="0.25">
      <c r="A375" s="60" t="s">
        <v>603</v>
      </c>
      <c r="B375" s="60" t="s">
        <v>604</v>
      </c>
      <c r="C375" s="34">
        <v>4301011875</v>
      </c>
      <c r="D375" s="620">
        <v>4680115884885</v>
      </c>
      <c r="E375" s="620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80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2"/>
      <c r="R375" s="622"/>
      <c r="S375" s="622"/>
      <c r="T375" s="623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customHeight="1" x14ac:dyDescent="0.25">
      <c r="A376" s="60" t="s">
        <v>606</v>
      </c>
      <c r="B376" s="60" t="s">
        <v>607</v>
      </c>
      <c r="C376" s="34">
        <v>4301011871</v>
      </c>
      <c r="D376" s="620">
        <v>4680115884908</v>
      </c>
      <c r="E376" s="620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2"/>
      <c r="R376" s="622"/>
      <c r="S376" s="622"/>
      <c r="T376" s="623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customHeight="1" x14ac:dyDescent="0.25">
      <c r="A379" s="619" t="s">
        <v>76</v>
      </c>
      <c r="B379" s="619"/>
      <c r="C379" s="619"/>
      <c r="D379" s="619"/>
      <c r="E379" s="619"/>
      <c r="F379" s="619"/>
      <c r="G379" s="619"/>
      <c r="H379" s="619"/>
      <c r="I379" s="619"/>
      <c r="J379" s="619"/>
      <c r="K379" s="619"/>
      <c r="L379" s="619"/>
      <c r="M379" s="619"/>
      <c r="N379" s="619"/>
      <c r="O379" s="619"/>
      <c r="P379" s="619"/>
      <c r="Q379" s="619"/>
      <c r="R379" s="619"/>
      <c r="S379" s="619"/>
      <c r="T379" s="619"/>
      <c r="U379" s="619"/>
      <c r="V379" s="619"/>
      <c r="W379" s="619"/>
      <c r="X379" s="619"/>
      <c r="Y379" s="619"/>
      <c r="Z379" s="619"/>
      <c r="AA379" s="63"/>
      <c r="AB379" s="63"/>
      <c r="AC379" s="63"/>
    </row>
    <row r="380" spans="1:68" ht="27" customHeight="1" x14ac:dyDescent="0.25">
      <c r="A380" s="60" t="s">
        <v>608</v>
      </c>
      <c r="B380" s="60" t="s">
        <v>609</v>
      </c>
      <c r="C380" s="34">
        <v>4301031457</v>
      </c>
      <c r="D380" s="620">
        <v>4607091384802</v>
      </c>
      <c r="E380" s="620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8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2"/>
      <c r="R380" s="622"/>
      <c r="S380" s="622"/>
      <c r="T380" s="623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customHeight="1" x14ac:dyDescent="0.25">
      <c r="A383" s="619" t="s">
        <v>86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620">
        <v>4607091384246</v>
      </c>
      <c r="E384" s="620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2"/>
      <c r="R384" s="622"/>
      <c r="S384" s="622"/>
      <c r="T384" s="623"/>
      <c r="U384" s="37" t="s">
        <v>45</v>
      </c>
      <c r="V384" s="37" t="s">
        <v>45</v>
      </c>
      <c r="W384" s="38" t="s">
        <v>0</v>
      </c>
      <c r="X384" s="56">
        <v>360</v>
      </c>
      <c r="Y384" s="53">
        <f>IFERROR(IF(X384="",0,CEILING((X384/$H384),1)*$H384),"")</f>
        <v>360</v>
      </c>
      <c r="Z384" s="39">
        <f>IFERROR(IF(Y384=0,"",ROUNDUP(Y384/H384,0)*0.01898),"")</f>
        <v>0.75919999999999999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379.76</v>
      </c>
      <c r="BN384" s="75">
        <f>IFERROR(Y384*I384/H384,"0")</f>
        <v>379.76</v>
      </c>
      <c r="BO384" s="75">
        <f>IFERROR(1/J384*(X384/H384),"0")</f>
        <v>0.625</v>
      </c>
      <c r="BP384" s="75">
        <f>IFERROR(1/J384*(Y384/H384),"0")</f>
        <v>0.625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620">
        <v>4607091384253</v>
      </c>
      <c r="E385" s="620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8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2"/>
      <c r="R385" s="622"/>
      <c r="S385" s="622"/>
      <c r="T385" s="623"/>
      <c r="U385" s="37" t="s">
        <v>45</v>
      </c>
      <c r="V385" s="37" t="s">
        <v>45</v>
      </c>
      <c r="W385" s="38" t="s">
        <v>0</v>
      </c>
      <c r="X385" s="56">
        <v>28.8</v>
      </c>
      <c r="Y385" s="53">
        <f>IFERROR(IF(X385="",0,CEILING((X385/$H385),1)*$H385),"")</f>
        <v>28.799999999999997</v>
      </c>
      <c r="Z385" s="39">
        <f>IFERROR(IF(Y385=0,"",ROUNDUP(Y385/H385,0)*0.00651),"")</f>
        <v>7.8119999999999995E-2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31.968000000000004</v>
      </c>
      <c r="BN385" s="75">
        <f>IFERROR(Y385*I385/H385,"0")</f>
        <v>31.967999999999996</v>
      </c>
      <c r="BO385" s="75">
        <f>IFERROR(1/J385*(X385/H385),"0")</f>
        <v>6.5934065934065936E-2</v>
      </c>
      <c r="BP385" s="75">
        <f>IFERROR(1/J385*(Y385/H385),"0")</f>
        <v>6.5934065934065936E-2</v>
      </c>
    </row>
    <row r="386" spans="1:68" ht="27" customHeight="1" x14ac:dyDescent="0.25">
      <c r="A386" s="60" t="s">
        <v>614</v>
      </c>
      <c r="B386" s="60" t="s">
        <v>616</v>
      </c>
      <c r="C386" s="34">
        <v>4301052069</v>
      </c>
      <c r="D386" s="620">
        <v>4607091384253</v>
      </c>
      <c r="E386" s="620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8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2"/>
      <c r="R386" s="622"/>
      <c r="S386" s="622"/>
      <c r="T386" s="623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28"/>
      <c r="B387" s="628"/>
      <c r="C387" s="628"/>
      <c r="D387" s="628"/>
      <c r="E387" s="628"/>
      <c r="F387" s="628"/>
      <c r="G387" s="628"/>
      <c r="H387" s="628"/>
      <c r="I387" s="628"/>
      <c r="J387" s="628"/>
      <c r="K387" s="628"/>
      <c r="L387" s="628"/>
      <c r="M387" s="628"/>
      <c r="N387" s="628"/>
      <c r="O387" s="629"/>
      <c r="P387" s="625" t="s">
        <v>40</v>
      </c>
      <c r="Q387" s="626"/>
      <c r="R387" s="626"/>
      <c r="S387" s="626"/>
      <c r="T387" s="626"/>
      <c r="U387" s="626"/>
      <c r="V387" s="627"/>
      <c r="W387" s="40" t="s">
        <v>39</v>
      </c>
      <c r="X387" s="41">
        <f>IFERROR(X384/H384,"0")+IFERROR(X385/H385,"0")+IFERROR(X386/H386,"0")</f>
        <v>52</v>
      </c>
      <c r="Y387" s="41">
        <f>IFERROR(Y384/H384,"0")+IFERROR(Y385/H385,"0")+IFERROR(Y386/H386,"0")</f>
        <v>52</v>
      </c>
      <c r="Z387" s="41">
        <f>IFERROR(IF(Z384="",0,Z384),"0")+IFERROR(IF(Z385="",0,Z385),"0")+IFERROR(IF(Z386="",0,Z386),"0")</f>
        <v>0.83731999999999995</v>
      </c>
      <c r="AA387" s="64"/>
      <c r="AB387" s="64"/>
      <c r="AC387" s="64"/>
    </row>
    <row r="388" spans="1:68" x14ac:dyDescent="0.2">
      <c r="A388" s="628"/>
      <c r="B388" s="628"/>
      <c r="C388" s="628"/>
      <c r="D388" s="628"/>
      <c r="E388" s="628"/>
      <c r="F388" s="628"/>
      <c r="G388" s="628"/>
      <c r="H388" s="628"/>
      <c r="I388" s="628"/>
      <c r="J388" s="628"/>
      <c r="K388" s="628"/>
      <c r="L388" s="628"/>
      <c r="M388" s="628"/>
      <c r="N388" s="628"/>
      <c r="O388" s="629"/>
      <c r="P388" s="625" t="s">
        <v>40</v>
      </c>
      <c r="Q388" s="626"/>
      <c r="R388" s="626"/>
      <c r="S388" s="626"/>
      <c r="T388" s="626"/>
      <c r="U388" s="626"/>
      <c r="V388" s="627"/>
      <c r="W388" s="40" t="s">
        <v>0</v>
      </c>
      <c r="X388" s="41">
        <f>IFERROR(SUM(X384:X386),"0")</f>
        <v>388.8</v>
      </c>
      <c r="Y388" s="41">
        <f>IFERROR(SUM(Y384:Y386),"0")</f>
        <v>388.8</v>
      </c>
      <c r="Z388" s="40"/>
      <c r="AA388" s="64"/>
      <c r="AB388" s="64"/>
      <c r="AC388" s="64"/>
    </row>
    <row r="389" spans="1:68" ht="27.75" customHeight="1" x14ac:dyDescent="0.2">
      <c r="A389" s="617" t="s">
        <v>618</v>
      </c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17"/>
      <c r="P389" s="617"/>
      <c r="Q389" s="617"/>
      <c r="R389" s="617"/>
      <c r="S389" s="617"/>
      <c r="T389" s="617"/>
      <c r="U389" s="617"/>
      <c r="V389" s="617"/>
      <c r="W389" s="617"/>
      <c r="X389" s="617"/>
      <c r="Y389" s="617"/>
      <c r="Z389" s="617"/>
      <c r="AA389" s="52"/>
      <c r="AB389" s="52"/>
      <c r="AC389" s="52"/>
    </row>
    <row r="390" spans="1:68" ht="16.5" customHeight="1" x14ac:dyDescent="0.25">
      <c r="A390" s="618" t="s">
        <v>619</v>
      </c>
      <c r="B390" s="618"/>
      <c r="C390" s="618"/>
      <c r="D390" s="618"/>
      <c r="E390" s="618"/>
      <c r="F390" s="618"/>
      <c r="G390" s="618"/>
      <c r="H390" s="618"/>
      <c r="I390" s="618"/>
      <c r="J390" s="618"/>
      <c r="K390" s="618"/>
      <c r="L390" s="618"/>
      <c r="M390" s="618"/>
      <c r="N390" s="618"/>
      <c r="O390" s="618"/>
      <c r="P390" s="618"/>
      <c r="Q390" s="618"/>
      <c r="R390" s="618"/>
      <c r="S390" s="618"/>
      <c r="T390" s="618"/>
      <c r="U390" s="618"/>
      <c r="V390" s="618"/>
      <c r="W390" s="618"/>
      <c r="X390" s="618"/>
      <c r="Y390" s="618"/>
      <c r="Z390" s="618"/>
      <c r="AA390" s="62"/>
      <c r="AB390" s="62"/>
      <c r="AC390" s="62"/>
    </row>
    <row r="391" spans="1:68" ht="14.25" customHeight="1" x14ac:dyDescent="0.25">
      <c r="A391" s="619" t="s">
        <v>76</v>
      </c>
      <c r="B391" s="619"/>
      <c r="C391" s="619"/>
      <c r="D391" s="619"/>
      <c r="E391" s="619"/>
      <c r="F391" s="619"/>
      <c r="G391" s="619"/>
      <c r="H391" s="619"/>
      <c r="I391" s="619"/>
      <c r="J391" s="619"/>
      <c r="K391" s="619"/>
      <c r="L391" s="619"/>
      <c r="M391" s="619"/>
      <c r="N391" s="619"/>
      <c r="O391" s="619"/>
      <c r="P391" s="619"/>
      <c r="Q391" s="619"/>
      <c r="R391" s="619"/>
      <c r="S391" s="619"/>
      <c r="T391" s="619"/>
      <c r="U391" s="619"/>
      <c r="V391" s="619"/>
      <c r="W391" s="619"/>
      <c r="X391" s="619"/>
      <c r="Y391" s="619"/>
      <c r="Z391" s="619"/>
      <c r="AA391" s="63"/>
      <c r="AB391" s="63"/>
      <c r="AC391" s="63"/>
    </row>
    <row r="392" spans="1:68" ht="27" customHeight="1" x14ac:dyDescent="0.25">
      <c r="A392" s="60" t="s">
        <v>620</v>
      </c>
      <c r="B392" s="60" t="s">
        <v>621</v>
      </c>
      <c r="C392" s="34">
        <v>4301031405</v>
      </c>
      <c r="D392" s="620">
        <v>4680115886100</v>
      </c>
      <c r="E392" s="620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81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2"/>
      <c r="R392" s="622"/>
      <c r="S392" s="622"/>
      <c r="T392" s="623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customHeight="1" x14ac:dyDescent="0.25">
      <c r="A393" s="60" t="s">
        <v>623</v>
      </c>
      <c r="B393" s="60" t="s">
        <v>624</v>
      </c>
      <c r="C393" s="34">
        <v>4301031406</v>
      </c>
      <c r="D393" s="620">
        <v>4680115886117</v>
      </c>
      <c r="E393" s="620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81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2"/>
      <c r="R393" s="622"/>
      <c r="S393" s="622"/>
      <c r="T393" s="623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customHeight="1" x14ac:dyDescent="0.25">
      <c r="A394" s="60" t="s">
        <v>626</v>
      </c>
      <c r="B394" s="60" t="s">
        <v>627</v>
      </c>
      <c r="C394" s="34">
        <v>4301031402</v>
      </c>
      <c r="D394" s="620">
        <v>4680115886124</v>
      </c>
      <c r="E394" s="620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8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2"/>
      <c r="R394" s="622"/>
      <c r="S394" s="622"/>
      <c r="T394" s="623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customHeight="1" x14ac:dyDescent="0.25">
      <c r="A395" s="60" t="s">
        <v>629</v>
      </c>
      <c r="B395" s="60" t="s">
        <v>630</v>
      </c>
      <c r="C395" s="34">
        <v>4301031366</v>
      </c>
      <c r="D395" s="620">
        <v>4680115883147</v>
      </c>
      <c r="E395" s="620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81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2"/>
      <c r="R395" s="622"/>
      <c r="S395" s="622"/>
      <c r="T395" s="623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customHeight="1" x14ac:dyDescent="0.25">
      <c r="A396" s="60" t="s">
        <v>631</v>
      </c>
      <c r="B396" s="60" t="s">
        <v>632</v>
      </c>
      <c r="C396" s="34">
        <v>4301031362</v>
      </c>
      <c r="D396" s="620">
        <v>4607091384338</v>
      </c>
      <c r="E396" s="620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81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2"/>
      <c r="R396" s="622"/>
      <c r="S396" s="622"/>
      <c r="T396" s="623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customHeight="1" x14ac:dyDescent="0.25">
      <c r="A397" s="60" t="s">
        <v>633</v>
      </c>
      <c r="B397" s="60" t="s">
        <v>634</v>
      </c>
      <c r="C397" s="34">
        <v>4301031361</v>
      </c>
      <c r="D397" s="620">
        <v>4607091389524</v>
      </c>
      <c r="E397" s="620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81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2"/>
      <c r="R397" s="622"/>
      <c r="S397" s="622"/>
      <c r="T397" s="623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customHeight="1" x14ac:dyDescent="0.25">
      <c r="A398" s="60" t="s">
        <v>636</v>
      </c>
      <c r="B398" s="60" t="s">
        <v>637</v>
      </c>
      <c r="C398" s="34">
        <v>4301031364</v>
      </c>
      <c r="D398" s="620">
        <v>4680115883161</v>
      </c>
      <c r="E398" s="620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82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2"/>
      <c r="R398" s="622"/>
      <c r="S398" s="622"/>
      <c r="T398" s="623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customHeight="1" x14ac:dyDescent="0.25">
      <c r="A399" s="60" t="s">
        <v>639</v>
      </c>
      <c r="B399" s="60" t="s">
        <v>640</v>
      </c>
      <c r="C399" s="34">
        <v>4301031358</v>
      </c>
      <c r="D399" s="620">
        <v>4607091389531</v>
      </c>
      <c r="E399" s="620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8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2"/>
      <c r="R399" s="622"/>
      <c r="S399" s="622"/>
      <c r="T399" s="623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customHeight="1" x14ac:dyDescent="0.25">
      <c r="A400" s="60" t="s">
        <v>642</v>
      </c>
      <c r="B400" s="60" t="s">
        <v>643</v>
      </c>
      <c r="C400" s="34">
        <v>4301031360</v>
      </c>
      <c r="D400" s="620">
        <v>4607091384345</v>
      </c>
      <c r="E400" s="620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8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2"/>
      <c r="R400" s="622"/>
      <c r="S400" s="622"/>
      <c r="T400" s="623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x14ac:dyDescent="0.2">
      <c r="A401" s="628"/>
      <c r="B401" s="628"/>
      <c r="C401" s="628"/>
      <c r="D401" s="628"/>
      <c r="E401" s="628"/>
      <c r="F401" s="628"/>
      <c r="G401" s="628"/>
      <c r="H401" s="628"/>
      <c r="I401" s="628"/>
      <c r="J401" s="628"/>
      <c r="K401" s="628"/>
      <c r="L401" s="628"/>
      <c r="M401" s="628"/>
      <c r="N401" s="628"/>
      <c r="O401" s="629"/>
      <c r="P401" s="625" t="s">
        <v>40</v>
      </c>
      <c r="Q401" s="626"/>
      <c r="R401" s="626"/>
      <c r="S401" s="626"/>
      <c r="T401" s="626"/>
      <c r="U401" s="626"/>
      <c r="V401" s="627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customHeight="1" x14ac:dyDescent="0.25">
      <c r="A403" s="619" t="s">
        <v>86</v>
      </c>
      <c r="B403" s="619"/>
      <c r="C403" s="619"/>
      <c r="D403" s="619"/>
      <c r="E403" s="619"/>
      <c r="F403" s="619"/>
      <c r="G403" s="619"/>
      <c r="H403" s="619"/>
      <c r="I403" s="619"/>
      <c r="J403" s="619"/>
      <c r="K403" s="619"/>
      <c r="L403" s="619"/>
      <c r="M403" s="619"/>
      <c r="N403" s="619"/>
      <c r="O403" s="619"/>
      <c r="P403" s="619"/>
      <c r="Q403" s="619"/>
      <c r="R403" s="619"/>
      <c r="S403" s="619"/>
      <c r="T403" s="619"/>
      <c r="U403" s="619"/>
      <c r="V403" s="619"/>
      <c r="W403" s="619"/>
      <c r="X403" s="619"/>
      <c r="Y403" s="619"/>
      <c r="Z403" s="619"/>
      <c r="AA403" s="63"/>
      <c r="AB403" s="63"/>
      <c r="AC403" s="63"/>
    </row>
    <row r="404" spans="1:68" ht="27" customHeight="1" x14ac:dyDescent="0.25">
      <c r="A404" s="60" t="s">
        <v>644</v>
      </c>
      <c r="B404" s="60" t="s">
        <v>645</v>
      </c>
      <c r="C404" s="34">
        <v>4301051284</v>
      </c>
      <c r="D404" s="620">
        <v>4607091384352</v>
      </c>
      <c r="E404" s="620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82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2"/>
      <c r="R404" s="622"/>
      <c r="S404" s="622"/>
      <c r="T404" s="623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647</v>
      </c>
      <c r="B405" s="60" t="s">
        <v>648</v>
      </c>
      <c r="C405" s="34">
        <v>4301051431</v>
      </c>
      <c r="D405" s="620">
        <v>4607091389654</v>
      </c>
      <c r="E405" s="620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8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2"/>
      <c r="R405" s="622"/>
      <c r="S405" s="622"/>
      <c r="T405" s="623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628"/>
      <c r="B406" s="628"/>
      <c r="C406" s="628"/>
      <c r="D406" s="628"/>
      <c r="E406" s="628"/>
      <c r="F406" s="628"/>
      <c r="G406" s="628"/>
      <c r="H406" s="628"/>
      <c r="I406" s="628"/>
      <c r="J406" s="628"/>
      <c r="K406" s="628"/>
      <c r="L406" s="628"/>
      <c r="M406" s="628"/>
      <c r="N406" s="628"/>
      <c r="O406" s="629"/>
      <c r="P406" s="625" t="s">
        <v>40</v>
      </c>
      <c r="Q406" s="626"/>
      <c r="R406" s="626"/>
      <c r="S406" s="626"/>
      <c r="T406" s="626"/>
      <c r="U406" s="626"/>
      <c r="V406" s="627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x14ac:dyDescent="0.2">
      <c r="A407" s="628"/>
      <c r="B407" s="628"/>
      <c r="C407" s="628"/>
      <c r="D407" s="628"/>
      <c r="E407" s="628"/>
      <c r="F407" s="628"/>
      <c r="G407" s="628"/>
      <c r="H407" s="628"/>
      <c r="I407" s="628"/>
      <c r="J407" s="628"/>
      <c r="K407" s="628"/>
      <c r="L407" s="628"/>
      <c r="M407" s="628"/>
      <c r="N407" s="628"/>
      <c r="O407" s="629"/>
      <c r="P407" s="625" t="s">
        <v>40</v>
      </c>
      <c r="Q407" s="626"/>
      <c r="R407" s="626"/>
      <c r="S407" s="626"/>
      <c r="T407" s="626"/>
      <c r="U407" s="626"/>
      <c r="V407" s="627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customHeight="1" x14ac:dyDescent="0.25">
      <c r="A408" s="618" t="s">
        <v>650</v>
      </c>
      <c r="B408" s="618"/>
      <c r="C408" s="618"/>
      <c r="D408" s="618"/>
      <c r="E408" s="618"/>
      <c r="F408" s="618"/>
      <c r="G408" s="618"/>
      <c r="H408" s="618"/>
      <c r="I408" s="618"/>
      <c r="J408" s="618"/>
      <c r="K408" s="618"/>
      <c r="L408" s="618"/>
      <c r="M408" s="618"/>
      <c r="N408" s="618"/>
      <c r="O408" s="618"/>
      <c r="P408" s="618"/>
      <c r="Q408" s="618"/>
      <c r="R408" s="618"/>
      <c r="S408" s="618"/>
      <c r="T408" s="618"/>
      <c r="U408" s="618"/>
      <c r="V408" s="618"/>
      <c r="W408" s="618"/>
      <c r="X408" s="618"/>
      <c r="Y408" s="618"/>
      <c r="Z408" s="618"/>
      <c r="AA408" s="62"/>
      <c r="AB408" s="62"/>
      <c r="AC408" s="62"/>
    </row>
    <row r="409" spans="1:68" ht="14.25" customHeight="1" x14ac:dyDescent="0.25">
      <c r="A409" s="619" t="s">
        <v>147</v>
      </c>
      <c r="B409" s="619"/>
      <c r="C409" s="619"/>
      <c r="D409" s="619"/>
      <c r="E409" s="619"/>
      <c r="F409" s="619"/>
      <c r="G409" s="619"/>
      <c r="H409" s="619"/>
      <c r="I409" s="619"/>
      <c r="J409" s="619"/>
      <c r="K409" s="619"/>
      <c r="L409" s="619"/>
      <c r="M409" s="619"/>
      <c r="N409" s="619"/>
      <c r="O409" s="619"/>
      <c r="P409" s="619"/>
      <c r="Q409" s="619"/>
      <c r="R409" s="619"/>
      <c r="S409" s="619"/>
      <c r="T409" s="619"/>
      <c r="U409" s="619"/>
      <c r="V409" s="619"/>
      <c r="W409" s="619"/>
      <c r="X409" s="619"/>
      <c r="Y409" s="619"/>
      <c r="Z409" s="619"/>
      <c r="AA409" s="63"/>
      <c r="AB409" s="63"/>
      <c r="AC409" s="63"/>
    </row>
    <row r="410" spans="1:68" ht="27" customHeight="1" x14ac:dyDescent="0.25">
      <c r="A410" s="60" t="s">
        <v>651</v>
      </c>
      <c r="B410" s="60" t="s">
        <v>652</v>
      </c>
      <c r="C410" s="34">
        <v>4301020319</v>
      </c>
      <c r="D410" s="620">
        <v>4680115885240</v>
      </c>
      <c r="E410" s="620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8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2"/>
      <c r="R410" s="622"/>
      <c r="S410" s="622"/>
      <c r="T410" s="623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customHeight="1" x14ac:dyDescent="0.25">
      <c r="A413" s="619" t="s">
        <v>76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3"/>
      <c r="AB413" s="63"/>
      <c r="AC413" s="63"/>
    </row>
    <row r="414" spans="1:68" ht="27" customHeight="1" x14ac:dyDescent="0.25">
      <c r="A414" s="60" t="s">
        <v>654</v>
      </c>
      <c r="B414" s="60" t="s">
        <v>655</v>
      </c>
      <c r="C414" s="34">
        <v>4301031403</v>
      </c>
      <c r="D414" s="620">
        <v>4680115886094</v>
      </c>
      <c r="E414" s="620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82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2"/>
      <c r="R414" s="622"/>
      <c r="S414" s="622"/>
      <c r="T414" s="623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657</v>
      </c>
      <c r="B415" s="60" t="s">
        <v>658</v>
      </c>
      <c r="C415" s="34">
        <v>4301031373</v>
      </c>
      <c r="D415" s="620">
        <v>4680115880771</v>
      </c>
      <c r="E415" s="620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2"/>
      <c r="R415" s="622"/>
      <c r="S415" s="622"/>
      <c r="T415" s="623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660</v>
      </c>
      <c r="B416" s="60" t="s">
        <v>661</v>
      </c>
      <c r="C416" s="34">
        <v>4301031359</v>
      </c>
      <c r="D416" s="620">
        <v>4607091389500</v>
      </c>
      <c r="E416" s="620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82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2"/>
      <c r="R416" s="622"/>
      <c r="S416" s="622"/>
      <c r="T416" s="623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628"/>
      <c r="B418" s="628"/>
      <c r="C418" s="628"/>
      <c r="D418" s="628"/>
      <c r="E418" s="628"/>
      <c r="F418" s="628"/>
      <c r="G418" s="628"/>
      <c r="H418" s="628"/>
      <c r="I418" s="628"/>
      <c r="J418" s="628"/>
      <c r="K418" s="628"/>
      <c r="L418" s="628"/>
      <c r="M418" s="628"/>
      <c r="N418" s="628"/>
      <c r="O418" s="629"/>
      <c r="P418" s="625" t="s">
        <v>40</v>
      </c>
      <c r="Q418" s="626"/>
      <c r="R418" s="626"/>
      <c r="S418" s="626"/>
      <c r="T418" s="626"/>
      <c r="U418" s="626"/>
      <c r="V418" s="62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customHeight="1" x14ac:dyDescent="0.25">
      <c r="A419" s="618" t="s">
        <v>662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2"/>
      <c r="AB419" s="62"/>
      <c r="AC419" s="62"/>
    </row>
    <row r="420" spans="1:68" ht="14.25" customHeight="1" x14ac:dyDescent="0.25">
      <c r="A420" s="619" t="s">
        <v>76</v>
      </c>
      <c r="B420" s="619"/>
      <c r="C420" s="619"/>
      <c r="D420" s="619"/>
      <c r="E420" s="619"/>
      <c r="F420" s="619"/>
      <c r="G420" s="619"/>
      <c r="H420" s="619"/>
      <c r="I420" s="619"/>
      <c r="J420" s="619"/>
      <c r="K420" s="619"/>
      <c r="L420" s="619"/>
      <c r="M420" s="619"/>
      <c r="N420" s="619"/>
      <c r="O420" s="619"/>
      <c r="P420" s="619"/>
      <c r="Q420" s="619"/>
      <c r="R420" s="619"/>
      <c r="S420" s="619"/>
      <c r="T420" s="619"/>
      <c r="U420" s="619"/>
      <c r="V420" s="619"/>
      <c r="W420" s="619"/>
      <c r="X420" s="619"/>
      <c r="Y420" s="619"/>
      <c r="Z420" s="619"/>
      <c r="AA420" s="63"/>
      <c r="AB420" s="63"/>
      <c r="AC420" s="63"/>
    </row>
    <row r="421" spans="1:68" ht="27" customHeight="1" x14ac:dyDescent="0.25">
      <c r="A421" s="60" t="s">
        <v>663</v>
      </c>
      <c r="B421" s="60" t="s">
        <v>664</v>
      </c>
      <c r="C421" s="34">
        <v>4301031347</v>
      </c>
      <c r="D421" s="620">
        <v>4680115885110</v>
      </c>
      <c r="E421" s="620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82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2"/>
      <c r="R421" s="622"/>
      <c r="S421" s="622"/>
      <c r="T421" s="623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628"/>
      <c r="B423" s="628"/>
      <c r="C423" s="628"/>
      <c r="D423" s="628"/>
      <c r="E423" s="628"/>
      <c r="F423" s="628"/>
      <c r="G423" s="628"/>
      <c r="H423" s="628"/>
      <c r="I423" s="628"/>
      <c r="J423" s="628"/>
      <c r="K423" s="628"/>
      <c r="L423" s="628"/>
      <c r="M423" s="628"/>
      <c r="N423" s="628"/>
      <c r="O423" s="629"/>
      <c r="P423" s="625" t="s">
        <v>40</v>
      </c>
      <c r="Q423" s="626"/>
      <c r="R423" s="626"/>
      <c r="S423" s="626"/>
      <c r="T423" s="626"/>
      <c r="U423" s="626"/>
      <c r="V423" s="627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customHeight="1" x14ac:dyDescent="0.2">
      <c r="A424" s="617" t="s">
        <v>666</v>
      </c>
      <c r="B424" s="617"/>
      <c r="C424" s="617"/>
      <c r="D424" s="617"/>
      <c r="E424" s="617"/>
      <c r="F424" s="617"/>
      <c r="G424" s="617"/>
      <c r="H424" s="617"/>
      <c r="I424" s="617"/>
      <c r="J424" s="617"/>
      <c r="K424" s="617"/>
      <c r="L424" s="617"/>
      <c r="M424" s="617"/>
      <c r="N424" s="617"/>
      <c r="O424" s="617"/>
      <c r="P424" s="617"/>
      <c r="Q424" s="617"/>
      <c r="R424" s="617"/>
      <c r="S424" s="617"/>
      <c r="T424" s="617"/>
      <c r="U424" s="617"/>
      <c r="V424" s="617"/>
      <c r="W424" s="617"/>
      <c r="X424" s="617"/>
      <c r="Y424" s="617"/>
      <c r="Z424" s="617"/>
      <c r="AA424" s="52"/>
      <c r="AB424" s="52"/>
      <c r="AC424" s="52"/>
    </row>
    <row r="425" spans="1:68" ht="16.5" customHeight="1" x14ac:dyDescent="0.25">
      <c r="A425" s="618" t="s">
        <v>666</v>
      </c>
      <c r="B425" s="618"/>
      <c r="C425" s="618"/>
      <c r="D425" s="618"/>
      <c r="E425" s="618"/>
      <c r="F425" s="618"/>
      <c r="G425" s="618"/>
      <c r="H425" s="618"/>
      <c r="I425" s="618"/>
      <c r="J425" s="618"/>
      <c r="K425" s="618"/>
      <c r="L425" s="618"/>
      <c r="M425" s="618"/>
      <c r="N425" s="618"/>
      <c r="O425" s="618"/>
      <c r="P425" s="618"/>
      <c r="Q425" s="618"/>
      <c r="R425" s="618"/>
      <c r="S425" s="618"/>
      <c r="T425" s="618"/>
      <c r="U425" s="618"/>
      <c r="V425" s="618"/>
      <c r="W425" s="618"/>
      <c r="X425" s="618"/>
      <c r="Y425" s="618"/>
      <c r="Z425" s="618"/>
      <c r="AA425" s="62"/>
      <c r="AB425" s="62"/>
      <c r="AC425" s="62"/>
    </row>
    <row r="426" spans="1:68" ht="14.25" customHeight="1" x14ac:dyDescent="0.25">
      <c r="A426" s="619" t="s">
        <v>114</v>
      </c>
      <c r="B426" s="619"/>
      <c r="C426" s="619"/>
      <c r="D426" s="619"/>
      <c r="E426" s="619"/>
      <c r="F426" s="619"/>
      <c r="G426" s="619"/>
      <c r="H426" s="619"/>
      <c r="I426" s="619"/>
      <c r="J426" s="619"/>
      <c r="K426" s="619"/>
      <c r="L426" s="619"/>
      <c r="M426" s="619"/>
      <c r="N426" s="619"/>
      <c r="O426" s="619"/>
      <c r="P426" s="619"/>
      <c r="Q426" s="619"/>
      <c r="R426" s="619"/>
      <c r="S426" s="619"/>
      <c r="T426" s="619"/>
      <c r="U426" s="619"/>
      <c r="V426" s="619"/>
      <c r="W426" s="619"/>
      <c r="X426" s="619"/>
      <c r="Y426" s="619"/>
      <c r="Z426" s="619"/>
      <c r="AA426" s="63"/>
      <c r="AB426" s="63"/>
      <c r="AC426" s="63"/>
    </row>
    <row r="427" spans="1:68" ht="27" customHeight="1" x14ac:dyDescent="0.25">
      <c r="A427" s="60" t="s">
        <v>667</v>
      </c>
      <c r="B427" s="60" t="s">
        <v>668</v>
      </c>
      <c r="C427" s="34">
        <v>4301011795</v>
      </c>
      <c r="D427" s="620">
        <v>4607091389067</v>
      </c>
      <c r="E427" s="620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83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2"/>
      <c r="R427" s="622"/>
      <c r="S427" s="622"/>
      <c r="T427" s="623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customHeight="1" x14ac:dyDescent="0.25">
      <c r="A428" s="60" t="s">
        <v>669</v>
      </c>
      <c r="B428" s="60" t="s">
        <v>670</v>
      </c>
      <c r="C428" s="34">
        <v>4301012145</v>
      </c>
      <c r="D428" s="620">
        <v>4607091383522</v>
      </c>
      <c r="E428" s="620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83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2"/>
      <c r="R428" s="622"/>
      <c r="S428" s="622"/>
      <c r="T428" s="623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customHeight="1" x14ac:dyDescent="0.25">
      <c r="A429" s="60" t="s">
        <v>669</v>
      </c>
      <c r="B429" s="60" t="s">
        <v>672</v>
      </c>
      <c r="C429" s="34">
        <v>4301012210</v>
      </c>
      <c r="D429" s="620">
        <v>4607091383522</v>
      </c>
      <c r="E429" s="620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83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2"/>
      <c r="R429" s="622"/>
      <c r="S429" s="622"/>
      <c r="T429" s="623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customHeight="1" x14ac:dyDescent="0.25">
      <c r="A430" s="60" t="s">
        <v>673</v>
      </c>
      <c r="B430" s="60" t="s">
        <v>674</v>
      </c>
      <c r="C430" s="34">
        <v>4301011961</v>
      </c>
      <c r="D430" s="620">
        <v>4680115885271</v>
      </c>
      <c r="E430" s="620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2"/>
      <c r="R430" s="622"/>
      <c r="S430" s="622"/>
      <c r="T430" s="623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620">
        <v>4680115885226</v>
      </c>
      <c r="E431" s="620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83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2"/>
      <c r="R431" s="622"/>
      <c r="S431" s="622"/>
      <c r="T431" s="623"/>
      <c r="U431" s="37" t="s">
        <v>45</v>
      </c>
      <c r="V431" s="37" t="s">
        <v>45</v>
      </c>
      <c r="W431" s="38" t="s">
        <v>0</v>
      </c>
      <c r="X431" s="56">
        <v>84.48</v>
      </c>
      <c r="Y431" s="53">
        <f t="shared" si="48"/>
        <v>84.48</v>
      </c>
      <c r="Z431" s="39">
        <f t="shared" si="49"/>
        <v>0.19136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90.08</v>
      </c>
      <c r="BN431" s="75">
        <f t="shared" si="51"/>
        <v>90.08</v>
      </c>
      <c r="BO431" s="75">
        <f t="shared" si="52"/>
        <v>0.15384615384615385</v>
      </c>
      <c r="BP431" s="75">
        <f t="shared" si="53"/>
        <v>0.15384615384615385</v>
      </c>
    </row>
    <row r="432" spans="1:68" ht="16.5" customHeight="1" x14ac:dyDescent="0.25">
      <c r="A432" s="60" t="s">
        <v>679</v>
      </c>
      <c r="B432" s="60" t="s">
        <v>680</v>
      </c>
      <c r="C432" s="34">
        <v>4301011774</v>
      </c>
      <c r="D432" s="620">
        <v>4680115884502</v>
      </c>
      <c r="E432" s="620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83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2"/>
      <c r="R432" s="622"/>
      <c r="S432" s="622"/>
      <c r="T432" s="623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620">
        <v>4607091389104</v>
      </c>
      <c r="E433" s="620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8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2"/>
      <c r="R433" s="622"/>
      <c r="S433" s="622"/>
      <c r="T433" s="623"/>
      <c r="U433" s="37" t="s">
        <v>45</v>
      </c>
      <c r="V433" s="37" t="s">
        <v>45</v>
      </c>
      <c r="W433" s="38" t="s">
        <v>0</v>
      </c>
      <c r="X433" s="56">
        <v>126.72</v>
      </c>
      <c r="Y433" s="53">
        <f t="shared" si="48"/>
        <v>126.72</v>
      </c>
      <c r="Z433" s="39">
        <f t="shared" si="49"/>
        <v>0.28704000000000002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135.11999999999998</v>
      </c>
      <c r="BN433" s="75">
        <f t="shared" si="51"/>
        <v>135.11999999999998</v>
      </c>
      <c r="BO433" s="75">
        <f t="shared" si="52"/>
        <v>0.23076923076923078</v>
      </c>
      <c r="BP433" s="75">
        <f t="shared" si="53"/>
        <v>0.23076923076923078</v>
      </c>
    </row>
    <row r="434" spans="1:68" ht="27" customHeight="1" x14ac:dyDescent="0.25">
      <c r="A434" s="60" t="s">
        <v>685</v>
      </c>
      <c r="B434" s="60" t="s">
        <v>686</v>
      </c>
      <c r="C434" s="34">
        <v>4301012125</v>
      </c>
      <c r="D434" s="620">
        <v>4680115886391</v>
      </c>
      <c r="E434" s="620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8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2"/>
      <c r="R434" s="622"/>
      <c r="S434" s="622"/>
      <c r="T434" s="623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customHeight="1" x14ac:dyDescent="0.25">
      <c r="A435" s="60" t="s">
        <v>687</v>
      </c>
      <c r="B435" s="60" t="s">
        <v>688</v>
      </c>
      <c r="C435" s="34">
        <v>4301012035</v>
      </c>
      <c r="D435" s="620">
        <v>4680115880603</v>
      </c>
      <c r="E435" s="620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8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2"/>
      <c r="R435" s="622"/>
      <c r="S435" s="622"/>
      <c r="T435" s="623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customHeight="1" x14ac:dyDescent="0.25">
      <c r="A436" s="60" t="s">
        <v>689</v>
      </c>
      <c r="B436" s="60" t="s">
        <v>690</v>
      </c>
      <c r="C436" s="34">
        <v>4301012036</v>
      </c>
      <c r="D436" s="620">
        <v>4680115882782</v>
      </c>
      <c r="E436" s="620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83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2"/>
      <c r="R436" s="622"/>
      <c r="S436" s="622"/>
      <c r="T436" s="623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4301012050</v>
      </c>
      <c r="D437" s="620">
        <v>4680115885479</v>
      </c>
      <c r="E437" s="620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84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2"/>
      <c r="R437" s="622"/>
      <c r="S437" s="622"/>
      <c r="T437" s="623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customHeight="1" x14ac:dyDescent="0.25">
      <c r="A438" s="60" t="s">
        <v>693</v>
      </c>
      <c r="B438" s="60" t="s">
        <v>694</v>
      </c>
      <c r="C438" s="34">
        <v>4301012034</v>
      </c>
      <c r="D438" s="620">
        <v>4607091389982</v>
      </c>
      <c r="E438" s="620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8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2"/>
      <c r="R438" s="622"/>
      <c r="S438" s="622"/>
      <c r="T438" s="623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40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40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0.47840000000000005</v>
      </c>
      <c r="AA439" s="64"/>
      <c r="AB439" s="64"/>
      <c r="AC439" s="64"/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0</v>
      </c>
      <c r="X440" s="41">
        <f>IFERROR(SUM(X427:X438),"0")</f>
        <v>211.2</v>
      </c>
      <c r="Y440" s="41">
        <f>IFERROR(SUM(Y427:Y438),"0")</f>
        <v>211.2</v>
      </c>
      <c r="Z440" s="40"/>
      <c r="AA440" s="64"/>
      <c r="AB440" s="64"/>
      <c r="AC440" s="64"/>
    </row>
    <row r="441" spans="1:68" ht="14.25" customHeight="1" x14ac:dyDescent="0.25">
      <c r="A441" s="619" t="s">
        <v>147</v>
      </c>
      <c r="B441" s="619"/>
      <c r="C441" s="619"/>
      <c r="D441" s="619"/>
      <c r="E441" s="619"/>
      <c r="F441" s="619"/>
      <c r="G441" s="619"/>
      <c r="H441" s="619"/>
      <c r="I441" s="619"/>
      <c r="J441" s="619"/>
      <c r="K441" s="619"/>
      <c r="L441" s="619"/>
      <c r="M441" s="619"/>
      <c r="N441" s="619"/>
      <c r="O441" s="619"/>
      <c r="P441" s="619"/>
      <c r="Q441" s="619"/>
      <c r="R441" s="619"/>
      <c r="S441" s="619"/>
      <c r="T441" s="619"/>
      <c r="U441" s="619"/>
      <c r="V441" s="619"/>
      <c r="W441" s="619"/>
      <c r="X441" s="619"/>
      <c r="Y441" s="619"/>
      <c r="Z441" s="619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620">
        <v>4607091388930</v>
      </c>
      <c r="E442" s="620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2"/>
      <c r="R442" s="622"/>
      <c r="S442" s="622"/>
      <c r="T442" s="623"/>
      <c r="U442" s="37" t="s">
        <v>45</v>
      </c>
      <c r="V442" s="37" t="s">
        <v>45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16.5" customHeight="1" x14ac:dyDescent="0.25">
      <c r="A443" s="60" t="s">
        <v>698</v>
      </c>
      <c r="B443" s="60" t="s">
        <v>699</v>
      </c>
      <c r="C443" s="34">
        <v>4301020374</v>
      </c>
      <c r="D443" s="620">
        <v>4680115886407</v>
      </c>
      <c r="E443" s="620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8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2"/>
      <c r="R443" s="622"/>
      <c r="S443" s="622"/>
      <c r="T443" s="623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customHeight="1" x14ac:dyDescent="0.25">
      <c r="A444" s="60" t="s">
        <v>700</v>
      </c>
      <c r="B444" s="60" t="s">
        <v>701</v>
      </c>
      <c r="C444" s="34">
        <v>4301020385</v>
      </c>
      <c r="D444" s="620">
        <v>4680115880054</v>
      </c>
      <c r="E444" s="620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8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2"/>
      <c r="R444" s="622"/>
      <c r="S444" s="622"/>
      <c r="T444" s="623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customHeight="1" x14ac:dyDescent="0.25">
      <c r="A447" s="619" t="s">
        <v>76</v>
      </c>
      <c r="B447" s="619"/>
      <c r="C447" s="619"/>
      <c r="D447" s="619"/>
      <c r="E447" s="619"/>
      <c r="F447" s="619"/>
      <c r="G447" s="619"/>
      <c r="H447" s="619"/>
      <c r="I447" s="619"/>
      <c r="J447" s="619"/>
      <c r="K447" s="619"/>
      <c r="L447" s="619"/>
      <c r="M447" s="619"/>
      <c r="N447" s="619"/>
      <c r="O447" s="619"/>
      <c r="P447" s="619"/>
      <c r="Q447" s="619"/>
      <c r="R447" s="619"/>
      <c r="S447" s="619"/>
      <c r="T447" s="619"/>
      <c r="U447" s="619"/>
      <c r="V447" s="619"/>
      <c r="W447" s="619"/>
      <c r="X447" s="619"/>
      <c r="Y447" s="619"/>
      <c r="Z447" s="619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620">
        <v>4680115883116</v>
      </c>
      <c r="E448" s="620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8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2"/>
      <c r="R448" s="622"/>
      <c r="S448" s="622"/>
      <c r="T448" s="623"/>
      <c r="U448" s="37" t="s">
        <v>45</v>
      </c>
      <c r="V448" s="37" t="s">
        <v>45</v>
      </c>
      <c r="W448" s="38" t="s">
        <v>0</v>
      </c>
      <c r="X448" s="56">
        <v>84.48</v>
      </c>
      <c r="Y448" s="53">
        <f t="shared" ref="Y448:Y454" si="54">IFERROR(IF(X448="",0,CEILING((X448/$H448),1)*$H448),"")</f>
        <v>84.48</v>
      </c>
      <c r="Z448" s="39">
        <f>IFERROR(IF(Y448=0,"",ROUNDUP(Y448/H448,0)*0.01196),"")</f>
        <v>0.19136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90.08</v>
      </c>
      <c r="BN448" s="75">
        <f t="shared" ref="BN448:BN454" si="56">IFERROR(Y448*I448/H448,"0")</f>
        <v>90.08</v>
      </c>
      <c r="BO448" s="75">
        <f t="shared" ref="BO448:BO454" si="57">IFERROR(1/J448*(X448/H448),"0")</f>
        <v>0.15384615384615385</v>
      </c>
      <c r="BP448" s="75">
        <f t="shared" ref="BP448:BP454" si="58">IFERROR(1/J448*(Y448/H448),"0")</f>
        <v>0.15384615384615385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620">
        <v>4680115883093</v>
      </c>
      <c r="E449" s="620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8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2"/>
      <c r="R449" s="622"/>
      <c r="S449" s="622"/>
      <c r="T449" s="623"/>
      <c r="U449" s="37" t="s">
        <v>45</v>
      </c>
      <c r="V449" s="37" t="s">
        <v>45</v>
      </c>
      <c r="W449" s="38" t="s">
        <v>0</v>
      </c>
      <c r="X449" s="56">
        <v>84.48</v>
      </c>
      <c r="Y449" s="53">
        <f t="shared" si="54"/>
        <v>84.48</v>
      </c>
      <c r="Z449" s="39">
        <f>IFERROR(IF(Y449=0,"",ROUNDUP(Y449/H449,0)*0.01196),"")</f>
        <v>0.19136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90.08</v>
      </c>
      <c r="BN449" s="75">
        <f t="shared" si="56"/>
        <v>90.08</v>
      </c>
      <c r="BO449" s="75">
        <f t="shared" si="57"/>
        <v>0.15384615384615385</v>
      </c>
      <c r="BP449" s="75">
        <f t="shared" si="58"/>
        <v>0.15384615384615385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620">
        <v>4680115883109</v>
      </c>
      <c r="E450" s="620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8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2"/>
      <c r="R450" s="622"/>
      <c r="S450" s="622"/>
      <c r="T450" s="623"/>
      <c r="U450" s="37" t="s">
        <v>45</v>
      </c>
      <c r="V450" s="37" t="s">
        <v>45</v>
      </c>
      <c r="W450" s="38" t="s">
        <v>0</v>
      </c>
      <c r="X450" s="56">
        <v>0</v>
      </c>
      <c r="Y450" s="53">
        <f t="shared" si="54"/>
        <v>0</v>
      </c>
      <c r="Z450" s="39" t="str">
        <f>IFERROR(IF(Y450=0,"",ROUNDUP(Y450/H450,0)*0.01196),"")</f>
        <v/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0</v>
      </c>
      <c r="BN450" s="75">
        <f t="shared" si="56"/>
        <v>0</v>
      </c>
      <c r="BO450" s="75">
        <f t="shared" si="57"/>
        <v>0</v>
      </c>
      <c r="BP450" s="75">
        <f t="shared" si="58"/>
        <v>0</v>
      </c>
    </row>
    <row r="451" spans="1:68" ht="27" customHeight="1" x14ac:dyDescent="0.25">
      <c r="A451" s="60" t="s">
        <v>711</v>
      </c>
      <c r="B451" s="60" t="s">
        <v>712</v>
      </c>
      <c r="C451" s="34">
        <v>4301031419</v>
      </c>
      <c r="D451" s="620">
        <v>4680115882072</v>
      </c>
      <c r="E451" s="620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8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2"/>
      <c r="R451" s="622"/>
      <c r="S451" s="622"/>
      <c r="T451" s="623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customHeight="1" x14ac:dyDescent="0.25">
      <c r="A452" s="60" t="s">
        <v>713</v>
      </c>
      <c r="B452" s="60" t="s">
        <v>714</v>
      </c>
      <c r="C452" s="34">
        <v>4301031352</v>
      </c>
      <c r="D452" s="620">
        <v>4680115882102</v>
      </c>
      <c r="E452" s="620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849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2"/>
      <c r="R452" s="622"/>
      <c r="S452" s="622"/>
      <c r="T452" s="623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customHeight="1" x14ac:dyDescent="0.25">
      <c r="A453" s="60" t="s">
        <v>713</v>
      </c>
      <c r="B453" s="60" t="s">
        <v>715</v>
      </c>
      <c r="C453" s="34">
        <v>4301031418</v>
      </c>
      <c r="D453" s="620">
        <v>4680115882102</v>
      </c>
      <c r="E453" s="620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8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2"/>
      <c r="R453" s="622"/>
      <c r="S453" s="622"/>
      <c r="T453" s="623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customHeight="1" x14ac:dyDescent="0.25">
      <c r="A454" s="60" t="s">
        <v>716</v>
      </c>
      <c r="B454" s="60" t="s">
        <v>717</v>
      </c>
      <c r="C454" s="34">
        <v>4301031417</v>
      </c>
      <c r="D454" s="620">
        <v>4680115882096</v>
      </c>
      <c r="E454" s="620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8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2"/>
      <c r="R454" s="622"/>
      <c r="S454" s="622"/>
      <c r="T454" s="623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IFERROR(X448/H448,"0")+IFERROR(X449/H449,"0")+IFERROR(X450/H450,"0")+IFERROR(X451/H451,"0")+IFERROR(X452/H452,"0")+IFERROR(X453/H453,"0")+IFERROR(X454/H454,"0")</f>
        <v>32</v>
      </c>
      <c r="Y455" s="41">
        <f>IFERROR(Y448/H448,"0")+IFERROR(Y449/H449,"0")+IFERROR(Y450/H450,"0")+IFERROR(Y451/H451,"0")+IFERROR(Y452/H452,"0")+IFERROR(Y453/H453,"0")+IFERROR(Y454/H454,"0")</f>
        <v>32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0.38272</v>
      </c>
      <c r="AA455" s="64"/>
      <c r="AB455" s="64"/>
      <c r="AC455" s="64"/>
    </row>
    <row r="456" spans="1:68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IFERROR(SUM(X448:X454),"0")</f>
        <v>168.96</v>
      </c>
      <c r="Y456" s="41">
        <f>IFERROR(SUM(Y448:Y454),"0")</f>
        <v>168.96</v>
      </c>
      <c r="Z456" s="40"/>
      <c r="AA456" s="64"/>
      <c r="AB456" s="64"/>
      <c r="AC456" s="64"/>
    </row>
    <row r="457" spans="1:68" ht="27.75" customHeight="1" x14ac:dyDescent="0.2">
      <c r="A457" s="617" t="s">
        <v>718</v>
      </c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17"/>
      <c r="P457" s="617"/>
      <c r="Q457" s="617"/>
      <c r="R457" s="617"/>
      <c r="S457" s="617"/>
      <c r="T457" s="617"/>
      <c r="U457" s="617"/>
      <c r="V457" s="617"/>
      <c r="W457" s="617"/>
      <c r="X457" s="617"/>
      <c r="Y457" s="617"/>
      <c r="Z457" s="617"/>
      <c r="AA457" s="52"/>
      <c r="AB457" s="52"/>
      <c r="AC457" s="52"/>
    </row>
    <row r="458" spans="1:68" ht="16.5" customHeight="1" x14ac:dyDescent="0.25">
      <c r="A458" s="618" t="s">
        <v>718</v>
      </c>
      <c r="B458" s="618"/>
      <c r="C458" s="618"/>
      <c r="D458" s="618"/>
      <c r="E458" s="618"/>
      <c r="F458" s="618"/>
      <c r="G458" s="618"/>
      <c r="H458" s="618"/>
      <c r="I458" s="618"/>
      <c r="J458" s="618"/>
      <c r="K458" s="618"/>
      <c r="L458" s="618"/>
      <c r="M458" s="618"/>
      <c r="N458" s="618"/>
      <c r="O458" s="618"/>
      <c r="P458" s="618"/>
      <c r="Q458" s="618"/>
      <c r="R458" s="618"/>
      <c r="S458" s="618"/>
      <c r="T458" s="618"/>
      <c r="U458" s="618"/>
      <c r="V458" s="618"/>
      <c r="W458" s="618"/>
      <c r="X458" s="618"/>
      <c r="Y458" s="618"/>
      <c r="Z458" s="618"/>
      <c r="AA458" s="62"/>
      <c r="AB458" s="62"/>
      <c r="AC458" s="62"/>
    </row>
    <row r="459" spans="1:68" ht="14.25" customHeight="1" x14ac:dyDescent="0.25">
      <c r="A459" s="619" t="s">
        <v>114</v>
      </c>
      <c r="B459" s="619"/>
      <c r="C459" s="619"/>
      <c r="D459" s="619"/>
      <c r="E459" s="619"/>
      <c r="F459" s="619"/>
      <c r="G459" s="619"/>
      <c r="H459" s="619"/>
      <c r="I459" s="619"/>
      <c r="J459" s="619"/>
      <c r="K459" s="619"/>
      <c r="L459" s="619"/>
      <c r="M459" s="619"/>
      <c r="N459" s="619"/>
      <c r="O459" s="619"/>
      <c r="P459" s="619"/>
      <c r="Q459" s="619"/>
      <c r="R459" s="619"/>
      <c r="S459" s="619"/>
      <c r="T459" s="619"/>
      <c r="U459" s="619"/>
      <c r="V459" s="619"/>
      <c r="W459" s="619"/>
      <c r="X459" s="619"/>
      <c r="Y459" s="619"/>
      <c r="Z459" s="619"/>
      <c r="AA459" s="63"/>
      <c r="AB459" s="63"/>
      <c r="AC459" s="63"/>
    </row>
    <row r="460" spans="1:68" ht="27" customHeight="1" x14ac:dyDescent="0.25">
      <c r="A460" s="60" t="s">
        <v>719</v>
      </c>
      <c r="B460" s="60" t="s">
        <v>720</v>
      </c>
      <c r="C460" s="34">
        <v>4301011763</v>
      </c>
      <c r="D460" s="620">
        <v>4640242181011</v>
      </c>
      <c r="E460" s="620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8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2"/>
      <c r="R460" s="622"/>
      <c r="S460" s="622"/>
      <c r="T460" s="623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722</v>
      </c>
      <c r="B461" s="60" t="s">
        <v>723</v>
      </c>
      <c r="C461" s="34">
        <v>4301011585</v>
      </c>
      <c r="D461" s="620">
        <v>4640242180441</v>
      </c>
      <c r="E461" s="620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85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2"/>
      <c r="R461" s="622"/>
      <c r="S461" s="622"/>
      <c r="T461" s="623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725</v>
      </c>
      <c r="B462" s="60" t="s">
        <v>726</v>
      </c>
      <c r="C462" s="34">
        <v>4301011584</v>
      </c>
      <c r="D462" s="620">
        <v>4640242180564</v>
      </c>
      <c r="E462" s="620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85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2"/>
      <c r="R462" s="622"/>
      <c r="S462" s="622"/>
      <c r="T462" s="623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728</v>
      </c>
      <c r="B463" s="60" t="s">
        <v>729</v>
      </c>
      <c r="C463" s="34">
        <v>4301011764</v>
      </c>
      <c r="D463" s="620">
        <v>4640242181189</v>
      </c>
      <c r="E463" s="620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85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2"/>
      <c r="R463" s="622"/>
      <c r="S463" s="622"/>
      <c r="T463" s="623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628"/>
      <c r="B464" s="628"/>
      <c r="C464" s="628"/>
      <c r="D464" s="628"/>
      <c r="E464" s="628"/>
      <c r="F464" s="628"/>
      <c r="G464" s="628"/>
      <c r="H464" s="628"/>
      <c r="I464" s="628"/>
      <c r="J464" s="628"/>
      <c r="K464" s="628"/>
      <c r="L464" s="628"/>
      <c r="M464" s="628"/>
      <c r="N464" s="628"/>
      <c r="O464" s="629"/>
      <c r="P464" s="625" t="s">
        <v>40</v>
      </c>
      <c r="Q464" s="626"/>
      <c r="R464" s="626"/>
      <c r="S464" s="626"/>
      <c r="T464" s="626"/>
      <c r="U464" s="626"/>
      <c r="V464" s="627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x14ac:dyDescent="0.2">
      <c r="A465" s="628"/>
      <c r="B465" s="628"/>
      <c r="C465" s="628"/>
      <c r="D465" s="628"/>
      <c r="E465" s="628"/>
      <c r="F465" s="628"/>
      <c r="G465" s="628"/>
      <c r="H465" s="628"/>
      <c r="I465" s="628"/>
      <c r="J465" s="628"/>
      <c r="K465" s="628"/>
      <c r="L465" s="628"/>
      <c r="M465" s="628"/>
      <c r="N465" s="628"/>
      <c r="O465" s="629"/>
      <c r="P465" s="625" t="s">
        <v>40</v>
      </c>
      <c r="Q465" s="626"/>
      <c r="R465" s="626"/>
      <c r="S465" s="626"/>
      <c r="T465" s="626"/>
      <c r="U465" s="626"/>
      <c r="V465" s="627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customHeight="1" x14ac:dyDescent="0.25">
      <c r="A466" s="619" t="s">
        <v>147</v>
      </c>
      <c r="B466" s="619"/>
      <c r="C466" s="619"/>
      <c r="D466" s="619"/>
      <c r="E466" s="619"/>
      <c r="F466" s="619"/>
      <c r="G466" s="619"/>
      <c r="H466" s="619"/>
      <c r="I466" s="619"/>
      <c r="J466" s="619"/>
      <c r="K466" s="619"/>
      <c r="L466" s="619"/>
      <c r="M466" s="619"/>
      <c r="N466" s="619"/>
      <c r="O466" s="619"/>
      <c r="P466" s="619"/>
      <c r="Q466" s="619"/>
      <c r="R466" s="619"/>
      <c r="S466" s="619"/>
      <c r="T466" s="619"/>
      <c r="U466" s="619"/>
      <c r="V466" s="619"/>
      <c r="W466" s="619"/>
      <c r="X466" s="619"/>
      <c r="Y466" s="619"/>
      <c r="Z466" s="619"/>
      <c r="AA466" s="63"/>
      <c r="AB466" s="63"/>
      <c r="AC466" s="63"/>
    </row>
    <row r="467" spans="1:68" ht="27" customHeight="1" x14ac:dyDescent="0.25">
      <c r="A467" s="60" t="s">
        <v>730</v>
      </c>
      <c r="B467" s="60" t="s">
        <v>731</v>
      </c>
      <c r="C467" s="34">
        <v>4301020400</v>
      </c>
      <c r="D467" s="620">
        <v>4640242180519</v>
      </c>
      <c r="E467" s="620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85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2"/>
      <c r="R467" s="622"/>
      <c r="S467" s="622"/>
      <c r="T467" s="623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customHeight="1" x14ac:dyDescent="0.25">
      <c r="A470" s="619" t="s">
        <v>76</v>
      </c>
      <c r="B470" s="619"/>
      <c r="C470" s="619"/>
      <c r="D470" s="619"/>
      <c r="E470" s="619"/>
      <c r="F470" s="619"/>
      <c r="G470" s="619"/>
      <c r="H470" s="619"/>
      <c r="I470" s="619"/>
      <c r="J470" s="619"/>
      <c r="K470" s="619"/>
      <c r="L470" s="619"/>
      <c r="M470" s="619"/>
      <c r="N470" s="619"/>
      <c r="O470" s="619"/>
      <c r="P470" s="619"/>
      <c r="Q470" s="619"/>
      <c r="R470" s="619"/>
      <c r="S470" s="619"/>
      <c r="T470" s="619"/>
      <c r="U470" s="619"/>
      <c r="V470" s="619"/>
      <c r="W470" s="619"/>
      <c r="X470" s="619"/>
      <c r="Y470" s="619"/>
      <c r="Z470" s="619"/>
      <c r="AA470" s="63"/>
      <c r="AB470" s="63"/>
      <c r="AC470" s="63"/>
    </row>
    <row r="471" spans="1:68" ht="27" customHeight="1" x14ac:dyDescent="0.25">
      <c r="A471" s="60" t="s">
        <v>733</v>
      </c>
      <c r="B471" s="60" t="s">
        <v>734</v>
      </c>
      <c r="C471" s="34">
        <v>4301031467</v>
      </c>
      <c r="D471" s="620">
        <v>4640242180595</v>
      </c>
      <c r="E471" s="620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85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2"/>
      <c r="R471" s="622"/>
      <c r="S471" s="622"/>
      <c r="T471" s="623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619" t="s">
        <v>86</v>
      </c>
      <c r="B474" s="619"/>
      <c r="C474" s="619"/>
      <c r="D474" s="619"/>
      <c r="E474" s="619"/>
      <c r="F474" s="619"/>
      <c r="G474" s="619"/>
      <c r="H474" s="619"/>
      <c r="I474" s="619"/>
      <c r="J474" s="619"/>
      <c r="K474" s="619"/>
      <c r="L474" s="619"/>
      <c r="M474" s="619"/>
      <c r="N474" s="619"/>
      <c r="O474" s="619"/>
      <c r="P474" s="619"/>
      <c r="Q474" s="619"/>
      <c r="R474" s="619"/>
      <c r="S474" s="619"/>
      <c r="T474" s="619"/>
      <c r="U474" s="619"/>
      <c r="V474" s="619"/>
      <c r="W474" s="619"/>
      <c r="X474" s="619"/>
      <c r="Y474" s="619"/>
      <c r="Z474" s="619"/>
      <c r="AA474" s="63"/>
      <c r="AB474" s="63"/>
      <c r="AC474" s="63"/>
    </row>
    <row r="475" spans="1:68" ht="27" customHeight="1" x14ac:dyDescent="0.25">
      <c r="A475" s="60" t="s">
        <v>736</v>
      </c>
      <c r="B475" s="60" t="s">
        <v>737</v>
      </c>
      <c r="C475" s="34">
        <v>4301052046</v>
      </c>
      <c r="D475" s="620">
        <v>4640242180533</v>
      </c>
      <c r="E475" s="620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8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2"/>
      <c r="R475" s="622"/>
      <c r="S475" s="622"/>
      <c r="T475" s="623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customHeight="1" x14ac:dyDescent="0.25">
      <c r="A478" s="619" t="s">
        <v>173</v>
      </c>
      <c r="B478" s="619"/>
      <c r="C478" s="619"/>
      <c r="D478" s="619"/>
      <c r="E478" s="619"/>
      <c r="F478" s="619"/>
      <c r="G478" s="619"/>
      <c r="H478" s="619"/>
      <c r="I478" s="619"/>
      <c r="J478" s="619"/>
      <c r="K478" s="619"/>
      <c r="L478" s="619"/>
      <c r="M478" s="619"/>
      <c r="N478" s="619"/>
      <c r="O478" s="619"/>
      <c r="P478" s="619"/>
      <c r="Q478" s="619"/>
      <c r="R478" s="619"/>
      <c r="S478" s="619"/>
      <c r="T478" s="619"/>
      <c r="U478" s="619"/>
      <c r="V478" s="619"/>
      <c r="W478" s="619"/>
      <c r="X478" s="619"/>
      <c r="Y478" s="619"/>
      <c r="Z478" s="619"/>
      <c r="AA478" s="63"/>
      <c r="AB478" s="63"/>
      <c r="AC478" s="63"/>
    </row>
    <row r="479" spans="1:68" ht="27" customHeight="1" x14ac:dyDescent="0.25">
      <c r="A479" s="60" t="s">
        <v>739</v>
      </c>
      <c r="B479" s="60" t="s">
        <v>740</v>
      </c>
      <c r="C479" s="34">
        <v>4301060491</v>
      </c>
      <c r="D479" s="620">
        <v>4640242180120</v>
      </c>
      <c r="E479" s="620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8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2"/>
      <c r="R479" s="622"/>
      <c r="S479" s="622"/>
      <c r="T479" s="623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742</v>
      </c>
      <c r="B480" s="60" t="s">
        <v>743</v>
      </c>
      <c r="C480" s="34">
        <v>4301060493</v>
      </c>
      <c r="D480" s="620">
        <v>4640242180137</v>
      </c>
      <c r="E480" s="620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86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2"/>
      <c r="R480" s="622"/>
      <c r="S480" s="622"/>
      <c r="T480" s="623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618" t="s">
        <v>745</v>
      </c>
      <c r="B483" s="618"/>
      <c r="C483" s="618"/>
      <c r="D483" s="618"/>
      <c r="E483" s="618"/>
      <c r="F483" s="618"/>
      <c r="G483" s="618"/>
      <c r="H483" s="618"/>
      <c r="I483" s="618"/>
      <c r="J483" s="618"/>
      <c r="K483" s="618"/>
      <c r="L483" s="618"/>
      <c r="M483" s="618"/>
      <c r="N483" s="618"/>
      <c r="O483" s="618"/>
      <c r="P483" s="618"/>
      <c r="Q483" s="618"/>
      <c r="R483" s="618"/>
      <c r="S483" s="618"/>
      <c r="T483" s="618"/>
      <c r="U483" s="618"/>
      <c r="V483" s="618"/>
      <c r="W483" s="618"/>
      <c r="X483" s="618"/>
      <c r="Y483" s="618"/>
      <c r="Z483" s="618"/>
      <c r="AA483" s="62"/>
      <c r="AB483" s="62"/>
      <c r="AC483" s="62"/>
    </row>
    <row r="484" spans="1:68" ht="14.25" customHeight="1" x14ac:dyDescent="0.25">
      <c r="A484" s="619" t="s">
        <v>147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3"/>
      <c r="AB484" s="63"/>
      <c r="AC484" s="63"/>
    </row>
    <row r="485" spans="1:68" ht="27" customHeight="1" x14ac:dyDescent="0.25">
      <c r="A485" s="60" t="s">
        <v>746</v>
      </c>
      <c r="B485" s="60" t="s">
        <v>747</v>
      </c>
      <c r="C485" s="34">
        <v>4301020314</v>
      </c>
      <c r="D485" s="620">
        <v>4640242180090</v>
      </c>
      <c r="E485" s="620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8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2"/>
      <c r="R485" s="622"/>
      <c r="S485" s="622"/>
      <c r="T485" s="623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628"/>
      <c r="B486" s="628"/>
      <c r="C486" s="628"/>
      <c r="D486" s="628"/>
      <c r="E486" s="628"/>
      <c r="F486" s="628"/>
      <c r="G486" s="628"/>
      <c r="H486" s="628"/>
      <c r="I486" s="628"/>
      <c r="J486" s="628"/>
      <c r="K486" s="628"/>
      <c r="L486" s="628"/>
      <c r="M486" s="628"/>
      <c r="N486" s="628"/>
      <c r="O486" s="629"/>
      <c r="P486" s="625" t="s">
        <v>40</v>
      </c>
      <c r="Q486" s="626"/>
      <c r="R486" s="626"/>
      <c r="S486" s="626"/>
      <c r="T486" s="626"/>
      <c r="U486" s="626"/>
      <c r="V486" s="627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865"/>
      <c r="P488" s="862" t="s">
        <v>33</v>
      </c>
      <c r="Q488" s="863"/>
      <c r="R488" s="863"/>
      <c r="S488" s="863"/>
      <c r="T488" s="863"/>
      <c r="U488" s="863"/>
      <c r="V488" s="864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7957.9600000000009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7957.9600000000009</v>
      </c>
      <c r="Z488" s="40"/>
      <c r="AA488" s="64"/>
      <c r="AB488" s="64"/>
      <c r="AC488" s="64"/>
    </row>
    <row r="489" spans="1:68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5"/>
      <c r="P489" s="862" t="s">
        <v>34</v>
      </c>
      <c r="Q489" s="863"/>
      <c r="R489" s="863"/>
      <c r="S489" s="863"/>
      <c r="T489" s="863"/>
      <c r="U489" s="863"/>
      <c r="V489" s="864"/>
      <c r="W489" s="40" t="s">
        <v>0</v>
      </c>
      <c r="X489" s="41">
        <f>IFERROR(SUM(BM22:BM485),"0")</f>
        <v>8351.1640000000007</v>
      </c>
      <c r="Y489" s="41">
        <f>IFERROR(SUM(BN22:BN485),"0")</f>
        <v>8351.1640000000007</v>
      </c>
      <c r="Z489" s="40"/>
      <c r="AA489" s="64"/>
      <c r="AB489" s="64"/>
      <c r="AC489" s="64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5"/>
      <c r="P490" s="862" t="s">
        <v>35</v>
      </c>
      <c r="Q490" s="863"/>
      <c r="R490" s="863"/>
      <c r="S490" s="863"/>
      <c r="T490" s="863"/>
      <c r="U490" s="863"/>
      <c r="V490" s="864"/>
      <c r="W490" s="40" t="s">
        <v>20</v>
      </c>
      <c r="X490" s="42">
        <f>ROUNDUP(SUM(BO22:BO485),0)</f>
        <v>14</v>
      </c>
      <c r="Y490" s="42">
        <f>ROUNDUP(SUM(BP22:BP485),0)</f>
        <v>14</v>
      </c>
      <c r="Z490" s="40"/>
      <c r="AA490" s="64"/>
      <c r="AB490" s="64"/>
      <c r="AC490" s="64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5"/>
      <c r="P491" s="862" t="s">
        <v>36</v>
      </c>
      <c r="Q491" s="863"/>
      <c r="R491" s="863"/>
      <c r="S491" s="863"/>
      <c r="T491" s="863"/>
      <c r="U491" s="863"/>
      <c r="V491" s="864"/>
      <c r="W491" s="40" t="s">
        <v>0</v>
      </c>
      <c r="X491" s="41">
        <f>GrossWeightTotal+PalletQtyTotal*25</f>
        <v>8701.1640000000007</v>
      </c>
      <c r="Y491" s="41">
        <f>GrossWeightTotalR+PalletQtyTotalR*25</f>
        <v>8701.1640000000007</v>
      </c>
      <c r="Z491" s="40"/>
      <c r="AA491" s="64"/>
      <c r="AB491" s="64"/>
      <c r="AC491" s="64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5"/>
      <c r="P492" s="862" t="s">
        <v>37</v>
      </c>
      <c r="Q492" s="863"/>
      <c r="R492" s="863"/>
      <c r="S492" s="863"/>
      <c r="T492" s="863"/>
      <c r="U492" s="863"/>
      <c r="V492" s="864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1104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1104</v>
      </c>
      <c r="Z492" s="40"/>
      <c r="AA492" s="64"/>
      <c r="AB492" s="64"/>
      <c r="AC492" s="64"/>
    </row>
    <row r="493" spans="1:68" ht="14.25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5"/>
      <c r="P493" s="862" t="s">
        <v>38</v>
      </c>
      <c r="Q493" s="863"/>
      <c r="R493" s="863"/>
      <c r="S493" s="863"/>
      <c r="T493" s="863"/>
      <c r="U493" s="863"/>
      <c r="V493" s="864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15.5785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868" t="s">
        <v>112</v>
      </c>
      <c r="D495" s="868" t="s">
        <v>112</v>
      </c>
      <c r="E495" s="868" t="s">
        <v>112</v>
      </c>
      <c r="F495" s="868" t="s">
        <v>112</v>
      </c>
      <c r="G495" s="868" t="s">
        <v>112</v>
      </c>
      <c r="H495" s="868" t="s">
        <v>112</v>
      </c>
      <c r="I495" s="868" t="s">
        <v>275</v>
      </c>
      <c r="J495" s="868" t="s">
        <v>275</v>
      </c>
      <c r="K495" s="868" t="s">
        <v>275</v>
      </c>
      <c r="L495" s="868" t="s">
        <v>275</v>
      </c>
      <c r="M495" s="868" t="s">
        <v>275</v>
      </c>
      <c r="N495" s="869"/>
      <c r="O495" s="868" t="s">
        <v>275</v>
      </c>
      <c r="P495" s="868" t="s">
        <v>275</v>
      </c>
      <c r="Q495" s="868" t="s">
        <v>275</v>
      </c>
      <c r="R495" s="868" t="s">
        <v>275</v>
      </c>
      <c r="S495" s="868" t="s">
        <v>565</v>
      </c>
      <c r="T495" s="868" t="s">
        <v>565</v>
      </c>
      <c r="U495" s="868" t="s">
        <v>618</v>
      </c>
      <c r="V495" s="868" t="s">
        <v>618</v>
      </c>
      <c r="W495" s="868" t="s">
        <v>618</v>
      </c>
      <c r="X495" s="80" t="s">
        <v>666</v>
      </c>
      <c r="Y495" s="868" t="s">
        <v>718</v>
      </c>
      <c r="Z495" s="868" t="s">
        <v>718</v>
      </c>
      <c r="AB495" s="9"/>
      <c r="AC495" s="9"/>
      <c r="AF495" s="1"/>
    </row>
    <row r="496" spans="1:68" ht="14.25" customHeight="1" thickTop="1" x14ac:dyDescent="0.2">
      <c r="A496" s="866" t="s">
        <v>10</v>
      </c>
      <c r="B496" s="868" t="s">
        <v>75</v>
      </c>
      <c r="C496" s="868" t="s">
        <v>113</v>
      </c>
      <c r="D496" s="868" t="s">
        <v>128</v>
      </c>
      <c r="E496" s="868" t="s">
        <v>180</v>
      </c>
      <c r="F496" s="868" t="s">
        <v>201</v>
      </c>
      <c r="G496" s="868" t="s">
        <v>238</v>
      </c>
      <c r="H496" s="868" t="s">
        <v>112</v>
      </c>
      <c r="I496" s="868" t="s">
        <v>276</v>
      </c>
      <c r="J496" s="868" t="s">
        <v>334</v>
      </c>
      <c r="K496" s="868" t="s">
        <v>393</v>
      </c>
      <c r="L496" s="868" t="s">
        <v>432</v>
      </c>
      <c r="M496" s="868" t="s">
        <v>448</v>
      </c>
      <c r="N496" s="1"/>
      <c r="O496" s="868" t="s">
        <v>459</v>
      </c>
      <c r="P496" s="868" t="s">
        <v>468</v>
      </c>
      <c r="Q496" s="868" t="s">
        <v>481</v>
      </c>
      <c r="R496" s="868" t="s">
        <v>555</v>
      </c>
      <c r="S496" s="868" t="s">
        <v>566</v>
      </c>
      <c r="T496" s="868" t="s">
        <v>602</v>
      </c>
      <c r="U496" s="868" t="s">
        <v>619</v>
      </c>
      <c r="V496" s="868" t="s">
        <v>650</v>
      </c>
      <c r="W496" s="868" t="s">
        <v>662</v>
      </c>
      <c r="X496" s="868" t="s">
        <v>666</v>
      </c>
      <c r="Y496" s="868" t="s">
        <v>718</v>
      </c>
      <c r="Z496" s="868" t="s">
        <v>745</v>
      </c>
      <c r="AB496" s="9"/>
      <c r="AC496" s="9"/>
      <c r="AF496" s="1"/>
    </row>
    <row r="497" spans="1:32" ht="13.5" thickBot="1" x14ac:dyDescent="0.25">
      <c r="A497" s="867"/>
      <c r="B497" s="868"/>
      <c r="C497" s="868"/>
      <c r="D497" s="868"/>
      <c r="E497" s="868"/>
      <c r="F497" s="868"/>
      <c r="G497" s="868"/>
      <c r="H497" s="868"/>
      <c r="I497" s="868"/>
      <c r="J497" s="868"/>
      <c r="K497" s="868"/>
      <c r="L497" s="868"/>
      <c r="M497" s="868"/>
      <c r="N497" s="1"/>
      <c r="O497" s="868"/>
      <c r="P497" s="868"/>
      <c r="Q497" s="868"/>
      <c r="R497" s="868"/>
      <c r="S497" s="868"/>
      <c r="T497" s="868"/>
      <c r="U497" s="868"/>
      <c r="V497" s="868"/>
      <c r="W497" s="868"/>
      <c r="X497" s="868"/>
      <c r="Y497" s="868"/>
      <c r="Z497" s="868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864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760.00000000000011</v>
      </c>
      <c r="E498" s="50">
        <f>IFERROR(Y86*1,"0")+IFERROR(Y87*1,"0")+IFERROR(Y88*1,"0")+IFERROR(Y89*1,"0")+IFERROR(Y93*1,"0")+IFERROR(Y94*1,"0")+IFERROR(Y95*1,"0")+IFERROR(Y96*1,"0")</f>
        <v>540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1112.4000000000001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189.00000000000003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1440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144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772.80000000000007</v>
      </c>
      <c r="R498" s="50">
        <f>IFERROR(Y342*1,"0")+IFERROR(Y343*1,"0")+IFERROR(Y344*1,"0")</f>
        <v>64.8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1302</v>
      </c>
      <c r="T498" s="50">
        <f>IFERROR(Y375*1,"0")+IFERROR(Y376*1,"0")+IFERROR(Y380*1,"0")+IFERROR(Y384*1,"0")+IFERROR(Y385*1,"0")+IFERROR(Y386*1,"0")</f>
        <v>388.8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380.16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988</vt:i4>
      </vt:variant>
    </vt:vector>
  </HeadingPairs>
  <TitlesOfParts>
    <vt:vector size="99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2026-06-24T07:00:43Z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