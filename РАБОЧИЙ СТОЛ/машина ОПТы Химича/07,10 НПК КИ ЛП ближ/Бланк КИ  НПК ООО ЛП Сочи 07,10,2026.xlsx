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07,10 НПК КИ ЛП ближ\"/>
    </mc:Choice>
  </mc:AlternateContent>
  <xr:revisionPtr revIDLastSave="0" documentId="13_ncr:1_{3411AD52-1F20-4A00-8AAC-ED6D8CF2FD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P536" i="2"/>
  <c r="BO536" i="2"/>
  <c r="BN536" i="2"/>
  <c r="BM536" i="2"/>
  <c r="Z536" i="2"/>
  <c r="Z537" i="2" s="1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P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Y495" i="2"/>
  <c r="X495" i="2"/>
  <c r="BP494" i="2"/>
  <c r="BO494" i="2"/>
  <c r="BM494" i="2"/>
  <c r="Y494" i="2"/>
  <c r="P494" i="2"/>
  <c r="X491" i="2"/>
  <c r="X490" i="2"/>
  <c r="BO489" i="2"/>
  <c r="BM489" i="2"/>
  <c r="Y489" i="2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P479" i="2"/>
  <c r="X475" i="2"/>
  <c r="X474" i="2"/>
  <c r="BO473" i="2"/>
  <c r="BM473" i="2"/>
  <c r="Y473" i="2"/>
  <c r="Z473" i="2" s="1"/>
  <c r="P473" i="2"/>
  <c r="BO472" i="2"/>
  <c r="BM472" i="2"/>
  <c r="Y472" i="2"/>
  <c r="BP472" i="2" s="1"/>
  <c r="P472" i="2"/>
  <c r="BO471" i="2"/>
  <c r="BM471" i="2"/>
  <c r="Y471" i="2"/>
  <c r="BN471" i="2" s="1"/>
  <c r="P471" i="2"/>
  <c r="X469" i="2"/>
  <c r="X468" i="2"/>
  <c r="BO467" i="2"/>
  <c r="BM467" i="2"/>
  <c r="Y467" i="2"/>
  <c r="P467" i="2"/>
  <c r="X465" i="2"/>
  <c r="X464" i="2"/>
  <c r="BP463" i="2"/>
  <c r="BO463" i="2"/>
  <c r="BM463" i="2"/>
  <c r="Y463" i="2"/>
  <c r="P463" i="2"/>
  <c r="BO462" i="2"/>
  <c r="BM462" i="2"/>
  <c r="Y462" i="2"/>
  <c r="Z462" i="2" s="1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P446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P444" i="2"/>
  <c r="X442" i="2"/>
  <c r="X441" i="2"/>
  <c r="BO440" i="2"/>
  <c r="BM440" i="2"/>
  <c r="Z440" i="2"/>
  <c r="Y440" i="2"/>
  <c r="BN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P433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P419" i="2"/>
  <c r="BO419" i="2"/>
  <c r="BN419" i="2"/>
  <c r="BM419" i="2"/>
  <c r="Z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Y416" i="2" s="1"/>
  <c r="P412" i="2"/>
  <c r="X410" i="2"/>
  <c r="X409" i="2"/>
  <c r="BO408" i="2"/>
  <c r="BM408" i="2"/>
  <c r="Y408" i="2"/>
  <c r="Z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P386" i="2"/>
  <c r="BO386" i="2"/>
  <c r="BN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P376" i="2"/>
  <c r="BO376" i="2"/>
  <c r="BN376" i="2"/>
  <c r="BM376" i="2"/>
  <c r="Z376" i="2"/>
  <c r="Y376" i="2"/>
  <c r="P376" i="2"/>
  <c r="X374" i="2"/>
  <c r="X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P366" i="2"/>
  <c r="BO366" i="2"/>
  <c r="BN366" i="2"/>
  <c r="BM366" i="2"/>
  <c r="Z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P340" i="2"/>
  <c r="BP339" i="2"/>
  <c r="BO339" i="2"/>
  <c r="BM339" i="2"/>
  <c r="Y339" i="2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P330" i="2"/>
  <c r="BP329" i="2"/>
  <c r="BO329" i="2"/>
  <c r="BM329" i="2"/>
  <c r="Y329" i="2"/>
  <c r="BN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Y320" i="2"/>
  <c r="X320" i="2"/>
  <c r="Y319" i="2"/>
  <c r="X319" i="2"/>
  <c r="BO318" i="2"/>
  <c r="BM318" i="2"/>
  <c r="Z318" i="2"/>
  <c r="Z319" i="2" s="1"/>
  <c r="Y318" i="2"/>
  <c r="BP318" i="2" s="1"/>
  <c r="P318" i="2"/>
  <c r="X316" i="2"/>
  <c r="Y315" i="2"/>
  <c r="X315" i="2"/>
  <c r="BP314" i="2"/>
  <c r="BO314" i="2"/>
  <c r="BN314" i="2"/>
  <c r="BM314" i="2"/>
  <c r="Z314" i="2"/>
  <c r="Z315" i="2" s="1"/>
  <c r="Y314" i="2"/>
  <c r="Y316" i="2" s="1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N306" i="2" s="1"/>
  <c r="P306" i="2"/>
  <c r="BO305" i="2"/>
  <c r="BM305" i="2"/>
  <c r="Z305" i="2"/>
  <c r="Y305" i="2"/>
  <c r="BN305" i="2" s="1"/>
  <c r="P305" i="2"/>
  <c r="BO304" i="2"/>
  <c r="BM304" i="2"/>
  <c r="Y304" i="2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P276" i="2"/>
  <c r="BO276" i="2"/>
  <c r="BN276" i="2"/>
  <c r="BM276" i="2"/>
  <c r="Z276" i="2"/>
  <c r="Y276" i="2"/>
  <c r="P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P252" i="2"/>
  <c r="BO252" i="2"/>
  <c r="BM252" i="2"/>
  <c r="Y252" i="2"/>
  <c r="BN252" i="2" s="1"/>
  <c r="P252" i="2"/>
  <c r="BO251" i="2"/>
  <c r="BM251" i="2"/>
  <c r="Y251" i="2"/>
  <c r="Y254" i="2" s="1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Z244" i="2" s="1"/>
  <c r="P244" i="2"/>
  <c r="BP243" i="2"/>
  <c r="BO243" i="2"/>
  <c r="BN243" i="2"/>
  <c r="BM243" i="2"/>
  <c r="Z243" i="2"/>
  <c r="Y243" i="2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Z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P211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P200" i="2"/>
  <c r="BO200" i="2"/>
  <c r="BN200" i="2"/>
  <c r="BM200" i="2"/>
  <c r="Z200" i="2"/>
  <c r="Z201" i="2" s="1"/>
  <c r="Y200" i="2"/>
  <c r="Y201" i="2" s="1"/>
  <c r="P200" i="2"/>
  <c r="X198" i="2"/>
  <c r="X197" i="2"/>
  <c r="BO196" i="2"/>
  <c r="BM196" i="2"/>
  <c r="Y196" i="2"/>
  <c r="P196" i="2"/>
  <c r="X194" i="2"/>
  <c r="X193" i="2"/>
  <c r="BO192" i="2"/>
  <c r="BM192" i="2"/>
  <c r="Y192" i="2"/>
  <c r="BN192" i="2" s="1"/>
  <c r="P192" i="2"/>
  <c r="BO191" i="2"/>
  <c r="BM191" i="2"/>
  <c r="Y191" i="2"/>
  <c r="Z191" i="2" s="1"/>
  <c r="P191" i="2"/>
  <c r="BO190" i="2"/>
  <c r="BM190" i="2"/>
  <c r="Y190" i="2"/>
  <c r="Y194" i="2" s="1"/>
  <c r="P190" i="2"/>
  <c r="X188" i="2"/>
  <c r="X187" i="2"/>
  <c r="BO186" i="2"/>
  <c r="BM186" i="2"/>
  <c r="Y186" i="2"/>
  <c r="BN186" i="2" s="1"/>
  <c r="P186" i="2"/>
  <c r="BO185" i="2"/>
  <c r="BM185" i="2"/>
  <c r="Z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J571" i="2" s="1"/>
  <c r="P164" i="2"/>
  <c r="X161" i="2"/>
  <c r="X160" i="2"/>
  <c r="BO159" i="2"/>
  <c r="BM159" i="2"/>
  <c r="Y159" i="2"/>
  <c r="Z159" i="2" s="1"/>
  <c r="Z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I571" i="2" s="1"/>
  <c r="P150" i="2"/>
  <c r="X147" i="2"/>
  <c r="X146" i="2"/>
  <c r="BO145" i="2"/>
  <c r="BM145" i="2"/>
  <c r="Z145" i="2"/>
  <c r="Y145" i="2"/>
  <c r="BP145" i="2" s="1"/>
  <c r="P145" i="2"/>
  <c r="BO144" i="2"/>
  <c r="BN144" i="2"/>
  <c r="BM144" i="2"/>
  <c r="Z144" i="2"/>
  <c r="Z146" i="2" s="1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H571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Y127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P99" i="2"/>
  <c r="BO99" i="2"/>
  <c r="BM99" i="2"/>
  <c r="Y99" i="2"/>
  <c r="BN99" i="2" s="1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Y101" i="2" s="1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P90" i="2"/>
  <c r="BO90" i="2"/>
  <c r="BN90" i="2"/>
  <c r="BM90" i="2"/>
  <c r="Z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Z68" i="2"/>
  <c r="Y68" i="2"/>
  <c r="BP68" i="2" s="1"/>
  <c r="P68" i="2"/>
  <c r="BO67" i="2"/>
  <c r="BN67" i="2"/>
  <c r="BM67" i="2"/>
  <c r="Z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E571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Y52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P37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Y213" i="2" l="1"/>
  <c r="Y464" i="2"/>
  <c r="Y465" i="2"/>
  <c r="B571" i="2"/>
  <c r="Z29" i="2"/>
  <c r="BN29" i="2"/>
  <c r="Y43" i="2"/>
  <c r="Z41" i="2"/>
  <c r="BN41" i="2"/>
  <c r="BP60" i="2"/>
  <c r="Z71" i="2"/>
  <c r="Z96" i="2"/>
  <c r="Z100" i="2" s="1"/>
  <c r="Z109" i="2"/>
  <c r="Z118" i="2"/>
  <c r="BN118" i="2"/>
  <c r="Z164" i="2"/>
  <c r="BN164" i="2"/>
  <c r="BP181" i="2"/>
  <c r="Z192" i="2"/>
  <c r="Z206" i="2"/>
  <c r="Z210" i="2"/>
  <c r="Z240" i="2"/>
  <c r="BN240" i="2"/>
  <c r="Z251" i="2"/>
  <c r="Z274" i="2"/>
  <c r="Z284" i="2"/>
  <c r="BP306" i="2"/>
  <c r="Z328" i="2"/>
  <c r="Z338" i="2"/>
  <c r="BN338" i="2"/>
  <c r="Z346" i="2"/>
  <c r="Z353" i="2"/>
  <c r="Y355" i="2"/>
  <c r="BP372" i="2"/>
  <c r="BP382" i="2"/>
  <c r="BP399" i="2"/>
  <c r="Z438" i="2"/>
  <c r="BN438" i="2"/>
  <c r="BP445" i="2"/>
  <c r="Z452" i="2"/>
  <c r="BN452" i="2"/>
  <c r="BP473" i="2"/>
  <c r="Z524" i="2"/>
  <c r="BN524" i="2"/>
  <c r="Z548" i="2"/>
  <c r="Z549" i="2" s="1"/>
  <c r="BN548" i="2"/>
  <c r="BP548" i="2"/>
  <c r="BN22" i="2"/>
  <c r="BP22" i="2"/>
  <c r="BN23" i="2"/>
  <c r="BP23" i="2"/>
  <c r="Y24" i="2"/>
  <c r="Y25" i="2"/>
  <c r="BP30" i="2"/>
  <c r="BP38" i="2"/>
  <c r="BP50" i="2"/>
  <c r="BN55" i="2"/>
  <c r="BP55" i="2"/>
  <c r="BP61" i="2"/>
  <c r="BN81" i="2"/>
  <c r="BP81" i="2"/>
  <c r="Y83" i="2"/>
  <c r="Y84" i="2"/>
  <c r="BP88" i="2"/>
  <c r="BN91" i="2"/>
  <c r="BN96" i="2"/>
  <c r="BP96" i="2"/>
  <c r="BP105" i="2"/>
  <c r="BP125" i="2"/>
  <c r="BN129" i="2"/>
  <c r="BP129" i="2"/>
  <c r="Y130" i="2"/>
  <c r="Y131" i="2"/>
  <c r="Y136" i="2"/>
  <c r="Y137" i="2"/>
  <c r="Y146" i="2"/>
  <c r="Y147" i="2"/>
  <c r="BN159" i="2"/>
  <c r="BP159" i="2"/>
  <c r="Y160" i="2"/>
  <c r="Y161" i="2"/>
  <c r="Z166" i="2"/>
  <c r="BP167" i="2"/>
  <c r="BP171" i="2"/>
  <c r="BP172" i="2"/>
  <c r="Y173" i="2"/>
  <c r="Z178" i="2"/>
  <c r="BN178" i="2"/>
  <c r="Z179" i="2"/>
  <c r="Z182" i="2"/>
  <c r="Z184" i="2"/>
  <c r="BN184" i="2"/>
  <c r="Z186" i="2"/>
  <c r="BP191" i="2"/>
  <c r="BP192" i="2"/>
  <c r="Z196" i="2"/>
  <c r="Z197" i="2" s="1"/>
  <c r="Y198" i="2"/>
  <c r="Y197" i="2"/>
  <c r="BP196" i="2"/>
  <c r="BN196" i="2"/>
  <c r="Z28" i="2"/>
  <c r="BN28" i="2"/>
  <c r="Z30" i="2"/>
  <c r="BP31" i="2"/>
  <c r="Z38" i="2"/>
  <c r="Z40" i="2"/>
  <c r="BN40" i="2"/>
  <c r="Z50" i="2"/>
  <c r="Z57" i="2"/>
  <c r="BN57" i="2"/>
  <c r="Z58" i="2"/>
  <c r="Z61" i="2"/>
  <c r="Z63" i="2"/>
  <c r="BN63" i="2"/>
  <c r="BP70" i="2"/>
  <c r="BP71" i="2"/>
  <c r="BN75" i="2"/>
  <c r="BP75" i="2"/>
  <c r="Y78" i="2"/>
  <c r="BN80" i="2"/>
  <c r="Z88" i="2"/>
  <c r="BN92" i="2"/>
  <c r="BP92" i="2"/>
  <c r="Z97" i="2"/>
  <c r="BN97" i="2"/>
  <c r="Z105" i="2"/>
  <c r="Z108" i="2"/>
  <c r="BN108" i="2"/>
  <c r="BP109" i="2"/>
  <c r="Z111" i="2"/>
  <c r="BN111" i="2"/>
  <c r="BN112" i="2"/>
  <c r="Z117" i="2"/>
  <c r="BN117" i="2"/>
  <c r="Z125" i="2"/>
  <c r="Z134" i="2"/>
  <c r="BN134" i="2"/>
  <c r="BP134" i="2"/>
  <c r="BN135" i="2"/>
  <c r="Z140" i="2"/>
  <c r="BN140" i="2"/>
  <c r="Z155" i="2"/>
  <c r="BN155" i="2"/>
  <c r="BP164" i="2"/>
  <c r="Y168" i="2"/>
  <c r="BP165" i="2"/>
  <c r="BP166" i="2"/>
  <c r="Y169" i="2"/>
  <c r="Z172" i="2"/>
  <c r="Z173" i="2" s="1"/>
  <c r="BN176" i="2"/>
  <c r="BP176" i="2"/>
  <c r="BP182" i="2"/>
  <c r="BN185" i="2"/>
  <c r="BP186" i="2"/>
  <c r="Y202" i="2"/>
  <c r="BP206" i="2"/>
  <c r="Z209" i="2"/>
  <c r="BN209" i="2"/>
  <c r="BP210" i="2"/>
  <c r="Z212" i="2"/>
  <c r="BN212" i="2"/>
  <c r="Z217" i="2"/>
  <c r="Z218" i="2" s="1"/>
  <c r="BN221" i="2"/>
  <c r="BP221" i="2"/>
  <c r="Y236" i="2"/>
  <c r="Z227" i="2"/>
  <c r="Z229" i="2"/>
  <c r="BN229" i="2"/>
  <c r="Z231" i="2"/>
  <c r="BP232" i="2"/>
  <c r="Z239" i="2"/>
  <c r="BN239" i="2"/>
  <c r="Z241" i="2"/>
  <c r="BP251" i="2"/>
  <c r="Z253" i="2"/>
  <c r="BN253" i="2"/>
  <c r="Z257" i="2"/>
  <c r="Z258" i="2" s="1"/>
  <c r="BN262" i="2"/>
  <c r="BP262" i="2"/>
  <c r="Y265" i="2"/>
  <c r="BN267" i="2"/>
  <c r="BP267" i="2"/>
  <c r="Y270" i="2"/>
  <c r="BN268" i="2"/>
  <c r="BP268" i="2"/>
  <c r="Y269" i="2"/>
  <c r="Z272" i="2"/>
  <c r="BN272" i="2"/>
  <c r="BP275" i="2"/>
  <c r="Z283" i="2"/>
  <c r="BN283" i="2"/>
  <c r="BP284" i="2"/>
  <c r="BN285" i="2"/>
  <c r="BP285" i="2"/>
  <c r="BN292" i="2"/>
  <c r="BP292" i="2"/>
  <c r="BP294" i="2"/>
  <c r="BN294" i="2"/>
  <c r="Z294" i="2"/>
  <c r="BN298" i="2"/>
  <c r="BP298" i="2"/>
  <c r="Y300" i="2"/>
  <c r="Y301" i="2"/>
  <c r="O571" i="2"/>
  <c r="Y312" i="2"/>
  <c r="Y311" i="2"/>
  <c r="BP304" i="2"/>
  <c r="BN304" i="2"/>
  <c r="Z304" i="2"/>
  <c r="BP307" i="2"/>
  <c r="BN307" i="2"/>
  <c r="Z307" i="2"/>
  <c r="BP330" i="2"/>
  <c r="BN330" i="2"/>
  <c r="Z330" i="2"/>
  <c r="BN340" i="2"/>
  <c r="BP340" i="2"/>
  <c r="BN354" i="2"/>
  <c r="BN367" i="2"/>
  <c r="BP367" i="2"/>
  <c r="BN368" i="2"/>
  <c r="BP368" i="2"/>
  <c r="BN370" i="2"/>
  <c r="Y373" i="2"/>
  <c r="BN377" i="2"/>
  <c r="BP377" i="2"/>
  <c r="BN378" i="2"/>
  <c r="BP378" i="2"/>
  <c r="BN380" i="2"/>
  <c r="Y383" i="2"/>
  <c r="BN387" i="2"/>
  <c r="BP387" i="2"/>
  <c r="BN388" i="2"/>
  <c r="BP388" i="2"/>
  <c r="Y390" i="2"/>
  <c r="Y391" i="2"/>
  <c r="BP393" i="2"/>
  <c r="Z393" i="2"/>
  <c r="BP402" i="2"/>
  <c r="BN402" i="2"/>
  <c r="Z402" i="2"/>
  <c r="BP439" i="2"/>
  <c r="Z439" i="2"/>
  <c r="BN446" i="2"/>
  <c r="Z446" i="2"/>
  <c r="BN463" i="2"/>
  <c r="Z463" i="2"/>
  <c r="Z464" i="2" s="1"/>
  <c r="Y491" i="2"/>
  <c r="Z571" i="2"/>
  <c r="Z494" i="2"/>
  <c r="Z495" i="2" s="1"/>
  <c r="BP500" i="2"/>
  <c r="BN500" i="2"/>
  <c r="Z500" i="2"/>
  <c r="BN506" i="2"/>
  <c r="BN510" i="2"/>
  <c r="BP514" i="2"/>
  <c r="BN514" i="2"/>
  <c r="Z514" i="2"/>
  <c r="Y214" i="2"/>
  <c r="BP217" i="2"/>
  <c r="Y218" i="2"/>
  <c r="Z223" i="2"/>
  <c r="BN223" i="2"/>
  <c r="Z224" i="2"/>
  <c r="BN225" i="2"/>
  <c r="BP226" i="2"/>
  <c r="BP227" i="2"/>
  <c r="Z230" i="2"/>
  <c r="BN230" i="2"/>
  <c r="BP231" i="2"/>
  <c r="Z233" i="2"/>
  <c r="BN233" i="2"/>
  <c r="BN234" i="2"/>
  <c r="BP234" i="2"/>
  <c r="BN235" i="2"/>
  <c r="BP235" i="2"/>
  <c r="BP241" i="2"/>
  <c r="Y249" i="2"/>
  <c r="BN244" i="2"/>
  <c r="BP244" i="2"/>
  <c r="BN245" i="2"/>
  <c r="BP245" i="2"/>
  <c r="BN247" i="2"/>
  <c r="Y255" i="2"/>
  <c r="BP257" i="2"/>
  <c r="Y258" i="2"/>
  <c r="BN277" i="2"/>
  <c r="BP277" i="2"/>
  <c r="BN278" i="2"/>
  <c r="BP278" i="2"/>
  <c r="BN323" i="2"/>
  <c r="BN339" i="2"/>
  <c r="Z339" i="2"/>
  <c r="Y342" i="2"/>
  <c r="Y351" i="2"/>
  <c r="BP345" i="2"/>
  <c r="BP349" i="2"/>
  <c r="BN349" i="2"/>
  <c r="Z349" i="2"/>
  <c r="BN400" i="2"/>
  <c r="Z400" i="2"/>
  <c r="BN420" i="2"/>
  <c r="BP420" i="2"/>
  <c r="Y421" i="2"/>
  <c r="Y422" i="2"/>
  <c r="BP427" i="2"/>
  <c r="Z427" i="2"/>
  <c r="Z450" i="2"/>
  <c r="BP450" i="2"/>
  <c r="Y469" i="2"/>
  <c r="Y468" i="2"/>
  <c r="BP467" i="2"/>
  <c r="BN467" i="2"/>
  <c r="Z467" i="2"/>
  <c r="Z468" i="2" s="1"/>
  <c r="Y571" i="2"/>
  <c r="BP479" i="2"/>
  <c r="BN479" i="2"/>
  <c r="Z479" i="2"/>
  <c r="BP489" i="2"/>
  <c r="BN489" i="2"/>
  <c r="Z489" i="2"/>
  <c r="BN525" i="2"/>
  <c r="BP525" i="2"/>
  <c r="BN528" i="2"/>
  <c r="Y542" i="2"/>
  <c r="Y541" i="2"/>
  <c r="Z540" i="2"/>
  <c r="Z541" i="2" s="1"/>
  <c r="Y545" i="2"/>
  <c r="BP552" i="2"/>
  <c r="Z552" i="2"/>
  <c r="BN287" i="2"/>
  <c r="BP287" i="2"/>
  <c r="BN288" i="2"/>
  <c r="BP288" i="2"/>
  <c r="BN290" i="2"/>
  <c r="BP305" i="2"/>
  <c r="BN308" i="2"/>
  <c r="BP308" i="2"/>
  <c r="BN309" i="2"/>
  <c r="BP309" i="2"/>
  <c r="BP328" i="2"/>
  <c r="BN331" i="2"/>
  <c r="BP331" i="2"/>
  <c r="BN332" i="2"/>
  <c r="BP332" i="2"/>
  <c r="Y334" i="2"/>
  <c r="Y335" i="2"/>
  <c r="Q571" i="2"/>
  <c r="BP346" i="2"/>
  <c r="T571" i="2"/>
  <c r="U571" i="2"/>
  <c r="W571" i="2"/>
  <c r="BP440" i="2"/>
  <c r="Y448" i="2"/>
  <c r="BN456" i="2"/>
  <c r="BP456" i="2"/>
  <c r="Y458" i="2"/>
  <c r="Y459" i="2"/>
  <c r="X571" i="2"/>
  <c r="BN480" i="2"/>
  <c r="BP480" i="2"/>
  <c r="BN481" i="2"/>
  <c r="BP481" i="2"/>
  <c r="Y485" i="2"/>
  <c r="BN483" i="2"/>
  <c r="BN498" i="2"/>
  <c r="BP361" i="2"/>
  <c r="BN359" i="2"/>
  <c r="Y362" i="2"/>
  <c r="BN153" i="2"/>
  <c r="BP153" i="2"/>
  <c r="BN151" i="2"/>
  <c r="Y531" i="2"/>
  <c r="Y532" i="2"/>
  <c r="BP526" i="2"/>
  <c r="Y521" i="2"/>
  <c r="BN518" i="2"/>
  <c r="AA571" i="2"/>
  <c r="BN508" i="2"/>
  <c r="Y475" i="2"/>
  <c r="Y474" i="2"/>
  <c r="BN444" i="2"/>
  <c r="BP444" i="2"/>
  <c r="Y447" i="2"/>
  <c r="BP436" i="2"/>
  <c r="Z436" i="2"/>
  <c r="BP435" i="2"/>
  <c r="BN434" i="2"/>
  <c r="BP434" i="2"/>
  <c r="Z433" i="2"/>
  <c r="Z426" i="2"/>
  <c r="BN426" i="2"/>
  <c r="BN408" i="2"/>
  <c r="BP408" i="2"/>
  <c r="Z407" i="2"/>
  <c r="Z409" i="2" s="1"/>
  <c r="Z406" i="2"/>
  <c r="BN406" i="2"/>
  <c r="Y409" i="2"/>
  <c r="BN414" i="2"/>
  <c r="BP414" i="2"/>
  <c r="Y415" i="2"/>
  <c r="BN412" i="2"/>
  <c r="Z394" i="2"/>
  <c r="BP394" i="2"/>
  <c r="Y397" i="2"/>
  <c r="Z286" i="2"/>
  <c r="BN286" i="2"/>
  <c r="BP274" i="2"/>
  <c r="Y281" i="2"/>
  <c r="Z273" i="2"/>
  <c r="BN273" i="2"/>
  <c r="Y280" i="2"/>
  <c r="X565" i="2"/>
  <c r="BP124" i="2"/>
  <c r="Z122" i="2"/>
  <c r="Y126" i="2"/>
  <c r="Z107" i="2"/>
  <c r="BN107" i="2"/>
  <c r="BP104" i="2"/>
  <c r="BP98" i="2"/>
  <c r="F571" i="2"/>
  <c r="X561" i="2"/>
  <c r="Y100" i="2"/>
  <c r="Y93" i="2"/>
  <c r="X562" i="2"/>
  <c r="X563" i="2"/>
  <c r="Z87" i="2"/>
  <c r="BN87" i="2"/>
  <c r="BP87" i="2"/>
  <c r="Y94" i="2"/>
  <c r="BP49" i="2"/>
  <c r="Z47" i="2"/>
  <c r="Y51" i="2"/>
  <c r="J9" i="2"/>
  <c r="Z24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10" i="2"/>
  <c r="BN122" i="2"/>
  <c r="BN145" i="2"/>
  <c r="Y157" i="2"/>
  <c r="Z167" i="2"/>
  <c r="BN179" i="2"/>
  <c r="Z211" i="2"/>
  <c r="BN224" i="2"/>
  <c r="Z232" i="2"/>
  <c r="Z242" i="2"/>
  <c r="Z252" i="2"/>
  <c r="Z275" i="2"/>
  <c r="Z285" i="2"/>
  <c r="Y296" i="2"/>
  <c r="Z306" i="2"/>
  <c r="BN318" i="2"/>
  <c r="Z329" i="2"/>
  <c r="Z340" i="2"/>
  <c r="Z341" i="2" s="1"/>
  <c r="BN353" i="2"/>
  <c r="Z395" i="2"/>
  <c r="BN407" i="2"/>
  <c r="BN433" i="2"/>
  <c r="Y454" i="2"/>
  <c r="Z488" i="2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Z453" i="2" s="1"/>
  <c r="BN488" i="2"/>
  <c r="Z499" i="2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355" i="2" s="1"/>
  <c r="Z444" i="2"/>
  <c r="BP540" i="2"/>
  <c r="Z48" i="2"/>
  <c r="Z69" i="2"/>
  <c r="Z72" i="2" s="1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2" i="2" s="1"/>
  <c r="Z39" i="2"/>
  <c r="Z62" i="2"/>
  <c r="Y77" i="2"/>
  <c r="Z106" i="2"/>
  <c r="Z116" i="2"/>
  <c r="Z139" i="2"/>
  <c r="BN152" i="2"/>
  <c r="Z183" i="2"/>
  <c r="Z207" i="2"/>
  <c r="Z213" i="2" s="1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Z441" i="2" s="1"/>
  <c r="BP462" i="2"/>
  <c r="BN472" i="2"/>
  <c r="BN484" i="2"/>
  <c r="BN509" i="2"/>
  <c r="BN519" i="2"/>
  <c r="BN529" i="2"/>
  <c r="Z553" i="2"/>
  <c r="Z554" i="2" s="1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33" i="2"/>
  <c r="BN347" i="2"/>
  <c r="Y350" i="2"/>
  <c r="Z369" i="2"/>
  <c r="Z379" i="2"/>
  <c r="Z389" i="2"/>
  <c r="Z390" i="2" s="1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334" i="2" l="1"/>
  <c r="Z311" i="2"/>
  <c r="Z428" i="2"/>
  <c r="Z403" i="2"/>
  <c r="Z236" i="2"/>
  <c r="Z141" i="2"/>
  <c r="Z126" i="2"/>
  <c r="Z51" i="2"/>
  <c r="Z447" i="2"/>
  <c r="Z254" i="2"/>
  <c r="Z168" i="2"/>
  <c r="Z93" i="2"/>
  <c r="Z350" i="2"/>
  <c r="Z485" i="2"/>
  <c r="Z373" i="2"/>
  <c r="Z324" i="2"/>
  <c r="Z119" i="2"/>
  <c r="Z383" i="2"/>
  <c r="Z531" i="2"/>
  <c r="Z187" i="2"/>
  <c r="Z501" i="2"/>
  <c r="Z490" i="2"/>
  <c r="Z396" i="2"/>
  <c r="Z280" i="2"/>
  <c r="Z248" i="2"/>
  <c r="Z521" i="2"/>
  <c r="Z515" i="2"/>
  <c r="Z295" i="2"/>
  <c r="Y563" i="2"/>
  <c r="Z113" i="2"/>
  <c r="X564" i="2"/>
  <c r="Y565" i="2"/>
  <c r="Y561" i="2"/>
  <c r="Y562" i="2"/>
  <c r="Z64" i="2"/>
  <c r="Z42" i="2"/>
  <c r="Z474" i="2"/>
  <c r="Z415" i="2"/>
  <c r="Z156" i="2"/>
  <c r="Z83" i="2"/>
  <c r="Z362" i="2"/>
  <c r="Z566" i="2" l="1"/>
  <c r="Y564" i="2"/>
</calcChain>
</file>

<file path=xl/sharedStrings.xml><?xml version="1.0" encoding="utf-8"?>
<sst xmlns="http://schemas.openxmlformats.org/spreadsheetml/2006/main" count="4320" uniqueCount="901">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</sst>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46303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Четверг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60</v>
      </c>
      <c r="Y49" s="55">
        <f>IFERROR(IF(X49="",0,CEILING((X49/$H49),1)*$H49),"")</f>
        <v>60</v>
      </c>
      <c r="Z49" s="41">
        <f>IFERROR(IF(Y49=0,"",ROUNDUP(Y49/H49,0)*0.00902),"")</f>
        <v>0.1353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62.850000000000009</v>
      </c>
      <c r="BN49" s="78">
        <f>IFERROR(Y49*I49/H49,"0")</f>
        <v>62.850000000000009</v>
      </c>
      <c r="BO49" s="78">
        <f>IFERROR(1/J49*(X49/H49),"0")</f>
        <v>0.11363636363636365</v>
      </c>
      <c r="BP49" s="78">
        <f>IFERROR(1/J49*(Y49/H49),"0")</f>
        <v>0.11363636363636365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38.148148148148145</v>
      </c>
      <c r="Y51" s="43">
        <f>IFERROR(Y47/H47,"0")+IFERROR(Y48/H48,"0")+IFERROR(Y49/H49,"0")+IFERROR(Y50/H50,"0")</f>
        <v>39</v>
      </c>
      <c r="Z51" s="43">
        <f>IFERROR(IF(Z47="",0,Z47),"0")+IFERROR(IF(Z48="",0,Z48),"0")+IFERROR(IF(Z49="",0,Z49),"0")+IFERROR(IF(Z50="",0,Z50),"0")</f>
        <v>0.59082000000000001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310</v>
      </c>
      <c r="Y52" s="43">
        <f>IFERROR(SUM(Y47:Y50),"0")</f>
        <v>319.20000000000005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13.888888888888888</v>
      </c>
      <c r="Y64" s="43">
        <f>IFERROR(Y55/H55,"0")+IFERROR(Y56/H56,"0")+IFERROR(Y57/H57,"0")+IFERROR(Y58/H58,"0")+IFERROR(Y59/H59,"0")+IFERROR(Y60/H60,"0")+IFERROR(Y61/H61,"0")+IFERROR(Y62/H62,"0")+IFERROR(Y63/H63,"0")</f>
        <v>14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0.26572000000000001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150</v>
      </c>
      <c r="Y65" s="43">
        <f>IFERROR(SUM(Y55:Y63),"0")</f>
        <v>151.20000000000002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100</v>
      </c>
      <c r="Y87" s="55">
        <f t="shared" ref="Y87:Y92" si="5">IFERROR(IF(X87="",0,CEILING((X87/$H87),1)*$H87),"")</f>
        <v>108</v>
      </c>
      <c r="Z87" s="41">
        <f>IFERROR(IF(Y87=0,"",ROUNDUP(Y87/H87,0)*0.01898),"")</f>
        <v>0.1898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103.79629629629629</v>
      </c>
      <c r="BN87" s="78">
        <f t="shared" ref="BN87:BN92" si="7">IFERROR(Y87*I87/H87,"0")</f>
        <v>112.1</v>
      </c>
      <c r="BO87" s="78">
        <f t="shared" ref="BO87:BO92" si="8">IFERROR(1/J87*(X87/H87),"0")</f>
        <v>0.14467592592592593</v>
      </c>
      <c r="BP87" s="78">
        <f t="shared" ref="BP87:BP92" si="9">IFERROR(1/J87*(Y87/H87),"0")</f>
        <v>0.15625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9.2592592592592595</v>
      </c>
      <c r="Y93" s="43">
        <f>IFERROR(Y87/H87,"0")+IFERROR(Y88/H88,"0")+IFERROR(Y89/H89,"0")+IFERROR(Y90/H90,"0")+IFERROR(Y91/H91,"0")+IFERROR(Y92/H92,"0")</f>
        <v>10</v>
      </c>
      <c r="Z93" s="43">
        <f>IFERROR(IF(Z87="",0,Z87),"0")+IFERROR(IF(Z88="",0,Z88),"0")+IFERROR(IF(Z89="",0,Z89),"0")+IFERROR(IF(Z90="",0,Z90),"0")+IFERROR(IF(Z91="",0,Z91),"0")+IFERROR(IF(Z92="",0,Z92),"0")</f>
        <v>0.1898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100</v>
      </c>
      <c r="Y94" s="43">
        <f>IFERROR(SUM(Y87:Y92),"0")</f>
        <v>108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100</v>
      </c>
      <c r="Y96" s="55">
        <f>IFERROR(IF(X96="",0,CEILING((X96/$H96),1)*$H96),"")</f>
        <v>105.3</v>
      </c>
      <c r="Z96" s="41">
        <f>IFERROR(IF(Y96=0,"",ROUNDUP(Y96/H96,0)*0.01898),"")</f>
        <v>0.24674000000000001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106.09876543209877</v>
      </c>
      <c r="BN96" s="78">
        <f>IFERROR(Y96*I96/H96,"0")</f>
        <v>111.72199999999999</v>
      </c>
      <c r="BO96" s="78">
        <f>IFERROR(1/J96*(X96/H96),"0")</f>
        <v>0.19290123456790123</v>
      </c>
      <c r="BP96" s="78">
        <f>IFERROR(1/J96*(Y96/H96),"0")</f>
        <v>0.203125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150</v>
      </c>
      <c r="Y98" s="55">
        <f>IFERROR(IF(X98="",0,CEILING((X98/$H98),1)*$H98),"")</f>
        <v>151.20000000000002</v>
      </c>
      <c r="Z98" s="41">
        <f>IFERROR(IF(Y98=0,"",ROUNDUP(Y98/H98,0)*0.00651),"")</f>
        <v>0.36456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164</v>
      </c>
      <c r="BN98" s="78">
        <f>IFERROR(Y98*I98/H98,"0")</f>
        <v>165.31200000000001</v>
      </c>
      <c r="BO98" s="78">
        <f>IFERROR(1/J98*(X98/H98),"0")</f>
        <v>0.30525030525030522</v>
      </c>
      <c r="BP98" s="78">
        <f>IFERROR(1/J98*(Y98/H98),"0")</f>
        <v>0.30769230769230771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67.901234567901227</v>
      </c>
      <c r="Y100" s="43">
        <f>IFERROR(Y96/H96,"0")+IFERROR(Y97/H97,"0")+IFERROR(Y98/H98,"0")+IFERROR(Y99/H99,"0")</f>
        <v>69</v>
      </c>
      <c r="Z100" s="43">
        <f>IFERROR(IF(Z96="",0,Z96),"0")+IFERROR(IF(Z97="",0,Z97),"0")+IFERROR(IF(Z98="",0,Z98),"0")+IFERROR(IF(Z99="",0,Z99),"0")</f>
        <v>0.61129999999999995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250</v>
      </c>
      <c r="Y101" s="43">
        <f>IFERROR(SUM(Y96:Y99),"0")</f>
        <v>256.5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100</v>
      </c>
      <c r="Y104" s="55">
        <f t="shared" ref="Y104:Y112" si="10">IFERROR(IF(X104="",0,CEILING((X104/$H104),1)*$H104),"")</f>
        <v>108</v>
      </c>
      <c r="Z104" s="41">
        <f>IFERROR(IF(Y104=0,"",ROUNDUP(Y104/H104,0)*0.01898),"")</f>
        <v>0.1898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103.79629629629629</v>
      </c>
      <c r="BN104" s="78">
        <f t="shared" ref="BN104:BN112" si="12">IFERROR(Y104*I104/H104,"0")</f>
        <v>112.1</v>
      </c>
      <c r="BO104" s="78">
        <f t="shared" ref="BO104:BO112" si="13">IFERROR(1/J104*(X104/H104),"0")</f>
        <v>0.14467592592592593</v>
      </c>
      <c r="BP104" s="78">
        <f t="shared" ref="BP104:BP112" si="14">IFERROR(1/J104*(Y104/H104),"0")</f>
        <v>0.15625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50</v>
      </c>
      <c r="Y107" s="55">
        <f t="shared" si="10"/>
        <v>52.5</v>
      </c>
      <c r="Z107" s="41">
        <f>IFERROR(IF(Y107=0,"",ROUNDUP(Y107/H107,0)*0.00902),"")</f>
        <v>0.12628</v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52.533333333333331</v>
      </c>
      <c r="BN107" s="78">
        <f t="shared" si="12"/>
        <v>55.16</v>
      </c>
      <c r="BO107" s="78">
        <f t="shared" si="13"/>
        <v>0.10101010101010102</v>
      </c>
      <c r="BP107" s="78">
        <f t="shared" si="14"/>
        <v>0.10606060606060606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22.592592592592595</v>
      </c>
      <c r="Y113" s="43">
        <f>IFERROR(Y104/H104,"0")+IFERROR(Y105/H105,"0")+IFERROR(Y106/H106,"0")+IFERROR(Y107/H107,"0")+IFERROR(Y108/H108,"0")+IFERROR(Y109/H109,"0")+IFERROR(Y110/H110,"0")+IFERROR(Y111/H111,"0")+IFERROR(Y112/H112,"0")</f>
        <v>24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0.31608000000000003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150</v>
      </c>
      <c r="Y114" s="43">
        <f>IFERROR(SUM(Y104:Y112),"0")</f>
        <v>160.5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120</v>
      </c>
      <c r="Y122" s="55">
        <f>IFERROR(IF(X122="",0,CEILING((X122/$H122),1)*$H122),"")</f>
        <v>121.5</v>
      </c>
      <c r="Z122" s="41">
        <f>IFERROR(IF(Y122=0,"",ROUNDUP(Y122/H122,0)*0.01898),"")</f>
        <v>0.28470000000000001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127.22962962962963</v>
      </c>
      <c r="BN122" s="78">
        <f>IFERROR(Y122*I122/H122,"0")</f>
        <v>128.82</v>
      </c>
      <c r="BO122" s="78">
        <f>IFERROR(1/J122*(X122/H122),"0")</f>
        <v>0.23148148148148148</v>
      </c>
      <c r="BP122" s="78">
        <f>IFERROR(1/J122*(Y122/H122),"0")</f>
        <v>0.234375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200</v>
      </c>
      <c r="Y124" s="55">
        <f>IFERROR(IF(X124="",0,CEILING((X124/$H124),1)*$H124),"")</f>
        <v>202.5</v>
      </c>
      <c r="Z124" s="41">
        <f>IFERROR(IF(Y124=0,"",ROUNDUP(Y124/H124,0)*0.00651),"")</f>
        <v>0.48825000000000002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218.66666666666666</v>
      </c>
      <c r="BN124" s="78">
        <f>IFERROR(Y124*I124/H124,"0")</f>
        <v>221.39999999999998</v>
      </c>
      <c r="BO124" s="78">
        <f>IFERROR(1/J124*(X124/H124),"0")</f>
        <v>0.40700040700040702</v>
      </c>
      <c r="BP124" s="78">
        <f>IFERROR(1/J124*(Y124/H124),"0")</f>
        <v>0.41208791208791212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88.888888888888886</v>
      </c>
      <c r="Y126" s="43">
        <f>IFERROR(Y122/H122,"0")+IFERROR(Y123/H123,"0")+IFERROR(Y124/H124,"0")+IFERROR(Y125/H125,"0")</f>
        <v>90</v>
      </c>
      <c r="Z126" s="43">
        <f>IFERROR(IF(Z122="",0,Z122),"0")+IFERROR(IF(Z123="",0,Z123),"0")+IFERROR(IF(Z124="",0,Z124),"0")+IFERROR(IF(Z125="",0,Z125),"0")</f>
        <v>0.77295000000000003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320</v>
      </c>
      <c r="Y127" s="43">
        <f>IFERROR(SUM(Y122:Y125),"0")</f>
        <v>324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10</v>
      </c>
      <c r="Y150" s="55">
        <f t="shared" ref="Y150:Y155" si="15">IFERROR(IF(X150="",0,CEILING((X150/$H150),1)*$H150),"")</f>
        <v>10.56</v>
      </c>
      <c r="Z150" s="41">
        <f t="shared" ref="Z150:Z155" si="16">IFERROR(IF(Y150=0,"",ROUNDUP(Y150/H150,0)*0.00651),"")</f>
        <v>5.2080000000000001E-2</v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11.863636363636363</v>
      </c>
      <c r="BN150" s="78">
        <f t="shared" ref="BN150:BN155" si="18">IFERROR(Y150*I150/H150,"0")</f>
        <v>12.528</v>
      </c>
      <c r="BO150" s="78">
        <f t="shared" ref="BO150:BO155" si="19">IFERROR(1/J150*(X150/H150),"0")</f>
        <v>4.1625041625041624E-2</v>
      </c>
      <c r="BP150" s="78">
        <f t="shared" ref="BP150:BP155" si="20">IFERROR(1/J150*(Y150/H150),"0")</f>
        <v>4.3956043956043959E-2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10</v>
      </c>
      <c r="Y151" s="55">
        <f t="shared" si="15"/>
        <v>11.879999999999999</v>
      </c>
      <c r="Z151" s="41">
        <f t="shared" si="16"/>
        <v>3.9059999999999997E-2</v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11.409090909090908</v>
      </c>
      <c r="BN151" s="78">
        <f t="shared" si="18"/>
        <v>13.553999999999998</v>
      </c>
      <c r="BO151" s="78">
        <f t="shared" si="19"/>
        <v>2.7750027750027752E-2</v>
      </c>
      <c r="BP151" s="78">
        <f t="shared" si="20"/>
        <v>3.2967032967032968E-2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10</v>
      </c>
      <c r="Y153" s="55">
        <f t="shared" si="15"/>
        <v>10.56</v>
      </c>
      <c r="Z153" s="41">
        <f t="shared" si="16"/>
        <v>5.2080000000000001E-2</v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11.863636363636363</v>
      </c>
      <c r="BN153" s="78">
        <f t="shared" si="18"/>
        <v>12.528</v>
      </c>
      <c r="BO153" s="78">
        <f t="shared" si="19"/>
        <v>4.1625041625041624E-2</v>
      </c>
      <c r="BP153" s="78">
        <f t="shared" si="20"/>
        <v>4.3956043956043959E-2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10</v>
      </c>
      <c r="Y154" s="55">
        <f t="shared" si="15"/>
        <v>11.879999999999999</v>
      </c>
      <c r="Z154" s="41">
        <f t="shared" si="16"/>
        <v>3.9059999999999997E-2</v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11.409090909090908</v>
      </c>
      <c r="BN154" s="78">
        <f t="shared" si="18"/>
        <v>13.553999999999998</v>
      </c>
      <c r="BO154" s="78">
        <f t="shared" si="19"/>
        <v>2.7750027750027752E-2</v>
      </c>
      <c r="BP154" s="78">
        <f t="shared" si="20"/>
        <v>3.2967032967032968E-2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25.252525252525253</v>
      </c>
      <c r="Y156" s="43">
        <f>IFERROR(Y150/H150,"0")+IFERROR(Y151/H151,"0")+IFERROR(Y152/H152,"0")+IFERROR(Y153/H153,"0")+IFERROR(Y154/H154,"0")+IFERROR(Y155/H155,"0")</f>
        <v>28</v>
      </c>
      <c r="Z156" s="43">
        <f>IFERROR(IF(Z150="",0,Z150),"0")+IFERROR(IF(Z151="",0,Z151),"0")+IFERROR(IF(Z152="",0,Z152),"0")+IFERROR(IF(Z153="",0,Z153),"0")+IFERROR(IF(Z154="",0,Z154),"0")+IFERROR(IF(Z155="",0,Z155),"0")</f>
        <v>0.18228</v>
      </c>
      <c r="AA156" s="67"/>
      <c r="AB156" s="67"/>
      <c r="AC156" s="67"/>
    </row>
    <row r="157" spans="1:68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40</v>
      </c>
      <c r="Y157" s="43">
        <f>IFERROR(SUM(Y150:Y155),"0")</f>
        <v>44.879999999999995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ref="Y272:Y279" si="43">IFERROR(IF(X272="",0,CEILING((X272/$H272),1)*$H272),"")</f>
        <v>102.60000000000001</v>
      </c>
      <c r="Z272" s="41">
        <f>IFERROR(IF(Y272=0,"",ROUNDUP(Y272/H272,0)*0.00902),"")</f>
        <v>0.17138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103.5185185185185</v>
      </c>
      <c r="BN272" s="78">
        <f t="shared" ref="BN272:BN279" si="45">IFERROR(Y272*I272/H272,"0")</f>
        <v>106.21</v>
      </c>
      <c r="BO272" s="78">
        <f t="shared" ref="BO272:BO279" si="46">IFERROR(1/J272*(X272/H272),"0")</f>
        <v>0.14029180695847362</v>
      </c>
      <c r="BP272" s="78">
        <f t="shared" ref="BP272:BP279" si="47">IFERROR(1/J272*(Y272/H272),"0")</f>
        <v>0.14393939393939395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100</v>
      </c>
      <c r="Y273" s="55">
        <f t="shared" si="43"/>
        <v>102.60000000000001</v>
      </c>
      <c r="Z273" s="41">
        <f>IFERROR(IF(Y273=0,"",ROUNDUP(Y273/H273,0)*0.00902),"")</f>
        <v>0.17138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103.5185185185185</v>
      </c>
      <c r="BN273" s="78">
        <f t="shared" si="45"/>
        <v>106.21</v>
      </c>
      <c r="BO273" s="78">
        <f t="shared" si="46"/>
        <v>0.14029180695847362</v>
      </c>
      <c r="BP273" s="78">
        <f t="shared" si="47"/>
        <v>0.14393939393939395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100</v>
      </c>
      <c r="Y274" s="55">
        <f t="shared" si="43"/>
        <v>102.60000000000001</v>
      </c>
      <c r="Z274" s="41">
        <f>IFERROR(IF(Y274=0,"",ROUNDUP(Y274/H274,0)*0.00902),"")</f>
        <v>0.17138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103.5185185185185</v>
      </c>
      <c r="BN274" s="78">
        <f t="shared" si="45"/>
        <v>106.21</v>
      </c>
      <c r="BO274" s="78">
        <f t="shared" si="46"/>
        <v>0.14029180695847362</v>
      </c>
      <c r="BP274" s="78">
        <f t="shared" si="47"/>
        <v>0.14393939393939395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100</v>
      </c>
      <c r="Y275" s="55">
        <f t="shared" si="43"/>
        <v>102.60000000000001</v>
      </c>
      <c r="Z275" s="41">
        <f>IFERROR(IF(Y275=0,"",ROUNDUP(Y275/H275,0)*0.00902),"")</f>
        <v>0.17138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103.5185185185185</v>
      </c>
      <c r="BN275" s="78">
        <f t="shared" si="45"/>
        <v>106.21</v>
      </c>
      <c r="BO275" s="78">
        <f t="shared" si="46"/>
        <v>0.14029180695847362</v>
      </c>
      <c r="BP275" s="78">
        <f t="shared" si="47"/>
        <v>0.14393939393939395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74.074074074074076</v>
      </c>
      <c r="Y280" s="43">
        <f>IFERROR(Y272/H272,"0")+IFERROR(Y273/H273,"0")+IFERROR(Y274/H274,"0")+IFERROR(Y275/H275,"0")+IFERROR(Y276/H276,"0")+IFERROR(Y277/H277,"0")+IFERROR(Y278/H278,"0")+IFERROR(Y279/H279,"0")</f>
        <v>76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0.68552000000000002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400</v>
      </c>
      <c r="Y281" s="43">
        <f>IFERROR(SUM(Y272:Y279),"0")</f>
        <v>410.40000000000003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120</v>
      </c>
      <c r="Y286" s="55">
        <f t="shared" si="48"/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133.5</v>
      </c>
      <c r="BN286" s="78">
        <f t="shared" si="50"/>
        <v>133.5</v>
      </c>
      <c r="BO286" s="78">
        <f t="shared" si="51"/>
        <v>0.27472527472527475</v>
      </c>
      <c r="BP286" s="78">
        <f t="shared" si="52"/>
        <v>0.27472527472527475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150</v>
      </c>
      <c r="Y289" s="55">
        <f t="shared" si="48"/>
        <v>151.19999999999999</v>
      </c>
      <c r="Z289" s="41">
        <f>IFERROR(IF(Y289=0,"",ROUNDUP(Y289/H289,0)*0.00651),"")</f>
        <v>0.41012999999999999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165.75</v>
      </c>
      <c r="BN289" s="78">
        <f t="shared" si="50"/>
        <v>167.07599999999999</v>
      </c>
      <c r="BO289" s="78">
        <f t="shared" si="51"/>
        <v>0.34340659340659341</v>
      </c>
      <c r="BP289" s="78">
        <f t="shared" si="52"/>
        <v>0.3461538461538462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150</v>
      </c>
      <c r="Y291" s="55">
        <f t="shared" si="48"/>
        <v>151.19999999999999</v>
      </c>
      <c r="Z291" s="41">
        <f>IFERROR(IF(Y291=0,"",ROUNDUP(Y291/H291,0)*0.00651),"")</f>
        <v>0.41012999999999999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165.75</v>
      </c>
      <c r="BN291" s="78">
        <f t="shared" si="50"/>
        <v>167.07599999999999</v>
      </c>
      <c r="BO291" s="78">
        <f t="shared" si="51"/>
        <v>0.34340659340659341</v>
      </c>
      <c r="BP291" s="78">
        <f t="shared" si="52"/>
        <v>0.3461538461538462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100</v>
      </c>
      <c r="Y293" s="55">
        <f t="shared" si="48"/>
        <v>100.8</v>
      </c>
      <c r="Z293" s="41">
        <f>IFERROR(IF(Y293=0,"",ROUNDUP(Y293/H293,0)*0.00651),"")</f>
        <v>0.27342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110.75000000000001</v>
      </c>
      <c r="BN293" s="78">
        <f t="shared" si="50"/>
        <v>111.63600000000001</v>
      </c>
      <c r="BO293" s="78">
        <f t="shared" si="51"/>
        <v>0.22893772893772898</v>
      </c>
      <c r="BP293" s="78">
        <f t="shared" si="52"/>
        <v>0.23076923076923078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216.66666666666669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218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1.4191800000000001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520</v>
      </c>
      <c r="Y296" s="43">
        <f>IFERROR(SUM(Y283:Y294),"0")</f>
        <v>523.19999999999993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20</v>
      </c>
      <c r="Y359" s="55">
        <f>IFERROR(IF(X359="",0,CEILING((X359/$H359),1)*$H359),"")</f>
        <v>23.4</v>
      </c>
      <c r="Z359" s="41">
        <f>IFERROR(IF(Y359=0,"",ROUNDUP(Y359/H359,0)*0.01898),"")</f>
        <v>5.6940000000000004E-2</v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21.051282051282055</v>
      </c>
      <c r="BN359" s="78">
        <f>IFERROR(Y359*I359/H359,"0")</f>
        <v>24.630000000000003</v>
      </c>
      <c r="BO359" s="78">
        <f>IFERROR(1/J359*(X359/H359),"0")</f>
        <v>4.0064102564102567E-2</v>
      </c>
      <c r="BP359" s="78">
        <f>IFERROR(1/J359*(Y359/H359),"0")</f>
        <v>4.6875E-2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20</v>
      </c>
      <c r="Y360" s="55">
        <f>IFERROR(IF(X360="",0,CEILING((X360/$H360),1)*$H360),"")</f>
        <v>23.4</v>
      </c>
      <c r="Z360" s="41">
        <f>IFERROR(IF(Y360=0,"",ROUNDUP(Y360/H360,0)*0.01898),"")</f>
        <v>5.6940000000000004E-2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21.051282051282055</v>
      </c>
      <c r="BN360" s="78">
        <f>IFERROR(Y360*I360/H360,"0")</f>
        <v>24.630000000000003</v>
      </c>
      <c r="BO360" s="78">
        <f>IFERROR(1/J360*(X360/H360),"0")</f>
        <v>4.0064102564102567E-2</v>
      </c>
      <c r="BP360" s="78">
        <f>IFERROR(1/J360*(Y360/H360),"0")</f>
        <v>4.6875E-2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20</v>
      </c>
      <c r="Y361" s="55">
        <f>IFERROR(IF(X361="",0,CEILING((X361/$H361),1)*$H361),"")</f>
        <v>23.4</v>
      </c>
      <c r="Z361" s="41">
        <f>IFERROR(IF(Y361=0,"",ROUNDUP(Y361/H361,0)*0.01898),"")</f>
        <v>5.6940000000000004E-2</v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21.051282051282055</v>
      </c>
      <c r="BN361" s="78">
        <f>IFERROR(Y361*I361/H361,"0")</f>
        <v>24.630000000000003</v>
      </c>
      <c r="BO361" s="78">
        <f>IFERROR(1/J361*(X361/H361),"0")</f>
        <v>4.0064102564102567E-2</v>
      </c>
      <c r="BP361" s="78">
        <f>IFERROR(1/J361*(Y361/H361),"0")</f>
        <v>4.6875E-2</v>
      </c>
    </row>
    <row r="362" spans="1:68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7.6923076923076934</v>
      </c>
      <c r="Y362" s="43">
        <f>IFERROR(Y359/H359,"0")+IFERROR(Y360/H360,"0")+IFERROR(Y361/H361,"0")</f>
        <v>9</v>
      </c>
      <c r="Z362" s="43">
        <f>IFERROR(IF(Z359="",0,Z359),"0")+IFERROR(IF(Z360="",0,Z360),"0")+IFERROR(IF(Z361="",0,Z361),"0")</f>
        <v>0.17082000000000003</v>
      </c>
      <c r="AA362" s="67"/>
      <c r="AB362" s="67"/>
      <c r="AC362" s="67"/>
    </row>
    <row r="363" spans="1:68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60</v>
      </c>
      <c r="Y363" s="43">
        <f>IFERROR(SUM(Y359:Y361),"0")</f>
        <v>70.199999999999989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hidden="1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12.820512820512821</v>
      </c>
      <c r="Y396" s="43">
        <f>IFERROR(Y393/H393,"0")+IFERROR(Y394/H394,"0")+IFERROR(Y395/H395,"0")</f>
        <v>13</v>
      </c>
      <c r="Z396" s="43">
        <f>IFERROR(IF(Z393="",0,Z393),"0")+IFERROR(IF(Z394="",0,Z394),"0")+IFERROR(IF(Z395="",0,Z395),"0")</f>
        <v>0.24674000000000001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100</v>
      </c>
      <c r="Y397" s="43">
        <f>IFERROR(SUM(Y393:Y395),"0")</f>
        <v>101.39999999999999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40</v>
      </c>
      <c r="Y406" s="55">
        <f>IFERROR(IF(X406="",0,CEILING((X406/$H406),1)*$H406),"")</f>
        <v>40</v>
      </c>
      <c r="Z406" s="41">
        <f>IFERROR(IF(Y406=0,"",ROUNDUP(Y406/H406,0)*0.00474),"")</f>
        <v>9.4800000000000009E-2</v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44.800000000000004</v>
      </c>
      <c r="BN406" s="78">
        <f>IFERROR(Y406*I406/H406,"0")</f>
        <v>44.800000000000004</v>
      </c>
      <c r="BO406" s="78">
        <f>IFERROR(1/J406*(X406/H406),"0")</f>
        <v>8.4033613445378144E-2</v>
      </c>
      <c r="BP406" s="78">
        <f>IFERROR(1/J406*(Y406/H406),"0")</f>
        <v>8.4033613445378144E-2</v>
      </c>
    </row>
    <row r="407" spans="1:68" ht="27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40</v>
      </c>
      <c r="Y407" s="55">
        <f>IFERROR(IF(X407="",0,CEILING((X407/$H407),1)*$H407),"")</f>
        <v>40</v>
      </c>
      <c r="Z407" s="41">
        <f>IFERROR(IF(Y407=0,"",ROUNDUP(Y407/H407,0)*0.00474),"")</f>
        <v>9.4800000000000009E-2</v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44.800000000000004</v>
      </c>
      <c r="BN407" s="78">
        <f>IFERROR(Y407*I407/H407,"0")</f>
        <v>44.800000000000004</v>
      </c>
      <c r="BO407" s="78">
        <f>IFERROR(1/J407*(X407/H407),"0")</f>
        <v>8.4033613445378144E-2</v>
      </c>
      <c r="BP407" s="78">
        <f>IFERROR(1/J407*(Y407/H407),"0")</f>
        <v>8.4033613445378144E-2</v>
      </c>
    </row>
    <row r="408" spans="1:68" ht="27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70</v>
      </c>
      <c r="Y408" s="55">
        <f>IFERROR(IF(X408="",0,CEILING((X408/$H408),1)*$H408),"")</f>
        <v>70</v>
      </c>
      <c r="Z408" s="41">
        <f>IFERROR(IF(Y408=0,"",ROUNDUP(Y408/H408,0)*0.00474),"")</f>
        <v>0.16590000000000002</v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78.400000000000006</v>
      </c>
      <c r="BN408" s="78">
        <f>IFERROR(Y408*I408/H408,"0")</f>
        <v>78.400000000000006</v>
      </c>
      <c r="BO408" s="78">
        <f>IFERROR(1/J408*(X408/H408),"0")</f>
        <v>0.14705882352941177</v>
      </c>
      <c r="BP408" s="78">
        <f>IFERROR(1/J408*(Y408/H408),"0")</f>
        <v>0.14705882352941177</v>
      </c>
    </row>
    <row r="409" spans="1:68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75</v>
      </c>
      <c r="Y409" s="43">
        <f>IFERROR(Y406/H406,"0")+IFERROR(Y407/H407,"0")+IFERROR(Y408/H408,"0")</f>
        <v>75</v>
      </c>
      <c r="Z409" s="43">
        <f>IFERROR(IF(Z406="",0,Z406),"0")+IFERROR(IF(Z407="",0,Z407),"0")+IFERROR(IF(Z408="",0,Z408),"0")</f>
        <v>0.35550000000000004</v>
      </c>
      <c r="AA409" s="67"/>
      <c r="AB409" s="67"/>
      <c r="AC409" s="67"/>
    </row>
    <row r="410" spans="1:68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150</v>
      </c>
      <c r="Y410" s="43">
        <f>IFERROR(SUM(Y406:Y408),"0")</f>
        <v>150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60</v>
      </c>
      <c r="Y412" s="55">
        <f>IFERROR(IF(X412="",0,CEILING((X412/$H412),1)*$H412),"")</f>
        <v>60</v>
      </c>
      <c r="Z412" s="41">
        <f>IFERROR(IF(Y412=0,"",ROUNDUP(Y412/H412,0)*0.0045),"")</f>
        <v>0.09</v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64.400000000000006</v>
      </c>
      <c r="BN412" s="78">
        <f>IFERROR(Y412*I412/H412,"0")</f>
        <v>64.400000000000006</v>
      </c>
      <c r="BO412" s="78">
        <f>IFERROR(1/J412*(X412/H412),"0")</f>
        <v>8.9285714285714274E-2</v>
      </c>
      <c r="BP412" s="78">
        <f>IFERROR(1/J412*(Y412/H412),"0")</f>
        <v>8.9285714285714274E-2</v>
      </c>
    </row>
    <row r="413" spans="1:68" ht="27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60</v>
      </c>
      <c r="Y413" s="55">
        <f>IFERROR(IF(X413="",0,CEILING((X413/$H413),1)*$H413),"")</f>
        <v>62.4</v>
      </c>
      <c r="Z413" s="41">
        <f>IFERROR(IF(Y413=0,"",ROUNDUP(Y413/H413,0)*0.006),"")</f>
        <v>9.6000000000000002E-2</v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64.153846153846146</v>
      </c>
      <c r="BN413" s="78">
        <f>IFERROR(Y413*I413/H413,"0")</f>
        <v>66.72</v>
      </c>
      <c r="BO413" s="78">
        <f>IFERROR(1/J413*(X413/H413),"0")</f>
        <v>0.10683760683760683</v>
      </c>
      <c r="BP413" s="78">
        <f>IFERROR(1/J413*(Y413/H413),"0")</f>
        <v>0.1111111111111111</v>
      </c>
    </row>
    <row r="414" spans="1:68" ht="27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60</v>
      </c>
      <c r="Y414" s="55">
        <f>IFERROR(IF(X414="",0,CEILING((X414/$H414),1)*$H414),"")</f>
        <v>60</v>
      </c>
      <c r="Z414" s="41">
        <f>IFERROR(IF(Y414=0,"",ROUNDUP(Y414/H414,0)*0.0045),"")</f>
        <v>0.09</v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64.400000000000006</v>
      </c>
      <c r="BN414" s="78">
        <f>IFERROR(Y414*I414/H414,"0")</f>
        <v>64.400000000000006</v>
      </c>
      <c r="BO414" s="78">
        <f>IFERROR(1/J414*(X414/H414),"0")</f>
        <v>8.9285714285714274E-2</v>
      </c>
      <c r="BP414" s="78">
        <f>IFERROR(1/J414*(Y414/H414),"0")</f>
        <v>8.9285714285714274E-2</v>
      </c>
    </row>
    <row r="415" spans="1:68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55.384615384615387</v>
      </c>
      <c r="Y415" s="43">
        <f>IFERROR(Y412/H412,"0")+IFERROR(Y413/H413,"0")+IFERROR(Y414/H414,"0")</f>
        <v>56</v>
      </c>
      <c r="Z415" s="43">
        <f>IFERROR(IF(Z412="",0,Z412),"0")+IFERROR(IF(Z413="",0,Z413),"0")+IFERROR(IF(Z414="",0,Z414),"0")</f>
        <v>0.27600000000000002</v>
      </c>
      <c r="AA415" s="67"/>
      <c r="AB415" s="67"/>
      <c r="AC415" s="67"/>
    </row>
    <row r="416" spans="1:68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180</v>
      </c>
      <c r="Y416" s="43">
        <f>IFERROR(SUM(Y412:Y414),"0")</f>
        <v>182.4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50</v>
      </c>
      <c r="Y426" s="55">
        <f>IFERROR(IF(X426="",0,CEILING((X426/$H426),1)*$H426),"")</f>
        <v>50.400000000000006</v>
      </c>
      <c r="Z426" s="41">
        <f>IFERROR(IF(Y426=0,"",ROUNDUP(Y426/H426,0)*0.00651),"")</f>
        <v>0.15623999999999999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55.999999999999993</v>
      </c>
      <c r="BN426" s="78">
        <f>IFERROR(Y426*I426/H426,"0")</f>
        <v>56.448</v>
      </c>
      <c r="BO426" s="78">
        <f>IFERROR(1/J426*(X426/H426),"0")</f>
        <v>0.13082155939298798</v>
      </c>
      <c r="BP426" s="78">
        <f>IFERROR(1/J426*(Y426/H426),"0")</f>
        <v>0.13186813186813187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50</v>
      </c>
      <c r="Y427" s="55">
        <f>IFERROR(IF(X427="",0,CEILING((X427/$H427),1)*$H427),"")</f>
        <v>50.400000000000006</v>
      </c>
      <c r="Z427" s="41">
        <f>IFERROR(IF(Y427=0,"",ROUNDUP(Y427/H427,0)*0.00651),"")</f>
        <v>0.15623999999999999</v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55.714285714285715</v>
      </c>
      <c r="BN427" s="78">
        <f>IFERROR(Y427*I427/H427,"0")</f>
        <v>56.160000000000004</v>
      </c>
      <c r="BO427" s="78">
        <f>IFERROR(1/J427*(X427/H427),"0")</f>
        <v>0.13082155939298798</v>
      </c>
      <c r="BP427" s="78">
        <f>IFERROR(1/J427*(Y427/H427),"0")</f>
        <v>0.13186813186813187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47.61904761904762</v>
      </c>
      <c r="Y428" s="43">
        <f>IFERROR(Y425/H425,"0")+IFERROR(Y426/H426,"0")+IFERROR(Y427/H427,"0")</f>
        <v>48</v>
      </c>
      <c r="Z428" s="43">
        <f>IFERROR(IF(Z425="",0,Z425),"0")+IFERROR(IF(Z426="",0,Z426),"0")+IFERROR(IF(Z427="",0,Z427),"0")</f>
        <v>0.31247999999999998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100</v>
      </c>
      <c r="Y429" s="43">
        <f>IFERROR(SUM(Y425:Y427),"0")</f>
        <v>100.80000000000001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500</v>
      </c>
      <c r="Y434" s="55">
        <f t="shared" si="73"/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515.66666666666663</v>
      </c>
      <c r="BN434" s="78">
        <f t="shared" si="75"/>
        <v>525.98</v>
      </c>
      <c r="BO434" s="78">
        <f t="shared" si="76"/>
        <v>0.69444444444444442</v>
      </c>
      <c r="BP434" s="78">
        <f t="shared" si="77"/>
        <v>0.70833333333333326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73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103.13333333333334</v>
      </c>
      <c r="BN435" s="78">
        <f t="shared" si="75"/>
        <v>108.29</v>
      </c>
      <c r="BO435" s="78">
        <f t="shared" si="76"/>
        <v>0.1388888888888889</v>
      </c>
      <c r="BP435" s="78">
        <f t="shared" si="77"/>
        <v>0.14583333333333331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73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515.66666666666663</v>
      </c>
      <c r="BN436" s="78">
        <f t="shared" si="75"/>
        <v>525.98</v>
      </c>
      <c r="BO436" s="78">
        <f t="shared" si="76"/>
        <v>0.69444444444444442</v>
      </c>
      <c r="BP436" s="78">
        <f t="shared" si="77"/>
        <v>0.70833333333333326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80</v>
      </c>
      <c r="Y441" s="43">
        <f>IFERROR(Y433/H433,"0")+IFERROR(Y434/H434,"0")+IFERROR(Y435/H435,"0")+IFERROR(Y436/H436,"0")+IFERROR(Y437/H437,"0")+IFERROR(Y438/H438,"0")+IFERROR(Y439/H439,"0")+IFERROR(Y440/H440,"0")</f>
        <v>82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1.7835000000000001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1200</v>
      </c>
      <c r="Y442" s="43">
        <f>IFERROR(SUM(Y433:Y440),"0")</f>
        <v>1230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500</v>
      </c>
      <c r="Y444" s="55">
        <f>IFERROR(IF(X444="",0,CEILING((X444/$H444),1)*$H444),"")</f>
        <v>510</v>
      </c>
      <c r="Z444" s="41">
        <f>IFERROR(IF(Y444=0,"",ROUNDUP(Y444/H444,0)*0.02175),"")</f>
        <v>0.73949999999999994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515.66666666666663</v>
      </c>
      <c r="BN444" s="78">
        <f>IFERROR(Y444*I444/H444,"0")</f>
        <v>525.98</v>
      </c>
      <c r="BO444" s="78">
        <f>IFERROR(1/J444*(X444/H444),"0")</f>
        <v>0.69444444444444442</v>
      </c>
      <c r="BP444" s="78">
        <f>IFERROR(1/J444*(Y444/H444),"0")</f>
        <v>0.70833333333333326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40</v>
      </c>
      <c r="Y447" s="43">
        <f>IFERROR(Y444/H444,"0")+IFERROR(Y445/H445,"0")+IFERROR(Y446/H446,"0")</f>
        <v>41</v>
      </c>
      <c r="Z447" s="43">
        <f>IFERROR(IF(Z444="",0,Z444),"0")+IFERROR(IF(Z445="",0,Z445),"0")+IFERROR(IF(Z446="",0,Z446),"0")</f>
        <v>0.89174999999999993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600</v>
      </c>
      <c r="Y448" s="43">
        <f>IFERROR(SUM(Y444:Y446),"0")</f>
        <v>615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100</v>
      </c>
      <c r="Y472" s="55">
        <f>IFERROR(IF(X472="",0,CEILING((X472/$H472),1)*$H472),"")</f>
        <v>100.8</v>
      </c>
      <c r="Z472" s="41">
        <f>IFERROR(IF(Y472=0,"",ROUNDUP(Y472/H472,0)*0.00651),"")</f>
        <v>0.27342</v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111.00000000000001</v>
      </c>
      <c r="BN472" s="78">
        <f>IFERROR(Y472*I472/H472,"0")</f>
        <v>111.88800000000001</v>
      </c>
      <c r="BO472" s="78">
        <f>IFERROR(1/J472*(X472/H472),"0")</f>
        <v>0.22893772893772898</v>
      </c>
      <c r="BP472" s="78">
        <f>IFERROR(1/J472*(Y472/H472),"0")</f>
        <v>0.23076923076923078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41.666666666666671</v>
      </c>
      <c r="Y474" s="43">
        <f>IFERROR(Y471/H471,"0")+IFERROR(Y472/H472,"0")+IFERROR(Y473/H473,"0")</f>
        <v>42</v>
      </c>
      <c r="Z474" s="43">
        <f>IFERROR(IF(Z471="",0,Z471),"0")+IFERROR(IF(Z472="",0,Z472),"0")+IFERROR(IF(Z473="",0,Z473),"0")</f>
        <v>0.27342</v>
      </c>
      <c r="AA474" s="67"/>
      <c r="AB474" s="67"/>
      <c r="AC474" s="67"/>
    </row>
    <row r="475" spans="1:68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100</v>
      </c>
      <c r="Y475" s="43">
        <f>IFERROR(SUM(Y471:Y473),"0")</f>
        <v>100.8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100</v>
      </c>
      <c r="Y507" s="55">
        <f t="shared" si="83"/>
        <v>100.32000000000001</v>
      </c>
      <c r="Z507" s="41">
        <f t="shared" si="84"/>
        <v>0.22724</v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106.62878787878788</v>
      </c>
      <c r="BN507" s="78">
        <f t="shared" si="86"/>
        <v>106.97</v>
      </c>
      <c r="BO507" s="78">
        <f t="shared" si="87"/>
        <v>0.18210955710955709</v>
      </c>
      <c r="BP507" s="78">
        <f t="shared" si="88"/>
        <v>0.18269230769230771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100</v>
      </c>
      <c r="Y508" s="55">
        <f t="shared" si="83"/>
        <v>100.32000000000001</v>
      </c>
      <c r="Z508" s="41">
        <f t="shared" si="84"/>
        <v>0.22724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106.62878787878788</v>
      </c>
      <c r="BN508" s="78">
        <f t="shared" si="86"/>
        <v>106.97</v>
      </c>
      <c r="BO508" s="78">
        <f t="shared" si="87"/>
        <v>0.18210955710955709</v>
      </c>
      <c r="BP508" s="78">
        <f t="shared" si="88"/>
        <v>0.18269230769230771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300</v>
      </c>
      <c r="Y511" s="55">
        <f t="shared" si="83"/>
        <v>300.96000000000004</v>
      </c>
      <c r="Z511" s="41">
        <f t="shared" si="84"/>
        <v>0.68171999999999999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319.88636363636363</v>
      </c>
      <c r="BN511" s="78">
        <f t="shared" si="86"/>
        <v>320.91000000000003</v>
      </c>
      <c r="BO511" s="78">
        <f t="shared" si="87"/>
        <v>0.54632867132867136</v>
      </c>
      <c r="BP511" s="78">
        <f t="shared" si="88"/>
        <v>0.54807692307692313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94.696969696969688</v>
      </c>
      <c r="Y515" s="43">
        <f>IFERROR(Y506/H506,"0")+IFERROR(Y507/H507,"0")+IFERROR(Y508/H508,"0")+IFERROR(Y509/H509,"0")+IFERROR(Y510/H510,"0")+IFERROR(Y511/H511,"0")+IFERROR(Y512/H512,"0")+IFERROR(Y513/H513,"0")+IFERROR(Y514/H514,"0")</f>
        <v>95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1.1362000000000001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500</v>
      </c>
      <c r="Y516" s="43">
        <f>IFERROR(SUM(Y506:Y514),"0")</f>
        <v>501.6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300</v>
      </c>
      <c r="Y518" s="55">
        <f>IFERROR(IF(X518="",0,CEILING((X518/$H518),1)*$H518),"")</f>
        <v>300.96000000000004</v>
      </c>
      <c r="Z518" s="41">
        <f>IFERROR(IF(Y518=0,"",ROUNDUP(Y518/H518,0)*0.01196),"")</f>
        <v>0.68171999999999999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319.88636363636363</v>
      </c>
      <c r="BN518" s="78">
        <f>IFERROR(Y518*I518/H518,"0")</f>
        <v>320.91000000000003</v>
      </c>
      <c r="BO518" s="78">
        <f>IFERROR(1/J518*(X518/H518),"0")</f>
        <v>0.54632867132867136</v>
      </c>
      <c r="BP518" s="78">
        <f>IFERROR(1/J518*(Y518/H518),"0")</f>
        <v>0.54807692307692313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56.818181818181813</v>
      </c>
      <c r="Y521" s="43">
        <f>IFERROR(Y518/H518,"0")+IFERROR(Y519/H519,"0")+IFERROR(Y520/H520,"0")</f>
        <v>57.000000000000007</v>
      </c>
      <c r="Z521" s="43">
        <f>IFERROR(IF(Z518="",0,Z518),"0")+IFERROR(IF(Z519="",0,Z519),"0")+IFERROR(IF(Z520="",0,Z520),"0")</f>
        <v>0.68171999999999999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300</v>
      </c>
      <c r="Y522" s="43">
        <f>IFERROR(SUM(Y518:Y520),"0")</f>
        <v>300.96000000000004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hidden="1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200</v>
      </c>
      <c r="Y526" s="55">
        <f t="shared" si="89"/>
        <v>200.64000000000001</v>
      </c>
      <c r="Z526" s="41">
        <f>IFERROR(IF(Y526=0,"",ROUNDUP(Y526/H526,0)*0.01196),"")</f>
        <v>0.45448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213.25757575757575</v>
      </c>
      <c r="BN526" s="78">
        <f t="shared" si="91"/>
        <v>213.94</v>
      </c>
      <c r="BO526" s="78">
        <f t="shared" si="92"/>
        <v>0.36421911421911418</v>
      </c>
      <c r="BP526" s="78">
        <f t="shared" si="93"/>
        <v>0.36538461538461542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37.878787878787875</v>
      </c>
      <c r="Y531" s="43">
        <f>IFERROR(Y524/H524,"0")+IFERROR(Y525/H525,"0")+IFERROR(Y526/H526,"0")+IFERROR(Y527/H527,"0")+IFERROR(Y528/H528,"0")+IFERROR(Y529/H529,"0")+IFERROR(Y530/H530,"0")</f>
        <v>38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0.45448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200</v>
      </c>
      <c r="Y532" s="43">
        <f>IFERROR(SUM(Y524:Y530),"0")</f>
        <v>200.64000000000001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5730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5851.6800000000012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6066.3688916022265</v>
      </c>
      <c r="Y562" s="43">
        <f>IFERROR(SUM(BN22:BN558),"0")</f>
        <v>6193.9740000000011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10</v>
      </c>
      <c r="Y563" s="44">
        <f>ROUNDUP(SUM(BP22:BP558),0)</f>
        <v>11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6316.3688916022265</v>
      </c>
      <c r="Y564" s="43">
        <f>GrossWeightTotalR+PalletQtyTotalR*25</f>
        <v>6468.9740000000011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1106.2493679160343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1124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11.61626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319.20000000000005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151.20000000000002</v>
      </c>
      <c r="F571" s="52">
        <f>IFERROR(Y87*1,"0")+IFERROR(Y88*1,"0")+IFERROR(Y89*1,"0")+IFERROR(Y90*1,"0")+IFERROR(Y91*1,"0")+IFERROR(Y92*1,"0")+IFERROR(Y96*1,"0")+IFERROR(Y97*1,"0")+IFERROR(Y98*1,"0")+IFERROR(Y99*1,"0")</f>
        <v>364.5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484.5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44.879999999999995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933.60000000000014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70.199999999999989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433.79999999999995</v>
      </c>
      <c r="U571" s="52">
        <f>IFERROR(Y419*1,"0")+IFERROR(Y420*1,"0")</f>
        <v>0</v>
      </c>
      <c r="V571" s="52">
        <f>IFERROR(Y425*1,"0")+IFERROR(Y426*1,"0")+IFERROR(Y427*1,"0")</f>
        <v>100.80000000000001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1845</v>
      </c>
      <c r="X571" s="52">
        <f>IFERROR(Y462*1,"0")+IFERROR(Y463*1,"0")+IFERROR(Y467*1,"0")+IFERROR(Y471*1,"0")+IFERROR(Y472*1,"0")+IFERROR(Y473*1,"0")</f>
        <v>100.8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1003.2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6,25"/>
        <filter val="1 200,00"/>
        <filter val="10"/>
        <filter val="10,00"/>
        <filter val="100,00"/>
        <filter val="12,82"/>
        <filter val="120,00"/>
        <filter val="13,89"/>
        <filter val="150,00"/>
        <filter val="180,00"/>
        <filter val="20,00"/>
        <filter val="200,00"/>
        <filter val="216,67"/>
        <filter val="22,59"/>
        <filter val="25,25"/>
        <filter val="250,00"/>
        <filter val="300,00"/>
        <filter val="310,00"/>
        <filter val="320,00"/>
        <filter val="37,88"/>
        <filter val="38,15"/>
        <filter val="40,00"/>
        <filter val="400,00"/>
        <filter val="41,67"/>
        <filter val="47,62"/>
        <filter val="5 730,00"/>
        <filter val="50,00"/>
        <filter val="500,00"/>
        <filter val="520,00"/>
        <filter val="55,38"/>
        <filter val="56,82"/>
        <filter val="6 066,37"/>
        <filter val="6 316,37"/>
        <filter val="60,00"/>
        <filter val="600,00"/>
        <filter val="67,90"/>
        <filter val="7,69"/>
        <filter val="70,00"/>
        <filter val="74,07"/>
        <filter val="75,00"/>
        <filter val="80,00"/>
        <filter val="88,89"/>
        <filter val="9,26"/>
        <filter val="94,7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