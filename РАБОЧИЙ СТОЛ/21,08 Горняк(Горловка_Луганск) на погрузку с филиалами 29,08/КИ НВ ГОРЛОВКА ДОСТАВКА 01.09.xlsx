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8-01.09.26_Г+Л\"/>
    </mc:Choice>
  </mc:AlternateContent>
  <xr:revisionPtr revIDLastSave="0" documentId="8_{A986CE9F-FA6A-4DF4-A53C-6B0144386D9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<sst xmlns="http://schemas.openxmlformats.org/spreadsheetml/2006/main" count="3643" uniqueCount="787">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</sst>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B1" zoomScale="92" zoomScaleNormal="92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/>
      <c r="R5" s="870"/>
      <c r="T5" s="871" t="s">
        <v>3</v>
      </c>
      <c r="U5" s="872"/>
      <c r="V5" s="873" t="s">
        <v>750</v>
      </c>
      <c r="W5" s="874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 xml:space="preserve"> 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/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>
        <v>46266</v>
      </c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62.4</v>
      </c>
      <c r="Y323" s="55">
        <f>IFERROR(IF(X323="",0,CEILING((X323/$H323),1)*$H323),"")</f>
        <v>62.4</v>
      </c>
      <c r="Z323" s="41">
        <f>IFERROR(IF(Y323=0,"",ROUNDUP(Y323/H323,0)*0.01898),"")</f>
        <v>0.15184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66.352000000000004</v>
      </c>
      <c r="BN323" s="78">
        <f>IFERROR(Y323*I323/H323,"0")</f>
        <v>66.352000000000004</v>
      </c>
      <c r="BO323" s="78">
        <f>IFERROR(1/J323*(X323/H323),"0")</f>
        <v>0.125</v>
      </c>
      <c r="BP323" s="78">
        <f>IFERROR(1/J323*(Y323/H323),"0")</f>
        <v>0.125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67.2</v>
      </c>
      <c r="Y324" s="55">
        <f>IFERROR(IF(X324="",0,CEILING((X324/$H324),1)*$H324),"")</f>
        <v>67.2</v>
      </c>
      <c r="Z324" s="41">
        <f>IFERROR(IF(Y324=0,"",ROUNDUP(Y324/H324,0)*0.01898),"")</f>
        <v>0.15184</v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71.152000000000001</v>
      </c>
      <c r="BN324" s="78">
        <f>IFERROR(Y324*I324/H324,"0")</f>
        <v>71.152000000000001</v>
      </c>
      <c r="BO324" s="78">
        <f>IFERROR(1/J324*(X324/H324),"0")</f>
        <v>0.125</v>
      </c>
      <c r="BP324" s="78">
        <f>IFERROR(1/J324*(Y324/H324),"0")</f>
        <v>0.125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129.6</v>
      </c>
      <c r="Y326" s="43">
        <f>IFERROR(SUM(Y322:Y324),"0")</f>
        <v>129.6</v>
      </c>
      <c r="Z326" s="42"/>
      <c r="AA326" s="67"/>
      <c r="AB326" s="67"/>
      <c r="AC326" s="67"/>
    </row>
    <row r="327" spans="1:68" ht="14.25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42.24</v>
      </c>
      <c r="Y431" s="55">
        <f t="shared" si="48"/>
        <v>42.24</v>
      </c>
      <c r="Z431" s="41">
        <f t="shared" si="49"/>
        <v>9.5680000000000001E-2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45.04</v>
      </c>
      <c r="BN431" s="78">
        <f t="shared" si="51"/>
        <v>45.04</v>
      </c>
      <c r="BO431" s="78">
        <f t="shared" si="52"/>
        <v>7.6923076923076927E-2</v>
      </c>
      <c r="BP431" s="78">
        <f t="shared" si="53"/>
        <v>7.6923076923076927E-2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84.48</v>
      </c>
      <c r="Y433" s="55">
        <f t="shared" si="48"/>
        <v>84.48</v>
      </c>
      <c r="Z433" s="41">
        <f t="shared" si="49"/>
        <v>0.19136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90.08</v>
      </c>
      <c r="BN433" s="78">
        <f t="shared" si="51"/>
        <v>90.08</v>
      </c>
      <c r="BO433" s="78">
        <f t="shared" si="52"/>
        <v>0.15384615384615385</v>
      </c>
      <c r="BP433" s="78">
        <f t="shared" si="53"/>
        <v>0.15384615384615385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24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24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0.28704000000000002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126.72</v>
      </c>
      <c r="Y440" s="43">
        <f>IFERROR(SUM(Y427:Y438),"0")</f>
        <v>126.72</v>
      </c>
      <c r="Z440" s="42"/>
      <c r="AA440" s="67"/>
      <c r="AB440" s="67"/>
      <c r="AC440" s="67"/>
    </row>
    <row r="441" spans="1:68" ht="14.25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936.96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936.96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985.69600000000003</v>
      </c>
      <c r="Y489" s="43">
        <f>IFERROR(SUM(BN22:BN485),"0")</f>
        <v>985.69600000000003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1035.6959999999999</v>
      </c>
      <c r="Y491" s="43">
        <f>GrossWeightTotalR+PalletQtyTotalR*25</f>
        <v>1035.6959999999999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118</v>
      </c>
      <c r="Z492" s="42"/>
      <c r="AA492" s="67"/>
      <c r="AB492" s="67"/>
      <c r="AC492" s="67"/>
    </row>
    <row r="493" spans="1:68" ht="14.25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1.8847399999999999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312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168.96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2026-08-21T10:47:03Z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