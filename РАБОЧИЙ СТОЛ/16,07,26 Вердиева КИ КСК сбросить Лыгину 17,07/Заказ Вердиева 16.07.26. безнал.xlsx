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EBE74AD-7966-41F4-989A-F50479E7DC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P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Y37" i="2" l="1"/>
  <c r="Z309" i="2"/>
  <c r="Z232" i="2"/>
  <c r="Z163" i="2"/>
  <c r="Z164" i="2" s="1"/>
  <c r="BP108" i="2"/>
  <c r="Z219" i="2"/>
  <c r="Z419" i="2"/>
  <c r="Z89" i="2"/>
  <c r="Z129" i="2"/>
  <c r="Z130" i="2" s="1"/>
  <c r="BN129" i="2"/>
  <c r="BP129" i="2"/>
  <c r="Y130" i="2"/>
  <c r="BP199" i="2"/>
  <c r="Z222" i="2"/>
  <c r="Z262" i="2"/>
  <c r="BN262" i="2"/>
  <c r="BP294" i="2"/>
  <c r="Z320" i="2"/>
  <c r="BN320" i="2"/>
  <c r="Z325" i="2"/>
  <c r="BP373" i="2"/>
  <c r="Z409" i="2"/>
  <c r="Z460" i="2"/>
  <c r="BN460" i="2"/>
  <c r="Y462" i="2"/>
  <c r="X536" i="2"/>
  <c r="X534" i="2"/>
  <c r="Z65" i="2"/>
  <c r="BN65" i="2"/>
  <c r="Z117" i="2"/>
  <c r="BN117" i="2"/>
  <c r="Z152" i="2"/>
  <c r="BN152" i="2"/>
  <c r="Z176" i="2"/>
  <c r="BN176" i="2"/>
  <c r="Z202" i="2"/>
  <c r="Z221" i="2"/>
  <c r="Z231" i="2"/>
  <c r="Z254" i="2"/>
  <c r="Z275" i="2"/>
  <c r="Z281" i="2"/>
  <c r="BN281" i="2"/>
  <c r="Z297" i="2"/>
  <c r="BP317" i="2"/>
  <c r="Z354" i="2"/>
  <c r="Z372" i="2"/>
  <c r="Z407" i="2"/>
  <c r="BN407" i="2"/>
  <c r="Z411" i="2"/>
  <c r="BN411" i="2"/>
  <c r="Z516" i="2"/>
  <c r="BN53" i="2"/>
  <c r="BP53" i="2"/>
  <c r="BP63" i="2"/>
  <c r="BN63" i="2"/>
  <c r="Z63" i="2"/>
  <c r="BN91" i="2"/>
  <c r="BN159" i="2"/>
  <c r="BP174" i="2"/>
  <c r="BN174" i="2"/>
  <c r="Z174" i="2"/>
  <c r="BN201" i="2"/>
  <c r="Z201" i="2"/>
  <c r="BN225" i="2"/>
  <c r="BN255" i="2"/>
  <c r="Z255" i="2"/>
  <c r="BN276" i="2"/>
  <c r="BN278" i="2"/>
  <c r="BP293" i="2"/>
  <c r="BN293" i="2"/>
  <c r="Z293" i="2"/>
  <c r="BP327" i="2"/>
  <c r="BN327" i="2"/>
  <c r="Z327" i="2"/>
  <c r="BN346" i="2"/>
  <c r="Y350" i="2"/>
  <c r="Z353" i="2"/>
  <c r="BP353" i="2"/>
  <c r="BN357" i="2"/>
  <c r="BN394" i="2"/>
  <c r="BN400" i="2"/>
  <c r="Z408" i="2"/>
  <c r="BP408" i="2"/>
  <c r="BN413" i="2"/>
  <c r="Z413" i="2"/>
  <c r="Z429" i="2"/>
  <c r="Z430" i="2" s="1"/>
  <c r="Y430" i="2"/>
  <c r="BN429" i="2"/>
  <c r="BN454" i="2"/>
  <c r="Y514" i="2"/>
  <c r="Z512" i="2"/>
  <c r="Z513" i="2" s="1"/>
  <c r="X535" i="2"/>
  <c r="X537" i="2" s="1"/>
  <c r="X538" i="2"/>
  <c r="Z27" i="2"/>
  <c r="BN27" i="2"/>
  <c r="Z42" i="2"/>
  <c r="BN42" i="2"/>
  <c r="BP73" i="2"/>
  <c r="BN73" i="2"/>
  <c r="Z73" i="2"/>
  <c r="BN113" i="2"/>
  <c r="BN123" i="2"/>
  <c r="BP139" i="2"/>
  <c r="Z139" i="2"/>
  <c r="Y194" i="2"/>
  <c r="Y193" i="2"/>
  <c r="BP192" i="2"/>
  <c r="BN192" i="2"/>
  <c r="Z192" i="2"/>
  <c r="Z193" i="2" s="1"/>
  <c r="Y211" i="2"/>
  <c r="Y210" i="2"/>
  <c r="BP209" i="2"/>
  <c r="BN209" i="2"/>
  <c r="Z209" i="2"/>
  <c r="Z210" i="2" s="1"/>
  <c r="BP218" i="2"/>
  <c r="Z218" i="2"/>
  <c r="BP264" i="2"/>
  <c r="BN264" i="2"/>
  <c r="Z264" i="2"/>
  <c r="BP271" i="2"/>
  <c r="Z271" i="2"/>
  <c r="BN295" i="2"/>
  <c r="Z295" i="2"/>
  <c r="BN318" i="2"/>
  <c r="Z318" i="2"/>
  <c r="BN356" i="2"/>
  <c r="Z356" i="2"/>
  <c r="BN365" i="2"/>
  <c r="Z365" i="2"/>
  <c r="BP368" i="2"/>
  <c r="BN368" i="2"/>
  <c r="Z368" i="2"/>
  <c r="BN374" i="2"/>
  <c r="Z374" i="2"/>
  <c r="BP381" i="2"/>
  <c r="Z381" i="2"/>
  <c r="Y396" i="2"/>
  <c r="Y395" i="2"/>
  <c r="BN393" i="2"/>
  <c r="Z393" i="2"/>
  <c r="BN399" i="2"/>
  <c r="Z399" i="2"/>
  <c r="BP413" i="2"/>
  <c r="Z418" i="2"/>
  <c r="BP418" i="2"/>
  <c r="BN445" i="2"/>
  <c r="BN482" i="2"/>
  <c r="BN517" i="2"/>
  <c r="BP517" i="2"/>
  <c r="Y92" i="2"/>
  <c r="Y165" i="2"/>
  <c r="BN170" i="2"/>
  <c r="BP202" i="2"/>
  <c r="BN203" i="2"/>
  <c r="Y228" i="2"/>
  <c r="BN217" i="2"/>
  <c r="BP219" i="2"/>
  <c r="BP221" i="2"/>
  <c r="BP231" i="2"/>
  <c r="Y268" i="2"/>
  <c r="BP297" i="2"/>
  <c r="BP309" i="2"/>
  <c r="BN310" i="2"/>
  <c r="BN336" i="2"/>
  <c r="BN362" i="2"/>
  <c r="BN366" i="2"/>
  <c r="BP372" i="2"/>
  <c r="Y383" i="2"/>
  <c r="BN380" i="2"/>
  <c r="BN387" i="2"/>
  <c r="BN452" i="2"/>
  <c r="Y463" i="2"/>
  <c r="BN497" i="2"/>
  <c r="BN499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Z160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312" i="2" l="1"/>
  <c r="Z426" i="2"/>
  <c r="Z184" i="2"/>
  <c r="Z527" i="2"/>
  <c r="Z462" i="2"/>
  <c r="Z99" i="2"/>
  <c r="Z321" i="2"/>
  <c r="Z421" i="2"/>
  <c r="Z235" i="2"/>
  <c r="Z46" i="2"/>
  <c r="Z389" i="2"/>
  <c r="Z32" i="2"/>
  <c r="Z395" i="2"/>
  <c r="Z473" i="2"/>
  <c r="Z382" i="2"/>
  <c r="Z415" i="2"/>
  <c r="Z349" i="2"/>
  <c r="Z282" i="2"/>
  <c r="Z376" i="2"/>
  <c r="Z328" i="2"/>
  <c r="Z402" i="2"/>
  <c r="Z298" i="2"/>
  <c r="Z256" i="2"/>
  <c r="Z359" i="2"/>
  <c r="Z92" i="2"/>
  <c r="Z55" i="2"/>
  <c r="Z369" i="2"/>
  <c r="Z267" i="2"/>
  <c r="Z251" i="2"/>
  <c r="Z154" i="2"/>
  <c r="Z84" i="2"/>
  <c r="Z205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<sst xmlns="http://schemas.openxmlformats.org/spreadsheetml/2006/main" count="4039" uniqueCount="855">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</sst>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46216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Понедельник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20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20.75925925925926</v>
      </c>
      <c r="BN51" s="78">
        <f>IFERROR(Y51*I51/H51,"0")</f>
        <v>22.42</v>
      </c>
      <c r="BO51" s="78">
        <f>IFERROR(1/J51*(X51/H51),"0")</f>
        <v>2.8935185185185182E-2</v>
      </c>
      <c r="BP51" s="78">
        <f>IFERROR(1/J51*(Y51/H51),"0")</f>
        <v>3.125E-2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3.8518518518518516</v>
      </c>
      <c r="Y55" s="43">
        <f>IFERROR(Y51/H51,"0")+IFERROR(Y52/H52,"0")+IFERROR(Y53/H53,"0")+IFERROR(Y54/H54,"0")</f>
        <v>4</v>
      </c>
      <c r="Z55" s="43">
        <f>IFERROR(IF(Z51="",0,Z51),"0")+IFERROR(IF(Z52="",0,Z52),"0")+IFERROR(IF(Z53="",0,Z53),"0")+IFERROR(IF(Z54="",0,Z54),"0")</f>
        <v>5.6000000000000001E-2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28</v>
      </c>
      <c r="Y56" s="43">
        <f>IFERROR(SUM(Y51:Y54),"0")</f>
        <v>29.6</v>
      </c>
      <c r="Z56" s="42"/>
      <c r="AA56" s="67"/>
      <c r="AB56" s="67"/>
      <c r="AC56" s="67"/>
    </row>
    <row r="57" spans="1:68" ht="16.5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25</v>
      </c>
      <c r="Y61" s="55">
        <f t="shared" si="0"/>
        <v>32.400000000000006</v>
      </c>
      <c r="Z61" s="41">
        <f>IFERROR(IF(Y61=0,"",ROUNDUP(Y61/H61,0)*0.01898),"")</f>
        <v>5.6940000000000004E-2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25.949074074074073</v>
      </c>
      <c r="BN61" s="78">
        <f t="shared" si="2"/>
        <v>33.630000000000003</v>
      </c>
      <c r="BO61" s="78">
        <f t="shared" si="3"/>
        <v>3.6168981481481483E-2</v>
      </c>
      <c r="BP61" s="78">
        <f t="shared" si="4"/>
        <v>4.6875000000000007E-2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13.5</v>
      </c>
      <c r="Y66" s="55">
        <f t="shared" si="0"/>
        <v>13.5</v>
      </c>
      <c r="Z66" s="41">
        <f>IFERROR(IF(Y66=0,"",ROUNDUP(Y66/H66,0)*0.00902),"")</f>
        <v>2.7060000000000001E-2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14.07</v>
      </c>
      <c r="BN66" s="78">
        <f t="shared" si="2"/>
        <v>14.07</v>
      </c>
      <c r="BO66" s="78">
        <f t="shared" si="3"/>
        <v>2.2727272727272728E-2</v>
      </c>
      <c r="BP66" s="78">
        <f t="shared" si="4"/>
        <v>2.2727272727272728E-2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5.3148148148148149</v>
      </c>
      <c r="Y67" s="43">
        <f>IFERROR(Y59/H59,"0")+IFERROR(Y60/H60,"0")+IFERROR(Y61/H61,"0")+IFERROR(Y62/H62,"0")+IFERROR(Y63/H63,"0")+IFERROR(Y64/H64,"0")+IFERROR(Y65/H65,"0")+IFERROR(Y66/H66,"0")</f>
        <v>6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8.4000000000000005E-2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38.5</v>
      </c>
      <c r="Y68" s="43">
        <f>IFERROR(SUM(Y59:Y66),"0")</f>
        <v>45.900000000000006</v>
      </c>
      <c r="Z68" s="42"/>
      <c r="AA68" s="67"/>
      <c r="AB68" s="67"/>
      <c r="AC68" s="67"/>
    </row>
    <row r="69" spans="1:68" ht="14.25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40</v>
      </c>
      <c r="Y70" s="55">
        <f>IFERROR(IF(X70="",0,CEILING((X70/$H70),1)*$H70),"")</f>
        <v>43.2</v>
      </c>
      <c r="Z70" s="41">
        <f>IFERROR(IF(Y70=0,"",ROUNDUP(Y70/H70,0)*0.01898),"")</f>
        <v>7.5920000000000001E-2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41.518518518518519</v>
      </c>
      <c r="BN70" s="78">
        <f>IFERROR(Y70*I70/H70,"0")</f>
        <v>44.84</v>
      </c>
      <c r="BO70" s="78">
        <f>IFERROR(1/J70*(X70/H70),"0")</f>
        <v>5.7870370370370364E-2</v>
      </c>
      <c r="BP70" s="78">
        <f>IFERROR(1/J70*(Y70/H70),"0")</f>
        <v>6.25E-2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18</v>
      </c>
      <c r="Y73" s="55">
        <f>IFERROR(IF(X73="",0,CEILING((X73/$H73),1)*$H73),"")</f>
        <v>18.900000000000002</v>
      </c>
      <c r="Z73" s="41">
        <f>IFERROR(IF(Y73=0,"",ROUNDUP(Y73/H73,0)*0.00651),"")</f>
        <v>4.5569999999999999E-2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19.199999999999996</v>
      </c>
      <c r="BN73" s="78">
        <f>IFERROR(Y73*I73/H73,"0")</f>
        <v>20.16</v>
      </c>
      <c r="BO73" s="78">
        <f>IFERROR(1/J73*(X73/H73),"0")</f>
        <v>3.6630036630036632E-2</v>
      </c>
      <c r="BP73" s="78">
        <f>IFERROR(1/J73*(Y73/H73),"0")</f>
        <v>3.8461538461538464E-2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10.37037037037037</v>
      </c>
      <c r="Y74" s="43">
        <f>IFERROR(Y70/H70,"0")+IFERROR(Y71/H71,"0")+IFERROR(Y72/H72,"0")+IFERROR(Y73/H73,"0")</f>
        <v>11</v>
      </c>
      <c r="Z74" s="43">
        <f>IFERROR(IF(Z70="",0,Z70),"0")+IFERROR(IF(Z71="",0,Z71),"0")+IFERROR(IF(Z72="",0,Z72),"0")+IFERROR(IF(Z73="",0,Z73),"0")</f>
        <v>0.12149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58</v>
      </c>
      <c r="Y75" s="43">
        <f>IFERROR(SUM(Y70:Y73),"0")</f>
        <v>62.100000000000009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5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4.5100000000000001E-2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22.5</v>
      </c>
      <c r="Y93" s="43">
        <f>IFERROR(SUM(Y88:Y91),"0")</f>
        <v>22.5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40</v>
      </c>
      <c r="Y95" s="55">
        <f>IFERROR(IF(X95="",0,CEILING((X95/$H95),1)*$H95),"")</f>
        <v>40.5</v>
      </c>
      <c r="Z95" s="41">
        <f>IFERROR(IF(Y95=0,"",ROUNDUP(Y95/H95,0)*0.01898),"")</f>
        <v>9.4899999999999998E-2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42.439506172839508</v>
      </c>
      <c r="BN95" s="78">
        <f>IFERROR(Y95*I95/H95,"0")</f>
        <v>42.97</v>
      </c>
      <c r="BO95" s="78">
        <f>IFERROR(1/J95*(X95/H95),"0")</f>
        <v>7.7160493827160503E-2</v>
      </c>
      <c r="BP95" s="78">
        <f>IFERROR(1/J95*(Y95/H95),"0")</f>
        <v>7.8125E-2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22.5</v>
      </c>
      <c r="Y97" s="55">
        <f>IFERROR(IF(X97="",0,CEILING((X97/$H97),1)*$H97),"")</f>
        <v>24.3</v>
      </c>
      <c r="Z97" s="41">
        <f>IFERROR(IF(Y97=0,"",ROUNDUP(Y97/H97,0)*0.00651),"")</f>
        <v>5.8590000000000003E-2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24.599999999999998</v>
      </c>
      <c r="BN97" s="78">
        <f>IFERROR(Y97*I97/H97,"0")</f>
        <v>26.567999999999998</v>
      </c>
      <c r="BO97" s="78">
        <f>IFERROR(1/J97*(X97/H97),"0")</f>
        <v>4.5787545787545784E-2</v>
      </c>
      <c r="BP97" s="78">
        <f>IFERROR(1/J97*(Y97/H97),"0")</f>
        <v>4.9450549450549455E-2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13.271604938271604</v>
      </c>
      <c r="Y99" s="43">
        <f>IFERROR(Y95/H95,"0")+IFERROR(Y96/H96,"0")+IFERROR(Y97/H97,"0")+IFERROR(Y98/H98,"0")</f>
        <v>14</v>
      </c>
      <c r="Z99" s="43">
        <f>IFERROR(IF(Z95="",0,Z95),"0")+IFERROR(IF(Z96="",0,Z96),"0")+IFERROR(IF(Z97="",0,Z97),"0")+IFERROR(IF(Z98="",0,Z98),"0")</f>
        <v>0.15349000000000002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62.5</v>
      </c>
      <c r="Y100" s="43">
        <f>IFERROR(SUM(Y95:Y98),"0")</f>
        <v>64.8</v>
      </c>
      <c r="Z100" s="42"/>
      <c r="AA100" s="67"/>
      <c r="AB100" s="67"/>
      <c r="AC100" s="67"/>
    </row>
    <row r="101" spans="1:68" ht="16.5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35</v>
      </c>
      <c r="Y103" s="55">
        <f t="shared" ref="Y103:Y108" si="5">IFERROR(IF(X103="",0,CEILING((X103/$H103),1)*$H103),"")</f>
        <v>43.2</v>
      </c>
      <c r="Z103" s="41">
        <f>IFERROR(IF(Y103=0,"",ROUNDUP(Y103/H103,0)*0.01898),"")</f>
        <v>7.5920000000000001E-2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36.328703703703702</v>
      </c>
      <c r="BN103" s="78">
        <f t="shared" ref="BN103:BN108" si="7">IFERROR(Y103*I103/H103,"0")</f>
        <v>44.84</v>
      </c>
      <c r="BO103" s="78">
        <f t="shared" ref="BO103:BO108" si="8">IFERROR(1/J103*(X103/H103),"0")</f>
        <v>5.063657407407407E-2</v>
      </c>
      <c r="BP103" s="78">
        <f t="shared" ref="BP103:BP108" si="9">IFERROR(1/J103*(Y103/H103),"0")</f>
        <v>6.25E-2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22.5</v>
      </c>
      <c r="Y107" s="55">
        <f t="shared" si="5"/>
        <v>22.5</v>
      </c>
      <c r="Z107" s="41">
        <f>IFERROR(IF(Y107=0,"",ROUNDUP(Y107/H107,0)*0.00902),"")</f>
        <v>4.5100000000000001E-2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23.450000000000003</v>
      </c>
      <c r="BN107" s="78">
        <f t="shared" si="7"/>
        <v>23.450000000000003</v>
      </c>
      <c r="BO107" s="78">
        <f t="shared" si="8"/>
        <v>3.787878787878788E-2</v>
      </c>
      <c r="BP107" s="78">
        <f t="shared" si="9"/>
        <v>3.787878787878788E-2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8.2407407407407405</v>
      </c>
      <c r="Y109" s="43">
        <f>IFERROR(Y103/H103,"0")+IFERROR(Y104/H104,"0")+IFERROR(Y105/H105,"0")+IFERROR(Y106/H106,"0")+IFERROR(Y107/H107,"0")+IFERROR(Y108/H108,"0")</f>
        <v>9</v>
      </c>
      <c r="Z109" s="43">
        <f>IFERROR(IF(Z103="",0,Z103),"0")+IFERROR(IF(Z104="",0,Z104),"0")+IFERROR(IF(Z105="",0,Z105),"0")+IFERROR(IF(Z106="",0,Z106),"0")+IFERROR(IF(Z107="",0,Z107),"0")+IFERROR(IF(Z108="",0,Z108),"0")</f>
        <v>0.12102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57.5</v>
      </c>
      <c r="Y110" s="43">
        <f>IFERROR(SUM(Y103:Y108),"0")</f>
        <v>65.7</v>
      </c>
      <c r="Z110" s="42"/>
      <c r="AA110" s="67"/>
      <c r="AB110" s="67"/>
      <c r="AC110" s="67"/>
    </row>
    <row r="111" spans="1:68" ht="14.25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60</v>
      </c>
      <c r="Y122" s="55">
        <f>IFERROR(IF(X122="",0,CEILING((X122/$H122),1)*$H122),"")</f>
        <v>64.8</v>
      </c>
      <c r="Z122" s="41">
        <f>IFERROR(IF(Y122=0,"",ROUNDUP(Y122/H122,0)*0.01898),"")</f>
        <v>0.15184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63.614814814814814</v>
      </c>
      <c r="BN122" s="78">
        <f>IFERROR(Y122*I122/H122,"0")</f>
        <v>68.703999999999994</v>
      </c>
      <c r="BO122" s="78">
        <f>IFERROR(1/J122*(X122/H122),"0")</f>
        <v>0.11574074074074074</v>
      </c>
      <c r="BP122" s="78">
        <f>IFERROR(1/J122*(Y122/H122),"0")</f>
        <v>0.125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22.5</v>
      </c>
      <c r="Y124" s="55">
        <f>IFERROR(IF(X124="",0,CEILING((X124/$H124),1)*$H124),"")</f>
        <v>24.3</v>
      </c>
      <c r="Z124" s="41">
        <f>IFERROR(IF(Y124=0,"",ROUNDUP(Y124/H124,0)*0.00651),"")</f>
        <v>5.8590000000000003E-2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24.599999999999998</v>
      </c>
      <c r="BN124" s="78">
        <f>IFERROR(Y124*I124/H124,"0")</f>
        <v>26.567999999999998</v>
      </c>
      <c r="BO124" s="78">
        <f>IFERROR(1/J124*(X124/H124),"0")</f>
        <v>4.5787545787545784E-2</v>
      </c>
      <c r="BP124" s="78">
        <f>IFERROR(1/J124*(Y124/H124),"0")</f>
        <v>4.9450549450549455E-2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15.74074074074074</v>
      </c>
      <c r="Y126" s="43">
        <f>IFERROR(Y122/H122,"0")+IFERROR(Y123/H123,"0")+IFERROR(Y124/H124,"0")+IFERROR(Y125/H125,"0")</f>
        <v>17</v>
      </c>
      <c r="Z126" s="43">
        <f>IFERROR(IF(Z122="",0,Z122),"0")+IFERROR(IF(Z123="",0,Z123),"0")+IFERROR(IF(Z124="",0,Z124),"0")+IFERROR(IF(Z125="",0,Z125),"0")</f>
        <v>0.21043000000000001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82.5</v>
      </c>
      <c r="Y127" s="43">
        <f>IFERROR(SUM(Y122:Y125),"0")</f>
        <v>89.1</v>
      </c>
      <c r="Z127" s="42"/>
      <c r="AA127" s="67"/>
      <c r="AB127" s="67"/>
      <c r="AC127" s="67"/>
    </row>
    <row r="128" spans="1:68" ht="14.25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20</v>
      </c>
      <c r="Y260" s="55">
        <f t="shared" si="32"/>
        <v>21.6</v>
      </c>
      <c r="Z260" s="41">
        <f>IFERROR(IF(Y260=0,"",ROUNDUP(Y260/H260,0)*0.00902),"")</f>
        <v>3.6080000000000001E-2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20.703703703703702</v>
      </c>
      <c r="BN260" s="78">
        <f t="shared" si="34"/>
        <v>22.36</v>
      </c>
      <c r="BO260" s="78">
        <f t="shared" si="35"/>
        <v>2.8058361391694722E-2</v>
      </c>
      <c r="BP260" s="78">
        <f t="shared" si="36"/>
        <v>3.0303030303030304E-2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15</v>
      </c>
      <c r="Y262" s="55">
        <f t="shared" si="32"/>
        <v>16.200000000000003</v>
      </c>
      <c r="Z262" s="41">
        <f>IFERROR(IF(Y262=0,"",ROUNDUP(Y262/H262,0)*0.00902),"")</f>
        <v>2.7060000000000001E-2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15.527777777777775</v>
      </c>
      <c r="BN262" s="78">
        <f t="shared" si="34"/>
        <v>16.77</v>
      </c>
      <c r="BO262" s="78">
        <f t="shared" si="35"/>
        <v>2.1043771043771045E-2</v>
      </c>
      <c r="BP262" s="78">
        <f t="shared" si="36"/>
        <v>2.2727272727272731E-2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6.481481481481481</v>
      </c>
      <c r="Y267" s="43">
        <f>IFERROR(Y259/H259,"0")+IFERROR(Y260/H260,"0")+IFERROR(Y261/H261,"0")+IFERROR(Y262/H262,"0")+IFERROR(Y263/H263,"0")+IFERROR(Y264/H264,"0")+IFERROR(Y265/H265,"0")+IFERROR(Y266/H266,"0")</f>
        <v>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6.3140000000000002E-2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35</v>
      </c>
      <c r="Y268" s="43">
        <f>IFERROR(SUM(Y259:Y266),"0")</f>
        <v>37.800000000000004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10</v>
      </c>
      <c r="Y272" s="55">
        <f t="shared" si="37"/>
        <v>17.399999999999999</v>
      </c>
      <c r="Z272" s="41">
        <f>IFERROR(IF(Y272=0,"",ROUNDUP(Y272/H272,0)*0.01898),"")</f>
        <v>3.7960000000000001E-2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10.567816091954025</v>
      </c>
      <c r="BN272" s="78">
        <f t="shared" si="39"/>
        <v>18.388000000000002</v>
      </c>
      <c r="BO272" s="78">
        <f t="shared" si="40"/>
        <v>1.7959770114942531E-2</v>
      </c>
      <c r="BP272" s="78">
        <f t="shared" si="41"/>
        <v>3.125E-2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6</v>
      </c>
      <c r="Y273" s="55">
        <f t="shared" si="37"/>
        <v>7.1999999999999993</v>
      </c>
      <c r="Z273" s="41">
        <f>IFERROR(IF(Y273=0,"",ROUNDUP(Y273/H273,0)*0.00651),"")</f>
        <v>1.9529999999999999E-2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6.6749999999999998</v>
      </c>
      <c r="BN273" s="78">
        <f t="shared" si="39"/>
        <v>8.009999999999998</v>
      </c>
      <c r="BO273" s="78">
        <f t="shared" si="40"/>
        <v>1.3736263736263738E-2</v>
      </c>
      <c r="BP273" s="78">
        <f t="shared" si="41"/>
        <v>1.6483516483516484E-2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12</v>
      </c>
      <c r="Y276" s="55">
        <f t="shared" si="37"/>
        <v>12</v>
      </c>
      <c r="Z276" s="41">
        <f>IFERROR(IF(Y276=0,"",ROUNDUP(Y276/H276,0)*0.00651),"")</f>
        <v>3.2550000000000003E-2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13.260000000000002</v>
      </c>
      <c r="BN276" s="78">
        <f t="shared" si="39"/>
        <v>13.260000000000002</v>
      </c>
      <c r="BO276" s="78">
        <f t="shared" si="40"/>
        <v>2.7472527472527476E-2</v>
      </c>
      <c r="BP276" s="78">
        <f t="shared" si="41"/>
        <v>2.7472527472527476E-2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6</v>
      </c>
      <c r="Y278" s="55">
        <f t="shared" si="37"/>
        <v>7.1999999999999993</v>
      </c>
      <c r="Z278" s="41">
        <f>IFERROR(IF(Y278=0,"",ROUNDUP(Y278/H278,0)*0.00651),"")</f>
        <v>1.9529999999999999E-2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6.6300000000000008</v>
      </c>
      <c r="BN278" s="78">
        <f t="shared" si="39"/>
        <v>7.9560000000000004</v>
      </c>
      <c r="BO278" s="78">
        <f t="shared" si="40"/>
        <v>1.3736263736263738E-2</v>
      </c>
      <c r="BP278" s="78">
        <f t="shared" si="41"/>
        <v>1.6483516483516484E-2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4</v>
      </c>
      <c r="Y279" s="55">
        <f t="shared" si="37"/>
        <v>4.8</v>
      </c>
      <c r="Z279" s="41">
        <f>IFERROR(IF(Y279=0,"",ROUNDUP(Y279/H279,0)*0.00651),"")</f>
        <v>1.302E-2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4.4200000000000008</v>
      </c>
      <c r="BN279" s="78">
        <f t="shared" si="39"/>
        <v>5.3040000000000003</v>
      </c>
      <c r="BO279" s="78">
        <f t="shared" si="40"/>
        <v>9.1575091575091579E-3</v>
      </c>
      <c r="BP279" s="78">
        <f t="shared" si="41"/>
        <v>1.098901098901099E-2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6</v>
      </c>
      <c r="Y280" s="55">
        <f t="shared" si="37"/>
        <v>7.1999999999999993</v>
      </c>
      <c r="Z280" s="41">
        <f>IFERROR(IF(Y280=0,"",ROUNDUP(Y280/H280,0)*0.00651),"")</f>
        <v>1.9529999999999999E-2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6.6450000000000005</v>
      </c>
      <c r="BN280" s="78">
        <f t="shared" si="39"/>
        <v>7.9740000000000002</v>
      </c>
      <c r="BO280" s="78">
        <f t="shared" si="40"/>
        <v>1.3736263736263738E-2</v>
      </c>
      <c r="BP280" s="78">
        <f t="shared" si="41"/>
        <v>1.6483516483516484E-2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15.316091954022989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0.14212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44</v>
      </c>
      <c r="Y283" s="43">
        <f>IFERROR(SUM(Y270:Y281),"0")</f>
        <v>55.8</v>
      </c>
      <c r="Z283" s="42"/>
      <c r="AA283" s="67"/>
      <c r="AB283" s="67"/>
      <c r="AC283" s="67"/>
    </row>
    <row r="284" spans="1:68" ht="14.25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6</v>
      </c>
      <c r="Y326" s="55">
        <f>IFERROR(IF(X326="",0,CEILING((X326/$H326),1)*$H326),"")</f>
        <v>7.1999999999999993</v>
      </c>
      <c r="Z326" s="41">
        <f>IFERROR(IF(Y326=0,"",ROUNDUP(Y326/H326,0)*0.00651),"")</f>
        <v>1.9529999999999999E-2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6.6300000000000008</v>
      </c>
      <c r="BN326" s="78">
        <f>IFERROR(Y326*I326/H326,"0")</f>
        <v>7.9560000000000004</v>
      </c>
      <c r="BO326" s="78">
        <f>IFERROR(1/J326*(X326/H326),"0")</f>
        <v>1.3736263736263738E-2</v>
      </c>
      <c r="BP326" s="78">
        <f>IFERROR(1/J326*(Y326/H326),"0")</f>
        <v>1.6483516483516484E-2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6</v>
      </c>
      <c r="Y327" s="55">
        <f>IFERROR(IF(X327="",0,CEILING((X327/$H327),1)*$H327),"")</f>
        <v>7.1999999999999993</v>
      </c>
      <c r="Z327" s="41">
        <f>IFERROR(IF(Y327=0,"",ROUNDUP(Y327/H327,0)*0.00651),"")</f>
        <v>1.9529999999999999E-2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6.45</v>
      </c>
      <c r="BN327" s="78">
        <f>IFERROR(Y327*I327/H327,"0")</f>
        <v>7.7399999999999993</v>
      </c>
      <c r="BO327" s="78">
        <f>IFERROR(1/J327*(X327/H327),"0")</f>
        <v>1.3736263736263738E-2</v>
      </c>
      <c r="BP327" s="78">
        <f>IFERROR(1/J327*(Y327/H327),"0")</f>
        <v>1.6483516483516484E-2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5</v>
      </c>
      <c r="Y328" s="43">
        <f>IFERROR(Y325/H325,"0")+IFERROR(Y326/H326,"0")+IFERROR(Y327/H327,"0")</f>
        <v>6</v>
      </c>
      <c r="Z328" s="43">
        <f>IFERROR(IF(Z325="",0,Z325),"0")+IFERROR(IF(Z326="",0,Z326),"0")+IFERROR(IF(Z327="",0,Z327),"0")</f>
        <v>3.9059999999999997E-2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12</v>
      </c>
      <c r="Y329" s="43">
        <f>IFERROR(SUM(Y325:Y327),"0")</f>
        <v>14.399999999999999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7</v>
      </c>
      <c r="Y365" s="55">
        <f t="shared" si="52"/>
        <v>8.4</v>
      </c>
      <c r="Z365" s="41">
        <f>IFERROR(IF(Y365=0,"",ROUNDUP(Y365/H365,0)*0.00502),"")</f>
        <v>2.0080000000000001E-2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7.4333333333333327</v>
      </c>
      <c r="BN365" s="78">
        <f t="shared" si="54"/>
        <v>8.92</v>
      </c>
      <c r="BO365" s="78">
        <f t="shared" si="55"/>
        <v>1.4245014245014245E-2</v>
      </c>
      <c r="BP365" s="78">
        <f t="shared" si="56"/>
        <v>1.7094017094017096E-2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3.333333333333333</v>
      </c>
      <c r="Y369" s="43">
        <f>IFERROR(Y362/H362,"0")+IFERROR(Y363/H363,"0")+IFERROR(Y364/H364,"0")+IFERROR(Y365/H365,"0")+IFERROR(Y366/H366,"0")+IFERROR(Y367/H367,"0")+IFERROR(Y368/H368,"0")</f>
        <v>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2.0080000000000001E-2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7</v>
      </c>
      <c r="Y370" s="43">
        <f>IFERROR(SUM(Y362:Y368),"0")</f>
        <v>8.4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40</v>
      </c>
      <c r="Y380" s="55">
        <f>IFERROR(IF(X380="",0,CEILING((X380/$H380),1)*$H380),"")</f>
        <v>46.8</v>
      </c>
      <c r="Z380" s="41">
        <f>IFERROR(IF(Y380=0,"",ROUNDUP(Y380/H380,0)*0.01898),"")</f>
        <v>0.11388000000000001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42.533333333333331</v>
      </c>
      <c r="BN380" s="78">
        <f>IFERROR(Y380*I380/H380,"0")</f>
        <v>49.764000000000003</v>
      </c>
      <c r="BO380" s="78">
        <f>IFERROR(1/J380*(X380/H380),"0")</f>
        <v>8.0128205128205135E-2</v>
      </c>
      <c r="BP380" s="78">
        <f>IFERROR(1/J380*(Y380/H380),"0")</f>
        <v>9.375E-2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5.1282051282051286</v>
      </c>
      <c r="Y382" s="43">
        <f>IFERROR(Y379/H379,"0")+IFERROR(Y380/H380,"0")+IFERROR(Y381/H381,"0")</f>
        <v>6</v>
      </c>
      <c r="Z382" s="43">
        <f>IFERROR(IF(Z379="",0,Z379),"0")+IFERROR(IF(Z380="",0,Z380),"0")+IFERROR(IF(Z381="",0,Z381),"0")</f>
        <v>0.11388000000000001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40</v>
      </c>
      <c r="Y383" s="43">
        <f>IFERROR(SUM(Y379:Y381),"0")</f>
        <v>46.8</v>
      </c>
      <c r="Z383" s="42"/>
      <c r="AA383" s="67"/>
      <c r="AB383" s="67"/>
      <c r="AC383" s="67"/>
    </row>
    <row r="384" spans="1:68" ht="14.25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20</v>
      </c>
      <c r="Y399" s="55">
        <f>IFERROR(IF(X399="",0,CEILING((X399/$H399),1)*$H399),"")</f>
        <v>24.299999999999997</v>
      </c>
      <c r="Z399" s="41">
        <f>IFERROR(IF(Y399=0,"",ROUNDUP(Y399/H399,0)*0.01898),"")</f>
        <v>5.6940000000000004E-2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21.219753086419754</v>
      </c>
      <c r="BN399" s="78">
        <f>IFERROR(Y399*I399/H399,"0")</f>
        <v>25.781999999999996</v>
      </c>
      <c r="BO399" s="78">
        <f>IFERROR(1/J399*(X399/H399),"0")</f>
        <v>3.8580246913580252E-2</v>
      </c>
      <c r="BP399" s="78">
        <f>IFERROR(1/J399*(Y399/H399),"0")</f>
        <v>4.6875E-2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35</v>
      </c>
      <c r="Y400" s="55">
        <f>IFERROR(IF(X400="",0,CEILING((X400/$H400),1)*$H400),"")</f>
        <v>35.700000000000003</v>
      </c>
      <c r="Z400" s="41">
        <f>IFERROR(IF(Y400=0,"",ROUNDUP(Y400/H400,0)*0.00651),"")</f>
        <v>0.11067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39.199999999999996</v>
      </c>
      <c r="BN400" s="78">
        <f>IFERROR(Y400*I400/H400,"0")</f>
        <v>39.984000000000002</v>
      </c>
      <c r="BO400" s="78">
        <f>IFERROR(1/J400*(X400/H400),"0")</f>
        <v>9.1575091575091569E-2</v>
      </c>
      <c r="BP400" s="78">
        <f>IFERROR(1/J400*(Y400/H400),"0")</f>
        <v>9.3406593406593408E-2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28</v>
      </c>
      <c r="Y401" s="55">
        <f>IFERROR(IF(X401="",0,CEILING((X401/$H401),1)*$H401),"")</f>
        <v>29.400000000000002</v>
      </c>
      <c r="Z401" s="41">
        <f>IFERROR(IF(Y401=0,"",ROUNDUP(Y401/H401,0)*0.00651),"")</f>
        <v>9.1139999999999999E-2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31.199999999999996</v>
      </c>
      <c r="BN401" s="78">
        <f>IFERROR(Y401*I401/H401,"0")</f>
        <v>32.760000000000005</v>
      </c>
      <c r="BO401" s="78">
        <f>IFERROR(1/J401*(X401/H401),"0")</f>
        <v>7.3260073260073263E-2</v>
      </c>
      <c r="BP401" s="78">
        <f>IFERROR(1/J401*(Y401/H401),"0")</f>
        <v>7.6923076923076927E-2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32.469135802469133</v>
      </c>
      <c r="Y402" s="43">
        <f>IFERROR(Y399/H399,"0")+IFERROR(Y400/H400,"0")+IFERROR(Y401/H401,"0")</f>
        <v>34</v>
      </c>
      <c r="Z402" s="43">
        <f>IFERROR(IF(Z399="",0,Z399),"0")+IFERROR(IF(Z400="",0,Z400),"0")+IFERROR(IF(Z401="",0,Z401),"0")</f>
        <v>0.25875000000000004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83</v>
      </c>
      <c r="Y403" s="43">
        <f>IFERROR(SUM(Y399:Y401),"0")</f>
        <v>89.4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200</v>
      </c>
      <c r="Y408" s="55">
        <f t="shared" si="57"/>
        <v>210</v>
      </c>
      <c r="Z408" s="41">
        <f>IFERROR(IF(Y408=0,"",ROUNDUP(Y408/H408,0)*0.02175),"")</f>
        <v>0.30449999999999999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206.26666666666668</v>
      </c>
      <c r="BN408" s="78">
        <f t="shared" si="59"/>
        <v>216.58</v>
      </c>
      <c r="BO408" s="78">
        <f t="shared" si="60"/>
        <v>0.27777777777777779</v>
      </c>
      <c r="BP408" s="78">
        <f t="shared" si="61"/>
        <v>0.29166666666666663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70</v>
      </c>
      <c r="Y409" s="55">
        <f t="shared" si="57"/>
        <v>75</v>
      </c>
      <c r="Z409" s="41">
        <f>IFERROR(IF(Y409=0,"",ROUNDUP(Y409/H409,0)*0.02175),"")</f>
        <v>0.10874999999999999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72.193333333333342</v>
      </c>
      <c r="BN409" s="78">
        <f t="shared" si="59"/>
        <v>77.349999999999994</v>
      </c>
      <c r="BO409" s="78">
        <f t="shared" si="60"/>
        <v>9.7222222222222224E-2</v>
      </c>
      <c r="BP409" s="78">
        <f t="shared" si="61"/>
        <v>0.10416666666666666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300</v>
      </c>
      <c r="Y410" s="55">
        <f t="shared" si="57"/>
        <v>300</v>
      </c>
      <c r="Z410" s="41">
        <f>IFERROR(IF(Y410=0,"",ROUNDUP(Y410/H410,0)*0.02175),"")</f>
        <v>0.43499999999999994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309.39999999999998</v>
      </c>
      <c r="BN410" s="78">
        <f t="shared" si="59"/>
        <v>309.39999999999998</v>
      </c>
      <c r="BO410" s="78">
        <f t="shared" si="60"/>
        <v>0.41666666666666663</v>
      </c>
      <c r="BP410" s="78">
        <f t="shared" si="61"/>
        <v>0.41666666666666663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38</v>
      </c>
      <c r="Y415" s="43">
        <f>IFERROR(Y407/H407,"0")+IFERROR(Y408/H408,"0")+IFERROR(Y409/H409,"0")+IFERROR(Y410/H410,"0")+IFERROR(Y411/H411,"0")+IFERROR(Y412/H412,"0")+IFERROR(Y413/H413,"0")+IFERROR(Y414/H414,"0")</f>
        <v>39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0.84824999999999995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570</v>
      </c>
      <c r="Y416" s="43">
        <f>IFERROR(SUM(Y407:Y414),"0")</f>
        <v>585</v>
      </c>
      <c r="Z416" s="42"/>
      <c r="AA416" s="67"/>
      <c r="AB416" s="67"/>
      <c r="AC416" s="67"/>
    </row>
    <row r="417" spans="1:68" ht="14.25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100</v>
      </c>
      <c r="Y418" s="55">
        <f>IFERROR(IF(X418="",0,CEILING((X418/$H418),1)*$H418),"")</f>
        <v>105</v>
      </c>
      <c r="Z418" s="41">
        <f>IFERROR(IF(Y418=0,"",ROUNDUP(Y418/H418,0)*0.02175),"")</f>
        <v>0.15225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103.13333333333334</v>
      </c>
      <c r="BN418" s="78">
        <f>IFERROR(Y418*I418/H418,"0")</f>
        <v>108.29</v>
      </c>
      <c r="BO418" s="78">
        <f>IFERROR(1/J418*(X418/H418),"0")</f>
        <v>0.1388888888888889</v>
      </c>
      <c r="BP418" s="78">
        <f>IFERROR(1/J418*(Y418/H418),"0")</f>
        <v>0.14583333333333331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6.666666666666667</v>
      </c>
      <c r="Y421" s="43">
        <f>IFERROR(Y418/H418,"0")+IFERROR(Y419/H419,"0")+IFERROR(Y420/H420,"0")</f>
        <v>7</v>
      </c>
      <c r="Z421" s="43">
        <f>IFERROR(IF(Z418="",0,Z418),"0")+IFERROR(IF(Z419="",0,Z419),"0")+IFERROR(IF(Z420="",0,Z420),"0")</f>
        <v>0.15225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100</v>
      </c>
      <c r="Y422" s="43">
        <f>IFERROR(SUM(Y418:Y420),"0")</f>
        <v>105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120</v>
      </c>
      <c r="Y425" s="55">
        <f>IFERROR(IF(X425="",0,CEILING((X425/$H425),1)*$H425),"")</f>
        <v>126</v>
      </c>
      <c r="Z425" s="41">
        <f>IFERROR(IF(Y425=0,"",ROUNDUP(Y425/H425,0)*0.01898),"")</f>
        <v>0.26572000000000001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126.58666666666666</v>
      </c>
      <c r="BN425" s="78">
        <f>IFERROR(Y425*I425/H425,"0")</f>
        <v>132.916</v>
      </c>
      <c r="BO425" s="78">
        <f>IFERROR(1/J425*(X425/H425),"0")</f>
        <v>0.20833333333333334</v>
      </c>
      <c r="BP425" s="78">
        <f>IFERROR(1/J425*(Y425/H425),"0")</f>
        <v>0.21875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13.333333333333334</v>
      </c>
      <c r="Y426" s="43">
        <f>IFERROR(Y424/H424,"0")+IFERROR(Y425/H425,"0")</f>
        <v>14</v>
      </c>
      <c r="Z426" s="43">
        <f>IFERROR(IF(Z424="",0,Z424),"0")+IFERROR(IF(Z425="",0,Z425),"0")</f>
        <v>0.26572000000000001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120</v>
      </c>
      <c r="Y427" s="43">
        <f>IFERROR(SUM(Y424:Y425),"0")</f>
        <v>126</v>
      </c>
      <c r="Z427" s="42"/>
      <c r="AA427" s="67"/>
      <c r="AB427" s="67"/>
      <c r="AC427" s="67"/>
    </row>
    <row r="428" spans="1:68" ht="14.25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10</v>
      </c>
      <c r="Y451" s="55">
        <f t="shared" ref="Y451:Y456" si="62">IFERROR(IF(X451="",0,CEILING((X451/$H451),1)*$H451),"")</f>
        <v>10.8</v>
      </c>
      <c r="Z451" s="41">
        <f>IFERROR(IF(Y451=0,"",ROUNDUP(Y451/H451,0)*0.00902),"")</f>
        <v>1.804E-2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10.351851851851851</v>
      </c>
      <c r="BN451" s="78">
        <f t="shared" ref="BN451:BN456" si="64">IFERROR(Y451*I451/H451,"0")</f>
        <v>11.18</v>
      </c>
      <c r="BO451" s="78">
        <f t="shared" ref="BO451:BO456" si="65">IFERROR(1/J451*(X451/H451),"0")</f>
        <v>1.4029180695847361E-2</v>
      </c>
      <c r="BP451" s="78">
        <f t="shared" ref="BP451:BP456" si="66">IFERROR(1/J451*(Y451/H451),"0")</f>
        <v>1.5151515151515152E-2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1.8518518518518516</v>
      </c>
      <c r="Y457" s="43">
        <f>IFERROR(Y451/H451,"0")+IFERROR(Y452/H452,"0")+IFERROR(Y453/H453,"0")+IFERROR(Y454/H454,"0")+IFERROR(Y455/H455,"0")+IFERROR(Y456/H456,"0")</f>
        <v>2</v>
      </c>
      <c r="Z457" s="43">
        <f>IFERROR(IF(Z451="",0,Z451),"0")+IFERROR(IF(Z452="",0,Z452),"0")+IFERROR(IF(Z453="",0,Z453),"0")+IFERROR(IF(Z454="",0,Z454),"0")+IFERROR(IF(Z455="",0,Z455),"0")+IFERROR(IF(Z456="",0,Z456),"0")</f>
        <v>1.804E-2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10</v>
      </c>
      <c r="Y458" s="43">
        <f>IFERROR(SUM(Y451:Y456),"0")</f>
        <v>10.8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15</v>
      </c>
      <c r="Y470" s="55">
        <f>IFERROR(IF(X470="",0,CEILING((X470/$H470),1)*$H470),"")</f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15.527777777777775</v>
      </c>
      <c r="BN470" s="78">
        <f>IFERROR(Y470*I470/H470,"0")</f>
        <v>16.77</v>
      </c>
      <c r="BO470" s="78">
        <f>IFERROR(1/J470*(X470/H470),"0")</f>
        <v>2.1043771043771045E-2</v>
      </c>
      <c r="BP470" s="78">
        <f>IFERROR(1/J470*(Y470/H470),"0")</f>
        <v>2.2727272727272731E-2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5.25</v>
      </c>
      <c r="Y472" s="55">
        <f>IFERROR(IF(X472="",0,CEILING((X472/$H472),1)*$H472),"")</f>
        <v>6.3000000000000007</v>
      </c>
      <c r="Z472" s="41">
        <f>IFERROR(IF(Y472=0,"",ROUNDUP(Y472/H472,0)*0.00502),"")</f>
        <v>1.506E-2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5.5749999999999993</v>
      </c>
      <c r="BN472" s="78">
        <f>IFERROR(Y472*I472/H472,"0")</f>
        <v>6.69</v>
      </c>
      <c r="BO472" s="78">
        <f>IFERROR(1/J472*(X472/H472),"0")</f>
        <v>1.0683760683760684E-2</v>
      </c>
      <c r="BP472" s="78">
        <f>IFERROR(1/J472*(Y472/H472),"0")</f>
        <v>1.2820512820512822E-2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5.2777777777777777</v>
      </c>
      <c r="Y473" s="43">
        <f>IFERROR(Y470/H470,"0")+IFERROR(Y471/H471,"0")+IFERROR(Y472/H472,"0")</f>
        <v>6</v>
      </c>
      <c r="Z473" s="43">
        <f>IFERROR(IF(Z470="",0,Z470),"0")+IFERROR(IF(Z471="",0,Z471),"0")+IFERROR(IF(Z472="",0,Z472),"0")</f>
        <v>4.2120000000000005E-2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20.25</v>
      </c>
      <c r="Y474" s="43">
        <f>IFERROR(SUM(Y470:Y472),"0")</f>
        <v>22.500000000000004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35</v>
      </c>
      <c r="Y478" s="55">
        <f t="shared" ref="Y478:Y486" si="67">IFERROR(IF(X478="",0,CEILING((X478/$H478),1)*$H478),"")</f>
        <v>36.96</v>
      </c>
      <c r="Z478" s="41">
        <f t="shared" ref="Z478:Z483" si="68">IFERROR(IF(Y478=0,"",ROUNDUP(Y478/H478,0)*0.01196),"")</f>
        <v>8.3720000000000003E-2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37.320075757575751</v>
      </c>
      <c r="BN478" s="78">
        <f t="shared" ref="BN478:BN486" si="70">IFERROR(Y478*I478/H478,"0")</f>
        <v>39.409999999999997</v>
      </c>
      <c r="BO478" s="78">
        <f t="shared" ref="BO478:BO486" si="71">IFERROR(1/J478*(X478/H478),"0")</f>
        <v>6.3738344988344992E-2</v>
      </c>
      <c r="BP478" s="78">
        <f t="shared" ref="BP478:BP486" si="72">IFERROR(1/J478*(Y478/H478),"0")</f>
        <v>6.7307692307692318E-2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55</v>
      </c>
      <c r="Y481" s="55">
        <f t="shared" si="67"/>
        <v>58.080000000000005</v>
      </c>
      <c r="Z481" s="41">
        <f t="shared" si="68"/>
        <v>0.13156000000000001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58.645833333333329</v>
      </c>
      <c r="BN481" s="78">
        <f t="shared" si="70"/>
        <v>61.93</v>
      </c>
      <c r="BO481" s="78">
        <f t="shared" si="71"/>
        <v>0.10016025641025642</v>
      </c>
      <c r="BP481" s="78">
        <f t="shared" si="72"/>
        <v>0.10576923076923078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60</v>
      </c>
      <c r="Y483" s="55">
        <f t="shared" si="67"/>
        <v>63.36</v>
      </c>
      <c r="Z483" s="41">
        <f t="shared" si="68"/>
        <v>0.14352000000000001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63.977272727272727</v>
      </c>
      <c r="BN483" s="78">
        <f t="shared" si="70"/>
        <v>67.559999999999988</v>
      </c>
      <c r="BO483" s="78">
        <f t="shared" si="71"/>
        <v>0.10926573426573427</v>
      </c>
      <c r="BP483" s="78">
        <f t="shared" si="72"/>
        <v>0.11538461538461539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28.40909090909091</v>
      </c>
      <c r="Y487" s="43">
        <f>IFERROR(Y478/H478,"0")+IFERROR(Y479/H479,"0")+IFERROR(Y480/H480,"0")+IFERROR(Y481/H481,"0")+IFERROR(Y482/H482,"0")+IFERROR(Y483/H483,"0")+IFERROR(Y484/H484,"0")+IFERROR(Y485/H485,"0")+IFERROR(Y486/H486,"0")</f>
        <v>30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0.35880000000000001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150</v>
      </c>
      <c r="Y488" s="43">
        <f>IFERROR(SUM(Y478:Y486),"0")</f>
        <v>158.4</v>
      </c>
      <c r="Z488" s="42"/>
      <c r="AA488" s="67"/>
      <c r="AB488" s="67"/>
      <c r="AC488" s="67"/>
    </row>
    <row r="489" spans="1:68" ht="14.25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40</v>
      </c>
      <c r="Y490" s="55">
        <f>IFERROR(IF(X490="",0,CEILING((X490/$H490),1)*$H490),"")</f>
        <v>42.24</v>
      </c>
      <c r="Z490" s="41">
        <f>IFERROR(IF(Y490=0,"",ROUNDUP(Y490/H490,0)*0.01196),"")</f>
        <v>9.5680000000000001E-2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42.651515151515149</v>
      </c>
      <c r="BN490" s="78">
        <f>IFERROR(Y490*I490/H490,"0")</f>
        <v>45.04</v>
      </c>
      <c r="BO490" s="78">
        <f>IFERROR(1/J490*(X490/H490),"0")</f>
        <v>7.2843822843822847E-2</v>
      </c>
      <c r="BP490" s="78">
        <f>IFERROR(1/J490*(Y490/H490),"0")</f>
        <v>7.6923076923076927E-2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7.5757575757575752</v>
      </c>
      <c r="Y493" s="43">
        <f>IFERROR(Y490/H490,"0")+IFERROR(Y491/H491,"0")+IFERROR(Y492/H492,"0")</f>
        <v>8</v>
      </c>
      <c r="Z493" s="43">
        <f>IFERROR(IF(Z490="",0,Z490),"0")+IFERROR(IF(Z491="",0,Z491),"0")+IFERROR(IF(Z492="",0,Z492),"0")</f>
        <v>9.5680000000000001E-2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40</v>
      </c>
      <c r="Y494" s="43">
        <f>IFERROR(SUM(Y490:Y492),"0")</f>
        <v>42.24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73"/>
        <v>31.68</v>
      </c>
      <c r="Z497" s="41">
        <f>IFERROR(IF(Y497=0,"",ROUNDUP(Y497/H497,0)*0.01196),"")</f>
        <v>7.1760000000000004E-2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31.988636363636363</v>
      </c>
      <c r="BN497" s="78">
        <f t="shared" si="75"/>
        <v>33.779999999999994</v>
      </c>
      <c r="BO497" s="78">
        <f t="shared" si="76"/>
        <v>5.4632867132867136E-2</v>
      </c>
      <c r="BP497" s="78">
        <f t="shared" si="77"/>
        <v>5.7692307692307696E-2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20</v>
      </c>
      <c r="Y498" s="55">
        <f t="shared" si="73"/>
        <v>21.12</v>
      </c>
      <c r="Z498" s="41">
        <f>IFERROR(IF(Y498=0,"",ROUNDUP(Y498/H498,0)*0.01196),"")</f>
        <v>4.7840000000000001E-2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21.325757575757574</v>
      </c>
      <c r="BN498" s="78">
        <f t="shared" si="75"/>
        <v>22.52</v>
      </c>
      <c r="BO498" s="78">
        <f t="shared" si="76"/>
        <v>3.6421911421911424E-2</v>
      </c>
      <c r="BP498" s="78">
        <f t="shared" si="77"/>
        <v>3.8461538461538464E-2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9.4696969696969688</v>
      </c>
      <c r="Y503" s="43">
        <f>IFERROR(Y496/H496,"0")+IFERROR(Y497/H497,"0")+IFERROR(Y498/H498,"0")+IFERROR(Y499/H499,"0")+IFERROR(Y500/H500,"0")+IFERROR(Y501/H501,"0")+IFERROR(Y502/H502,"0")</f>
        <v>10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0.11960000000000001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50</v>
      </c>
      <c r="Y504" s="43">
        <f>IFERROR(SUM(Y496:Y502),"0")</f>
        <v>52.8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15</v>
      </c>
      <c r="Y516" s="55">
        <f>IFERROR(IF(X516="",0,CEILING((X516/$H516),1)*$H516),"")</f>
        <v>19.2</v>
      </c>
      <c r="Z516" s="41">
        <f>IFERROR(IF(Y516=0,"",ROUNDUP(Y516/H516,0)*0.00902),"")</f>
        <v>3.6080000000000001E-2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15.78125</v>
      </c>
      <c r="BN516" s="78">
        <f>IFERROR(Y516*I516/H516,"0")</f>
        <v>20.2</v>
      </c>
      <c r="BO516" s="78">
        <f>IFERROR(1/J516*(X516/H516),"0")</f>
        <v>2.3674242424242424E-2</v>
      </c>
      <c r="BP516" s="78">
        <f>IFERROR(1/J516*(Y516/H516),"0")</f>
        <v>3.0303030303030304E-2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3.125</v>
      </c>
      <c r="Y518" s="43">
        <f>IFERROR(Y516/H516,"0")+IFERROR(Y517/H517,"0")</f>
        <v>4</v>
      </c>
      <c r="Z518" s="43">
        <f>IFERROR(IF(Z516="",0,Z516),"0")+IFERROR(IF(Z517="",0,Z517),"0")</f>
        <v>3.6080000000000001E-2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15</v>
      </c>
      <c r="Y519" s="43">
        <f>IFERROR(SUM(Y516:Y517),"0")</f>
        <v>19.2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170</v>
      </c>
      <c r="Y521" s="55">
        <f>IFERROR(IF(X521="",0,CEILING((X521/$H521),1)*$H521),"")</f>
        <v>171</v>
      </c>
      <c r="Z521" s="41">
        <f>IFERROR(IF(Y521=0,"",ROUNDUP(Y521/H521,0)*0.01898),"")</f>
        <v>0.36062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179.33111111111111</v>
      </c>
      <c r="BN521" s="78">
        <f>IFERROR(Y521*I521/H521,"0")</f>
        <v>180.386</v>
      </c>
      <c r="BO521" s="78">
        <f>IFERROR(1/J521*(X521/H521),"0")</f>
        <v>0.2951388888888889</v>
      </c>
      <c r="BP521" s="78">
        <f>IFERROR(1/J521*(Y521/H521),"0")</f>
        <v>0.296875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18.888888888888889</v>
      </c>
      <c r="Y522" s="43">
        <f>IFERROR(Y521/H521,"0")</f>
        <v>19</v>
      </c>
      <c r="Z522" s="43">
        <f>IFERROR(IF(Z521="",0,Z521),"0")</f>
        <v>0.36062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170</v>
      </c>
      <c r="Y523" s="43">
        <f>IFERROR(SUM(Y521:Y521),"0")</f>
        <v>171</v>
      </c>
      <c r="Z523" s="42"/>
      <c r="AA523" s="67"/>
      <c r="AB523" s="67"/>
      <c r="AC523" s="67"/>
    </row>
    <row r="524" spans="1:68" ht="14.25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1815.75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1925.24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1907.5116755195636</v>
      </c>
      <c r="Y535" s="43">
        <f>IFERROR(SUM(BN22:BN531),"0")</f>
        <v>2022.98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4</v>
      </c>
      <c r="Y536" s="44">
        <f>ROUNDUP(SUM(BP22:BP531),0)</f>
        <v>4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2007.5116755195636</v>
      </c>
      <c r="Y537" s="43">
        <f>GrossWeightTotalR+PalletQtyTotalR*25</f>
        <v>2122.98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262.11643512936615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280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3.7257200000000008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29.6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108.00000000000001</v>
      </c>
      <c r="F544" s="52">
        <f>IFERROR(Y88*1,"0")+IFERROR(Y89*1,"0")+IFERROR(Y90*1,"0")+IFERROR(Y91*1,"0")+IFERROR(Y95*1,"0")+IFERROR(Y96*1,"0")+IFERROR(Y97*1,"0")+IFERROR(Y98*1,"0")</f>
        <v>87.3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154.80000000000001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93.600000000000009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14.399999999999999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55.199999999999996</v>
      </c>
      <c r="U544" s="52">
        <f>IFERROR(Y399*1,"0")+IFERROR(Y400*1,"0")+IFERROR(Y401*1,"0")</f>
        <v>89.4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816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10.8</v>
      </c>
      <c r="Y544" s="52">
        <f>IFERROR(Y466*1,"0")+IFERROR(Y470*1,"0")+IFERROR(Y471*1,"0")+IFERROR(Y472*1,"0")</f>
        <v>22.500000000000004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253.44000000000003</v>
      </c>
      <c r="AA544" s="52">
        <f>IFERROR(Y508*1,"0")+IFERROR(Y512*1,"0")+IFERROR(Y516*1,"0")+IFERROR(Y517*1,"0")+IFERROR(Y521*1,"0")+IFERROR(Y525*1,"0")+IFERROR(Y526*1,"0")</f>
        <v>190.2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2026-07-16T10:47:02Z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