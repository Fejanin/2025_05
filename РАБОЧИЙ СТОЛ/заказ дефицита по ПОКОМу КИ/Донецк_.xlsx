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 дефицита по ПОКОМу КИ\"/>
    </mc:Choice>
  </mc:AlternateContent>
  <xr:revisionPtr revIDLastSave="0" documentId="13_ncr:1_{7AB8158A-D52D-4317-87F4-8BB8545D78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Лист1!$A$1:$D$67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8" i="1" l="1"/>
  <c r="E21" i="1"/>
  <c r="F21" i="1" s="1"/>
  <c r="E2" i="1"/>
  <c r="E10" i="1" l="1"/>
  <c r="F10" i="1" s="1"/>
  <c r="E12" i="1"/>
  <c r="F12" i="1" s="1"/>
  <c r="E15" i="1"/>
  <c r="F15" i="1" s="1"/>
  <c r="E11" i="1"/>
  <c r="F11" i="1" s="1"/>
  <c r="E7" i="1"/>
  <c r="F7" i="1" s="1"/>
  <c r="E6" i="1"/>
  <c r="F6" i="1" s="1"/>
  <c r="E9" i="1"/>
  <c r="F9" i="1" s="1"/>
  <c r="E8" i="1" l="1"/>
  <c r="F8" i="1" s="1"/>
  <c r="E5" i="1"/>
  <c r="F5" i="1" s="1"/>
  <c r="E17" i="1"/>
  <c r="F17" i="1" s="1"/>
  <c r="E18" i="1"/>
  <c r="F18" i="1" s="1"/>
  <c r="E13" i="1"/>
  <c r="F13" i="1" s="1"/>
  <c r="E3" i="1"/>
  <c r="F3" i="1" s="1"/>
  <c r="E14" i="1"/>
  <c r="F14" i="1" s="1"/>
  <c r="E20" i="1"/>
  <c r="F20" i="1" s="1"/>
  <c r="E4" i="1"/>
  <c r="F4" i="1" s="1"/>
  <c r="E19" i="1"/>
  <c r="F19" i="1" s="1"/>
  <c r="E16" i="1"/>
  <c r="F16" i="1" s="1"/>
  <c r="F2" i="1" l="1"/>
  <c r="F68" i="1" s="1"/>
</calcChain>
</file>

<file path=xl/sharedStrings.xml><?xml version="1.0" encoding="utf-8"?>
<sst xmlns="http://schemas.openxmlformats.org/spreadsheetml/2006/main" count="139" uniqueCount="139">
  <si>
    <t>SU000722</t>
  </si>
  <si>
    <t>Вареные колбасы Докторская ГОСТ Вязанка Весовые Вектор Вязанка</t>
  </si>
  <si>
    <t>SU001718</t>
  </si>
  <si>
    <t>Сосиски «Молокуши» ф/в 0,45 п/а мгс ТМ «Вязанка»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</si>
  <si>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</si>
  <si>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</si>
  <si>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</si>
  <si>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</si>
  <si>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SU002074</t>
  </si>
  <si>
    <t>Сосиски «Молочные для завтрака»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</si>
  <si>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</si>
  <si>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</si>
  <si>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</si>
  <si>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</si>
  <si>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SU002634</t>
  </si>
  <si>
    <t>Вареные колбасы «Дугушка Стародворская» Вес п/а ТМ «Дугушка»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</si>
  <si>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</si>
  <si>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</si>
  <si>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SU002759</t>
  </si>
  <si>
    <t>Сардельки «Сочинки с сыром» Фикс.вес 0,4 п/а ТМ «Стародворье»</t>
  </si>
  <si>
    <t>SU002840</t>
  </si>
  <si>
    <t>Паштеты «Печеночный с морковью ГОСТ» Фикс.вес 0,1 ТМ «Стародворье»</t>
  </si>
  <si>
    <t>SU002844</t>
  </si>
  <si>
    <t>Сосиски «Сочинки Сливочные» Фикс.вес 0,4 п/а мгс ТМ «Стародворье»</t>
  </si>
  <si>
    <t>SU002845</t>
  </si>
  <si>
    <t>Сосиски «Сочинки Сливочные» Весовые ТМ «Стародворье» 1,35 кг</t>
  </si>
  <si>
    <t>SU002948</t>
  </si>
  <si>
    <t>П/к колбасы «Сочинка рубленая с сочным окороком» срез Фикс.вес 0,3 фиброуз ТМ «Стародворье»</t>
  </si>
  <si>
    <t>SU003167</t>
  </si>
  <si>
    <t>Сосиски «Баварские» Фикс.вес 0,35 П/а ТМ «Стародворье»</t>
  </si>
  <si>
    <t>SU003423</t>
  </si>
  <si>
    <t>Вареные колбасы «Со шпиком» Весовой п/а ТМ «Особый рецепт» большой батон</t>
  </si>
  <si>
    <t>SU003686</t>
  </si>
  <si>
    <t>Ветчины «Нежная с индейкой» Весовой п/а ТМ «Особый рецепт»</t>
  </si>
  <si>
    <t>SU003829</t>
  </si>
  <si>
    <t>Копченые колбасы «Сервелат Мясорубский Делюкс» Фикс.вес 0,3 фиброуз ТМ «Стародворье»</t>
  </si>
  <si>
    <t>SU004047</t>
  </si>
  <si>
    <t>Копченые колбасы «Сервелат Финский» Весовой фиброуз ТМ «Вязанка»</t>
  </si>
  <si>
    <t>SU004053</t>
  </si>
  <si>
    <t>Сосиски «Сочные» Фикс.вес 0,3 П/а мгс ТМ «Вязанка»</t>
  </si>
  <si>
    <t>SU004131</t>
  </si>
  <si>
    <t>Вареные колбасы «Ветчинно-рубленая» Весовой п/а ТМ «Особый рецепт»</t>
  </si>
  <si>
    <t>SU000227</t>
  </si>
  <si>
    <t>Сардельки «Стародворские с говядиной» Весовые NDX ТМ «Стародворье»</t>
  </si>
  <si>
    <t>SU002151</t>
  </si>
  <si>
    <t>В/к колбасы «Сервелат Запеченный» Весовые Вектор ТМ «Дугушка»</t>
  </si>
  <si>
    <t>SU002205</t>
  </si>
  <si>
    <t>Сосиски «Молочные для завтрака» Фикс.вес 0,4 П/а мгс ТМ «Особый рецепт»</t>
  </si>
  <si>
    <t>SU002367</t>
  </si>
  <si>
    <t>Сардельки «Сливушки» фикс.вес 0,33 п/а мгс ТМ «Вязанка»</t>
  </si>
  <si>
    <t>SU004045</t>
  </si>
  <si>
    <t>Копченые колбасы «Сервелат Финский» Фикс.вес 0,28 фиброуз срез ТМ «Вязанка»</t>
  </si>
  <si>
    <t>SU001721</t>
  </si>
  <si>
    <t>Сосиски «Сливочные Вязанка» Весовой п/а мгс ТМ «Вязанка»</t>
  </si>
  <si>
    <t>SU002799</t>
  </si>
  <si>
    <t>Сосиски Сочинки по-баварски Бавария Фикс.вес 0,4 П/а мгс Стародворье</t>
  </si>
  <si>
    <t>SU002158</t>
  </si>
  <si>
    <t>В/к колбасы «Салями Запеченая» Весовые ТМ «Дугушка»</t>
  </si>
  <si>
    <t>SU002686</t>
  </si>
  <si>
    <t>Сосиски Сочинки с сыром Бордо ф/в 0,4 кг п/а Стародворье</t>
  </si>
  <si>
    <t>SU002725</t>
  </si>
  <si>
    <t>Сосиски «Сочинки» Весовой п/а ТМ «Стародворье»</t>
  </si>
  <si>
    <t>SU002801</t>
  </si>
  <si>
    <t>Сосиски «Сочинки по-баварски с сыром» Фикс.вес 0,4 П/а мгс ТМ «Стародворье»</t>
  </si>
  <si>
    <t>SU002830</t>
  </si>
  <si>
    <t>Вареные колбасы Молокуша Вязанка Вес п/а Вязанка</t>
  </si>
  <si>
    <t>SU002835</t>
  </si>
  <si>
    <t>Сардельки «Филейские» Весовые н/о мгс ТМ «Вязанка»</t>
  </si>
  <si>
    <t>SU002928</t>
  </si>
  <si>
    <t>Вареные колбасы «Сливушка» Вес П/а ТМ «Вязанка»</t>
  </si>
  <si>
    <t>SU002942</t>
  </si>
  <si>
    <t>В/к колбасы «Сочинка по-фински с сочным окороком» срез Фикс.вес 0,3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</si>
  <si>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</si>
  <si>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</si>
  <si>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SU003168</t>
  </si>
  <si>
    <t>Сосиски «Баварские с сыром» Фикс.вес 0,35 п/а ТМ «Стародворье»</t>
  </si>
  <si>
    <t>SU003422</t>
  </si>
  <si>
    <t>Вареные колбасы «Молочная» Весовой п/а ТМ «Особый рецепт»</t>
  </si>
  <si>
    <t>SU003665</t>
  </si>
  <si>
    <t>Сосиски «Сосиски с сыром» Фикс.вес 0,3 вискофан ТМ «Ядрена копоть»</t>
  </si>
  <si>
    <t>SU003745</t>
  </si>
  <si>
    <t>Вареные колбасы «Сливушка» Фикс.вес 0,11 нарезка ТМ «Вязанка»</t>
  </si>
  <si>
    <t>SU003751</t>
  </si>
  <si>
    <t>Копченые колбасы «Сервелат Финский» Фикс.вес 0,09 нарезка ТМ «Вязанка»</t>
  </si>
  <si>
    <t>SU003894</t>
  </si>
  <si>
    <t>Сырокопченые колбасы «Сервелат Ореховый» Фикс.вес 0,07 нарезка ТМ «Стародворье»</t>
  </si>
  <si>
    <t>SU004016</t>
  </si>
  <si>
    <t>Сосиски «Мясные для гриля» Фикс.вес 0,3 целлофан ТМ «Ядрена копоть»</t>
  </si>
  <si>
    <t>SU004039</t>
  </si>
  <si>
    <t>Копченые колбасы «Балыковая» Фикс.вес 0,28 фиброуз срез ТМ «Вязанка»</t>
  </si>
  <si>
    <t>SU000126</t>
  </si>
  <si>
    <t>Ветчины Нежная Особая Особая Весовые П/а Особый рецепт большой батон</t>
  </si>
  <si>
    <t>SU002354</t>
  </si>
  <si>
    <t>Вареные колбасы «Молокуша» Фикс.вес 0,17 нарезка ТМ «Вязанка»</t>
  </si>
  <si>
    <t>SU002843</t>
  </si>
  <si>
    <t>Сосиски «Сочинки Молочные» Весовой п/а мгс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</si>
  <si>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</si>
  <si>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</si>
  <si>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</si>
  <si>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</si>
  <si>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</si>
  <si>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</si>
  <si>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SU002985</t>
  </si>
  <si>
    <t>П/к колбасы «Аль-Ислами халяль» ф/в 0,35 фиброуз ТМ «Вязанка»</t>
  </si>
  <si>
    <t>SU003988</t>
  </si>
  <si>
    <t>Копченые колбасы «Сервелат Ореховый» Фикс.вес 0,09 нарезка ТМ «Вязанка»</t>
  </si>
  <si>
    <t>SU004146</t>
  </si>
  <si>
    <t>Консервы «Буженина в пряном маринаде» Фикс.вес 0,25 ТМ «Стародворье»</t>
  </si>
  <si>
    <t>SU004042</t>
  </si>
  <si>
    <t>Копченые колбасы «Сервелат Ореховый» Фикс.вес 0,28 фиброуз срез ТМ «Вязанка»</t>
  </si>
  <si>
    <t>SU002847</t>
  </si>
  <si>
    <t>В/к колбасы Сервелат Мясорубский с мелкорубленным окороком Бордо Весовой фиброуз Стародворье</t>
  </si>
  <si>
    <t>SU004044</t>
  </si>
  <si>
    <t>Копченые колбасы «Сервелат Ореховый» Весовой фиброуз ТМ «Вязанка»</t>
  </si>
  <si>
    <t>SU001523</t>
  </si>
  <si>
    <t>Сосиски «Молокуши (Вязанка Молочные)» Весовой п/а мгс ТМ «Вязанка»</t>
  </si>
  <si>
    <t>SU002833</t>
  </si>
  <si>
    <t>Ветчины «Сливушка с индейкой» Весовой п/а ТМ «Вязанка»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</si>
  <si>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</si>
  <si>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</si>
  <si>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SU003420</t>
  </si>
  <si>
    <t>Вареные колбасы «Филейная» Весовой п/а ТМ «Особый рецепт» большой батон</t>
  </si>
  <si>
    <t>SU003642</t>
  </si>
  <si>
    <t>Вареные колбасы «Филейская со шпиком» Весовой п/а ТМ «Вязанка»</t>
  </si>
  <si>
    <t>SU003893</t>
  </si>
  <si>
    <t>Сырокопченые колбасы «Сальчичон»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</si>
  <si>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</si>
  <si>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</si>
  <si>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SU004041</t>
  </si>
  <si>
    <t>Копченые колбасы «Балыковая» Весовой фиброуз ТМ «Вязанка»</t>
  </si>
  <si>
    <t>SU004238</t>
  </si>
  <si>
    <t>Вареные колбасы «Докторская Классическая» Весовой п/а ТМ «Особый рецепт»</t>
  </si>
  <si>
    <t>SU</t>
  </si>
  <si>
    <t>Наименование</t>
  </si>
  <si>
    <t>недогруз, кг</t>
  </si>
  <si>
    <t>№ п/п</t>
  </si>
  <si>
    <t>кг/дн</t>
  </si>
  <si>
    <t>только завели не было ни единой отгрузки</t>
  </si>
  <si>
    <t>можно поставить 300кг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</si>
</sst>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2" borderId="1" xfId="0" applyFill="1" applyBorder="1"/>
    <xf numFmtId="1" fontId="0" fillId="0" borderId="1" xfId="0" applyNumberFormat="1" applyBorder="1"/>
    <xf numFmtId="0" fontId="0" fillId="0" borderId="1" xfId="0" applyBorder="1"/>
    <xf numFmtId="1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" fontId="0" fillId="3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" fontId="0" fillId="4" borderId="1" xfId="0" applyNumberFormat="1" applyFill="1" applyBorder="1"/>
    <xf numFmtId="1" fontId="0" fillId="4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79;&#1072;&#1082;&#1072;&#1079;%20&#1076;&#1077;&#1092;&#1080;&#1094;&#1080;&#1090;&#1072;%20&#1087;&#1086;%20&#1055;&#1054;&#1050;&#1054;&#1052;&#1091;%20&#1050;&#1048;\&#1076;&#1074;%2018,08,26%20&#1076;&#1085;&#1088;&#1089;&#1095;%20&#1087;&#1086;&#1082;%20&#1082;&#1080;.xlsx" TargetMode="External"/><Relationship Id="rId1" Type="http://schemas.openxmlformats.org/officeDocument/2006/relationships/externalLinkPath" Target="&#1076;&#1074;%2018,08,26%20&#1076;&#108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6">
          <cell r="AN6" t="str">
            <v>SU000722</v>
          </cell>
          <cell r="AO6">
            <v>379.46166666666664</v>
          </cell>
        </row>
        <row r="7">
          <cell r="AN7" t="str">
            <v>SU001523</v>
          </cell>
          <cell r="AO7">
            <v>197.03468888888889</v>
          </cell>
        </row>
        <row r="8">
          <cell r="AN8" t="str">
            <v>SU001721</v>
          </cell>
          <cell r="AO8">
            <v>588.13746666666668</v>
          </cell>
        </row>
        <row r="9">
          <cell r="AN9" t="str">
            <v>SU001485</v>
          </cell>
          <cell r="AO9">
            <v>0.55999999999999994</v>
          </cell>
        </row>
        <row r="10">
          <cell r="AN10" t="str">
            <v>SU001718</v>
          </cell>
          <cell r="AO10">
            <v>206.00074000000004</v>
          </cell>
        </row>
        <row r="11">
          <cell r="AN11" t="str">
            <v>SU001720</v>
          </cell>
          <cell r="AO11">
            <v>287.33545999999996</v>
          </cell>
        </row>
        <row r="12">
          <cell r="AN12" t="str">
            <v>SU002092</v>
          </cell>
          <cell r="AO12">
            <v>3.170197777777779</v>
          </cell>
        </row>
        <row r="13">
          <cell r="AN13" t="str">
            <v>SU002252</v>
          </cell>
          <cell r="AO13">
            <v>1.9133333333333333</v>
          </cell>
        </row>
        <row r="14">
          <cell r="AN14" t="str">
            <v>SU001869</v>
          </cell>
          <cell r="AO14">
            <v>6.4870866666666664</v>
          </cell>
        </row>
        <row r="15">
          <cell r="AN15" t="str">
            <v>SU000341</v>
          </cell>
          <cell r="AO15">
            <v>0</v>
          </cell>
        </row>
        <row r="16">
          <cell r="AN16" t="str">
            <v>SU002035</v>
          </cell>
          <cell r="AO16">
            <v>660.60053333333326</v>
          </cell>
        </row>
        <row r="17">
          <cell r="AN17" t="str">
            <v>SU000126</v>
          </cell>
          <cell r="AO17">
            <v>533.07897777777771</v>
          </cell>
        </row>
        <row r="18">
          <cell r="AN18" t="str">
            <v>SU002011</v>
          </cell>
          <cell r="AO18">
            <v>26.985444444444443</v>
          </cell>
        </row>
        <row r="19">
          <cell r="AN19" t="str">
            <v>SU004238</v>
          </cell>
          <cell r="AO19">
            <v>0</v>
          </cell>
        </row>
        <row r="20">
          <cell r="AN20" t="str">
            <v>SU002182</v>
          </cell>
          <cell r="AO20">
            <v>0</v>
          </cell>
        </row>
        <row r="21">
          <cell r="AN21" t="str">
            <v>SU001920</v>
          </cell>
          <cell r="AO21">
            <v>0.86419999999999986</v>
          </cell>
        </row>
        <row r="22">
          <cell r="AN22" t="str">
            <v>SU002010</v>
          </cell>
          <cell r="AO22">
            <v>881.35806666666667</v>
          </cell>
        </row>
        <row r="23">
          <cell r="AN23" t="str">
            <v>SU003422</v>
          </cell>
          <cell r="AO23">
            <v>0</v>
          </cell>
        </row>
        <row r="24">
          <cell r="AN24" t="str">
            <v>SU002150</v>
          </cell>
          <cell r="AO24">
            <v>80.897422222222232</v>
          </cell>
        </row>
        <row r="25">
          <cell r="AN25" t="str">
            <v>SU002158</v>
          </cell>
          <cell r="AO25">
            <v>226.4606</v>
          </cell>
        </row>
        <row r="26">
          <cell r="AN26" t="str">
            <v>SU001921</v>
          </cell>
          <cell r="AO26">
            <v>0</v>
          </cell>
        </row>
        <row r="27">
          <cell r="AN27" t="str">
            <v>SU002151</v>
          </cell>
          <cell r="AO27">
            <v>405.73824444444449</v>
          </cell>
        </row>
        <row r="28">
          <cell r="AN28" t="str">
            <v>SU001822</v>
          </cell>
          <cell r="AO28">
            <v>3.4807999999999999</v>
          </cell>
        </row>
        <row r="29">
          <cell r="AN29" t="str">
            <v>SU001051</v>
          </cell>
          <cell r="AO29">
            <v>0</v>
          </cell>
        </row>
        <row r="30">
          <cell r="AN30" t="str">
            <v>SU002287</v>
          </cell>
          <cell r="AO30">
            <v>0</v>
          </cell>
        </row>
        <row r="31">
          <cell r="AN31" t="str">
            <v>SU000227</v>
          </cell>
          <cell r="AO31">
            <v>400</v>
          </cell>
        </row>
        <row r="32">
          <cell r="AN32" t="str">
            <v>SU001340</v>
          </cell>
          <cell r="AO32">
            <v>0</v>
          </cell>
        </row>
        <row r="33">
          <cell r="AN33" t="str">
            <v>SU002074</v>
          </cell>
          <cell r="AO33">
            <v>1000</v>
          </cell>
        </row>
        <row r="34">
          <cell r="AN34" t="str">
            <v>SU000246</v>
          </cell>
          <cell r="AO34">
            <v>0</v>
          </cell>
        </row>
        <row r="35">
          <cell r="AN35" t="str">
            <v>SU001430</v>
          </cell>
          <cell r="AO35">
            <v>0</v>
          </cell>
        </row>
        <row r="36">
          <cell r="AN36" t="str">
            <v>SU002612</v>
          </cell>
          <cell r="AO36">
            <v>0</v>
          </cell>
        </row>
        <row r="37">
          <cell r="AN37" t="str">
            <v>SU002614</v>
          </cell>
          <cell r="AO37">
            <v>0</v>
          </cell>
        </row>
        <row r="38">
          <cell r="AN38" t="str">
            <v>SU002618</v>
          </cell>
          <cell r="AO38">
            <v>320</v>
          </cell>
        </row>
        <row r="39">
          <cell r="AN39" t="str">
            <v>SU002734</v>
          </cell>
          <cell r="AO39">
            <v>47.000000000000007</v>
          </cell>
        </row>
        <row r="40">
          <cell r="AN40" t="str">
            <v>SU002621</v>
          </cell>
          <cell r="AO40">
            <v>80</v>
          </cell>
        </row>
        <row r="41">
          <cell r="AN41" t="str">
            <v>SU002205</v>
          </cell>
          <cell r="AO41">
            <v>40</v>
          </cell>
        </row>
        <row r="42">
          <cell r="AN42" t="str">
            <v>SU002725</v>
          </cell>
          <cell r="AO42">
            <v>0</v>
          </cell>
        </row>
        <row r="43">
          <cell r="AN43" t="str">
            <v>SU002368</v>
          </cell>
          <cell r="AO43">
            <v>4.1644444444444444</v>
          </cell>
        </row>
        <row r="44">
          <cell r="AN44" t="str">
            <v>SU002660</v>
          </cell>
          <cell r="AO44">
            <v>7</v>
          </cell>
        </row>
        <row r="45">
          <cell r="AN45" t="str">
            <v>SU002756</v>
          </cell>
          <cell r="AO45">
            <v>3.2224666666666666</v>
          </cell>
        </row>
        <row r="46">
          <cell r="AN46" t="str">
            <v>SU002801</v>
          </cell>
          <cell r="AO46">
            <v>1.6533333333333335</v>
          </cell>
        </row>
        <row r="47">
          <cell r="AN47" t="str">
            <v>SU002799</v>
          </cell>
          <cell r="AO47">
            <v>10.862222222222222</v>
          </cell>
        </row>
        <row r="48">
          <cell r="AN48" t="str">
            <v>SU002847</v>
          </cell>
          <cell r="AO48">
            <v>5.431688888888889</v>
          </cell>
        </row>
        <row r="49">
          <cell r="AN49" t="str">
            <v>SU002848</v>
          </cell>
          <cell r="AO49">
            <v>34.128888888888888</v>
          </cell>
        </row>
        <row r="50">
          <cell r="AN50" t="str">
            <v>SU002686</v>
          </cell>
          <cell r="AO50">
            <v>19.315555555555555</v>
          </cell>
        </row>
        <row r="51">
          <cell r="AN51" t="str">
            <v>SU002828</v>
          </cell>
          <cell r="AO51">
            <v>16.887577777777778</v>
          </cell>
        </row>
        <row r="52">
          <cell r="AN52" t="str">
            <v>SU002830</v>
          </cell>
          <cell r="AO52">
            <v>105.75831111111111</v>
          </cell>
        </row>
        <row r="53">
          <cell r="AN53" t="str">
            <v>SU002655</v>
          </cell>
          <cell r="AO53">
            <v>0</v>
          </cell>
        </row>
        <row r="54">
          <cell r="AN54" t="str">
            <v>SU002815</v>
          </cell>
          <cell r="AO54">
            <v>35.06</v>
          </cell>
        </row>
        <row r="55">
          <cell r="AN55" t="str">
            <v>SU002816</v>
          </cell>
          <cell r="AO55">
            <v>50.779999999999994</v>
          </cell>
        </row>
        <row r="56">
          <cell r="AN56" t="str">
            <v>SU002758</v>
          </cell>
          <cell r="AO56">
            <v>0</v>
          </cell>
        </row>
        <row r="57">
          <cell r="AN57" t="str">
            <v>SU002759</v>
          </cell>
          <cell r="AO57">
            <v>1.0666666666666664</v>
          </cell>
        </row>
        <row r="58">
          <cell r="AN58" t="str">
            <v>SU002829</v>
          </cell>
          <cell r="AO58">
            <v>87.290377777777778</v>
          </cell>
        </row>
        <row r="59">
          <cell r="AN59" t="str">
            <v>SU002841</v>
          </cell>
          <cell r="AO59">
            <v>2.4777777777777779</v>
          </cell>
        </row>
        <row r="60">
          <cell r="AN60" t="str">
            <v>SU002928</v>
          </cell>
          <cell r="AO60">
            <v>83.125711111111116</v>
          </cell>
        </row>
        <row r="61">
          <cell r="AN61" t="str">
            <v>SU002833</v>
          </cell>
          <cell r="AO61">
            <v>5.5158888888888891</v>
          </cell>
        </row>
        <row r="62">
          <cell r="AN62" t="str">
            <v>SU002840</v>
          </cell>
          <cell r="AO62">
            <v>2.1866666666666665</v>
          </cell>
        </row>
        <row r="63">
          <cell r="AN63" t="str">
            <v>SU002831</v>
          </cell>
          <cell r="AO63">
            <v>0.5955555555555555</v>
          </cell>
        </row>
        <row r="64">
          <cell r="AN64" t="str">
            <v>SU002843</v>
          </cell>
          <cell r="AO64">
            <v>14.140022222222221</v>
          </cell>
        </row>
        <row r="65">
          <cell r="AN65" t="str">
            <v>SU002845</v>
          </cell>
          <cell r="AO65">
            <v>12.878311111111111</v>
          </cell>
        </row>
        <row r="66">
          <cell r="AN66" t="str">
            <v>SU002842</v>
          </cell>
          <cell r="AO66">
            <v>44.45333333333334</v>
          </cell>
        </row>
        <row r="67">
          <cell r="AN67" t="str">
            <v>SU002844</v>
          </cell>
          <cell r="AO67">
            <v>32</v>
          </cell>
        </row>
        <row r="68">
          <cell r="AN68" t="str">
            <v>SU002941</v>
          </cell>
          <cell r="AO68">
            <v>10.497400000000001</v>
          </cell>
        </row>
        <row r="69">
          <cell r="AN69" t="str">
            <v>SU002943</v>
          </cell>
          <cell r="AO69">
            <v>20.518377777777779</v>
          </cell>
        </row>
        <row r="70">
          <cell r="AN70" t="str">
            <v>SU002945</v>
          </cell>
          <cell r="AO70">
            <v>107.7061111111111</v>
          </cell>
        </row>
        <row r="71">
          <cell r="AN71" t="str">
            <v>SU002947</v>
          </cell>
          <cell r="AO71">
            <v>12.963622222222224</v>
          </cell>
        </row>
        <row r="72">
          <cell r="AN72" t="str">
            <v>SU002918</v>
          </cell>
          <cell r="AO72">
            <v>0</v>
          </cell>
        </row>
        <row r="73">
          <cell r="AN73" t="str">
            <v>SU002835</v>
          </cell>
          <cell r="AO73">
            <v>73.009533333333323</v>
          </cell>
        </row>
        <row r="74">
          <cell r="AO74">
            <v>0</v>
          </cell>
        </row>
        <row r="75">
          <cell r="AN75" t="str">
            <v>SU002632</v>
          </cell>
          <cell r="AO75">
            <v>59.039999999999992</v>
          </cell>
        </row>
        <row r="76">
          <cell r="AN76" t="str">
            <v>SU002631</v>
          </cell>
          <cell r="AO76">
            <v>59.86666666666666</v>
          </cell>
        </row>
        <row r="77">
          <cell r="AN77" t="str">
            <v>SU002983</v>
          </cell>
          <cell r="AO77">
            <v>0</v>
          </cell>
        </row>
        <row r="78">
          <cell r="AN78" t="str">
            <v>SU002984</v>
          </cell>
          <cell r="AO78">
            <v>0</v>
          </cell>
        </row>
        <row r="79">
          <cell r="AN79" t="str">
            <v>SU002985</v>
          </cell>
          <cell r="AO79">
            <v>2.7222222222222219</v>
          </cell>
        </row>
        <row r="80">
          <cell r="AN80" t="str">
            <v>SU002986</v>
          </cell>
          <cell r="AO80">
            <v>10.088666666666667</v>
          </cell>
        </row>
        <row r="81">
          <cell r="AN81" t="str">
            <v>SU002643</v>
          </cell>
          <cell r="AO81">
            <v>57.56</v>
          </cell>
        </row>
        <row r="82">
          <cell r="AN82" t="str">
            <v>SU002367</v>
          </cell>
          <cell r="AO82">
            <v>13.251333333333333</v>
          </cell>
        </row>
        <row r="83">
          <cell r="AN83" t="str">
            <v>SU002735</v>
          </cell>
          <cell r="AO83">
            <v>4.2666666666666666</v>
          </cell>
        </row>
        <row r="84">
          <cell r="AN84" t="str">
            <v>SU003168</v>
          </cell>
          <cell r="AO84">
            <v>14</v>
          </cell>
        </row>
        <row r="85">
          <cell r="AN85" t="str">
            <v>SU003167</v>
          </cell>
          <cell r="AO85">
            <v>26.25</v>
          </cell>
        </row>
        <row r="86">
          <cell r="AO86">
            <v>0</v>
          </cell>
        </row>
        <row r="87">
          <cell r="AN87" t="str">
            <v>SU003272</v>
          </cell>
          <cell r="AO87">
            <v>1.6800000000000002</v>
          </cell>
        </row>
        <row r="88">
          <cell r="AN88" t="str">
            <v>SU003275</v>
          </cell>
          <cell r="AO88">
            <v>1.4618444444444445</v>
          </cell>
        </row>
        <row r="89">
          <cell r="AN89" t="str">
            <v>SU003273</v>
          </cell>
          <cell r="AO89">
            <v>0</v>
          </cell>
        </row>
        <row r="90">
          <cell r="AN90" t="str">
            <v>SU002634</v>
          </cell>
          <cell r="AO90">
            <v>626.92959999999994</v>
          </cell>
        </row>
        <row r="91">
          <cell r="AN91" t="str">
            <v>SU002825</v>
          </cell>
          <cell r="AO91">
            <v>11.959999999999999</v>
          </cell>
        </row>
        <row r="92">
          <cell r="AN92" t="str">
            <v>SU003423</v>
          </cell>
          <cell r="AO92">
            <v>260.38608888888888</v>
          </cell>
        </row>
        <row r="93">
          <cell r="AN93" t="str">
            <v>SU003420</v>
          </cell>
          <cell r="AO93">
            <v>540.54266666666672</v>
          </cell>
        </row>
        <row r="94">
          <cell r="AN94" t="str">
            <v>SU003422</v>
          </cell>
          <cell r="AO94">
            <v>683.21957777777777</v>
          </cell>
        </row>
        <row r="95">
          <cell r="AN95" t="str">
            <v>SU003392</v>
          </cell>
          <cell r="AO95">
            <v>4.7688444444444444</v>
          </cell>
        </row>
        <row r="96">
          <cell r="AN96" t="str">
            <v>SU003394</v>
          </cell>
          <cell r="AO96">
            <v>0</v>
          </cell>
        </row>
        <row r="97">
          <cell r="AO97">
            <v>0</v>
          </cell>
        </row>
        <row r="98">
          <cell r="AN98" t="str">
            <v>SU002948</v>
          </cell>
          <cell r="AO98">
            <v>6</v>
          </cell>
        </row>
        <row r="99">
          <cell r="AN99" t="str">
            <v>SU003665</v>
          </cell>
          <cell r="AO99">
            <v>3.0466666666666669</v>
          </cell>
        </row>
        <row r="100">
          <cell r="AN100" t="str">
            <v>SU003893</v>
          </cell>
          <cell r="AO100">
            <v>1.9382222222222223</v>
          </cell>
        </row>
        <row r="101">
          <cell r="AN101" t="str">
            <v>SU003894</v>
          </cell>
          <cell r="AO101">
            <v>2.0082222222222224</v>
          </cell>
        </row>
        <row r="102">
          <cell r="AN102" t="str">
            <v>SU003896</v>
          </cell>
          <cell r="AO102">
            <v>1.5166666666666671</v>
          </cell>
        </row>
        <row r="103">
          <cell r="AN103" t="str">
            <v>SU003925</v>
          </cell>
          <cell r="AO103">
            <v>0</v>
          </cell>
        </row>
        <row r="104">
          <cell r="AN104" t="str">
            <v>SU004016</v>
          </cell>
          <cell r="AO104">
            <v>0.65999999999999992</v>
          </cell>
        </row>
        <row r="105">
          <cell r="AN105" t="str">
            <v>SU004157</v>
          </cell>
          <cell r="AO105">
            <v>2.2356888888888893</v>
          </cell>
        </row>
        <row r="106">
          <cell r="AN106" t="str">
            <v>SU003745</v>
          </cell>
          <cell r="AO106">
            <v>0.40822222222222226</v>
          </cell>
        </row>
        <row r="107">
          <cell r="AN107" t="str">
            <v>SU002356</v>
          </cell>
          <cell r="AO107">
            <v>0</v>
          </cell>
        </row>
        <row r="108">
          <cell r="AN108" t="str">
            <v>SU004026</v>
          </cell>
          <cell r="AO108">
            <v>3.7920000000000007</v>
          </cell>
        </row>
        <row r="109">
          <cell r="AN109" t="str">
            <v>SU003178</v>
          </cell>
          <cell r="AO109">
            <v>1.5555555555555558</v>
          </cell>
        </row>
        <row r="110">
          <cell r="AN110" t="str">
            <v>SU002354</v>
          </cell>
          <cell r="AO110">
            <v>2.1420000000000003</v>
          </cell>
        </row>
        <row r="111">
          <cell r="AN111" t="str">
            <v>SU004044</v>
          </cell>
          <cell r="AO111">
            <v>41.712844444444443</v>
          </cell>
        </row>
        <row r="112">
          <cell r="AN112" t="str">
            <v>SU004047</v>
          </cell>
          <cell r="AO112">
            <v>11.964844444444445</v>
          </cell>
        </row>
        <row r="113">
          <cell r="AN113" t="str">
            <v>SU004041</v>
          </cell>
          <cell r="AO113">
            <v>35.883844444444442</v>
          </cell>
        </row>
        <row r="114">
          <cell r="AN114" t="str">
            <v>SU004053</v>
          </cell>
          <cell r="AO114">
            <v>1.9133333333333331</v>
          </cell>
        </row>
        <row r="115">
          <cell r="AN115" t="str">
            <v>SU004007</v>
          </cell>
          <cell r="AO115">
            <v>0.35193333333333338</v>
          </cell>
        </row>
        <row r="116">
          <cell r="AN116" t="str">
            <v>SU004039</v>
          </cell>
          <cell r="AO116">
            <v>19.662222222222226</v>
          </cell>
        </row>
        <row r="117">
          <cell r="AN117" t="str">
            <v>SU004045</v>
          </cell>
          <cell r="AO117">
            <v>17.637187555555556</v>
          </cell>
        </row>
        <row r="118">
          <cell r="AN118" t="str">
            <v>SU004042</v>
          </cell>
          <cell r="AO118">
            <v>29.941333333333336</v>
          </cell>
        </row>
        <row r="119">
          <cell r="AN119" t="str">
            <v>SU003751</v>
          </cell>
          <cell r="AO119">
            <v>1.228</v>
          </cell>
        </row>
        <row r="120">
          <cell r="AO120">
            <v>0</v>
          </cell>
        </row>
        <row r="121">
          <cell r="AN121" t="str">
            <v>SU004131</v>
          </cell>
          <cell r="AO121">
            <v>9.0311777777777777</v>
          </cell>
        </row>
        <row r="122">
          <cell r="AN122" t="str">
            <v>SU003686</v>
          </cell>
          <cell r="AO122">
            <v>4.5968888888888886</v>
          </cell>
        </row>
        <row r="123">
          <cell r="AN123" t="str">
            <v>SU003753</v>
          </cell>
          <cell r="AO123">
            <v>1.1279999999999999</v>
          </cell>
        </row>
        <row r="124">
          <cell r="AN124" t="str">
            <v>SU003988</v>
          </cell>
          <cell r="AO124">
            <v>1.1500000000000001</v>
          </cell>
        </row>
        <row r="125">
          <cell r="AN125" t="str">
            <v>SU004103</v>
          </cell>
          <cell r="AO125">
            <v>12.676599999999999</v>
          </cell>
        </row>
        <row r="126">
          <cell r="AN126" t="str">
            <v>SU004104</v>
          </cell>
          <cell r="AO126">
            <v>107.96680000000001</v>
          </cell>
        </row>
        <row r="127">
          <cell r="AN127" t="str">
            <v>SU004106</v>
          </cell>
          <cell r="AO127">
            <v>12.55097777777778</v>
          </cell>
        </row>
        <row r="128">
          <cell r="AN128" t="str">
            <v>SU004238</v>
          </cell>
          <cell r="AO128">
            <v>192.64228888888888</v>
          </cell>
        </row>
        <row r="129">
          <cell r="AN129" t="str">
            <v>SU004146</v>
          </cell>
          <cell r="AO129">
            <v>5</v>
          </cell>
        </row>
        <row r="130">
          <cell r="AN130" t="str">
            <v>SU004144</v>
          </cell>
          <cell r="AO130">
            <v>1.3722222222222222</v>
          </cell>
        </row>
        <row r="131">
          <cell r="AN131" t="str">
            <v>SU004145</v>
          </cell>
          <cell r="AO131">
            <v>1.3944444444444446</v>
          </cell>
        </row>
        <row r="132">
          <cell r="AN132" t="str">
            <v>SU002944</v>
          </cell>
          <cell r="AO132">
            <v>9</v>
          </cell>
        </row>
        <row r="133">
          <cell r="AN133" t="str">
            <v>SU002942</v>
          </cell>
          <cell r="AO133">
            <v>6.3466666666666667</v>
          </cell>
        </row>
        <row r="134">
          <cell r="AN134" t="str">
            <v>SU003642</v>
          </cell>
          <cell r="AO134">
            <v>11.678822222222223</v>
          </cell>
        </row>
        <row r="135">
          <cell r="AN135" t="str">
            <v>SU003829</v>
          </cell>
          <cell r="AO135">
            <v>2.5733333333333333</v>
          </cell>
        </row>
        <row r="136">
          <cell r="AN136" t="str">
            <v>SU003921</v>
          </cell>
          <cell r="AO136">
            <v>1.0666666666666664</v>
          </cell>
        </row>
        <row r="137">
          <cell r="AO13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selection activeCell="H6" sqref="H6"/>
    </sheetView>
  </sheetViews>
  <sheetFormatPr defaultRowHeight="15" x14ac:dyDescent="0.25"/>
  <cols>
    <col min="1" max="1" width="9.140625" style="3"/>
    <col min="2" max="2" width="9.28515625" bestFit="1" customWidth="1"/>
    <col min="3" max="3" width="110.28515625" bestFit="1" customWidth="1"/>
    <col min="4" max="4" width="12" bestFit="1" customWidth="1"/>
    <col min="7" max="7" width="41.28515625" bestFit="1" customWidth="1"/>
    <col min="8" max="8" width="22.28515625" bestFit="1" customWidth="1"/>
  </cols>
  <sheetData>
    <row r="1" spans="1:8" x14ac:dyDescent="0.25">
      <c r="A1" s="1" t="s">
        <v>135</v>
      </c>
      <c r="B1" s="5" t="s">
        <v>132</v>
      </c>
      <c r="C1" s="5" t="s">
        <v>133</v>
      </c>
      <c r="D1" s="5" t="s">
        <v>134</v>
      </c>
      <c r="E1" s="8" t="s">
        <v>136</v>
      </c>
      <c r="F1" s="8">
        <v>5</v>
      </c>
    </row>
    <row r="2" spans="1:8" x14ac:dyDescent="0.25">
      <c r="A2" s="12">
        <v>1</v>
      </c>
      <c r="B2" s="13" t="s">
        <v>8</v>
      </c>
      <c r="C2" s="13" t="s">
        <v>9</v>
      </c>
      <c r="D2" s="13">
        <v>-11093</v>
      </c>
      <c r="E2" s="14">
        <f>VLOOKUP(B2,[1]Sheet!$AN:$AO,2,0)</f>
        <v>1000</v>
      </c>
      <c r="F2" s="14">
        <f>E2*$F$1</f>
        <v>5000</v>
      </c>
    </row>
    <row r="3" spans="1:8" x14ac:dyDescent="0.25">
      <c r="A3" s="12">
        <v>2</v>
      </c>
      <c r="B3" s="13" t="s">
        <v>44</v>
      </c>
      <c r="C3" s="13" t="s">
        <v>45</v>
      </c>
      <c r="D3" s="13">
        <v>-2656</v>
      </c>
      <c r="E3" s="14">
        <f>VLOOKUP(B3,[1]Sheet!$AN:$AO,2,0)</f>
        <v>405.73824444444449</v>
      </c>
      <c r="F3" s="14">
        <f t="shared" ref="F3:F21" si="0">E3*$F$1</f>
        <v>2028.6912222222225</v>
      </c>
    </row>
    <row r="4" spans="1:8" x14ac:dyDescent="0.25">
      <c r="A4" s="12">
        <v>3</v>
      </c>
      <c r="B4" s="13" t="s">
        <v>10</v>
      </c>
      <c r="C4" s="13" t="s">
        <v>11</v>
      </c>
      <c r="D4" s="13">
        <v>-2544</v>
      </c>
      <c r="E4" s="14">
        <f>VLOOKUP(B4,[1]Sheet!$AN:$AO,2,0)</f>
        <v>320</v>
      </c>
      <c r="F4" s="14">
        <f t="shared" si="0"/>
        <v>1600</v>
      </c>
    </row>
    <row r="5" spans="1:8" x14ac:dyDescent="0.25">
      <c r="A5" s="12">
        <v>4</v>
      </c>
      <c r="B5" s="13" t="s">
        <v>12</v>
      </c>
      <c r="C5" s="13" t="s">
        <v>13</v>
      </c>
      <c r="D5" s="13">
        <v>-874</v>
      </c>
      <c r="E5" s="14">
        <f>VLOOKUP(B5,[1]Sheet!$AN:$AO,2,0)</f>
        <v>80</v>
      </c>
      <c r="F5" s="14">
        <f t="shared" si="0"/>
        <v>400</v>
      </c>
    </row>
    <row r="6" spans="1:8" x14ac:dyDescent="0.25">
      <c r="A6" s="12">
        <v>5</v>
      </c>
      <c r="B6" s="13" t="s">
        <v>42</v>
      </c>
      <c r="C6" s="13" t="s">
        <v>43</v>
      </c>
      <c r="D6" s="13">
        <v>-696</v>
      </c>
      <c r="E6" s="14">
        <f>VLOOKUP(B6,[1]Sheet!$AN:$AO,2,0)</f>
        <v>400</v>
      </c>
      <c r="F6" s="14">
        <f t="shared" si="0"/>
        <v>2000</v>
      </c>
    </row>
    <row r="7" spans="1:8" x14ac:dyDescent="0.25">
      <c r="A7" s="12">
        <v>6</v>
      </c>
      <c r="B7" s="13" t="s">
        <v>46</v>
      </c>
      <c r="C7" s="13" t="s">
        <v>47</v>
      </c>
      <c r="D7" s="13">
        <v>-671</v>
      </c>
      <c r="E7" s="14">
        <f>VLOOKUP(B7,[1]Sheet!$AN:$AO,2,0)</f>
        <v>40</v>
      </c>
      <c r="F7" s="14">
        <f t="shared" si="0"/>
        <v>200</v>
      </c>
    </row>
    <row r="8" spans="1:8" x14ac:dyDescent="0.25">
      <c r="A8" s="12">
        <v>7</v>
      </c>
      <c r="B8" s="13" t="s">
        <v>28</v>
      </c>
      <c r="C8" s="13" t="s">
        <v>29</v>
      </c>
      <c r="D8" s="13">
        <v>-648</v>
      </c>
      <c r="E8" s="14">
        <f>VLOOKUP(B8,[1]Sheet!$AN:$AO,2,0)</f>
        <v>26.25</v>
      </c>
      <c r="F8" s="14">
        <f t="shared" si="0"/>
        <v>131.25</v>
      </c>
    </row>
    <row r="9" spans="1:8" x14ac:dyDescent="0.25">
      <c r="A9" s="9">
        <v>8</v>
      </c>
      <c r="B9" s="10" t="s">
        <v>90</v>
      </c>
      <c r="C9" s="10" t="s">
        <v>91</v>
      </c>
      <c r="D9" s="10">
        <v>-598</v>
      </c>
      <c r="E9" s="11">
        <f>VLOOKUP(B9,[1]Sheet!$AN:$AO,2,0)</f>
        <v>533.07897777777771</v>
      </c>
      <c r="F9" s="11">
        <f t="shared" si="0"/>
        <v>2665.3948888888885</v>
      </c>
    </row>
    <row r="10" spans="1:8" x14ac:dyDescent="0.25">
      <c r="A10" s="12">
        <v>9</v>
      </c>
      <c r="B10" s="13" t="s">
        <v>50</v>
      </c>
      <c r="C10" s="13" t="s">
        <v>51</v>
      </c>
      <c r="D10" s="13">
        <v>-454</v>
      </c>
      <c r="E10" s="14">
        <f>VLOOKUP(B10,[1]Sheet!$AN:$AO,2,0)</f>
        <v>17.637187555555556</v>
      </c>
      <c r="F10" s="14">
        <f t="shared" si="0"/>
        <v>88.185937777777781</v>
      </c>
    </row>
    <row r="11" spans="1:8" x14ac:dyDescent="0.25">
      <c r="A11" s="12">
        <v>10</v>
      </c>
      <c r="B11" s="13" t="s">
        <v>60</v>
      </c>
      <c r="C11" s="13" t="s">
        <v>61</v>
      </c>
      <c r="D11" s="13">
        <v>-427</v>
      </c>
      <c r="E11" s="14">
        <f>VLOOKUP(B11,[1]Sheet!$AN:$AO,2,0)</f>
        <v>0</v>
      </c>
      <c r="F11" s="14">
        <f t="shared" si="0"/>
        <v>0</v>
      </c>
      <c r="G11" t="s">
        <v>137</v>
      </c>
      <c r="H11" t="s">
        <v>138</v>
      </c>
    </row>
    <row r="12" spans="1:8" x14ac:dyDescent="0.25">
      <c r="A12" s="12">
        <v>11</v>
      </c>
      <c r="B12" s="13" t="s">
        <v>22</v>
      </c>
      <c r="C12" s="13" t="s">
        <v>23</v>
      </c>
      <c r="D12" s="13">
        <v>-322</v>
      </c>
      <c r="E12" s="14">
        <f>VLOOKUP(B12,[1]Sheet!$AN:$AO,2,0)</f>
        <v>32</v>
      </c>
      <c r="F12" s="14">
        <f t="shared" si="0"/>
        <v>160</v>
      </c>
    </row>
    <row r="13" spans="1:8" x14ac:dyDescent="0.25">
      <c r="A13" s="2">
        <v>12</v>
      </c>
      <c r="B13" s="7" t="s">
        <v>24</v>
      </c>
      <c r="C13" s="7" t="s">
        <v>25</v>
      </c>
      <c r="D13" s="7">
        <v>-310</v>
      </c>
      <c r="E13" s="6">
        <f>VLOOKUP(B13,[1]Sheet!$AN:$AO,2,0)</f>
        <v>12.878311111111111</v>
      </c>
      <c r="F13" s="6">
        <f t="shared" si="0"/>
        <v>64.391555555555556</v>
      </c>
    </row>
    <row r="14" spans="1:8" x14ac:dyDescent="0.25">
      <c r="A14" s="2">
        <v>13</v>
      </c>
      <c r="B14" s="7" t="s">
        <v>94</v>
      </c>
      <c r="C14" s="7" t="s">
        <v>95</v>
      </c>
      <c r="D14" s="7">
        <v>-308</v>
      </c>
      <c r="E14" s="6">
        <f>VLOOKUP(B14,[1]Sheet!$AN:$AO,2,0)</f>
        <v>14.140022222222221</v>
      </c>
      <c r="F14" s="6">
        <f t="shared" si="0"/>
        <v>70.700111111111113</v>
      </c>
    </row>
    <row r="15" spans="1:8" x14ac:dyDescent="0.25">
      <c r="A15" s="2">
        <v>14</v>
      </c>
      <c r="B15" s="7" t="s">
        <v>54</v>
      </c>
      <c r="C15" s="7" t="s">
        <v>55</v>
      </c>
      <c r="D15" s="7">
        <v>-271</v>
      </c>
      <c r="E15" s="6">
        <f>VLOOKUP(B15,[1]Sheet!$AN:$AO,2,0)</f>
        <v>10.862222222222222</v>
      </c>
      <c r="F15" s="6">
        <f t="shared" si="0"/>
        <v>54.31111111111111</v>
      </c>
    </row>
    <row r="16" spans="1:8" x14ac:dyDescent="0.25">
      <c r="A16" s="12">
        <v>15</v>
      </c>
      <c r="B16" s="13" t="s">
        <v>108</v>
      </c>
      <c r="C16" s="13" t="s">
        <v>109</v>
      </c>
      <c r="D16" s="13">
        <v>-253</v>
      </c>
      <c r="E16" s="14">
        <f>VLOOKUP(B16,[1]Sheet!$AN:$AO,2,0)</f>
        <v>29.941333333333336</v>
      </c>
      <c r="F16" s="14">
        <f t="shared" si="0"/>
        <v>149.70666666666668</v>
      </c>
    </row>
    <row r="17" spans="1:6" x14ac:dyDescent="0.25">
      <c r="A17" s="2">
        <v>16</v>
      </c>
      <c r="B17" s="7" t="s">
        <v>58</v>
      </c>
      <c r="C17" s="7" t="s">
        <v>59</v>
      </c>
      <c r="D17" s="7">
        <v>-221</v>
      </c>
      <c r="E17" s="6">
        <f>VLOOKUP(B17,[1]Sheet!$AN:$AO,2,0)</f>
        <v>19.315555555555555</v>
      </c>
      <c r="F17" s="6">
        <f t="shared" si="0"/>
        <v>96.577777777777783</v>
      </c>
    </row>
    <row r="18" spans="1:6" x14ac:dyDescent="0.25">
      <c r="A18" s="12">
        <v>17</v>
      </c>
      <c r="B18" s="13" t="s">
        <v>128</v>
      </c>
      <c r="C18" s="13" t="s">
        <v>129</v>
      </c>
      <c r="D18" s="13">
        <v>-221</v>
      </c>
      <c r="E18" s="14">
        <f>VLOOKUP(B18,[1]Sheet!$AN:$AO,2,0)</f>
        <v>35.883844444444442</v>
      </c>
      <c r="F18" s="14">
        <f t="shared" si="0"/>
        <v>179.4192222222222</v>
      </c>
    </row>
    <row r="19" spans="1:6" x14ac:dyDescent="0.25">
      <c r="A19" s="12">
        <v>18</v>
      </c>
      <c r="B19" s="13" t="s">
        <v>112</v>
      </c>
      <c r="C19" s="13" t="s">
        <v>113</v>
      </c>
      <c r="D19" s="13">
        <v>-217</v>
      </c>
      <c r="E19" s="14">
        <f>VLOOKUP(B19,[1]Sheet!$AN:$AO,2,0)</f>
        <v>41.712844444444443</v>
      </c>
      <c r="F19" s="14">
        <f t="shared" si="0"/>
        <v>208.56422222222221</v>
      </c>
    </row>
    <row r="20" spans="1:6" x14ac:dyDescent="0.25">
      <c r="A20" s="2">
        <v>19</v>
      </c>
      <c r="B20" s="7" t="s">
        <v>48</v>
      </c>
      <c r="C20" s="7" t="s">
        <v>49</v>
      </c>
      <c r="D20" s="7">
        <v>-165</v>
      </c>
      <c r="E20" s="6">
        <f>VLOOKUP(B20,[1]Sheet!$AN:$AO,2,0)</f>
        <v>13.251333333333333</v>
      </c>
      <c r="F20" s="6">
        <f t="shared" si="0"/>
        <v>66.256666666666661</v>
      </c>
    </row>
    <row r="21" spans="1:6" x14ac:dyDescent="0.25">
      <c r="A21" s="2">
        <v>20</v>
      </c>
      <c r="B21" s="7" t="s">
        <v>16</v>
      </c>
      <c r="C21" s="7" t="s">
        <v>17</v>
      </c>
      <c r="D21" s="7">
        <v>-160</v>
      </c>
      <c r="E21" s="6">
        <f>VLOOKUP(B21,[1]Sheet!$AN:$AO,2,0)</f>
        <v>7</v>
      </c>
      <c r="F21" s="6">
        <f t="shared" si="0"/>
        <v>35</v>
      </c>
    </row>
    <row r="22" spans="1:6" hidden="1" x14ac:dyDescent="0.25">
      <c r="B22" t="s">
        <v>72</v>
      </c>
      <c r="C22" t="s">
        <v>73</v>
      </c>
      <c r="D22">
        <v>-143</v>
      </c>
    </row>
    <row r="23" spans="1:6" hidden="1" x14ac:dyDescent="0.25">
      <c r="B23" t="s">
        <v>88</v>
      </c>
      <c r="C23" t="s">
        <v>89</v>
      </c>
      <c r="D23">
        <v>-136</v>
      </c>
    </row>
    <row r="24" spans="1:6" hidden="1" x14ac:dyDescent="0.25">
      <c r="B24" t="s">
        <v>62</v>
      </c>
      <c r="C24" t="s">
        <v>63</v>
      </c>
      <c r="D24">
        <v>-120</v>
      </c>
    </row>
    <row r="25" spans="1:6" hidden="1" x14ac:dyDescent="0.25">
      <c r="B25" t="s">
        <v>26</v>
      </c>
      <c r="C25" t="s">
        <v>27</v>
      </c>
      <c r="D25">
        <v>-116</v>
      </c>
    </row>
    <row r="26" spans="1:6" hidden="1" x14ac:dyDescent="0.25">
      <c r="B26" t="s">
        <v>70</v>
      </c>
      <c r="C26" t="s">
        <v>71</v>
      </c>
      <c r="D26">
        <v>-112</v>
      </c>
    </row>
    <row r="27" spans="1:6" hidden="1" x14ac:dyDescent="0.25">
      <c r="B27" t="s">
        <v>118</v>
      </c>
      <c r="C27" t="s">
        <v>119</v>
      </c>
      <c r="D27">
        <v>-110</v>
      </c>
    </row>
    <row r="28" spans="1:6" hidden="1" x14ac:dyDescent="0.25">
      <c r="B28" t="s">
        <v>110</v>
      </c>
      <c r="C28" t="s">
        <v>111</v>
      </c>
      <c r="D28">
        <v>-50</v>
      </c>
    </row>
    <row r="29" spans="1:6" hidden="1" x14ac:dyDescent="0.25">
      <c r="B29" t="s">
        <v>106</v>
      </c>
      <c r="C29" t="s">
        <v>107</v>
      </c>
      <c r="D29">
        <v>-48</v>
      </c>
    </row>
    <row r="30" spans="1:6" hidden="1" x14ac:dyDescent="0.25">
      <c r="B30" t="s">
        <v>74</v>
      </c>
      <c r="C30" t="s">
        <v>75</v>
      </c>
      <c r="D30">
        <v>-43</v>
      </c>
    </row>
    <row r="31" spans="1:6" hidden="1" x14ac:dyDescent="0.25">
      <c r="B31" t="s">
        <v>52</v>
      </c>
      <c r="C31" t="s">
        <v>53</v>
      </c>
      <c r="D31">
        <v>-42</v>
      </c>
    </row>
    <row r="32" spans="1:6" hidden="1" x14ac:dyDescent="0.25">
      <c r="B32" t="s">
        <v>34</v>
      </c>
      <c r="C32" t="s">
        <v>35</v>
      </c>
      <c r="D32">
        <v>-39</v>
      </c>
    </row>
    <row r="33" spans="2:4" hidden="1" x14ac:dyDescent="0.25">
      <c r="B33" t="s">
        <v>92</v>
      </c>
      <c r="C33" t="s">
        <v>93</v>
      </c>
      <c r="D33">
        <v>-34</v>
      </c>
    </row>
    <row r="34" spans="2:4" hidden="1" x14ac:dyDescent="0.25">
      <c r="B34" t="s">
        <v>36</v>
      </c>
      <c r="C34" t="s">
        <v>37</v>
      </c>
      <c r="D34">
        <v>-29</v>
      </c>
    </row>
    <row r="35" spans="2:4" hidden="1" x14ac:dyDescent="0.25">
      <c r="B35" t="s">
        <v>102</v>
      </c>
      <c r="C35" t="s">
        <v>103</v>
      </c>
      <c r="D35">
        <v>-28</v>
      </c>
    </row>
    <row r="36" spans="2:4" hidden="1" x14ac:dyDescent="0.25">
      <c r="B36" t="s">
        <v>38</v>
      </c>
      <c r="C36" t="s">
        <v>39</v>
      </c>
      <c r="D36">
        <v>-27</v>
      </c>
    </row>
    <row r="37" spans="2:4" hidden="1" x14ac:dyDescent="0.25">
      <c r="B37" t="s">
        <v>100</v>
      </c>
      <c r="C37" t="s">
        <v>101</v>
      </c>
      <c r="D37">
        <v>-22</v>
      </c>
    </row>
    <row r="38" spans="2:4" hidden="1" x14ac:dyDescent="0.25">
      <c r="B38" t="s">
        <v>18</v>
      </c>
      <c r="C38" t="s">
        <v>19</v>
      </c>
      <c r="D38">
        <v>-21</v>
      </c>
    </row>
    <row r="39" spans="2:4" hidden="1" x14ac:dyDescent="0.25">
      <c r="B39" t="s">
        <v>4</v>
      </c>
      <c r="C39" t="s">
        <v>5</v>
      </c>
      <c r="D39">
        <v>-18</v>
      </c>
    </row>
    <row r="40" spans="2:4" hidden="1" x14ac:dyDescent="0.25">
      <c r="B40" t="s">
        <v>6</v>
      </c>
      <c r="C40" t="s">
        <v>7</v>
      </c>
      <c r="D40">
        <v>-17</v>
      </c>
    </row>
    <row r="41" spans="2:4" hidden="1" x14ac:dyDescent="0.25">
      <c r="B41" t="s">
        <v>32</v>
      </c>
      <c r="C41" t="s">
        <v>33</v>
      </c>
      <c r="D41">
        <v>-16</v>
      </c>
    </row>
    <row r="42" spans="2:4" hidden="1" x14ac:dyDescent="0.25">
      <c r="B42" t="s">
        <v>84</v>
      </c>
      <c r="C42" t="s">
        <v>85</v>
      </c>
      <c r="D42">
        <v>-16</v>
      </c>
    </row>
    <row r="43" spans="2:4" hidden="1" x14ac:dyDescent="0.25">
      <c r="B43" t="s">
        <v>96</v>
      </c>
      <c r="C43" t="s">
        <v>97</v>
      </c>
      <c r="D43">
        <v>-16</v>
      </c>
    </row>
    <row r="44" spans="2:4" hidden="1" x14ac:dyDescent="0.25">
      <c r="B44" t="s">
        <v>98</v>
      </c>
      <c r="C44" t="s">
        <v>99</v>
      </c>
      <c r="D44">
        <v>-16</v>
      </c>
    </row>
    <row r="45" spans="2:4" hidden="1" x14ac:dyDescent="0.25">
      <c r="B45" t="s">
        <v>14</v>
      </c>
      <c r="C45" t="s">
        <v>15</v>
      </c>
      <c r="D45">
        <v>-15</v>
      </c>
    </row>
    <row r="46" spans="2:4" hidden="1" x14ac:dyDescent="0.25">
      <c r="B46" t="s">
        <v>114</v>
      </c>
      <c r="C46" t="s">
        <v>115</v>
      </c>
      <c r="D46">
        <v>-14</v>
      </c>
    </row>
    <row r="47" spans="2:4" hidden="1" x14ac:dyDescent="0.25">
      <c r="B47" t="s">
        <v>116</v>
      </c>
      <c r="C47" t="s">
        <v>117</v>
      </c>
      <c r="D47">
        <v>-11</v>
      </c>
    </row>
    <row r="48" spans="2:4" hidden="1" x14ac:dyDescent="0.25">
      <c r="B48" t="s">
        <v>64</v>
      </c>
      <c r="C48" t="s">
        <v>65</v>
      </c>
      <c r="D48">
        <v>-10</v>
      </c>
    </row>
    <row r="49" spans="2:4" hidden="1" x14ac:dyDescent="0.25">
      <c r="B49" t="s">
        <v>80</v>
      </c>
      <c r="C49" t="s">
        <v>81</v>
      </c>
      <c r="D49">
        <v>-10</v>
      </c>
    </row>
    <row r="50" spans="2:4" hidden="1" x14ac:dyDescent="0.25">
      <c r="B50" t="s">
        <v>78</v>
      </c>
      <c r="C50" t="s">
        <v>79</v>
      </c>
      <c r="D50">
        <v>-9</v>
      </c>
    </row>
    <row r="51" spans="2:4" hidden="1" x14ac:dyDescent="0.25">
      <c r="B51" t="s">
        <v>86</v>
      </c>
      <c r="C51" t="s">
        <v>87</v>
      </c>
      <c r="D51">
        <v>-9</v>
      </c>
    </row>
    <row r="52" spans="2:4" hidden="1" x14ac:dyDescent="0.25">
      <c r="B52" t="s">
        <v>124</v>
      </c>
      <c r="C52" t="s">
        <v>125</v>
      </c>
      <c r="D52">
        <v>-8</v>
      </c>
    </row>
    <row r="53" spans="2:4" hidden="1" x14ac:dyDescent="0.25">
      <c r="B53" t="s">
        <v>68</v>
      </c>
      <c r="C53" t="s">
        <v>69</v>
      </c>
      <c r="D53">
        <v>-7</v>
      </c>
    </row>
    <row r="54" spans="2:4" hidden="1" x14ac:dyDescent="0.25">
      <c r="B54" t="s">
        <v>126</v>
      </c>
      <c r="C54" t="s">
        <v>127</v>
      </c>
      <c r="D54">
        <v>-6</v>
      </c>
    </row>
    <row r="55" spans="2:4" hidden="1" x14ac:dyDescent="0.25">
      <c r="B55" t="s">
        <v>30</v>
      </c>
      <c r="C55" t="s">
        <v>31</v>
      </c>
      <c r="D55">
        <v>-4</v>
      </c>
    </row>
    <row r="56" spans="2:4" hidden="1" x14ac:dyDescent="0.25">
      <c r="B56" t="s">
        <v>56</v>
      </c>
      <c r="C56" t="s">
        <v>57</v>
      </c>
      <c r="D56">
        <v>-4</v>
      </c>
    </row>
    <row r="57" spans="2:4" hidden="1" x14ac:dyDescent="0.25">
      <c r="B57" t="s">
        <v>0</v>
      </c>
      <c r="C57" t="s">
        <v>1</v>
      </c>
      <c r="D57">
        <v>-3</v>
      </c>
    </row>
    <row r="58" spans="2:4" hidden="1" x14ac:dyDescent="0.25">
      <c r="B58" t="s">
        <v>2</v>
      </c>
      <c r="C58" t="s">
        <v>3</v>
      </c>
      <c r="D58">
        <v>-3</v>
      </c>
    </row>
    <row r="59" spans="2:4" hidden="1" x14ac:dyDescent="0.25">
      <c r="B59" t="s">
        <v>120</v>
      </c>
      <c r="C59" t="s">
        <v>121</v>
      </c>
      <c r="D59">
        <v>-3</v>
      </c>
    </row>
    <row r="60" spans="2:4" hidden="1" x14ac:dyDescent="0.25">
      <c r="B60" t="s">
        <v>20</v>
      </c>
      <c r="C60" t="s">
        <v>21</v>
      </c>
      <c r="D60">
        <v>-2</v>
      </c>
    </row>
    <row r="61" spans="2:4" hidden="1" x14ac:dyDescent="0.25">
      <c r="B61" t="s">
        <v>66</v>
      </c>
      <c r="C61" t="s">
        <v>67</v>
      </c>
      <c r="D61">
        <v>-2</v>
      </c>
    </row>
    <row r="62" spans="2:4" hidden="1" x14ac:dyDescent="0.25">
      <c r="B62" t="s">
        <v>40</v>
      </c>
      <c r="C62" t="s">
        <v>41</v>
      </c>
      <c r="D62">
        <v>-1</v>
      </c>
    </row>
    <row r="63" spans="2:4" hidden="1" x14ac:dyDescent="0.25">
      <c r="B63" t="s">
        <v>76</v>
      </c>
      <c r="C63" t="s">
        <v>77</v>
      </c>
      <c r="D63">
        <v>-1</v>
      </c>
    </row>
    <row r="64" spans="2:4" hidden="1" x14ac:dyDescent="0.25">
      <c r="B64" t="s">
        <v>82</v>
      </c>
      <c r="C64" t="s">
        <v>83</v>
      </c>
      <c r="D64">
        <v>-1</v>
      </c>
    </row>
    <row r="65" spans="2:7" hidden="1" x14ac:dyDescent="0.25">
      <c r="B65" t="s">
        <v>104</v>
      </c>
      <c r="C65" t="s">
        <v>105</v>
      </c>
      <c r="D65">
        <v>-1</v>
      </c>
    </row>
    <row r="66" spans="2:7" hidden="1" x14ac:dyDescent="0.25">
      <c r="B66" t="s">
        <v>122</v>
      </c>
      <c r="C66" t="s">
        <v>123</v>
      </c>
      <c r="D66">
        <v>-1</v>
      </c>
    </row>
    <row r="67" spans="2:7" hidden="1" x14ac:dyDescent="0.25">
      <c r="B67" t="s">
        <v>130</v>
      </c>
      <c r="C67" t="s">
        <v>131</v>
      </c>
      <c r="D67">
        <v>-1</v>
      </c>
    </row>
    <row r="68" spans="2:7" x14ac:dyDescent="0.25">
      <c r="F68" s="4">
        <f>SUM(F1:F67)</f>
        <v>15203.449382222223</v>
      </c>
      <c r="G68" s="15">
        <f>F2+F3+F4+F5+F6+F7+F8+F10+F11+F12+F16+F18+F19</f>
        <v>12145.817271111113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2026-08-20T16:43:50Z</dcterms:modified>
</cp:coreProperties>
</file>