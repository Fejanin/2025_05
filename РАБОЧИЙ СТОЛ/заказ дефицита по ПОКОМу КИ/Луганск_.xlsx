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заказ дефицита по ПОКОМу КИ\"/>
    </mc:Choice>
  </mc:AlternateContent>
  <xr:revisionPtr revIDLastSave="0" documentId="13_ncr:1_{467210FF-A6FB-4002-94C5-CBB02311380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externalReferences>
    <externalReference r:id="rId2"/>
  </externalReferences>
  <definedNames>
    <definedName name="_xlnm._FilterDatabase" localSheetId="0" hidden="1">Лист1!$B$1:$D$57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8" i="1" l="1"/>
  <c r="F22" i="1" l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E3" i="1"/>
  <c r="F3" i="1" s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" i="1"/>
  <c r="F2" i="1" s="1"/>
  <c r="F58" i="1" l="1"/>
</calcChain>
</file>

<file path=xl/sharedStrings.xml><?xml version="1.0" encoding="utf-8"?>
<sst xmlns="http://schemas.openxmlformats.org/spreadsheetml/2006/main" count="117" uniqueCount="117">
  <si>
    <t>SU002621</t>
  </si>
  <si>
    <t>Сосиски «Сочинки с сочным окороком» Фикс.вес 0,4 П/а мгс ТМ «Стародворье»</t>
  </si>
  <si>
    <t>SU002830</t>
  </si>
  <si>
    <t>Вареные колбасы Молокуша Вязанка Вес п/а Вязанка</t>
  </si>
  <si>
    <t>SU002844</t>
  </si>
  <si>
    <t>Сосиски «Сочинки Сливочные» Фикс.вес 0,4 п/а мгс ТМ «Стародворье»</t>
  </si>
  <si>
    <t>SU002945</t>
  </si>
  <si>
    <t>П/к колбасы «Сочинка зернистая с сочной грудинкой» Весовой фиброуз ТМ «Стародворье»</t>
  </si>
  <si>
    <t>SU002074</t>
  </si>
  <si>
    <t>Сосиски «Молочные для завтрака» Весовой п/а ТМ «Особый рецепт»</t>
  </si>
  <si>
    <t>SU002287</t>
  </si>
  <si>
    <t>Сардельки «Сочные» Весовой п/а ТМ «Особый рецепт»</t>
  </si>
  <si>
    <t>SU002367</t>
  </si>
  <si>
    <t>Сардельки «Сливушки» фикс.вес 0,33 п/а мгс ТМ «Вязанка»</t>
  </si>
  <si>
    <t>SU002655</t>
  </si>
  <si>
    <t>Сосиски «Датские» Весовой п/а ТМ «Зареченские продукты»</t>
  </si>
  <si>
    <t>SU002660</t>
  </si>
  <si>
    <t>Колбаса Мясорубская ТМ Стародворье с рубленой грудинкой в оболочке фиброуз в вакуумной упаковке 0,35 кг срез</t>
  </si>
  <si>
    <t>SU002686</t>
  </si>
  <si>
    <t>Сосиски Сочинки с сыром Бордо ф/в 0,4 кг п/а Стародворье</t>
  </si>
  <si>
    <t>SU002725</t>
  </si>
  <si>
    <t>Сосиски «Сочинки» Весовой п/а ТМ «Стародворье»</t>
  </si>
  <si>
    <t>SU002758</t>
  </si>
  <si>
    <t>Сардельки «Сочинки» Фикс.вес 0,4 п/а ТМ «Стародворье»</t>
  </si>
  <si>
    <t>SU002759</t>
  </si>
  <si>
    <t>Сардельки «Сочинки с сыром» Фикс.вес 0,4 п/а ТМ «Стародворье»</t>
  </si>
  <si>
    <t>SU002799</t>
  </si>
  <si>
    <t>Сосиски Сочинки по-баварски Бавария Фикс.вес 0,4 П/а мгс Стародворье</t>
  </si>
  <si>
    <t>SU002801</t>
  </si>
  <si>
    <t>Сосиски «Сочинки по-баварски с сыром» Фикс.вес 0,4 П/а мгс ТМ «Стародворье»</t>
  </si>
  <si>
    <t>SU002942</t>
  </si>
  <si>
    <t>В/к колбасы «Сочинка по-фински с сочным окороком» срез Фикс.вес 0,3 фиброуз ТМ «Стародворье»</t>
  </si>
  <si>
    <t>SU002948</t>
  </si>
  <si>
    <t>П/к колбасы «Сочинка рубленая с сочным окороком» срез Фикс.вес 0,3 фиброуз ТМ «Стародворье»</t>
  </si>
  <si>
    <t>SU003167</t>
  </si>
  <si>
    <t>Сосиски «Баварские» Фикс.вес 0,35 П/а ТМ «Стародворье»</t>
  </si>
  <si>
    <t>SU003168</t>
  </si>
  <si>
    <t>Сосиски «Баварские с сыром» Фикс.вес 0,35 п/а ТМ «Стародворье»</t>
  </si>
  <si>
    <t>SU003642</t>
  </si>
  <si>
    <t>Вареные колбасы «Филейская со шпиком» Весовой п/а ТМ «Вязанка»</t>
  </si>
  <si>
    <t>SU003665</t>
  </si>
  <si>
    <t>Сосиски «Сосиски с сыром» Фикс.вес 0,3 вискофан ТМ «Ядрена копоть»</t>
  </si>
  <si>
    <t>SU003829</t>
  </si>
  <si>
    <t>Копченые колбасы «Сервелат Мясорубский Делюкс» Фикс.вес 0,3 фиброуз ТМ «Стародворье»</t>
  </si>
  <si>
    <t>SU003894</t>
  </si>
  <si>
    <t>Сырокопченые колбасы «Сервелат Ореховый» Фикс.вес 0,07 нарезка ТМ «Стародворье»</t>
  </si>
  <si>
    <t>SU004016</t>
  </si>
  <si>
    <t>Сосиски «Мясные для гриля» Фикс.вес 0,3 целлофан ТМ «Ядрена копоть»</t>
  </si>
  <si>
    <t>SU004039</t>
  </si>
  <si>
    <t>Копченые колбасы «Балыковая» Фикс.вес 0,28 фиброуз срез ТМ «Вязанка»</t>
  </si>
  <si>
    <t>SU004144</t>
  </si>
  <si>
    <t>Консервы «Гречка по-купечески с говядиной и овощами» Фикс.вес 0,325 ТМ «Стародворье»</t>
  </si>
  <si>
    <t>SU004146</t>
  </si>
  <si>
    <t>Консервы «Буженина в пряном маринаде» Фикс.вес 0,25 ТМ «Стародворье»</t>
  </si>
  <si>
    <t>SU000722</t>
  </si>
  <si>
    <t>Вареные колбасы Докторская ГОСТ Вязанка Весовые Вектор Вязанка</t>
  </si>
  <si>
    <t>SU002618</t>
  </si>
  <si>
    <t>Сосиски «Сочинки с сочной грудинкой» Фикс.вес 0,4 П/а мгс ТМ «Стародворье»</t>
  </si>
  <si>
    <t>SU002843</t>
  </si>
  <si>
    <t>Сосиски «Сочинки Молочные» Весовой п/а мгс ТМ «Стародворье»</t>
  </si>
  <si>
    <t>SU004145</t>
  </si>
  <si>
    <t>Консервы «Индейка томленая в собственном соку» Фикс.вес 0,25 ТМ «Стародворье»</t>
  </si>
  <si>
    <t>SU002151</t>
  </si>
  <si>
    <t>В/к колбасы «Сервелат Запеченный» Весовые Вектор ТМ «Дугушка»</t>
  </si>
  <si>
    <t>SU002941</t>
  </si>
  <si>
    <t>В/к колбасы «Сочинка по-европейски с сочной грудинкой» Весовой фиброуз ТМ «Стародворье»</t>
  </si>
  <si>
    <t>SU002943</t>
  </si>
  <si>
    <t>В/к колбасы «Сочинка по-фински с сочным окороком» Весовой фиброуз ТМ «Стародворье»</t>
  </si>
  <si>
    <t>SU003273</t>
  </si>
  <si>
    <t>Вареные колбасы «Молочная Стародворская с молоком» Весовой п/а ТМ «Стародворье»</t>
  </si>
  <si>
    <t>SU003921</t>
  </si>
  <si>
    <t>Деликатесы в/к «Грудинка копчено-вареная» Фикс.вес 0,12 нарезка ТМ «Стародворье»</t>
  </si>
  <si>
    <t>SU004041</t>
  </si>
  <si>
    <t>Копченые колбасы «Балыковая» Весовой фиброуз ТМ «Вязанка»</t>
  </si>
  <si>
    <t>SU001430</t>
  </si>
  <si>
    <t>Сардельки «Шпикачки Стародворские» Весовой NDX ТМ «Стародворье»</t>
  </si>
  <si>
    <t>SU001822</t>
  </si>
  <si>
    <t>В/к колбасы Кремлевский Бордо Весовые Фиброуз в/у Стародворье</t>
  </si>
  <si>
    <t>SU002035</t>
  </si>
  <si>
    <t>Ветчины Дугушка Дугушка Вес б/о Дугушка</t>
  </si>
  <si>
    <t>SU002092</t>
  </si>
  <si>
    <t>С/к колбасы Баварская Бавария Фикс.вес 0,17 б/о терм/п Стародворье</t>
  </si>
  <si>
    <t>SU002756</t>
  </si>
  <si>
    <t>Колбаса Мясорубская ТМ Стародворье с рубленой грудинкой в оболочке фиброуз в вакуумной упаковке</t>
  </si>
  <si>
    <t>SU002833</t>
  </si>
  <si>
    <t>Ветчины «Сливушка с индейкой» Весовой п/а ТМ «Вязанка»</t>
  </si>
  <si>
    <t>SU002845</t>
  </si>
  <si>
    <t>Сосиски «Сочинки Сливочные» Весовые ТМ «Стародворье» 1,35 кг</t>
  </si>
  <si>
    <t>SU002944</t>
  </si>
  <si>
    <t>В/к колбасы «Сочинка по-европейски с сочной грудинкой» срез Фикс.вес 0,3 фиброуз ТМ «Стародворье»</t>
  </si>
  <si>
    <t>SU004044</t>
  </si>
  <si>
    <t>Копченые колбасы «Сервелат Ореховый» Весовой фиброуз ТМ «Вязанка»</t>
  </si>
  <si>
    <t>SU004047</t>
  </si>
  <si>
    <t>Копченые колбасы «Сервелат Финский» Весовой фиброуз ТМ «Вязанка»</t>
  </si>
  <si>
    <t>SU004131</t>
  </si>
  <si>
    <t>Вареные колбасы «Ветчинно-рубленая» Весовой п/а ТМ «Особый рецепт»</t>
  </si>
  <si>
    <t>SU001523</t>
  </si>
  <si>
    <t>Сосиски «Молокуши (Вязанка Молочные)» Весовой п/а мгс ТМ «Вязанка»</t>
  </si>
  <si>
    <t>SU002205</t>
  </si>
  <si>
    <t>Сосиски «Молочные для завтрака» Фикс.вес 0,4 П/а мгс ТМ «Особый рецепт»</t>
  </si>
  <si>
    <t>SU002634</t>
  </si>
  <si>
    <t>Вареные колбасы «Дугушка Стародворская» Вес п/а ТМ «Дугушка»</t>
  </si>
  <si>
    <t>SU002848</t>
  </si>
  <si>
    <t>В/к колбасы Сервелат Мясорубский с мелкорубленным окороком срез Бордо Фикс.вес 0,35 фиброуз Стародворье</t>
  </si>
  <si>
    <t>SU003392</t>
  </si>
  <si>
    <t>Вареные колбасы «Стародворская Традиционная» Весовой п/а ТМ «Стародворье»</t>
  </si>
  <si>
    <t>SU003423</t>
  </si>
  <si>
    <t>Вареные колбасы «Со шпиком» Весовой п/а ТМ «Особый рецепт» большой батон</t>
  </si>
  <si>
    <t>SU004042</t>
  </si>
  <si>
    <t>Копченые колбасы «Сервелат Ореховый» Фикс.вес 0,28 фиброуз срез ТМ «Вязанка»</t>
  </si>
  <si>
    <t>SU004157</t>
  </si>
  <si>
    <t>Вареные колбасы «Мясная Классическая» Весовой п/а ТМ «Вязанка»</t>
  </si>
  <si>
    <t>SU</t>
  </si>
  <si>
    <t>Наименование</t>
  </si>
  <si>
    <t>недогруз, кг</t>
  </si>
  <si>
    <t>№ п/п</t>
  </si>
  <si>
    <t>кг/дн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</si>
</sst>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1" fontId="0" fillId="0" borderId="0" xfId="0" applyNumberFormat="1"/>
    <xf numFmtId="1" fontId="0" fillId="2" borderId="1" xfId="0" applyNumberFormat="1" applyFill="1" applyBorder="1"/>
    <xf numFmtId="1" fontId="0" fillId="0" borderId="1" xfId="0" applyNumberFormat="1" applyBorder="1"/>
    <xf numFmtId="1" fontId="1" fillId="0" borderId="2" xfId="0" applyNumberFormat="1" applyFont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1" fontId="0" fillId="3" borderId="1" xfId="0" applyNumberFormat="1" applyFill="1" applyBorder="1"/>
    <xf numFmtId="1" fontId="0" fillId="3" borderId="0" xfId="0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Father\Work\2025_05\&#1056;&#1040;&#1041;&#1054;&#1063;&#1048;&#1049;%20&#1057;&#1058;&#1054;&#1051;\&#1079;&#1072;&#1082;&#1072;&#1079;%20&#1076;&#1077;&#1092;&#1080;&#1094;&#1080;&#1090;&#1072;%20&#1087;&#1086;%20&#1055;&#1054;&#1050;&#1054;&#1052;&#1091;%20&#1050;&#1048;\&#1076;&#1074;%2018,08,26%20&#1083;&#1075;&#1088;&#1089;&#1095;%20&#1087;&#1086;&#1082;%20&#1082;&#1080;.xlsx" TargetMode="External"/><Relationship Id="rId1" Type="http://schemas.openxmlformats.org/officeDocument/2006/relationships/externalLinkPath" Target="&#1076;&#1074;%2018,08,26%20&#1083;&#1075;&#1088;&#1089;&#1095;%20&#1087;&#1086;&#1082;%20&#1082;&#1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"/>
    </sheetNames>
    <sheetDataSet>
      <sheetData sheetId="0">
        <row r="6">
          <cell r="AL6" t="str">
            <v>SU000722</v>
          </cell>
          <cell r="AM6">
            <v>496.69796363636362</v>
          </cell>
        </row>
        <row r="7">
          <cell r="AL7" t="str">
            <v>SU001523</v>
          </cell>
          <cell r="AM7">
            <v>262.8179090909091</v>
          </cell>
        </row>
        <row r="8">
          <cell r="AL8" t="str">
            <v>SU001721</v>
          </cell>
          <cell r="AM8">
            <v>236.87267272727274</v>
          </cell>
        </row>
        <row r="9">
          <cell r="AL9" t="str">
            <v>SU001485</v>
          </cell>
          <cell r="AM9">
            <v>0</v>
          </cell>
        </row>
        <row r="10">
          <cell r="AL10" t="str">
            <v>SU001718</v>
          </cell>
          <cell r="AM10">
            <v>56.102727272727279</v>
          </cell>
        </row>
        <row r="11">
          <cell r="AL11" t="str">
            <v>SU001720</v>
          </cell>
          <cell r="AM11">
            <v>104.42847272727273</v>
          </cell>
        </row>
        <row r="12">
          <cell r="AL12" t="str">
            <v>SU002092</v>
          </cell>
          <cell r="AM12">
            <v>2.6056363636363642</v>
          </cell>
        </row>
        <row r="13">
          <cell r="AL13" t="str">
            <v>SU002252</v>
          </cell>
          <cell r="AM13">
            <v>5.1109090909090904</v>
          </cell>
        </row>
        <row r="14">
          <cell r="AL14" t="str">
            <v>SU001869</v>
          </cell>
          <cell r="AM14">
            <v>8.2156363636363636</v>
          </cell>
        </row>
        <row r="15">
          <cell r="AL15" t="str">
            <v>SU001763</v>
          </cell>
          <cell r="AM15">
            <v>0</v>
          </cell>
        </row>
        <row r="16">
          <cell r="AL16" t="str">
            <v>SU002035</v>
          </cell>
          <cell r="AM16">
            <v>231.23069090909092</v>
          </cell>
        </row>
        <row r="17">
          <cell r="AL17" t="str">
            <v>SU000126</v>
          </cell>
          <cell r="AM17">
            <v>722.90652727272732</v>
          </cell>
        </row>
        <row r="18">
          <cell r="AL18" t="str">
            <v>SU002011</v>
          </cell>
          <cell r="AM18">
            <v>22.449909090909092</v>
          </cell>
        </row>
        <row r="19">
          <cell r="AL19" t="str">
            <v>SU002182</v>
          </cell>
          <cell r="AM19">
            <v>16.275127272727271</v>
          </cell>
        </row>
        <row r="20">
          <cell r="AL20" t="str">
            <v>SU001920</v>
          </cell>
          <cell r="AM20">
            <v>1.5241636363636362</v>
          </cell>
        </row>
        <row r="21">
          <cell r="AL21" t="str">
            <v>SU002010</v>
          </cell>
          <cell r="AM21">
            <v>281.50483636363634</v>
          </cell>
        </row>
        <row r="22">
          <cell r="AL22" t="str">
            <v>SU002150</v>
          </cell>
          <cell r="AM22">
            <v>36.466236363636362</v>
          </cell>
        </row>
        <row r="23">
          <cell r="AL23" t="str">
            <v>SU002158</v>
          </cell>
          <cell r="AM23">
            <v>88.350672727272737</v>
          </cell>
        </row>
        <row r="24">
          <cell r="AL24" t="str">
            <v>SU001921</v>
          </cell>
          <cell r="AM24">
            <v>0</v>
          </cell>
        </row>
        <row r="25">
          <cell r="AL25" t="str">
            <v>SU002151</v>
          </cell>
          <cell r="AM25">
            <v>129.01416363636363</v>
          </cell>
        </row>
        <row r="26">
          <cell r="AL26" t="str">
            <v>SU001822</v>
          </cell>
          <cell r="AM26">
            <v>30</v>
          </cell>
        </row>
        <row r="27">
          <cell r="AL27" t="str">
            <v>SU001051</v>
          </cell>
          <cell r="AM27">
            <v>54.936218181818184</v>
          </cell>
        </row>
        <row r="28">
          <cell r="AL28" t="str">
            <v>SU002287</v>
          </cell>
          <cell r="AM28">
            <v>40</v>
          </cell>
        </row>
        <row r="29">
          <cell r="AL29" t="str">
            <v>SU000227</v>
          </cell>
          <cell r="AM29">
            <v>450</v>
          </cell>
        </row>
        <row r="30">
          <cell r="AL30" t="str">
            <v>SU001835</v>
          </cell>
          <cell r="AM30">
            <v>0</v>
          </cell>
        </row>
        <row r="31">
          <cell r="AL31" t="str">
            <v>SU001340</v>
          </cell>
          <cell r="AM31">
            <v>0</v>
          </cell>
        </row>
        <row r="32">
          <cell r="AL32" t="str">
            <v>SU002074</v>
          </cell>
          <cell r="AM32">
            <v>600</v>
          </cell>
        </row>
        <row r="33">
          <cell r="AL33" t="str">
            <v>SU000246</v>
          </cell>
          <cell r="AM33">
            <v>0</v>
          </cell>
        </row>
        <row r="34">
          <cell r="AL34" t="str">
            <v>SU001430</v>
          </cell>
          <cell r="AM34">
            <v>46.572054545454542</v>
          </cell>
        </row>
        <row r="35">
          <cell r="AL35" t="str">
            <v>SU002612</v>
          </cell>
          <cell r="AM35">
            <v>0</v>
          </cell>
        </row>
        <row r="36">
          <cell r="AL36" t="str">
            <v>SU002614</v>
          </cell>
          <cell r="AM36">
            <v>0</v>
          </cell>
        </row>
        <row r="37">
          <cell r="AL37" t="str">
            <v>SU002618</v>
          </cell>
          <cell r="AM37">
            <v>360</v>
          </cell>
        </row>
        <row r="38">
          <cell r="AL38" t="str">
            <v>SU002734</v>
          </cell>
          <cell r="AM38">
            <v>41.203636363636363</v>
          </cell>
        </row>
        <row r="39">
          <cell r="AL39" t="str">
            <v>SU002621</v>
          </cell>
          <cell r="AM39">
            <v>88</v>
          </cell>
        </row>
        <row r="40">
          <cell r="AL40" t="str">
            <v>SU002205</v>
          </cell>
          <cell r="AM40">
            <v>1.3890909090909094</v>
          </cell>
        </row>
        <row r="41">
          <cell r="AL41" t="str">
            <v>SU002725</v>
          </cell>
          <cell r="AM41">
            <v>37.87290909090909</v>
          </cell>
        </row>
        <row r="42">
          <cell r="AL42" t="str">
            <v>SU002368</v>
          </cell>
          <cell r="AM42">
            <v>6.5345454545454551</v>
          </cell>
        </row>
        <row r="43">
          <cell r="AL43" t="str">
            <v>SU002660</v>
          </cell>
          <cell r="AM43">
            <v>15.749999999999998</v>
          </cell>
        </row>
        <row r="44">
          <cell r="AL44" t="str">
            <v>SU002756</v>
          </cell>
          <cell r="AM44">
            <v>9.1702545454545454</v>
          </cell>
        </row>
        <row r="45">
          <cell r="AL45" t="str">
            <v>SU002801</v>
          </cell>
          <cell r="AM45">
            <v>16</v>
          </cell>
        </row>
        <row r="46">
          <cell r="AL46" t="str">
            <v>SU002799</v>
          </cell>
          <cell r="AM46">
            <v>18</v>
          </cell>
        </row>
        <row r="47">
          <cell r="AL47" t="str">
            <v>SU002847</v>
          </cell>
          <cell r="AM47">
            <v>21.653381818181813</v>
          </cell>
        </row>
        <row r="48">
          <cell r="AL48" t="str">
            <v>SU002848</v>
          </cell>
          <cell r="AM48">
            <v>98</v>
          </cell>
        </row>
        <row r="49">
          <cell r="AL49" t="str">
            <v>SU002686</v>
          </cell>
          <cell r="AM49">
            <v>56</v>
          </cell>
        </row>
        <row r="50">
          <cell r="AL50" t="str">
            <v>SU002828</v>
          </cell>
          <cell r="AM50">
            <v>93.132709090909074</v>
          </cell>
        </row>
        <row r="51">
          <cell r="AL51" t="str">
            <v>SU002830</v>
          </cell>
          <cell r="AM51">
            <v>111.55687272727272</v>
          </cell>
        </row>
        <row r="52">
          <cell r="AL52" t="str">
            <v>SU002655</v>
          </cell>
          <cell r="AM52">
            <v>10.337181818181818</v>
          </cell>
        </row>
        <row r="53">
          <cell r="AL53" t="str">
            <v>SU002815</v>
          </cell>
          <cell r="AM53">
            <v>20.47909090909091</v>
          </cell>
        </row>
        <row r="54">
          <cell r="AL54" t="str">
            <v>SU002816</v>
          </cell>
          <cell r="AM54">
            <v>45.237272727272725</v>
          </cell>
        </row>
        <row r="55">
          <cell r="AL55" t="str">
            <v>SU002758</v>
          </cell>
          <cell r="AM55">
            <v>11.156363636363636</v>
          </cell>
        </row>
        <row r="56">
          <cell r="AL56" t="str">
            <v>SU002759</v>
          </cell>
          <cell r="AM56">
            <v>5.2218181818181826</v>
          </cell>
        </row>
        <row r="57">
          <cell r="AL57" t="str">
            <v>SU002829</v>
          </cell>
          <cell r="AM57">
            <v>140.85139999999998</v>
          </cell>
        </row>
        <row r="58">
          <cell r="AL58" t="str">
            <v>SU000064</v>
          </cell>
          <cell r="AM58">
            <v>0</v>
          </cell>
        </row>
        <row r="59">
          <cell r="AL59" t="str">
            <v>SU002841</v>
          </cell>
          <cell r="AM59">
            <v>4.3545454545454545</v>
          </cell>
        </row>
        <row r="60">
          <cell r="AL60" t="str">
            <v>SU002928</v>
          </cell>
          <cell r="AM60">
            <v>179.09994545454546</v>
          </cell>
        </row>
        <row r="61">
          <cell r="AL61" t="str">
            <v>SU002833</v>
          </cell>
          <cell r="AM61">
            <v>18.541272727272727</v>
          </cell>
        </row>
        <row r="62">
          <cell r="AL62" t="str">
            <v>SU002840</v>
          </cell>
          <cell r="AM62">
            <v>3.5690909090909089</v>
          </cell>
        </row>
        <row r="63">
          <cell r="AL63" t="str">
            <v>SU002831</v>
          </cell>
          <cell r="AM63">
            <v>21.781818181818188</v>
          </cell>
        </row>
        <row r="64">
          <cell r="AL64" t="str">
            <v>SU002843</v>
          </cell>
          <cell r="AM64">
            <v>21.925109090909089</v>
          </cell>
        </row>
        <row r="65">
          <cell r="AL65" t="str">
            <v>SU002845</v>
          </cell>
          <cell r="AM65">
            <v>30.924800000000001</v>
          </cell>
        </row>
        <row r="66">
          <cell r="AL66" t="str">
            <v>SU002842</v>
          </cell>
          <cell r="AM66">
            <v>71.687272727272727</v>
          </cell>
        </row>
        <row r="67">
          <cell r="AL67" t="str">
            <v>SU002844</v>
          </cell>
          <cell r="AM67">
            <v>52</v>
          </cell>
        </row>
        <row r="68">
          <cell r="AL68" t="str">
            <v>SU002941</v>
          </cell>
          <cell r="AM68">
            <v>58.710109090909093</v>
          </cell>
        </row>
        <row r="69">
          <cell r="AL69" t="str">
            <v>SU002943</v>
          </cell>
          <cell r="AM69">
            <v>75.915763636363636</v>
          </cell>
        </row>
        <row r="70">
          <cell r="AL70" t="str">
            <v>SU002945</v>
          </cell>
          <cell r="AM70">
            <v>158.31872727272727</v>
          </cell>
        </row>
        <row r="71">
          <cell r="AL71" t="str">
            <v>SU002947</v>
          </cell>
          <cell r="AM71">
            <v>49.615890909090901</v>
          </cell>
        </row>
        <row r="72">
          <cell r="AL72" t="str">
            <v>SU002918</v>
          </cell>
          <cell r="AM72">
            <v>0.79636363636363638</v>
          </cell>
        </row>
        <row r="73">
          <cell r="AL73" t="str">
            <v>SU002835</v>
          </cell>
          <cell r="AM73">
            <v>62.120618181818188</v>
          </cell>
        </row>
        <row r="74">
          <cell r="AL74" t="str">
            <v>SU002632</v>
          </cell>
          <cell r="AM74">
            <v>13.90909090909091</v>
          </cell>
        </row>
        <row r="75">
          <cell r="AL75" t="str">
            <v>SU002631</v>
          </cell>
          <cell r="AM75">
            <v>3.1745454545454543</v>
          </cell>
        </row>
        <row r="76">
          <cell r="AL76" t="str">
            <v>SU002983</v>
          </cell>
          <cell r="AM76">
            <v>8.1963636363636354</v>
          </cell>
        </row>
        <row r="77">
          <cell r="AL77" t="str">
            <v>SU002984</v>
          </cell>
          <cell r="AM77">
            <v>8.5980000000000008</v>
          </cell>
        </row>
        <row r="78">
          <cell r="AL78" t="str">
            <v>SU002985</v>
          </cell>
          <cell r="AM78">
            <v>6.6436363636363627</v>
          </cell>
        </row>
        <row r="79">
          <cell r="AL79" t="str">
            <v>SU002986</v>
          </cell>
          <cell r="AM79">
            <v>35.479636363636367</v>
          </cell>
        </row>
        <row r="80">
          <cell r="AL80" t="str">
            <v>SU002643</v>
          </cell>
          <cell r="AM80">
            <v>12.752727272727272</v>
          </cell>
        </row>
        <row r="81">
          <cell r="AL81" t="str">
            <v>SU002367</v>
          </cell>
          <cell r="AM81">
            <v>2.6940000000000004</v>
          </cell>
        </row>
        <row r="82">
          <cell r="AL82" t="str">
            <v>SU002735</v>
          </cell>
          <cell r="AM82">
            <v>19.556363636363635</v>
          </cell>
        </row>
        <row r="83">
          <cell r="AL83" t="str">
            <v>SU003168</v>
          </cell>
          <cell r="AM83">
            <v>8.75</v>
          </cell>
        </row>
        <row r="84">
          <cell r="AL84" t="str">
            <v>SU003167</v>
          </cell>
          <cell r="AM84">
            <v>13.872727272727271</v>
          </cell>
        </row>
        <row r="85">
          <cell r="AL85" t="str">
            <v>SU003272</v>
          </cell>
          <cell r="AM85">
            <v>9.6290909090909107</v>
          </cell>
        </row>
        <row r="86">
          <cell r="AL86" t="str">
            <v>SU003275</v>
          </cell>
          <cell r="AM86">
            <v>2.9852363636363637</v>
          </cell>
        </row>
        <row r="87">
          <cell r="AL87" t="str">
            <v>SU003274</v>
          </cell>
          <cell r="AM87">
            <v>0</v>
          </cell>
        </row>
        <row r="88">
          <cell r="AL88" t="str">
            <v>SU003273</v>
          </cell>
          <cell r="AM88">
            <v>39.429709090909085</v>
          </cell>
        </row>
        <row r="89">
          <cell r="AL89" t="str">
            <v>SU002634</v>
          </cell>
          <cell r="AM89">
            <v>165.72503636363638</v>
          </cell>
        </row>
        <row r="90">
          <cell r="AL90" t="str">
            <v>SU002825</v>
          </cell>
          <cell r="AM90">
            <v>0</v>
          </cell>
        </row>
        <row r="91">
          <cell r="AL91" t="str">
            <v>SU003423</v>
          </cell>
          <cell r="AM91">
            <v>429.0106545454546</v>
          </cell>
        </row>
        <row r="92">
          <cell r="AL92" t="str">
            <v>SU003420</v>
          </cell>
          <cell r="AM92">
            <v>452.24045454545461</v>
          </cell>
        </row>
        <row r="93">
          <cell r="AL93" t="str">
            <v>SU003422</v>
          </cell>
          <cell r="AM93">
            <v>589.43387272727261</v>
          </cell>
        </row>
        <row r="94">
          <cell r="AL94" t="str">
            <v>SU003392</v>
          </cell>
          <cell r="AM94">
            <v>7.0516727272727273</v>
          </cell>
        </row>
        <row r="95">
          <cell r="AL95" t="str">
            <v>SU003387</v>
          </cell>
          <cell r="AM95">
            <v>0</v>
          </cell>
        </row>
        <row r="96">
          <cell r="AM96">
            <v>0</v>
          </cell>
        </row>
        <row r="97">
          <cell r="AL97" t="str">
            <v>SU002948</v>
          </cell>
          <cell r="AM97">
            <v>18</v>
          </cell>
        </row>
        <row r="98">
          <cell r="AL98" t="str">
            <v>SU003665</v>
          </cell>
          <cell r="AM98">
            <v>12.359999999999998</v>
          </cell>
        </row>
        <row r="99">
          <cell r="AL99" t="str">
            <v>SU003893</v>
          </cell>
          <cell r="AM99">
            <v>0</v>
          </cell>
        </row>
        <row r="100">
          <cell r="AL100" t="str">
            <v>SU003894</v>
          </cell>
          <cell r="AM100">
            <v>2.0007272727272727</v>
          </cell>
        </row>
        <row r="101">
          <cell r="AL101" t="str">
            <v>SU003896</v>
          </cell>
          <cell r="AM101">
            <v>1.9765454545454546</v>
          </cell>
        </row>
        <row r="102">
          <cell r="AL102" t="str">
            <v>SU003925</v>
          </cell>
          <cell r="AM102">
            <v>0</v>
          </cell>
        </row>
        <row r="103">
          <cell r="AL103" t="str">
            <v>SU004016</v>
          </cell>
          <cell r="AM103">
            <v>7.9036363636363642</v>
          </cell>
        </row>
        <row r="104">
          <cell r="AL104" t="str">
            <v>SU004157</v>
          </cell>
          <cell r="AM104">
            <v>19.522145454545456</v>
          </cell>
        </row>
        <row r="105">
          <cell r="AL105" t="str">
            <v>SU003745</v>
          </cell>
          <cell r="AM105">
            <v>0</v>
          </cell>
        </row>
        <row r="106">
          <cell r="AL106" t="str">
            <v>SU002356</v>
          </cell>
          <cell r="AM106">
            <v>0.15636363636363637</v>
          </cell>
        </row>
        <row r="107">
          <cell r="AL107" t="str">
            <v>SU004026</v>
          </cell>
          <cell r="AM107">
            <v>3.6450909090909098</v>
          </cell>
        </row>
        <row r="108">
          <cell r="AL108" t="str">
            <v>SU003178</v>
          </cell>
          <cell r="AM108">
            <v>2.8829090909090911</v>
          </cell>
        </row>
        <row r="109">
          <cell r="AL109" t="str">
            <v>SU002354</v>
          </cell>
          <cell r="AM109">
            <v>0.19163636363636363</v>
          </cell>
        </row>
        <row r="110">
          <cell r="AL110" t="str">
            <v>SU004044</v>
          </cell>
          <cell r="AM110">
            <v>84.937327272727273</v>
          </cell>
        </row>
        <row r="111">
          <cell r="AL111" t="str">
            <v>SU004047</v>
          </cell>
          <cell r="AM111">
            <v>59.857854545454551</v>
          </cell>
        </row>
        <row r="112">
          <cell r="AL112" t="str">
            <v>SU004041</v>
          </cell>
          <cell r="AM112">
            <v>92.7012</v>
          </cell>
        </row>
        <row r="113">
          <cell r="AL113" t="str">
            <v>SU004053</v>
          </cell>
          <cell r="AM113">
            <v>0</v>
          </cell>
        </row>
        <row r="114">
          <cell r="AL114" t="str">
            <v>SU004007</v>
          </cell>
          <cell r="AM114">
            <v>0.67810909090909088</v>
          </cell>
        </row>
        <row r="115">
          <cell r="AL115" t="str">
            <v>SU004039</v>
          </cell>
          <cell r="AM115">
            <v>17.563636363636366</v>
          </cell>
        </row>
        <row r="116">
          <cell r="AL116" t="str">
            <v>SU004045</v>
          </cell>
          <cell r="AM116">
            <v>0</v>
          </cell>
        </row>
        <row r="117">
          <cell r="AL117" t="str">
            <v>SU004042</v>
          </cell>
          <cell r="AM117">
            <v>18.556363636363635</v>
          </cell>
        </row>
        <row r="118">
          <cell r="AL118" t="str">
            <v>SU003751</v>
          </cell>
          <cell r="AM118">
            <v>0.126</v>
          </cell>
        </row>
        <row r="119">
          <cell r="AL119" t="str">
            <v>SU004131</v>
          </cell>
          <cell r="AM119">
            <v>27.294545454545457</v>
          </cell>
        </row>
        <row r="120">
          <cell r="AL120" t="str">
            <v>SU003686</v>
          </cell>
          <cell r="AM120">
            <v>7.2641454545454556</v>
          </cell>
        </row>
        <row r="121">
          <cell r="AL121" t="str">
            <v>SU003753</v>
          </cell>
          <cell r="AM121">
            <v>0.13418181818181815</v>
          </cell>
        </row>
        <row r="122">
          <cell r="AL122" t="str">
            <v>SU003988</v>
          </cell>
          <cell r="AM122">
            <v>0</v>
          </cell>
        </row>
        <row r="123">
          <cell r="AL123" t="str">
            <v>SU004103</v>
          </cell>
          <cell r="AM123">
            <v>65.164727272727276</v>
          </cell>
        </row>
        <row r="124">
          <cell r="AL124" t="str">
            <v>SU004104</v>
          </cell>
          <cell r="AM124">
            <v>85.512618181818183</v>
          </cell>
        </row>
        <row r="125">
          <cell r="AL125" t="str">
            <v>SU004106</v>
          </cell>
          <cell r="AM125">
            <v>32.077290909090905</v>
          </cell>
        </row>
        <row r="126">
          <cell r="AL126" t="str">
            <v>SU004238</v>
          </cell>
          <cell r="AM126">
            <v>262.67070909090904</v>
          </cell>
        </row>
        <row r="127">
          <cell r="AL127" t="str">
            <v>SU004146</v>
          </cell>
          <cell r="AM127">
            <v>1.8363636363636362</v>
          </cell>
        </row>
        <row r="128">
          <cell r="AL128" t="str">
            <v>SU004144</v>
          </cell>
          <cell r="AM128">
            <v>2.3872727272727272</v>
          </cell>
        </row>
        <row r="129">
          <cell r="AL129" t="str">
            <v>SU004145</v>
          </cell>
          <cell r="AM129">
            <v>1.8590909090909091</v>
          </cell>
        </row>
        <row r="130">
          <cell r="AL130" t="str">
            <v>SU002944</v>
          </cell>
          <cell r="AM130">
            <v>28.5</v>
          </cell>
        </row>
        <row r="131">
          <cell r="AL131" t="str">
            <v>SU002942</v>
          </cell>
          <cell r="AM131">
            <v>21</v>
          </cell>
        </row>
        <row r="132">
          <cell r="AL132" t="str">
            <v>SU003642</v>
          </cell>
          <cell r="AM132">
            <v>55.327800000000003</v>
          </cell>
        </row>
        <row r="133">
          <cell r="AL133" t="str">
            <v>SU003829</v>
          </cell>
          <cell r="AM133">
            <v>18</v>
          </cell>
        </row>
        <row r="134">
          <cell r="AL134" t="str">
            <v>SU003921</v>
          </cell>
          <cell r="AM134">
            <v>1.2109090909090909</v>
          </cell>
        </row>
        <row r="135">
          <cell r="AM135">
            <v>0</v>
          </cell>
        </row>
        <row r="136">
          <cell r="AM136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abSelected="1" workbookViewId="0">
      <selection activeCell="I8" sqref="I8"/>
    </sheetView>
  </sheetViews>
  <sheetFormatPr defaultRowHeight="15" x14ac:dyDescent="0.25"/>
  <cols>
    <col min="1" max="1" width="9.140625" style="1"/>
    <col min="2" max="2" width="9.28515625" bestFit="1" customWidth="1"/>
    <col min="3" max="3" width="110.28515625" bestFit="1" customWidth="1"/>
    <col min="4" max="4" width="12" bestFit="1" customWidth="1"/>
    <col min="5" max="6" width="9.140625" style="6"/>
    <col min="7" max="7" width="30.42578125" customWidth="1"/>
  </cols>
  <sheetData>
    <row r="1" spans="1:6" x14ac:dyDescent="0.25">
      <c r="A1" s="2" t="s">
        <v>115</v>
      </c>
      <c r="B1" s="3" t="s">
        <v>112</v>
      </c>
      <c r="C1" s="3" t="s">
        <v>113</v>
      </c>
      <c r="D1" s="3" t="s">
        <v>114</v>
      </c>
      <c r="E1" s="7" t="s">
        <v>116</v>
      </c>
      <c r="F1" s="7">
        <v>5</v>
      </c>
    </row>
    <row r="2" spans="1:6" x14ac:dyDescent="0.25">
      <c r="A2" s="10">
        <v>1</v>
      </c>
      <c r="B2" s="11" t="s">
        <v>8</v>
      </c>
      <c r="C2" s="11" t="s">
        <v>9</v>
      </c>
      <c r="D2" s="11">
        <v>-4230</v>
      </c>
      <c r="E2" s="12">
        <f>VLOOKUP(B2,[1]Sheet!$AL:$AM,2,0)</f>
        <v>600</v>
      </c>
      <c r="F2" s="12">
        <f>E2*$F$1</f>
        <v>3000</v>
      </c>
    </row>
    <row r="3" spans="1:6" x14ac:dyDescent="0.25">
      <c r="A3" s="10">
        <v>2</v>
      </c>
      <c r="B3" s="11" t="s">
        <v>72</v>
      </c>
      <c r="C3" s="11" t="s">
        <v>73</v>
      </c>
      <c r="D3" s="11">
        <v>-1204</v>
      </c>
      <c r="E3" s="12">
        <f>VLOOKUP(B3,[1]Sheet!$AL:$AM,2,0)</f>
        <v>92.7012</v>
      </c>
      <c r="F3" s="12">
        <f t="shared" ref="F3:F57" si="0">E3*$F$1</f>
        <v>463.50599999999997</v>
      </c>
    </row>
    <row r="4" spans="1:6" x14ac:dyDescent="0.25">
      <c r="A4" s="10">
        <v>3</v>
      </c>
      <c r="B4" s="11" t="s">
        <v>56</v>
      </c>
      <c r="C4" s="11" t="s">
        <v>57</v>
      </c>
      <c r="D4" s="11">
        <v>-1169</v>
      </c>
      <c r="E4" s="12">
        <f>VLOOKUP(B4,[1]Sheet!$AL:$AM,2,0)</f>
        <v>360</v>
      </c>
      <c r="F4" s="12">
        <f t="shared" si="0"/>
        <v>1800</v>
      </c>
    </row>
    <row r="5" spans="1:6" x14ac:dyDescent="0.25">
      <c r="A5" s="10">
        <v>4</v>
      </c>
      <c r="B5" s="11" t="s">
        <v>0</v>
      </c>
      <c r="C5" s="11" t="s">
        <v>1</v>
      </c>
      <c r="D5" s="11">
        <v>-596</v>
      </c>
      <c r="E5" s="12">
        <f>VLOOKUP(B5,[1]Sheet!$AL:$AM,2,0)</f>
        <v>88</v>
      </c>
      <c r="F5" s="12">
        <f t="shared" si="0"/>
        <v>440</v>
      </c>
    </row>
    <row r="6" spans="1:6" x14ac:dyDescent="0.25">
      <c r="A6" s="10">
        <v>5</v>
      </c>
      <c r="B6" s="11" t="s">
        <v>20</v>
      </c>
      <c r="C6" s="11" t="s">
        <v>21</v>
      </c>
      <c r="D6" s="11">
        <v>-557</v>
      </c>
      <c r="E6" s="12">
        <f>VLOOKUP(B6,[1]Sheet!$AL:$AM,2,0)</f>
        <v>37.87290909090909</v>
      </c>
      <c r="F6" s="12">
        <f t="shared" si="0"/>
        <v>189.36454545454546</v>
      </c>
    </row>
    <row r="7" spans="1:6" x14ac:dyDescent="0.25">
      <c r="A7" s="10">
        <v>6</v>
      </c>
      <c r="B7" s="11" t="s">
        <v>62</v>
      </c>
      <c r="C7" s="11" t="s">
        <v>63</v>
      </c>
      <c r="D7" s="11">
        <v>-549</v>
      </c>
      <c r="E7" s="12">
        <f>VLOOKUP(B7,[1]Sheet!$AL:$AM,2,0)</f>
        <v>129.01416363636363</v>
      </c>
      <c r="F7" s="12">
        <f t="shared" si="0"/>
        <v>645.07081818181814</v>
      </c>
    </row>
    <row r="8" spans="1:6" x14ac:dyDescent="0.25">
      <c r="A8" s="10">
        <v>7</v>
      </c>
      <c r="B8" s="11" t="s">
        <v>10</v>
      </c>
      <c r="C8" s="11" t="s">
        <v>11</v>
      </c>
      <c r="D8" s="11">
        <v>-540</v>
      </c>
      <c r="E8" s="12">
        <f>VLOOKUP(B8,[1]Sheet!$AL:$AM,2,0)</f>
        <v>40</v>
      </c>
      <c r="F8" s="12">
        <f t="shared" si="0"/>
        <v>200</v>
      </c>
    </row>
    <row r="9" spans="1:6" x14ac:dyDescent="0.25">
      <c r="A9" s="10">
        <v>8</v>
      </c>
      <c r="B9" s="11" t="s">
        <v>30</v>
      </c>
      <c r="C9" s="11" t="s">
        <v>31</v>
      </c>
      <c r="D9" s="11">
        <v>-461</v>
      </c>
      <c r="E9" s="12">
        <f>VLOOKUP(B9,[1]Sheet!$AL:$AM,2,0)</f>
        <v>21</v>
      </c>
      <c r="F9" s="12">
        <f t="shared" si="0"/>
        <v>105</v>
      </c>
    </row>
    <row r="10" spans="1:6" x14ac:dyDescent="0.25">
      <c r="A10" s="10">
        <v>9</v>
      </c>
      <c r="B10" s="11" t="s">
        <v>66</v>
      </c>
      <c r="C10" s="11" t="s">
        <v>67</v>
      </c>
      <c r="D10" s="11">
        <v>-432</v>
      </c>
      <c r="E10" s="12">
        <f>VLOOKUP(B10,[1]Sheet!$AL:$AM,2,0)</f>
        <v>75.915763636363636</v>
      </c>
      <c r="F10" s="12">
        <f t="shared" si="0"/>
        <v>379.57881818181818</v>
      </c>
    </row>
    <row r="11" spans="1:6" x14ac:dyDescent="0.25">
      <c r="A11" s="4">
        <v>10</v>
      </c>
      <c r="B11" s="5" t="s">
        <v>14</v>
      </c>
      <c r="C11" s="5" t="s">
        <v>15</v>
      </c>
      <c r="D11" s="5">
        <v>-360</v>
      </c>
      <c r="E11" s="8">
        <f>VLOOKUP(B11,[1]Sheet!$AL:$AM,2,0)</f>
        <v>10.337181818181818</v>
      </c>
      <c r="F11" s="8">
        <f t="shared" si="0"/>
        <v>51.685909090909092</v>
      </c>
    </row>
    <row r="12" spans="1:6" x14ac:dyDescent="0.25">
      <c r="A12" s="10">
        <v>11</v>
      </c>
      <c r="B12" s="11" t="s">
        <v>92</v>
      </c>
      <c r="C12" s="11" t="s">
        <v>93</v>
      </c>
      <c r="D12" s="11">
        <v>-357</v>
      </c>
      <c r="E12" s="12">
        <f>VLOOKUP(B12,[1]Sheet!$AL:$AM,2,0)</f>
        <v>59.857854545454551</v>
      </c>
      <c r="F12" s="12">
        <f t="shared" si="0"/>
        <v>299.28927272727276</v>
      </c>
    </row>
    <row r="13" spans="1:6" x14ac:dyDescent="0.25">
      <c r="A13" s="10">
        <v>12</v>
      </c>
      <c r="B13" s="11" t="s">
        <v>90</v>
      </c>
      <c r="C13" s="11" t="s">
        <v>91</v>
      </c>
      <c r="D13" s="11">
        <v>-350</v>
      </c>
      <c r="E13" s="12">
        <f>VLOOKUP(B13,[1]Sheet!$AL:$AM,2,0)</f>
        <v>84.937327272727273</v>
      </c>
      <c r="F13" s="12">
        <f t="shared" si="0"/>
        <v>424.68663636363635</v>
      </c>
    </row>
    <row r="14" spans="1:6" x14ac:dyDescent="0.25">
      <c r="A14" s="10">
        <v>13</v>
      </c>
      <c r="B14" s="11" t="s">
        <v>88</v>
      </c>
      <c r="C14" s="11" t="s">
        <v>89</v>
      </c>
      <c r="D14" s="11">
        <v>-281</v>
      </c>
      <c r="E14" s="12">
        <f>VLOOKUP(B14,[1]Sheet!$AL:$AM,2,0)</f>
        <v>28.5</v>
      </c>
      <c r="F14" s="12">
        <f t="shared" si="0"/>
        <v>142.5</v>
      </c>
    </row>
    <row r="15" spans="1:6" x14ac:dyDescent="0.25">
      <c r="A15" s="10">
        <v>14</v>
      </c>
      <c r="B15" s="11" t="s">
        <v>64</v>
      </c>
      <c r="C15" s="11" t="s">
        <v>65</v>
      </c>
      <c r="D15" s="11">
        <v>-257</v>
      </c>
      <c r="E15" s="12">
        <f>VLOOKUP(B15,[1]Sheet!$AL:$AM,2,0)</f>
        <v>58.710109090909093</v>
      </c>
      <c r="F15" s="12">
        <f t="shared" si="0"/>
        <v>293.55054545454544</v>
      </c>
    </row>
    <row r="16" spans="1:6" x14ac:dyDescent="0.25">
      <c r="A16" s="10">
        <v>15</v>
      </c>
      <c r="B16" s="11" t="s">
        <v>38</v>
      </c>
      <c r="C16" s="11" t="s">
        <v>39</v>
      </c>
      <c r="D16" s="11">
        <v>-238</v>
      </c>
      <c r="E16" s="12">
        <f>VLOOKUP(B16,[1]Sheet!$AL:$AM,2,0)</f>
        <v>55.327800000000003</v>
      </c>
      <c r="F16" s="12">
        <f t="shared" si="0"/>
        <v>276.63900000000001</v>
      </c>
    </row>
    <row r="17" spans="1:6" x14ac:dyDescent="0.25">
      <c r="A17" s="10">
        <v>16</v>
      </c>
      <c r="B17" s="11" t="s">
        <v>74</v>
      </c>
      <c r="C17" s="11" t="s">
        <v>75</v>
      </c>
      <c r="D17" s="11">
        <v>-233</v>
      </c>
      <c r="E17" s="12">
        <f>VLOOKUP(B17,[1]Sheet!$AL:$AM,2,0)</f>
        <v>46.572054545454542</v>
      </c>
      <c r="F17" s="12">
        <f t="shared" si="0"/>
        <v>232.8602727272727</v>
      </c>
    </row>
    <row r="18" spans="1:6" x14ac:dyDescent="0.25">
      <c r="A18" s="4">
        <v>17</v>
      </c>
      <c r="B18" s="5" t="s">
        <v>32</v>
      </c>
      <c r="C18" s="5" t="s">
        <v>33</v>
      </c>
      <c r="D18" s="5">
        <v>-212</v>
      </c>
      <c r="E18" s="8">
        <f>VLOOKUP(B18,[1]Sheet!$AL:$AM,2,0)</f>
        <v>18</v>
      </c>
      <c r="F18" s="8">
        <f t="shared" si="0"/>
        <v>90</v>
      </c>
    </row>
    <row r="19" spans="1:6" x14ac:dyDescent="0.25">
      <c r="A19" s="10">
        <v>18</v>
      </c>
      <c r="B19" s="11" t="s">
        <v>102</v>
      </c>
      <c r="C19" s="11" t="s">
        <v>103</v>
      </c>
      <c r="D19" s="11">
        <v>-202</v>
      </c>
      <c r="E19" s="12">
        <f>VLOOKUP(B19,[1]Sheet!$AL:$AM,2,0)</f>
        <v>98</v>
      </c>
      <c r="F19" s="12">
        <f t="shared" si="0"/>
        <v>490</v>
      </c>
    </row>
    <row r="20" spans="1:6" x14ac:dyDescent="0.25">
      <c r="A20" s="4">
        <v>19</v>
      </c>
      <c r="B20" s="5" t="s">
        <v>16</v>
      </c>
      <c r="C20" s="5" t="s">
        <v>17</v>
      </c>
      <c r="D20" s="5">
        <v>-190</v>
      </c>
      <c r="E20" s="8">
        <f>VLOOKUP(B20,[1]Sheet!$AL:$AM,2,0)</f>
        <v>15.749999999999998</v>
      </c>
      <c r="F20" s="8">
        <f t="shared" si="0"/>
        <v>78.749999999999986</v>
      </c>
    </row>
    <row r="21" spans="1:6" ht="15.75" thickBot="1" x14ac:dyDescent="0.3">
      <c r="A21" s="10">
        <v>20</v>
      </c>
      <c r="B21" s="11" t="s">
        <v>58</v>
      </c>
      <c r="C21" s="11" t="s">
        <v>59</v>
      </c>
      <c r="D21" s="11">
        <v>-186</v>
      </c>
      <c r="E21" s="12">
        <f>VLOOKUP(B21,[1]Sheet!$AL:$AM,2,0)</f>
        <v>21.925109090909089</v>
      </c>
      <c r="F21" s="12">
        <f t="shared" si="0"/>
        <v>109.62554545454545</v>
      </c>
    </row>
    <row r="22" spans="1:6" hidden="1" x14ac:dyDescent="0.25">
      <c r="A22" s="1">
        <v>21</v>
      </c>
      <c r="B22" t="s">
        <v>34</v>
      </c>
      <c r="C22" t="s">
        <v>35</v>
      </c>
      <c r="D22">
        <v>-185</v>
      </c>
      <c r="F22" s="6">
        <f t="shared" si="0"/>
        <v>0</v>
      </c>
    </row>
    <row r="23" spans="1:6" hidden="1" x14ac:dyDescent="0.25">
      <c r="A23" s="1">
        <v>22</v>
      </c>
      <c r="B23" t="s">
        <v>6</v>
      </c>
      <c r="C23" t="s">
        <v>7</v>
      </c>
      <c r="D23">
        <v>-179</v>
      </c>
      <c r="F23" s="6">
        <f t="shared" si="0"/>
        <v>0</v>
      </c>
    </row>
    <row r="24" spans="1:6" hidden="1" x14ac:dyDescent="0.25">
      <c r="A24" s="1">
        <v>23</v>
      </c>
      <c r="B24" t="s">
        <v>48</v>
      </c>
      <c r="C24" t="s">
        <v>49</v>
      </c>
      <c r="D24">
        <v>-162</v>
      </c>
      <c r="F24" s="6">
        <f t="shared" si="0"/>
        <v>0</v>
      </c>
    </row>
    <row r="25" spans="1:6" hidden="1" x14ac:dyDescent="0.25">
      <c r="A25" s="1">
        <v>24</v>
      </c>
      <c r="B25" t="s">
        <v>26</v>
      </c>
      <c r="C25" t="s">
        <v>27</v>
      </c>
      <c r="D25">
        <v>-161</v>
      </c>
      <c r="F25" s="6">
        <f t="shared" si="0"/>
        <v>0</v>
      </c>
    </row>
    <row r="26" spans="1:6" hidden="1" x14ac:dyDescent="0.25">
      <c r="A26" s="1">
        <v>25</v>
      </c>
      <c r="B26" t="s">
        <v>52</v>
      </c>
      <c r="C26" t="s">
        <v>53</v>
      </c>
      <c r="D26">
        <v>-150</v>
      </c>
      <c r="F26" s="6">
        <f t="shared" si="0"/>
        <v>0</v>
      </c>
    </row>
    <row r="27" spans="1:6" hidden="1" x14ac:dyDescent="0.25">
      <c r="A27" s="1">
        <v>26</v>
      </c>
      <c r="B27" t="s">
        <v>42</v>
      </c>
      <c r="C27" t="s">
        <v>43</v>
      </c>
      <c r="D27">
        <v>-133</v>
      </c>
      <c r="F27" s="6">
        <f t="shared" si="0"/>
        <v>0</v>
      </c>
    </row>
    <row r="28" spans="1:6" hidden="1" x14ac:dyDescent="0.25">
      <c r="A28" s="1">
        <v>27</v>
      </c>
      <c r="B28" t="s">
        <v>50</v>
      </c>
      <c r="C28" t="s">
        <v>51</v>
      </c>
      <c r="D28">
        <v>-121</v>
      </c>
      <c r="F28" s="6">
        <f t="shared" si="0"/>
        <v>0</v>
      </c>
    </row>
    <row r="29" spans="1:6" hidden="1" x14ac:dyDescent="0.25">
      <c r="A29" s="1">
        <v>28</v>
      </c>
      <c r="B29" t="s">
        <v>18</v>
      </c>
      <c r="C29" t="s">
        <v>19</v>
      </c>
      <c r="D29">
        <v>-120</v>
      </c>
      <c r="F29" s="6">
        <f t="shared" si="0"/>
        <v>0</v>
      </c>
    </row>
    <row r="30" spans="1:6" hidden="1" x14ac:dyDescent="0.25">
      <c r="A30" s="1">
        <v>29</v>
      </c>
      <c r="B30" t="s">
        <v>110</v>
      </c>
      <c r="C30" t="s">
        <v>111</v>
      </c>
      <c r="D30">
        <v>-102</v>
      </c>
      <c r="F30" s="6">
        <f t="shared" si="0"/>
        <v>0</v>
      </c>
    </row>
    <row r="31" spans="1:6" hidden="1" x14ac:dyDescent="0.25">
      <c r="A31" s="1">
        <v>30</v>
      </c>
      <c r="B31" t="s">
        <v>76</v>
      </c>
      <c r="C31" t="s">
        <v>77</v>
      </c>
      <c r="D31">
        <v>-101</v>
      </c>
      <c r="F31" s="6">
        <f t="shared" si="0"/>
        <v>0</v>
      </c>
    </row>
    <row r="32" spans="1:6" hidden="1" x14ac:dyDescent="0.25">
      <c r="A32" s="1">
        <v>31</v>
      </c>
      <c r="B32" t="s">
        <v>46</v>
      </c>
      <c r="C32" t="s">
        <v>47</v>
      </c>
      <c r="D32">
        <v>-85</v>
      </c>
      <c r="F32" s="6">
        <f t="shared" si="0"/>
        <v>0</v>
      </c>
    </row>
    <row r="33" spans="1:6" hidden="1" x14ac:dyDescent="0.25">
      <c r="A33" s="1">
        <v>32</v>
      </c>
      <c r="B33" t="s">
        <v>4</v>
      </c>
      <c r="C33" t="s">
        <v>5</v>
      </c>
      <c r="D33">
        <v>-82</v>
      </c>
      <c r="F33" s="6">
        <f t="shared" si="0"/>
        <v>0</v>
      </c>
    </row>
    <row r="34" spans="1:6" hidden="1" x14ac:dyDescent="0.25">
      <c r="A34" s="1">
        <v>33</v>
      </c>
      <c r="B34" t="s">
        <v>22</v>
      </c>
      <c r="C34" t="s">
        <v>23</v>
      </c>
      <c r="D34">
        <v>-79</v>
      </c>
      <c r="F34" s="6">
        <f t="shared" si="0"/>
        <v>0</v>
      </c>
    </row>
    <row r="35" spans="1:6" hidden="1" x14ac:dyDescent="0.25">
      <c r="A35" s="1">
        <v>34</v>
      </c>
      <c r="B35" t="s">
        <v>108</v>
      </c>
      <c r="C35" t="s">
        <v>109</v>
      </c>
      <c r="D35">
        <v>-72</v>
      </c>
      <c r="F35" s="6">
        <f t="shared" si="0"/>
        <v>0</v>
      </c>
    </row>
    <row r="36" spans="1:6" hidden="1" x14ac:dyDescent="0.25">
      <c r="A36" s="1">
        <v>35</v>
      </c>
      <c r="B36" t="s">
        <v>82</v>
      </c>
      <c r="C36" t="s">
        <v>83</v>
      </c>
      <c r="D36">
        <v>-67</v>
      </c>
      <c r="F36" s="6">
        <f t="shared" si="0"/>
        <v>0</v>
      </c>
    </row>
    <row r="37" spans="1:6" hidden="1" x14ac:dyDescent="0.25">
      <c r="A37" s="1">
        <v>36</v>
      </c>
      <c r="B37" t="s">
        <v>40</v>
      </c>
      <c r="C37" t="s">
        <v>41</v>
      </c>
      <c r="D37">
        <v>-61</v>
      </c>
      <c r="F37" s="6">
        <f t="shared" si="0"/>
        <v>0</v>
      </c>
    </row>
    <row r="38" spans="1:6" hidden="1" x14ac:dyDescent="0.25">
      <c r="A38" s="1">
        <v>37</v>
      </c>
      <c r="B38" t="s">
        <v>28</v>
      </c>
      <c r="C38" t="s">
        <v>29</v>
      </c>
      <c r="D38">
        <v>-60</v>
      </c>
      <c r="F38" s="6">
        <f t="shared" si="0"/>
        <v>0</v>
      </c>
    </row>
    <row r="39" spans="1:6" hidden="1" x14ac:dyDescent="0.25">
      <c r="A39" s="1">
        <v>38</v>
      </c>
      <c r="B39" t="s">
        <v>60</v>
      </c>
      <c r="C39" t="s">
        <v>61</v>
      </c>
      <c r="D39">
        <v>-45</v>
      </c>
      <c r="F39" s="6">
        <f t="shared" si="0"/>
        <v>0</v>
      </c>
    </row>
    <row r="40" spans="1:6" hidden="1" x14ac:dyDescent="0.25">
      <c r="A40" s="1">
        <v>39</v>
      </c>
      <c r="B40" t="s">
        <v>44</v>
      </c>
      <c r="C40" t="s">
        <v>45</v>
      </c>
      <c r="D40">
        <v>-35</v>
      </c>
      <c r="F40" s="6">
        <f t="shared" si="0"/>
        <v>0</v>
      </c>
    </row>
    <row r="41" spans="1:6" hidden="1" x14ac:dyDescent="0.25">
      <c r="A41" s="1">
        <v>40</v>
      </c>
      <c r="B41" t="s">
        <v>36</v>
      </c>
      <c r="C41" t="s">
        <v>37</v>
      </c>
      <c r="D41">
        <v>-32</v>
      </c>
      <c r="F41" s="6">
        <f t="shared" si="0"/>
        <v>0</v>
      </c>
    </row>
    <row r="42" spans="1:6" hidden="1" x14ac:dyDescent="0.25">
      <c r="A42" s="1">
        <v>41</v>
      </c>
      <c r="B42" t="s">
        <v>12</v>
      </c>
      <c r="C42" t="s">
        <v>13</v>
      </c>
      <c r="D42">
        <v>-14</v>
      </c>
      <c r="F42" s="6">
        <f t="shared" si="0"/>
        <v>0</v>
      </c>
    </row>
    <row r="43" spans="1:6" hidden="1" x14ac:dyDescent="0.25">
      <c r="A43" s="1">
        <v>42</v>
      </c>
      <c r="B43" t="s">
        <v>98</v>
      </c>
      <c r="C43" t="s">
        <v>99</v>
      </c>
      <c r="D43">
        <v>-12</v>
      </c>
      <c r="F43" s="6">
        <f t="shared" si="0"/>
        <v>0</v>
      </c>
    </row>
    <row r="44" spans="1:6" hidden="1" x14ac:dyDescent="0.25">
      <c r="A44" s="1">
        <v>43</v>
      </c>
      <c r="B44" t="s">
        <v>84</v>
      </c>
      <c r="C44" t="s">
        <v>85</v>
      </c>
      <c r="D44">
        <v>-11</v>
      </c>
      <c r="F44" s="6">
        <f t="shared" si="0"/>
        <v>0</v>
      </c>
    </row>
    <row r="45" spans="1:6" hidden="1" x14ac:dyDescent="0.25">
      <c r="A45" s="1">
        <v>44</v>
      </c>
      <c r="B45" t="s">
        <v>70</v>
      </c>
      <c r="C45" t="s">
        <v>71</v>
      </c>
      <c r="D45">
        <v>-9</v>
      </c>
      <c r="F45" s="6">
        <f t="shared" si="0"/>
        <v>0</v>
      </c>
    </row>
    <row r="46" spans="1:6" hidden="1" x14ac:dyDescent="0.25">
      <c r="A46" s="1">
        <v>45</v>
      </c>
      <c r="B46" t="s">
        <v>24</v>
      </c>
      <c r="C46" t="s">
        <v>25</v>
      </c>
      <c r="D46">
        <v>-5</v>
      </c>
      <c r="F46" s="6">
        <f t="shared" si="0"/>
        <v>0</v>
      </c>
    </row>
    <row r="47" spans="1:6" hidden="1" x14ac:dyDescent="0.25">
      <c r="A47" s="1">
        <v>46</v>
      </c>
      <c r="B47" t="s">
        <v>54</v>
      </c>
      <c r="C47" t="s">
        <v>55</v>
      </c>
      <c r="D47">
        <v>-5</v>
      </c>
      <c r="F47" s="6">
        <f t="shared" si="0"/>
        <v>0</v>
      </c>
    </row>
    <row r="48" spans="1:6" hidden="1" x14ac:dyDescent="0.25">
      <c r="A48" s="1">
        <v>47</v>
      </c>
      <c r="B48" t="s">
        <v>80</v>
      </c>
      <c r="C48" t="s">
        <v>81</v>
      </c>
      <c r="D48">
        <v>-3</v>
      </c>
      <c r="F48" s="6">
        <f t="shared" si="0"/>
        <v>0</v>
      </c>
    </row>
    <row r="49" spans="1:7" hidden="1" x14ac:dyDescent="0.25">
      <c r="A49" s="1">
        <v>48</v>
      </c>
      <c r="B49" t="s">
        <v>94</v>
      </c>
      <c r="C49" t="s">
        <v>95</v>
      </c>
      <c r="D49">
        <v>-3</v>
      </c>
      <c r="F49" s="6">
        <f t="shared" si="0"/>
        <v>0</v>
      </c>
    </row>
    <row r="50" spans="1:7" hidden="1" x14ac:dyDescent="0.25">
      <c r="A50" s="1">
        <v>49</v>
      </c>
      <c r="B50" t="s">
        <v>2</v>
      </c>
      <c r="C50" t="s">
        <v>3</v>
      </c>
      <c r="D50">
        <v>-2</v>
      </c>
      <c r="F50" s="6">
        <f t="shared" si="0"/>
        <v>0</v>
      </c>
    </row>
    <row r="51" spans="1:7" hidden="1" x14ac:dyDescent="0.25">
      <c r="A51" s="1">
        <v>50</v>
      </c>
      <c r="B51" t="s">
        <v>68</v>
      </c>
      <c r="C51" t="s">
        <v>69</v>
      </c>
      <c r="D51">
        <v>-2</v>
      </c>
      <c r="F51" s="6">
        <f t="shared" si="0"/>
        <v>0</v>
      </c>
    </row>
    <row r="52" spans="1:7" hidden="1" x14ac:dyDescent="0.25">
      <c r="A52" s="1">
        <v>51</v>
      </c>
      <c r="B52" t="s">
        <v>78</v>
      </c>
      <c r="C52" t="s">
        <v>79</v>
      </c>
      <c r="D52">
        <v>-1</v>
      </c>
      <c r="F52" s="6">
        <f t="shared" si="0"/>
        <v>0</v>
      </c>
    </row>
    <row r="53" spans="1:7" hidden="1" x14ac:dyDescent="0.25">
      <c r="A53" s="1">
        <v>52</v>
      </c>
      <c r="B53" t="s">
        <v>86</v>
      </c>
      <c r="C53" t="s">
        <v>87</v>
      </c>
      <c r="D53">
        <v>-1</v>
      </c>
      <c r="F53" s="6">
        <f t="shared" si="0"/>
        <v>0</v>
      </c>
    </row>
    <row r="54" spans="1:7" hidden="1" x14ac:dyDescent="0.25">
      <c r="A54" s="1">
        <v>53</v>
      </c>
      <c r="B54" t="s">
        <v>96</v>
      </c>
      <c r="C54" t="s">
        <v>97</v>
      </c>
      <c r="D54">
        <v>-1</v>
      </c>
      <c r="F54" s="6">
        <f t="shared" si="0"/>
        <v>0</v>
      </c>
    </row>
    <row r="55" spans="1:7" hidden="1" x14ac:dyDescent="0.25">
      <c r="A55" s="1">
        <v>54</v>
      </c>
      <c r="B55" t="s">
        <v>100</v>
      </c>
      <c r="C55" t="s">
        <v>101</v>
      </c>
      <c r="D55">
        <v>-1</v>
      </c>
      <c r="F55" s="6">
        <f t="shared" si="0"/>
        <v>0</v>
      </c>
    </row>
    <row r="56" spans="1:7" hidden="1" x14ac:dyDescent="0.25">
      <c r="A56" s="1">
        <v>55</v>
      </c>
      <c r="B56" t="s">
        <v>104</v>
      </c>
      <c r="C56" t="s">
        <v>105</v>
      </c>
      <c r="D56">
        <v>-1</v>
      </c>
      <c r="F56" s="6">
        <f t="shared" si="0"/>
        <v>0</v>
      </c>
    </row>
    <row r="57" spans="1:7" hidden="1" x14ac:dyDescent="0.25">
      <c r="A57" s="1">
        <v>56</v>
      </c>
      <c r="B57" t="s">
        <v>106</v>
      </c>
      <c r="C57" t="s">
        <v>107</v>
      </c>
      <c r="D57">
        <v>-1</v>
      </c>
      <c r="F57" s="6">
        <f t="shared" si="0"/>
        <v>0</v>
      </c>
    </row>
    <row r="58" spans="1:7" ht="15.75" thickBot="1" x14ac:dyDescent="0.3">
      <c r="F58" s="9">
        <f>SUM(F1:F57)</f>
        <v>9717.1073636363617</v>
      </c>
      <c r="G58" s="13">
        <f>F2+F3+F4+F5+F6+F7+F8+F9+F10+F12+F13+F14+F15+F16+F17+F19+F21</f>
        <v>9491.6714545454524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2026-08-20T16:49:57Z</dcterms:modified>
</cp:coreProperties>
</file>