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200" windowHeight="7050" activeTab="2"/>
  </bookViews>
  <sheets>
    <sheet name="ОБЩ" sheetId="8" r:id="rId1"/>
    <sheet name="ЛНР" sheetId="9" r:id="rId2"/>
    <sheet name="ДНР" sheetId="10" r:id="rId3"/>
  </sheets>
  <definedNames>
    <definedName name="_xlnm._FilterDatabase" localSheetId="2" hidden="1">ДНР!$B$3:$F$3</definedName>
    <definedName name="_xlnm._FilterDatabase" localSheetId="1" hidden="1">ЛНР!$B$3:$F$3</definedName>
    <definedName name="_xlnm._FilterDatabase" localSheetId="0" hidden="1">ОБЩ!$B$2:$F$2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10" l="1"/>
  <c r="F50" i="10"/>
  <c r="F11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42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22" i="10"/>
  <c r="F25" i="10"/>
  <c r="F29" i="10"/>
  <c r="F86" i="10"/>
  <c r="F87" i="10"/>
  <c r="F88" i="10"/>
  <c r="F6" i="10"/>
  <c r="F89" i="10"/>
  <c r="F32" i="10"/>
  <c r="F31" i="10"/>
  <c r="F28" i="10"/>
  <c r="F90" i="10"/>
  <c r="F91" i="10"/>
  <c r="F35" i="10"/>
  <c r="F17" i="10"/>
  <c r="F41" i="10"/>
  <c r="F24" i="10"/>
  <c r="F92" i="10"/>
  <c r="F27" i="10"/>
  <c r="F34" i="10"/>
  <c r="F93" i="10"/>
  <c r="F94" i="10"/>
  <c r="F19" i="10"/>
  <c r="F21" i="10"/>
  <c r="F40" i="10"/>
  <c r="F30" i="10"/>
  <c r="F37" i="10"/>
  <c r="F47" i="10"/>
  <c r="F95" i="10"/>
  <c r="F96" i="10"/>
  <c r="F45" i="10"/>
  <c r="F39" i="10"/>
  <c r="F97" i="10"/>
  <c r="F38" i="10"/>
  <c r="F98" i="10"/>
  <c r="F99" i="10"/>
  <c r="F100" i="10"/>
  <c r="F101" i="10"/>
  <c r="F102" i="10"/>
  <c r="F23" i="10"/>
  <c r="F46" i="10"/>
  <c r="F9" i="10"/>
  <c r="F103" i="10"/>
  <c r="F33" i="10"/>
  <c r="F10" i="10"/>
  <c r="F104" i="10"/>
  <c r="F105" i="10"/>
  <c r="F106" i="10"/>
  <c r="F107" i="10"/>
  <c r="F5" i="10"/>
  <c r="F12" i="10"/>
  <c r="F4" i="10"/>
  <c r="F43" i="10"/>
  <c r="F44" i="10"/>
  <c r="F16" i="10"/>
  <c r="F108" i="10"/>
  <c r="F26" i="10"/>
  <c r="F18" i="10"/>
  <c r="F7" i="10"/>
  <c r="F8" i="10"/>
  <c r="F20" i="10"/>
  <c r="F15" i="10"/>
  <c r="F14" i="10"/>
  <c r="F13" i="10"/>
  <c r="F36" i="10"/>
  <c r="F109" i="10"/>
  <c r="F48" i="10"/>
  <c r="F47" i="9"/>
  <c r="F48" i="9"/>
  <c r="F49" i="9"/>
  <c r="F50" i="9"/>
  <c r="F51" i="9"/>
  <c r="F52" i="9"/>
  <c r="F43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45" i="9"/>
  <c r="F74" i="9"/>
  <c r="F75" i="9"/>
  <c r="F76" i="9"/>
  <c r="F77" i="9"/>
  <c r="F78" i="9"/>
  <c r="F79" i="9"/>
  <c r="F80" i="9"/>
  <c r="F81" i="9"/>
  <c r="F82" i="9"/>
  <c r="F83" i="9"/>
  <c r="F84" i="9"/>
  <c r="F8" i="9"/>
  <c r="F27" i="9"/>
  <c r="F20" i="9"/>
  <c r="F31" i="9"/>
  <c r="F85" i="9"/>
  <c r="F86" i="9"/>
  <c r="F11" i="9"/>
  <c r="F87" i="9"/>
  <c r="F33" i="9"/>
  <c r="F29" i="9"/>
  <c r="F32" i="9"/>
  <c r="F23" i="9"/>
  <c r="F88" i="9"/>
  <c r="F89" i="9"/>
  <c r="F17" i="9"/>
  <c r="F26" i="9"/>
  <c r="F19" i="9"/>
  <c r="F10" i="9"/>
  <c r="F14" i="9"/>
  <c r="F90" i="9"/>
  <c r="F91" i="9"/>
  <c r="F37" i="9"/>
  <c r="F18" i="9"/>
  <c r="F15" i="9"/>
  <c r="F22" i="9"/>
  <c r="F92" i="9"/>
  <c r="F93" i="9"/>
  <c r="F94" i="9"/>
  <c r="F95" i="9"/>
  <c r="F40" i="9"/>
  <c r="F96" i="9"/>
  <c r="F34" i="9"/>
  <c r="F39" i="9"/>
  <c r="F97" i="9"/>
  <c r="F98" i="9"/>
  <c r="F99" i="9"/>
  <c r="F100" i="9"/>
  <c r="F101" i="9"/>
  <c r="F42" i="9"/>
  <c r="F44" i="9"/>
  <c r="F36" i="9"/>
  <c r="F7" i="9"/>
  <c r="F13" i="9"/>
  <c r="F102" i="9"/>
  <c r="F41" i="9"/>
  <c r="F103" i="9"/>
  <c r="F24" i="9"/>
  <c r="F104" i="9"/>
  <c r="F105" i="9"/>
  <c r="F106" i="9"/>
  <c r="F107" i="9"/>
  <c r="F108" i="9"/>
  <c r="F16" i="9"/>
  <c r="F21" i="9"/>
  <c r="F4" i="9"/>
  <c r="F35" i="9"/>
  <c r="F38" i="9"/>
  <c r="F109" i="9"/>
  <c r="F110" i="9"/>
  <c r="F28" i="9"/>
  <c r="F25" i="9"/>
  <c r="F5" i="9"/>
  <c r="F9" i="9"/>
  <c r="F30" i="9"/>
  <c r="F111" i="9"/>
  <c r="F12" i="9"/>
  <c r="F6" i="9"/>
  <c r="F112" i="9"/>
  <c r="F46" i="9"/>
  <c r="F66" i="8"/>
  <c r="F67" i="8"/>
  <c r="F24" i="8"/>
  <c r="F68" i="8"/>
  <c r="F69" i="8"/>
  <c r="F70" i="8"/>
  <c r="F71" i="8"/>
  <c r="F56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60" i="8"/>
  <c r="F93" i="8"/>
  <c r="F94" i="8"/>
  <c r="F95" i="8"/>
  <c r="F64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" i="8"/>
  <c r="F28" i="8"/>
  <c r="F27" i="8"/>
  <c r="F42" i="8"/>
  <c r="F108" i="8"/>
  <c r="F109" i="8"/>
  <c r="F52" i="8"/>
  <c r="F7" i="8"/>
  <c r="F110" i="8"/>
  <c r="F47" i="8"/>
  <c r="F39" i="8"/>
  <c r="F31" i="8"/>
  <c r="F26" i="8"/>
  <c r="F111" i="8"/>
  <c r="F112" i="8"/>
  <c r="F22" i="8"/>
  <c r="F23" i="8"/>
  <c r="F35" i="8"/>
  <c r="F18" i="8"/>
  <c r="F14" i="8"/>
  <c r="F20" i="8"/>
  <c r="F53" i="8"/>
  <c r="F46" i="8"/>
  <c r="F113" i="8"/>
  <c r="F33" i="8"/>
  <c r="F15" i="8"/>
  <c r="F21" i="8"/>
  <c r="F29" i="8"/>
  <c r="F55" i="8"/>
  <c r="F63" i="8"/>
  <c r="F114" i="8"/>
  <c r="F115" i="8"/>
  <c r="F62" i="8"/>
  <c r="F51" i="8"/>
  <c r="F48" i="8"/>
  <c r="F116" i="8"/>
  <c r="F32" i="8"/>
  <c r="F38" i="8"/>
  <c r="F117" i="8"/>
  <c r="F118" i="8"/>
  <c r="F119" i="8"/>
  <c r="F120" i="8"/>
  <c r="F121" i="8"/>
  <c r="F40" i="8"/>
  <c r="F59" i="8"/>
  <c r="F44" i="8"/>
  <c r="F6" i="8"/>
  <c r="F13" i="8"/>
  <c r="F19" i="8"/>
  <c r="F45" i="8"/>
  <c r="F122" i="8"/>
  <c r="F16" i="8"/>
  <c r="F58" i="8"/>
  <c r="F41" i="8"/>
  <c r="F57" i="8"/>
  <c r="F123" i="8"/>
  <c r="F61" i="8"/>
  <c r="F4" i="8"/>
  <c r="F11" i="8"/>
  <c r="F17" i="8"/>
  <c r="F3" i="8"/>
  <c r="F43" i="8"/>
  <c r="F49" i="8"/>
  <c r="F50" i="8"/>
  <c r="F36" i="8"/>
  <c r="F124" i="8"/>
  <c r="F34" i="8"/>
  <c r="F25" i="8"/>
  <c r="F5" i="8"/>
  <c r="F8" i="8"/>
  <c r="F30" i="8"/>
  <c r="F37" i="8"/>
  <c r="F12" i="8"/>
  <c r="F9" i="8"/>
  <c r="F54" i="8"/>
  <c r="F125" i="8"/>
  <c r="F126" i="8"/>
  <c r="F65" i="8"/>
</calcChain>
</file>

<file path=xl/sharedStrings.xml><?xml version="1.0" encoding="utf-8"?>
<sst xmlns="http://schemas.openxmlformats.org/spreadsheetml/2006/main" count="695" uniqueCount="255">
  <si>
    <t>Единица продаж</t>
  </si>
  <si>
    <t>Код единицы продаж</t>
  </si>
  <si>
    <t>Ветчина Дугушка ТМ Стародворье ТС Дугушка диплекс вес СК</t>
  </si>
  <si>
    <t>SU002035</t>
  </si>
  <si>
    <t>Ветчина Дугушка ТМ Стародворье ТС Дугушка полиамид ф/в 0,6 кг СК</t>
  </si>
  <si>
    <t>SU002643</t>
  </si>
  <si>
    <t>Ветчина Нежная с индейкой ТМ Особый рецепт полиамид вес СК</t>
  </si>
  <si>
    <t>SU003686</t>
  </si>
  <si>
    <t>Ветчина Нежная ТМ Особый рецепт полиамид вес большой батон СК</t>
  </si>
  <si>
    <t>SU000126</t>
  </si>
  <si>
    <t>Ветчина Сливушка с индейкой ТМ Вязанка мгс ф/в 0,1 кг нарезка СК</t>
  </si>
  <si>
    <t>SU002356</t>
  </si>
  <si>
    <t>Ветчина Сливушка с индейкой ТМ Вязанка полиамид 0,4 кг СК</t>
  </si>
  <si>
    <t>SU002735</t>
  </si>
  <si>
    <t>Ветчина Сливушка с индейкой ТМ Вязанка полиамид вес СК</t>
  </si>
  <si>
    <t>SU002833</t>
  </si>
  <si>
    <t>Ветчина Филейская ТМ Вязанка ТС Столичная полиамид вес СК</t>
  </si>
  <si>
    <t>SU002828</t>
  </si>
  <si>
    <t>Грудинка варено-копченая ТМ Стародворье в/у ф/в 0,12 кг нарезка МЗР</t>
  </si>
  <si>
    <t>SU003921</t>
  </si>
  <si>
    <t>Колбаса вареная Ветчинно-рубленая ТМ Особый рецепт полиамид вес СК</t>
  </si>
  <si>
    <t>SU004131</t>
  </si>
  <si>
    <t>Колбаса вареная Докторская ГОСТ ТМ Вязанка вектор вес СК</t>
  </si>
  <si>
    <t>SU000722</t>
  </si>
  <si>
    <t>Колбаса вареная Докторская ГОСТ ТМ Вязанка полиамид ф/в 0,37 кг СК</t>
  </si>
  <si>
    <t>SU002986</t>
  </si>
  <si>
    <t>Колбаса вареная Докторская ГОСТ ТМ Стародворье ТС Дугушка полиамид вес СК</t>
  </si>
  <si>
    <t>SU002011</t>
  </si>
  <si>
    <t>Колбаса вареная Докторская ГОСТ ТМ Стародворье ТС Дугушка полиамид ф/в 0,6 кг СК</t>
  </si>
  <si>
    <t>SU002632</t>
  </si>
  <si>
    <t>Колбаса вареная Дугушка со шпиком Дугушка ТМ Стародворье ТС Дугушка полиамид вес СК</t>
  </si>
  <si>
    <t>SU002182</t>
  </si>
  <si>
    <t>Колбаса вареная Дугушка Стародворская ТМ Стародворье ТС Дугушка полиамид вес СК</t>
  </si>
  <si>
    <t>SU002634</t>
  </si>
  <si>
    <t>Колбаса вареная Классическая ТМ Особый рецепт полиамид вес СК</t>
  </si>
  <si>
    <t>SU004238</t>
  </si>
  <si>
    <t>Колбаса вареная Молокуша ТМ Вязанка мгс ф/в 0,17 кг нарезка СК</t>
  </si>
  <si>
    <t>SU002354</t>
  </si>
  <si>
    <t>Колбаса вареная Молокуша ТМ Вязанка полиамид вес СК</t>
  </si>
  <si>
    <t>SU002830</t>
  </si>
  <si>
    <t>Колбаса вареная Молокуша ТМ Вязанка полиамид ф/в 0,45 кг СК</t>
  </si>
  <si>
    <t>SU002816</t>
  </si>
  <si>
    <t>Колбаса вареная Молочная Дугушка ТМ Стародворье ТС Дугушка полиамид вес СК</t>
  </si>
  <si>
    <t>SU002010</t>
  </si>
  <si>
    <t>Колбаса вареная Молочная Дугушка ТМ Стародворье ТС Дугушка полиамид ф/в 0,6 кг СК</t>
  </si>
  <si>
    <t>SU002631</t>
  </si>
  <si>
    <t>Колбаса вареная Молочная ТМ Особый рецепт полиамид вес большой батон СК/ВЗ</t>
  </si>
  <si>
    <t>SU003422</t>
  </si>
  <si>
    <t>Колбаса вареная Молочная ТМ Стародворье вектор вес НД СК</t>
  </si>
  <si>
    <t>SU004103</t>
  </si>
  <si>
    <t>Колбаса вареная Молочная ТМ Стародворье с молоком полиамид вес СК</t>
  </si>
  <si>
    <t>SU003273</t>
  </si>
  <si>
    <t>Колбаса вареная Мусульманская халяль ТМ Вязанка вектор ф/в 0,4 кг АК</t>
  </si>
  <si>
    <t>SU002983</t>
  </si>
  <si>
    <t>Колбаса вареная Мясная ТМ Стародворье вектор вес НД СК</t>
  </si>
  <si>
    <t>SU004104</t>
  </si>
  <si>
    <t>Колбаса вареная Сливушка ТМ Вязанка полиамид 0,45 кг СК</t>
  </si>
  <si>
    <t>SU002734</t>
  </si>
  <si>
    <t>Колбаса вареная Сливушка ТМ Вязанка полиамид вес СК</t>
  </si>
  <si>
    <t>SU002928</t>
  </si>
  <si>
    <t>Колбаса вареная Со шпиком ТМ Особый рецепт полиамид вес большой батон СК/ВЗ</t>
  </si>
  <si>
    <t>SU003423</t>
  </si>
  <si>
    <t>Колбаса вареная Со шпиком ТМ Стародворье вектор вес СК</t>
  </si>
  <si>
    <t>SU004106</t>
  </si>
  <si>
    <t>Колбаса вареная Стародворская со шпиком ТМ Стародворье полиамид вес СК</t>
  </si>
  <si>
    <t>SU003275</t>
  </si>
  <si>
    <t>Колбаса вареная Стародворская ТМ Стародворье с окороком полиамид ф/в 0,4 кг СК</t>
  </si>
  <si>
    <t>SU003272</t>
  </si>
  <si>
    <t>Колбаса вареная Стародворская Традиционная ТМ Стародворье полиамид вес СК</t>
  </si>
  <si>
    <t>SU003392</t>
  </si>
  <si>
    <t>Колбаса вареная Филейная ТМ Особый рецепт полиамид вес большой батон СК/ВЗ</t>
  </si>
  <si>
    <t>SU003420</t>
  </si>
  <si>
    <t>Колбаса вареная Филейская со шпиком ТМ Вязанка ТС Вязанка полиамид вес СК</t>
  </si>
  <si>
    <t>SU003642</t>
  </si>
  <si>
    <t>Колбаса вареная Филейская ТМ Вязанка ТС Классическая полиамид вес СК</t>
  </si>
  <si>
    <t>SU002829</t>
  </si>
  <si>
    <t>Колбаса вареная Филейская ТМ Вязанка ТС Классическая полиамид ф/в 0,4 кг СК</t>
  </si>
  <si>
    <t>SU002831</t>
  </si>
  <si>
    <t>Колбаса вареная Филейская ТМ Вязанка ТС Классическая полиамид ф/в 0,45 кг СК</t>
  </si>
  <si>
    <t>SU002815</t>
  </si>
  <si>
    <t>Колбаса варено-копченая Ассорти Мясорубская коллекция: Сервелат Делюкс, С балыком ТМ Стародворье мгс ф/в 0,08 кг нарезка СК</t>
  </si>
  <si>
    <t>SU004026</t>
  </si>
  <si>
    <t>Колбаса варено-копченая Балыковая ТМ Вязанка скин ф/в 0,09 кг нарезка СК</t>
  </si>
  <si>
    <t>SU003753</t>
  </si>
  <si>
    <t>Колбаса варено-копченая Балыковая ТМ Вязанка фиброуз в/у вес СК</t>
  </si>
  <si>
    <t>SU004041</t>
  </si>
  <si>
    <t>Колбаса варено-копченая Балыковая ТМ Вязанка фиброуз в/у ф/в 0,28 кг срез СК</t>
  </si>
  <si>
    <t>SU004039</t>
  </si>
  <si>
    <t>Колбаса варено-копченая Мясорубская ТМ Стародворье с рубленой грудинкой  фиброуз в/у ф/в 0,35 кг срез СК</t>
  </si>
  <si>
    <t>SU002660</t>
  </si>
  <si>
    <t>Колбаса варено-копченая Мясорубская ТМ Стародворье с рубленой грудинкой фиброуз в/у вес СК</t>
  </si>
  <si>
    <t>SU002756</t>
  </si>
  <si>
    <t>Колбаса варено-копченая Рубленая Запеченная ТМ Стародворье ТС Дугушка вектор вес СК</t>
  </si>
  <si>
    <t>SU002150</t>
  </si>
  <si>
    <t>Колбаса варено-копченая Салями Запеченная Дугушка ТМ Стародворье ТС Дугушка вектор вес СК</t>
  </si>
  <si>
    <t>SU002158</t>
  </si>
  <si>
    <t>Колбаса варено-копченая Сервелат Запеченный ТМ Стародворье ТС Дугушка вектор вес СК</t>
  </si>
  <si>
    <t>SU002151</t>
  </si>
  <si>
    <t>Колбаса варено-копченая Сервелат Запеченный ТМ Стародворье ТС Дугушка вектор ф/в 0,6 кг СК</t>
  </si>
  <si>
    <t>SU002918</t>
  </si>
  <si>
    <t>Колбаса варено-копченая Сервелат Кремлевский ТМ Стародворье фиброуз в/у вес СК</t>
  </si>
  <si>
    <t>SU001822</t>
  </si>
  <si>
    <t>Колбаса варено-копченая Сервелат Мясорубский Делюкс ТМ Стародворье фиброуз в/у ф/в 0,3 кг срез СК</t>
  </si>
  <si>
    <t>SU003829</t>
  </si>
  <si>
    <t>Колбаса варено-копченая Сервелат Мясорубский ТМ Стародворье с мелкорубленным окороком фиброуз в/у вес СК</t>
  </si>
  <si>
    <t>SU002847</t>
  </si>
  <si>
    <t>Колбаса варено-копченая Сервелат Мясорубский ТМ Стародворье с мелкорубленным окороком фиброуз в/у ф/в 0,35 кг срез СК</t>
  </si>
  <si>
    <t>SU002848</t>
  </si>
  <si>
    <t>Колбаса варено-копченая Сервелат Мясорубский ТМ Стародворье скин ф/в 0,08 кг нарезка СК</t>
  </si>
  <si>
    <t>SU003178</t>
  </si>
  <si>
    <t>Колбаса варено-копченая Сервелат Финский ТМ Вязанка скин ф/в 0,09 кг нарезка СК</t>
  </si>
  <si>
    <t>SU003751</t>
  </si>
  <si>
    <t>Колбаса варено-копченая Сервелат Финский ТМ Вязанка фиброуз в/у вес СК</t>
  </si>
  <si>
    <t>SU004047</t>
  </si>
  <si>
    <t>Колбаса варено-копченая Сочинка по-европейски с сочной грудинкой ТМ Стародворье фиброуз в/у вес СК</t>
  </si>
  <si>
    <t>SU002941</t>
  </si>
  <si>
    <t>Колбаса варено-копченая Сочинка по-европейски с сочной грудинкой ТМ Стародворье фиброуз в/у ф/в 0,3 кг срез СК</t>
  </si>
  <si>
    <t>SU002944</t>
  </si>
  <si>
    <t>Колбаса варено-копченая Сочинка по-фински с сочным окороком ТМ Стародворье фиброуз в/у вес СК</t>
  </si>
  <si>
    <t>SU002943</t>
  </si>
  <si>
    <t>Колбаса варено-копченая Сочинка по-фински с сочным окороком ТМ Стародворье фиброуз в/у ф/в 0,3 кг срез СК</t>
  </si>
  <si>
    <t>SU002942</t>
  </si>
  <si>
    <t>Колбаса полукопченая Аль-Ислами халяль ТМ Вязанка фиброуз в/у ф/в 0,35 кг АК</t>
  </si>
  <si>
    <t>SU002985</t>
  </si>
  <si>
    <t>Колбаса полукопченая Кракушка пряная с сальцем ТМ Стародворье ТС Баварушка черева в/у ф/в 0,3 кг СК</t>
  </si>
  <si>
    <t>SU002252</t>
  </si>
  <si>
    <t>Колбаса полукопченая Сервелат Ореховый ТМ Вязанка фиброуз в/у ф/в 0,28 кг срез СК</t>
  </si>
  <si>
    <t>SU004042</t>
  </si>
  <si>
    <t>Колбаса полукопченая Сервелат Ореховый ТМ Вязанка фиброуз мгс вес СК</t>
  </si>
  <si>
    <t>SU004044</t>
  </si>
  <si>
    <t>Колбаса полукопченая Сочинка зернистая с сочной грудинкой ТМ Стародворье фиброуз в/у вес СК</t>
  </si>
  <si>
    <t>SU002945</t>
  </si>
  <si>
    <t>Колбаса полукопченая Сочинка рубленая с сочным окороком ТМ Стародворье фиброуз в/у ф/в 0,3 кг срез СК</t>
  </si>
  <si>
    <t>SU002948</t>
  </si>
  <si>
    <t>Колбаса полукопченая Сочинка рубленная с сочным окороком ТМ Стародворье фиброуз в/у вес СК</t>
  </si>
  <si>
    <t>SU002947</t>
  </si>
  <si>
    <t>Колбаса сыровяленая Фуэт ТМ Стародворье в/у ф/в 0,07 кг нарезка МЗР</t>
  </si>
  <si>
    <t>SU003896</t>
  </si>
  <si>
    <t>Колбаса сырокопченая Баварская ТМ Стародворье бел/о терм/п ф/в 0,17 кг АК</t>
  </si>
  <si>
    <t>SU002092</t>
  </si>
  <si>
    <t>Колбаса сырокопченая Княжеская ТМ Стародворье бел/о т/п вес АК</t>
  </si>
  <si>
    <t>SU001920</t>
  </si>
  <si>
    <t>Колбаса сырокопченая Сервелат Ореховый ТМ Стародворье в/у ф/в 0,07 кг нарезка МЗР</t>
  </si>
  <si>
    <t>SU003894</t>
  </si>
  <si>
    <t>Колбаса сырокопченая Швейцарская ТМ Стародворье фиброуз ф/в 0,17 кг АК</t>
  </si>
  <si>
    <t>SU001869</t>
  </si>
  <si>
    <t>Консервы Буженина в пряном маринаде ТМ Стародворье ф/в 0,25 кг РК</t>
  </si>
  <si>
    <t>SU004146</t>
  </si>
  <si>
    <t>Консервы Гречка по-купечески с говядиной и овощами ТМ Стародворье ф/в 0,325 кг РК</t>
  </si>
  <si>
    <t>SU004144</t>
  </si>
  <si>
    <t>Консервы Индейка томленая в собственном соку ТМ Стародворье ф/в 0,25 кг РК</t>
  </si>
  <si>
    <t>SU004145</t>
  </si>
  <si>
    <t>Паштет Со сливочным маслом ТМ Стародворье ф/в 0,1 кг РК</t>
  </si>
  <si>
    <t>SU002368</t>
  </si>
  <si>
    <t>Паштеты Любительский ГОСТ ТМ Стародворье Фикс.вес 0,1 кг РК</t>
  </si>
  <si>
    <t>SU002841</t>
  </si>
  <si>
    <t>Паштеты Печеночный с морковью ГОСТ ТМ Стародворье Фикс.вес 0,1 кг РК</t>
  </si>
  <si>
    <t>SU002840</t>
  </si>
  <si>
    <t>Сардельки Нежные ТМ Стародворье черева мгс вес СК</t>
  </si>
  <si>
    <t>SU001051</t>
  </si>
  <si>
    <t>Сардельки Сливушки ТМ Вязанка айпил мгс ф/в 0,33 кг СК</t>
  </si>
  <si>
    <t>SU002367</t>
  </si>
  <si>
    <t>Сардельки Сочинки с сыром ТМ Стародворье полиамид мгс ф/в 0,4 кг СК</t>
  </si>
  <si>
    <t>SU002759</t>
  </si>
  <si>
    <t>Сардельки Сочинки ТМ Стародворье полиамид мгс ф/в 0,4 кг СК</t>
  </si>
  <si>
    <t>SU002758</t>
  </si>
  <si>
    <t>Сардельки Стародворские с говядиной ТМ Стародворье NDX мгс вес СК</t>
  </si>
  <si>
    <t>SU000227</t>
  </si>
  <si>
    <t>Сардельки Филейские ТМ Вязанка NDX мгс вес СК</t>
  </si>
  <si>
    <t>SU002835</t>
  </si>
  <si>
    <t>Сосиски Баварские с сыром ТМ Стародворье айпил мгс ф/в 0,35 кг СК</t>
  </si>
  <si>
    <t>SU003168</t>
  </si>
  <si>
    <t>Сосиски Баварские ТМ Стародворье айпил мгс вес СК</t>
  </si>
  <si>
    <t>SU001835</t>
  </si>
  <si>
    <t>Сосиски Баварские ТМ Стародворье айпил мгс ф/в 0,35 кг СК</t>
  </si>
  <si>
    <t>SU003167</t>
  </si>
  <si>
    <t>Сосиски Восточные халяль ТМ Вязанка полиамид в/у ф/в 0,33 кг АК</t>
  </si>
  <si>
    <t>SU002984</t>
  </si>
  <si>
    <t>Сосиски Вязанка Молочные ТМ Вязанка амицел мгс вес СК</t>
  </si>
  <si>
    <t>SU001523</t>
  </si>
  <si>
    <t>Сосиски Вязанка Молочные ТМ Вязанка амицел мгс ф/в 0,45 кг УВС СК</t>
  </si>
  <si>
    <t>SU001718</t>
  </si>
  <si>
    <t>Сосиски Вязанка Сливочные ТМ Вязанка амицел мгс вес СК</t>
  </si>
  <si>
    <t>SU001721</t>
  </si>
  <si>
    <t>Сосиски Вязанка Сливочные ТМ Вязанка амицел мгс ф/в 0,45 кг СК</t>
  </si>
  <si>
    <t>SU001720</t>
  </si>
  <si>
    <t>Сосиски Молочные для завтрака ТМ Особый рецепт полиамид мгс Фикс.вес 0,4 кг СК</t>
  </si>
  <si>
    <t>SU002205</t>
  </si>
  <si>
    <t>Сосиски Мясные для гриля ТМ Ядрена копоть ТС Ядрена копоть целлофан мгс ф/в 0,3 кг СК</t>
  </si>
  <si>
    <t>SU004016</t>
  </si>
  <si>
    <t>Сосиски С сыром ТМ Ядрена копоть ТС Ядрена копоть вискофан мгс ф/в 0,3 кг СК</t>
  </si>
  <si>
    <t>SU003665</t>
  </si>
  <si>
    <t>Сосиски Сочинки Молочные ТМ Стародворье амицел мгс вес СК</t>
  </si>
  <si>
    <t>SU002843</t>
  </si>
  <si>
    <t>Сосиски Сочинки Молочные ТМ Стародворье амицел мгс ф/в 0,4 кг СК</t>
  </si>
  <si>
    <t>SU002842</t>
  </si>
  <si>
    <t>Сосиски Сочинки по-баварски с сыром ТМ Стародворье полиамид мгс ф/в 0,4 кг СК</t>
  </si>
  <si>
    <t>SU002801</t>
  </si>
  <si>
    <t>Сосиски Сочинки по-баварски ТМ Стародворье полиамид мгс ф/в 0,4 кг СК</t>
  </si>
  <si>
    <t>SU002799</t>
  </si>
  <si>
    <t>Сосиски Сочинки с сочной грудинкой ТМ Стародворье полиамид мгс ф/в 0,4 кг СК</t>
  </si>
  <si>
    <t>SU002618</t>
  </si>
  <si>
    <t>Сосиски Сочинки с сочным окороком ТМ Стародворье полиамид мгс ф/в 0,4 кг СК</t>
  </si>
  <si>
    <t>SU002621</t>
  </si>
  <si>
    <t>Сосиски Сочинки с сыром Стародворье полиамид мгс ф/в 0,4 кг СК</t>
  </si>
  <si>
    <t>SU002686</t>
  </si>
  <si>
    <t>Сосиски Сочинки Сливочные ТМ Стародворье амицел мгс вес СК</t>
  </si>
  <si>
    <t>SU002845</t>
  </si>
  <si>
    <t>Сосиски Сочинки Сливочные ТМ Стародворье амицел мгс ф/в 0,4 кг СК</t>
  </si>
  <si>
    <t>SU002844</t>
  </si>
  <si>
    <t>Сосиски Сочинки Стародворье полиамид мгс вес СК</t>
  </si>
  <si>
    <t>SU002725</t>
  </si>
  <si>
    <t>Шпикачки Стародворские ТМ Стародворье NDX мгс вес СК</t>
  </si>
  <si>
    <t>SU001430</t>
  </si>
  <si>
    <t>Колбаса вареная Мясная Классическая ТМ Вязанка полиамид вес СК</t>
  </si>
  <si>
    <t>SU004028</t>
  </si>
  <si>
    <t>Колбаса вареная Со шпиком Стародворская ТМ Стародворье полиамид вес СК</t>
  </si>
  <si>
    <t>SU004007</t>
  </si>
  <si>
    <t>Колбаса варено-копченая Сервелат Финский ТМ Вязанка фиброуз в/у ф/в 0,28 кг срез СК</t>
  </si>
  <si>
    <t>SU004045</t>
  </si>
  <si>
    <t>Колбаса сырокопченая Сальчичон ТМ Стародворье в/у ф/в 0,07 кг нарезка МЗР</t>
  </si>
  <si>
    <t>SU003893</t>
  </si>
  <si>
    <t>Сардельки Сочные ТМ Особый рецепт полиамид мгс вес СК</t>
  </si>
  <si>
    <t>SU002287</t>
  </si>
  <si>
    <t>Сосиски Ганноверские ТМ Стародворье амилюкс мгс вес СК</t>
  </si>
  <si>
    <t>SU001340</t>
  </si>
  <si>
    <t>Сосиски Датские ТМ Зареченские ТС Зареченские продукты полиамид мгс вес СК</t>
  </si>
  <si>
    <t>SU002655</t>
  </si>
  <si>
    <t>Сосиски Молочные для завтрака ТМ Стародворье полиамид мгс СК</t>
  </si>
  <si>
    <t>SU002074</t>
  </si>
  <si>
    <t>Сосиски Молочные оригинальные ТМ Особый рецепт полиамид мгс вес СК</t>
  </si>
  <si>
    <t>SU000246</t>
  </si>
  <si>
    <t>"+,-"</t>
  </si>
  <si>
    <t>ЛНР</t>
  </si>
  <si>
    <t>Колбаса вареная Докторская ГОСТ ТМ Вязанка вектор ф/в 0,4 кг СК</t>
  </si>
  <si>
    <t>SU001485</t>
  </si>
  <si>
    <t>Колбаса вареная Сливушка ТМ Вязанка мгс ф/в 0,11 кг нарезка СК</t>
  </si>
  <si>
    <t>SU003745</t>
  </si>
  <si>
    <t>Колбаса полукопченая Сервелат Ореховый ТМ Вязанка скин ф/в 0,09 кг нарезка СК</t>
  </si>
  <si>
    <t>SU003988</t>
  </si>
  <si>
    <t>Сосиски Сочные ТМ Вязанка амицел мгс ф/в 0,3 кг СК</t>
  </si>
  <si>
    <t>SU004053</t>
  </si>
  <si>
    <t>Сосиски Филейские ТМ Вязанка целлофан мгс ф/в 0,3 кг СК</t>
  </si>
  <si>
    <t>SU002825</t>
  </si>
  <si>
    <t>ДНР</t>
  </si>
  <si>
    <t>Колбаса вареная Мясная Классическая ТМ Вязанка полиамид вес УМВ СК</t>
  </si>
  <si>
    <t>SU004157</t>
  </si>
  <si>
    <t>Поданная заявка УС кг</t>
  </si>
  <si>
    <t>Принятая заявка УС кг</t>
  </si>
  <si>
    <t>Колбаса варено-копченая Балыкбургская ТМ Баварушка фиброуз в/у вес СК</t>
  </si>
  <si>
    <t>SU002612</t>
  </si>
  <si>
    <t>Колбаса варено-копченая Салями Филейбургская зернистая ТМ Баварушка фиброуз в/у вес СК</t>
  </si>
  <si>
    <t>SU002614</t>
  </si>
  <si>
    <t>Колбаса сырокопченая Салями Охотничья ТМ Стародворье бел/о т/п вес АК</t>
  </si>
  <si>
    <t>SU001921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</si>
</sst>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25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9">
    <xf numFmtId="0" fontId="0" fillId="0" borderId="0"/>
    <xf numFmtId="0" fontId="2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8" fillId="0" borderId="0">
      <alignment horizontal="left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166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1" fillId="0" borderId="0"/>
    <xf numFmtId="0" fontId="2" fillId="0" borderId="0"/>
    <xf numFmtId="0" fontId="15" fillId="0" borderId="0"/>
    <xf numFmtId="0" fontId="1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</cellStyleXfs>
  <cellXfs count="39">
    <xf numFmtId="0" fontId="0" fillId="0" borderId="0" xfId="0"/>
    <xf numFmtId="0" fontId="0" fillId="0" borderId="17" xfId="0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0" fillId="0" borderId="10" xfId="0" applyBorder="1"/>
    <xf numFmtId="0" fontId="0" fillId="0" borderId="16" xfId="0" applyBorder="1"/>
    <xf numFmtId="0" fontId="0" fillId="0" borderId="15" xfId="0" pivotButton="1" applyBorder="1"/>
    <xf numFmtId="0" fontId="0" fillId="0" borderId="14" xfId="0" pivotButton="1" applyBorder="1"/>
    <xf numFmtId="3" fontId="0" fillId="0" borderId="15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0" fillId="0" borderId="21" xfId="0" applyBorder="1"/>
    <xf numFmtId="3" fontId="0" fillId="0" borderId="22" xfId="0" applyNumberFormat="1" applyBorder="1"/>
    <xf numFmtId="3" fontId="0" fillId="0" borderId="23" xfId="0" applyNumberFormat="1" applyBorder="1"/>
    <xf numFmtId="3" fontId="0" fillId="0" borderId="17" xfId="0" applyNumberFormat="1" applyBorder="1"/>
    <xf numFmtId="3" fontId="0" fillId="0" borderId="18" xfId="0" applyNumberFormat="1" applyBorder="1"/>
    <xf numFmtId="3" fontId="0" fillId="0" borderId="25" xfId="0" applyNumberFormat="1" applyBorder="1"/>
    <xf numFmtId="0" fontId="0" fillId="0" borderId="27" xfId="0" pivotButton="1" applyBorder="1"/>
    <xf numFmtId="0" fontId="0" fillId="0" borderId="28" xfId="0" pivotButton="1" applyBorder="1"/>
    <xf numFmtId="0" fontId="0" fillId="25" borderId="28" xfId="0" applyFill="1" applyBorder="1" applyAlignment="1">
      <alignment horizontal="center" vertical="center" wrapText="1"/>
    </xf>
    <xf numFmtId="0" fontId="0" fillId="25" borderId="29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pivotButton="1" applyBorder="1" applyAlignment="1">
      <alignment horizontal="center" vertical="center"/>
    </xf>
    <xf numFmtId="0" fontId="0" fillId="24" borderId="29" xfId="0" applyFill="1" applyBorder="1" applyAlignment="1">
      <alignment horizontal="center" vertical="center" wrapText="1"/>
    </xf>
    <xf numFmtId="0" fontId="0" fillId="24" borderId="28" xfId="0" applyFill="1" applyBorder="1" applyAlignment="1">
      <alignment horizontal="center" vertical="center" wrapText="1"/>
    </xf>
    <xf numFmtId="0" fontId="32" fillId="24" borderId="32" xfId="0" applyFont="1" applyFill="1" applyBorder="1" applyAlignment="1">
      <alignment horizontal="center"/>
    </xf>
    <xf numFmtId="0" fontId="32" fillId="24" borderId="31" xfId="0" applyFont="1" applyFill="1" applyBorder="1" applyAlignment="1">
      <alignment horizontal="center"/>
    </xf>
    <xf numFmtId="0" fontId="32" fillId="24" borderId="30" xfId="0" applyFont="1" applyFill="1" applyBorder="1" applyAlignment="1">
      <alignment horizontal="center"/>
    </xf>
    <xf numFmtId="3" fontId="0" fillId="0" borderId="10" xfId="0" applyNumberFormat="1" applyBorder="1"/>
    <xf numFmtId="0" fontId="0" fillId="0" borderId="0" xfId="0"/>
    <xf numFmtId="0" fontId="0" fillId="0" borderId="0" xfId="0"/>
    <xf numFmtId="0" fontId="0" fillId="0" borderId="23" xfId="0" applyFill="1" applyBorder="1" applyAlignment="1">
      <alignment horizontal="center" vertical="center"/>
    </xf>
    <xf numFmtId="0" fontId="0" fillId="25" borderId="20" xfId="0" applyFill="1" applyBorder="1" applyAlignment="1">
      <alignment horizontal="center" vertical="center" wrapText="1"/>
    </xf>
    <xf numFmtId="0" fontId="33" fillId="25" borderId="24" xfId="0" applyFont="1" applyFill="1" applyBorder="1" applyAlignment="1">
      <alignment horizontal="center" vertical="center" wrapText="1"/>
    </xf>
    <xf numFmtId="0" fontId="0" fillId="25" borderId="15" xfId="0" applyFill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center" vertical="center" wrapText="1"/>
    </xf>
    <xf numFmtId="0" fontId="33" fillId="25" borderId="11" xfId="0" applyFont="1" applyFill="1" applyBorder="1" applyAlignment="1">
      <alignment horizontal="center" vertical="center" wrapText="1"/>
    </xf>
    <xf numFmtId="0" fontId="0" fillId="0" borderId="0" xfId="0"/>
  </cellXfs>
  <cellStyles count="529">
    <cellStyle name="0,0_x000d__x000a_NA_x000d__x000a_" xfId="2"/>
    <cellStyle name="20% - Акцент1 2" xfId="3"/>
    <cellStyle name="20% - Акцент2 2" xfId="4"/>
    <cellStyle name="20% - Акцент3 2" xfId="5"/>
    <cellStyle name="20% - Акцент4 2" xfId="6"/>
    <cellStyle name="20% - Акцент5 2" xfId="7"/>
    <cellStyle name="20% - Акцент6 2" xfId="8"/>
    <cellStyle name="40% - Акцент1 2" xfId="9"/>
    <cellStyle name="40% - Акцент2 2" xfId="10"/>
    <cellStyle name="40% - Акцент3 2" xfId="11"/>
    <cellStyle name="40% - Акцент4 2" xfId="12"/>
    <cellStyle name="40% - Акцент5 2" xfId="13"/>
    <cellStyle name="40% - Акцент6 2" xfId="14"/>
    <cellStyle name="60% - Акцент1 2" xfId="15"/>
    <cellStyle name="60% - Акцент2 2" xfId="16"/>
    <cellStyle name="60% - Акцент3 2" xfId="17"/>
    <cellStyle name="60% - Акцент4 2" xfId="18"/>
    <cellStyle name="60% - Акцент5 2" xfId="19"/>
    <cellStyle name="60% - Акцент6 2" xfId="20"/>
    <cellStyle name="Comma 2" xfId="21"/>
    <cellStyle name="Comma 2 2" xfId="22"/>
    <cellStyle name="Comma 2 2 2" xfId="23"/>
    <cellStyle name="Comma 2 3" xfId="24"/>
    <cellStyle name="Comma 3" xfId="25"/>
    <cellStyle name="Comma 4" xfId="26"/>
    <cellStyle name="Comma 4 2" xfId="27"/>
    <cellStyle name="Comma 5" xfId="28"/>
    <cellStyle name="Comma 5 2" xfId="29"/>
    <cellStyle name="Comma 5 2 2" xfId="30"/>
    <cellStyle name="Comma 5 3" xfId="31"/>
    <cellStyle name="Comma 5 3 2" xfId="32"/>
    <cellStyle name="Comma 5 4" xfId="33"/>
    <cellStyle name="Comma 5 4 2" xfId="34"/>
    <cellStyle name="Comma 5 5" xfId="35"/>
    <cellStyle name="Comma 6" xfId="36"/>
    <cellStyle name="Comma 6 2" xfId="37"/>
    <cellStyle name="Legal 8? x 14 in" xfId="38"/>
    <cellStyle name="Legal 8½ x 14 in" xfId="39"/>
    <cellStyle name="Normal 2" xfId="40"/>
    <cellStyle name="Normal 2 2" xfId="41"/>
    <cellStyle name="Normal 2 3" xfId="42"/>
    <cellStyle name="Normal 2 4" xfId="43"/>
    <cellStyle name="Normal 3" xfId="44"/>
    <cellStyle name="Normal 4" xfId="45"/>
    <cellStyle name="Normal 4 2" xfId="46"/>
    <cellStyle name="Normal 4 3" xfId="47"/>
    <cellStyle name="Normal 4 4" xfId="48"/>
    <cellStyle name="Normal 5" xfId="49"/>
    <cellStyle name="Normal 6" xfId="50"/>
    <cellStyle name="Normal 6 2" xfId="51"/>
    <cellStyle name="Normal 6 3" xfId="52"/>
    <cellStyle name="Normal 7" xfId="53"/>
    <cellStyle name="Normal 8" xfId="54"/>
    <cellStyle name="Normal 8 2" xfId="55"/>
    <cellStyle name="Normal 8 3" xfId="56"/>
    <cellStyle name="Normal 9" xfId="57"/>
    <cellStyle name="Percent 2" xfId="58"/>
    <cellStyle name="Percent 3" xfId="59"/>
    <cellStyle name="Percent 4" xfId="60"/>
    <cellStyle name="Акцент1 2" xfId="61"/>
    <cellStyle name="Акцент2 2" xfId="62"/>
    <cellStyle name="Акцент3 2" xfId="63"/>
    <cellStyle name="Акцент4 2" xfId="64"/>
    <cellStyle name="Акцент5 2" xfId="65"/>
    <cellStyle name="Акцент6 2" xfId="66"/>
    <cellStyle name="Ввод  2" xfId="67"/>
    <cellStyle name="Вывод 2" xfId="68"/>
    <cellStyle name="Вычисление 2" xfId="69"/>
    <cellStyle name="Денежный 2" xfId="70"/>
    <cellStyle name="Денежный 2 2" xfId="71"/>
    <cellStyle name="Денежный 2 3" xfId="72"/>
    <cellStyle name="Денежный 2 4" xfId="73"/>
    <cellStyle name="Заголовок 1 2" xfId="74"/>
    <cellStyle name="Заголовок 2 2" xfId="75"/>
    <cellStyle name="Заголовок 3 2" xfId="76"/>
    <cellStyle name="Заголовок 4 2" xfId="77"/>
    <cellStyle name="Итог 2" xfId="78"/>
    <cellStyle name="Контрольная ячейка 2" xfId="79"/>
    <cellStyle name="Название 2" xfId="80"/>
    <cellStyle name="Название 2 2" xfId="81"/>
    <cellStyle name="Название 2_Лист1" xfId="82"/>
    <cellStyle name="Нейтральный 2" xfId="83"/>
    <cellStyle name="Обычный" xfId="0" builtinId="0"/>
    <cellStyle name="Обычный 10" xfId="84"/>
    <cellStyle name="Обычный 100" xfId="85"/>
    <cellStyle name="Обычный 101" xfId="86"/>
    <cellStyle name="Обычный 102" xfId="87"/>
    <cellStyle name="Обычный 103" xfId="88"/>
    <cellStyle name="Обычный 104" xfId="89"/>
    <cellStyle name="Обычный 105" xfId="90"/>
    <cellStyle name="Обычный 106" xfId="91"/>
    <cellStyle name="Обычный 107" xfId="92"/>
    <cellStyle name="Обычный 108" xfId="93"/>
    <cellStyle name="Обычный 109" xfId="94"/>
    <cellStyle name="Обычный 11" xfId="95"/>
    <cellStyle name="Обычный 110" xfId="96"/>
    <cellStyle name="Обычный 111" xfId="97"/>
    <cellStyle name="Обычный 112" xfId="98"/>
    <cellStyle name="Обычный 113" xfId="99"/>
    <cellStyle name="Обычный 114" xfId="100"/>
    <cellStyle name="Обычный 115" xfId="101"/>
    <cellStyle name="Обычный 116" xfId="102"/>
    <cellStyle name="Обычный 117" xfId="103"/>
    <cellStyle name="Обычный 118" xfId="104"/>
    <cellStyle name="Обычный 119" xfId="105"/>
    <cellStyle name="Обычный 12" xfId="106"/>
    <cellStyle name="Обычный 120" xfId="107"/>
    <cellStyle name="Обычный 121" xfId="108"/>
    <cellStyle name="Обычный 122" xfId="109"/>
    <cellStyle name="Обычный 123" xfId="110"/>
    <cellStyle name="Обычный 124" xfId="111"/>
    <cellStyle name="Обычный 125" xfId="112"/>
    <cellStyle name="Обычный 126" xfId="113"/>
    <cellStyle name="Обычный 127" xfId="114"/>
    <cellStyle name="Обычный 128" xfId="115"/>
    <cellStyle name="Обычный 129" xfId="116"/>
    <cellStyle name="Обычный 13" xfId="117"/>
    <cellStyle name="Обычный 130" xfId="118"/>
    <cellStyle name="Обычный 131" xfId="119"/>
    <cellStyle name="Обычный 132" xfId="120"/>
    <cellStyle name="Обычный 133" xfId="121"/>
    <cellStyle name="Обычный 134" xfId="122"/>
    <cellStyle name="Обычный 135" xfId="123"/>
    <cellStyle name="Обычный 136" xfId="124"/>
    <cellStyle name="Обычный 137" xfId="125"/>
    <cellStyle name="Обычный 138" xfId="126"/>
    <cellStyle name="Обычный 139" xfId="127"/>
    <cellStyle name="Обычный 14" xfId="128"/>
    <cellStyle name="Обычный 140" xfId="129"/>
    <cellStyle name="Обычный 141" xfId="130"/>
    <cellStyle name="Обычный 142" xfId="131"/>
    <cellStyle name="Обычный 143" xfId="132"/>
    <cellStyle name="Обычный 144" xfId="133"/>
    <cellStyle name="Обычный 145" xfId="134"/>
    <cellStyle name="Обычный 146" xfId="135"/>
    <cellStyle name="Обычный 147" xfId="136"/>
    <cellStyle name="Обычный 148" xfId="137"/>
    <cellStyle name="Обычный 149" xfId="138"/>
    <cellStyle name="Обычный 15" xfId="139"/>
    <cellStyle name="Обычный 150" xfId="140"/>
    <cellStyle name="Обычный 151" xfId="141"/>
    <cellStyle name="Обычный 152" xfId="142"/>
    <cellStyle name="Обычный 153" xfId="143"/>
    <cellStyle name="Обычный 154" xfId="144"/>
    <cellStyle name="Обычный 155" xfId="145"/>
    <cellStyle name="Обычный 156" xfId="146"/>
    <cellStyle name="Обычный 157" xfId="147"/>
    <cellStyle name="Обычный 158" xfId="148"/>
    <cellStyle name="Обычный 159" xfId="149"/>
    <cellStyle name="Обычный 16" xfId="150"/>
    <cellStyle name="Обычный 160" xfId="151"/>
    <cellStyle name="Обычный 161" xfId="152"/>
    <cellStyle name="Обычный 162" xfId="153"/>
    <cellStyle name="Обычный 163" xfId="154"/>
    <cellStyle name="Обычный 164" xfId="155"/>
    <cellStyle name="Обычный 165" xfId="156"/>
    <cellStyle name="Обычный 166" xfId="157"/>
    <cellStyle name="Обычный 167" xfId="158"/>
    <cellStyle name="Обычный 168" xfId="159"/>
    <cellStyle name="Обычный 169" xfId="160"/>
    <cellStyle name="Обычный 17" xfId="161"/>
    <cellStyle name="Обычный 170" xfId="162"/>
    <cellStyle name="Обычный 171" xfId="163"/>
    <cellStyle name="Обычный 172" xfId="164"/>
    <cellStyle name="Обычный 173" xfId="165"/>
    <cellStyle name="Обычный 174" xfId="166"/>
    <cellStyle name="Обычный 175" xfId="167"/>
    <cellStyle name="Обычный 176" xfId="168"/>
    <cellStyle name="Обычный 177" xfId="169"/>
    <cellStyle name="Обычный 178" xfId="170"/>
    <cellStyle name="Обычный 179" xfId="171"/>
    <cellStyle name="Обычный 18" xfId="172"/>
    <cellStyle name="Обычный 180" xfId="173"/>
    <cellStyle name="Обычный 181" xfId="174"/>
    <cellStyle name="Обычный 182" xfId="175"/>
    <cellStyle name="Обычный 183" xfId="176"/>
    <cellStyle name="Обычный 184" xfId="177"/>
    <cellStyle name="Обычный 185" xfId="178"/>
    <cellStyle name="Обычный 186" xfId="179"/>
    <cellStyle name="Обычный 187" xfId="180"/>
    <cellStyle name="Обычный 188" xfId="181"/>
    <cellStyle name="Обычный 189" xfId="182"/>
    <cellStyle name="Обычный 19" xfId="183"/>
    <cellStyle name="Обычный 190" xfId="184"/>
    <cellStyle name="Обычный 191" xfId="185"/>
    <cellStyle name="Обычный 192" xfId="186"/>
    <cellStyle name="Обычный 193" xfId="187"/>
    <cellStyle name="Обычный 194" xfId="188"/>
    <cellStyle name="Обычный 195" xfId="189"/>
    <cellStyle name="Обычный 196" xfId="190"/>
    <cellStyle name="Обычный 197" xfId="191"/>
    <cellStyle name="Обычный 198" xfId="192"/>
    <cellStyle name="Обычный 199" xfId="193"/>
    <cellStyle name="Обычный 2" xfId="1"/>
    <cellStyle name="Обычный 2 10" xfId="194"/>
    <cellStyle name="Обычный 2 10 2" xfId="195"/>
    <cellStyle name="Обычный 2 10 2 2" xfId="196"/>
    <cellStyle name="Обычный 2 10 2 3" xfId="197"/>
    <cellStyle name="Обычный 2 10 2 3 2" xfId="198"/>
    <cellStyle name="Обычный 2 10 2 4" xfId="199"/>
    <cellStyle name="Обычный 2 11" xfId="200"/>
    <cellStyle name="Обычный 2 11 2" xfId="201"/>
    <cellStyle name="Обычный 2 12" xfId="202"/>
    <cellStyle name="Обычный 2 13" xfId="203"/>
    <cellStyle name="Обычный 2 2" xfId="204"/>
    <cellStyle name="Обычный 2 2 2" xfId="205"/>
    <cellStyle name="Обычный 2 2 3" xfId="206"/>
    <cellStyle name="Обычный 2 2 3 2" xfId="207"/>
    <cellStyle name="Обычный 2 2 3 3" xfId="208"/>
    <cellStyle name="Обычный 2 2 4" xfId="209"/>
    <cellStyle name="Обычный 2 2 5" xfId="210"/>
    <cellStyle name="Обычный 2 3" xfId="211"/>
    <cellStyle name="Обычный 2 3 2" xfId="212"/>
    <cellStyle name="Обычный 2 3 2 2" xfId="213"/>
    <cellStyle name="Обычный 2 3 3" xfId="214"/>
    <cellStyle name="Обычный 2 3 4" xfId="215"/>
    <cellStyle name="Обычный 2 3 5" xfId="216"/>
    <cellStyle name="Обычный 2 3 6" xfId="217"/>
    <cellStyle name="Обычный 2 4" xfId="218"/>
    <cellStyle name="Обычный 2 4 2" xfId="219"/>
    <cellStyle name="Обычный 2 4 2 2" xfId="220"/>
    <cellStyle name="Обычный 2 4 3" xfId="221"/>
    <cellStyle name="Обычный 2 4 4" xfId="222"/>
    <cellStyle name="Обычный 2 5" xfId="223"/>
    <cellStyle name="Обычный 2 5 2" xfId="224"/>
    <cellStyle name="Обычный 2 5 2 2" xfId="225"/>
    <cellStyle name="Обычный 2 5 3" xfId="226"/>
    <cellStyle name="Обычный 2 6" xfId="227"/>
    <cellStyle name="Обычный 2 6 2" xfId="228"/>
    <cellStyle name="Обычный 2 6 2 2" xfId="229"/>
    <cellStyle name="Обычный 2 6 3" xfId="230"/>
    <cellStyle name="Обычный 2 6 4" xfId="231"/>
    <cellStyle name="Обычный 2 7" xfId="232"/>
    <cellStyle name="Обычный 2 7 2" xfId="233"/>
    <cellStyle name="Обычный 2 7 2 2" xfId="234"/>
    <cellStyle name="Обычный 2 7 3" xfId="235"/>
    <cellStyle name="Обычный 2 8" xfId="236"/>
    <cellStyle name="Обычный 2 8 2" xfId="237"/>
    <cellStyle name="Обычный 2 8 2 2" xfId="238"/>
    <cellStyle name="Обычный 2 8 2 2 2" xfId="239"/>
    <cellStyle name="Обычный 2 8 2 3" xfId="240"/>
    <cellStyle name="Обычный 2 8 3" xfId="241"/>
    <cellStyle name="Обычный 2 9" xfId="242"/>
    <cellStyle name="Обычный 2 9 2" xfId="243"/>
    <cellStyle name="Обычный 2 9 3" xfId="244"/>
    <cellStyle name="Обычный 2 9 3 2" xfId="245"/>
    <cellStyle name="Обычный 2 9 3 3" xfId="246"/>
    <cellStyle name="Обычный 2 9 4" xfId="247"/>
    <cellStyle name="Обычный 20" xfId="248"/>
    <cellStyle name="Обычный 200" xfId="249"/>
    <cellStyle name="Обычный 201" xfId="250"/>
    <cellStyle name="Обычный 202" xfId="251"/>
    <cellStyle name="Обычный 203" xfId="252"/>
    <cellStyle name="Обычный 204" xfId="253"/>
    <cellStyle name="Обычный 205" xfId="254"/>
    <cellStyle name="Обычный 206" xfId="255"/>
    <cellStyle name="Обычный 207" xfId="256"/>
    <cellStyle name="Обычный 208" xfId="257"/>
    <cellStyle name="Обычный 209" xfId="258"/>
    <cellStyle name="Обычный 21" xfId="259"/>
    <cellStyle name="Обычный 210" xfId="260"/>
    <cellStyle name="Обычный 211" xfId="261"/>
    <cellStyle name="Обычный 212" xfId="262"/>
    <cellStyle name="Обычный 213" xfId="263"/>
    <cellStyle name="Обычный 214" xfId="264"/>
    <cellStyle name="Обычный 215" xfId="265"/>
    <cellStyle name="Обычный 216" xfId="266"/>
    <cellStyle name="Обычный 217" xfId="267"/>
    <cellStyle name="Обычный 218" xfId="268"/>
    <cellStyle name="Обычный 219" xfId="269"/>
    <cellStyle name="Обычный 22" xfId="270"/>
    <cellStyle name="Обычный 220" xfId="271"/>
    <cellStyle name="Обычный 221" xfId="272"/>
    <cellStyle name="Обычный 222" xfId="273"/>
    <cellStyle name="Обычный 223" xfId="274"/>
    <cellStyle name="Обычный 224" xfId="275"/>
    <cellStyle name="Обычный 225" xfId="276"/>
    <cellStyle name="Обычный 226" xfId="277"/>
    <cellStyle name="Обычный 227" xfId="278"/>
    <cellStyle name="Обычный 228" xfId="279"/>
    <cellStyle name="Обычный 229" xfId="280"/>
    <cellStyle name="Обычный 23" xfId="281"/>
    <cellStyle name="Обычный 230" xfId="282"/>
    <cellStyle name="Обычный 231" xfId="283"/>
    <cellStyle name="Обычный 232" xfId="284"/>
    <cellStyle name="Обычный 233" xfId="285"/>
    <cellStyle name="Обычный 234" xfId="286"/>
    <cellStyle name="Обычный 235" xfId="287"/>
    <cellStyle name="Обычный 236" xfId="288"/>
    <cellStyle name="Обычный 237" xfId="289"/>
    <cellStyle name="Обычный 238" xfId="290"/>
    <cellStyle name="Обычный 239" xfId="291"/>
    <cellStyle name="Обычный 24" xfId="292"/>
    <cellStyle name="Обычный 240" xfId="293"/>
    <cellStyle name="Обычный 241" xfId="294"/>
    <cellStyle name="Обычный 242" xfId="295"/>
    <cellStyle name="Обычный 243" xfId="296"/>
    <cellStyle name="Обычный 244" xfId="297"/>
    <cellStyle name="Обычный 245" xfId="298"/>
    <cellStyle name="Обычный 25" xfId="299"/>
    <cellStyle name="Обычный 26" xfId="300"/>
    <cellStyle name="Обычный 27" xfId="301"/>
    <cellStyle name="Обычный 28" xfId="302"/>
    <cellStyle name="Обычный 29" xfId="303"/>
    <cellStyle name="Обычный 3" xfId="304"/>
    <cellStyle name="Обычный 3 2" xfId="305"/>
    <cellStyle name="Обычный 3 2 2" xfId="306"/>
    <cellStyle name="Обычный 3 2 2 2" xfId="307"/>
    <cellStyle name="Обычный 3 2 2 2 2" xfId="308"/>
    <cellStyle name="Обычный 3 2 2 3" xfId="309"/>
    <cellStyle name="Обычный 3 2 3" xfId="310"/>
    <cellStyle name="Обычный 3 2 3 2" xfId="311"/>
    <cellStyle name="Обычный 3 2 3 3" xfId="312"/>
    <cellStyle name="Обычный 3 2 4" xfId="313"/>
    <cellStyle name="Обычный 3 2 5" xfId="314"/>
    <cellStyle name="Обычный 3 3" xfId="315"/>
    <cellStyle name="Обычный 3 3 2" xfId="316"/>
    <cellStyle name="Обычный 3 4" xfId="317"/>
    <cellStyle name="Обычный 3 5" xfId="318"/>
    <cellStyle name="Обычный 3 5 2" xfId="319"/>
    <cellStyle name="Обычный 3 5 3" xfId="320"/>
    <cellStyle name="Обычный 3 6" xfId="321"/>
    <cellStyle name="Обычный 3 6 2" xfId="322"/>
    <cellStyle name="Обычный 3 6 3" xfId="323"/>
    <cellStyle name="Обычный 3 7" xfId="324"/>
    <cellStyle name="Обычный 3 7 2" xfId="325"/>
    <cellStyle name="Обычный 3 8" xfId="326"/>
    <cellStyle name="Обычный 30" xfId="327"/>
    <cellStyle name="Обычный 31" xfId="328"/>
    <cellStyle name="Обычный 32" xfId="329"/>
    <cellStyle name="Обычный 33" xfId="330"/>
    <cellStyle name="Обычный 34" xfId="331"/>
    <cellStyle name="Обычный 35" xfId="332"/>
    <cellStyle name="Обычный 36" xfId="333"/>
    <cellStyle name="Обычный 37" xfId="334"/>
    <cellStyle name="Обычный 38" xfId="335"/>
    <cellStyle name="Обычный 39" xfId="336"/>
    <cellStyle name="Обычный 4" xfId="337"/>
    <cellStyle name="Обычный 4 2" xfId="338"/>
    <cellStyle name="Обычный 4 2 2" xfId="339"/>
    <cellStyle name="Обычный 4 3" xfId="340"/>
    <cellStyle name="Обычный 40" xfId="341"/>
    <cellStyle name="Обычный 41" xfId="342"/>
    <cellStyle name="Обычный 42" xfId="343"/>
    <cellStyle name="Обычный 43" xfId="344"/>
    <cellStyle name="Обычный 44" xfId="345"/>
    <cellStyle name="Обычный 45" xfId="346"/>
    <cellStyle name="Обычный 46" xfId="347"/>
    <cellStyle name="Обычный 47" xfId="348"/>
    <cellStyle name="Обычный 48" xfId="349"/>
    <cellStyle name="Обычный 49" xfId="350"/>
    <cellStyle name="Обычный 5" xfId="351"/>
    <cellStyle name="Обычный 5 2" xfId="352"/>
    <cellStyle name="Обычный 5 2 2" xfId="353"/>
    <cellStyle name="Обычный 5 3" xfId="354"/>
    <cellStyle name="Обычный 5 4" xfId="355"/>
    <cellStyle name="Обычный 5 5" xfId="356"/>
    <cellStyle name="Обычный 50" xfId="357"/>
    <cellStyle name="Обычный 51" xfId="358"/>
    <cellStyle name="Обычный 52" xfId="359"/>
    <cellStyle name="Обычный 53" xfId="360"/>
    <cellStyle name="Обычный 54" xfId="361"/>
    <cellStyle name="Обычный 55" xfId="362"/>
    <cellStyle name="Обычный 56" xfId="363"/>
    <cellStyle name="Обычный 57" xfId="364"/>
    <cellStyle name="Обычный 58" xfId="365"/>
    <cellStyle name="Обычный 59" xfId="366"/>
    <cellStyle name="Обычный 6" xfId="367"/>
    <cellStyle name="Обычный 6 2" xfId="368"/>
    <cellStyle name="Обычный 6 2 2" xfId="369"/>
    <cellStyle name="Обычный 6 3" xfId="370"/>
    <cellStyle name="Обычный 6 4" xfId="371"/>
    <cellStyle name="Обычный 60" xfId="372"/>
    <cellStyle name="Обычный 61" xfId="373"/>
    <cellStyle name="Обычный 62" xfId="374"/>
    <cellStyle name="Обычный 63" xfId="375"/>
    <cellStyle name="Обычный 64" xfId="376"/>
    <cellStyle name="Обычный 65" xfId="377"/>
    <cellStyle name="Обычный 66" xfId="378"/>
    <cellStyle name="Обычный 67" xfId="379"/>
    <cellStyle name="Обычный 68" xfId="380"/>
    <cellStyle name="Обычный 69" xfId="381"/>
    <cellStyle name="Обычный 7" xfId="382"/>
    <cellStyle name="Обычный 7 2" xfId="383"/>
    <cellStyle name="Обычный 7 4" xfId="384"/>
    <cellStyle name="Обычный 70" xfId="385"/>
    <cellStyle name="Обычный 71" xfId="386"/>
    <cellStyle name="Обычный 72" xfId="387"/>
    <cellStyle name="Обычный 73" xfId="388"/>
    <cellStyle name="Обычный 74" xfId="389"/>
    <cellStyle name="Обычный 75" xfId="390"/>
    <cellStyle name="Обычный 76" xfId="391"/>
    <cellStyle name="Обычный 77" xfId="392"/>
    <cellStyle name="Обычный 78" xfId="393"/>
    <cellStyle name="Обычный 79" xfId="394"/>
    <cellStyle name="Обычный 8" xfId="395"/>
    <cellStyle name="Обычный 80" xfId="396"/>
    <cellStyle name="Обычный 81" xfId="397"/>
    <cellStyle name="Обычный 82" xfId="398"/>
    <cellStyle name="Обычный 83" xfId="399"/>
    <cellStyle name="Обычный 84" xfId="400"/>
    <cellStyle name="Обычный 85" xfId="401"/>
    <cellStyle name="Обычный 86" xfId="402"/>
    <cellStyle name="Обычный 87" xfId="403"/>
    <cellStyle name="Обычный 88" xfId="404"/>
    <cellStyle name="Обычный 89" xfId="405"/>
    <cellStyle name="Обычный 9" xfId="406"/>
    <cellStyle name="Обычный 90" xfId="407"/>
    <cellStyle name="Обычный 91" xfId="408"/>
    <cellStyle name="Обычный 92" xfId="409"/>
    <cellStyle name="Обычный 93" xfId="410"/>
    <cellStyle name="Обычный 94" xfId="411"/>
    <cellStyle name="Обычный 95" xfId="412"/>
    <cellStyle name="Обычный 96" xfId="413"/>
    <cellStyle name="Обычный 97" xfId="414"/>
    <cellStyle name="Обычный 98" xfId="415"/>
    <cellStyle name="Обычный 99" xfId="416"/>
    <cellStyle name="Плохой 2" xfId="417"/>
    <cellStyle name="Пояснение 2" xfId="418"/>
    <cellStyle name="Примечание 2" xfId="419"/>
    <cellStyle name="Процентный 2" xfId="420"/>
    <cellStyle name="Процентный 2 2" xfId="421"/>
    <cellStyle name="Процентный 2 2 2" xfId="422"/>
    <cellStyle name="Процентный 2 2 2 2" xfId="423"/>
    <cellStyle name="Процентный 2 2 3" xfId="424"/>
    <cellStyle name="Процентный 2 2 3 2" xfId="425"/>
    <cellStyle name="Процентный 2 3" xfId="426"/>
    <cellStyle name="Процентный 2 3 2" xfId="427"/>
    <cellStyle name="Процентный 2 4" xfId="428"/>
    <cellStyle name="Процентный 2 4 2" xfId="429"/>
    <cellStyle name="Процентный 2 5" xfId="430"/>
    <cellStyle name="Процентный 3" xfId="431"/>
    <cellStyle name="Процентный 4" xfId="432"/>
    <cellStyle name="Процентный 4 2" xfId="433"/>
    <cellStyle name="Процентный 5" xfId="434"/>
    <cellStyle name="Процентный 6" xfId="435"/>
    <cellStyle name="Процентный 7" xfId="436"/>
    <cellStyle name="Процентный 8" xfId="437"/>
    <cellStyle name="Связанная ячейка 2" xfId="438"/>
    <cellStyle name="Текст предупреждения 2" xfId="439"/>
    <cellStyle name="Финансовый 2" xfId="440"/>
    <cellStyle name="Финансовый 2 2" xfId="441"/>
    <cellStyle name="Финансовый 2 2 2" xfId="442"/>
    <cellStyle name="Финансовый 2 2 2 2" xfId="443"/>
    <cellStyle name="Финансовый 2 2 2 3" xfId="444"/>
    <cellStyle name="Финансовый 2 2 2 4" xfId="445"/>
    <cellStyle name="Финансовый 2 2 3" xfId="446"/>
    <cellStyle name="Финансовый 2 2 4" xfId="447"/>
    <cellStyle name="Финансовый 2 2 5" xfId="448"/>
    <cellStyle name="Финансовый 2 2 6" xfId="449"/>
    <cellStyle name="Финансовый 2 3" xfId="450"/>
    <cellStyle name="Финансовый 2 3 2" xfId="451"/>
    <cellStyle name="Финансовый 2 3 2 2" xfId="452"/>
    <cellStyle name="Финансовый 2 3 2 3" xfId="453"/>
    <cellStyle name="Финансовый 2 3 2 4" xfId="454"/>
    <cellStyle name="Финансовый 2 3 3" xfId="455"/>
    <cellStyle name="Финансовый 2 3 3 2" xfId="456"/>
    <cellStyle name="Финансовый 2 3 4" xfId="457"/>
    <cellStyle name="Финансовый 2 3 4 2" xfId="458"/>
    <cellStyle name="Финансовый 2 3 4 3" xfId="459"/>
    <cellStyle name="Финансовый 2 3 4 4" xfId="460"/>
    <cellStyle name="Финансовый 2 3 5" xfId="461"/>
    <cellStyle name="Финансовый 2 3 6" xfId="462"/>
    <cellStyle name="Финансовый 2 3 7" xfId="463"/>
    <cellStyle name="Финансовый 2 4" xfId="464"/>
    <cellStyle name="Финансовый 2 4 2" xfId="465"/>
    <cellStyle name="Финансовый 2 4 3" xfId="466"/>
    <cellStyle name="Финансовый 2 4 4" xfId="467"/>
    <cellStyle name="Финансовый 2 5" xfId="468"/>
    <cellStyle name="Финансовый 2 6" xfId="469"/>
    <cellStyle name="Финансовый 2 7" xfId="470"/>
    <cellStyle name="Финансовый 2 8" xfId="471"/>
    <cellStyle name="Финансовый 3" xfId="472"/>
    <cellStyle name="Финансовый 3 2" xfId="473"/>
    <cellStyle name="Финансовый 3 2 2" xfId="474"/>
    <cellStyle name="Финансовый 3 2 2 2" xfId="475"/>
    <cellStyle name="Финансовый 3 2 2 2 2" xfId="476"/>
    <cellStyle name="Финансовый 3 2 2 2 3" xfId="477"/>
    <cellStyle name="Финансовый 3 2 2 2 4" xfId="478"/>
    <cellStyle name="Финансовый 3 2 2 3" xfId="479"/>
    <cellStyle name="Финансовый 3 2 2 4" xfId="480"/>
    <cellStyle name="Финансовый 3 2 2 5" xfId="481"/>
    <cellStyle name="Финансовый 3 2 3" xfId="482"/>
    <cellStyle name="Финансовый 3 2 3 2" xfId="483"/>
    <cellStyle name="Финансовый 3 2 3 3" xfId="484"/>
    <cellStyle name="Финансовый 3 2 3 4" xfId="485"/>
    <cellStyle name="Финансовый 3 2 4" xfId="486"/>
    <cellStyle name="Финансовый 3 2 5" xfId="487"/>
    <cellStyle name="Финансовый 3 2 6" xfId="488"/>
    <cellStyle name="Финансовый 3 2 7" xfId="489"/>
    <cellStyle name="Финансовый 3 3" xfId="490"/>
    <cellStyle name="Финансовый 3 3 2" xfId="491"/>
    <cellStyle name="Финансовый 3 3 2 2" xfId="492"/>
    <cellStyle name="Финансовый 3 3 2 3" xfId="493"/>
    <cellStyle name="Финансовый 3 3 2 4" xfId="494"/>
    <cellStyle name="Финансовый 3 3 3" xfId="495"/>
    <cellStyle name="Финансовый 3 3 4" xfId="496"/>
    <cellStyle name="Финансовый 3 3 5" xfId="497"/>
    <cellStyle name="Финансовый 3 4" xfId="498"/>
    <cellStyle name="Финансовый 3 4 2" xfId="499"/>
    <cellStyle name="Финансовый 3 4 3" xfId="500"/>
    <cellStyle name="Финансовый 3 4 4" xfId="501"/>
    <cellStyle name="Финансовый 3 5" xfId="502"/>
    <cellStyle name="Финансовый 3 6" xfId="503"/>
    <cellStyle name="Финансовый 3 7" xfId="504"/>
    <cellStyle name="Финансовый 3 8" xfId="505"/>
    <cellStyle name="Финансовый 4" xfId="506"/>
    <cellStyle name="Финансовый 4 2" xfId="507"/>
    <cellStyle name="Финансовый 4 2 2" xfId="508"/>
    <cellStyle name="Финансовый 4 2 2 2" xfId="509"/>
    <cellStyle name="Финансовый 4 2 2 3" xfId="510"/>
    <cellStyle name="Финансовый 4 2 2 4" xfId="511"/>
    <cellStyle name="Финансовый 4 2 3" xfId="512"/>
    <cellStyle name="Финансовый 4 2 4" xfId="513"/>
    <cellStyle name="Финансовый 4 2 5" xfId="514"/>
    <cellStyle name="Финансовый 4 3" xfId="515"/>
    <cellStyle name="Финансовый 4 3 2" xfId="516"/>
    <cellStyle name="Финансовый 4 3 3" xfId="517"/>
    <cellStyle name="Финансовый 4 3 4" xfId="518"/>
    <cellStyle name="Финансовый 4 4" xfId="519"/>
    <cellStyle name="Финансовый 4 5" xfId="520"/>
    <cellStyle name="Финансовый 4 6" xfId="521"/>
    <cellStyle name="Финансовый 5" xfId="522"/>
    <cellStyle name="Финансовый 5 2" xfId="523"/>
    <cellStyle name="Финансовый 5 3" xfId="524"/>
    <cellStyle name="Финансовый 5 4" xfId="525"/>
    <cellStyle name="Финансовый 8" xfId="526"/>
    <cellStyle name="Финансовый 8 2" xfId="527"/>
    <cellStyle name="Хороший 2" xfId="5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workbookViewId="0">
      <selection activeCell="B9" sqref="B9"/>
    </sheetView>
  </sheetViews>
  <sheetFormatPr defaultRowHeight="14.5" x14ac:dyDescent="0.35"/>
  <cols>
    <col min="1" max="1" width="8.7265625" style="30"/>
    <col min="2" max="2" width="118.08984375" bestFit="1" customWidth="1"/>
  </cols>
  <sheetData>
    <row r="1" spans="2:6" s="30" customFormat="1" ht="15" thickBot="1" x14ac:dyDescent="0.4"/>
    <row r="2" spans="2:6" ht="44" thickBot="1" x14ac:dyDescent="0.4">
      <c r="B2" s="23" t="s">
        <v>0</v>
      </c>
      <c r="C2" s="19" t="s">
        <v>1</v>
      </c>
      <c r="D2" s="20" t="s">
        <v>247</v>
      </c>
      <c r="E2" s="21" t="s">
        <v>248</v>
      </c>
      <c r="F2" s="22" t="s">
        <v>232</v>
      </c>
    </row>
    <row r="3" spans="2:6" x14ac:dyDescent="0.35">
      <c r="B3" s="6" t="s">
        <v>228</v>
      </c>
      <c r="C3" s="1" t="s">
        <v>229</v>
      </c>
      <c r="D3" s="15">
        <v>31122</v>
      </c>
      <c r="E3" s="16">
        <v>6822</v>
      </c>
      <c r="F3" s="17">
        <f>E3-D3</f>
        <v>-24300</v>
      </c>
    </row>
    <row r="4" spans="2:6" x14ac:dyDescent="0.35">
      <c r="B4" s="4" t="s">
        <v>224</v>
      </c>
      <c r="C4" s="5" t="s">
        <v>225</v>
      </c>
      <c r="D4" s="29">
        <v>10015.200000000001</v>
      </c>
      <c r="E4" s="10">
        <v>0</v>
      </c>
      <c r="F4" s="13">
        <f>E4-D4</f>
        <v>-10015.200000000001</v>
      </c>
    </row>
    <row r="5" spans="2:6" x14ac:dyDescent="0.35">
      <c r="B5" s="4" t="s">
        <v>200</v>
      </c>
      <c r="C5" s="5" t="s">
        <v>201</v>
      </c>
      <c r="D5" s="29">
        <v>15808.8</v>
      </c>
      <c r="E5" s="10">
        <v>7195.2000000000007</v>
      </c>
      <c r="F5" s="13">
        <f>E5-D5</f>
        <v>-8613.5999999999985</v>
      </c>
    </row>
    <row r="6" spans="2:6" x14ac:dyDescent="0.35">
      <c r="B6" s="4" t="s">
        <v>222</v>
      </c>
      <c r="C6" s="5" t="s">
        <v>223</v>
      </c>
      <c r="D6" s="29">
        <v>3366</v>
      </c>
      <c r="E6" s="10">
        <v>0</v>
      </c>
      <c r="F6" s="13">
        <f>E6-D6</f>
        <v>-3366</v>
      </c>
    </row>
    <row r="7" spans="2:6" x14ac:dyDescent="0.35">
      <c r="B7" s="4" t="s">
        <v>96</v>
      </c>
      <c r="C7" s="5" t="s">
        <v>97</v>
      </c>
      <c r="D7" s="29">
        <v>13184.160000000002</v>
      </c>
      <c r="E7" s="10">
        <v>9915.84</v>
      </c>
      <c r="F7" s="13">
        <f>E7-D7</f>
        <v>-3268.3200000000015</v>
      </c>
    </row>
    <row r="8" spans="2:6" x14ac:dyDescent="0.35">
      <c r="B8" s="4" t="s">
        <v>202</v>
      </c>
      <c r="C8" s="5" t="s">
        <v>203</v>
      </c>
      <c r="D8" s="29">
        <v>3674.4</v>
      </c>
      <c r="E8" s="10">
        <v>1173.5999999999999</v>
      </c>
      <c r="F8" s="13">
        <f>E8-D8</f>
        <v>-2500.8000000000002</v>
      </c>
    </row>
    <row r="9" spans="2:6" x14ac:dyDescent="0.35">
      <c r="B9" s="4" t="s">
        <v>210</v>
      </c>
      <c r="C9" s="5" t="s">
        <v>211</v>
      </c>
      <c r="D9" s="29">
        <v>3567</v>
      </c>
      <c r="E9" s="10">
        <v>1113.5999999999999</v>
      </c>
      <c r="F9" s="13">
        <f>E9-D9</f>
        <v>-2453.4</v>
      </c>
    </row>
    <row r="10" spans="2:6" x14ac:dyDescent="0.35">
      <c r="B10" s="4" t="s">
        <v>84</v>
      </c>
      <c r="C10" s="5" t="s">
        <v>85</v>
      </c>
      <c r="D10" s="29">
        <v>3395</v>
      </c>
      <c r="E10" s="10">
        <v>1185.5229999999999</v>
      </c>
      <c r="F10" s="13">
        <f>E10-D10</f>
        <v>-2209.4769999999999</v>
      </c>
    </row>
    <row r="11" spans="2:6" x14ac:dyDescent="0.35">
      <c r="B11" s="4" t="s">
        <v>226</v>
      </c>
      <c r="C11" s="5" t="s">
        <v>227</v>
      </c>
      <c r="D11" s="29">
        <v>1746</v>
      </c>
      <c r="E11" s="10">
        <v>0</v>
      </c>
      <c r="F11" s="13">
        <f>E11-D11</f>
        <v>-1746</v>
      </c>
    </row>
    <row r="12" spans="2:6" x14ac:dyDescent="0.35">
      <c r="B12" s="4" t="s">
        <v>208</v>
      </c>
      <c r="C12" s="5" t="s">
        <v>209</v>
      </c>
      <c r="D12" s="29">
        <v>2450.4</v>
      </c>
      <c r="E12" s="10">
        <v>1238.4000000000001</v>
      </c>
      <c r="F12" s="13">
        <f>E12-D12</f>
        <v>-1212</v>
      </c>
    </row>
    <row r="13" spans="2:6" x14ac:dyDescent="0.35">
      <c r="B13" s="4" t="s">
        <v>166</v>
      </c>
      <c r="C13" s="5" t="s">
        <v>167</v>
      </c>
      <c r="D13" s="29">
        <v>11804.999999999998</v>
      </c>
      <c r="E13" s="10">
        <v>10611.599999999997</v>
      </c>
      <c r="F13" s="13">
        <f>E13-D13</f>
        <v>-1193.4000000000015</v>
      </c>
    </row>
    <row r="14" spans="2:6" x14ac:dyDescent="0.35">
      <c r="B14" s="4" t="s">
        <v>118</v>
      </c>
      <c r="C14" s="5" t="s">
        <v>119</v>
      </c>
      <c r="D14" s="29">
        <v>2970</v>
      </c>
      <c r="E14" s="10">
        <v>1987.2</v>
      </c>
      <c r="F14" s="13">
        <f>E14-D14</f>
        <v>-982.8</v>
      </c>
    </row>
    <row r="15" spans="2:6" x14ac:dyDescent="0.35">
      <c r="B15" s="4" t="s">
        <v>128</v>
      </c>
      <c r="C15" s="5" t="s">
        <v>129</v>
      </c>
      <c r="D15" s="29">
        <v>2751</v>
      </c>
      <c r="E15" s="10">
        <v>1770.8609999999999</v>
      </c>
      <c r="F15" s="13">
        <f>E15-D15</f>
        <v>-980.13900000000012</v>
      </c>
    </row>
    <row r="16" spans="2:6" x14ac:dyDescent="0.35">
      <c r="B16" s="4" t="s">
        <v>174</v>
      </c>
      <c r="C16" s="5" t="s">
        <v>175</v>
      </c>
      <c r="D16" s="29">
        <v>1255.8000000000002</v>
      </c>
      <c r="E16" s="10">
        <v>329.7</v>
      </c>
      <c r="F16" s="13">
        <f>E16-D16</f>
        <v>-926.10000000000014</v>
      </c>
    </row>
    <row r="17" spans="2:6" x14ac:dyDescent="0.35">
      <c r="B17" s="4" t="s">
        <v>186</v>
      </c>
      <c r="C17" s="5" t="s">
        <v>187</v>
      </c>
      <c r="D17" s="29">
        <v>1286.3999999999999</v>
      </c>
      <c r="E17" s="10">
        <v>417.6</v>
      </c>
      <c r="F17" s="13">
        <f>E17-D17</f>
        <v>-868.79999999999984</v>
      </c>
    </row>
    <row r="18" spans="2:6" x14ac:dyDescent="0.35">
      <c r="B18" s="4" t="s">
        <v>116</v>
      </c>
      <c r="C18" s="5" t="s">
        <v>117</v>
      </c>
      <c r="D18" s="29">
        <v>1184.3999999999999</v>
      </c>
      <c r="E18" s="10">
        <v>444.59999999999997</v>
      </c>
      <c r="F18" s="13">
        <f>E18-D18</f>
        <v>-739.8</v>
      </c>
    </row>
    <row r="19" spans="2:6" x14ac:dyDescent="0.35">
      <c r="B19" s="4" t="s">
        <v>168</v>
      </c>
      <c r="C19" s="5" t="s">
        <v>169</v>
      </c>
      <c r="D19" s="29">
        <v>3915.6000000000004</v>
      </c>
      <c r="E19" s="10">
        <v>3213.6000000000004</v>
      </c>
      <c r="F19" s="13">
        <f>E19-D19</f>
        <v>-702</v>
      </c>
    </row>
    <row r="20" spans="2:6" x14ac:dyDescent="0.35">
      <c r="B20" s="4" t="s">
        <v>120</v>
      </c>
      <c r="C20" s="5" t="s">
        <v>121</v>
      </c>
      <c r="D20" s="29">
        <v>720.00000000000011</v>
      </c>
      <c r="E20" s="10">
        <v>23.4</v>
      </c>
      <c r="F20" s="13">
        <f>E20-D20</f>
        <v>-696.60000000000014</v>
      </c>
    </row>
    <row r="21" spans="2:6" x14ac:dyDescent="0.35">
      <c r="B21" s="4" t="s">
        <v>130</v>
      </c>
      <c r="C21" s="5" t="s">
        <v>131</v>
      </c>
      <c r="D21" s="29">
        <v>4811.3999999999987</v>
      </c>
      <c r="E21" s="10">
        <v>4117.4129999999996</v>
      </c>
      <c r="F21" s="13">
        <f>E21-D21</f>
        <v>-693.98699999999917</v>
      </c>
    </row>
    <row r="22" spans="2:6" x14ac:dyDescent="0.35">
      <c r="B22" s="4" t="s">
        <v>112</v>
      </c>
      <c r="C22" s="5" t="s">
        <v>113</v>
      </c>
      <c r="D22" s="29">
        <v>1652</v>
      </c>
      <c r="E22" s="10">
        <v>987</v>
      </c>
      <c r="F22" s="13">
        <f>E22-D22</f>
        <v>-665</v>
      </c>
    </row>
    <row r="23" spans="2:6" x14ac:dyDescent="0.35">
      <c r="B23" s="4" t="s">
        <v>218</v>
      </c>
      <c r="C23" s="5" t="s">
        <v>219</v>
      </c>
      <c r="D23" s="29">
        <v>934.07999999999993</v>
      </c>
      <c r="E23" s="10">
        <v>320.88</v>
      </c>
      <c r="F23" s="13">
        <f>E23-D23</f>
        <v>-613.19999999999993</v>
      </c>
    </row>
    <row r="24" spans="2:6" x14ac:dyDescent="0.35">
      <c r="B24" s="4" t="s">
        <v>8</v>
      </c>
      <c r="C24" s="5" t="s">
        <v>9</v>
      </c>
      <c r="D24" s="29">
        <v>26760</v>
      </c>
      <c r="E24" s="10">
        <v>26160</v>
      </c>
      <c r="F24" s="13">
        <f>E24-D24</f>
        <v>-600</v>
      </c>
    </row>
    <row r="25" spans="2:6" x14ac:dyDescent="0.35">
      <c r="B25" s="4" t="s">
        <v>198</v>
      </c>
      <c r="C25" s="5" t="s">
        <v>199</v>
      </c>
      <c r="D25" s="29">
        <v>1296</v>
      </c>
      <c r="E25" s="10">
        <v>734.40000000000009</v>
      </c>
      <c r="F25" s="13">
        <f>E25-D25</f>
        <v>-561.59999999999991</v>
      </c>
    </row>
    <row r="26" spans="2:6" x14ac:dyDescent="0.35">
      <c r="B26" s="4" t="s">
        <v>106</v>
      </c>
      <c r="C26" s="5" t="s">
        <v>107</v>
      </c>
      <c r="D26" s="29">
        <v>2341.4999999999995</v>
      </c>
      <c r="E26" s="10">
        <v>1785</v>
      </c>
      <c r="F26" s="13">
        <f>E26-D26</f>
        <v>-556.49999999999955</v>
      </c>
    </row>
    <row r="27" spans="2:6" x14ac:dyDescent="0.35">
      <c r="B27" s="4" t="s">
        <v>88</v>
      </c>
      <c r="C27" s="5" t="s">
        <v>89</v>
      </c>
      <c r="D27" s="29">
        <v>909.30000000000007</v>
      </c>
      <c r="E27" s="10">
        <v>373.79999999999995</v>
      </c>
      <c r="F27" s="13">
        <f>E27-D27</f>
        <v>-535.50000000000011</v>
      </c>
    </row>
    <row r="28" spans="2:6" x14ac:dyDescent="0.35">
      <c r="B28" s="4" t="s">
        <v>86</v>
      </c>
      <c r="C28" s="5" t="s">
        <v>87</v>
      </c>
      <c r="D28" s="29">
        <v>1139.0399999999997</v>
      </c>
      <c r="E28" s="10">
        <v>603.67999999999995</v>
      </c>
      <c r="F28" s="13">
        <f>E28-D28</f>
        <v>-535.35999999999979</v>
      </c>
    </row>
    <row r="29" spans="2:6" x14ac:dyDescent="0.35">
      <c r="B29" s="4" t="s">
        <v>132</v>
      </c>
      <c r="C29" s="5" t="s">
        <v>133</v>
      </c>
      <c r="D29" s="29">
        <v>806.40000000000009</v>
      </c>
      <c r="E29" s="10">
        <v>273.60000000000002</v>
      </c>
      <c r="F29" s="13">
        <f>E29-D29</f>
        <v>-532.80000000000007</v>
      </c>
    </row>
    <row r="30" spans="2:6" x14ac:dyDescent="0.35">
      <c r="B30" s="4" t="s">
        <v>204</v>
      </c>
      <c r="C30" s="5" t="s">
        <v>205</v>
      </c>
      <c r="D30" s="29">
        <v>2371.1999999999998</v>
      </c>
      <c r="E30" s="10">
        <v>1903.2</v>
      </c>
      <c r="F30" s="13">
        <f>E30-D30</f>
        <v>-467.99999999999977</v>
      </c>
    </row>
    <row r="31" spans="2:6" x14ac:dyDescent="0.35">
      <c r="B31" s="4" t="s">
        <v>104</v>
      </c>
      <c r="C31" s="5" t="s">
        <v>105</v>
      </c>
      <c r="D31" s="29">
        <v>1033.1999999999998</v>
      </c>
      <c r="E31" s="10">
        <v>575.4</v>
      </c>
      <c r="F31" s="13">
        <f>E31-D31</f>
        <v>-457.79999999999984</v>
      </c>
    </row>
    <row r="32" spans="2:6" x14ac:dyDescent="0.35">
      <c r="B32" s="4" t="s">
        <v>146</v>
      </c>
      <c r="C32" s="5" t="s">
        <v>147</v>
      </c>
      <c r="D32" s="29">
        <v>591</v>
      </c>
      <c r="E32" s="10">
        <v>177</v>
      </c>
      <c r="F32" s="13">
        <f>E32-D32</f>
        <v>-414</v>
      </c>
    </row>
    <row r="33" spans="2:6" x14ac:dyDescent="0.35">
      <c r="B33" s="4" t="s">
        <v>126</v>
      </c>
      <c r="C33" s="5" t="s">
        <v>127</v>
      </c>
      <c r="D33" s="29">
        <v>1254.96</v>
      </c>
      <c r="E33" s="10">
        <v>850.08</v>
      </c>
      <c r="F33" s="13">
        <f>E33-D33</f>
        <v>-404.88</v>
      </c>
    </row>
    <row r="34" spans="2:6" x14ac:dyDescent="0.35">
      <c r="B34" s="4" t="s">
        <v>196</v>
      </c>
      <c r="C34" s="5" t="s">
        <v>197</v>
      </c>
      <c r="D34" s="29">
        <v>962.40000000000009</v>
      </c>
      <c r="E34" s="10">
        <v>559.20000000000005</v>
      </c>
      <c r="F34" s="13">
        <f>E34-D34</f>
        <v>-403.20000000000005</v>
      </c>
    </row>
    <row r="35" spans="2:6" x14ac:dyDescent="0.35">
      <c r="B35" s="4" t="s">
        <v>114</v>
      </c>
      <c r="C35" s="5" t="s">
        <v>115</v>
      </c>
      <c r="D35" s="29">
        <v>2862</v>
      </c>
      <c r="E35" s="10">
        <v>2495.6039999999998</v>
      </c>
      <c r="F35" s="13">
        <f>E35-D35</f>
        <v>-366.39600000000019</v>
      </c>
    </row>
    <row r="36" spans="2:6" x14ac:dyDescent="0.35">
      <c r="B36" s="4" t="s">
        <v>192</v>
      </c>
      <c r="C36" s="5" t="s">
        <v>193</v>
      </c>
      <c r="D36" s="29">
        <v>2259.8999999999996</v>
      </c>
      <c r="E36" s="10">
        <v>1943.9999999999998</v>
      </c>
      <c r="F36" s="13">
        <f>E36-D36</f>
        <v>-315.89999999999986</v>
      </c>
    </row>
    <row r="37" spans="2:6" x14ac:dyDescent="0.35">
      <c r="B37" s="4" t="s">
        <v>206</v>
      </c>
      <c r="C37" s="5" t="s">
        <v>207</v>
      </c>
      <c r="D37" s="29">
        <v>1911.6</v>
      </c>
      <c r="E37" s="10">
        <v>1603.8</v>
      </c>
      <c r="F37" s="13">
        <f>E37-D37</f>
        <v>-307.79999999999995</v>
      </c>
    </row>
    <row r="38" spans="2:6" x14ac:dyDescent="0.35">
      <c r="B38" s="4" t="s">
        <v>148</v>
      </c>
      <c r="C38" s="5" t="s">
        <v>149</v>
      </c>
      <c r="D38" s="29">
        <v>530.40000000000009</v>
      </c>
      <c r="E38" s="10">
        <v>241.8</v>
      </c>
      <c r="F38" s="13">
        <f>E38-D38</f>
        <v>-288.60000000000008</v>
      </c>
    </row>
    <row r="39" spans="2:6" x14ac:dyDescent="0.35">
      <c r="B39" s="4" t="s">
        <v>102</v>
      </c>
      <c r="C39" s="5" t="s">
        <v>103</v>
      </c>
      <c r="D39" s="29">
        <v>495</v>
      </c>
      <c r="E39" s="10">
        <v>228.6</v>
      </c>
      <c r="F39" s="13">
        <f>E39-D39</f>
        <v>-266.39999999999998</v>
      </c>
    </row>
    <row r="40" spans="2:6" x14ac:dyDescent="0.35">
      <c r="B40" s="4" t="s">
        <v>160</v>
      </c>
      <c r="C40" s="5" t="s">
        <v>161</v>
      </c>
      <c r="D40" s="29">
        <v>592.01999999999987</v>
      </c>
      <c r="E40" s="10">
        <v>366.29999999999995</v>
      </c>
      <c r="F40" s="13">
        <f>E40-D40</f>
        <v>-225.71999999999991</v>
      </c>
    </row>
    <row r="41" spans="2:6" x14ac:dyDescent="0.35">
      <c r="B41" s="4" t="s">
        <v>178</v>
      </c>
      <c r="C41" s="5" t="s">
        <v>179</v>
      </c>
      <c r="D41" s="29">
        <v>15357.6</v>
      </c>
      <c r="E41" s="10">
        <v>15138.9</v>
      </c>
      <c r="F41" s="13">
        <f>E41-D41</f>
        <v>-218.70000000000073</v>
      </c>
    </row>
    <row r="42" spans="2:6" x14ac:dyDescent="0.35">
      <c r="B42" s="4" t="s">
        <v>90</v>
      </c>
      <c r="C42" s="5" t="s">
        <v>91</v>
      </c>
      <c r="D42" s="29">
        <v>802.19999999999993</v>
      </c>
      <c r="E42" s="10">
        <v>609</v>
      </c>
      <c r="F42" s="13">
        <f>E42-D42</f>
        <v>-193.19999999999993</v>
      </c>
    </row>
    <row r="43" spans="2:6" x14ac:dyDescent="0.35">
      <c r="B43" s="4" t="s">
        <v>230</v>
      </c>
      <c r="C43" s="5" t="s">
        <v>231</v>
      </c>
      <c r="D43" s="29">
        <v>207</v>
      </c>
      <c r="E43" s="10">
        <v>27</v>
      </c>
      <c r="F43" s="13">
        <f>E43-D43</f>
        <v>-180</v>
      </c>
    </row>
    <row r="44" spans="2:6" x14ac:dyDescent="0.35">
      <c r="B44" s="4" t="s">
        <v>164</v>
      </c>
      <c r="C44" s="5" t="s">
        <v>165</v>
      </c>
      <c r="D44" s="29">
        <v>319.2</v>
      </c>
      <c r="E44" s="10">
        <v>177.6</v>
      </c>
      <c r="F44" s="13">
        <f>E44-D44</f>
        <v>-141.6</v>
      </c>
    </row>
    <row r="45" spans="2:6" x14ac:dyDescent="0.35">
      <c r="B45" s="4" t="s">
        <v>170</v>
      </c>
      <c r="C45" s="5" t="s">
        <v>171</v>
      </c>
      <c r="D45" s="29">
        <v>529.20000000000005</v>
      </c>
      <c r="E45" s="10">
        <v>410.55</v>
      </c>
      <c r="F45" s="13">
        <f>E45-D45</f>
        <v>-118.65000000000003</v>
      </c>
    </row>
    <row r="46" spans="2:6" x14ac:dyDescent="0.35">
      <c r="B46" s="4" t="s">
        <v>124</v>
      </c>
      <c r="C46" s="5" t="s">
        <v>125</v>
      </c>
      <c r="D46" s="29">
        <v>318.59999999999997</v>
      </c>
      <c r="E46" s="10">
        <v>212.39999999999998</v>
      </c>
      <c r="F46" s="13">
        <f>E46-D46</f>
        <v>-106.19999999999999</v>
      </c>
    </row>
    <row r="47" spans="2:6" x14ac:dyDescent="0.35">
      <c r="B47" s="4" t="s">
        <v>100</v>
      </c>
      <c r="C47" s="5" t="s">
        <v>101</v>
      </c>
      <c r="D47" s="29">
        <v>323.39999999999998</v>
      </c>
      <c r="E47" s="10">
        <v>222.6</v>
      </c>
      <c r="F47" s="13">
        <f>E47-D47</f>
        <v>-100.79999999999998</v>
      </c>
    </row>
    <row r="48" spans="2:6" x14ac:dyDescent="0.35">
      <c r="B48" s="4" t="s">
        <v>142</v>
      </c>
      <c r="C48" s="5" t="s">
        <v>143</v>
      </c>
      <c r="D48" s="29">
        <v>161.28</v>
      </c>
      <c r="E48" s="10">
        <v>61.74</v>
      </c>
      <c r="F48" s="13">
        <f>E48-D48</f>
        <v>-99.539999999999992</v>
      </c>
    </row>
    <row r="49" spans="2:6" x14ac:dyDescent="0.35">
      <c r="B49" s="4" t="s">
        <v>188</v>
      </c>
      <c r="C49" s="5" t="s">
        <v>189</v>
      </c>
      <c r="D49" s="29">
        <v>221.4</v>
      </c>
      <c r="E49" s="10">
        <v>127.8</v>
      </c>
      <c r="F49" s="13">
        <f>E49-D49</f>
        <v>-93.600000000000009</v>
      </c>
    </row>
    <row r="50" spans="2:6" x14ac:dyDescent="0.35">
      <c r="B50" s="4" t="s">
        <v>190</v>
      </c>
      <c r="C50" s="5" t="s">
        <v>191</v>
      </c>
      <c r="D50" s="29">
        <v>284.39999999999998</v>
      </c>
      <c r="E50" s="10">
        <v>214.2</v>
      </c>
      <c r="F50" s="13">
        <f>E50-D50</f>
        <v>-70.199999999999989</v>
      </c>
    </row>
    <row r="51" spans="2:6" x14ac:dyDescent="0.35">
      <c r="B51" s="4" t="s">
        <v>253</v>
      </c>
      <c r="C51" s="5" t="s">
        <v>254</v>
      </c>
      <c r="D51" s="29">
        <v>237.12</v>
      </c>
      <c r="E51" s="10">
        <v>188.48</v>
      </c>
      <c r="F51" s="13">
        <f>E51-D51</f>
        <v>-48.640000000000015</v>
      </c>
    </row>
    <row r="52" spans="2:6" x14ac:dyDescent="0.35">
      <c r="B52" s="4" t="s">
        <v>251</v>
      </c>
      <c r="C52" s="5" t="s">
        <v>252</v>
      </c>
      <c r="D52" s="29">
        <v>259.2</v>
      </c>
      <c r="E52" s="10">
        <v>221.4</v>
      </c>
      <c r="F52" s="13">
        <f>E52-D52</f>
        <v>-37.799999999999983</v>
      </c>
    </row>
    <row r="53" spans="2:6" x14ac:dyDescent="0.35">
      <c r="B53" s="4" t="s">
        <v>122</v>
      </c>
      <c r="C53" s="5" t="s">
        <v>123</v>
      </c>
      <c r="D53" s="29">
        <v>358.4</v>
      </c>
      <c r="E53" s="10">
        <v>330.4</v>
      </c>
      <c r="F53" s="13">
        <f>E53-D53</f>
        <v>-28</v>
      </c>
    </row>
    <row r="54" spans="2:6" x14ac:dyDescent="0.35">
      <c r="B54" s="4" t="s">
        <v>240</v>
      </c>
      <c r="C54" s="5" t="s">
        <v>241</v>
      </c>
      <c r="D54" s="29">
        <v>43.2</v>
      </c>
      <c r="E54" s="10">
        <v>16.2</v>
      </c>
      <c r="F54" s="13">
        <f>E54-D54</f>
        <v>-27.000000000000004</v>
      </c>
    </row>
    <row r="55" spans="2:6" x14ac:dyDescent="0.35">
      <c r="B55" s="4" t="s">
        <v>134</v>
      </c>
      <c r="C55" s="5" t="s">
        <v>135</v>
      </c>
      <c r="D55" s="29">
        <v>1673.9999999999998</v>
      </c>
      <c r="E55" s="10">
        <v>1648.1289999999999</v>
      </c>
      <c r="F55" s="13">
        <f>E55-D55</f>
        <v>-25.870999999999867</v>
      </c>
    </row>
    <row r="56" spans="2:6" x14ac:dyDescent="0.35">
      <c r="B56" s="4" t="s">
        <v>18</v>
      </c>
      <c r="C56" s="5" t="s">
        <v>19</v>
      </c>
      <c r="D56" s="29">
        <v>81</v>
      </c>
      <c r="E56" s="10">
        <v>59.400000000000006</v>
      </c>
      <c r="F56" s="13">
        <f>E56-D56</f>
        <v>-21.599999999999994</v>
      </c>
    </row>
    <row r="57" spans="2:6" x14ac:dyDescent="0.35">
      <c r="B57" s="4" t="s">
        <v>180</v>
      </c>
      <c r="C57" s="5" t="s">
        <v>181</v>
      </c>
      <c r="D57" s="29">
        <v>5367.5999999999995</v>
      </c>
      <c r="E57" s="10">
        <v>5351.4</v>
      </c>
      <c r="F57" s="13">
        <f>E57-D57</f>
        <v>-16.199999999999818</v>
      </c>
    </row>
    <row r="58" spans="2:6" x14ac:dyDescent="0.35">
      <c r="B58" s="4" t="s">
        <v>176</v>
      </c>
      <c r="C58" s="5" t="s">
        <v>177</v>
      </c>
      <c r="D58" s="29">
        <v>475.20000000000005</v>
      </c>
      <c r="E58" s="10">
        <v>459.36000000000007</v>
      </c>
      <c r="F58" s="13">
        <f>E58-D58</f>
        <v>-15.839999999999975</v>
      </c>
    </row>
    <row r="59" spans="2:6" x14ac:dyDescent="0.35">
      <c r="B59" s="4" t="s">
        <v>162</v>
      </c>
      <c r="C59" s="5" t="s">
        <v>163</v>
      </c>
      <c r="D59" s="29">
        <v>321.60000000000002</v>
      </c>
      <c r="E59" s="10">
        <v>307.20000000000005</v>
      </c>
      <c r="F59" s="13">
        <f>E59-D59</f>
        <v>-14.399999999999977</v>
      </c>
    </row>
    <row r="60" spans="2:6" x14ac:dyDescent="0.35">
      <c r="B60" s="4" t="s">
        <v>236</v>
      </c>
      <c r="C60" s="5" t="s">
        <v>237</v>
      </c>
      <c r="D60" s="29">
        <v>60.5</v>
      </c>
      <c r="E60" s="10">
        <v>47.300000000000004</v>
      </c>
      <c r="F60" s="13">
        <f>E60-D60</f>
        <v>-13.199999999999996</v>
      </c>
    </row>
    <row r="61" spans="2:6" x14ac:dyDescent="0.35">
      <c r="B61" s="4" t="s">
        <v>184</v>
      </c>
      <c r="C61" s="5" t="s">
        <v>185</v>
      </c>
      <c r="D61" s="29">
        <v>8704.7999999999993</v>
      </c>
      <c r="E61" s="10">
        <v>8694</v>
      </c>
      <c r="F61" s="13">
        <f>E61-D61</f>
        <v>-10.799999999999272</v>
      </c>
    </row>
    <row r="62" spans="2:6" x14ac:dyDescent="0.35">
      <c r="B62" s="4" t="s">
        <v>220</v>
      </c>
      <c r="C62" s="5" t="s">
        <v>221</v>
      </c>
      <c r="D62" s="29">
        <v>81.900000000000006</v>
      </c>
      <c r="E62" s="10">
        <v>73.08</v>
      </c>
      <c r="F62" s="13">
        <f>E62-D62</f>
        <v>-8.8200000000000074</v>
      </c>
    </row>
    <row r="63" spans="2:6" x14ac:dyDescent="0.35">
      <c r="B63" s="4" t="s">
        <v>136</v>
      </c>
      <c r="C63" s="5" t="s">
        <v>137</v>
      </c>
      <c r="D63" s="29">
        <v>100.8</v>
      </c>
      <c r="E63" s="10">
        <v>94.5</v>
      </c>
      <c r="F63" s="13">
        <f>E63-D63</f>
        <v>-6.2999999999999972</v>
      </c>
    </row>
    <row r="64" spans="2:6" x14ac:dyDescent="0.35">
      <c r="B64" s="4" t="s">
        <v>60</v>
      </c>
      <c r="C64" s="5" t="s">
        <v>61</v>
      </c>
      <c r="D64" s="29">
        <v>23583</v>
      </c>
      <c r="E64" s="10">
        <v>23580</v>
      </c>
      <c r="F64" s="13">
        <f>E64-D64</f>
        <v>-3</v>
      </c>
    </row>
    <row r="65" spans="2:6" x14ac:dyDescent="0.35">
      <c r="B65" s="4" t="s">
        <v>2</v>
      </c>
      <c r="C65" s="5" t="s">
        <v>3</v>
      </c>
      <c r="D65" s="29">
        <v>21954.240000000002</v>
      </c>
      <c r="E65" s="10">
        <v>21954.240000000002</v>
      </c>
      <c r="F65" s="13">
        <f>E65-D65</f>
        <v>0</v>
      </c>
    </row>
    <row r="66" spans="2:6" x14ac:dyDescent="0.35">
      <c r="B66" s="4" t="s">
        <v>4</v>
      </c>
      <c r="C66" s="5" t="s">
        <v>5</v>
      </c>
      <c r="D66" s="29">
        <v>763.2</v>
      </c>
      <c r="E66" s="10">
        <v>763.2</v>
      </c>
      <c r="F66" s="13">
        <f>E66-D66</f>
        <v>0</v>
      </c>
    </row>
    <row r="67" spans="2:6" x14ac:dyDescent="0.35">
      <c r="B67" s="4" t="s">
        <v>6</v>
      </c>
      <c r="C67" s="5" t="s">
        <v>7</v>
      </c>
      <c r="D67" s="29">
        <v>165</v>
      </c>
      <c r="E67" s="10">
        <v>165</v>
      </c>
      <c r="F67" s="13">
        <f>E67-D67</f>
        <v>0</v>
      </c>
    </row>
    <row r="68" spans="2:6" x14ac:dyDescent="0.35">
      <c r="B68" s="4" t="s">
        <v>10</v>
      </c>
      <c r="C68" s="5" t="s">
        <v>11</v>
      </c>
      <c r="D68" s="29">
        <v>4</v>
      </c>
      <c r="E68" s="10">
        <v>4</v>
      </c>
      <c r="F68" s="13">
        <f>E68-D68</f>
        <v>0</v>
      </c>
    </row>
    <row r="69" spans="2:6" x14ac:dyDescent="0.35">
      <c r="B69" s="4" t="s">
        <v>12</v>
      </c>
      <c r="C69" s="5" t="s">
        <v>13</v>
      </c>
      <c r="D69" s="29">
        <v>376.8</v>
      </c>
      <c r="E69" s="10">
        <v>376.8</v>
      </c>
      <c r="F69" s="13">
        <f>E69-D69</f>
        <v>0</v>
      </c>
    </row>
    <row r="70" spans="2:6" x14ac:dyDescent="0.35">
      <c r="B70" s="4" t="s">
        <v>14</v>
      </c>
      <c r="C70" s="5" t="s">
        <v>15</v>
      </c>
      <c r="D70" s="29">
        <v>615.60000000000014</v>
      </c>
      <c r="E70" s="10">
        <v>615.60000000000014</v>
      </c>
      <c r="F70" s="13">
        <f>E70-D70</f>
        <v>0</v>
      </c>
    </row>
    <row r="71" spans="2:6" x14ac:dyDescent="0.35">
      <c r="B71" s="4" t="s">
        <v>16</v>
      </c>
      <c r="C71" s="5" t="s">
        <v>17</v>
      </c>
      <c r="D71" s="29">
        <v>2116.8000000000002</v>
      </c>
      <c r="E71" s="10">
        <v>2116.8000000000002</v>
      </c>
      <c r="F71" s="13">
        <f>E71-D71</f>
        <v>0</v>
      </c>
    </row>
    <row r="72" spans="2:6" x14ac:dyDescent="0.35">
      <c r="B72" s="4" t="s">
        <v>20</v>
      </c>
      <c r="C72" s="5" t="s">
        <v>21</v>
      </c>
      <c r="D72" s="29">
        <v>720</v>
      </c>
      <c r="E72" s="10">
        <v>720</v>
      </c>
      <c r="F72" s="13">
        <f>E72-D72</f>
        <v>0</v>
      </c>
    </row>
    <row r="73" spans="2:6" x14ac:dyDescent="0.35">
      <c r="B73" s="4" t="s">
        <v>22</v>
      </c>
      <c r="C73" s="5" t="s">
        <v>23</v>
      </c>
      <c r="D73" s="29">
        <v>21405.600000000006</v>
      </c>
      <c r="E73" s="10">
        <v>21405.600000000006</v>
      </c>
      <c r="F73" s="13">
        <f>E73-D73</f>
        <v>0</v>
      </c>
    </row>
    <row r="74" spans="2:6" x14ac:dyDescent="0.35">
      <c r="B74" s="4" t="s">
        <v>234</v>
      </c>
      <c r="C74" s="5" t="s">
        <v>235</v>
      </c>
      <c r="D74" s="29">
        <v>24</v>
      </c>
      <c r="E74" s="10">
        <v>24</v>
      </c>
      <c r="F74" s="13">
        <f>E74-D74</f>
        <v>0</v>
      </c>
    </row>
    <row r="75" spans="2:6" x14ac:dyDescent="0.35">
      <c r="B75" s="4" t="s">
        <v>24</v>
      </c>
      <c r="C75" s="5" t="s">
        <v>25</v>
      </c>
      <c r="D75" s="29">
        <v>732.59999999999991</v>
      </c>
      <c r="E75" s="10">
        <v>732.59999999999991</v>
      </c>
      <c r="F75" s="13">
        <f>E75-D75</f>
        <v>0</v>
      </c>
    </row>
    <row r="76" spans="2:6" x14ac:dyDescent="0.35">
      <c r="B76" s="4" t="s">
        <v>26</v>
      </c>
      <c r="C76" s="5" t="s">
        <v>27</v>
      </c>
      <c r="D76" s="29">
        <v>1019.04</v>
      </c>
      <c r="E76" s="10">
        <v>1019.04</v>
      </c>
      <c r="F76" s="13">
        <f>E76-D76</f>
        <v>0</v>
      </c>
    </row>
    <row r="77" spans="2:6" x14ac:dyDescent="0.35">
      <c r="B77" s="4" t="s">
        <v>28</v>
      </c>
      <c r="C77" s="5" t="s">
        <v>29</v>
      </c>
      <c r="D77" s="29">
        <v>1497.6000000000001</v>
      </c>
      <c r="E77" s="10">
        <v>1497.6000000000001</v>
      </c>
      <c r="F77" s="13">
        <f>E77-D77</f>
        <v>0</v>
      </c>
    </row>
    <row r="78" spans="2:6" x14ac:dyDescent="0.35">
      <c r="B78" s="4" t="s">
        <v>30</v>
      </c>
      <c r="C78" s="5" t="s">
        <v>31</v>
      </c>
      <c r="D78" s="29">
        <v>512.16</v>
      </c>
      <c r="E78" s="10">
        <v>512.16</v>
      </c>
      <c r="F78" s="13">
        <f>E78-D78</f>
        <v>0</v>
      </c>
    </row>
    <row r="79" spans="2:6" x14ac:dyDescent="0.35">
      <c r="B79" s="4" t="s">
        <v>32</v>
      </c>
      <c r="C79" s="5" t="s">
        <v>33</v>
      </c>
      <c r="D79" s="29">
        <v>17524.32</v>
      </c>
      <c r="E79" s="10">
        <v>17524.32</v>
      </c>
      <c r="F79" s="13">
        <f>E79-D79</f>
        <v>0</v>
      </c>
    </row>
    <row r="80" spans="2:6" x14ac:dyDescent="0.35">
      <c r="B80" s="4" t="s">
        <v>34</v>
      </c>
      <c r="C80" s="5" t="s">
        <v>35</v>
      </c>
      <c r="D80" s="29">
        <v>9315</v>
      </c>
      <c r="E80" s="10">
        <v>9315</v>
      </c>
      <c r="F80" s="13">
        <f>E80-D80</f>
        <v>0</v>
      </c>
    </row>
    <row r="81" spans="2:6" x14ac:dyDescent="0.35">
      <c r="B81" s="4" t="s">
        <v>36</v>
      </c>
      <c r="C81" s="5" t="s">
        <v>37</v>
      </c>
      <c r="D81" s="29">
        <v>124.10000000000001</v>
      </c>
      <c r="E81" s="10">
        <v>124.10000000000001</v>
      </c>
      <c r="F81" s="13">
        <f>E81-D81</f>
        <v>0</v>
      </c>
    </row>
    <row r="82" spans="2:6" x14ac:dyDescent="0.35">
      <c r="B82" s="4" t="s">
        <v>38</v>
      </c>
      <c r="C82" s="5" t="s">
        <v>39</v>
      </c>
      <c r="D82" s="29">
        <v>4924.8</v>
      </c>
      <c r="E82" s="10">
        <v>4924.8</v>
      </c>
      <c r="F82" s="13">
        <f>E82-D82</f>
        <v>0</v>
      </c>
    </row>
    <row r="83" spans="2:6" x14ac:dyDescent="0.35">
      <c r="B83" s="4" t="s">
        <v>40</v>
      </c>
      <c r="C83" s="5" t="s">
        <v>41</v>
      </c>
      <c r="D83" s="29">
        <v>1858.5</v>
      </c>
      <c r="E83" s="10">
        <v>1858.5</v>
      </c>
      <c r="F83" s="13">
        <f>E83-D83</f>
        <v>0</v>
      </c>
    </row>
    <row r="84" spans="2:6" x14ac:dyDescent="0.35">
      <c r="B84" s="4" t="s">
        <v>42</v>
      </c>
      <c r="C84" s="5" t="s">
        <v>43</v>
      </c>
      <c r="D84" s="29">
        <v>28559.519999999997</v>
      </c>
      <c r="E84" s="10">
        <v>28559.519999999997</v>
      </c>
      <c r="F84" s="13">
        <f>E84-D84</f>
        <v>0</v>
      </c>
    </row>
    <row r="85" spans="2:6" x14ac:dyDescent="0.35">
      <c r="B85" s="4" t="s">
        <v>44</v>
      </c>
      <c r="C85" s="5" t="s">
        <v>45</v>
      </c>
      <c r="D85" s="29">
        <v>1713.5999999999997</v>
      </c>
      <c r="E85" s="10">
        <v>1713.5999999999997</v>
      </c>
      <c r="F85" s="13">
        <f>E85-D85</f>
        <v>0</v>
      </c>
    </row>
    <row r="86" spans="2:6" x14ac:dyDescent="0.35">
      <c r="B86" s="4" t="s">
        <v>46</v>
      </c>
      <c r="C86" s="5" t="s">
        <v>47</v>
      </c>
      <c r="D86" s="29">
        <v>27360</v>
      </c>
      <c r="E86" s="10">
        <v>27360</v>
      </c>
      <c r="F86" s="13">
        <f>E86-D86</f>
        <v>0</v>
      </c>
    </row>
    <row r="87" spans="2:6" x14ac:dyDescent="0.35">
      <c r="B87" s="4" t="s">
        <v>48</v>
      </c>
      <c r="C87" s="5" t="s">
        <v>49</v>
      </c>
      <c r="D87" s="29">
        <v>1489.8</v>
      </c>
      <c r="E87" s="10">
        <v>1489.8</v>
      </c>
      <c r="F87" s="13">
        <f>E87-D87</f>
        <v>0</v>
      </c>
    </row>
    <row r="88" spans="2:6" x14ac:dyDescent="0.35">
      <c r="B88" s="4" t="s">
        <v>50</v>
      </c>
      <c r="C88" s="5" t="s">
        <v>51</v>
      </c>
      <c r="D88" s="29">
        <v>603.20000000000005</v>
      </c>
      <c r="E88" s="10">
        <v>603.20000000000005</v>
      </c>
      <c r="F88" s="13">
        <f>E88-D88</f>
        <v>0</v>
      </c>
    </row>
    <row r="89" spans="2:6" x14ac:dyDescent="0.35">
      <c r="B89" s="4" t="s">
        <v>52</v>
      </c>
      <c r="C89" s="5" t="s">
        <v>53</v>
      </c>
      <c r="D89" s="29">
        <v>284.8</v>
      </c>
      <c r="E89" s="10">
        <v>284.8</v>
      </c>
      <c r="F89" s="13">
        <f>E89-D89</f>
        <v>0</v>
      </c>
    </row>
    <row r="90" spans="2:6" x14ac:dyDescent="0.35">
      <c r="B90" s="4" t="s">
        <v>214</v>
      </c>
      <c r="C90" s="5" t="s">
        <v>215</v>
      </c>
      <c r="D90" s="29">
        <v>12.8</v>
      </c>
      <c r="E90" s="10">
        <v>12.8</v>
      </c>
      <c r="F90" s="13">
        <f>E90-D90</f>
        <v>0</v>
      </c>
    </row>
    <row r="91" spans="2:6" x14ac:dyDescent="0.35">
      <c r="B91" s="4" t="s">
        <v>245</v>
      </c>
      <c r="C91" s="5" t="s">
        <v>246</v>
      </c>
      <c r="D91" s="29">
        <v>234</v>
      </c>
      <c r="E91" s="10">
        <v>234</v>
      </c>
      <c r="F91" s="13">
        <f>E91-D91</f>
        <v>0</v>
      </c>
    </row>
    <row r="92" spans="2:6" x14ac:dyDescent="0.35">
      <c r="B92" s="4" t="s">
        <v>54</v>
      </c>
      <c r="C92" s="5" t="s">
        <v>55</v>
      </c>
      <c r="D92" s="29">
        <v>4219.8</v>
      </c>
      <c r="E92" s="10">
        <v>4219.8</v>
      </c>
      <c r="F92" s="13">
        <f>E92-D92</f>
        <v>0</v>
      </c>
    </row>
    <row r="93" spans="2:6" x14ac:dyDescent="0.35">
      <c r="B93" s="4" t="s">
        <v>56</v>
      </c>
      <c r="C93" s="5" t="s">
        <v>57</v>
      </c>
      <c r="D93" s="29">
        <v>1210.5</v>
      </c>
      <c r="E93" s="10">
        <v>1210.5</v>
      </c>
      <c r="F93" s="13">
        <f>E93-D93</f>
        <v>0</v>
      </c>
    </row>
    <row r="94" spans="2:6" x14ac:dyDescent="0.35">
      <c r="B94" s="4" t="s">
        <v>58</v>
      </c>
      <c r="C94" s="5" t="s">
        <v>59</v>
      </c>
      <c r="D94" s="29">
        <v>7743.5999999999995</v>
      </c>
      <c r="E94" s="10">
        <v>7743.5999999999995</v>
      </c>
      <c r="F94" s="13">
        <f>E94-D94</f>
        <v>0</v>
      </c>
    </row>
    <row r="95" spans="2:6" x14ac:dyDescent="0.35">
      <c r="B95" s="4" t="s">
        <v>216</v>
      </c>
      <c r="C95" s="5" t="s">
        <v>217</v>
      </c>
      <c r="D95" s="29">
        <v>21.6</v>
      </c>
      <c r="E95" s="10">
        <v>21.6</v>
      </c>
      <c r="F95" s="13">
        <f>E95-D95</f>
        <v>0</v>
      </c>
    </row>
    <row r="96" spans="2:6" x14ac:dyDescent="0.35">
      <c r="B96" s="4" t="s">
        <v>62</v>
      </c>
      <c r="C96" s="5" t="s">
        <v>63</v>
      </c>
      <c r="D96" s="29">
        <v>553.79999999999995</v>
      </c>
      <c r="E96" s="10">
        <v>553.79999999999995</v>
      </c>
      <c r="F96" s="13">
        <f>E96-D96</f>
        <v>0</v>
      </c>
    </row>
    <row r="97" spans="2:6" x14ac:dyDescent="0.35">
      <c r="B97" s="4" t="s">
        <v>64</v>
      </c>
      <c r="C97" s="5" t="s">
        <v>65</v>
      </c>
      <c r="D97" s="29">
        <v>58</v>
      </c>
      <c r="E97" s="10">
        <v>58</v>
      </c>
      <c r="F97" s="13">
        <f>E97-D97</f>
        <v>0</v>
      </c>
    </row>
    <row r="98" spans="2:6" x14ac:dyDescent="0.35">
      <c r="B98" s="4" t="s">
        <v>66</v>
      </c>
      <c r="C98" s="5" t="s">
        <v>67</v>
      </c>
      <c r="D98" s="29">
        <v>180</v>
      </c>
      <c r="E98" s="10">
        <v>180</v>
      </c>
      <c r="F98" s="13">
        <f>E98-D98</f>
        <v>0</v>
      </c>
    </row>
    <row r="99" spans="2:6" x14ac:dyDescent="0.35">
      <c r="B99" s="4" t="s">
        <v>68</v>
      </c>
      <c r="C99" s="5" t="s">
        <v>69</v>
      </c>
      <c r="D99" s="29">
        <v>54</v>
      </c>
      <c r="E99" s="10">
        <v>54</v>
      </c>
      <c r="F99" s="13">
        <f>E99-D99</f>
        <v>0</v>
      </c>
    </row>
    <row r="100" spans="2:6" x14ac:dyDescent="0.35">
      <c r="B100" s="4" t="s">
        <v>70</v>
      </c>
      <c r="C100" s="5" t="s">
        <v>71</v>
      </c>
      <c r="D100" s="29">
        <v>19380</v>
      </c>
      <c r="E100" s="10">
        <v>19380</v>
      </c>
      <c r="F100" s="13">
        <f>E100-D100</f>
        <v>0</v>
      </c>
    </row>
    <row r="101" spans="2:6" x14ac:dyDescent="0.35">
      <c r="B101" s="4" t="s">
        <v>72</v>
      </c>
      <c r="C101" s="5" t="s">
        <v>73</v>
      </c>
      <c r="D101" s="29">
        <v>1780.8</v>
      </c>
      <c r="E101" s="10">
        <v>1780.8</v>
      </c>
      <c r="F101" s="13">
        <f>E101-D101</f>
        <v>0</v>
      </c>
    </row>
    <row r="102" spans="2:6" x14ac:dyDescent="0.35">
      <c r="B102" s="4" t="s">
        <v>74</v>
      </c>
      <c r="C102" s="5" t="s">
        <v>75</v>
      </c>
      <c r="D102" s="29">
        <v>4082.3999999999996</v>
      </c>
      <c r="E102" s="10">
        <v>4082.3999999999996</v>
      </c>
      <c r="F102" s="13">
        <f>E102-D102</f>
        <v>0</v>
      </c>
    </row>
    <row r="103" spans="2:6" x14ac:dyDescent="0.35">
      <c r="B103" s="4" t="s">
        <v>76</v>
      </c>
      <c r="C103" s="5" t="s">
        <v>77</v>
      </c>
      <c r="D103" s="29">
        <v>404</v>
      </c>
      <c r="E103" s="10">
        <v>404</v>
      </c>
      <c r="F103" s="13">
        <f>E103-D103</f>
        <v>0</v>
      </c>
    </row>
    <row r="104" spans="2:6" x14ac:dyDescent="0.35">
      <c r="B104" s="4" t="s">
        <v>78</v>
      </c>
      <c r="C104" s="5" t="s">
        <v>79</v>
      </c>
      <c r="D104" s="29">
        <v>967.5</v>
      </c>
      <c r="E104" s="10">
        <v>967.5</v>
      </c>
      <c r="F104" s="13">
        <f>E104-D104</f>
        <v>0</v>
      </c>
    </row>
    <row r="105" spans="2:6" x14ac:dyDescent="0.35">
      <c r="B105" s="4" t="s">
        <v>80</v>
      </c>
      <c r="C105" s="5" t="s">
        <v>81</v>
      </c>
      <c r="D105" s="29">
        <v>185.6</v>
      </c>
      <c r="E105" s="10">
        <v>185.6</v>
      </c>
      <c r="F105" s="13">
        <f>E105-D105</f>
        <v>0</v>
      </c>
    </row>
    <row r="106" spans="2:6" x14ac:dyDescent="0.35">
      <c r="B106" s="4" t="s">
        <v>249</v>
      </c>
      <c r="C106" s="5" t="s">
        <v>250</v>
      </c>
      <c r="D106" s="29">
        <v>280.8</v>
      </c>
      <c r="E106" s="10">
        <v>280.8</v>
      </c>
      <c r="F106" s="13">
        <f>E106-D106</f>
        <v>0</v>
      </c>
    </row>
    <row r="107" spans="2:6" x14ac:dyDescent="0.35">
      <c r="B107" s="4" t="s">
        <v>82</v>
      </c>
      <c r="C107" s="5" t="s">
        <v>83</v>
      </c>
      <c r="D107" s="29">
        <v>66.599999999999994</v>
      </c>
      <c r="E107" s="10">
        <v>66.599999999999994</v>
      </c>
      <c r="F107" s="13">
        <f>E107-D107</f>
        <v>0</v>
      </c>
    </row>
    <row r="108" spans="2:6" x14ac:dyDescent="0.35">
      <c r="B108" s="4" t="s">
        <v>92</v>
      </c>
      <c r="C108" s="5" t="s">
        <v>93</v>
      </c>
      <c r="D108" s="29">
        <v>3051.84</v>
      </c>
      <c r="E108" s="10">
        <v>3051.84</v>
      </c>
      <c r="F108" s="13">
        <f>E108-D108</f>
        <v>0</v>
      </c>
    </row>
    <row r="109" spans="2:6" x14ac:dyDescent="0.35">
      <c r="B109" s="4" t="s">
        <v>94</v>
      </c>
      <c r="C109" s="5" t="s">
        <v>95</v>
      </c>
      <c r="D109" s="29">
        <v>7175.52</v>
      </c>
      <c r="E109" s="10">
        <v>7175.52</v>
      </c>
      <c r="F109" s="13">
        <f>E109-D109</f>
        <v>0</v>
      </c>
    </row>
    <row r="110" spans="2:6" x14ac:dyDescent="0.35">
      <c r="B110" s="4" t="s">
        <v>98</v>
      </c>
      <c r="C110" s="5" t="s">
        <v>99</v>
      </c>
      <c r="D110" s="29">
        <v>24</v>
      </c>
      <c r="E110" s="10">
        <v>24</v>
      </c>
      <c r="F110" s="13">
        <f>E110-D110</f>
        <v>0</v>
      </c>
    </row>
    <row r="111" spans="2:6" x14ac:dyDescent="0.35">
      <c r="B111" s="4" t="s">
        <v>108</v>
      </c>
      <c r="C111" s="5" t="s">
        <v>109</v>
      </c>
      <c r="D111" s="29">
        <v>126.4</v>
      </c>
      <c r="E111" s="10">
        <v>126.4</v>
      </c>
      <c r="F111" s="13">
        <f>E111-D111</f>
        <v>0</v>
      </c>
    </row>
    <row r="112" spans="2:6" x14ac:dyDescent="0.35">
      <c r="B112" s="4" t="s">
        <v>110</v>
      </c>
      <c r="C112" s="5" t="s">
        <v>111</v>
      </c>
      <c r="D112" s="29">
        <v>54</v>
      </c>
      <c r="E112" s="10">
        <v>54</v>
      </c>
      <c r="F112" s="13">
        <f>E112-D112</f>
        <v>0</v>
      </c>
    </row>
    <row r="113" spans="2:6" x14ac:dyDescent="0.35">
      <c r="B113" s="4" t="s">
        <v>238</v>
      </c>
      <c r="C113" s="5" t="s">
        <v>239</v>
      </c>
      <c r="D113" s="29">
        <v>59.4</v>
      </c>
      <c r="E113" s="10">
        <v>59.4</v>
      </c>
      <c r="F113" s="13">
        <f>E113-D113</f>
        <v>0</v>
      </c>
    </row>
    <row r="114" spans="2:6" x14ac:dyDescent="0.35">
      <c r="B114" s="4" t="s">
        <v>138</v>
      </c>
      <c r="C114" s="5" t="s">
        <v>139</v>
      </c>
      <c r="D114" s="29">
        <v>122.4</v>
      </c>
      <c r="E114" s="10">
        <v>122.4</v>
      </c>
      <c r="F114" s="13">
        <f>E114-D114</f>
        <v>0</v>
      </c>
    </row>
    <row r="115" spans="2:6" x14ac:dyDescent="0.35">
      <c r="B115" s="4" t="s">
        <v>140</v>
      </c>
      <c r="C115" s="5" t="s">
        <v>141</v>
      </c>
      <c r="D115" s="29">
        <v>148.96</v>
      </c>
      <c r="E115" s="10">
        <v>148.96</v>
      </c>
      <c r="F115" s="13">
        <f>E115-D115</f>
        <v>0</v>
      </c>
    </row>
    <row r="116" spans="2:6" x14ac:dyDescent="0.35">
      <c r="B116" s="4" t="s">
        <v>144</v>
      </c>
      <c r="C116" s="5" t="s">
        <v>145</v>
      </c>
      <c r="D116" s="29">
        <v>362.1</v>
      </c>
      <c r="E116" s="10">
        <v>362.1</v>
      </c>
      <c r="F116" s="13">
        <f>E116-D116</f>
        <v>0</v>
      </c>
    </row>
    <row r="117" spans="2:6" x14ac:dyDescent="0.35">
      <c r="B117" s="4" t="s">
        <v>150</v>
      </c>
      <c r="C117" s="5" t="s">
        <v>151</v>
      </c>
      <c r="D117" s="29">
        <v>375</v>
      </c>
      <c r="E117" s="10">
        <v>375</v>
      </c>
      <c r="F117" s="13">
        <f>E117-D117</f>
        <v>0</v>
      </c>
    </row>
    <row r="118" spans="2:6" x14ac:dyDescent="0.35">
      <c r="B118" s="4" t="s">
        <v>152</v>
      </c>
      <c r="C118" s="5" t="s">
        <v>153</v>
      </c>
      <c r="D118" s="29">
        <v>244</v>
      </c>
      <c r="E118" s="10">
        <v>244</v>
      </c>
      <c r="F118" s="13">
        <f>E118-D118</f>
        <v>0</v>
      </c>
    </row>
    <row r="119" spans="2:6" x14ac:dyDescent="0.35">
      <c r="B119" s="4" t="s">
        <v>154</v>
      </c>
      <c r="C119" s="5" t="s">
        <v>155</v>
      </c>
      <c r="D119" s="29">
        <v>214</v>
      </c>
      <c r="E119" s="10">
        <v>214</v>
      </c>
      <c r="F119" s="13">
        <f>E119-D119</f>
        <v>0</v>
      </c>
    </row>
    <row r="120" spans="2:6" x14ac:dyDescent="0.35">
      <c r="B120" s="4" t="s">
        <v>156</v>
      </c>
      <c r="C120" s="5" t="s">
        <v>157</v>
      </c>
      <c r="D120" s="29">
        <v>174</v>
      </c>
      <c r="E120" s="10">
        <v>174</v>
      </c>
      <c r="F120" s="13">
        <f>E120-D120</f>
        <v>0</v>
      </c>
    </row>
    <row r="121" spans="2:6" x14ac:dyDescent="0.35">
      <c r="B121" s="4" t="s">
        <v>158</v>
      </c>
      <c r="C121" s="5" t="s">
        <v>159</v>
      </c>
      <c r="D121" s="29">
        <v>2721.5999999999995</v>
      </c>
      <c r="E121" s="10">
        <v>2721.5999999999995</v>
      </c>
      <c r="F121" s="13">
        <f>E121-D121</f>
        <v>0</v>
      </c>
    </row>
    <row r="122" spans="2:6" x14ac:dyDescent="0.35">
      <c r="B122" s="4" t="s">
        <v>172</v>
      </c>
      <c r="C122" s="5" t="s">
        <v>173</v>
      </c>
      <c r="D122" s="29">
        <v>129.6</v>
      </c>
      <c r="E122" s="10">
        <v>129.6</v>
      </c>
      <c r="F122" s="13">
        <f>E122-D122</f>
        <v>0</v>
      </c>
    </row>
    <row r="123" spans="2:6" x14ac:dyDescent="0.35">
      <c r="B123" s="4" t="s">
        <v>182</v>
      </c>
      <c r="C123" s="5" t="s">
        <v>183</v>
      </c>
      <c r="D123" s="29">
        <v>22955.399999999998</v>
      </c>
      <c r="E123" s="10">
        <v>22955.399999999998</v>
      </c>
      <c r="F123" s="13">
        <f>E123-D123</f>
        <v>0</v>
      </c>
    </row>
    <row r="124" spans="2:6" x14ac:dyDescent="0.35">
      <c r="B124" s="4" t="s">
        <v>194</v>
      </c>
      <c r="C124" s="5" t="s">
        <v>195</v>
      </c>
      <c r="D124" s="29">
        <v>2892</v>
      </c>
      <c r="E124" s="10">
        <v>2892</v>
      </c>
      <c r="F124" s="13">
        <f>E124-D124</f>
        <v>0</v>
      </c>
    </row>
    <row r="125" spans="2:6" x14ac:dyDescent="0.35">
      <c r="B125" s="4" t="s">
        <v>242</v>
      </c>
      <c r="C125" s="5" t="s">
        <v>243</v>
      </c>
      <c r="D125" s="29">
        <v>284.39999999999998</v>
      </c>
      <c r="E125" s="10">
        <v>284.39999999999998</v>
      </c>
      <c r="F125" s="13">
        <f>E125-D125</f>
        <v>0</v>
      </c>
    </row>
    <row r="126" spans="2:6" ht="15" thickBot="1" x14ac:dyDescent="0.4">
      <c r="B126" s="3" t="s">
        <v>212</v>
      </c>
      <c r="C126" s="2" t="s">
        <v>213</v>
      </c>
      <c r="D126" s="9">
        <v>1344</v>
      </c>
      <c r="E126" s="11">
        <v>1344</v>
      </c>
      <c r="F126" s="14">
        <f>E126-D126</f>
        <v>0</v>
      </c>
    </row>
  </sheetData>
  <autoFilter ref="B2:F2">
    <sortState ref="B4:F128">
      <sortCondition ref="F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zoomScale="90" zoomScaleNormal="90" workbookViewId="0">
      <selection activeCell="B5" sqref="B5"/>
    </sheetView>
  </sheetViews>
  <sheetFormatPr defaultRowHeight="14.5" x14ac:dyDescent="0.35"/>
  <cols>
    <col min="1" max="1" width="8.7265625" style="31"/>
    <col min="2" max="2" width="118.08984375" bestFit="1" customWidth="1"/>
  </cols>
  <sheetData>
    <row r="1" spans="2:6" s="31" customFormat="1" ht="15" thickBot="1" x14ac:dyDescent="0.4"/>
    <row r="2" spans="2:6" s="31" customFormat="1" ht="32.5" thickBot="1" x14ac:dyDescent="0.75">
      <c r="B2" s="28" t="s">
        <v>233</v>
      </c>
      <c r="C2" s="27"/>
      <c r="D2" s="27"/>
      <c r="E2" s="27"/>
      <c r="F2" s="26"/>
    </row>
    <row r="3" spans="2:6" ht="44" thickBot="1" x14ac:dyDescent="0.4">
      <c r="B3" s="18" t="s">
        <v>0</v>
      </c>
      <c r="C3" s="19" t="s">
        <v>1</v>
      </c>
      <c r="D3" s="25" t="s">
        <v>247</v>
      </c>
      <c r="E3" s="24" t="s">
        <v>248</v>
      </c>
      <c r="F3" s="22" t="s">
        <v>232</v>
      </c>
    </row>
    <row r="4" spans="2:6" x14ac:dyDescent="0.35">
      <c r="B4" s="4" t="s">
        <v>228</v>
      </c>
      <c r="C4" s="5" t="s">
        <v>229</v>
      </c>
      <c r="D4" s="29">
        <v>8982</v>
      </c>
      <c r="E4" s="10">
        <v>1296</v>
      </c>
      <c r="F4" s="13">
        <f>E4-D4</f>
        <v>-7686</v>
      </c>
    </row>
    <row r="5" spans="2:6" x14ac:dyDescent="0.35">
      <c r="B5" s="4" t="s">
        <v>200</v>
      </c>
      <c r="C5" s="5" t="s">
        <v>201</v>
      </c>
      <c r="D5" s="29">
        <v>6672.7999999999993</v>
      </c>
      <c r="E5" s="10">
        <v>2717.6</v>
      </c>
      <c r="F5" s="13">
        <f>E5-D5</f>
        <v>-3955.1999999999994</v>
      </c>
    </row>
    <row r="6" spans="2:6" x14ac:dyDescent="0.35">
      <c r="B6" s="4" t="s">
        <v>210</v>
      </c>
      <c r="C6" s="5" t="s">
        <v>211</v>
      </c>
      <c r="D6" s="29">
        <v>2723.1</v>
      </c>
      <c r="E6" s="10">
        <v>861.3</v>
      </c>
      <c r="F6" s="13">
        <f>E6-D6</f>
        <v>-1861.8</v>
      </c>
    </row>
    <row r="7" spans="2:6" x14ac:dyDescent="0.35">
      <c r="B7" s="4" t="s">
        <v>222</v>
      </c>
      <c r="C7" s="5" t="s">
        <v>223</v>
      </c>
      <c r="D7" s="29">
        <v>1206</v>
      </c>
      <c r="E7" s="10">
        <v>0</v>
      </c>
      <c r="F7" s="13">
        <f>E7-D7</f>
        <v>-1206</v>
      </c>
    </row>
    <row r="8" spans="2:6" x14ac:dyDescent="0.35">
      <c r="B8" s="4" t="s">
        <v>84</v>
      </c>
      <c r="C8" s="5" t="s">
        <v>85</v>
      </c>
      <c r="D8" s="29">
        <v>1470</v>
      </c>
      <c r="E8" s="10">
        <v>299.214</v>
      </c>
      <c r="F8" s="13">
        <f>E8-D8</f>
        <v>-1170.7860000000001</v>
      </c>
    </row>
    <row r="9" spans="2:6" x14ac:dyDescent="0.35">
      <c r="B9" s="4" t="s">
        <v>202</v>
      </c>
      <c r="C9" s="5" t="s">
        <v>203</v>
      </c>
      <c r="D9" s="29">
        <v>1401.6000000000001</v>
      </c>
      <c r="E9" s="10">
        <v>576</v>
      </c>
      <c r="F9" s="13">
        <f>E9-D9</f>
        <v>-825.60000000000014</v>
      </c>
    </row>
    <row r="10" spans="2:6" x14ac:dyDescent="0.35">
      <c r="B10" s="4" t="s">
        <v>118</v>
      </c>
      <c r="C10" s="5" t="s">
        <v>119</v>
      </c>
      <c r="D10" s="29">
        <v>1609.2</v>
      </c>
      <c r="E10" s="10">
        <v>982.8</v>
      </c>
      <c r="F10" s="13">
        <f>E10-D10</f>
        <v>-626.40000000000009</v>
      </c>
    </row>
    <row r="11" spans="2:6" x14ac:dyDescent="0.35">
      <c r="B11" s="4" t="s">
        <v>96</v>
      </c>
      <c r="C11" s="5" t="s">
        <v>97</v>
      </c>
      <c r="D11" s="29">
        <v>2249.2800000000002</v>
      </c>
      <c r="E11" s="10">
        <v>1700.16</v>
      </c>
      <c r="F11" s="13">
        <f>E11-D11</f>
        <v>-549.12000000000012</v>
      </c>
    </row>
    <row r="12" spans="2:6" x14ac:dyDescent="0.35">
      <c r="B12" s="4" t="s">
        <v>208</v>
      </c>
      <c r="C12" s="5" t="s">
        <v>209</v>
      </c>
      <c r="D12" s="29">
        <v>1135.2</v>
      </c>
      <c r="E12" s="10">
        <v>626.40000000000009</v>
      </c>
      <c r="F12" s="13">
        <f>E12-D12</f>
        <v>-508.79999999999995</v>
      </c>
    </row>
    <row r="13" spans="2:6" x14ac:dyDescent="0.35">
      <c r="B13" s="4" t="s">
        <v>166</v>
      </c>
      <c r="C13" s="5" t="s">
        <v>167</v>
      </c>
      <c r="D13" s="29">
        <v>4648.8</v>
      </c>
      <c r="E13" s="10">
        <v>4149.6000000000004</v>
      </c>
      <c r="F13" s="13">
        <f>E13-D13</f>
        <v>-499.19999999999982</v>
      </c>
    </row>
    <row r="14" spans="2:6" x14ac:dyDescent="0.35">
      <c r="B14" s="4" t="s">
        <v>120</v>
      </c>
      <c r="C14" s="5" t="s">
        <v>121</v>
      </c>
      <c r="D14" s="29">
        <v>469.80000000000007</v>
      </c>
      <c r="E14" s="10">
        <v>9</v>
      </c>
      <c r="F14" s="13">
        <f>E14-D14</f>
        <v>-460.80000000000007</v>
      </c>
    </row>
    <row r="15" spans="2:6" x14ac:dyDescent="0.35">
      <c r="B15" s="4" t="s">
        <v>130</v>
      </c>
      <c r="C15" s="5" t="s">
        <v>131</v>
      </c>
      <c r="D15" s="29">
        <v>1992.6000000000001</v>
      </c>
      <c r="E15" s="10">
        <v>1620</v>
      </c>
      <c r="F15" s="13">
        <f>E15-D15</f>
        <v>-372.60000000000014</v>
      </c>
    </row>
    <row r="16" spans="2:6" x14ac:dyDescent="0.35">
      <c r="B16" s="4" t="s">
        <v>226</v>
      </c>
      <c r="C16" s="5" t="s">
        <v>227</v>
      </c>
      <c r="D16" s="29">
        <v>360</v>
      </c>
      <c r="E16" s="10">
        <v>0</v>
      </c>
      <c r="F16" s="13">
        <f>E16-D16</f>
        <v>-360</v>
      </c>
    </row>
    <row r="17" spans="2:6" x14ac:dyDescent="0.35">
      <c r="B17" s="4" t="s">
        <v>112</v>
      </c>
      <c r="C17" s="5" t="s">
        <v>113</v>
      </c>
      <c r="D17" s="29">
        <v>766.5</v>
      </c>
      <c r="E17" s="10">
        <v>409.5</v>
      </c>
      <c r="F17" s="13">
        <f>E17-D17</f>
        <v>-357</v>
      </c>
    </row>
    <row r="18" spans="2:6" x14ac:dyDescent="0.35">
      <c r="B18" s="4" t="s">
        <v>128</v>
      </c>
      <c r="C18" s="5" t="s">
        <v>129</v>
      </c>
      <c r="D18" s="29">
        <v>1218</v>
      </c>
      <c r="E18" s="10">
        <v>868</v>
      </c>
      <c r="F18" s="13">
        <f>E18-D18</f>
        <v>-350</v>
      </c>
    </row>
    <row r="19" spans="2:6" x14ac:dyDescent="0.35">
      <c r="B19" s="4" t="s">
        <v>116</v>
      </c>
      <c r="C19" s="5" t="s">
        <v>117</v>
      </c>
      <c r="D19" s="29">
        <v>505.8</v>
      </c>
      <c r="E19" s="10">
        <v>225</v>
      </c>
      <c r="F19" s="13">
        <f>E19-D19</f>
        <v>-280.8</v>
      </c>
    </row>
    <row r="20" spans="2:6" x14ac:dyDescent="0.35">
      <c r="B20" s="4" t="s">
        <v>88</v>
      </c>
      <c r="C20" s="5" t="s">
        <v>89</v>
      </c>
      <c r="D20" s="29">
        <v>405.3</v>
      </c>
      <c r="E20" s="10">
        <v>140.69999999999999</v>
      </c>
      <c r="F20" s="13">
        <f>E20-D20</f>
        <v>-264.60000000000002</v>
      </c>
    </row>
    <row r="21" spans="2:6" x14ac:dyDescent="0.35">
      <c r="B21" s="4" t="s">
        <v>186</v>
      </c>
      <c r="C21" s="5" t="s">
        <v>187</v>
      </c>
      <c r="D21" s="29">
        <v>345.6</v>
      </c>
      <c r="E21" s="10">
        <v>132</v>
      </c>
      <c r="F21" s="13">
        <f>E21-D21</f>
        <v>-213.60000000000002</v>
      </c>
    </row>
    <row r="22" spans="2:6" x14ac:dyDescent="0.35">
      <c r="B22" s="4" t="s">
        <v>132</v>
      </c>
      <c r="C22" s="5" t="s">
        <v>133</v>
      </c>
      <c r="D22" s="29">
        <v>275.39999999999998</v>
      </c>
      <c r="E22" s="10">
        <v>63</v>
      </c>
      <c r="F22" s="13">
        <f>E22-D22</f>
        <v>-212.39999999999998</v>
      </c>
    </row>
    <row r="23" spans="2:6" x14ac:dyDescent="0.35">
      <c r="B23" s="4" t="s">
        <v>106</v>
      </c>
      <c r="C23" s="5" t="s">
        <v>107</v>
      </c>
      <c r="D23" s="29">
        <v>1253.6999999999998</v>
      </c>
      <c r="E23" s="10">
        <v>1052.0999999999999</v>
      </c>
      <c r="F23" s="13">
        <f>E23-D23</f>
        <v>-201.59999999999991</v>
      </c>
    </row>
    <row r="24" spans="2:6" x14ac:dyDescent="0.35">
      <c r="B24" s="4" t="s">
        <v>174</v>
      </c>
      <c r="C24" s="5" t="s">
        <v>175</v>
      </c>
      <c r="D24" s="29">
        <v>354.9</v>
      </c>
      <c r="E24" s="10">
        <v>159.60000000000002</v>
      </c>
      <c r="F24" s="13">
        <f>E24-D24</f>
        <v>-195.29999999999995</v>
      </c>
    </row>
    <row r="25" spans="2:6" x14ac:dyDescent="0.35">
      <c r="B25" s="4" t="s">
        <v>198</v>
      </c>
      <c r="C25" s="5" t="s">
        <v>199</v>
      </c>
      <c r="D25" s="29">
        <v>492</v>
      </c>
      <c r="E25" s="10">
        <v>304.79999999999995</v>
      </c>
      <c r="F25" s="13">
        <f>E25-D25</f>
        <v>-187.20000000000005</v>
      </c>
    </row>
    <row r="26" spans="2:6" x14ac:dyDescent="0.35">
      <c r="B26" s="4" t="s">
        <v>114</v>
      </c>
      <c r="C26" s="5" t="s">
        <v>115</v>
      </c>
      <c r="D26" s="29">
        <v>1522.8</v>
      </c>
      <c r="E26" s="10">
        <v>1339.2</v>
      </c>
      <c r="F26" s="13">
        <f>E26-D26</f>
        <v>-183.59999999999991</v>
      </c>
    </row>
    <row r="27" spans="2:6" x14ac:dyDescent="0.35">
      <c r="B27" s="4" t="s">
        <v>86</v>
      </c>
      <c r="C27" s="5" t="s">
        <v>87</v>
      </c>
      <c r="D27" s="29">
        <v>351.12</v>
      </c>
      <c r="E27" s="10">
        <v>190.12</v>
      </c>
      <c r="F27" s="13">
        <f>E27-D27</f>
        <v>-161</v>
      </c>
    </row>
    <row r="28" spans="2:6" x14ac:dyDescent="0.35">
      <c r="B28" s="4" t="s">
        <v>196</v>
      </c>
      <c r="C28" s="5" t="s">
        <v>197</v>
      </c>
      <c r="D28" s="29">
        <v>456</v>
      </c>
      <c r="E28" s="10">
        <v>309.60000000000002</v>
      </c>
      <c r="F28" s="13">
        <f>E28-D28</f>
        <v>-146.39999999999998</v>
      </c>
    </row>
    <row r="29" spans="2:6" x14ac:dyDescent="0.35">
      <c r="B29" s="4" t="s">
        <v>102</v>
      </c>
      <c r="C29" s="5" t="s">
        <v>103</v>
      </c>
      <c r="D29" s="29">
        <v>255.6</v>
      </c>
      <c r="E29" s="10">
        <v>122.4</v>
      </c>
      <c r="F29" s="13">
        <f>E29-D29</f>
        <v>-133.19999999999999</v>
      </c>
    </row>
    <row r="30" spans="2:6" x14ac:dyDescent="0.35">
      <c r="B30" s="4" t="s">
        <v>204</v>
      </c>
      <c r="C30" s="5" t="s">
        <v>205</v>
      </c>
      <c r="D30" s="29">
        <v>1048.8000000000002</v>
      </c>
      <c r="E30" s="10">
        <v>928.80000000000007</v>
      </c>
      <c r="F30" s="13">
        <f>E30-D30</f>
        <v>-120.00000000000011</v>
      </c>
    </row>
    <row r="31" spans="2:6" x14ac:dyDescent="0.35">
      <c r="B31" s="4" t="s">
        <v>90</v>
      </c>
      <c r="C31" s="5" t="s">
        <v>91</v>
      </c>
      <c r="D31" s="29">
        <v>285.59999999999997</v>
      </c>
      <c r="E31" s="10">
        <v>168</v>
      </c>
      <c r="F31" s="13">
        <f>E31-D31</f>
        <v>-117.59999999999997</v>
      </c>
    </row>
    <row r="32" spans="2:6" x14ac:dyDescent="0.35">
      <c r="B32" s="4" t="s">
        <v>104</v>
      </c>
      <c r="C32" s="5" t="s">
        <v>105</v>
      </c>
      <c r="D32" s="29">
        <v>403.2</v>
      </c>
      <c r="E32" s="10">
        <v>302.39999999999998</v>
      </c>
      <c r="F32" s="13">
        <f>E32-D32</f>
        <v>-100.80000000000001</v>
      </c>
    </row>
    <row r="33" spans="2:6" x14ac:dyDescent="0.35">
      <c r="B33" s="4" t="s">
        <v>100</v>
      </c>
      <c r="C33" s="5" t="s">
        <v>101</v>
      </c>
      <c r="D33" s="29">
        <v>235.2</v>
      </c>
      <c r="E33" s="10">
        <v>134.4</v>
      </c>
      <c r="F33" s="13">
        <f>E33-D33</f>
        <v>-100.79999999999998</v>
      </c>
    </row>
    <row r="34" spans="2:6" x14ac:dyDescent="0.35">
      <c r="B34" s="4" t="s">
        <v>146</v>
      </c>
      <c r="C34" s="5" t="s">
        <v>147</v>
      </c>
      <c r="D34" s="29">
        <v>201</v>
      </c>
      <c r="E34" s="10">
        <v>111</v>
      </c>
      <c r="F34" s="13">
        <f>E34-D34</f>
        <v>-90</v>
      </c>
    </row>
    <row r="35" spans="2:6" x14ac:dyDescent="0.35">
      <c r="B35" s="4" t="s">
        <v>188</v>
      </c>
      <c r="C35" s="5" t="s">
        <v>189</v>
      </c>
      <c r="D35" s="29">
        <v>203.39999999999998</v>
      </c>
      <c r="E35" s="10">
        <v>118.8</v>
      </c>
      <c r="F35" s="13">
        <f>E35-D35</f>
        <v>-84.59999999999998</v>
      </c>
    </row>
    <row r="36" spans="2:6" x14ac:dyDescent="0.35">
      <c r="B36" s="4" t="s">
        <v>164</v>
      </c>
      <c r="C36" s="5" t="s">
        <v>165</v>
      </c>
      <c r="D36" s="29">
        <v>141.6</v>
      </c>
      <c r="E36" s="10">
        <v>62.4</v>
      </c>
      <c r="F36" s="13">
        <f>E36-D36</f>
        <v>-79.199999999999989</v>
      </c>
    </row>
    <row r="37" spans="2:6" x14ac:dyDescent="0.35">
      <c r="B37" s="4" t="s">
        <v>126</v>
      </c>
      <c r="C37" s="5" t="s">
        <v>127</v>
      </c>
      <c r="D37" s="29">
        <v>263.76</v>
      </c>
      <c r="E37" s="10">
        <v>191.52</v>
      </c>
      <c r="F37" s="13">
        <f>E37-D37</f>
        <v>-72.239999999999981</v>
      </c>
    </row>
    <row r="38" spans="2:6" x14ac:dyDescent="0.35">
      <c r="B38" s="4" t="s">
        <v>190</v>
      </c>
      <c r="C38" s="5" t="s">
        <v>191</v>
      </c>
      <c r="D38" s="29">
        <v>190.8</v>
      </c>
      <c r="E38" s="10">
        <v>129.6</v>
      </c>
      <c r="F38" s="13">
        <f>E38-D38</f>
        <v>-61.200000000000017</v>
      </c>
    </row>
    <row r="39" spans="2:6" x14ac:dyDescent="0.35">
      <c r="B39" s="4" t="s">
        <v>148</v>
      </c>
      <c r="C39" s="5" t="s">
        <v>149</v>
      </c>
      <c r="D39" s="29">
        <v>253.5</v>
      </c>
      <c r="E39" s="10">
        <v>202.8</v>
      </c>
      <c r="F39" s="13">
        <f>E39-D39</f>
        <v>-50.699999999999989</v>
      </c>
    </row>
    <row r="40" spans="2:6" x14ac:dyDescent="0.35">
      <c r="B40" s="4" t="s">
        <v>142</v>
      </c>
      <c r="C40" s="5" t="s">
        <v>143</v>
      </c>
      <c r="D40" s="29">
        <v>49.14</v>
      </c>
      <c r="E40" s="10">
        <v>15.12</v>
      </c>
      <c r="F40" s="13">
        <f>E40-D40</f>
        <v>-34.020000000000003</v>
      </c>
    </row>
    <row r="41" spans="2:6" x14ac:dyDescent="0.35">
      <c r="B41" s="4" t="s">
        <v>170</v>
      </c>
      <c r="C41" s="5" t="s">
        <v>171</v>
      </c>
      <c r="D41" s="29">
        <v>151.19999999999999</v>
      </c>
      <c r="E41" s="10">
        <v>119.7</v>
      </c>
      <c r="F41" s="13">
        <f>E41-D41</f>
        <v>-31.499999999999986</v>
      </c>
    </row>
    <row r="42" spans="2:6" x14ac:dyDescent="0.35">
      <c r="B42" s="4" t="s">
        <v>160</v>
      </c>
      <c r="C42" s="5" t="s">
        <v>161</v>
      </c>
      <c r="D42" s="29">
        <v>41.58</v>
      </c>
      <c r="E42" s="10">
        <v>27.720000000000002</v>
      </c>
      <c r="F42" s="13">
        <f>E42-D42</f>
        <v>-13.859999999999996</v>
      </c>
    </row>
    <row r="43" spans="2:6" x14ac:dyDescent="0.35">
      <c r="B43" s="4" t="s">
        <v>18</v>
      </c>
      <c r="C43" s="5" t="s">
        <v>19</v>
      </c>
      <c r="D43" s="29">
        <v>34.200000000000003</v>
      </c>
      <c r="E43" s="10">
        <v>25.200000000000003</v>
      </c>
      <c r="F43" s="13">
        <f>E43-D43</f>
        <v>-9</v>
      </c>
    </row>
    <row r="44" spans="2:6" x14ac:dyDescent="0.35">
      <c r="B44" s="4" t="s">
        <v>162</v>
      </c>
      <c r="C44" s="5" t="s">
        <v>163</v>
      </c>
      <c r="D44" s="29">
        <v>69.599999999999994</v>
      </c>
      <c r="E44" s="10">
        <v>64.8</v>
      </c>
      <c r="F44" s="13">
        <f>E44-D44</f>
        <v>-4.7999999999999972</v>
      </c>
    </row>
    <row r="45" spans="2:6" x14ac:dyDescent="0.35">
      <c r="B45" s="4" t="s">
        <v>60</v>
      </c>
      <c r="C45" s="5" t="s">
        <v>61</v>
      </c>
      <c r="D45" s="29">
        <v>6903</v>
      </c>
      <c r="E45" s="10">
        <v>6900</v>
      </c>
      <c r="F45" s="13">
        <f>E45-D45</f>
        <v>-3</v>
      </c>
    </row>
    <row r="46" spans="2:6" x14ac:dyDescent="0.35">
      <c r="B46" s="4" t="s">
        <v>2</v>
      </c>
      <c r="C46" s="5" t="s">
        <v>3</v>
      </c>
      <c r="D46" s="29">
        <v>3938.8800000000006</v>
      </c>
      <c r="E46" s="10">
        <v>3938.8800000000006</v>
      </c>
      <c r="F46" s="13">
        <f>E46-D46</f>
        <v>0</v>
      </c>
    </row>
    <row r="47" spans="2:6" x14ac:dyDescent="0.35">
      <c r="B47" s="4" t="s">
        <v>4</v>
      </c>
      <c r="C47" s="5" t="s">
        <v>5</v>
      </c>
      <c r="D47" s="29">
        <v>129.6</v>
      </c>
      <c r="E47" s="10">
        <v>129.6</v>
      </c>
      <c r="F47" s="13">
        <f>E47-D47</f>
        <v>0</v>
      </c>
    </row>
    <row r="48" spans="2:6" x14ac:dyDescent="0.35">
      <c r="B48" s="4" t="s">
        <v>8</v>
      </c>
      <c r="C48" s="5" t="s">
        <v>9</v>
      </c>
      <c r="D48" s="29">
        <v>9615</v>
      </c>
      <c r="E48" s="10">
        <v>9615</v>
      </c>
      <c r="F48" s="13">
        <f>E48-D48</f>
        <v>0</v>
      </c>
    </row>
    <row r="49" spans="2:6" x14ac:dyDescent="0.35">
      <c r="B49" s="4" t="s">
        <v>10</v>
      </c>
      <c r="C49" s="5" t="s">
        <v>11</v>
      </c>
      <c r="D49" s="29">
        <v>4</v>
      </c>
      <c r="E49" s="10">
        <v>4</v>
      </c>
      <c r="F49" s="13">
        <f>E49-D49</f>
        <v>0</v>
      </c>
    </row>
    <row r="50" spans="2:6" x14ac:dyDescent="0.35">
      <c r="B50" s="4" t="s">
        <v>12</v>
      </c>
      <c r="C50" s="5" t="s">
        <v>13</v>
      </c>
      <c r="D50" s="29">
        <v>261.60000000000002</v>
      </c>
      <c r="E50" s="10">
        <v>261.60000000000002</v>
      </c>
      <c r="F50" s="13">
        <f>E50-D50</f>
        <v>0</v>
      </c>
    </row>
    <row r="51" spans="2:6" x14ac:dyDescent="0.35">
      <c r="B51" s="4" t="s">
        <v>14</v>
      </c>
      <c r="C51" s="5" t="s">
        <v>15</v>
      </c>
      <c r="D51" s="29">
        <v>270</v>
      </c>
      <c r="E51" s="10">
        <v>270</v>
      </c>
      <c r="F51" s="13">
        <f>E51-D51</f>
        <v>0</v>
      </c>
    </row>
    <row r="52" spans="2:6" x14ac:dyDescent="0.35">
      <c r="B52" s="4" t="s">
        <v>16</v>
      </c>
      <c r="C52" s="5" t="s">
        <v>17</v>
      </c>
      <c r="D52" s="29">
        <v>1393.2</v>
      </c>
      <c r="E52" s="10">
        <v>1393.2</v>
      </c>
      <c r="F52" s="13">
        <f>E52-D52</f>
        <v>0</v>
      </c>
    </row>
    <row r="53" spans="2:6" x14ac:dyDescent="0.35">
      <c r="B53" s="4" t="s">
        <v>20</v>
      </c>
      <c r="C53" s="5" t="s">
        <v>21</v>
      </c>
      <c r="D53" s="29">
        <v>345</v>
      </c>
      <c r="E53" s="10">
        <v>345</v>
      </c>
      <c r="F53" s="13">
        <f>E53-D53</f>
        <v>0</v>
      </c>
    </row>
    <row r="54" spans="2:6" x14ac:dyDescent="0.35">
      <c r="B54" s="4" t="s">
        <v>22</v>
      </c>
      <c r="C54" s="5" t="s">
        <v>23</v>
      </c>
      <c r="D54" s="29">
        <v>10540.800000000001</v>
      </c>
      <c r="E54" s="10">
        <v>10540.800000000001</v>
      </c>
      <c r="F54" s="13">
        <f>E54-D54</f>
        <v>0</v>
      </c>
    </row>
    <row r="55" spans="2:6" x14ac:dyDescent="0.35">
      <c r="B55" s="4" t="s">
        <v>24</v>
      </c>
      <c r="C55" s="5" t="s">
        <v>25</v>
      </c>
      <c r="D55" s="29">
        <v>529.09999999999991</v>
      </c>
      <c r="E55" s="10">
        <v>529.09999999999991</v>
      </c>
      <c r="F55" s="13">
        <f>E55-D55</f>
        <v>0</v>
      </c>
    </row>
    <row r="56" spans="2:6" x14ac:dyDescent="0.35">
      <c r="B56" s="4" t="s">
        <v>26</v>
      </c>
      <c r="C56" s="5" t="s">
        <v>27</v>
      </c>
      <c r="D56" s="29">
        <v>411.84000000000003</v>
      </c>
      <c r="E56" s="10">
        <v>411.84000000000003</v>
      </c>
      <c r="F56" s="13">
        <f>E56-D56</f>
        <v>0</v>
      </c>
    </row>
    <row r="57" spans="2:6" x14ac:dyDescent="0.35">
      <c r="B57" s="4" t="s">
        <v>28</v>
      </c>
      <c r="C57" s="5" t="s">
        <v>29</v>
      </c>
      <c r="D57" s="29">
        <v>124.79999999999998</v>
      </c>
      <c r="E57" s="10">
        <v>124.79999999999998</v>
      </c>
      <c r="F57" s="13">
        <f>E57-D57</f>
        <v>0</v>
      </c>
    </row>
    <row r="58" spans="2:6" x14ac:dyDescent="0.35">
      <c r="B58" s="4" t="s">
        <v>30</v>
      </c>
      <c r="C58" s="5" t="s">
        <v>31</v>
      </c>
      <c r="D58" s="29">
        <v>264</v>
      </c>
      <c r="E58" s="10">
        <v>264</v>
      </c>
      <c r="F58" s="13">
        <f>E58-D58</f>
        <v>0</v>
      </c>
    </row>
    <row r="59" spans="2:6" x14ac:dyDescent="0.35">
      <c r="B59" s="4" t="s">
        <v>32</v>
      </c>
      <c r="C59" s="5" t="s">
        <v>33</v>
      </c>
      <c r="D59" s="29">
        <v>2344.3200000000002</v>
      </c>
      <c r="E59" s="10">
        <v>2344.3200000000002</v>
      </c>
      <c r="F59" s="13">
        <f>E59-D59</f>
        <v>0</v>
      </c>
    </row>
    <row r="60" spans="2:6" x14ac:dyDescent="0.35">
      <c r="B60" s="4" t="s">
        <v>34</v>
      </c>
      <c r="C60" s="5" t="s">
        <v>35</v>
      </c>
      <c r="D60" s="29">
        <v>2700</v>
      </c>
      <c r="E60" s="10">
        <v>2700</v>
      </c>
      <c r="F60" s="13">
        <f>E60-D60</f>
        <v>0</v>
      </c>
    </row>
    <row r="61" spans="2:6" x14ac:dyDescent="0.35">
      <c r="B61" s="4" t="s">
        <v>36</v>
      </c>
      <c r="C61" s="5" t="s">
        <v>37</v>
      </c>
      <c r="D61" s="29">
        <v>5.0999999999999996</v>
      </c>
      <c r="E61" s="10">
        <v>5.0999999999999996</v>
      </c>
      <c r="F61" s="13">
        <f>E61-D61</f>
        <v>0</v>
      </c>
    </row>
    <row r="62" spans="2:6" x14ac:dyDescent="0.35">
      <c r="B62" s="4" t="s">
        <v>38</v>
      </c>
      <c r="C62" s="5" t="s">
        <v>39</v>
      </c>
      <c r="D62" s="29">
        <v>2494.8000000000002</v>
      </c>
      <c r="E62" s="10">
        <v>2494.8000000000002</v>
      </c>
      <c r="F62" s="13">
        <f>E62-D62</f>
        <v>0</v>
      </c>
    </row>
    <row r="63" spans="2:6" x14ac:dyDescent="0.35">
      <c r="B63" s="4" t="s">
        <v>40</v>
      </c>
      <c r="C63" s="5" t="s">
        <v>41</v>
      </c>
      <c r="D63" s="29">
        <v>490.5</v>
      </c>
      <c r="E63" s="10">
        <v>490.5</v>
      </c>
      <c r="F63" s="13">
        <f>E63-D63</f>
        <v>0</v>
      </c>
    </row>
    <row r="64" spans="2:6" x14ac:dyDescent="0.35">
      <c r="B64" s="4" t="s">
        <v>42</v>
      </c>
      <c r="C64" s="5" t="s">
        <v>43</v>
      </c>
      <c r="D64" s="29">
        <v>4672.7999999999993</v>
      </c>
      <c r="E64" s="10">
        <v>4672.7999999999993</v>
      </c>
      <c r="F64" s="13">
        <f>E64-D64</f>
        <v>0</v>
      </c>
    </row>
    <row r="65" spans="2:6" x14ac:dyDescent="0.35">
      <c r="B65" s="4" t="s">
        <v>44</v>
      </c>
      <c r="C65" s="5" t="s">
        <v>45</v>
      </c>
      <c r="D65" s="29">
        <v>28.8</v>
      </c>
      <c r="E65" s="10">
        <v>28.8</v>
      </c>
      <c r="F65" s="13">
        <f>E65-D65</f>
        <v>0</v>
      </c>
    </row>
    <row r="66" spans="2:6" x14ac:dyDescent="0.35">
      <c r="B66" s="4" t="s">
        <v>46</v>
      </c>
      <c r="C66" s="5" t="s">
        <v>47</v>
      </c>
      <c r="D66" s="29">
        <v>6090</v>
      </c>
      <c r="E66" s="10">
        <v>6090</v>
      </c>
      <c r="F66" s="13">
        <f>E66-D66</f>
        <v>0</v>
      </c>
    </row>
    <row r="67" spans="2:6" x14ac:dyDescent="0.35">
      <c r="B67" s="4" t="s">
        <v>48</v>
      </c>
      <c r="C67" s="5" t="s">
        <v>49</v>
      </c>
      <c r="D67" s="29">
        <v>748.8</v>
      </c>
      <c r="E67" s="10">
        <v>748.8</v>
      </c>
      <c r="F67" s="13">
        <f>E67-D67</f>
        <v>0</v>
      </c>
    </row>
    <row r="68" spans="2:6" x14ac:dyDescent="0.35">
      <c r="B68" s="4" t="s">
        <v>50</v>
      </c>
      <c r="C68" s="5" t="s">
        <v>51</v>
      </c>
      <c r="D68" s="29">
        <v>580</v>
      </c>
      <c r="E68" s="10">
        <v>580</v>
      </c>
      <c r="F68" s="13">
        <f>E68-D68</f>
        <v>0</v>
      </c>
    </row>
    <row r="69" spans="2:6" x14ac:dyDescent="0.35">
      <c r="B69" s="4" t="s">
        <v>52</v>
      </c>
      <c r="C69" s="5" t="s">
        <v>53</v>
      </c>
      <c r="D69" s="29">
        <v>124.8</v>
      </c>
      <c r="E69" s="10">
        <v>124.8</v>
      </c>
      <c r="F69" s="13">
        <f>E69-D69</f>
        <v>0</v>
      </c>
    </row>
    <row r="70" spans="2:6" x14ac:dyDescent="0.35">
      <c r="B70" s="4" t="s">
        <v>245</v>
      </c>
      <c r="C70" s="5" t="s">
        <v>246</v>
      </c>
      <c r="D70" s="29">
        <v>222</v>
      </c>
      <c r="E70" s="10">
        <v>222</v>
      </c>
      <c r="F70" s="13">
        <f>E70-D70</f>
        <v>0</v>
      </c>
    </row>
    <row r="71" spans="2:6" x14ac:dyDescent="0.35">
      <c r="B71" s="4" t="s">
        <v>54</v>
      </c>
      <c r="C71" s="5" t="s">
        <v>55</v>
      </c>
      <c r="D71" s="29">
        <v>1240.2</v>
      </c>
      <c r="E71" s="10">
        <v>1240.2</v>
      </c>
      <c r="F71" s="13">
        <f>E71-D71</f>
        <v>0</v>
      </c>
    </row>
    <row r="72" spans="2:6" x14ac:dyDescent="0.35">
      <c r="B72" s="4" t="s">
        <v>56</v>
      </c>
      <c r="C72" s="5" t="s">
        <v>57</v>
      </c>
      <c r="D72" s="29">
        <v>472.5</v>
      </c>
      <c r="E72" s="10">
        <v>472.5</v>
      </c>
      <c r="F72" s="13">
        <f>E72-D72</f>
        <v>0</v>
      </c>
    </row>
    <row r="73" spans="2:6" x14ac:dyDescent="0.35">
      <c r="B73" s="4" t="s">
        <v>58</v>
      </c>
      <c r="C73" s="5" t="s">
        <v>59</v>
      </c>
      <c r="D73" s="29">
        <v>4870.7999999999993</v>
      </c>
      <c r="E73" s="10">
        <v>4870.7999999999993</v>
      </c>
      <c r="F73" s="13">
        <f>E73-D73</f>
        <v>0</v>
      </c>
    </row>
    <row r="74" spans="2:6" x14ac:dyDescent="0.35">
      <c r="B74" s="4" t="s">
        <v>62</v>
      </c>
      <c r="C74" s="5" t="s">
        <v>63</v>
      </c>
      <c r="D74" s="29">
        <v>483.6</v>
      </c>
      <c r="E74" s="10">
        <v>483.6</v>
      </c>
      <c r="F74" s="13">
        <f>E74-D74</f>
        <v>0</v>
      </c>
    </row>
    <row r="75" spans="2:6" x14ac:dyDescent="0.35">
      <c r="B75" s="4" t="s">
        <v>64</v>
      </c>
      <c r="C75" s="5" t="s">
        <v>65</v>
      </c>
      <c r="D75" s="29">
        <v>58</v>
      </c>
      <c r="E75" s="10">
        <v>58</v>
      </c>
      <c r="F75" s="13">
        <f>E75-D75</f>
        <v>0</v>
      </c>
    </row>
    <row r="76" spans="2:6" x14ac:dyDescent="0.35">
      <c r="B76" s="4" t="s">
        <v>66</v>
      </c>
      <c r="C76" s="5" t="s">
        <v>67</v>
      </c>
      <c r="D76" s="29">
        <v>128</v>
      </c>
      <c r="E76" s="10">
        <v>128</v>
      </c>
      <c r="F76" s="13">
        <f>E76-D76</f>
        <v>0</v>
      </c>
    </row>
    <row r="77" spans="2:6" x14ac:dyDescent="0.35">
      <c r="B77" s="4" t="s">
        <v>68</v>
      </c>
      <c r="C77" s="5" t="s">
        <v>69</v>
      </c>
      <c r="D77" s="29">
        <v>54</v>
      </c>
      <c r="E77" s="10">
        <v>54</v>
      </c>
      <c r="F77" s="13">
        <f>E77-D77</f>
        <v>0</v>
      </c>
    </row>
    <row r="78" spans="2:6" x14ac:dyDescent="0.35">
      <c r="B78" s="4" t="s">
        <v>70</v>
      </c>
      <c r="C78" s="5" t="s">
        <v>71</v>
      </c>
      <c r="D78" s="29">
        <v>4680</v>
      </c>
      <c r="E78" s="10">
        <v>4680</v>
      </c>
      <c r="F78" s="13">
        <f>E78-D78</f>
        <v>0</v>
      </c>
    </row>
    <row r="79" spans="2:6" x14ac:dyDescent="0.35">
      <c r="B79" s="4" t="s">
        <v>72</v>
      </c>
      <c r="C79" s="5" t="s">
        <v>73</v>
      </c>
      <c r="D79" s="29">
        <v>1534.3999999999999</v>
      </c>
      <c r="E79" s="10">
        <v>1534.3999999999999</v>
      </c>
      <c r="F79" s="13">
        <f>E79-D79</f>
        <v>0</v>
      </c>
    </row>
    <row r="80" spans="2:6" x14ac:dyDescent="0.35">
      <c r="B80" s="4" t="s">
        <v>74</v>
      </c>
      <c r="C80" s="5" t="s">
        <v>75</v>
      </c>
      <c r="D80" s="29">
        <v>2505.6</v>
      </c>
      <c r="E80" s="10">
        <v>2505.6</v>
      </c>
      <c r="F80" s="13">
        <f>E80-D80</f>
        <v>0</v>
      </c>
    </row>
    <row r="81" spans="2:6" x14ac:dyDescent="0.35">
      <c r="B81" s="4" t="s">
        <v>76</v>
      </c>
      <c r="C81" s="5" t="s">
        <v>77</v>
      </c>
      <c r="D81" s="29">
        <v>352</v>
      </c>
      <c r="E81" s="10">
        <v>352</v>
      </c>
      <c r="F81" s="13">
        <f>E81-D81</f>
        <v>0</v>
      </c>
    </row>
    <row r="82" spans="2:6" x14ac:dyDescent="0.35">
      <c r="B82" s="4" t="s">
        <v>78</v>
      </c>
      <c r="C82" s="5" t="s">
        <v>79</v>
      </c>
      <c r="D82" s="29">
        <v>166.5</v>
      </c>
      <c r="E82" s="10">
        <v>166.5</v>
      </c>
      <c r="F82" s="13">
        <f>E82-D82</f>
        <v>0</v>
      </c>
    </row>
    <row r="83" spans="2:6" x14ac:dyDescent="0.35">
      <c r="B83" s="4" t="s">
        <v>80</v>
      </c>
      <c r="C83" s="5" t="s">
        <v>81</v>
      </c>
      <c r="D83" s="29">
        <v>55.199999999999996</v>
      </c>
      <c r="E83" s="10">
        <v>55.199999999999996</v>
      </c>
      <c r="F83" s="13">
        <f>E83-D83</f>
        <v>0</v>
      </c>
    </row>
    <row r="84" spans="2:6" x14ac:dyDescent="0.35">
      <c r="B84" s="4" t="s">
        <v>82</v>
      </c>
      <c r="C84" s="5" t="s">
        <v>83</v>
      </c>
      <c r="D84" s="29">
        <v>9.9</v>
      </c>
      <c r="E84" s="10">
        <v>9.9</v>
      </c>
      <c r="F84" s="13">
        <f>E84-D84</f>
        <v>0</v>
      </c>
    </row>
    <row r="85" spans="2:6" x14ac:dyDescent="0.35">
      <c r="B85" s="4" t="s">
        <v>92</v>
      </c>
      <c r="C85" s="5" t="s">
        <v>93</v>
      </c>
      <c r="D85" s="29">
        <v>728.64</v>
      </c>
      <c r="E85" s="10">
        <v>728.64</v>
      </c>
      <c r="F85" s="13">
        <f>E85-D85</f>
        <v>0</v>
      </c>
    </row>
    <row r="86" spans="2:6" x14ac:dyDescent="0.35">
      <c r="B86" s="4" t="s">
        <v>94</v>
      </c>
      <c r="C86" s="5" t="s">
        <v>95</v>
      </c>
      <c r="D86" s="29">
        <v>1267.2</v>
      </c>
      <c r="E86" s="10">
        <v>1267.2</v>
      </c>
      <c r="F86" s="13">
        <f>E86-D86</f>
        <v>0</v>
      </c>
    </row>
    <row r="87" spans="2:6" x14ac:dyDescent="0.35">
      <c r="B87" s="4" t="s">
        <v>98</v>
      </c>
      <c r="C87" s="5" t="s">
        <v>99</v>
      </c>
      <c r="D87" s="29">
        <v>24</v>
      </c>
      <c r="E87" s="10">
        <v>24</v>
      </c>
      <c r="F87" s="13">
        <f>E87-D87</f>
        <v>0</v>
      </c>
    </row>
    <row r="88" spans="2:6" x14ac:dyDescent="0.35">
      <c r="B88" s="4" t="s">
        <v>108</v>
      </c>
      <c r="C88" s="5" t="s">
        <v>109</v>
      </c>
      <c r="D88" s="29">
        <v>43.199999999999996</v>
      </c>
      <c r="E88" s="10">
        <v>43.199999999999996</v>
      </c>
      <c r="F88" s="13">
        <f>E88-D88</f>
        <v>0</v>
      </c>
    </row>
    <row r="89" spans="2:6" x14ac:dyDescent="0.35">
      <c r="B89" s="4" t="s">
        <v>110</v>
      </c>
      <c r="C89" s="5" t="s">
        <v>111</v>
      </c>
      <c r="D89" s="29">
        <v>9</v>
      </c>
      <c r="E89" s="10">
        <v>9</v>
      </c>
      <c r="F89" s="13">
        <f>E89-D89</f>
        <v>0</v>
      </c>
    </row>
    <row r="90" spans="2:6" x14ac:dyDescent="0.35">
      <c r="B90" s="4" t="s">
        <v>122</v>
      </c>
      <c r="C90" s="5" t="s">
        <v>123</v>
      </c>
      <c r="D90" s="29">
        <v>112.00000000000001</v>
      </c>
      <c r="E90" s="10">
        <v>112.00000000000001</v>
      </c>
      <c r="F90" s="13">
        <f>E90-D90</f>
        <v>0</v>
      </c>
    </row>
    <row r="91" spans="2:6" x14ac:dyDescent="0.35">
      <c r="B91" s="4" t="s">
        <v>124</v>
      </c>
      <c r="C91" s="5" t="s">
        <v>125</v>
      </c>
      <c r="D91" s="29">
        <v>59.4</v>
      </c>
      <c r="E91" s="10">
        <v>59.4</v>
      </c>
      <c r="F91" s="13">
        <f>E91-D91</f>
        <v>0</v>
      </c>
    </row>
    <row r="92" spans="2:6" x14ac:dyDescent="0.35">
      <c r="B92" s="4" t="s">
        <v>134</v>
      </c>
      <c r="C92" s="5" t="s">
        <v>135</v>
      </c>
      <c r="D92" s="29">
        <v>874.80000000000007</v>
      </c>
      <c r="E92" s="10">
        <v>874.80000000000007</v>
      </c>
      <c r="F92" s="13">
        <f>E92-D92</f>
        <v>0</v>
      </c>
    </row>
    <row r="93" spans="2:6" x14ac:dyDescent="0.35">
      <c r="B93" s="4" t="s">
        <v>136</v>
      </c>
      <c r="C93" s="5" t="s">
        <v>137</v>
      </c>
      <c r="D93" s="29">
        <v>31.5</v>
      </c>
      <c r="E93" s="10">
        <v>31.5</v>
      </c>
      <c r="F93" s="13">
        <f>E93-D93</f>
        <v>0</v>
      </c>
    </row>
    <row r="94" spans="2:6" x14ac:dyDescent="0.35">
      <c r="B94" s="4" t="s">
        <v>138</v>
      </c>
      <c r="C94" s="5" t="s">
        <v>139</v>
      </c>
      <c r="D94" s="29">
        <v>28.05</v>
      </c>
      <c r="E94" s="10">
        <v>28.05</v>
      </c>
      <c r="F94" s="13">
        <f>E94-D94</f>
        <v>0</v>
      </c>
    </row>
    <row r="95" spans="2:6" x14ac:dyDescent="0.35">
      <c r="B95" s="4" t="s">
        <v>140</v>
      </c>
      <c r="C95" s="5" t="s">
        <v>141</v>
      </c>
      <c r="D95" s="29">
        <v>21.28</v>
      </c>
      <c r="E95" s="10">
        <v>21.28</v>
      </c>
      <c r="F95" s="13">
        <f>E95-D95</f>
        <v>0</v>
      </c>
    </row>
    <row r="96" spans="2:6" x14ac:dyDescent="0.35">
      <c r="B96" s="4" t="s">
        <v>144</v>
      </c>
      <c r="C96" s="5" t="s">
        <v>145</v>
      </c>
      <c r="D96" s="29">
        <v>99.450000000000017</v>
      </c>
      <c r="E96" s="10">
        <v>99.450000000000017</v>
      </c>
      <c r="F96" s="13">
        <f>E96-D96</f>
        <v>0</v>
      </c>
    </row>
    <row r="97" spans="2:6" x14ac:dyDescent="0.35">
      <c r="B97" s="4" t="s">
        <v>150</v>
      </c>
      <c r="C97" s="5" t="s">
        <v>151</v>
      </c>
      <c r="D97" s="29">
        <v>84</v>
      </c>
      <c r="E97" s="10">
        <v>84</v>
      </c>
      <c r="F97" s="13">
        <f>E97-D97</f>
        <v>0</v>
      </c>
    </row>
    <row r="98" spans="2:6" x14ac:dyDescent="0.35">
      <c r="B98" s="4" t="s">
        <v>152</v>
      </c>
      <c r="C98" s="5" t="s">
        <v>153</v>
      </c>
      <c r="D98" s="29">
        <v>70</v>
      </c>
      <c r="E98" s="10">
        <v>70</v>
      </c>
      <c r="F98" s="13">
        <f>E98-D98</f>
        <v>0</v>
      </c>
    </row>
    <row r="99" spans="2:6" x14ac:dyDescent="0.35">
      <c r="B99" s="4" t="s">
        <v>154</v>
      </c>
      <c r="C99" s="5" t="s">
        <v>155</v>
      </c>
      <c r="D99" s="29">
        <v>76</v>
      </c>
      <c r="E99" s="10">
        <v>76</v>
      </c>
      <c r="F99" s="13">
        <f>E99-D99</f>
        <v>0</v>
      </c>
    </row>
    <row r="100" spans="2:6" x14ac:dyDescent="0.35">
      <c r="B100" s="4" t="s">
        <v>156</v>
      </c>
      <c r="C100" s="5" t="s">
        <v>157</v>
      </c>
      <c r="D100" s="29">
        <v>60</v>
      </c>
      <c r="E100" s="10">
        <v>60</v>
      </c>
      <c r="F100" s="13">
        <f>E100-D100</f>
        <v>0</v>
      </c>
    </row>
    <row r="101" spans="2:6" x14ac:dyDescent="0.35">
      <c r="B101" s="4" t="s">
        <v>158</v>
      </c>
      <c r="C101" s="5" t="s">
        <v>159</v>
      </c>
      <c r="D101" s="29">
        <v>1478.3999999999999</v>
      </c>
      <c r="E101" s="10">
        <v>1478.3999999999999</v>
      </c>
      <c r="F101" s="13">
        <f>E101-D101</f>
        <v>0</v>
      </c>
    </row>
    <row r="102" spans="2:6" x14ac:dyDescent="0.35">
      <c r="B102" s="4" t="s">
        <v>168</v>
      </c>
      <c r="C102" s="5" t="s">
        <v>169</v>
      </c>
      <c r="D102" s="29">
        <v>928.19999999999993</v>
      </c>
      <c r="E102" s="10">
        <v>928.19999999999993</v>
      </c>
      <c r="F102" s="13">
        <f>E102-D102</f>
        <v>0</v>
      </c>
    </row>
    <row r="103" spans="2:6" x14ac:dyDescent="0.35">
      <c r="B103" s="4" t="s">
        <v>172</v>
      </c>
      <c r="C103" s="5" t="s">
        <v>173</v>
      </c>
      <c r="D103" s="29">
        <v>129.6</v>
      </c>
      <c r="E103" s="10">
        <v>129.6</v>
      </c>
      <c r="F103" s="13">
        <f>E103-D103</f>
        <v>0</v>
      </c>
    </row>
    <row r="104" spans="2:6" x14ac:dyDescent="0.35">
      <c r="B104" s="4" t="s">
        <v>176</v>
      </c>
      <c r="C104" s="5" t="s">
        <v>177</v>
      </c>
      <c r="D104" s="29">
        <v>150.48000000000002</v>
      </c>
      <c r="E104" s="10">
        <v>150.48000000000002</v>
      </c>
      <c r="F104" s="13">
        <f>E104-D104</f>
        <v>0</v>
      </c>
    </row>
    <row r="105" spans="2:6" x14ac:dyDescent="0.35">
      <c r="B105" s="4" t="s">
        <v>178</v>
      </c>
      <c r="C105" s="5" t="s">
        <v>179</v>
      </c>
      <c r="D105" s="29">
        <v>5418.9</v>
      </c>
      <c r="E105" s="10">
        <v>5418.9</v>
      </c>
      <c r="F105" s="13">
        <f>E105-D105</f>
        <v>0</v>
      </c>
    </row>
    <row r="106" spans="2:6" x14ac:dyDescent="0.35">
      <c r="B106" s="4" t="s">
        <v>180</v>
      </c>
      <c r="C106" s="5" t="s">
        <v>181</v>
      </c>
      <c r="D106" s="29">
        <v>1104.3</v>
      </c>
      <c r="E106" s="10">
        <v>1104.3</v>
      </c>
      <c r="F106" s="13">
        <f>E106-D106</f>
        <v>0</v>
      </c>
    </row>
    <row r="107" spans="2:6" x14ac:dyDescent="0.35">
      <c r="B107" s="4" t="s">
        <v>182</v>
      </c>
      <c r="C107" s="5" t="s">
        <v>183</v>
      </c>
      <c r="D107" s="29">
        <v>4552.2000000000007</v>
      </c>
      <c r="E107" s="10">
        <v>4552.2000000000007</v>
      </c>
      <c r="F107" s="13">
        <f>E107-D107</f>
        <v>0</v>
      </c>
    </row>
    <row r="108" spans="2:6" x14ac:dyDescent="0.35">
      <c r="B108" s="4" t="s">
        <v>184</v>
      </c>
      <c r="C108" s="5" t="s">
        <v>185</v>
      </c>
      <c r="D108" s="29">
        <v>1525.5000000000002</v>
      </c>
      <c r="E108" s="10">
        <v>1525.5000000000002</v>
      </c>
      <c r="F108" s="13">
        <f>E108-D108</f>
        <v>0</v>
      </c>
    </row>
    <row r="109" spans="2:6" x14ac:dyDescent="0.35">
      <c r="B109" s="4" t="s">
        <v>192</v>
      </c>
      <c r="C109" s="5" t="s">
        <v>193</v>
      </c>
      <c r="D109" s="29">
        <v>769.5</v>
      </c>
      <c r="E109" s="10">
        <v>769.5</v>
      </c>
      <c r="F109" s="13">
        <f>E109-D109</f>
        <v>0</v>
      </c>
    </row>
    <row r="110" spans="2:6" x14ac:dyDescent="0.35">
      <c r="B110" s="4" t="s">
        <v>194</v>
      </c>
      <c r="C110" s="5" t="s">
        <v>195</v>
      </c>
      <c r="D110" s="29">
        <v>1315.2</v>
      </c>
      <c r="E110" s="10">
        <v>1315.2</v>
      </c>
      <c r="F110" s="13">
        <f>E110-D110</f>
        <v>0</v>
      </c>
    </row>
    <row r="111" spans="2:6" x14ac:dyDescent="0.35">
      <c r="B111" s="4" t="s">
        <v>206</v>
      </c>
      <c r="C111" s="5" t="s">
        <v>207</v>
      </c>
      <c r="D111" s="29">
        <v>648</v>
      </c>
      <c r="E111" s="10">
        <v>648</v>
      </c>
      <c r="F111" s="13">
        <f>E111-D111</f>
        <v>0</v>
      </c>
    </row>
    <row r="112" spans="2:6" ht="15" thickBot="1" x14ac:dyDescent="0.4">
      <c r="B112" s="3" t="s">
        <v>212</v>
      </c>
      <c r="C112" s="2" t="s">
        <v>213</v>
      </c>
      <c r="D112" s="9">
        <v>1041.5999999999999</v>
      </c>
      <c r="E112" s="11">
        <v>1041.5999999999999</v>
      </c>
      <c r="F112" s="14">
        <f>E112-D112</f>
        <v>0</v>
      </c>
    </row>
  </sheetData>
  <autoFilter ref="B3:F3">
    <sortState ref="B3:F112">
      <sortCondition ref="F2"/>
    </sortState>
  </autoFilter>
  <mergeCells count="1">
    <mergeCell ref="B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topLeftCell="A55" workbookViewId="0">
      <selection activeCell="B9" sqref="B9"/>
    </sheetView>
  </sheetViews>
  <sheetFormatPr defaultRowHeight="14.5" x14ac:dyDescent="0.35"/>
  <cols>
    <col min="1" max="1" width="8.7265625" style="38"/>
    <col min="2" max="2" width="118.08984375" bestFit="1" customWidth="1"/>
  </cols>
  <sheetData>
    <row r="1" spans="2:6" s="38" customFormat="1" ht="15" thickBot="1" x14ac:dyDescent="0.4"/>
    <row r="2" spans="2:6" ht="26" x14ac:dyDescent="0.35">
      <c r="B2" s="37" t="s">
        <v>244</v>
      </c>
      <c r="C2" s="36"/>
      <c r="D2" s="36"/>
      <c r="E2" s="34"/>
      <c r="F2" s="12"/>
    </row>
    <row r="3" spans="2:6" ht="44" thickBot="1" x14ac:dyDescent="0.4">
      <c r="B3" s="8" t="s">
        <v>0</v>
      </c>
      <c r="C3" s="7" t="s">
        <v>1</v>
      </c>
      <c r="D3" s="35" t="s">
        <v>247</v>
      </c>
      <c r="E3" s="33" t="s">
        <v>248</v>
      </c>
      <c r="F3" s="32" t="s">
        <v>232</v>
      </c>
    </row>
    <row r="4" spans="2:6" x14ac:dyDescent="0.35">
      <c r="B4" s="4" t="s">
        <v>228</v>
      </c>
      <c r="C4" s="5" t="s">
        <v>229</v>
      </c>
      <c r="D4" s="29">
        <v>15480</v>
      </c>
      <c r="E4" s="10">
        <v>4833</v>
      </c>
      <c r="F4" s="13">
        <f>E4-D4</f>
        <v>-10647</v>
      </c>
    </row>
    <row r="5" spans="2:6" x14ac:dyDescent="0.35">
      <c r="B5" s="4" t="s">
        <v>224</v>
      </c>
      <c r="C5" s="5" t="s">
        <v>225</v>
      </c>
      <c r="D5" s="29">
        <v>10015.200000000001</v>
      </c>
      <c r="E5" s="10">
        <v>0</v>
      </c>
      <c r="F5" s="13">
        <f>E5-D5</f>
        <v>-10015.200000000001</v>
      </c>
    </row>
    <row r="6" spans="2:6" x14ac:dyDescent="0.35">
      <c r="B6" s="4" t="s">
        <v>96</v>
      </c>
      <c r="C6" s="5" t="s">
        <v>97</v>
      </c>
      <c r="D6" s="29">
        <v>10037.279999999999</v>
      </c>
      <c r="E6" s="10">
        <v>7397.28</v>
      </c>
      <c r="F6" s="13">
        <f>E6-D6</f>
        <v>-2639.9999999999991</v>
      </c>
    </row>
    <row r="7" spans="2:6" x14ac:dyDescent="0.35">
      <c r="B7" s="4" t="s">
        <v>200</v>
      </c>
      <c r="C7" s="5" t="s">
        <v>201</v>
      </c>
      <c r="D7" s="29">
        <v>5646.4</v>
      </c>
      <c r="E7" s="10">
        <v>3102.3999999999996</v>
      </c>
      <c r="F7" s="13">
        <f>E7-D7</f>
        <v>-2544</v>
      </c>
    </row>
    <row r="8" spans="2:6" x14ac:dyDescent="0.35">
      <c r="B8" s="4" t="s">
        <v>202</v>
      </c>
      <c r="C8" s="5" t="s">
        <v>203</v>
      </c>
      <c r="D8" s="29">
        <v>1327.1999999999998</v>
      </c>
      <c r="E8" s="10">
        <v>405.6</v>
      </c>
      <c r="F8" s="13">
        <f>E8-D8</f>
        <v>-921.5999999999998</v>
      </c>
    </row>
    <row r="9" spans="2:6" x14ac:dyDescent="0.35">
      <c r="B9" s="4" t="s">
        <v>166</v>
      </c>
      <c r="C9" s="5" t="s">
        <v>167</v>
      </c>
      <c r="D9" s="29">
        <v>5580.6</v>
      </c>
      <c r="E9" s="10">
        <v>4886.3999999999996</v>
      </c>
      <c r="F9" s="13">
        <f>E9-D9</f>
        <v>-694.20000000000073</v>
      </c>
    </row>
    <row r="10" spans="2:6" x14ac:dyDescent="0.35">
      <c r="B10" s="4" t="s">
        <v>174</v>
      </c>
      <c r="C10" s="5" t="s">
        <v>175</v>
      </c>
      <c r="D10" s="29">
        <v>774.90000000000009</v>
      </c>
      <c r="E10" s="10">
        <v>128.1</v>
      </c>
      <c r="F10" s="13">
        <f>E10-D10</f>
        <v>-646.80000000000007</v>
      </c>
    </row>
    <row r="11" spans="2:6" x14ac:dyDescent="0.35">
      <c r="B11" s="4" t="s">
        <v>8</v>
      </c>
      <c r="C11" s="5" t="s">
        <v>9</v>
      </c>
      <c r="D11" s="29">
        <v>7365</v>
      </c>
      <c r="E11" s="10">
        <v>6765</v>
      </c>
      <c r="F11" s="13">
        <f>E11-D11</f>
        <v>-600</v>
      </c>
    </row>
    <row r="12" spans="2:6" x14ac:dyDescent="0.35">
      <c r="B12" s="4" t="s">
        <v>186</v>
      </c>
      <c r="C12" s="5" t="s">
        <v>187</v>
      </c>
      <c r="D12" s="29">
        <v>799.2</v>
      </c>
      <c r="E12" s="10">
        <v>230.39999999999998</v>
      </c>
      <c r="F12" s="13">
        <f>E12-D12</f>
        <v>-568.80000000000007</v>
      </c>
    </row>
    <row r="13" spans="2:6" x14ac:dyDescent="0.35">
      <c r="B13" s="4" t="s">
        <v>210</v>
      </c>
      <c r="C13" s="5" t="s">
        <v>211</v>
      </c>
      <c r="D13" s="29">
        <v>504.6</v>
      </c>
      <c r="E13" s="10">
        <v>78.300000000000011</v>
      </c>
      <c r="F13" s="13">
        <f>E13-D13</f>
        <v>-426.3</v>
      </c>
    </row>
    <row r="14" spans="2:6" x14ac:dyDescent="0.35">
      <c r="B14" s="4" t="s">
        <v>208</v>
      </c>
      <c r="C14" s="5" t="s">
        <v>209</v>
      </c>
      <c r="D14" s="29">
        <v>501.6</v>
      </c>
      <c r="E14" s="10">
        <v>180</v>
      </c>
      <c r="F14" s="13">
        <f>E14-D14</f>
        <v>-321.60000000000002</v>
      </c>
    </row>
    <row r="15" spans="2:6" x14ac:dyDescent="0.35">
      <c r="B15" s="4" t="s">
        <v>206</v>
      </c>
      <c r="C15" s="5" t="s">
        <v>207</v>
      </c>
      <c r="D15" s="29">
        <v>720.90000000000009</v>
      </c>
      <c r="E15" s="10">
        <v>413.1</v>
      </c>
      <c r="F15" s="13">
        <f>E15-D15</f>
        <v>-307.80000000000007</v>
      </c>
    </row>
    <row r="16" spans="2:6" x14ac:dyDescent="0.35">
      <c r="B16" s="4" t="s">
        <v>192</v>
      </c>
      <c r="C16" s="5" t="s">
        <v>193</v>
      </c>
      <c r="D16" s="29">
        <v>753.30000000000007</v>
      </c>
      <c r="E16" s="10">
        <v>445.50000000000006</v>
      </c>
      <c r="F16" s="13">
        <f>E16-D16</f>
        <v>-307.8</v>
      </c>
    </row>
    <row r="17" spans="2:6" x14ac:dyDescent="0.35">
      <c r="B17" s="4" t="s">
        <v>218</v>
      </c>
      <c r="C17" s="5" t="s">
        <v>219</v>
      </c>
      <c r="D17" s="29">
        <v>604.79999999999995</v>
      </c>
      <c r="E17" s="10">
        <v>307.44</v>
      </c>
      <c r="F17" s="13">
        <f>E17-D17</f>
        <v>-297.35999999999996</v>
      </c>
    </row>
    <row r="18" spans="2:6" x14ac:dyDescent="0.35">
      <c r="B18" s="4" t="s">
        <v>198</v>
      </c>
      <c r="C18" s="5" t="s">
        <v>199</v>
      </c>
      <c r="D18" s="29">
        <v>436.8</v>
      </c>
      <c r="E18" s="10">
        <v>165.59999999999997</v>
      </c>
      <c r="F18" s="13">
        <f>E18-D18</f>
        <v>-271.20000000000005</v>
      </c>
    </row>
    <row r="19" spans="2:6" x14ac:dyDescent="0.35">
      <c r="B19" s="4" t="s">
        <v>126</v>
      </c>
      <c r="C19" s="5" t="s">
        <v>127</v>
      </c>
      <c r="D19" s="29">
        <v>687.12</v>
      </c>
      <c r="E19" s="10">
        <v>435.12</v>
      </c>
      <c r="F19" s="13">
        <f>E19-D19</f>
        <v>-252</v>
      </c>
    </row>
    <row r="20" spans="2:6" x14ac:dyDescent="0.35">
      <c r="B20" s="4" t="s">
        <v>204</v>
      </c>
      <c r="C20" s="5" t="s">
        <v>205</v>
      </c>
      <c r="D20" s="29">
        <v>568.79999999999995</v>
      </c>
      <c r="E20" s="10">
        <v>348</v>
      </c>
      <c r="F20" s="13">
        <f>E20-D20</f>
        <v>-220.79999999999995</v>
      </c>
    </row>
    <row r="21" spans="2:6" x14ac:dyDescent="0.35">
      <c r="B21" s="4" t="s">
        <v>128</v>
      </c>
      <c r="C21" s="5" t="s">
        <v>129</v>
      </c>
      <c r="D21" s="29">
        <v>700</v>
      </c>
      <c r="E21" s="10">
        <v>483</v>
      </c>
      <c r="F21" s="13">
        <f>E21-D21</f>
        <v>-217</v>
      </c>
    </row>
    <row r="22" spans="2:6" x14ac:dyDescent="0.35">
      <c r="B22" s="4" t="s">
        <v>84</v>
      </c>
      <c r="C22" s="5" t="s">
        <v>85</v>
      </c>
      <c r="D22" s="29">
        <v>745.5</v>
      </c>
      <c r="E22" s="10">
        <v>530.41499999999996</v>
      </c>
      <c r="F22" s="13">
        <f>E22-D22</f>
        <v>-215.08500000000004</v>
      </c>
    </row>
    <row r="23" spans="2:6" x14ac:dyDescent="0.35">
      <c r="B23" s="4" t="s">
        <v>160</v>
      </c>
      <c r="C23" s="5" t="s">
        <v>161</v>
      </c>
      <c r="D23" s="29">
        <v>419.76</v>
      </c>
      <c r="E23" s="10">
        <v>255.42</v>
      </c>
      <c r="F23" s="13">
        <f>E23-D23</f>
        <v>-164.34</v>
      </c>
    </row>
    <row r="24" spans="2:6" x14ac:dyDescent="0.35">
      <c r="B24" s="4" t="s">
        <v>116</v>
      </c>
      <c r="C24" s="5" t="s">
        <v>117</v>
      </c>
      <c r="D24" s="29">
        <v>212.40000000000003</v>
      </c>
      <c r="E24" s="10">
        <v>68.400000000000006</v>
      </c>
      <c r="F24" s="13">
        <f>E24-D24</f>
        <v>-144.00000000000003</v>
      </c>
    </row>
    <row r="25" spans="2:6" x14ac:dyDescent="0.35">
      <c r="B25" s="4" t="s">
        <v>86</v>
      </c>
      <c r="C25" s="5" t="s">
        <v>87</v>
      </c>
      <c r="D25" s="29">
        <v>461.99999999999994</v>
      </c>
      <c r="E25" s="10">
        <v>325.91999999999996</v>
      </c>
      <c r="F25" s="13">
        <f>E25-D25</f>
        <v>-136.07999999999998</v>
      </c>
    </row>
    <row r="26" spans="2:6" x14ac:dyDescent="0.35">
      <c r="B26" s="4" t="s">
        <v>196</v>
      </c>
      <c r="C26" s="5" t="s">
        <v>197</v>
      </c>
      <c r="D26" s="29">
        <v>230.39999999999998</v>
      </c>
      <c r="E26" s="10">
        <v>110.39999999999999</v>
      </c>
      <c r="F26" s="13">
        <f>E26-D26</f>
        <v>-119.99999999999999</v>
      </c>
    </row>
    <row r="27" spans="2:6" x14ac:dyDescent="0.35">
      <c r="B27" s="4" t="s">
        <v>120</v>
      </c>
      <c r="C27" s="5" t="s">
        <v>121</v>
      </c>
      <c r="D27" s="29">
        <v>126.00000000000001</v>
      </c>
      <c r="E27" s="10">
        <v>14.4</v>
      </c>
      <c r="F27" s="13">
        <f>E27-D27</f>
        <v>-111.60000000000001</v>
      </c>
    </row>
    <row r="28" spans="2:6" x14ac:dyDescent="0.35">
      <c r="B28" s="4" t="s">
        <v>106</v>
      </c>
      <c r="C28" s="5" t="s">
        <v>107</v>
      </c>
      <c r="D28" s="29">
        <v>569.09999999999991</v>
      </c>
      <c r="E28" s="10">
        <v>459.89999999999992</v>
      </c>
      <c r="F28" s="13">
        <f>E28-D28</f>
        <v>-109.19999999999999</v>
      </c>
    </row>
    <row r="29" spans="2:6" x14ac:dyDescent="0.35">
      <c r="B29" s="4" t="s">
        <v>88</v>
      </c>
      <c r="C29" s="5" t="s">
        <v>89</v>
      </c>
      <c r="D29" s="29">
        <v>180.60000000000002</v>
      </c>
      <c r="E29" s="10">
        <v>81.900000000000006</v>
      </c>
      <c r="F29" s="13">
        <f>E29-D29</f>
        <v>-98.700000000000017</v>
      </c>
    </row>
    <row r="30" spans="2:6" x14ac:dyDescent="0.35">
      <c r="B30" s="4" t="s">
        <v>132</v>
      </c>
      <c r="C30" s="5" t="s">
        <v>133</v>
      </c>
      <c r="D30" s="29">
        <v>115.2</v>
      </c>
      <c r="E30" s="10">
        <v>48.6</v>
      </c>
      <c r="F30" s="13">
        <f>E30-D30</f>
        <v>-66.599999999999994</v>
      </c>
    </row>
    <row r="31" spans="2:6" x14ac:dyDescent="0.35">
      <c r="B31" s="4" t="s">
        <v>104</v>
      </c>
      <c r="C31" s="5" t="s">
        <v>105</v>
      </c>
      <c r="D31" s="29">
        <v>121.80000000000001</v>
      </c>
      <c r="E31" s="10">
        <v>71.400000000000006</v>
      </c>
      <c r="F31" s="13">
        <f>E31-D31</f>
        <v>-50.400000000000006</v>
      </c>
    </row>
    <row r="32" spans="2:6" x14ac:dyDescent="0.35">
      <c r="B32" s="4" t="s">
        <v>102</v>
      </c>
      <c r="C32" s="5" t="s">
        <v>103</v>
      </c>
      <c r="D32" s="29">
        <v>54</v>
      </c>
      <c r="E32" s="10">
        <v>16.2</v>
      </c>
      <c r="F32" s="13">
        <f>E32-D32</f>
        <v>-37.799999999999997</v>
      </c>
    </row>
    <row r="33" spans="2:6" x14ac:dyDescent="0.35">
      <c r="B33" s="4" t="s">
        <v>170</v>
      </c>
      <c r="C33" s="5" t="s">
        <v>171</v>
      </c>
      <c r="D33" s="29">
        <v>296.09999999999997</v>
      </c>
      <c r="E33" s="10">
        <v>260.39999999999998</v>
      </c>
      <c r="F33" s="13">
        <f>E33-D33</f>
        <v>-35.699999999999989</v>
      </c>
    </row>
    <row r="34" spans="2:6" x14ac:dyDescent="0.35">
      <c r="B34" s="4" t="s">
        <v>122</v>
      </c>
      <c r="C34" s="5" t="s">
        <v>123</v>
      </c>
      <c r="D34" s="29">
        <v>50.400000000000006</v>
      </c>
      <c r="E34" s="10">
        <v>22.4</v>
      </c>
      <c r="F34" s="13">
        <f>E34-D34</f>
        <v>-28.000000000000007</v>
      </c>
    </row>
    <row r="35" spans="2:6" x14ac:dyDescent="0.35">
      <c r="B35" s="4" t="s">
        <v>112</v>
      </c>
      <c r="C35" s="5" t="s">
        <v>113</v>
      </c>
      <c r="D35" s="29">
        <v>262.5</v>
      </c>
      <c r="E35" s="10">
        <v>234.5</v>
      </c>
      <c r="F35" s="13">
        <f>E35-D35</f>
        <v>-28</v>
      </c>
    </row>
    <row r="36" spans="2:6" x14ac:dyDescent="0.35">
      <c r="B36" s="4" t="s">
        <v>240</v>
      </c>
      <c r="C36" s="5" t="s">
        <v>241</v>
      </c>
      <c r="D36" s="29">
        <v>43.2</v>
      </c>
      <c r="E36" s="10">
        <v>16.2</v>
      </c>
      <c r="F36" s="13">
        <f>E36-D36</f>
        <v>-27.000000000000004</v>
      </c>
    </row>
    <row r="37" spans="2:6" x14ac:dyDescent="0.35">
      <c r="B37" s="4" t="s">
        <v>134</v>
      </c>
      <c r="C37" s="5" t="s">
        <v>135</v>
      </c>
      <c r="D37" s="29">
        <v>264.60000000000002</v>
      </c>
      <c r="E37" s="10">
        <v>238.72900000000001</v>
      </c>
      <c r="F37" s="13">
        <f>E37-D37</f>
        <v>-25.871000000000009</v>
      </c>
    </row>
    <row r="38" spans="2:6" x14ac:dyDescent="0.35">
      <c r="B38" s="4" t="s">
        <v>146</v>
      </c>
      <c r="C38" s="5" t="s">
        <v>147</v>
      </c>
      <c r="D38" s="29">
        <v>48</v>
      </c>
      <c r="E38" s="10">
        <v>30</v>
      </c>
      <c r="F38" s="13">
        <f>E38-D38</f>
        <v>-18</v>
      </c>
    </row>
    <row r="39" spans="2:6" x14ac:dyDescent="0.35">
      <c r="B39" s="4" t="s">
        <v>142</v>
      </c>
      <c r="C39" s="5" t="s">
        <v>143</v>
      </c>
      <c r="D39" s="29">
        <v>55.440000000000005</v>
      </c>
      <c r="E39" s="10">
        <v>39.06</v>
      </c>
      <c r="F39" s="13">
        <f>E39-D39</f>
        <v>-16.380000000000003</v>
      </c>
    </row>
    <row r="40" spans="2:6" x14ac:dyDescent="0.35">
      <c r="B40" s="4" t="s">
        <v>130</v>
      </c>
      <c r="C40" s="5" t="s">
        <v>131</v>
      </c>
      <c r="D40" s="29">
        <v>729</v>
      </c>
      <c r="E40" s="10">
        <v>712.73299999999995</v>
      </c>
      <c r="F40" s="13">
        <f>E40-D40</f>
        <v>-16.267000000000053</v>
      </c>
    </row>
    <row r="41" spans="2:6" x14ac:dyDescent="0.35">
      <c r="B41" s="4" t="s">
        <v>114</v>
      </c>
      <c r="C41" s="5" t="s">
        <v>115</v>
      </c>
      <c r="D41" s="29">
        <v>329.40000000000003</v>
      </c>
      <c r="E41" s="10">
        <v>314.00400000000002</v>
      </c>
      <c r="F41" s="13">
        <f>E41-D41</f>
        <v>-15.396000000000015</v>
      </c>
    </row>
    <row r="42" spans="2:6" x14ac:dyDescent="0.35">
      <c r="B42" s="4" t="s">
        <v>236</v>
      </c>
      <c r="C42" s="5" t="s">
        <v>237</v>
      </c>
      <c r="D42" s="29">
        <v>45.1</v>
      </c>
      <c r="E42" s="10">
        <v>35.200000000000003</v>
      </c>
      <c r="F42" s="13">
        <f>E42-D42</f>
        <v>-9.8999999999999986</v>
      </c>
    </row>
    <row r="43" spans="2:6" x14ac:dyDescent="0.35">
      <c r="B43" s="4" t="s">
        <v>188</v>
      </c>
      <c r="C43" s="5" t="s">
        <v>189</v>
      </c>
      <c r="D43" s="29">
        <v>18</v>
      </c>
      <c r="E43" s="10">
        <v>9</v>
      </c>
      <c r="F43" s="13">
        <f>E43-D43</f>
        <v>-9</v>
      </c>
    </row>
    <row r="44" spans="2:6" x14ac:dyDescent="0.35">
      <c r="B44" s="4" t="s">
        <v>190</v>
      </c>
      <c r="C44" s="5" t="s">
        <v>191</v>
      </c>
      <c r="D44" s="29">
        <v>93.6</v>
      </c>
      <c r="E44" s="10">
        <v>84.6</v>
      </c>
      <c r="F44" s="13">
        <f>E44-D44</f>
        <v>-9</v>
      </c>
    </row>
    <row r="45" spans="2:6" x14ac:dyDescent="0.35">
      <c r="B45" s="4" t="s">
        <v>220</v>
      </c>
      <c r="C45" s="5" t="s">
        <v>221</v>
      </c>
      <c r="D45" s="29">
        <v>52.92</v>
      </c>
      <c r="E45" s="10">
        <v>45.36</v>
      </c>
      <c r="F45" s="13">
        <f>E45-D45</f>
        <v>-7.5600000000000023</v>
      </c>
    </row>
    <row r="46" spans="2:6" x14ac:dyDescent="0.35">
      <c r="B46" s="4" t="s">
        <v>162</v>
      </c>
      <c r="C46" s="5" t="s">
        <v>163</v>
      </c>
      <c r="D46" s="29">
        <v>40.800000000000004</v>
      </c>
      <c r="E46" s="10">
        <v>33.6</v>
      </c>
      <c r="F46" s="13">
        <f>E46-D46</f>
        <v>-7.2000000000000028</v>
      </c>
    </row>
    <row r="47" spans="2:6" x14ac:dyDescent="0.35">
      <c r="B47" s="4" t="s">
        <v>136</v>
      </c>
      <c r="C47" s="5" t="s">
        <v>137</v>
      </c>
      <c r="D47" s="29">
        <v>44.099999999999994</v>
      </c>
      <c r="E47" s="10">
        <v>37.799999999999997</v>
      </c>
      <c r="F47" s="13">
        <f>E47-D47</f>
        <v>-6.2999999999999972</v>
      </c>
    </row>
    <row r="48" spans="2:6" x14ac:dyDescent="0.35">
      <c r="B48" s="4" t="s">
        <v>2</v>
      </c>
      <c r="C48" s="5" t="s">
        <v>3</v>
      </c>
      <c r="D48" s="29">
        <v>15517.919999999998</v>
      </c>
      <c r="E48" s="10">
        <v>15517.919999999998</v>
      </c>
      <c r="F48" s="13">
        <f>E48-D48</f>
        <v>0</v>
      </c>
    </row>
    <row r="49" spans="2:6" x14ac:dyDescent="0.35">
      <c r="B49" s="4" t="s">
        <v>4</v>
      </c>
      <c r="C49" s="5" t="s">
        <v>5</v>
      </c>
      <c r="D49" s="29">
        <v>547.19999999999993</v>
      </c>
      <c r="E49" s="10">
        <v>547.19999999999993</v>
      </c>
      <c r="F49" s="13">
        <f>E49-D49</f>
        <v>0</v>
      </c>
    </row>
    <row r="50" spans="2:6" x14ac:dyDescent="0.35">
      <c r="B50" s="4" t="s">
        <v>6</v>
      </c>
      <c r="C50" s="5" t="s">
        <v>7</v>
      </c>
      <c r="D50" s="29">
        <v>90</v>
      </c>
      <c r="E50" s="10">
        <v>90</v>
      </c>
      <c r="F50" s="13">
        <f>E50-D50</f>
        <v>0</v>
      </c>
    </row>
    <row r="51" spans="2:6" x14ac:dyDescent="0.35">
      <c r="B51" s="4" t="s">
        <v>12</v>
      </c>
      <c r="C51" s="5" t="s">
        <v>13</v>
      </c>
      <c r="D51" s="29">
        <v>72</v>
      </c>
      <c r="E51" s="10">
        <v>72</v>
      </c>
      <c r="F51" s="13">
        <f>E51-D51</f>
        <v>0</v>
      </c>
    </row>
    <row r="52" spans="2:6" x14ac:dyDescent="0.35">
      <c r="B52" s="4" t="s">
        <v>14</v>
      </c>
      <c r="C52" s="5" t="s">
        <v>15</v>
      </c>
      <c r="D52" s="29">
        <v>151.20000000000002</v>
      </c>
      <c r="E52" s="10">
        <v>151.20000000000002</v>
      </c>
      <c r="F52" s="13">
        <f>E52-D52</f>
        <v>0</v>
      </c>
    </row>
    <row r="53" spans="2:6" x14ac:dyDescent="0.35">
      <c r="B53" s="4" t="s">
        <v>16</v>
      </c>
      <c r="C53" s="5" t="s">
        <v>17</v>
      </c>
      <c r="D53" s="29">
        <v>270</v>
      </c>
      <c r="E53" s="10">
        <v>270</v>
      </c>
      <c r="F53" s="13">
        <f>E53-D53</f>
        <v>0</v>
      </c>
    </row>
    <row r="54" spans="2:6" x14ac:dyDescent="0.35">
      <c r="B54" s="4" t="s">
        <v>18</v>
      </c>
      <c r="C54" s="5" t="s">
        <v>19</v>
      </c>
      <c r="D54" s="29">
        <v>18</v>
      </c>
      <c r="E54" s="10">
        <v>18</v>
      </c>
      <c r="F54" s="13">
        <f>E54-D54</f>
        <v>0</v>
      </c>
    </row>
    <row r="55" spans="2:6" x14ac:dyDescent="0.35">
      <c r="B55" s="4" t="s">
        <v>20</v>
      </c>
      <c r="C55" s="5" t="s">
        <v>21</v>
      </c>
      <c r="D55" s="29">
        <v>150</v>
      </c>
      <c r="E55" s="10">
        <v>150</v>
      </c>
      <c r="F55" s="13">
        <f>E55-D55</f>
        <v>0</v>
      </c>
    </row>
    <row r="56" spans="2:6" x14ac:dyDescent="0.35">
      <c r="B56" s="4" t="s">
        <v>22</v>
      </c>
      <c r="C56" s="5" t="s">
        <v>23</v>
      </c>
      <c r="D56" s="29">
        <v>7452.0000000000009</v>
      </c>
      <c r="E56" s="10">
        <v>7452.0000000000009</v>
      </c>
      <c r="F56" s="13">
        <f>E56-D56</f>
        <v>0</v>
      </c>
    </row>
    <row r="57" spans="2:6" x14ac:dyDescent="0.35">
      <c r="B57" s="4" t="s">
        <v>234</v>
      </c>
      <c r="C57" s="5" t="s">
        <v>235</v>
      </c>
      <c r="D57" s="29">
        <v>16</v>
      </c>
      <c r="E57" s="10">
        <v>16</v>
      </c>
      <c r="F57" s="13">
        <f>E57-D57</f>
        <v>0</v>
      </c>
    </row>
    <row r="58" spans="2:6" x14ac:dyDescent="0.35">
      <c r="B58" s="4" t="s">
        <v>24</v>
      </c>
      <c r="C58" s="5" t="s">
        <v>25</v>
      </c>
      <c r="D58" s="29">
        <v>148</v>
      </c>
      <c r="E58" s="10">
        <v>148</v>
      </c>
      <c r="F58" s="13">
        <f>E58-D58</f>
        <v>0</v>
      </c>
    </row>
    <row r="59" spans="2:6" x14ac:dyDescent="0.35">
      <c r="B59" s="4" t="s">
        <v>26</v>
      </c>
      <c r="C59" s="5" t="s">
        <v>27</v>
      </c>
      <c r="D59" s="29">
        <v>227.04000000000002</v>
      </c>
      <c r="E59" s="10">
        <v>227.04000000000002</v>
      </c>
      <c r="F59" s="13">
        <f>E59-D59</f>
        <v>0</v>
      </c>
    </row>
    <row r="60" spans="2:6" x14ac:dyDescent="0.35">
      <c r="B60" s="4" t="s">
        <v>28</v>
      </c>
      <c r="C60" s="5" t="s">
        <v>29</v>
      </c>
      <c r="D60" s="29">
        <v>1147.2</v>
      </c>
      <c r="E60" s="10">
        <v>1147.2</v>
      </c>
      <c r="F60" s="13">
        <f>E60-D60</f>
        <v>0</v>
      </c>
    </row>
    <row r="61" spans="2:6" x14ac:dyDescent="0.35">
      <c r="B61" s="4" t="s">
        <v>30</v>
      </c>
      <c r="C61" s="5" t="s">
        <v>31</v>
      </c>
      <c r="D61" s="29">
        <v>31.68</v>
      </c>
      <c r="E61" s="10">
        <v>31.68</v>
      </c>
      <c r="F61" s="13">
        <f>E61-D61</f>
        <v>0</v>
      </c>
    </row>
    <row r="62" spans="2:6" x14ac:dyDescent="0.35">
      <c r="B62" s="4" t="s">
        <v>32</v>
      </c>
      <c r="C62" s="5" t="s">
        <v>33</v>
      </c>
      <c r="D62" s="29">
        <v>13585.439999999999</v>
      </c>
      <c r="E62" s="10">
        <v>13585.439999999999</v>
      </c>
      <c r="F62" s="13">
        <f>E62-D62</f>
        <v>0</v>
      </c>
    </row>
    <row r="63" spans="2:6" x14ac:dyDescent="0.35">
      <c r="B63" s="4" t="s">
        <v>34</v>
      </c>
      <c r="C63" s="5" t="s">
        <v>35</v>
      </c>
      <c r="D63" s="29">
        <v>2865</v>
      </c>
      <c r="E63" s="10">
        <v>2865</v>
      </c>
      <c r="F63" s="13">
        <f>E63-D63</f>
        <v>0</v>
      </c>
    </row>
    <row r="64" spans="2:6" x14ac:dyDescent="0.35">
      <c r="B64" s="4" t="s">
        <v>36</v>
      </c>
      <c r="C64" s="5" t="s">
        <v>37</v>
      </c>
      <c r="D64" s="29">
        <v>103.7</v>
      </c>
      <c r="E64" s="10">
        <v>103.7</v>
      </c>
      <c r="F64" s="13">
        <f>E64-D64</f>
        <v>0</v>
      </c>
    </row>
    <row r="65" spans="2:6" x14ac:dyDescent="0.35">
      <c r="B65" s="4" t="s">
        <v>38</v>
      </c>
      <c r="C65" s="5" t="s">
        <v>39</v>
      </c>
      <c r="D65" s="29">
        <v>2160</v>
      </c>
      <c r="E65" s="10">
        <v>2160</v>
      </c>
      <c r="F65" s="13">
        <f>E65-D65</f>
        <v>0</v>
      </c>
    </row>
    <row r="66" spans="2:6" x14ac:dyDescent="0.35">
      <c r="B66" s="4" t="s">
        <v>40</v>
      </c>
      <c r="C66" s="5" t="s">
        <v>41</v>
      </c>
      <c r="D66" s="29">
        <v>877.5</v>
      </c>
      <c r="E66" s="10">
        <v>877.5</v>
      </c>
      <c r="F66" s="13">
        <f>E66-D66</f>
        <v>0</v>
      </c>
    </row>
    <row r="67" spans="2:6" x14ac:dyDescent="0.35">
      <c r="B67" s="4" t="s">
        <v>42</v>
      </c>
      <c r="C67" s="5" t="s">
        <v>43</v>
      </c>
      <c r="D67" s="29">
        <v>21822.239999999998</v>
      </c>
      <c r="E67" s="10">
        <v>21822.239999999998</v>
      </c>
      <c r="F67" s="13">
        <f>E67-D67</f>
        <v>0</v>
      </c>
    </row>
    <row r="68" spans="2:6" x14ac:dyDescent="0.35">
      <c r="B68" s="4" t="s">
        <v>44</v>
      </c>
      <c r="C68" s="5" t="s">
        <v>45</v>
      </c>
      <c r="D68" s="29">
        <v>1363.1999999999998</v>
      </c>
      <c r="E68" s="10">
        <v>1363.1999999999998</v>
      </c>
      <c r="F68" s="13">
        <f>E68-D68</f>
        <v>0</v>
      </c>
    </row>
    <row r="69" spans="2:6" x14ac:dyDescent="0.35">
      <c r="B69" s="4" t="s">
        <v>46</v>
      </c>
      <c r="C69" s="5" t="s">
        <v>47</v>
      </c>
      <c r="D69" s="29">
        <v>11940</v>
      </c>
      <c r="E69" s="10">
        <v>11940</v>
      </c>
      <c r="F69" s="13">
        <f>E69-D69</f>
        <v>0</v>
      </c>
    </row>
    <row r="70" spans="2:6" x14ac:dyDescent="0.35">
      <c r="B70" s="4" t="s">
        <v>48</v>
      </c>
      <c r="C70" s="5" t="s">
        <v>49</v>
      </c>
      <c r="D70" s="29">
        <v>312</v>
      </c>
      <c r="E70" s="10">
        <v>312</v>
      </c>
      <c r="F70" s="13">
        <f>E70-D70</f>
        <v>0</v>
      </c>
    </row>
    <row r="71" spans="2:6" x14ac:dyDescent="0.35">
      <c r="B71" s="4" t="s">
        <v>52</v>
      </c>
      <c r="C71" s="5" t="s">
        <v>53</v>
      </c>
      <c r="D71" s="29">
        <v>16</v>
      </c>
      <c r="E71" s="10">
        <v>16</v>
      </c>
      <c r="F71" s="13">
        <f>E71-D71</f>
        <v>0</v>
      </c>
    </row>
    <row r="72" spans="2:6" x14ac:dyDescent="0.35">
      <c r="B72" s="4" t="s">
        <v>214</v>
      </c>
      <c r="C72" s="5" t="s">
        <v>215</v>
      </c>
      <c r="D72" s="29">
        <v>12.8</v>
      </c>
      <c r="E72" s="10">
        <v>12.8</v>
      </c>
      <c r="F72" s="13">
        <f>E72-D72</f>
        <v>0</v>
      </c>
    </row>
    <row r="73" spans="2:6" x14ac:dyDescent="0.35">
      <c r="B73" s="4" t="s">
        <v>54</v>
      </c>
      <c r="C73" s="5" t="s">
        <v>55</v>
      </c>
      <c r="D73" s="29">
        <v>2449.1999999999998</v>
      </c>
      <c r="E73" s="10">
        <v>2449.1999999999998</v>
      </c>
      <c r="F73" s="13">
        <f>E73-D73</f>
        <v>0</v>
      </c>
    </row>
    <row r="74" spans="2:6" x14ac:dyDescent="0.35">
      <c r="B74" s="4" t="s">
        <v>56</v>
      </c>
      <c r="C74" s="5" t="s">
        <v>57</v>
      </c>
      <c r="D74" s="29">
        <v>306</v>
      </c>
      <c r="E74" s="10">
        <v>306</v>
      </c>
      <c r="F74" s="13">
        <f>E74-D74</f>
        <v>0</v>
      </c>
    </row>
    <row r="75" spans="2:6" x14ac:dyDescent="0.35">
      <c r="B75" s="4" t="s">
        <v>58</v>
      </c>
      <c r="C75" s="5" t="s">
        <v>59</v>
      </c>
      <c r="D75" s="29">
        <v>1868.3999999999999</v>
      </c>
      <c r="E75" s="10">
        <v>1868.3999999999999</v>
      </c>
      <c r="F75" s="13">
        <f>E75-D75</f>
        <v>0</v>
      </c>
    </row>
    <row r="76" spans="2:6" x14ac:dyDescent="0.35">
      <c r="B76" s="4" t="s">
        <v>216</v>
      </c>
      <c r="C76" s="5" t="s">
        <v>217</v>
      </c>
      <c r="D76" s="29">
        <v>21.6</v>
      </c>
      <c r="E76" s="10">
        <v>21.6</v>
      </c>
      <c r="F76" s="13">
        <f>E76-D76</f>
        <v>0</v>
      </c>
    </row>
    <row r="77" spans="2:6" x14ac:dyDescent="0.35">
      <c r="B77" s="4" t="s">
        <v>60</v>
      </c>
      <c r="C77" s="5" t="s">
        <v>61</v>
      </c>
      <c r="D77" s="29">
        <v>6180</v>
      </c>
      <c r="E77" s="10">
        <v>6180</v>
      </c>
      <c r="F77" s="13">
        <f>E77-D77</f>
        <v>0</v>
      </c>
    </row>
    <row r="78" spans="2:6" x14ac:dyDescent="0.35">
      <c r="B78" s="4" t="s">
        <v>66</v>
      </c>
      <c r="C78" s="5" t="s">
        <v>67</v>
      </c>
      <c r="D78" s="29">
        <v>52</v>
      </c>
      <c r="E78" s="10">
        <v>52</v>
      </c>
      <c r="F78" s="13">
        <f>E78-D78</f>
        <v>0</v>
      </c>
    </row>
    <row r="79" spans="2:6" x14ac:dyDescent="0.35">
      <c r="B79" s="4" t="s">
        <v>70</v>
      </c>
      <c r="C79" s="5" t="s">
        <v>71</v>
      </c>
      <c r="D79" s="29">
        <v>9525</v>
      </c>
      <c r="E79" s="10">
        <v>9525</v>
      </c>
      <c r="F79" s="13">
        <f>E79-D79</f>
        <v>0</v>
      </c>
    </row>
    <row r="80" spans="2:6" x14ac:dyDescent="0.35">
      <c r="B80" s="4" t="s">
        <v>72</v>
      </c>
      <c r="C80" s="5" t="s">
        <v>73</v>
      </c>
      <c r="D80" s="29">
        <v>212.79999999999998</v>
      </c>
      <c r="E80" s="10">
        <v>212.79999999999998</v>
      </c>
      <c r="F80" s="13">
        <f>E80-D80</f>
        <v>0</v>
      </c>
    </row>
    <row r="81" spans="2:6" x14ac:dyDescent="0.35">
      <c r="B81" s="4" t="s">
        <v>74</v>
      </c>
      <c r="C81" s="5" t="s">
        <v>75</v>
      </c>
      <c r="D81" s="29">
        <v>1209.6000000000001</v>
      </c>
      <c r="E81" s="10">
        <v>1209.6000000000001</v>
      </c>
      <c r="F81" s="13">
        <f>E81-D81</f>
        <v>0</v>
      </c>
    </row>
    <row r="82" spans="2:6" x14ac:dyDescent="0.35">
      <c r="B82" s="4" t="s">
        <v>76</v>
      </c>
      <c r="C82" s="5" t="s">
        <v>77</v>
      </c>
      <c r="D82" s="29">
        <v>4</v>
      </c>
      <c r="E82" s="10">
        <v>4</v>
      </c>
      <c r="F82" s="13">
        <f>E82-D82</f>
        <v>0</v>
      </c>
    </row>
    <row r="83" spans="2:6" x14ac:dyDescent="0.35">
      <c r="B83" s="4" t="s">
        <v>78</v>
      </c>
      <c r="C83" s="5" t="s">
        <v>79</v>
      </c>
      <c r="D83" s="29">
        <v>598.5</v>
      </c>
      <c r="E83" s="10">
        <v>598.5</v>
      </c>
      <c r="F83" s="13">
        <f>E83-D83</f>
        <v>0</v>
      </c>
    </row>
    <row r="84" spans="2:6" x14ac:dyDescent="0.35">
      <c r="B84" s="4" t="s">
        <v>80</v>
      </c>
      <c r="C84" s="5" t="s">
        <v>81</v>
      </c>
      <c r="D84" s="29">
        <v>88.8</v>
      </c>
      <c r="E84" s="10">
        <v>88.8</v>
      </c>
      <c r="F84" s="13">
        <f>E84-D84</f>
        <v>0</v>
      </c>
    </row>
    <row r="85" spans="2:6" x14ac:dyDescent="0.35">
      <c r="B85" s="4" t="s">
        <v>82</v>
      </c>
      <c r="C85" s="5" t="s">
        <v>83</v>
      </c>
      <c r="D85" s="29">
        <v>39.6</v>
      </c>
      <c r="E85" s="10">
        <v>39.6</v>
      </c>
      <c r="F85" s="13">
        <f>E85-D85</f>
        <v>0</v>
      </c>
    </row>
    <row r="86" spans="2:6" x14ac:dyDescent="0.35">
      <c r="B86" s="4" t="s">
        <v>90</v>
      </c>
      <c r="C86" s="5" t="s">
        <v>91</v>
      </c>
      <c r="D86" s="29">
        <v>37.799999999999997</v>
      </c>
      <c r="E86" s="10">
        <v>37.799999999999997</v>
      </c>
      <c r="F86" s="13">
        <f>E86-D86</f>
        <v>0</v>
      </c>
    </row>
    <row r="87" spans="2:6" x14ac:dyDescent="0.35">
      <c r="B87" s="4" t="s">
        <v>92</v>
      </c>
      <c r="C87" s="5" t="s">
        <v>93</v>
      </c>
      <c r="D87" s="29">
        <v>1811.04</v>
      </c>
      <c r="E87" s="10">
        <v>1811.04</v>
      </c>
      <c r="F87" s="13">
        <f>E87-D87</f>
        <v>0</v>
      </c>
    </row>
    <row r="88" spans="2:6" x14ac:dyDescent="0.35">
      <c r="B88" s="4" t="s">
        <v>94</v>
      </c>
      <c r="C88" s="5" t="s">
        <v>95</v>
      </c>
      <c r="D88" s="29">
        <v>5084.6400000000012</v>
      </c>
      <c r="E88" s="10">
        <v>5084.6400000000012</v>
      </c>
      <c r="F88" s="13">
        <f>E88-D88</f>
        <v>0</v>
      </c>
    </row>
    <row r="89" spans="2:6" x14ac:dyDescent="0.35">
      <c r="B89" s="4" t="s">
        <v>100</v>
      </c>
      <c r="C89" s="5" t="s">
        <v>101</v>
      </c>
      <c r="D89" s="29">
        <v>88.199999999999989</v>
      </c>
      <c r="E89" s="10">
        <v>88.199999999999989</v>
      </c>
      <c r="F89" s="13">
        <f>E89-D89</f>
        <v>0</v>
      </c>
    </row>
    <row r="90" spans="2:6" x14ac:dyDescent="0.35">
      <c r="B90" s="4" t="s">
        <v>108</v>
      </c>
      <c r="C90" s="5" t="s">
        <v>109</v>
      </c>
      <c r="D90" s="29">
        <v>46.4</v>
      </c>
      <c r="E90" s="10">
        <v>46.4</v>
      </c>
      <c r="F90" s="13">
        <f>E90-D90</f>
        <v>0</v>
      </c>
    </row>
    <row r="91" spans="2:6" x14ac:dyDescent="0.35">
      <c r="B91" s="4" t="s">
        <v>110</v>
      </c>
      <c r="C91" s="5" t="s">
        <v>111</v>
      </c>
      <c r="D91" s="29">
        <v>27</v>
      </c>
      <c r="E91" s="10">
        <v>27</v>
      </c>
      <c r="F91" s="13">
        <f>E91-D91</f>
        <v>0</v>
      </c>
    </row>
    <row r="92" spans="2:6" x14ac:dyDescent="0.35">
      <c r="B92" s="4" t="s">
        <v>118</v>
      </c>
      <c r="C92" s="5" t="s">
        <v>119</v>
      </c>
      <c r="D92" s="29">
        <v>556.20000000000005</v>
      </c>
      <c r="E92" s="10">
        <v>556.20000000000005</v>
      </c>
      <c r="F92" s="13">
        <f>E92-D92</f>
        <v>0</v>
      </c>
    </row>
    <row r="93" spans="2:6" x14ac:dyDescent="0.35">
      <c r="B93" s="4" t="s">
        <v>124</v>
      </c>
      <c r="C93" s="5" t="s">
        <v>125</v>
      </c>
      <c r="D93" s="29">
        <v>28.8</v>
      </c>
      <c r="E93" s="10">
        <v>28.8</v>
      </c>
      <c r="F93" s="13">
        <f>E93-D93</f>
        <v>0</v>
      </c>
    </row>
    <row r="94" spans="2:6" x14ac:dyDescent="0.35">
      <c r="B94" s="4" t="s">
        <v>238</v>
      </c>
      <c r="C94" s="5" t="s">
        <v>239</v>
      </c>
      <c r="D94" s="29">
        <v>40.5</v>
      </c>
      <c r="E94" s="10">
        <v>40.5</v>
      </c>
      <c r="F94" s="13">
        <f>E94-D94</f>
        <v>0</v>
      </c>
    </row>
    <row r="95" spans="2:6" x14ac:dyDescent="0.35">
      <c r="B95" s="4" t="s">
        <v>138</v>
      </c>
      <c r="C95" s="5" t="s">
        <v>139</v>
      </c>
      <c r="D95" s="29">
        <v>68.849999999999994</v>
      </c>
      <c r="E95" s="10">
        <v>68.849999999999994</v>
      </c>
      <c r="F95" s="13">
        <f>E95-D95</f>
        <v>0</v>
      </c>
    </row>
    <row r="96" spans="2:6" x14ac:dyDescent="0.35">
      <c r="B96" s="4" t="s">
        <v>140</v>
      </c>
      <c r="C96" s="5" t="s">
        <v>141</v>
      </c>
      <c r="D96" s="29">
        <v>12.16</v>
      </c>
      <c r="E96" s="10">
        <v>12.16</v>
      </c>
      <c r="F96" s="13">
        <f>E96-D96</f>
        <v>0</v>
      </c>
    </row>
    <row r="97" spans="2:6" x14ac:dyDescent="0.35">
      <c r="B97" s="4" t="s">
        <v>144</v>
      </c>
      <c r="C97" s="5" t="s">
        <v>145</v>
      </c>
      <c r="D97" s="29">
        <v>99.449999999999989</v>
      </c>
      <c r="E97" s="10">
        <v>99.449999999999989</v>
      </c>
      <c r="F97" s="13">
        <f>E97-D97</f>
        <v>0</v>
      </c>
    </row>
    <row r="98" spans="2:6" x14ac:dyDescent="0.35">
      <c r="B98" s="4" t="s">
        <v>148</v>
      </c>
      <c r="C98" s="5" t="s">
        <v>149</v>
      </c>
      <c r="D98" s="29">
        <v>3.9</v>
      </c>
      <c r="E98" s="10">
        <v>3.9</v>
      </c>
      <c r="F98" s="13">
        <f>E98-D98</f>
        <v>0</v>
      </c>
    </row>
    <row r="99" spans="2:6" x14ac:dyDescent="0.35">
      <c r="B99" s="4" t="s">
        <v>150</v>
      </c>
      <c r="C99" s="5" t="s">
        <v>151</v>
      </c>
      <c r="D99" s="29">
        <v>12</v>
      </c>
      <c r="E99" s="10">
        <v>12</v>
      </c>
      <c r="F99" s="13">
        <f>E99-D99</f>
        <v>0</v>
      </c>
    </row>
    <row r="100" spans="2:6" x14ac:dyDescent="0.35">
      <c r="B100" s="4" t="s">
        <v>152</v>
      </c>
      <c r="C100" s="5" t="s">
        <v>153</v>
      </c>
      <c r="D100" s="29">
        <v>68</v>
      </c>
      <c r="E100" s="10">
        <v>68</v>
      </c>
      <c r="F100" s="13">
        <f>E100-D100</f>
        <v>0</v>
      </c>
    </row>
    <row r="101" spans="2:6" x14ac:dyDescent="0.35">
      <c r="B101" s="4" t="s">
        <v>154</v>
      </c>
      <c r="C101" s="5" t="s">
        <v>155</v>
      </c>
      <c r="D101" s="29">
        <v>44</v>
      </c>
      <c r="E101" s="10">
        <v>44</v>
      </c>
      <c r="F101" s="13">
        <f>E101-D101</f>
        <v>0</v>
      </c>
    </row>
    <row r="102" spans="2:6" x14ac:dyDescent="0.35">
      <c r="B102" s="4" t="s">
        <v>156</v>
      </c>
      <c r="C102" s="5" t="s">
        <v>157</v>
      </c>
      <c r="D102" s="29">
        <v>38</v>
      </c>
      <c r="E102" s="10">
        <v>38</v>
      </c>
      <c r="F102" s="13">
        <f>E102-D102</f>
        <v>0</v>
      </c>
    </row>
    <row r="103" spans="2:6" x14ac:dyDescent="0.35">
      <c r="B103" s="4" t="s">
        <v>168</v>
      </c>
      <c r="C103" s="5" t="s">
        <v>169</v>
      </c>
      <c r="D103" s="29">
        <v>1193.3999999999999</v>
      </c>
      <c r="E103" s="10">
        <v>1193.3999999999999</v>
      </c>
      <c r="F103" s="13">
        <f>E103-D103</f>
        <v>0</v>
      </c>
    </row>
    <row r="104" spans="2:6" x14ac:dyDescent="0.35">
      <c r="B104" s="4" t="s">
        <v>178</v>
      </c>
      <c r="C104" s="5" t="s">
        <v>179</v>
      </c>
      <c r="D104" s="29">
        <v>5702.4</v>
      </c>
      <c r="E104" s="10">
        <v>5702.4</v>
      </c>
      <c r="F104" s="13">
        <f>E104-D104</f>
        <v>0</v>
      </c>
    </row>
    <row r="105" spans="2:6" x14ac:dyDescent="0.35">
      <c r="B105" s="4" t="s">
        <v>180</v>
      </c>
      <c r="C105" s="5" t="s">
        <v>181</v>
      </c>
      <c r="D105" s="29">
        <v>3493.8</v>
      </c>
      <c r="E105" s="10">
        <v>3493.8</v>
      </c>
      <c r="F105" s="13">
        <f>E105-D105</f>
        <v>0</v>
      </c>
    </row>
    <row r="106" spans="2:6" x14ac:dyDescent="0.35">
      <c r="B106" s="4" t="s">
        <v>182</v>
      </c>
      <c r="C106" s="5" t="s">
        <v>183</v>
      </c>
      <c r="D106" s="29">
        <v>14191.2</v>
      </c>
      <c r="E106" s="10">
        <v>14191.2</v>
      </c>
      <c r="F106" s="13">
        <f>E106-D106</f>
        <v>0</v>
      </c>
    </row>
    <row r="107" spans="2:6" x14ac:dyDescent="0.35">
      <c r="B107" s="4" t="s">
        <v>184</v>
      </c>
      <c r="C107" s="5" t="s">
        <v>185</v>
      </c>
      <c r="D107" s="29">
        <v>5640.3</v>
      </c>
      <c r="E107" s="10">
        <v>5640.3</v>
      </c>
      <c r="F107" s="13">
        <f>E107-D107</f>
        <v>0</v>
      </c>
    </row>
    <row r="108" spans="2:6" x14ac:dyDescent="0.35">
      <c r="B108" s="4" t="s">
        <v>194</v>
      </c>
      <c r="C108" s="5" t="s">
        <v>195</v>
      </c>
      <c r="D108" s="29">
        <v>856.8</v>
      </c>
      <c r="E108" s="10">
        <v>856.8</v>
      </c>
      <c r="F108" s="13">
        <f>E108-D108</f>
        <v>0</v>
      </c>
    </row>
    <row r="109" spans="2:6" ht="15" thickBot="1" x14ac:dyDescent="0.4">
      <c r="B109" s="3" t="s">
        <v>242</v>
      </c>
      <c r="C109" s="2" t="s">
        <v>243</v>
      </c>
      <c r="D109" s="9">
        <v>284.39999999999998</v>
      </c>
      <c r="E109" s="11">
        <v>284.39999999999998</v>
      </c>
      <c r="F109" s="14">
        <f>E109-D109</f>
        <v>0</v>
      </c>
    </row>
    <row r="110" spans="2:6" x14ac:dyDescent="0.35">
      <c r="B110" s="38"/>
      <c r="C110" s="38"/>
      <c r="D110" s="38"/>
      <c r="E110" s="38"/>
    </row>
    <row r="111" spans="2:6" x14ac:dyDescent="0.35">
      <c r="B111" s="38"/>
      <c r="C111" s="38"/>
      <c r="D111" s="38"/>
      <c r="E111" s="38"/>
    </row>
    <row r="112" spans="2:6" x14ac:dyDescent="0.35">
      <c r="B112" s="38"/>
      <c r="C112" s="38"/>
      <c r="D112" s="38"/>
      <c r="E112" s="38"/>
    </row>
  </sheetData>
  <autoFilter ref="B3:F3">
    <sortState ref="B4:F110">
      <sortCondition ref="F3"/>
    </sortState>
  </autoFilter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ОБЩ</vt:lpstr>
      <vt:lpstr>ЛНР</vt:lpstr>
      <vt:lpstr>ДНР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Users</cp:lastModifiedBy>
  <dcterms:created xsi:type="dcterms:W3CDTF">2026-08-19T17:43:15Z</dcterms:created>
  <dcterms:modified xsi:type="dcterms:W3CDTF">2026-08-20T11:02:21Z</dcterms:modified>
</cp:coreProperties>
</file>