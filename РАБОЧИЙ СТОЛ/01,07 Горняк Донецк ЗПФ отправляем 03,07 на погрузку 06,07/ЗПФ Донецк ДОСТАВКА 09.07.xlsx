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0-09.07.26_Д\"/>
    </mc:Choice>
  </mc:AlternateContent>
  <xr:revisionPtr revIDLastSave="0" documentId="8_{F59ED1E0-3670-49D6-8A38-E66644DA534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<sst xmlns="http://schemas.openxmlformats.org/spreadsheetml/2006/main" count="1701" uniqueCount="398">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</sst>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X267" sqref="X26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6" t="s">
        <v>26</v>
      </c>
      <c r="E1" s="456"/>
      <c r="F1" s="456"/>
      <c r="G1" s="14" t="s">
        <v>70</v>
      </c>
      <c r="H1" s="456" t="s">
        <v>47</v>
      </c>
      <c r="I1" s="456"/>
      <c r="J1" s="456"/>
      <c r="K1" s="456"/>
      <c r="L1" s="456"/>
      <c r="M1" s="456"/>
      <c r="N1" s="456"/>
      <c r="O1" s="456"/>
      <c r="P1" s="456"/>
      <c r="Q1" s="456"/>
      <c r="R1" s="457" t="s">
        <v>71</v>
      </c>
      <c r="S1" s="458"/>
      <c r="T1" s="4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9"/>
      <c r="R2" s="459"/>
      <c r="S2" s="459"/>
      <c r="T2" s="459"/>
      <c r="U2" s="459"/>
      <c r="V2" s="459"/>
      <c r="W2" s="4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9"/>
      <c r="Q3" s="459"/>
      <c r="R3" s="459"/>
      <c r="S3" s="459"/>
      <c r="T3" s="459"/>
      <c r="U3" s="459"/>
      <c r="V3" s="459"/>
      <c r="W3" s="4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8" t="s">
        <v>8</v>
      </c>
      <c r="B5" s="438"/>
      <c r="C5" s="438"/>
      <c r="D5" s="460"/>
      <c r="E5" s="460"/>
      <c r="F5" s="461" t="s">
        <v>14</v>
      </c>
      <c r="G5" s="461"/>
      <c r="H5" s="460"/>
      <c r="I5" s="460"/>
      <c r="J5" s="460"/>
      <c r="K5" s="460"/>
      <c r="L5" s="460"/>
      <c r="M5" s="460"/>
      <c r="N5" s="75"/>
      <c r="P5" s="27" t="s">
        <v>4</v>
      </c>
      <c r="Q5" s="462"/>
      <c r="R5" s="462"/>
      <c r="T5" s="463" t="s">
        <v>3</v>
      </c>
      <c r="U5" s="464"/>
      <c r="V5" s="465" t="s">
        <v>383</v>
      </c>
      <c r="W5" s="466"/>
      <c r="AB5" s="59"/>
      <c r="AC5" s="59"/>
      <c r="AD5" s="59"/>
      <c r="AE5" s="59"/>
    </row>
    <row r="6" spans="1:32" s="17" customFormat="1" ht="24" customHeight="1" x14ac:dyDescent="0.2">
      <c r="A6" s="438" t="s">
        <v>1</v>
      </c>
      <c r="B6" s="438"/>
      <c r="C6" s="438"/>
      <c r="D6" s="439" t="s">
        <v>79</v>
      </c>
      <c r="E6" s="439"/>
      <c r="F6" s="439"/>
      <c r="G6" s="439"/>
      <c r="H6" s="439"/>
      <c r="I6" s="439"/>
      <c r="J6" s="439"/>
      <c r="K6" s="439"/>
      <c r="L6" s="439"/>
      <c r="M6" s="439"/>
      <c r="N6" s="76"/>
      <c r="P6" s="27" t="s">
        <v>27</v>
      </c>
      <c r="Q6" s="440" t="str">
        <f>IF(Q5=0," ",CHOOSE(WEEKDAY(Q5,2),"Понедельник","Вторник","Среда","Четверг","Пятница","Суббота","Воскресенье"))</f>
        <v xml:space="preserve"> </v>
      </c>
      <c r="R6" s="440"/>
      <c r="T6" s="441" t="s">
        <v>5</v>
      </c>
      <c r="U6" s="442"/>
      <c r="V6" s="443" t="s">
        <v>73</v>
      </c>
      <c r="W6" s="44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9" t="str">
        <f>IFERROR(VLOOKUP(DeliveryAddress,Table,3,0),1)</f>
        <v>1</v>
      </c>
      <c r="E7" s="450"/>
      <c r="F7" s="450"/>
      <c r="G7" s="450"/>
      <c r="H7" s="450"/>
      <c r="I7" s="450"/>
      <c r="J7" s="450"/>
      <c r="K7" s="450"/>
      <c r="L7" s="450"/>
      <c r="M7" s="451"/>
      <c r="N7" s="77"/>
      <c r="P7" s="29"/>
      <c r="Q7" s="48"/>
      <c r="R7" s="48"/>
      <c r="T7" s="441"/>
      <c r="U7" s="442"/>
      <c r="V7" s="445"/>
      <c r="W7" s="446"/>
      <c r="AB7" s="59"/>
      <c r="AC7" s="59"/>
      <c r="AD7" s="59"/>
      <c r="AE7" s="59"/>
    </row>
    <row r="8" spans="1:32" s="17" customFormat="1" ht="25.5" customHeight="1" x14ac:dyDescent="0.2">
      <c r="A8" s="452" t="s">
        <v>58</v>
      </c>
      <c r="B8" s="452"/>
      <c r="C8" s="452"/>
      <c r="D8" s="453" t="s">
        <v>80</v>
      </c>
      <c r="E8" s="453"/>
      <c r="F8" s="453"/>
      <c r="G8" s="453"/>
      <c r="H8" s="453"/>
      <c r="I8" s="453"/>
      <c r="J8" s="453"/>
      <c r="K8" s="453"/>
      <c r="L8" s="453"/>
      <c r="M8" s="453"/>
      <c r="N8" s="78"/>
      <c r="P8" s="27" t="s">
        <v>11</v>
      </c>
      <c r="Q8" s="436"/>
      <c r="R8" s="436"/>
      <c r="T8" s="441"/>
      <c r="U8" s="442"/>
      <c r="V8" s="445"/>
      <c r="W8" s="446"/>
      <c r="AB8" s="59"/>
      <c r="AC8" s="59"/>
      <c r="AD8" s="59"/>
      <c r="AE8" s="59"/>
    </row>
    <row r="9" spans="1:32" s="17" customFormat="1" ht="39.950000000000003" customHeight="1" x14ac:dyDescent="0.2">
      <c r="A9" s="4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8"/>
      <c r="C9" s="428"/>
      <c r="D9" s="429" t="s">
        <v>46</v>
      </c>
      <c r="E9" s="430"/>
      <c r="F9" s="4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8"/>
      <c r="H9" s="454" t="str">
        <f>IF(AND($A$9="Тип доверенности/получателя при получении в адресе перегруза:",$D$9="Разовая доверенность"),"Введите ФИО","")</f>
        <v/>
      </c>
      <c r="I9" s="454"/>
      <c r="J9" s="45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4"/>
      <c r="L9" s="454"/>
      <c r="M9" s="454"/>
      <c r="N9" s="73"/>
      <c r="P9" s="31" t="s">
        <v>15</v>
      </c>
      <c r="Q9" s="455">
        <v>46212</v>
      </c>
      <c r="R9" s="455"/>
      <c r="T9" s="441"/>
      <c r="U9" s="442"/>
      <c r="V9" s="447"/>
      <c r="W9" s="44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8"/>
      <c r="C10" s="428"/>
      <c r="D10" s="429"/>
      <c r="E10" s="430"/>
      <c r="F10" s="4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8"/>
      <c r="H10" s="431" t="str">
        <f>IFERROR(VLOOKUP($D$10,Proxy,2,FALSE),"")</f>
        <v/>
      </c>
      <c r="I10" s="431"/>
      <c r="J10" s="431"/>
      <c r="K10" s="431"/>
      <c r="L10" s="431"/>
      <c r="M10" s="431"/>
      <c r="N10" s="74"/>
      <c r="P10" s="31" t="s">
        <v>32</v>
      </c>
      <c r="Q10" s="432">
        <v>0.375</v>
      </c>
      <c r="R10" s="432"/>
      <c r="U10" s="29" t="s">
        <v>12</v>
      </c>
      <c r="V10" s="433" t="s">
        <v>74</v>
      </c>
      <c r="W10" s="43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5"/>
      <c r="R11" s="435"/>
      <c r="U11" s="29" t="s">
        <v>28</v>
      </c>
      <c r="V11" s="414" t="s">
        <v>55</v>
      </c>
      <c r="W11" s="4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3" t="s">
        <v>75</v>
      </c>
      <c r="B12" s="413"/>
      <c r="C12" s="413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79"/>
      <c r="P12" s="27" t="s">
        <v>30</v>
      </c>
      <c r="Q12" s="436"/>
      <c r="R12" s="436"/>
      <c r="S12" s="28"/>
      <c r="T12"/>
      <c r="U12" s="29" t="s">
        <v>46</v>
      </c>
      <c r="V12" s="437"/>
      <c r="W12" s="437"/>
      <c r="X12"/>
      <c r="AB12" s="59"/>
      <c r="AC12" s="59"/>
      <c r="AD12" s="59"/>
      <c r="AE12" s="59"/>
    </row>
    <row r="13" spans="1:32" s="17" customFormat="1" ht="23.25" customHeight="1" x14ac:dyDescent="0.2">
      <c r="A13" s="413" t="s">
        <v>76</v>
      </c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79"/>
      <c r="O13" s="31"/>
      <c r="P13" s="31" t="s">
        <v>31</v>
      </c>
      <c r="Q13" s="414"/>
      <c r="R13" s="4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3" t="s">
        <v>77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5" t="s">
        <v>78</v>
      </c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80"/>
      <c r="O15"/>
      <c r="P15" s="416" t="s">
        <v>61</v>
      </c>
      <c r="Q15" s="416"/>
      <c r="R15" s="416"/>
      <c r="S15" s="416"/>
      <c r="T15" s="41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7"/>
      <c r="Q16" s="417"/>
      <c r="R16" s="417"/>
      <c r="S16" s="417"/>
      <c r="T16" s="41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9" t="s">
        <v>59</v>
      </c>
      <c r="B17" s="399" t="s">
        <v>49</v>
      </c>
      <c r="C17" s="420" t="s">
        <v>48</v>
      </c>
      <c r="D17" s="422" t="s">
        <v>50</v>
      </c>
      <c r="E17" s="423"/>
      <c r="F17" s="399" t="s">
        <v>21</v>
      </c>
      <c r="G17" s="399" t="s">
        <v>24</v>
      </c>
      <c r="H17" s="399" t="s">
        <v>22</v>
      </c>
      <c r="I17" s="399" t="s">
        <v>23</v>
      </c>
      <c r="J17" s="399" t="s">
        <v>16</v>
      </c>
      <c r="K17" s="399" t="s">
        <v>69</v>
      </c>
      <c r="L17" s="399" t="s">
        <v>67</v>
      </c>
      <c r="M17" s="399" t="s">
        <v>2</v>
      </c>
      <c r="N17" s="399" t="s">
        <v>66</v>
      </c>
      <c r="O17" s="399" t="s">
        <v>25</v>
      </c>
      <c r="P17" s="422" t="s">
        <v>17</v>
      </c>
      <c r="Q17" s="426"/>
      <c r="R17" s="426"/>
      <c r="S17" s="426"/>
      <c r="T17" s="423"/>
      <c r="U17" s="418" t="s">
        <v>56</v>
      </c>
      <c r="V17" s="419"/>
      <c r="W17" s="399" t="s">
        <v>6</v>
      </c>
      <c r="X17" s="399" t="s">
        <v>41</v>
      </c>
      <c r="Y17" s="401" t="s">
        <v>54</v>
      </c>
      <c r="Z17" s="403" t="s">
        <v>18</v>
      </c>
      <c r="AA17" s="405" t="s">
        <v>60</v>
      </c>
      <c r="AB17" s="405" t="s">
        <v>19</v>
      </c>
      <c r="AC17" s="405" t="s">
        <v>68</v>
      </c>
      <c r="AD17" s="407" t="s">
        <v>57</v>
      </c>
      <c r="AE17" s="408"/>
      <c r="AF17" s="409"/>
      <c r="AG17" s="85"/>
      <c r="BD17" s="84" t="s">
        <v>64</v>
      </c>
    </row>
    <row r="18" spans="1:68" ht="14.25" customHeight="1" x14ac:dyDescent="0.2">
      <c r="A18" s="400"/>
      <c r="B18" s="400"/>
      <c r="C18" s="421"/>
      <c r="D18" s="424"/>
      <c r="E18" s="425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24"/>
      <c r="Q18" s="427"/>
      <c r="R18" s="427"/>
      <c r="S18" s="427"/>
      <c r="T18" s="425"/>
      <c r="U18" s="86" t="s">
        <v>44</v>
      </c>
      <c r="V18" s="86" t="s">
        <v>43</v>
      </c>
      <c r="W18" s="400"/>
      <c r="X18" s="400"/>
      <c r="Y18" s="402"/>
      <c r="Z18" s="404"/>
      <c r="AA18" s="406"/>
      <c r="AB18" s="406"/>
      <c r="AC18" s="406"/>
      <c r="AD18" s="410"/>
      <c r="AE18" s="411"/>
      <c r="AF18" s="412"/>
      <c r="AG18" s="85"/>
      <c r="BD18" s="84"/>
    </row>
    <row r="19" spans="1:68" ht="27.75" customHeight="1" x14ac:dyDescent="0.2">
      <c r="A19" s="314" t="s">
        <v>81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54"/>
      <c r="AB19" s="54"/>
      <c r="AC19" s="54"/>
    </row>
    <row r="20" spans="1:68" ht="16.5" customHeight="1" x14ac:dyDescent="0.25">
      <c r="A20" s="315" t="s">
        <v>81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65"/>
      <c r="AB20" s="65"/>
      <c r="AC20" s="82"/>
    </row>
    <row r="21" spans="1:68" ht="14.25" customHeight="1" x14ac:dyDescent="0.25">
      <c r="A21" s="305" t="s">
        <v>82</v>
      </c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87">
        <v>4620207491508</v>
      </c>
      <c r="E22" s="28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87">
        <v>4620207491256</v>
      </c>
      <c r="E23" s="28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287">
        <v>4607111035912</v>
      </c>
      <c r="E24" s="28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9"/>
      <c r="R24" s="289"/>
      <c r="S24" s="289"/>
      <c r="T24" s="29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287">
        <v>4607111035103</v>
      </c>
      <c r="E25" s="28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9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9"/>
      <c r="R25" s="289"/>
      <c r="S25" s="289"/>
      <c r="T25" s="29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287">
        <v>4607111035929</v>
      </c>
      <c r="E26" s="28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9"/>
      <c r="R26" s="289"/>
      <c r="S26" s="289"/>
      <c r="T26" s="29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287">
        <v>4607111035882</v>
      </c>
      <c r="E27" s="287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9"/>
      <c r="R27" s="289"/>
      <c r="S27" s="289"/>
      <c r="T27" s="29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287">
        <v>4607111035110</v>
      </c>
      <c r="E28" s="287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9"/>
      <c r="R28" s="289"/>
      <c r="S28" s="289"/>
      <c r="T28" s="29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287">
        <v>4607111035905</v>
      </c>
      <c r="E29" s="28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5" t="s">
        <v>105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65"/>
      <c r="AB32" s="65"/>
      <c r="AC32" s="82"/>
    </row>
    <row r="33" spans="1:68" ht="14.25" customHeight="1" x14ac:dyDescent="0.25">
      <c r="A33" s="305" t="s">
        <v>82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287">
        <v>4607111039019</v>
      </c>
      <c r="E34" s="28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287">
        <v>4607111038708</v>
      </c>
      <c r="E35" s="28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4" t="s">
        <v>45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54"/>
      <c r="AB38" s="54"/>
      <c r="AC38" s="54"/>
    </row>
    <row r="39" spans="1:68" ht="16.5" customHeight="1" x14ac:dyDescent="0.25">
      <c r="A39" s="315" t="s">
        <v>111</v>
      </c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65"/>
      <c r="AB39" s="65"/>
      <c r="AC39" s="82"/>
    </row>
    <row r="40" spans="1:68" ht="14.25" customHeight="1" x14ac:dyDescent="0.25">
      <c r="A40" s="305" t="s">
        <v>112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87">
        <v>4607111036537</v>
      </c>
      <c r="E41" s="28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9" t="s">
        <v>46</v>
      </c>
      <c r="V41" s="39" t="s">
        <v>46</v>
      </c>
      <c r="W41" s="40" t="s">
        <v>39</v>
      </c>
      <c r="X41" s="58">
        <v>126</v>
      </c>
      <c r="Y41" s="55">
        <f>IFERROR(IF(X41="","",X41),"")</f>
        <v>126</v>
      </c>
      <c r="Z41" s="41">
        <f>IFERROR(IF(X41="","",X41*0.00941),"")</f>
        <v>1.1856599999999999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242.14679999999998</v>
      </c>
      <c r="BN41" s="81">
        <f>IFERROR(Y41*I41,"0")</f>
        <v>242.14679999999998</v>
      </c>
      <c r="BO41" s="81">
        <f>IFERROR(X41/J41,"0")</f>
        <v>0.9</v>
      </c>
      <c r="BP41" s="81">
        <f>IFERROR(Y41/J41,"0")</f>
        <v>0.9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87">
        <v>4607111036605</v>
      </c>
      <c r="E42" s="28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210</v>
      </c>
      <c r="Y43" s="43">
        <f>IFERROR(SUM(Y41:Y42),"0")</f>
        <v>210</v>
      </c>
      <c r="Z43" s="43">
        <f>IFERROR(IF(Z41="",0,Z41),"0")+IFERROR(IF(Z42="",0,Z42),"0")</f>
        <v>1.9761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315</v>
      </c>
      <c r="Y44" s="43">
        <f>IFERROR(SUMPRODUCT(Y41:Y42*H41:H42),"0")</f>
        <v>315</v>
      </c>
      <c r="Z44" s="42"/>
      <c r="AA44" s="67"/>
      <c r="AB44" s="67"/>
      <c r="AC44" s="67"/>
    </row>
    <row r="45" spans="1:68" ht="16.5" customHeight="1" x14ac:dyDescent="0.25">
      <c r="A45" s="315" t="s">
        <v>122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65"/>
      <c r="AB45" s="65"/>
      <c r="AC45" s="82"/>
    </row>
    <row r="46" spans="1:68" ht="14.25" customHeight="1" x14ac:dyDescent="0.25">
      <c r="A46" s="305" t="s">
        <v>82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287">
        <v>4620207490075</v>
      </c>
      <c r="E47" s="28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87">
        <v>4620207490174</v>
      </c>
      <c r="E48" s="28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287">
        <v>4620207490044</v>
      </c>
      <c r="E49" s="287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9"/>
      <c r="R49" s="289"/>
      <c r="S49" s="289"/>
      <c r="T49" s="290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5"/>
      <c r="P51" s="291" t="s">
        <v>40</v>
      </c>
      <c r="Q51" s="292"/>
      <c r="R51" s="292"/>
      <c r="S51" s="292"/>
      <c r="T51" s="292"/>
      <c r="U51" s="292"/>
      <c r="V51" s="293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15" t="s">
        <v>132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5"/>
      <c r="AB52" s="65"/>
      <c r="AC52" s="82"/>
    </row>
    <row r="53" spans="1:68" ht="14.25" customHeight="1" x14ac:dyDescent="0.25">
      <c r="A53" s="305" t="s">
        <v>82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287">
        <v>4607111039385</v>
      </c>
      <c r="E54" s="287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9"/>
      <c r="R54" s="289"/>
      <c r="S54" s="289"/>
      <c r="T54" s="290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287">
        <v>4607111038982</v>
      </c>
      <c r="E55" s="287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9"/>
      <c r="R55" s="289"/>
      <c r="S55" s="289"/>
      <c r="T55" s="290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287">
        <v>4607111039354</v>
      </c>
      <c r="E56" s="287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9"/>
      <c r="R56" s="289"/>
      <c r="S56" s="289"/>
      <c r="T56" s="290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287">
        <v>4607111039330</v>
      </c>
      <c r="E57" s="287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9"/>
      <c r="R57" s="289"/>
      <c r="S57" s="289"/>
      <c r="T57" s="290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2.75" customHeight="1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customHeight="1" x14ac:dyDescent="0.2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5"/>
      <c r="P59" s="291" t="s">
        <v>40</v>
      </c>
      <c r="Q59" s="292"/>
      <c r="R59" s="292"/>
      <c r="S59" s="292"/>
      <c r="T59" s="292"/>
      <c r="U59" s="292"/>
      <c r="V59" s="293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15" t="s">
        <v>143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5"/>
      <c r="AB60" s="65"/>
      <c r="AC60" s="82"/>
    </row>
    <row r="61" spans="1:68" ht="14.25" customHeight="1" x14ac:dyDescent="0.25">
      <c r="A61" s="305" t="s">
        <v>82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287">
        <v>4620207490822</v>
      </c>
      <c r="E62" s="287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9"/>
      <c r="R62" s="289"/>
      <c r="S62" s="289"/>
      <c r="T62" s="29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5"/>
      <c r="P64" s="291" t="s">
        <v>40</v>
      </c>
      <c r="Q64" s="292"/>
      <c r="R64" s="292"/>
      <c r="S64" s="292"/>
      <c r="T64" s="292"/>
      <c r="U64" s="292"/>
      <c r="V64" s="29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5" t="s">
        <v>112</v>
      </c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287">
        <v>4607111039712</v>
      </c>
      <c r="E66" s="287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9"/>
      <c r="R66" s="289"/>
      <c r="S66" s="289"/>
      <c r="T66" s="29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5"/>
      <c r="P68" s="291" t="s">
        <v>40</v>
      </c>
      <c r="Q68" s="292"/>
      <c r="R68" s="292"/>
      <c r="S68" s="292"/>
      <c r="T68" s="292"/>
      <c r="U68" s="292"/>
      <c r="V68" s="29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5" t="s">
        <v>150</v>
      </c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287">
        <v>4607111037008</v>
      </c>
      <c r="E70" s="287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9"/>
      <c r="R70" s="289"/>
      <c r="S70" s="289"/>
      <c r="T70" s="29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287">
        <v>4607111037398</v>
      </c>
      <c r="E71" s="287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9"/>
      <c r="R71" s="289"/>
      <c r="S71" s="289"/>
      <c r="T71" s="29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5" t="s">
        <v>156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287">
        <v>4607111039705</v>
      </c>
      <c r="E75" s="28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9"/>
      <c r="R75" s="289"/>
      <c r="S75" s="289"/>
      <c r="T75" s="29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287">
        <v>4607111039729</v>
      </c>
      <c r="E76" s="287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9"/>
      <c r="R76" s="289"/>
      <c r="S76" s="289"/>
      <c r="T76" s="290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287">
        <v>4620207490228</v>
      </c>
      <c r="E77" s="287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9"/>
      <c r="R77" s="289"/>
      <c r="S77" s="289"/>
      <c r="T77" s="29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15" t="s">
        <v>164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65"/>
      <c r="AB80" s="65"/>
      <c r="AC80" s="82"/>
    </row>
    <row r="81" spans="1:68" ht="14.25" customHeight="1" x14ac:dyDescent="0.25">
      <c r="A81" s="305" t="s">
        <v>82</v>
      </c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287">
        <v>4607111037411</v>
      </c>
      <c r="E82" s="287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9"/>
      <c r="R82" s="289"/>
      <c r="S82" s="289"/>
      <c r="T82" s="290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287">
        <v>4607111036728</v>
      </c>
      <c r="E83" s="287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9"/>
      <c r="R83" s="289"/>
      <c r="S83" s="289"/>
      <c r="T83" s="290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5"/>
      <c r="P85" s="291" t="s">
        <v>40</v>
      </c>
      <c r="Q85" s="292"/>
      <c r="R85" s="292"/>
      <c r="S85" s="292"/>
      <c r="T85" s="292"/>
      <c r="U85" s="292"/>
      <c r="V85" s="293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15" t="s">
        <v>171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5"/>
      <c r="AB86" s="65"/>
      <c r="AC86" s="82"/>
    </row>
    <row r="87" spans="1:68" ht="14.25" customHeight="1" x14ac:dyDescent="0.25">
      <c r="A87" s="305" t="s">
        <v>156</v>
      </c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287">
        <v>4607111033659</v>
      </c>
      <c r="E88" s="28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9"/>
      <c r="R88" s="289"/>
      <c r="S88" s="289"/>
      <c r="T88" s="290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12.75" customHeight="1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IFERROR(SUM(X88:X88),"0")</f>
        <v>28</v>
      </c>
      <c r="Y89" s="43">
        <f>IFERROR(SUM(Y88:Y88),"0")</f>
        <v>28</v>
      </c>
      <c r="Z89" s="43">
        <f>IFERROR(IF(Z88="",0,Z88),"0")</f>
        <v>0.50063999999999997</v>
      </c>
      <c r="AA89" s="67"/>
      <c r="AB89" s="67"/>
      <c r="AC89" s="67"/>
    </row>
    <row r="90" spans="1:68" ht="12.75" customHeight="1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IFERROR(SUMPRODUCT(X88:X88*H88:H88),"0")</f>
        <v>100.8</v>
      </c>
      <c r="Y90" s="43">
        <f>IFERROR(SUMPRODUCT(Y88:Y88*H88:H88),"0")</f>
        <v>100.8</v>
      </c>
      <c r="Z90" s="42"/>
      <c r="AA90" s="67"/>
      <c r="AB90" s="67"/>
      <c r="AC90" s="67"/>
    </row>
    <row r="91" spans="1:68" ht="16.5" customHeight="1" x14ac:dyDescent="0.25">
      <c r="A91" s="315" t="s">
        <v>175</v>
      </c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65"/>
      <c r="AB91" s="65"/>
      <c r="AC91" s="82"/>
    </row>
    <row r="92" spans="1:68" ht="14.25" customHeight="1" x14ac:dyDescent="0.25">
      <c r="A92" s="305" t="s">
        <v>176</v>
      </c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287">
        <v>4607111034120</v>
      </c>
      <c r="E93" s="287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9"/>
      <c r="R93" s="289"/>
      <c r="S93" s="289"/>
      <c r="T93" s="290"/>
      <c r="U93" s="39" t="s">
        <v>46</v>
      </c>
      <c r="V93" s="39" t="s">
        <v>46</v>
      </c>
      <c r="W93" s="40" t="s">
        <v>39</v>
      </c>
      <c r="X93" s="58">
        <v>98</v>
      </c>
      <c r="Y93" s="55">
        <f>IFERROR(IF(X93="","",X93),"")</f>
        <v>98</v>
      </c>
      <c r="Z93" s="41">
        <f>IFERROR(IF(X93="","",X93*0.01788),"")</f>
        <v>1.75224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421.75280000000004</v>
      </c>
      <c r="BN93" s="81">
        <f>IFERROR(Y93*I93,"0")</f>
        <v>421.75280000000004</v>
      </c>
      <c r="BO93" s="81">
        <f>IFERROR(X93/J93,"0")</f>
        <v>1.4</v>
      </c>
      <c r="BP93" s="81">
        <f>IFERROR(Y93/J93,"0")</f>
        <v>1.4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287">
        <v>4607111034137</v>
      </c>
      <c r="E94" s="287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9"/>
      <c r="R94" s="289"/>
      <c r="S94" s="289"/>
      <c r="T94" s="290"/>
      <c r="U94" s="39" t="s">
        <v>46</v>
      </c>
      <c r="V94" s="39" t="s">
        <v>46</v>
      </c>
      <c r="W94" s="40" t="s">
        <v>39</v>
      </c>
      <c r="X94" s="58">
        <v>70</v>
      </c>
      <c r="Y94" s="55">
        <f>IFERROR(IF(X94="","",X94),"")</f>
        <v>70</v>
      </c>
      <c r="Z94" s="41">
        <f>IFERROR(IF(X94="","",X94*0.01788),"")</f>
        <v>1.2516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301.25200000000001</v>
      </c>
      <c r="BN94" s="81">
        <f>IFERROR(Y94*I94,"0")</f>
        <v>301.25200000000001</v>
      </c>
      <c r="BO94" s="81">
        <f>IFERROR(X94/J94,"0")</f>
        <v>1</v>
      </c>
      <c r="BP94" s="81">
        <f>IFERROR(Y94/J94,"0")</f>
        <v>1</v>
      </c>
    </row>
    <row r="95" spans="1:68" x14ac:dyDescent="0.2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5"/>
      <c r="P95" s="291" t="s">
        <v>40</v>
      </c>
      <c r="Q95" s="292"/>
      <c r="R95" s="292"/>
      <c r="S95" s="292"/>
      <c r="T95" s="292"/>
      <c r="U95" s="292"/>
      <c r="V95" s="293"/>
      <c r="W95" s="42" t="s">
        <v>39</v>
      </c>
      <c r="X95" s="43">
        <f>IFERROR(SUM(X93:X94),"0")</f>
        <v>168</v>
      </c>
      <c r="Y95" s="43">
        <f>IFERROR(SUM(Y93:Y94),"0")</f>
        <v>168</v>
      </c>
      <c r="Z95" s="43">
        <f>IFERROR(IF(Z93="",0,Z93),"0")+IFERROR(IF(Z94="",0,Z94),"0")</f>
        <v>3.0038400000000003</v>
      </c>
      <c r="AA95" s="67"/>
      <c r="AB95" s="67"/>
      <c r="AC95" s="67"/>
    </row>
    <row r="96" spans="1:68" x14ac:dyDescent="0.2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5"/>
      <c r="P96" s="291" t="s">
        <v>40</v>
      </c>
      <c r="Q96" s="292"/>
      <c r="R96" s="292"/>
      <c r="S96" s="292"/>
      <c r="T96" s="292"/>
      <c r="U96" s="292"/>
      <c r="V96" s="293"/>
      <c r="W96" s="42" t="s">
        <v>0</v>
      </c>
      <c r="X96" s="43">
        <f>IFERROR(SUMPRODUCT(X93:X94*H93:H94),"0")</f>
        <v>604.79999999999995</v>
      </c>
      <c r="Y96" s="43">
        <f>IFERROR(SUMPRODUCT(Y93:Y94*H93:H94),"0")</f>
        <v>604.79999999999995</v>
      </c>
      <c r="Z96" s="42"/>
      <c r="AA96" s="67"/>
      <c r="AB96" s="67"/>
      <c r="AC96" s="67"/>
    </row>
    <row r="97" spans="1:68" ht="16.5" customHeight="1" x14ac:dyDescent="0.25">
      <c r="A97" s="315" t="s">
        <v>183</v>
      </c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65"/>
      <c r="AB97" s="65"/>
      <c r="AC97" s="82"/>
    </row>
    <row r="98" spans="1:68" ht="14.25" customHeight="1" x14ac:dyDescent="0.25">
      <c r="A98" s="305" t="s">
        <v>156</v>
      </c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287">
        <v>4620207491027</v>
      </c>
      <c r="E99" s="28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9"/>
      <c r="R99" s="289"/>
      <c r="S99" s="289"/>
      <c r="T99" s="290"/>
      <c r="U99" s="39" t="s">
        <v>46</v>
      </c>
      <c r="V99" s="39" t="s">
        <v>46</v>
      </c>
      <c r="W99" s="40" t="s">
        <v>39</v>
      </c>
      <c r="X99" s="58">
        <v>70</v>
      </c>
      <c r="Y99" s="55">
        <f t="shared" ref="Y99:Y104" si="6">IFERROR(IF(X99="","",X99),"")</f>
        <v>70</v>
      </c>
      <c r="Z99" s="41">
        <f t="shared" ref="Z99:Z104" si="7">IFERROR(IF(X99="","",X99*0.01788),"")</f>
        <v>1.2516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250.852</v>
      </c>
      <c r="BN99" s="81">
        <f t="shared" ref="BN99:BN104" si="9">IFERROR(Y99*I99,"0")</f>
        <v>250.852</v>
      </c>
      <c r="BO99" s="81">
        <f t="shared" ref="BO99:BO104" si="10">IFERROR(X99/J99,"0")</f>
        <v>1</v>
      </c>
      <c r="BP99" s="81">
        <f t="shared" ref="BP99:BP104" si="11">IFERROR(Y99/J99,"0")</f>
        <v>1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287">
        <v>4620207491003</v>
      </c>
      <c r="E100" s="28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9"/>
      <c r="R100" s="289"/>
      <c r="S100" s="289"/>
      <c r="T100" s="290"/>
      <c r="U100" s="39" t="s">
        <v>46</v>
      </c>
      <c r="V100" s="39" t="s">
        <v>46</v>
      </c>
      <c r="W100" s="40" t="s">
        <v>39</v>
      </c>
      <c r="X100" s="58">
        <v>84</v>
      </c>
      <c r="Y100" s="55">
        <f t="shared" si="6"/>
        <v>84</v>
      </c>
      <c r="Z100" s="41">
        <f t="shared" si="7"/>
        <v>1.5019199999999999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301.0224</v>
      </c>
      <c r="BN100" s="81">
        <f t="shared" si="9"/>
        <v>301.0224</v>
      </c>
      <c r="BO100" s="81">
        <f t="shared" si="10"/>
        <v>1.2</v>
      </c>
      <c r="BP100" s="81">
        <f t="shared" si="11"/>
        <v>1.2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287">
        <v>4620207491034</v>
      </c>
      <c r="E101" s="287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9"/>
      <c r="R101" s="289"/>
      <c r="S101" s="289"/>
      <c r="T101" s="290"/>
      <c r="U101" s="39" t="s">
        <v>46</v>
      </c>
      <c r="V101" s="39" t="s">
        <v>46</v>
      </c>
      <c r="W101" s="40" t="s">
        <v>39</v>
      </c>
      <c r="X101" s="58">
        <v>42</v>
      </c>
      <c r="Y101" s="55">
        <f t="shared" si="6"/>
        <v>42</v>
      </c>
      <c r="Z101" s="41">
        <f t="shared" si="7"/>
        <v>0.75095999999999996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150.5112</v>
      </c>
      <c r="BN101" s="81">
        <f t="shared" si="9"/>
        <v>150.5112</v>
      </c>
      <c r="BO101" s="81">
        <f t="shared" si="10"/>
        <v>0.6</v>
      </c>
      <c r="BP101" s="81">
        <f t="shared" si="11"/>
        <v>0.6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287">
        <v>4620207491010</v>
      </c>
      <c r="E102" s="287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9"/>
      <c r="R102" s="289"/>
      <c r="S102" s="289"/>
      <c r="T102" s="290"/>
      <c r="U102" s="39" t="s">
        <v>46</v>
      </c>
      <c r="V102" s="39" t="s">
        <v>46</v>
      </c>
      <c r="W102" s="40" t="s">
        <v>39</v>
      </c>
      <c r="X102" s="58">
        <v>98</v>
      </c>
      <c r="Y102" s="55">
        <f t="shared" si="6"/>
        <v>98</v>
      </c>
      <c r="Z102" s="41">
        <f t="shared" si="7"/>
        <v>1.75224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351.19280000000003</v>
      </c>
      <c r="BN102" s="81">
        <f t="shared" si="9"/>
        <v>351.19280000000003</v>
      </c>
      <c r="BO102" s="81">
        <f t="shared" si="10"/>
        <v>1.4</v>
      </c>
      <c r="BP102" s="81">
        <f t="shared" si="11"/>
        <v>1.4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287">
        <v>4607111035028</v>
      </c>
      <c r="E103" s="287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9"/>
      <c r="R103" s="289"/>
      <c r="S103" s="289"/>
      <c r="T103" s="290"/>
      <c r="U103" s="39" t="s">
        <v>46</v>
      </c>
      <c r="V103" s="39" t="s">
        <v>46</v>
      </c>
      <c r="W103" s="40" t="s">
        <v>39</v>
      </c>
      <c r="X103" s="58">
        <v>14</v>
      </c>
      <c r="Y103" s="55">
        <f t="shared" si="6"/>
        <v>14</v>
      </c>
      <c r="Z103" s="41">
        <f t="shared" si="7"/>
        <v>0.25031999999999999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62.283200000000008</v>
      </c>
      <c r="BN103" s="81">
        <f t="shared" si="9"/>
        <v>62.283200000000008</v>
      </c>
      <c r="BO103" s="81">
        <f t="shared" si="10"/>
        <v>0.2</v>
      </c>
      <c r="BP103" s="81">
        <f t="shared" si="11"/>
        <v>0.2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287">
        <v>4607111036407</v>
      </c>
      <c r="E104" s="287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9"/>
      <c r="R104" s="289"/>
      <c r="S104" s="289"/>
      <c r="T104" s="290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IFERROR(SUM(X99:X104),"0")</f>
        <v>308</v>
      </c>
      <c r="Y105" s="43">
        <f>IFERROR(SUM(Y99:Y104),"0")</f>
        <v>308</v>
      </c>
      <c r="Z105" s="43">
        <f>IFERROR(IF(Z99="",0,Z99),"0")+IFERROR(IF(Z100="",0,Z100),"0")+IFERROR(IF(Z101="",0,Z101),"0")+IFERROR(IF(Z102="",0,Z102),"0")+IFERROR(IF(Z103="",0,Z103),"0")+IFERROR(IF(Z104="",0,Z104),"0")</f>
        <v>5.5070399999999999</v>
      </c>
      <c r="AA105" s="67"/>
      <c r="AB105" s="67"/>
      <c r="AC105" s="67"/>
    </row>
    <row r="106" spans="1:68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IFERROR(SUMPRODUCT(X99:X104*H99:H104),"0")</f>
        <v>900.48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15" t="s">
        <v>198</v>
      </c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65"/>
      <c r="AB107" s="65"/>
      <c r="AC107" s="82"/>
    </row>
    <row r="108" spans="1:68" ht="14.25" customHeight="1" x14ac:dyDescent="0.25">
      <c r="A108" s="305" t="s">
        <v>150</v>
      </c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287">
        <v>4607025784012</v>
      </c>
      <c r="E109" s="287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9"/>
      <c r="R109" s="289"/>
      <c r="S109" s="289"/>
      <c r="T109" s="290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287">
        <v>4607025784319</v>
      </c>
      <c r="E110" s="287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9"/>
      <c r="R110" s="289"/>
      <c r="S110" s="289"/>
      <c r="T110" s="290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5"/>
      <c r="P111" s="291" t="s">
        <v>40</v>
      </c>
      <c r="Q111" s="292"/>
      <c r="R111" s="292"/>
      <c r="S111" s="292"/>
      <c r="T111" s="292"/>
      <c r="U111" s="292"/>
      <c r="V111" s="29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5"/>
      <c r="P112" s="291" t="s">
        <v>40</v>
      </c>
      <c r="Q112" s="292"/>
      <c r="R112" s="292"/>
      <c r="S112" s="292"/>
      <c r="T112" s="292"/>
      <c r="U112" s="292"/>
      <c r="V112" s="29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15" t="s">
        <v>204</v>
      </c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65"/>
      <c r="AB113" s="65"/>
      <c r="AC113" s="82"/>
    </row>
    <row r="114" spans="1:68" ht="14.25" customHeight="1" x14ac:dyDescent="0.25">
      <c r="A114" s="305" t="s">
        <v>82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287">
        <v>4620207491157</v>
      </c>
      <c r="E115" s="287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9"/>
      <c r="R115" s="289"/>
      <c r="S115" s="289"/>
      <c r="T115" s="29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287">
        <v>4620207491393</v>
      </c>
      <c r="E116" s="287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9"/>
      <c r="R116" s="289"/>
      <c r="S116" s="289"/>
      <c r="T116" s="29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287">
        <v>4607111039262</v>
      </c>
      <c r="E117" s="287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35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9"/>
      <c r="R117" s="289"/>
      <c r="S117" s="289"/>
      <c r="T117" s="290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287">
        <v>4607111039248</v>
      </c>
      <c r="E118" s="287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35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9"/>
      <c r="R118" s="289"/>
      <c r="S118" s="289"/>
      <c r="T118" s="290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287">
        <v>4607111037145</v>
      </c>
      <c r="E119" s="287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9"/>
      <c r="R119" s="289"/>
      <c r="S119" s="289"/>
      <c r="T119" s="29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287">
        <v>4607111039293</v>
      </c>
      <c r="E120" s="287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9"/>
      <c r="R120" s="289"/>
      <c r="S120" s="289"/>
      <c r="T120" s="290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287">
        <v>4607111039279</v>
      </c>
      <c r="E121" s="287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9"/>
      <c r="R121" s="289"/>
      <c r="S121" s="289"/>
      <c r="T121" s="290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5"/>
      <c r="P122" s="291" t="s">
        <v>40</v>
      </c>
      <c r="Q122" s="292"/>
      <c r="R122" s="292"/>
      <c r="S122" s="292"/>
      <c r="T122" s="292"/>
      <c r="U122" s="292"/>
      <c r="V122" s="293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5"/>
      <c r="P123" s="291" t="s">
        <v>40</v>
      </c>
      <c r="Q123" s="292"/>
      <c r="R123" s="292"/>
      <c r="S123" s="292"/>
      <c r="T123" s="292"/>
      <c r="U123" s="292"/>
      <c r="V123" s="293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05" t="s">
        <v>156</v>
      </c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287">
        <v>4620207490983</v>
      </c>
      <c r="E125" s="287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35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5"/>
      <c r="P126" s="291" t="s">
        <v>40</v>
      </c>
      <c r="Q126" s="292"/>
      <c r="R126" s="292"/>
      <c r="S126" s="292"/>
      <c r="T126" s="292"/>
      <c r="U126" s="292"/>
      <c r="V126" s="29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5"/>
      <c r="P127" s="291" t="s">
        <v>40</v>
      </c>
      <c r="Q127" s="292"/>
      <c r="R127" s="292"/>
      <c r="S127" s="292"/>
      <c r="T127" s="292"/>
      <c r="U127" s="292"/>
      <c r="V127" s="29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5" t="s">
        <v>225</v>
      </c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287">
        <v>4620207491140</v>
      </c>
      <c r="E129" s="287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5"/>
      <c r="P131" s="291" t="s">
        <v>40</v>
      </c>
      <c r="Q131" s="292"/>
      <c r="R131" s="292"/>
      <c r="S131" s="292"/>
      <c r="T131" s="292"/>
      <c r="U131" s="292"/>
      <c r="V131" s="29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5" t="s">
        <v>229</v>
      </c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65"/>
      <c r="AB132" s="65"/>
      <c r="AC132" s="82"/>
    </row>
    <row r="133" spans="1:68" ht="14.25" customHeight="1" x14ac:dyDescent="0.25">
      <c r="A133" s="305" t="s">
        <v>230</v>
      </c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287">
        <v>4620207491386</v>
      </c>
      <c r="E134" s="287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35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9"/>
      <c r="R134" s="289"/>
      <c r="S134" s="289"/>
      <c r="T134" s="29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5"/>
      <c r="P135" s="291" t="s">
        <v>40</v>
      </c>
      <c r="Q135" s="292"/>
      <c r="R135" s="292"/>
      <c r="S135" s="292"/>
      <c r="T135" s="292"/>
      <c r="U135" s="292"/>
      <c r="V135" s="293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15" t="s">
        <v>234</v>
      </c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65"/>
      <c r="AB137" s="65"/>
      <c r="AC137" s="82"/>
    </row>
    <row r="138" spans="1:68" ht="14.25" customHeight="1" x14ac:dyDescent="0.25">
      <c r="A138" s="305" t="s">
        <v>156</v>
      </c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287">
        <v>4620207491485</v>
      </c>
      <c r="E139" s="287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34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9"/>
      <c r="R139" s="289"/>
      <c r="S139" s="289"/>
      <c r="T139" s="29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287">
        <v>4607111034014</v>
      </c>
      <c r="E140" s="28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9"/>
      <c r="R140" s="289"/>
      <c r="S140" s="289"/>
      <c r="T140" s="290"/>
      <c r="U140" s="39" t="s">
        <v>46</v>
      </c>
      <c r="V140" s="39" t="s">
        <v>46</v>
      </c>
      <c r="W140" s="40" t="s">
        <v>39</v>
      </c>
      <c r="X140" s="58">
        <v>126</v>
      </c>
      <c r="Y140" s="55">
        <f>IFERROR(IF(X140="","",X140),"")</f>
        <v>126</v>
      </c>
      <c r="Z140" s="41">
        <f>IFERROR(IF(X140="","",X140*0.01788),"")</f>
        <v>2.2528800000000002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466.65359999999998</v>
      </c>
      <c r="BN140" s="81">
        <f>IFERROR(Y140*I140,"0")</f>
        <v>466.65359999999998</v>
      </c>
      <c r="BO140" s="81">
        <f>IFERROR(X140/J140,"0")</f>
        <v>1.8</v>
      </c>
      <c r="BP140" s="81">
        <f>IFERROR(Y140/J140,"0")</f>
        <v>1.8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287">
        <v>4607111033994</v>
      </c>
      <c r="E141" s="287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9"/>
      <c r="R141" s="289"/>
      <c r="S141" s="289"/>
      <c r="T141" s="290"/>
      <c r="U141" s="39" t="s">
        <v>46</v>
      </c>
      <c r="V141" s="39" t="s">
        <v>46</v>
      </c>
      <c r="W141" s="40" t="s">
        <v>39</v>
      </c>
      <c r="X141" s="58">
        <v>126</v>
      </c>
      <c r="Y141" s="55">
        <f>IFERROR(IF(X141="","",X141),"")</f>
        <v>126</v>
      </c>
      <c r="Z141" s="41">
        <f>IFERROR(IF(X141="","",X141*0.01788),"")</f>
        <v>2.2528800000000002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466.65359999999998</v>
      </c>
      <c r="BN141" s="81">
        <f>IFERROR(Y141*I141,"0")</f>
        <v>466.65359999999998</v>
      </c>
      <c r="BO141" s="81">
        <f>IFERROR(X141/J141,"0")</f>
        <v>1.8</v>
      </c>
      <c r="BP141" s="81">
        <f>IFERROR(Y141/J141,"0")</f>
        <v>1.8</v>
      </c>
    </row>
    <row r="142" spans="1:68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252</v>
      </c>
      <c r="Y142" s="43">
        <f>IFERROR(SUM(Y139:Y141),"0")</f>
        <v>252</v>
      </c>
      <c r="Z142" s="43">
        <f>IFERROR(IF(Z139="",0,Z139),"0")+IFERROR(IF(Z140="",0,Z140),"0")+IFERROR(IF(Z141="",0,Z141),"0")</f>
        <v>4.5057600000000004</v>
      </c>
      <c r="AA142" s="67"/>
      <c r="AB142" s="67"/>
      <c r="AC142" s="67"/>
    </row>
    <row r="143" spans="1:68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756</v>
      </c>
      <c r="Y143" s="43">
        <f>IFERROR(SUMPRODUCT(Y139:Y141*H139:H141),"0")</f>
        <v>756</v>
      </c>
      <c r="Z143" s="42"/>
      <c r="AA143" s="67"/>
      <c r="AB143" s="67"/>
      <c r="AC143" s="67"/>
    </row>
    <row r="144" spans="1:68" ht="16.5" customHeight="1" x14ac:dyDescent="0.25">
      <c r="A144" s="315" t="s">
        <v>243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65"/>
      <c r="AB144" s="65"/>
      <c r="AC144" s="82"/>
    </row>
    <row r="145" spans="1:68" ht="14.25" customHeight="1" x14ac:dyDescent="0.25">
      <c r="A145" s="305" t="s">
        <v>156</v>
      </c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287">
        <v>4620207491492</v>
      </c>
      <c r="E146" s="287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34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9"/>
      <c r="R146" s="289"/>
      <c r="S146" s="289"/>
      <c r="T146" s="29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287">
        <v>4607111039095</v>
      </c>
      <c r="E147" s="287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9"/>
      <c r="R147" s="289"/>
      <c r="S147" s="289"/>
      <c r="T147" s="290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287">
        <v>4607111034199</v>
      </c>
      <c r="E148" s="287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9"/>
      <c r="R148" s="289"/>
      <c r="S148" s="289"/>
      <c r="T148" s="290"/>
      <c r="U148" s="39" t="s">
        <v>46</v>
      </c>
      <c r="V148" s="39" t="s">
        <v>46</v>
      </c>
      <c r="W148" s="40" t="s">
        <v>39</v>
      </c>
      <c r="X148" s="58">
        <v>140</v>
      </c>
      <c r="Y148" s="55">
        <f>IFERROR(IF(X148="","",X148),"")</f>
        <v>140</v>
      </c>
      <c r="Z148" s="41">
        <f>IFERROR(IF(X148="","",X148*0.01788),"")</f>
        <v>2.5032000000000001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518.50400000000002</v>
      </c>
      <c r="BN148" s="81">
        <f>IFERROR(Y148*I148,"0")</f>
        <v>518.50400000000002</v>
      </c>
      <c r="BO148" s="81">
        <f>IFERROR(X148/J148,"0")</f>
        <v>2</v>
      </c>
      <c r="BP148" s="81">
        <f>IFERROR(Y148/J148,"0")</f>
        <v>2</v>
      </c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39</v>
      </c>
      <c r="X149" s="43">
        <f>IFERROR(SUM(X146:X148),"0")</f>
        <v>140</v>
      </c>
      <c r="Y149" s="43">
        <f>IFERROR(SUM(Y146:Y148),"0")</f>
        <v>140</v>
      </c>
      <c r="Z149" s="43">
        <f>IFERROR(IF(Z146="",0,Z146),"0")+IFERROR(IF(Z147="",0,Z147),"0")+IFERROR(IF(Z148="",0,Z148),"0")</f>
        <v>2.5032000000000001</v>
      </c>
      <c r="AA149" s="67"/>
      <c r="AB149" s="67"/>
      <c r="AC149" s="67"/>
    </row>
    <row r="150" spans="1:68" x14ac:dyDescent="0.2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5"/>
      <c r="P150" s="291" t="s">
        <v>40</v>
      </c>
      <c r="Q150" s="292"/>
      <c r="R150" s="292"/>
      <c r="S150" s="292"/>
      <c r="T150" s="292"/>
      <c r="U150" s="292"/>
      <c r="V150" s="293"/>
      <c r="W150" s="42" t="s">
        <v>0</v>
      </c>
      <c r="X150" s="43">
        <f>IFERROR(SUMPRODUCT(X146:X148*H146:H148),"0")</f>
        <v>420</v>
      </c>
      <c r="Y150" s="43">
        <f>IFERROR(SUMPRODUCT(Y146:Y148*H146:H148),"0")</f>
        <v>420</v>
      </c>
      <c r="Z150" s="42"/>
      <c r="AA150" s="67"/>
      <c r="AB150" s="67"/>
      <c r="AC150" s="67"/>
    </row>
    <row r="151" spans="1:68" ht="16.5" customHeight="1" x14ac:dyDescent="0.25">
      <c r="A151" s="315" t="s">
        <v>252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5"/>
      <c r="AB151" s="65"/>
      <c r="AC151" s="82"/>
    </row>
    <row r="152" spans="1:68" ht="14.25" customHeight="1" x14ac:dyDescent="0.25">
      <c r="A152" s="305" t="s">
        <v>156</v>
      </c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287">
        <v>4620207490914</v>
      </c>
      <c r="E153" s="287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9"/>
      <c r="R153" s="289"/>
      <c r="S153" s="289"/>
      <c r="T153" s="290"/>
      <c r="U153" s="39" t="s">
        <v>46</v>
      </c>
      <c r="V153" s="39" t="s">
        <v>46</v>
      </c>
      <c r="W153" s="40" t="s">
        <v>39</v>
      </c>
      <c r="X153" s="58">
        <v>56</v>
      </c>
      <c r="Y153" s="55">
        <f>IFERROR(IF(X153="","",X153),"")</f>
        <v>56</v>
      </c>
      <c r="Z153" s="41">
        <f>IFERROR(IF(X153="","",X153*0.01788),"")</f>
        <v>1.0012799999999999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150.08000000000001</v>
      </c>
      <c r="BN153" s="81">
        <f>IFERROR(Y153*I153,"0")</f>
        <v>150.08000000000001</v>
      </c>
      <c r="BO153" s="81">
        <f>IFERROR(X153/J153,"0")</f>
        <v>0.8</v>
      </c>
      <c r="BP153" s="81">
        <f>IFERROR(Y153/J153,"0")</f>
        <v>0.8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287">
        <v>4620207490853</v>
      </c>
      <c r="E154" s="287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9"/>
      <c r="R154" s="289"/>
      <c r="S154" s="289"/>
      <c r="T154" s="290"/>
      <c r="U154" s="39" t="s">
        <v>46</v>
      </c>
      <c r="V154" s="39" t="s">
        <v>46</v>
      </c>
      <c r="W154" s="40" t="s">
        <v>39</v>
      </c>
      <c r="X154" s="58">
        <v>42</v>
      </c>
      <c r="Y154" s="55">
        <f>IFERROR(IF(X154="","",X154),"")</f>
        <v>42</v>
      </c>
      <c r="Z154" s="41">
        <f>IFERROR(IF(X154="","",X154*0.01788),"")</f>
        <v>0.75095999999999996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112.56</v>
      </c>
      <c r="BN154" s="81">
        <f>IFERROR(Y154*I154,"0")</f>
        <v>112.56</v>
      </c>
      <c r="BO154" s="81">
        <f>IFERROR(X154/J154,"0")</f>
        <v>0.6</v>
      </c>
      <c r="BP154" s="81">
        <f>IFERROR(Y154/J154,"0")</f>
        <v>0.6</v>
      </c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39</v>
      </c>
      <c r="X155" s="43">
        <f>IFERROR(SUM(X153:X154),"0")</f>
        <v>98</v>
      </c>
      <c r="Y155" s="43">
        <f>IFERROR(SUM(Y153:Y154),"0")</f>
        <v>98</v>
      </c>
      <c r="Z155" s="43">
        <f>IFERROR(IF(Z153="",0,Z153),"0")+IFERROR(IF(Z154="",0,Z154),"0")</f>
        <v>1.75224</v>
      </c>
      <c r="AA155" s="67"/>
      <c r="AB155" s="67"/>
      <c r="AC155" s="67"/>
    </row>
    <row r="156" spans="1:68" x14ac:dyDescent="0.2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5"/>
      <c r="P156" s="291" t="s">
        <v>40</v>
      </c>
      <c r="Q156" s="292"/>
      <c r="R156" s="292"/>
      <c r="S156" s="292"/>
      <c r="T156" s="292"/>
      <c r="U156" s="292"/>
      <c r="V156" s="293"/>
      <c r="W156" s="42" t="s">
        <v>0</v>
      </c>
      <c r="X156" s="43">
        <f>IFERROR(SUMPRODUCT(X153:X154*H153:H154),"0")</f>
        <v>235.2</v>
      </c>
      <c r="Y156" s="43">
        <f>IFERROR(SUMPRODUCT(Y153:Y154*H153:H154),"0")</f>
        <v>235.2</v>
      </c>
      <c r="Z156" s="42"/>
      <c r="AA156" s="67"/>
      <c r="AB156" s="67"/>
      <c r="AC156" s="67"/>
    </row>
    <row r="157" spans="1:68" ht="16.5" customHeight="1" x14ac:dyDescent="0.25">
      <c r="A157" s="315" t="s">
        <v>257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5"/>
      <c r="AB157" s="65"/>
      <c r="AC157" s="82"/>
    </row>
    <row r="158" spans="1:68" ht="14.25" customHeight="1" x14ac:dyDescent="0.25">
      <c r="A158" s="305" t="s">
        <v>156</v>
      </c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287">
        <v>4607111035806</v>
      </c>
      <c r="E159" s="287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9"/>
      <c r="R159" s="289"/>
      <c r="S159" s="289"/>
      <c r="T159" s="290"/>
      <c r="U159" s="39" t="s">
        <v>46</v>
      </c>
      <c r="V159" s="39" t="s">
        <v>46</v>
      </c>
      <c r="W159" s="40" t="s">
        <v>39</v>
      </c>
      <c r="X159" s="58">
        <v>56</v>
      </c>
      <c r="Y159" s="55">
        <f>IFERROR(IF(X159="","",X159),"")</f>
        <v>56</v>
      </c>
      <c r="Z159" s="41">
        <f>IFERROR(IF(X159="","",X159*0.01788),"")</f>
        <v>1.0012799999999999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207.40159999999997</v>
      </c>
      <c r="BN159" s="81">
        <f>IFERROR(Y159*I159,"0")</f>
        <v>207.40159999999997</v>
      </c>
      <c r="BO159" s="81">
        <f>IFERROR(X159/J159,"0")</f>
        <v>0.8</v>
      </c>
      <c r="BP159" s="81">
        <f>IFERROR(Y159/J159,"0")</f>
        <v>0.8</v>
      </c>
    </row>
    <row r="160" spans="1:68" ht="12.75" customHeight="1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IFERROR(SUM(X159:X159),"0")</f>
        <v>56</v>
      </c>
      <c r="Y160" s="43">
        <f>IFERROR(SUM(Y159:Y159),"0")</f>
        <v>56</v>
      </c>
      <c r="Z160" s="43">
        <f>IFERROR(IF(Z159="",0,Z159),"0")</f>
        <v>1.0012799999999999</v>
      </c>
      <c r="AA160" s="67"/>
      <c r="AB160" s="67"/>
      <c r="AC160" s="67"/>
    </row>
    <row r="161" spans="1:68" ht="12.75" customHeight="1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IFERROR(SUMPRODUCT(X159:X159*H159:H159),"0")</f>
        <v>168</v>
      </c>
      <c r="Y161" s="43">
        <f>IFERROR(SUMPRODUCT(Y159:Y159*H159:H159),"0")</f>
        <v>168</v>
      </c>
      <c r="Z161" s="42"/>
      <c r="AA161" s="67"/>
      <c r="AB161" s="67"/>
      <c r="AC161" s="67"/>
    </row>
    <row r="162" spans="1:68" ht="16.5" customHeight="1" x14ac:dyDescent="0.25">
      <c r="A162" s="315" t="s">
        <v>261</v>
      </c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65"/>
      <c r="AB162" s="65"/>
      <c r="AC162" s="82"/>
    </row>
    <row r="163" spans="1:68" ht="14.25" customHeight="1" x14ac:dyDescent="0.25">
      <c r="A163" s="305" t="s">
        <v>156</v>
      </c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287">
        <v>4607111039613</v>
      </c>
      <c r="E164" s="287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9"/>
      <c r="R164" s="289"/>
      <c r="S164" s="289"/>
      <c r="T164" s="290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15" t="s">
        <v>264</v>
      </c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65"/>
      <c r="AB167" s="65"/>
      <c r="AC167" s="82"/>
    </row>
    <row r="168" spans="1:68" ht="14.25" customHeight="1" x14ac:dyDescent="0.25">
      <c r="A168" s="305" t="s">
        <v>225</v>
      </c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287">
        <v>4607111035646</v>
      </c>
      <c r="E169" s="287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34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9"/>
      <c r="R169" s="289"/>
      <c r="S169" s="289"/>
      <c r="T169" s="290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15" t="s">
        <v>269</v>
      </c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65"/>
      <c r="AB172" s="65"/>
      <c r="AC172" s="82"/>
    </row>
    <row r="173" spans="1:68" ht="14.25" customHeight="1" x14ac:dyDescent="0.25">
      <c r="A173" s="305" t="s">
        <v>156</v>
      </c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287">
        <v>4607111036568</v>
      </c>
      <c r="E174" s="287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33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9"/>
      <c r="R174" s="289"/>
      <c r="S174" s="289"/>
      <c r="T174" s="290"/>
      <c r="U174" s="39" t="s">
        <v>46</v>
      </c>
      <c r="V174" s="39" t="s">
        <v>46</v>
      </c>
      <c r="W174" s="40" t="s">
        <v>39</v>
      </c>
      <c r="X174" s="58">
        <v>140</v>
      </c>
      <c r="Y174" s="55">
        <f>IFERROR(IF(X174="","",X174),"")</f>
        <v>140</v>
      </c>
      <c r="Z174" s="41">
        <f>IFERROR(IF(X174="","",X174*0.00941),"")</f>
        <v>1.3173999999999999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294.25200000000001</v>
      </c>
      <c r="BN174" s="81">
        <f>IFERROR(Y174*I174,"0")</f>
        <v>294.25200000000001</v>
      </c>
      <c r="BO174" s="81">
        <f>IFERROR(X174/J174,"0")</f>
        <v>1</v>
      </c>
      <c r="BP174" s="81">
        <f>IFERROR(Y174/J174,"0")</f>
        <v>1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140</v>
      </c>
      <c r="Y175" s="43">
        <f>IFERROR(SUM(Y174:Y174),"0")</f>
        <v>140</v>
      </c>
      <c r="Z175" s="43">
        <f>IFERROR(IF(Z174="",0,Z174),"0")</f>
        <v>1.3173999999999999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235.2</v>
      </c>
      <c r="Y176" s="43">
        <f>IFERROR(SUMPRODUCT(Y174:Y174*H174:H174),"0")</f>
        <v>235.2</v>
      </c>
      <c r="Z176" s="42"/>
      <c r="AA176" s="67"/>
      <c r="AB176" s="67"/>
      <c r="AC176" s="67"/>
    </row>
    <row r="177" spans="1:68" ht="27.75" customHeight="1" x14ac:dyDescent="0.2">
      <c r="A177" s="314" t="s">
        <v>273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54"/>
      <c r="AB177" s="54"/>
      <c r="AC177" s="54"/>
    </row>
    <row r="178" spans="1:68" ht="16.5" customHeight="1" x14ac:dyDescent="0.25">
      <c r="A178" s="315" t="s">
        <v>274</v>
      </c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65"/>
      <c r="AB178" s="65"/>
      <c r="AC178" s="82"/>
    </row>
    <row r="179" spans="1:68" ht="14.25" customHeight="1" x14ac:dyDescent="0.25">
      <c r="A179" s="305" t="s">
        <v>82</v>
      </c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287">
        <v>4607111036384</v>
      </c>
      <c r="E180" s="287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9"/>
      <c r="R180" s="289"/>
      <c r="S180" s="289"/>
      <c r="T180" s="29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287">
        <v>4607111036216</v>
      </c>
      <c r="E181" s="287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9"/>
      <c r="R181" s="289"/>
      <c r="S181" s="289"/>
      <c r="T181" s="29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5"/>
      <c r="P183" s="291" t="s">
        <v>40</v>
      </c>
      <c r="Q183" s="292"/>
      <c r="R183" s="292"/>
      <c r="S183" s="292"/>
      <c r="T183" s="292"/>
      <c r="U183" s="292"/>
      <c r="V183" s="293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05" t="s">
        <v>281</v>
      </c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287">
        <v>4607111036827</v>
      </c>
      <c r="E185" s="287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33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9"/>
      <c r="R185" s="289"/>
      <c r="S185" s="289"/>
      <c r="T185" s="290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287">
        <v>4607111036834</v>
      </c>
      <c r="E186" s="287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33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9"/>
      <c r="R186" s="289"/>
      <c r="S186" s="289"/>
      <c r="T186" s="29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5"/>
      <c r="P187" s="291" t="s">
        <v>40</v>
      </c>
      <c r="Q187" s="292"/>
      <c r="R187" s="292"/>
      <c r="S187" s="292"/>
      <c r="T187" s="292"/>
      <c r="U187" s="292"/>
      <c r="V187" s="293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5"/>
      <c r="P188" s="291" t="s">
        <v>40</v>
      </c>
      <c r="Q188" s="292"/>
      <c r="R188" s="292"/>
      <c r="S188" s="292"/>
      <c r="T188" s="292"/>
      <c r="U188" s="292"/>
      <c r="V188" s="293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14" t="s">
        <v>287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54"/>
      <c r="AB189" s="54"/>
      <c r="AC189" s="54"/>
    </row>
    <row r="190" spans="1:68" ht="16.5" customHeight="1" x14ac:dyDescent="0.25">
      <c r="A190" s="315" t="s">
        <v>288</v>
      </c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65"/>
      <c r="AB190" s="65"/>
      <c r="AC190" s="82"/>
    </row>
    <row r="191" spans="1:68" ht="14.25" customHeight="1" x14ac:dyDescent="0.25">
      <c r="A191" s="305" t="s">
        <v>112</v>
      </c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287">
        <v>4607111035691</v>
      </c>
      <c r="E192" s="287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9"/>
      <c r="R192" s="289"/>
      <c r="S192" s="289"/>
      <c r="T192" s="290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189.72800000000001</v>
      </c>
      <c r="BN192" s="81">
        <f>IFERROR(Y192*I192,"0")</f>
        <v>189.72800000000001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287">
        <v>4607111035721</v>
      </c>
      <c r="E193" s="287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9"/>
      <c r="R193" s="289"/>
      <c r="S193" s="289"/>
      <c r="T193" s="290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189.72800000000001</v>
      </c>
      <c r="BN193" s="81">
        <f>IFERROR(Y193*I193,"0")</f>
        <v>189.72800000000001</v>
      </c>
      <c r="BO193" s="81">
        <f>IFERROR(X193/J193,"0")</f>
        <v>0.8</v>
      </c>
      <c r="BP193" s="81">
        <f>IFERROR(Y193/J193,"0")</f>
        <v>0.8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287">
        <v>4607111038487</v>
      </c>
      <c r="E194" s="287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9"/>
      <c r="R194" s="289"/>
      <c r="S194" s="289"/>
      <c r="T194" s="29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287">
        <v>4620207491195</v>
      </c>
      <c r="E195" s="287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9"/>
      <c r="R195" s="289"/>
      <c r="S195" s="289"/>
      <c r="T195" s="29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IFERROR(SUM(X192:X195),"0")</f>
        <v>112</v>
      </c>
      <c r="Y196" s="43">
        <f>IFERROR(SUM(Y192:Y195),"0")</f>
        <v>112</v>
      </c>
      <c r="Z196" s="43">
        <f>IFERROR(IF(Z192="",0,Z192),"0")+IFERROR(IF(Z193="",0,Z193),"0")+IFERROR(IF(Z194="",0,Z194),"0")+IFERROR(IF(Z195="",0,Z195),"0")</f>
        <v>2.0025599999999999</v>
      </c>
      <c r="AA196" s="67"/>
      <c r="AB196" s="67"/>
      <c r="AC196" s="67"/>
    </row>
    <row r="197" spans="1:68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IFERROR(SUMPRODUCT(X192:X195*H192:H195),"0")</f>
        <v>336</v>
      </c>
      <c r="Y197" s="43">
        <f>IFERROR(SUMPRODUCT(Y192:Y195*H192:H195),"0")</f>
        <v>336</v>
      </c>
      <c r="Z197" s="42"/>
      <c r="AA197" s="67"/>
      <c r="AB197" s="67"/>
      <c r="AC197" s="67"/>
    </row>
    <row r="198" spans="1:68" ht="27.75" customHeight="1" x14ac:dyDescent="0.2">
      <c r="A198" s="314" t="s">
        <v>301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54"/>
      <c r="AB198" s="54"/>
      <c r="AC198" s="54"/>
    </row>
    <row r="199" spans="1:68" ht="16.5" customHeight="1" x14ac:dyDescent="0.25">
      <c r="A199" s="315" t="s">
        <v>302</v>
      </c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65"/>
      <c r="AB199" s="65"/>
      <c r="AC199" s="82"/>
    </row>
    <row r="200" spans="1:68" ht="14.25" customHeight="1" x14ac:dyDescent="0.25">
      <c r="A200" s="305" t="s">
        <v>112</v>
      </c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287">
        <v>4620207491133</v>
      </c>
      <c r="E201" s="287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9"/>
      <c r="R201" s="289"/>
      <c r="S201" s="289"/>
      <c r="T201" s="290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5"/>
      <c r="P202" s="291" t="s">
        <v>40</v>
      </c>
      <c r="Q202" s="292"/>
      <c r="R202" s="292"/>
      <c r="S202" s="292"/>
      <c r="T202" s="292"/>
      <c r="U202" s="292"/>
      <c r="V202" s="29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5"/>
      <c r="P203" s="291" t="s">
        <v>40</v>
      </c>
      <c r="Q203" s="292"/>
      <c r="R203" s="292"/>
      <c r="S203" s="292"/>
      <c r="T203" s="292"/>
      <c r="U203" s="292"/>
      <c r="V203" s="29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05" t="s">
        <v>156</v>
      </c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287">
        <v>4620207491188</v>
      </c>
      <c r="E205" s="287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3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9"/>
      <c r="R205" s="289"/>
      <c r="S205" s="289"/>
      <c r="T205" s="29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287">
        <v>4620207490198</v>
      </c>
      <c r="E206" s="287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9"/>
      <c r="R206" s="289"/>
      <c r="S206" s="289"/>
      <c r="T206" s="290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287">
        <v>4620207490235</v>
      </c>
      <c r="E207" s="287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3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9"/>
      <c r="R207" s="289"/>
      <c r="S207" s="289"/>
      <c r="T207" s="29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287">
        <v>4620207490259</v>
      </c>
      <c r="E208" s="287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9"/>
      <c r="R208" s="289"/>
      <c r="S208" s="289"/>
      <c r="T208" s="290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5"/>
      <c r="P209" s="291" t="s">
        <v>40</v>
      </c>
      <c r="Q209" s="292"/>
      <c r="R209" s="292"/>
      <c r="S209" s="292"/>
      <c r="T209" s="292"/>
      <c r="U209" s="292"/>
      <c r="V209" s="293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5"/>
      <c r="P210" s="291" t="s">
        <v>40</v>
      </c>
      <c r="Q210" s="292"/>
      <c r="R210" s="292"/>
      <c r="S210" s="292"/>
      <c r="T210" s="292"/>
      <c r="U210" s="292"/>
      <c r="V210" s="293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15" t="s">
        <v>317</v>
      </c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65"/>
      <c r="AB211" s="65"/>
      <c r="AC211" s="82"/>
    </row>
    <row r="212" spans="1:68" ht="14.25" customHeight="1" x14ac:dyDescent="0.25">
      <c r="A212" s="305" t="s">
        <v>82</v>
      </c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287">
        <v>4620207491096</v>
      </c>
      <c r="E213" s="287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9"/>
      <c r="R213" s="289"/>
      <c r="S213" s="289"/>
      <c r="T213" s="29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5"/>
      <c r="P214" s="291" t="s">
        <v>40</v>
      </c>
      <c r="Q214" s="292"/>
      <c r="R214" s="292"/>
      <c r="S214" s="292"/>
      <c r="T214" s="292"/>
      <c r="U214" s="292"/>
      <c r="V214" s="293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5"/>
      <c r="P215" s="291" t="s">
        <v>40</v>
      </c>
      <c r="Q215" s="292"/>
      <c r="R215" s="292"/>
      <c r="S215" s="292"/>
      <c r="T215" s="292"/>
      <c r="U215" s="292"/>
      <c r="V215" s="293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15" t="s">
        <v>321</v>
      </c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65"/>
      <c r="AB216" s="65"/>
      <c r="AC216" s="82"/>
    </row>
    <row r="217" spans="1:68" ht="14.25" customHeight="1" x14ac:dyDescent="0.25">
      <c r="A217" s="305" t="s">
        <v>156</v>
      </c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287">
        <v>4620207490549</v>
      </c>
      <c r="E218" s="287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3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9"/>
      <c r="R218" s="289"/>
      <c r="S218" s="289"/>
      <c r="T218" s="290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287">
        <v>4620207490501</v>
      </c>
      <c r="E219" s="287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3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9"/>
      <c r="R219" s="289"/>
      <c r="S219" s="289"/>
      <c r="T219" s="29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5"/>
      <c r="P220" s="291" t="s">
        <v>40</v>
      </c>
      <c r="Q220" s="292"/>
      <c r="R220" s="292"/>
      <c r="S220" s="292"/>
      <c r="T220" s="292"/>
      <c r="U220" s="292"/>
      <c r="V220" s="293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5"/>
      <c r="P221" s="291" t="s">
        <v>40</v>
      </c>
      <c r="Q221" s="292"/>
      <c r="R221" s="292"/>
      <c r="S221" s="292"/>
      <c r="T221" s="292"/>
      <c r="U221" s="292"/>
      <c r="V221" s="293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14" t="s">
        <v>327</v>
      </c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54"/>
      <c r="AB222" s="54"/>
      <c r="AC222" s="54"/>
    </row>
    <row r="223" spans="1:68" ht="16.5" customHeight="1" x14ac:dyDescent="0.25">
      <c r="A223" s="315" t="s">
        <v>328</v>
      </c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65"/>
      <c r="AB223" s="65"/>
      <c r="AC223" s="82"/>
    </row>
    <row r="224" spans="1:68" ht="14.25" customHeight="1" x14ac:dyDescent="0.25">
      <c r="A224" s="305" t="s">
        <v>82</v>
      </c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287">
        <v>4607111036162</v>
      </c>
      <c r="E225" s="287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9"/>
      <c r="R225" s="289"/>
      <c r="S225" s="289"/>
      <c r="T225" s="29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5"/>
      <c r="P226" s="291" t="s">
        <v>40</v>
      </c>
      <c r="Q226" s="292"/>
      <c r="R226" s="292"/>
      <c r="S226" s="292"/>
      <c r="T226" s="292"/>
      <c r="U226" s="292"/>
      <c r="V226" s="29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5"/>
      <c r="P227" s="291" t="s">
        <v>40</v>
      </c>
      <c r="Q227" s="292"/>
      <c r="R227" s="292"/>
      <c r="S227" s="292"/>
      <c r="T227" s="292"/>
      <c r="U227" s="292"/>
      <c r="V227" s="29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14" t="s">
        <v>332</v>
      </c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54"/>
      <c r="AB228" s="54"/>
      <c r="AC228" s="54"/>
    </row>
    <row r="229" spans="1:68" ht="16.5" customHeight="1" x14ac:dyDescent="0.25">
      <c r="A229" s="315" t="s">
        <v>333</v>
      </c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65"/>
      <c r="AB229" s="65"/>
      <c r="AC229" s="82"/>
    </row>
    <row r="230" spans="1:68" ht="14.25" customHeight="1" x14ac:dyDescent="0.25">
      <c r="A230" s="305" t="s">
        <v>82</v>
      </c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287">
        <v>4607111035899</v>
      </c>
      <c r="E231" s="287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32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9"/>
      <c r="R231" s="289"/>
      <c r="S231" s="289"/>
      <c r="T231" s="29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5"/>
      <c r="P232" s="291" t="s">
        <v>40</v>
      </c>
      <c r="Q232" s="292"/>
      <c r="R232" s="292"/>
      <c r="S232" s="292"/>
      <c r="T232" s="292"/>
      <c r="U232" s="292"/>
      <c r="V232" s="29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5"/>
      <c r="P233" s="291" t="s">
        <v>40</v>
      </c>
      <c r="Q233" s="292"/>
      <c r="R233" s="292"/>
      <c r="S233" s="292"/>
      <c r="T233" s="292"/>
      <c r="U233" s="292"/>
      <c r="V233" s="29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14" t="s">
        <v>336</v>
      </c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54"/>
      <c r="AB234" s="54"/>
      <c r="AC234" s="54"/>
    </row>
    <row r="235" spans="1:68" ht="16.5" customHeight="1" x14ac:dyDescent="0.25">
      <c r="A235" s="315" t="s">
        <v>337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65"/>
      <c r="AB235" s="65"/>
      <c r="AC235" s="82"/>
    </row>
    <row r="236" spans="1:68" ht="14.25" customHeight="1" x14ac:dyDescent="0.25">
      <c r="A236" s="305" t="s">
        <v>338</v>
      </c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287">
        <v>4607111039774</v>
      </c>
      <c r="E237" s="287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9"/>
      <c r="R237" s="289"/>
      <c r="S237" s="289"/>
      <c r="T237" s="290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5"/>
      <c r="P238" s="291" t="s">
        <v>40</v>
      </c>
      <c r="Q238" s="292"/>
      <c r="R238" s="292"/>
      <c r="S238" s="292"/>
      <c r="T238" s="292"/>
      <c r="U238" s="292"/>
      <c r="V238" s="29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5"/>
      <c r="P239" s="291" t="s">
        <v>40</v>
      </c>
      <c r="Q239" s="292"/>
      <c r="R239" s="292"/>
      <c r="S239" s="292"/>
      <c r="T239" s="292"/>
      <c r="U239" s="292"/>
      <c r="V239" s="29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05" t="s">
        <v>156</v>
      </c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287">
        <v>4607111039361</v>
      </c>
      <c r="E241" s="287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9"/>
      <c r="R241" s="289"/>
      <c r="S241" s="289"/>
      <c r="T241" s="29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5"/>
      <c r="P242" s="291" t="s">
        <v>40</v>
      </c>
      <c r="Q242" s="292"/>
      <c r="R242" s="292"/>
      <c r="S242" s="292"/>
      <c r="T242" s="292"/>
      <c r="U242" s="292"/>
      <c r="V242" s="29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5"/>
      <c r="P243" s="291" t="s">
        <v>40</v>
      </c>
      <c r="Q243" s="292"/>
      <c r="R243" s="292"/>
      <c r="S243" s="292"/>
      <c r="T243" s="292"/>
      <c r="U243" s="292"/>
      <c r="V243" s="29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14" t="s">
        <v>344</v>
      </c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54"/>
      <c r="AB244" s="54"/>
      <c r="AC244" s="54"/>
    </row>
    <row r="245" spans="1:68" ht="16.5" customHeight="1" x14ac:dyDescent="0.25">
      <c r="A245" s="315" t="s">
        <v>344</v>
      </c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65"/>
      <c r="AB245" s="65"/>
      <c r="AC245" s="82"/>
    </row>
    <row r="246" spans="1:68" ht="14.25" customHeight="1" x14ac:dyDescent="0.25">
      <c r="A246" s="305" t="s">
        <v>82</v>
      </c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287">
        <v>4640242181264</v>
      </c>
      <c r="E247" s="287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31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9"/>
      <c r="R247" s="289"/>
      <c r="S247" s="289"/>
      <c r="T247" s="29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287">
        <v>4640242181325</v>
      </c>
      <c r="E248" s="287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9"/>
      <c r="R248" s="289"/>
      <c r="S248" s="289"/>
      <c r="T248" s="29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5"/>
      <c r="P249" s="291" t="s">
        <v>40</v>
      </c>
      <c r="Q249" s="292"/>
      <c r="R249" s="292"/>
      <c r="S249" s="292"/>
      <c r="T249" s="292"/>
      <c r="U249" s="292"/>
      <c r="V249" s="293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05" t="s">
        <v>112</v>
      </c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287">
        <v>4640242180397</v>
      </c>
      <c r="E252" s="287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3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9"/>
      <c r="R252" s="289"/>
      <c r="S252" s="289"/>
      <c r="T252" s="290"/>
      <c r="U252" s="39" t="s">
        <v>46</v>
      </c>
      <c r="V252" s="39" t="s">
        <v>46</v>
      </c>
      <c r="W252" s="40" t="s">
        <v>39</v>
      </c>
      <c r="X252" s="58">
        <v>180</v>
      </c>
      <c r="Y252" s="55">
        <f>IFERROR(IF(X252="","",X252),"")</f>
        <v>180</v>
      </c>
      <c r="Z252" s="41">
        <f>IFERROR(IF(X252="","",X252*0.0155),"")</f>
        <v>2.79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1126.8</v>
      </c>
      <c r="BN252" s="81">
        <f>IFERROR(Y252*I252,"0")</f>
        <v>1126.8</v>
      </c>
      <c r="BO252" s="81">
        <f>IFERROR(X252/J252,"0")</f>
        <v>2.1428571428571428</v>
      </c>
      <c r="BP252" s="81">
        <f>IFERROR(Y252/J252,"0")</f>
        <v>2.1428571428571428</v>
      </c>
    </row>
    <row r="253" spans="1:68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5"/>
      <c r="P253" s="291" t="s">
        <v>40</v>
      </c>
      <c r="Q253" s="292"/>
      <c r="R253" s="292"/>
      <c r="S253" s="292"/>
      <c r="T253" s="292"/>
      <c r="U253" s="292"/>
      <c r="V253" s="293"/>
      <c r="W253" s="42" t="s">
        <v>39</v>
      </c>
      <c r="X253" s="43">
        <f>IFERROR(SUM(X252:X252),"0")</f>
        <v>180</v>
      </c>
      <c r="Y253" s="43">
        <f>IFERROR(SUM(Y252:Y252),"0")</f>
        <v>180</v>
      </c>
      <c r="Z253" s="43">
        <f>IFERROR(IF(Z252="",0,Z252),"0")</f>
        <v>2.79</v>
      </c>
      <c r="AA253" s="67"/>
      <c r="AB253" s="67"/>
      <c r="AC253" s="67"/>
    </row>
    <row r="254" spans="1:68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0</v>
      </c>
      <c r="X254" s="43">
        <f>IFERROR(SUMPRODUCT(X252:X252*H252:H252),"0")</f>
        <v>1080</v>
      </c>
      <c r="Y254" s="43">
        <f>IFERROR(SUMPRODUCT(Y252:Y252*H252:H252),"0")</f>
        <v>1080</v>
      </c>
      <c r="Z254" s="42"/>
      <c r="AA254" s="67"/>
      <c r="AB254" s="67"/>
      <c r="AC254" s="67"/>
    </row>
    <row r="255" spans="1:68" ht="14.25" customHeight="1" x14ac:dyDescent="0.25">
      <c r="A255" s="305" t="s">
        <v>150</v>
      </c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287">
        <v>4640242180304</v>
      </c>
      <c r="E256" s="287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3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9"/>
      <c r="R256" s="289"/>
      <c r="S256" s="289"/>
      <c r="T256" s="290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287">
        <v>4640242180236</v>
      </c>
      <c r="E257" s="287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3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9"/>
      <c r="R257" s="289"/>
      <c r="S257" s="289"/>
      <c r="T257" s="290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287">
        <v>4640242180410</v>
      </c>
      <c r="E258" s="287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9"/>
      <c r="R258" s="289"/>
      <c r="S258" s="289"/>
      <c r="T258" s="290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5"/>
      <c r="P259" s="291" t="s">
        <v>40</v>
      </c>
      <c r="Q259" s="292"/>
      <c r="R259" s="292"/>
      <c r="S259" s="292"/>
      <c r="T259" s="292"/>
      <c r="U259" s="292"/>
      <c r="V259" s="293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5"/>
      <c r="P260" s="291" t="s">
        <v>40</v>
      </c>
      <c r="Q260" s="292"/>
      <c r="R260" s="292"/>
      <c r="S260" s="292"/>
      <c r="T260" s="292"/>
      <c r="U260" s="292"/>
      <c r="V260" s="293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05" t="s">
        <v>156</v>
      </c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287">
        <v>4640242181554</v>
      </c>
      <c r="E262" s="287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30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9"/>
      <c r="R262" s="289"/>
      <c r="S262" s="289"/>
      <c r="T262" s="29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287">
        <v>4640242182087</v>
      </c>
      <c r="E263" s="287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0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9"/>
      <c r="R263" s="289"/>
      <c r="S263" s="289"/>
      <c r="T263" s="290"/>
      <c r="U263" s="39" t="s">
        <v>46</v>
      </c>
      <c r="V263" s="39" t="s">
        <v>46</v>
      </c>
      <c r="W263" s="40" t="s">
        <v>39</v>
      </c>
      <c r="X263" s="58">
        <v>336</v>
      </c>
      <c r="Y263" s="55">
        <f t="shared" si="18"/>
        <v>336</v>
      </c>
      <c r="Z263" s="41">
        <f>IFERROR(IF(X263="","",X263*0.0155),"")</f>
        <v>5.2080000000000002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1757.2800000000002</v>
      </c>
      <c r="BN263" s="81">
        <f t="shared" si="20"/>
        <v>1757.2800000000002</v>
      </c>
      <c r="BO263" s="81">
        <f t="shared" si="21"/>
        <v>4</v>
      </c>
      <c r="BP263" s="81">
        <f t="shared" si="22"/>
        <v>4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287">
        <v>4640242181424</v>
      </c>
      <c r="E264" s="287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9"/>
      <c r="R264" s="289"/>
      <c r="S264" s="289"/>
      <c r="T264" s="290"/>
      <c r="U264" s="39" t="s">
        <v>46</v>
      </c>
      <c r="V264" s="39" t="s">
        <v>46</v>
      </c>
      <c r="W264" s="40" t="s">
        <v>39</v>
      </c>
      <c r="X264" s="58">
        <v>168</v>
      </c>
      <c r="Y264" s="55">
        <f t="shared" si="18"/>
        <v>168</v>
      </c>
      <c r="Z264" s="41">
        <f>IFERROR(IF(X264="","",X264*0.0155),"")</f>
        <v>2.6040000000000001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963.48</v>
      </c>
      <c r="BN264" s="81">
        <f t="shared" si="20"/>
        <v>963.48</v>
      </c>
      <c r="BO264" s="81">
        <f t="shared" si="21"/>
        <v>2</v>
      </c>
      <c r="BP264" s="81">
        <f t="shared" si="22"/>
        <v>2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287">
        <v>4640242181523</v>
      </c>
      <c r="E265" s="287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9"/>
      <c r="R265" s="289"/>
      <c r="S265" s="289"/>
      <c r="T265" s="290"/>
      <c r="U265" s="39" t="s">
        <v>46</v>
      </c>
      <c r="V265" s="39" t="s">
        <v>46</v>
      </c>
      <c r="W265" s="40" t="s">
        <v>39</v>
      </c>
      <c r="X265" s="58">
        <v>140</v>
      </c>
      <c r="Y265" s="55">
        <f t="shared" si="18"/>
        <v>140</v>
      </c>
      <c r="Z265" s="41">
        <f t="shared" ref="Z265:Z270" si="23">IFERROR(IF(X265="","",X265*0.00936),"")</f>
        <v>1.3104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446.88</v>
      </c>
      <c r="BN265" s="81">
        <f t="shared" si="20"/>
        <v>446.88</v>
      </c>
      <c r="BO265" s="81">
        <f t="shared" si="21"/>
        <v>1.1111111111111112</v>
      </c>
      <c r="BP265" s="81">
        <f t="shared" si="22"/>
        <v>1.1111111111111112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287">
        <v>4640242181486</v>
      </c>
      <c r="E266" s="287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9"/>
      <c r="R266" s="289"/>
      <c r="S266" s="289"/>
      <c r="T266" s="290"/>
      <c r="U266" s="39" t="s">
        <v>46</v>
      </c>
      <c r="V266" s="39" t="s">
        <v>46</v>
      </c>
      <c r="W266" s="40" t="s">
        <v>39</v>
      </c>
      <c r="X266" s="58">
        <v>378</v>
      </c>
      <c r="Y266" s="55">
        <f t="shared" si="18"/>
        <v>378</v>
      </c>
      <c r="Z266" s="41">
        <f t="shared" si="23"/>
        <v>3.5380799999999999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1471.1759999999999</v>
      </c>
      <c r="BN266" s="81">
        <f t="shared" si="20"/>
        <v>1471.1759999999999</v>
      </c>
      <c r="BO266" s="81">
        <f t="shared" si="21"/>
        <v>3</v>
      </c>
      <c r="BP266" s="81">
        <f t="shared" si="22"/>
        <v>3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287">
        <v>4640242181493</v>
      </c>
      <c r="E267" s="287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9"/>
      <c r="R267" s="289"/>
      <c r="S267" s="289"/>
      <c r="T267" s="290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287">
        <v>4640242181509</v>
      </c>
      <c r="E268" s="287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9"/>
      <c r="R268" s="289"/>
      <c r="S268" s="289"/>
      <c r="T268" s="29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287">
        <v>4640242181240</v>
      </c>
      <c r="E269" s="287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9"/>
      <c r="R269" s="289"/>
      <c r="S269" s="289"/>
      <c r="T269" s="29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287">
        <v>4640242181318</v>
      </c>
      <c r="E270" s="287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9"/>
      <c r="R270" s="289"/>
      <c r="S270" s="289"/>
      <c r="T270" s="29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287">
        <v>4640242181387</v>
      </c>
      <c r="E271" s="287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28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9"/>
      <c r="R271" s="289"/>
      <c r="S271" s="289"/>
      <c r="T271" s="29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5"/>
      <c r="P272" s="291" t="s">
        <v>40</v>
      </c>
      <c r="Q272" s="292"/>
      <c r="R272" s="292"/>
      <c r="S272" s="292"/>
      <c r="T272" s="292"/>
      <c r="U272" s="292"/>
      <c r="V272" s="293"/>
      <c r="W272" s="42" t="s">
        <v>39</v>
      </c>
      <c r="X272" s="43">
        <f>IFERROR(SUM(X262:X271),"0")</f>
        <v>1022</v>
      </c>
      <c r="Y272" s="43">
        <f>IFERROR(SUM(Y262:Y271),"0")</f>
        <v>1022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12.66048</v>
      </c>
      <c r="AA272" s="67"/>
      <c r="AB272" s="67"/>
      <c r="AC272" s="67"/>
    </row>
    <row r="273" spans="1:32" x14ac:dyDescent="0.2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5"/>
      <c r="P273" s="291" t="s">
        <v>40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IFERROR(SUMPRODUCT(X262:X271*H262:H271),"0")</f>
        <v>4422.6000000000004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9"/>
      <c r="P274" s="296" t="s">
        <v>33</v>
      </c>
      <c r="Q274" s="297"/>
      <c r="R274" s="297"/>
      <c r="S274" s="297"/>
      <c r="T274" s="297"/>
      <c r="U274" s="297"/>
      <c r="V274" s="298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9574.08</v>
      </c>
      <c r="Y274" s="43">
        <f>IFERROR(Y31+Y37+Y44+Y51+Y59+Y64+Y68+Y73+Y79+Y85+Y90+Y96+Y106+Y112+Y123+Y127+Y131+Y136+Y143+Y150+Y156+Y161+Y166+Y171+Y176+Y183+Y188+Y197+Y203+Y210+Y215+Y221+Y227+Y233+Y239+Y243+Y250+Y254+Y260+Y273,"0")</f>
        <v>4251</v>
      </c>
      <c r="Z274" s="42"/>
      <c r="AA274" s="67"/>
      <c r="AB274" s="67"/>
      <c r="AC274" s="67"/>
    </row>
    <row r="275" spans="1:32" x14ac:dyDescent="0.2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9"/>
      <c r="P275" s="296" t="s">
        <v>34</v>
      </c>
      <c r="Q275" s="297"/>
      <c r="R275" s="297"/>
      <c r="S275" s="297"/>
      <c r="T275" s="297"/>
      <c r="U275" s="297"/>
      <c r="V275" s="298"/>
      <c r="W275" s="42" t="s">
        <v>0</v>
      </c>
      <c r="X275" s="43">
        <f>IFERROR(SUM(BM22:BM271),"0")</f>
        <v>10724.121999999999</v>
      </c>
      <c r="Y275" s="43">
        <f>IFERROR(SUM(BN22:BN271),"0")</f>
        <v>10724.121999999999</v>
      </c>
      <c r="Z275" s="42"/>
      <c r="AA275" s="67"/>
      <c r="AB275" s="67"/>
      <c r="AC275" s="67"/>
    </row>
    <row r="276" spans="1:32" x14ac:dyDescent="0.2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9"/>
      <c r="P276" s="296" t="s">
        <v>35</v>
      </c>
      <c r="Q276" s="297"/>
      <c r="R276" s="297"/>
      <c r="S276" s="297"/>
      <c r="T276" s="297"/>
      <c r="U276" s="297"/>
      <c r="V276" s="298"/>
      <c r="W276" s="42" t="s">
        <v>20</v>
      </c>
      <c r="X276" s="44">
        <f>ROUNDUP(SUM(BO22:BO271),0)</f>
        <v>32</v>
      </c>
      <c r="Y276" s="44">
        <f>ROUNDUP(SUM(BP22:BP271),0)</f>
        <v>32</v>
      </c>
      <c r="Z276" s="42"/>
      <c r="AA276" s="67"/>
      <c r="AB276" s="67"/>
      <c r="AC276" s="67"/>
    </row>
    <row r="277" spans="1:32" x14ac:dyDescent="0.2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9"/>
      <c r="P277" s="296" t="s">
        <v>36</v>
      </c>
      <c r="Q277" s="297"/>
      <c r="R277" s="297"/>
      <c r="S277" s="297"/>
      <c r="T277" s="297"/>
      <c r="U277" s="297"/>
      <c r="V277" s="298"/>
      <c r="W277" s="42" t="s">
        <v>0</v>
      </c>
      <c r="X277" s="43">
        <f>GrossWeightTotal+PalletQtyTotal*25</f>
        <v>11524.121999999999</v>
      </c>
      <c r="Y277" s="43">
        <f>GrossWeightTotalR+PalletQtyTotalR*25</f>
        <v>11524.121999999999</v>
      </c>
      <c r="Z277" s="42"/>
      <c r="AA277" s="67"/>
      <c r="AB277" s="67"/>
      <c r="AC277" s="67"/>
    </row>
    <row r="278" spans="1:32" x14ac:dyDescent="0.2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9"/>
      <c r="P278" s="296" t="s">
        <v>37</v>
      </c>
      <c r="Q278" s="297"/>
      <c r="R278" s="297"/>
      <c r="S278" s="297"/>
      <c r="T278" s="297"/>
      <c r="U278" s="297"/>
      <c r="V278" s="298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2714</v>
      </c>
      <c r="Y278" s="43">
        <f>IFERROR(Y30+Y36+Y43+Y50+Y58+Y63+Y67+Y72+Y78+Y84+Y89+Y95+Y105+Y111+Y122+Y126+Y130+Y135+Y142+Y149+Y155+Y160+Y165+Y170+Y175+Y182+Y187+Y196+Y202+Y209+Y214+Y220+Y226+Y232+Y238+Y242+Y249+Y253+Y259+Y272,"0")</f>
        <v>2714</v>
      </c>
      <c r="Z278" s="42"/>
      <c r="AA278" s="67"/>
      <c r="AB278" s="67"/>
      <c r="AC278" s="67"/>
    </row>
    <row r="279" spans="1:32" ht="14.25" customHeight="1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9"/>
      <c r="P279" s="296" t="s">
        <v>38</v>
      </c>
      <c r="Q279" s="297"/>
      <c r="R279" s="297"/>
      <c r="S279" s="297"/>
      <c r="T279" s="297"/>
      <c r="U279" s="297"/>
      <c r="V279" s="298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39.520539999999997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283" t="s">
        <v>81</v>
      </c>
      <c r="C281" s="283" t="s">
        <v>81</v>
      </c>
      <c r="D281" s="283" t="s">
        <v>45</v>
      </c>
      <c r="E281" s="283" t="s">
        <v>45</v>
      </c>
      <c r="F281" s="283" t="s">
        <v>45</v>
      </c>
      <c r="G281" s="283" t="s">
        <v>45</v>
      </c>
      <c r="H281" s="283" t="s">
        <v>45</v>
      </c>
      <c r="I281" s="283" t="s">
        <v>45</v>
      </c>
      <c r="J281" s="283" t="s">
        <v>45</v>
      </c>
      <c r="K281" s="283" t="s">
        <v>45</v>
      </c>
      <c r="L281" s="283" t="s">
        <v>45</v>
      </c>
      <c r="M281" s="283" t="s">
        <v>45</v>
      </c>
      <c r="N281" s="284"/>
      <c r="O281" s="283" t="s">
        <v>45</v>
      </c>
      <c r="P281" s="283" t="s">
        <v>45</v>
      </c>
      <c r="Q281" s="283" t="s">
        <v>45</v>
      </c>
      <c r="R281" s="283" t="s">
        <v>45</v>
      </c>
      <c r="S281" s="283" t="s">
        <v>45</v>
      </c>
      <c r="T281" s="283" t="s">
        <v>45</v>
      </c>
      <c r="U281" s="283" t="s">
        <v>45</v>
      </c>
      <c r="V281" s="283" t="s">
        <v>45</v>
      </c>
      <c r="W281" s="88" t="s">
        <v>273</v>
      </c>
      <c r="X281" s="88" t="s">
        <v>287</v>
      </c>
      <c r="Y281" s="283" t="s">
        <v>301</v>
      </c>
      <c r="Z281" s="283" t="s">
        <v>301</v>
      </c>
      <c r="AA281" s="28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285" t="s">
        <v>10</v>
      </c>
      <c r="B282" s="283" t="s">
        <v>81</v>
      </c>
      <c r="C282" s="283" t="s">
        <v>105</v>
      </c>
      <c r="D282" s="283" t="s">
        <v>111</v>
      </c>
      <c r="E282" s="283" t="s">
        <v>122</v>
      </c>
      <c r="F282" s="283" t="s">
        <v>132</v>
      </c>
      <c r="G282" s="283" t="s">
        <v>143</v>
      </c>
      <c r="H282" s="283" t="s">
        <v>164</v>
      </c>
      <c r="I282" s="283" t="s">
        <v>171</v>
      </c>
      <c r="J282" s="283" t="s">
        <v>175</v>
      </c>
      <c r="K282" s="283" t="s">
        <v>183</v>
      </c>
      <c r="L282" s="283" t="s">
        <v>198</v>
      </c>
      <c r="M282" s="283" t="s">
        <v>204</v>
      </c>
      <c r="N282" s="1"/>
      <c r="O282" s="283" t="s">
        <v>229</v>
      </c>
      <c r="P282" s="283" t="s">
        <v>234</v>
      </c>
      <c r="Q282" s="283" t="s">
        <v>243</v>
      </c>
      <c r="R282" s="283" t="s">
        <v>252</v>
      </c>
      <c r="S282" s="283" t="s">
        <v>257</v>
      </c>
      <c r="T282" s="283" t="s">
        <v>261</v>
      </c>
      <c r="U282" s="283" t="s">
        <v>264</v>
      </c>
      <c r="V282" s="283" t="s">
        <v>269</v>
      </c>
      <c r="W282" s="283" t="s">
        <v>274</v>
      </c>
      <c r="X282" s="283" t="s">
        <v>288</v>
      </c>
      <c r="Y282" s="283" t="s">
        <v>302</v>
      </c>
      <c r="Z282" s="283" t="s">
        <v>317</v>
      </c>
      <c r="AA282" s="283" t="s">
        <v>321</v>
      </c>
      <c r="AB282" s="283" t="s">
        <v>328</v>
      </c>
      <c r="AC282" s="283" t="s">
        <v>333</v>
      </c>
      <c r="AD282" s="283" t="s">
        <v>337</v>
      </c>
      <c r="AE282" s="283" t="s">
        <v>344</v>
      </c>
      <c r="AF282" s="1"/>
    </row>
    <row r="283" spans="1:32" ht="13.5" thickBot="1" x14ac:dyDescent="0.25">
      <c r="A283" s="286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1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315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100.8</v>
      </c>
      <c r="J284" s="52">
        <f>IFERROR(X93*H93,"0")+IFERROR(X94*H94,"0")</f>
        <v>604.79999999999995</v>
      </c>
      <c r="K284" s="52">
        <f>IFERROR(X99*H99,"0")+IFERROR(X100*H100,"0")+IFERROR(X101*H101,"0")+IFERROR(X102*H102,"0")+IFERROR(X103*H103,"0")+IFERROR(X104*H104,"0")</f>
        <v>900.48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0</v>
      </c>
      <c r="N284" s="1"/>
      <c r="O284" s="52">
        <f>IFERROR(X134*H134,"0")</f>
        <v>0</v>
      </c>
      <c r="P284" s="52">
        <f>IFERROR(X139*H139,"0")+IFERROR(X140*H140,"0")+IFERROR(X141*H141,"0")</f>
        <v>756</v>
      </c>
      <c r="Q284" s="52">
        <f>IFERROR(X146*H146,"0")+IFERROR(X147*H147,"0")+IFERROR(X148*H148,"0")</f>
        <v>420</v>
      </c>
      <c r="R284" s="52">
        <f>IFERROR(X153*H153,"0")+IFERROR(X154*H154,"0")</f>
        <v>235.2</v>
      </c>
      <c r="S284" s="52">
        <f>IFERROR(X159*H159,"0")</f>
        <v>168</v>
      </c>
      <c r="T284" s="52">
        <f>IFERROR(X164*H164,"0")</f>
        <v>0</v>
      </c>
      <c r="U284" s="52">
        <f>IFERROR(X169*H169,"0")</f>
        <v>0</v>
      </c>
      <c r="V284" s="52">
        <f>IFERROR(X174*H174,"0")</f>
        <v>235.2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336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5502.6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9574.08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2026-07-01T10:36:08Z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