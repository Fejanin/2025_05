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A7938B-EF8E-47C0-8429-BFE45CF0380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X256" i="2"/>
  <c r="X255" i="2"/>
  <c r="BO254" i="2"/>
  <c r="BM254" i="2"/>
  <c r="Z254" i="2"/>
  <c r="Z255" i="2" s="1"/>
  <c r="Y254" i="2"/>
  <c r="Y255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Y249" i="2"/>
  <c r="BP249" i="2" s="1"/>
  <c r="P249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1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Y185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8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BP125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92" i="2" l="1"/>
  <c r="BN199" i="2"/>
  <c r="BP199" i="2"/>
  <c r="Y200" i="2"/>
  <c r="Z206" i="2"/>
  <c r="BN26" i="2"/>
  <c r="BN28" i="2"/>
  <c r="BN29" i="2"/>
  <c r="Y37" i="2"/>
  <c r="BN35" i="2"/>
  <c r="BN53" i="2"/>
  <c r="Y73" i="2"/>
  <c r="BN115" i="2"/>
  <c r="Z180" i="2"/>
  <c r="Z251" i="2"/>
  <c r="BN254" i="2"/>
  <c r="BN258" i="2"/>
  <c r="Z30" i="2"/>
  <c r="BN24" i="2"/>
  <c r="Z67" i="2"/>
  <c r="Y67" i="2"/>
  <c r="Z106" i="2"/>
  <c r="Z212" i="2"/>
  <c r="BN210" i="2"/>
  <c r="BN227" i="2"/>
  <c r="BP227" i="2"/>
  <c r="BN237" i="2"/>
  <c r="BP237" i="2"/>
  <c r="Y238" i="2"/>
  <c r="BN243" i="2"/>
  <c r="BP243" i="2"/>
  <c r="Y80" i="2"/>
  <c r="Y119" i="2"/>
  <c r="BN116" i="2"/>
  <c r="BN117" i="2"/>
  <c r="Y134" i="2"/>
  <c r="BN268" i="2"/>
  <c r="BN269" i="2"/>
  <c r="BN270" i="2"/>
  <c r="Z158" i="2"/>
  <c r="Z118" i="2"/>
  <c r="BN94" i="2"/>
  <c r="BN55" i="2"/>
  <c r="BN266" i="2"/>
  <c r="BN221" i="2"/>
  <c r="BP221" i="2"/>
  <c r="Y222" i="2"/>
  <c r="Z194" i="2"/>
  <c r="Z152" i="2"/>
  <c r="Z100" i="2"/>
  <c r="BN95" i="2"/>
  <c r="Z90" i="2"/>
  <c r="BN83" i="2"/>
  <c r="BP83" i="2"/>
  <c r="Y84" i="2"/>
  <c r="Z79" i="2"/>
  <c r="BN77" i="2"/>
  <c r="BP77" i="2"/>
  <c r="Y79" i="2"/>
  <c r="Y58" i="2"/>
  <c r="BN56" i="2"/>
  <c r="Y49" i="2"/>
  <c r="Z49" i="2"/>
  <c r="Z43" i="2"/>
  <c r="X280" i="2"/>
  <c r="Z134" i="2"/>
  <c r="X276" i="2"/>
  <c r="X278" i="2"/>
  <c r="Y31" i="2"/>
  <c r="X277" i="2"/>
  <c r="BP25" i="2"/>
  <c r="Z36" i="2"/>
  <c r="Y43" i="2"/>
  <c r="Y50" i="2"/>
  <c r="Z57" i="2"/>
  <c r="Z73" i="2"/>
  <c r="Y74" i="2"/>
  <c r="BN88" i="2"/>
  <c r="BN89" i="2"/>
  <c r="Y90" i="2"/>
  <c r="Y100" i="2"/>
  <c r="BN99" i="2"/>
  <c r="Y101" i="2"/>
  <c r="BN105" i="2"/>
  <c r="BN112" i="2"/>
  <c r="BN114" i="2"/>
  <c r="BN130" i="2"/>
  <c r="BP130" i="2"/>
  <c r="BP131" i="2"/>
  <c r="BN137" i="2"/>
  <c r="Z146" i="2"/>
  <c r="BP156" i="2"/>
  <c r="BP162" i="2"/>
  <c r="Y169" i="2"/>
  <c r="BP178" i="2"/>
  <c r="Y181" i="2"/>
  <c r="BP205" i="2"/>
  <c r="Y213" i="2"/>
  <c r="BN211" i="2"/>
  <c r="Y218" i="2"/>
  <c r="Y229" i="2"/>
  <c r="Y235" i="2"/>
  <c r="Y245" i="2"/>
  <c r="BN250" i="2"/>
  <c r="Y256" i="2"/>
  <c r="Z274" i="2"/>
  <c r="BP267" i="2"/>
  <c r="BP271" i="2"/>
  <c r="BP272" i="2"/>
  <c r="Y44" i="2"/>
  <c r="BP70" i="2"/>
  <c r="Y91" i="2"/>
  <c r="BP96" i="2"/>
  <c r="BP113" i="2"/>
  <c r="Y126" i="2"/>
  <c r="Y135" i="2"/>
  <c r="Z140" i="2"/>
  <c r="BN138" i="2"/>
  <c r="BN139" i="2"/>
  <c r="Y153" i="2"/>
  <c r="BN167" i="2"/>
  <c r="BP167" i="2"/>
  <c r="BN179" i="2"/>
  <c r="Y180" i="2"/>
  <c r="BN184" i="2"/>
  <c r="BP184" i="2"/>
  <c r="Y186" i="2"/>
  <c r="BN191" i="2"/>
  <c r="Y194" i="2"/>
  <c r="Y207" i="2"/>
  <c r="BN204" i="2"/>
  <c r="Z26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X279" i="2" l="1"/>
  <c r="Z281" i="2"/>
  <c r="Y276" i="2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<sst xmlns="http://schemas.openxmlformats.org/spreadsheetml/2006/main" count="1748" uniqueCount="416">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</sst>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7" fillId="0" borderId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3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Excel Built-in Normal" xfId="52" xr:uid="{9E515354-C822-4B32-9F24-24A4A164D414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59" zoomScaleNormal="100" zoomScaleSheetLayoutView="100" workbookViewId="0">
      <selection activeCell="Z282" sqref="Z2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/>
      <c r="R5" s="292"/>
      <c r="T5" s="293" t="s">
        <v>3</v>
      </c>
      <c r="U5" s="294"/>
      <c r="V5" s="295" t="s">
        <v>383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 xml:space="preserve"> 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/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>
        <v>46282</v>
      </c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>
        <v>0.375</v>
      </c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84</v>
      </c>
      <c r="Y41" s="55">
        <f>IFERROR(IF(X41="","",X41),"")</f>
        <v>84</v>
      </c>
      <c r="Z41" s="41">
        <f>IFERROR(IF(X41="","",X41*0.00941),"")</f>
        <v>0.79044000000000003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161.43119999999999</v>
      </c>
      <c r="BN41" s="81">
        <f>IFERROR(Y41*I41,"0")</f>
        <v>161.43119999999999</v>
      </c>
      <c r="BO41" s="81">
        <f>IFERROR(X41/J41,"0")</f>
        <v>0.6</v>
      </c>
      <c r="BP41" s="81">
        <f>IFERROR(Y41/J41,"0")</f>
        <v>0.6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0</v>
      </c>
      <c r="Y58" s="43" t="str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356">
        <v>4607111037008</v>
      </c>
      <c r="E65" s="35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356">
        <v>4607111037398</v>
      </c>
      <c r="E66" s="35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1"/>
      <c r="P68" s="367" t="s">
        <v>40</v>
      </c>
      <c r="Q68" s="368"/>
      <c r="R68" s="368"/>
      <c r="S68" s="368"/>
      <c r="T68" s="368"/>
      <c r="U68" s="368"/>
      <c r="V68" s="369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55" t="s">
        <v>149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356">
        <v>4607111039705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356">
        <v>4607111039729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356">
        <v>4620207490228</v>
      </c>
      <c r="E72" s="35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8"/>
      <c r="R72" s="358"/>
      <c r="S72" s="358"/>
      <c r="T72" s="35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70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1"/>
      <c r="P74" s="367" t="s">
        <v>40</v>
      </c>
      <c r="Q74" s="368"/>
      <c r="R74" s="368"/>
      <c r="S74" s="368"/>
      <c r="T74" s="368"/>
      <c r="U74" s="368"/>
      <c r="V74" s="369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54" t="s">
        <v>157</v>
      </c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65"/>
      <c r="AB75" s="65"/>
      <c r="AC75" s="82"/>
    </row>
    <row r="76" spans="1:68" ht="14.25" customHeight="1" x14ac:dyDescent="0.25">
      <c r="A76" s="355" t="s">
        <v>80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  <c r="Z76" s="355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356">
        <v>4607111037411</v>
      </c>
      <c r="E77" s="35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356">
        <v>4607111036728</v>
      </c>
      <c r="E78" s="35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8"/>
      <c r="R78" s="358"/>
      <c r="S78" s="358"/>
      <c r="T78" s="35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0"/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1"/>
      <c r="P80" s="367" t="s">
        <v>40</v>
      </c>
      <c r="Q80" s="368"/>
      <c r="R80" s="368"/>
      <c r="S80" s="368"/>
      <c r="T80" s="368"/>
      <c r="U80" s="368"/>
      <c r="V80" s="369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54" t="s">
        <v>164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65"/>
      <c r="AB81" s="65"/>
      <c r="AC81" s="82"/>
    </row>
    <row r="82" spans="1:68" ht="14.25" customHeight="1" x14ac:dyDescent="0.25">
      <c r="A82" s="355" t="s">
        <v>149</v>
      </c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56">
        <v>4607111033659</v>
      </c>
      <c r="E83" s="35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8"/>
      <c r="R83" s="358"/>
      <c r="S83" s="358"/>
      <c r="T83" s="359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1"/>
      <c r="P85" s="367" t="s">
        <v>40</v>
      </c>
      <c r="Q85" s="368"/>
      <c r="R85" s="368"/>
      <c r="S85" s="368"/>
      <c r="T85" s="368"/>
      <c r="U85" s="368"/>
      <c r="V85" s="369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customHeight="1" x14ac:dyDescent="0.25">
      <c r="A86" s="354" t="s">
        <v>168</v>
      </c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65"/>
      <c r="AB86" s="65"/>
      <c r="AC86" s="82"/>
    </row>
    <row r="87" spans="1:68" ht="14.25" customHeight="1" x14ac:dyDescent="0.25">
      <c r="A87" s="355" t="s">
        <v>169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56">
        <v>4607111034120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84</v>
      </c>
      <c r="Y88" s="55">
        <f>IFERROR(IF(X88="","",X88),"")</f>
        <v>84</v>
      </c>
      <c r="Z88" s="41">
        <f>IFERROR(IF(X88="","",X88*0.01788),"")</f>
        <v>1.5019199999999999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361.50240000000002</v>
      </c>
      <c r="BN88" s="81">
        <f>IFERROR(Y88*I88,"0")</f>
        <v>361.50240000000002</v>
      </c>
      <c r="BO88" s="81">
        <f>IFERROR(X88/J88,"0")</f>
        <v>1.2</v>
      </c>
      <c r="BP88" s="81">
        <f>IFERROR(Y88/J88,"0")</f>
        <v>1.2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56">
        <v>4607111034137</v>
      </c>
      <c r="E89" s="35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8"/>
      <c r="R89" s="358"/>
      <c r="S89" s="358"/>
      <c r="T89" s="359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39</v>
      </c>
      <c r="X90" s="43">
        <f>IFERROR(SUM(X88:X89),"0")</f>
        <v>126</v>
      </c>
      <c r="Y90" s="43">
        <f>IFERROR(SUM(Y88:Y89),"0")</f>
        <v>126</v>
      </c>
      <c r="Z90" s="43">
        <f>IFERROR(IF(Z88="",0,Z88),"0")+IFERROR(IF(Z89="",0,Z89),"0")</f>
        <v>2.2528799999999998</v>
      </c>
      <c r="AA90" s="67"/>
      <c r="AB90" s="67"/>
      <c r="AC90" s="67"/>
    </row>
    <row r="91" spans="1:68" x14ac:dyDescent="0.2">
      <c r="A91" s="370"/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1"/>
      <c r="P91" s="367" t="s">
        <v>40</v>
      </c>
      <c r="Q91" s="368"/>
      <c r="R91" s="368"/>
      <c r="S91" s="368"/>
      <c r="T91" s="368"/>
      <c r="U91" s="368"/>
      <c r="V91" s="369"/>
      <c r="W91" s="42" t="s">
        <v>0</v>
      </c>
      <c r="X91" s="43">
        <f>IFERROR(SUMPRODUCT(X88:X89*H88:H89),"0")</f>
        <v>453.6</v>
      </c>
      <c r="Y91" s="43">
        <f>IFERROR(SUMPRODUCT(Y88:Y89*H88:H89),"0")</f>
        <v>453.6</v>
      </c>
      <c r="Z91" s="42"/>
      <c r="AA91" s="67"/>
      <c r="AB91" s="67"/>
      <c r="AC91" s="67"/>
    </row>
    <row r="92" spans="1:68" ht="16.5" customHeight="1" x14ac:dyDescent="0.25">
      <c r="A92" s="354" t="s">
        <v>176</v>
      </c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65"/>
      <c r="AB92" s="65"/>
      <c r="AC92" s="82"/>
    </row>
    <row r="93" spans="1:68" ht="14.25" customHeight="1" x14ac:dyDescent="0.25">
      <c r="A93" s="355" t="s">
        <v>149</v>
      </c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56">
        <v>4620207491027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42</v>
      </c>
      <c r="Y94" s="55">
        <f t="shared" ref="Y94:Y99" si="6">IFERROR(IF(X94="","",X94),"")</f>
        <v>42</v>
      </c>
      <c r="Z94" s="41">
        <f t="shared" ref="Z94:Z99" si="7">IFERROR(IF(X94="","",X94*0.01788),"")</f>
        <v>0.75095999999999996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150.5112</v>
      </c>
      <c r="BN94" s="81">
        <f t="shared" ref="BN94:BN99" si="9">IFERROR(Y94*I94,"0")</f>
        <v>150.5112</v>
      </c>
      <c r="BO94" s="81">
        <f t="shared" ref="BO94:BO99" si="10">IFERROR(X94/J94,"0")</f>
        <v>0.6</v>
      </c>
      <c r="BP94" s="81">
        <f t="shared" ref="BP94:BP99" si="11">IFERROR(Y94/J94,"0")</f>
        <v>0.6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356">
        <v>4620207491003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356">
        <v>4620207491034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56">
        <v>4620207491010</v>
      </c>
      <c r="E97" s="35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356">
        <v>4607111035028</v>
      </c>
      <c r="E98" s="35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62.283200000000008</v>
      </c>
      <c r="BN98" s="81">
        <f t="shared" si="9"/>
        <v>62.283200000000008</v>
      </c>
      <c r="BO98" s="81">
        <f t="shared" si="10"/>
        <v>0.2</v>
      </c>
      <c r="BP98" s="81">
        <f t="shared" si="11"/>
        <v>0.2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356">
        <v>4607111036407</v>
      </c>
      <c r="E99" s="35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39</v>
      </c>
      <c r="X100" s="43">
        <f>IFERROR(SUM(X94:X99),"0")</f>
        <v>210</v>
      </c>
      <c r="Y100" s="43">
        <f>IFERROR(SUM(Y94:Y99),"0")</f>
        <v>210</v>
      </c>
      <c r="Z100" s="43">
        <f>IFERROR(IF(Z94="",0,Z94),"0")+IFERROR(IF(Z95="",0,Z95),"0")+IFERROR(IF(Z96="",0,Z96),"0")+IFERROR(IF(Z97="",0,Z97),"0")+IFERROR(IF(Z98="",0,Z98),"0")+IFERROR(IF(Z99="",0,Z99),"0")</f>
        <v>3.7547999999999999</v>
      </c>
      <c r="AA100" s="67"/>
      <c r="AB100" s="67"/>
      <c r="AC100" s="67"/>
    </row>
    <row r="101" spans="1:68" x14ac:dyDescent="0.2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1"/>
      <c r="P101" s="367" t="s">
        <v>40</v>
      </c>
      <c r="Q101" s="368"/>
      <c r="R101" s="368"/>
      <c r="S101" s="368"/>
      <c r="T101" s="368"/>
      <c r="U101" s="368"/>
      <c r="V101" s="369"/>
      <c r="W101" s="42" t="s">
        <v>0</v>
      </c>
      <c r="X101" s="43">
        <f>IFERROR(SUMPRODUCT(X94:X99*H94:H99),"0")</f>
        <v>618.24</v>
      </c>
      <c r="Y101" s="43">
        <f>IFERROR(SUMPRODUCT(Y94:Y99*H94:H99),"0")</f>
        <v>618.24</v>
      </c>
      <c r="Z101" s="42"/>
      <c r="AA101" s="67"/>
      <c r="AB101" s="67"/>
      <c r="AC101" s="67"/>
    </row>
    <row r="102" spans="1:68" ht="16.5" customHeight="1" x14ac:dyDescent="0.25">
      <c r="A102" s="354" t="s">
        <v>191</v>
      </c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65"/>
      <c r="AB102" s="65"/>
      <c r="AC102" s="82"/>
    </row>
    <row r="103" spans="1:68" ht="14.25" customHeight="1" x14ac:dyDescent="0.25">
      <c r="A103" s="355" t="s">
        <v>143</v>
      </c>
      <c r="B103" s="355"/>
      <c r="C103" s="355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66"/>
      <c r="AB103" s="66"/>
      <c r="AC103" s="83"/>
    </row>
    <row r="104" spans="1:68" ht="27" customHeight="1" x14ac:dyDescent="0.25">
      <c r="A104" s="63" t="s">
        <v>192</v>
      </c>
      <c r="B104" s="63" t="s">
        <v>193</v>
      </c>
      <c r="C104" s="36">
        <v>4301136070</v>
      </c>
      <c r="D104" s="356">
        <v>4607025784012</v>
      </c>
      <c r="E104" s="35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4301136079</v>
      </c>
      <c r="D105" s="356">
        <v>4607025784319</v>
      </c>
      <c r="E105" s="35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58"/>
      <c r="R105" s="358"/>
      <c r="S105" s="358"/>
      <c r="T105" s="35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1"/>
      <c r="P107" s="367" t="s">
        <v>40</v>
      </c>
      <c r="Q107" s="368"/>
      <c r="R107" s="368"/>
      <c r="S107" s="368"/>
      <c r="T107" s="368"/>
      <c r="U107" s="368"/>
      <c r="V107" s="369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54" t="s">
        <v>197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65"/>
      <c r="AB108" s="65"/>
      <c r="AC108" s="82"/>
    </row>
    <row r="109" spans="1:68" ht="14.25" customHeight="1" x14ac:dyDescent="0.25">
      <c r="A109" s="355" t="s">
        <v>80</v>
      </c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55"/>
      <c r="AA109" s="66"/>
      <c r="AB109" s="66"/>
      <c r="AC109" s="83"/>
    </row>
    <row r="110" spans="1:68" ht="27" customHeight="1" x14ac:dyDescent="0.25">
      <c r="A110" s="63" t="s">
        <v>198</v>
      </c>
      <c r="B110" s="63" t="s">
        <v>199</v>
      </c>
      <c r="C110" s="36">
        <v>4301071074</v>
      </c>
      <c r="D110" s="356">
        <v>4620207491157</v>
      </c>
      <c r="E110" s="35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201</v>
      </c>
      <c r="B111" s="63" t="s">
        <v>202</v>
      </c>
      <c r="C111" s="36">
        <v>4301071121</v>
      </c>
      <c r="D111" s="356">
        <v>4620207491393</v>
      </c>
      <c r="E111" s="35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4301071136</v>
      </c>
      <c r="D112" s="356">
        <v>4620207491829</v>
      </c>
      <c r="E112" s="356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4301071051</v>
      </c>
      <c r="D113" s="356">
        <v>4607111039262</v>
      </c>
      <c r="E113" s="35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4301071038</v>
      </c>
      <c r="D114" s="356">
        <v>4607111039248</v>
      </c>
      <c r="E114" s="35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210</v>
      </c>
      <c r="B115" s="63" t="s">
        <v>211</v>
      </c>
      <c r="C115" s="36">
        <v>4301070979</v>
      </c>
      <c r="D115" s="356">
        <v>4607111037145</v>
      </c>
      <c r="E115" s="35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213</v>
      </c>
      <c r="B116" s="63" t="s">
        <v>214</v>
      </c>
      <c r="C116" s="36">
        <v>4301071049</v>
      </c>
      <c r="D116" s="356">
        <v>4607111039293</v>
      </c>
      <c r="E116" s="35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215</v>
      </c>
      <c r="B117" s="63" t="s">
        <v>216</v>
      </c>
      <c r="C117" s="36">
        <v>4301071039</v>
      </c>
      <c r="D117" s="356">
        <v>4607111039279</v>
      </c>
      <c r="E117" s="35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87.6</v>
      </c>
      <c r="BN117" s="81">
        <f t="shared" si="15"/>
        <v>87.6</v>
      </c>
      <c r="BO117" s="81">
        <f t="shared" si="16"/>
        <v>0.14285714285714285</v>
      </c>
      <c r="BP117" s="81">
        <f t="shared" si="17"/>
        <v>0.14285714285714285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IFERROR(SUM(X110:X117),"0")</f>
        <v>12</v>
      </c>
      <c r="Y118" s="43">
        <f>IFERROR(SUM(Y110:Y117),"0")</f>
        <v>12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0.186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IFERROR(SUMPRODUCT(X110:X117*H110:H117),"0")</f>
        <v>84</v>
      </c>
      <c r="Y119" s="43">
        <f>IFERROR(SUMPRODUCT(Y110:Y117*H110:H117),"0")</f>
        <v>84</v>
      </c>
      <c r="Z119" s="42"/>
      <c r="AA119" s="67"/>
      <c r="AB119" s="67"/>
      <c r="AC119" s="67"/>
    </row>
    <row r="120" spans="1:68" ht="14.25" customHeight="1" x14ac:dyDescent="0.25">
      <c r="A120" s="355" t="s">
        <v>149</v>
      </c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356">
        <v>4620207490983</v>
      </c>
      <c r="E121" s="35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56</v>
      </c>
      <c r="Y121" s="55">
        <f>IFERROR(IF(X121="","",X121),"")</f>
        <v>56</v>
      </c>
      <c r="Z121" s="41">
        <f>IFERROR(IF(X121="","",X121*0.01788),"")</f>
        <v>1.0012799999999999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187.24160000000001</v>
      </c>
      <c r="BN121" s="81">
        <f>IFERROR(Y121*I121,"0")</f>
        <v>187.24160000000001</v>
      </c>
      <c r="BO121" s="81">
        <f>IFERROR(X121/J121,"0")</f>
        <v>0.8</v>
      </c>
      <c r="BP121" s="81">
        <f>IFERROR(Y121/J121,"0")</f>
        <v>0.8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IFERROR(SUM(X121:X121),"0")</f>
        <v>56</v>
      </c>
      <c r="Y122" s="43">
        <f>IFERROR(SUM(Y121:Y121),"0")</f>
        <v>56</v>
      </c>
      <c r="Z122" s="43">
        <f>IFERROR(IF(Z121="",0,Z121),"0")</f>
        <v>1.0012799999999999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IFERROR(SUMPRODUCT(X121:X121*H121:H121),"0")</f>
        <v>147.84</v>
      </c>
      <c r="Y123" s="43">
        <f>IFERROR(SUMPRODUCT(Y121:Y121*H121:H121),"0")</f>
        <v>147.84</v>
      </c>
      <c r="Z123" s="42"/>
      <c r="AA123" s="67"/>
      <c r="AB123" s="67"/>
      <c r="AC123" s="67"/>
    </row>
    <row r="124" spans="1:68" ht="14.25" customHeight="1" x14ac:dyDescent="0.25">
      <c r="A124" s="355" t="s">
        <v>220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4301071094</v>
      </c>
      <c r="D125" s="356">
        <v>4620207491140</v>
      </c>
      <c r="E125" s="35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1"/>
      <c r="P126" s="367" t="s">
        <v>40</v>
      </c>
      <c r="Q126" s="368"/>
      <c r="R126" s="368"/>
      <c r="S126" s="368"/>
      <c r="T126" s="368"/>
      <c r="U126" s="368"/>
      <c r="V126" s="36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54" t="s">
        <v>224</v>
      </c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65"/>
      <c r="AB128" s="65"/>
      <c r="AC128" s="82"/>
    </row>
    <row r="129" spans="1:68" ht="14.25" customHeight="1" x14ac:dyDescent="0.25">
      <c r="A129" s="355" t="s">
        <v>149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66"/>
      <c r="AB129" s="66"/>
      <c r="AC129" s="83"/>
    </row>
    <row r="130" spans="1:68" ht="27" customHeight="1" x14ac:dyDescent="0.25">
      <c r="A130" s="63" t="s">
        <v>225</v>
      </c>
      <c r="B130" s="63" t="s">
        <v>226</v>
      </c>
      <c r="C130" s="36">
        <v>4301135848</v>
      </c>
      <c r="D130" s="356">
        <v>4620207491799</v>
      </c>
      <c r="E130" s="35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356">
        <v>4620207491492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356">
        <v>4620207491461</v>
      </c>
      <c r="E132" s="35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121.8</v>
      </c>
      <c r="BN132" s="81">
        <f>IFERROR(Y132*I132,"0")</f>
        <v>121.8</v>
      </c>
      <c r="BO132" s="81">
        <f>IFERROR(X132/J132,"0")</f>
        <v>0.5</v>
      </c>
      <c r="BP132" s="81">
        <f>IFERROR(Y132/J132,"0")</f>
        <v>0.5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356">
        <v>4620207491485</v>
      </c>
      <c r="E133" s="35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70</v>
      </c>
      <c r="Y133" s="55">
        <f>IFERROR(IF(X133="","",X133),"")</f>
        <v>70</v>
      </c>
      <c r="Z133" s="41">
        <f>IFERROR(IF(X133="","",X133*0.00941),"")</f>
        <v>0.65869999999999995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126</v>
      </c>
      <c r="BN133" s="81">
        <f>IFERROR(Y133*I133,"0")</f>
        <v>126</v>
      </c>
      <c r="BO133" s="81">
        <f>IFERROR(X133/J133,"0")</f>
        <v>0.5</v>
      </c>
      <c r="BP133" s="81">
        <f>IFERROR(Y133/J133,"0")</f>
        <v>0.5</v>
      </c>
    </row>
    <row r="134" spans="1:68" x14ac:dyDescent="0.2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1"/>
      <c r="P134" s="367" t="s">
        <v>40</v>
      </c>
      <c r="Q134" s="368"/>
      <c r="R134" s="368"/>
      <c r="S134" s="368"/>
      <c r="T134" s="368"/>
      <c r="U134" s="368"/>
      <c r="V134" s="369"/>
      <c r="W134" s="42" t="s">
        <v>39</v>
      </c>
      <c r="X134" s="43">
        <f>IFERROR(SUM(X130:X133),"0")</f>
        <v>196</v>
      </c>
      <c r="Y134" s="43">
        <f>IFERROR(SUM(Y130:Y133),"0")</f>
        <v>196</v>
      </c>
      <c r="Z134" s="43">
        <f>IFERROR(IF(Z130="",0,Z130),"0")+IFERROR(IF(Z131="",0,Z131),"0")+IFERROR(IF(Z132="",0,Z132),"0")+IFERROR(IF(Z133="",0,Z133),"0")</f>
        <v>1.84436</v>
      </c>
      <c r="AA134" s="67"/>
      <c r="AB134" s="67"/>
      <c r="AC134" s="67"/>
    </row>
    <row r="135" spans="1:68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0</v>
      </c>
      <c r="X135" s="43">
        <f>IFERROR(SUMPRODUCT(X130:X133*H130:H133),"0")</f>
        <v>266.27999999999997</v>
      </c>
      <c r="Y135" s="43">
        <f>IFERROR(SUMPRODUCT(Y130:Y133*H130:H133),"0")</f>
        <v>266.27999999999997</v>
      </c>
      <c r="Z135" s="42"/>
      <c r="AA135" s="67"/>
      <c r="AB135" s="67"/>
      <c r="AC135" s="67"/>
    </row>
    <row r="136" spans="1:68" ht="14.25" customHeight="1" x14ac:dyDescent="0.25">
      <c r="A136" s="355" t="s">
        <v>234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66"/>
      <c r="AB136" s="66"/>
      <c r="AC136" s="83"/>
    </row>
    <row r="137" spans="1:68" ht="27" customHeight="1" x14ac:dyDescent="0.25">
      <c r="A137" s="63" t="s">
        <v>235</v>
      </c>
      <c r="B137" s="63" t="s">
        <v>236</v>
      </c>
      <c r="C137" s="36">
        <v>4301190117</v>
      </c>
      <c r="D137" s="356">
        <v>4620207491386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238</v>
      </c>
      <c r="B138" s="63" t="s">
        <v>239</v>
      </c>
      <c r="C138" s="36">
        <v>4301190115</v>
      </c>
      <c r="D138" s="356">
        <v>4620207491362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240</v>
      </c>
      <c r="B139" s="63" t="s">
        <v>241</v>
      </c>
      <c r="C139" s="36">
        <v>4301190116</v>
      </c>
      <c r="D139" s="356">
        <v>4620207491379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1"/>
      <c r="P140" s="367" t="s">
        <v>40</v>
      </c>
      <c r="Q140" s="368"/>
      <c r="R140" s="368"/>
      <c r="S140" s="368"/>
      <c r="T140" s="368"/>
      <c r="U140" s="368"/>
      <c r="V140" s="369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1"/>
      <c r="P141" s="367" t="s">
        <v>40</v>
      </c>
      <c r="Q141" s="368"/>
      <c r="R141" s="368"/>
      <c r="S141" s="368"/>
      <c r="T141" s="368"/>
      <c r="U141" s="368"/>
      <c r="V141" s="369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54" t="s">
        <v>242</v>
      </c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65"/>
      <c r="AB142" s="65"/>
      <c r="AC142" s="82"/>
    </row>
    <row r="143" spans="1:68" ht="14.25" customHeight="1" x14ac:dyDescent="0.25">
      <c r="A143" s="355" t="s">
        <v>149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356">
        <v>4607111034014</v>
      </c>
      <c r="E144" s="35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8"/>
      <c r="R144" s="358"/>
      <c r="S144" s="358"/>
      <c r="T144" s="359"/>
      <c r="U144" s="39" t="s">
        <v>46</v>
      </c>
      <c r="V144" s="39" t="s">
        <v>46</v>
      </c>
      <c r="W144" s="40" t="s">
        <v>39</v>
      </c>
      <c r="X144" s="58">
        <v>98</v>
      </c>
      <c r="Y144" s="55">
        <f>IFERROR(IF(X144="","",X144),"")</f>
        <v>98</v>
      </c>
      <c r="Z144" s="41">
        <f>IFERROR(IF(X144="","",X144*0.01788),"")</f>
        <v>1.75224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362.95279999999997</v>
      </c>
      <c r="BN144" s="81">
        <f>IFERROR(Y144*I144,"0")</f>
        <v>362.95279999999997</v>
      </c>
      <c r="BO144" s="81">
        <f>IFERROR(X144/J144,"0")</f>
        <v>1.4</v>
      </c>
      <c r="BP144" s="81">
        <f>IFERROR(Y144/J144,"0")</f>
        <v>1.4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356">
        <v>4607111033994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140</v>
      </c>
      <c r="Y145" s="55">
        <f>IFERROR(IF(X145="","",X145),"")</f>
        <v>140</v>
      </c>
      <c r="Z145" s="41">
        <f>IFERROR(IF(X145="","",X145*0.01788),"")</f>
        <v>2.5032000000000001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518.50400000000002</v>
      </c>
      <c r="BN145" s="81">
        <f>IFERROR(Y145*I145,"0")</f>
        <v>518.50400000000002</v>
      </c>
      <c r="BO145" s="81">
        <f>IFERROR(X145/J145,"0")</f>
        <v>2</v>
      </c>
      <c r="BP145" s="81">
        <f>IFERROR(Y145/J145,"0")</f>
        <v>2</v>
      </c>
    </row>
    <row r="146" spans="1:68" x14ac:dyDescent="0.2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1"/>
      <c r="P146" s="367" t="s">
        <v>40</v>
      </c>
      <c r="Q146" s="368"/>
      <c r="R146" s="368"/>
      <c r="S146" s="368"/>
      <c r="T146" s="368"/>
      <c r="U146" s="368"/>
      <c r="V146" s="369"/>
      <c r="W146" s="42" t="s">
        <v>39</v>
      </c>
      <c r="X146" s="43">
        <f>IFERROR(SUM(X144:X145),"0")</f>
        <v>238</v>
      </c>
      <c r="Y146" s="43">
        <f>IFERROR(SUM(Y144:Y145),"0")</f>
        <v>238</v>
      </c>
      <c r="Z146" s="43">
        <f>IFERROR(IF(Z144="",0,Z144),"0")+IFERROR(IF(Z145="",0,Z145),"0")</f>
        <v>4.2554400000000001</v>
      </c>
      <c r="AA146" s="67"/>
      <c r="AB146" s="67"/>
      <c r="AC146" s="67"/>
    </row>
    <row r="147" spans="1:68" x14ac:dyDescent="0.2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1"/>
      <c r="P147" s="367" t="s">
        <v>40</v>
      </c>
      <c r="Q147" s="368"/>
      <c r="R147" s="368"/>
      <c r="S147" s="368"/>
      <c r="T147" s="368"/>
      <c r="U147" s="368"/>
      <c r="V147" s="369"/>
      <c r="W147" s="42" t="s">
        <v>0</v>
      </c>
      <c r="X147" s="43">
        <f>IFERROR(SUMPRODUCT(X144:X145*H144:H145),"0")</f>
        <v>714</v>
      </c>
      <c r="Y147" s="43">
        <f>IFERROR(SUMPRODUCT(Y144:Y145*H144:H145),"0")</f>
        <v>714</v>
      </c>
      <c r="Z147" s="42"/>
      <c r="AA147" s="67"/>
      <c r="AB147" s="67"/>
      <c r="AC147" s="67"/>
    </row>
    <row r="148" spans="1:68" ht="16.5" customHeight="1" x14ac:dyDescent="0.25">
      <c r="A148" s="354" t="s">
        <v>248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5"/>
      <c r="AB148" s="65"/>
      <c r="AC148" s="82"/>
    </row>
    <row r="149" spans="1:68" ht="14.25" customHeight="1" x14ac:dyDescent="0.25">
      <c r="A149" s="355" t="s">
        <v>149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356">
        <v>4607111039095</v>
      </c>
      <c r="E150" s="35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56</v>
      </c>
      <c r="Y150" s="55">
        <f>IFERROR(IF(X150="","",X150),"")</f>
        <v>56</v>
      </c>
      <c r="Z150" s="41">
        <f>IFERROR(IF(X150="","",X150*0.01788),"")</f>
        <v>1.0012799999999999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209.88800000000001</v>
      </c>
      <c r="BN150" s="81">
        <f>IFERROR(Y150*I150,"0")</f>
        <v>209.88800000000001</v>
      </c>
      <c r="BO150" s="81">
        <f>IFERROR(X150/J150,"0")</f>
        <v>0.8</v>
      </c>
      <c r="BP150" s="81">
        <f>IFERROR(Y150/J150,"0")</f>
        <v>0.8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356">
        <v>4620207491553</v>
      </c>
      <c r="E151" s="35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42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39</v>
      </c>
      <c r="X152" s="43">
        <f>IFERROR(SUM(X150:X151),"0")</f>
        <v>126</v>
      </c>
      <c r="Y152" s="43">
        <f>IFERROR(SUM(Y150:Y151),"0")</f>
        <v>126</v>
      </c>
      <c r="Z152" s="43">
        <f>IFERROR(IF(Z150="",0,Z150),"0")+IFERROR(IF(Z151="",0,Z151),"0")</f>
        <v>2.2528800000000002</v>
      </c>
      <c r="AA152" s="67"/>
      <c r="AB152" s="67"/>
      <c r="AC152" s="67"/>
    </row>
    <row r="153" spans="1:68" x14ac:dyDescent="0.2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1"/>
      <c r="P153" s="367" t="s">
        <v>40</v>
      </c>
      <c r="Q153" s="368"/>
      <c r="R153" s="368"/>
      <c r="S153" s="368"/>
      <c r="T153" s="368"/>
      <c r="U153" s="368"/>
      <c r="V153" s="369"/>
      <c r="W153" s="42" t="s">
        <v>0</v>
      </c>
      <c r="X153" s="43">
        <f>IFERROR(SUMPRODUCT(X150:X151*H150:H151),"0")</f>
        <v>378</v>
      </c>
      <c r="Y153" s="43">
        <f>IFERROR(SUMPRODUCT(Y150:Y151*H150:H151),"0")</f>
        <v>378</v>
      </c>
      <c r="Z153" s="42"/>
      <c r="AA153" s="67"/>
      <c r="AB153" s="67"/>
      <c r="AC153" s="67"/>
    </row>
    <row r="154" spans="1:68" ht="16.5" customHeight="1" x14ac:dyDescent="0.25">
      <c r="A154" s="354" t="s">
        <v>255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5"/>
      <c r="AB154" s="65"/>
      <c r="AC154" s="82"/>
    </row>
    <row r="155" spans="1:68" ht="14.25" customHeight="1" x14ac:dyDescent="0.25">
      <c r="A155" s="355" t="s">
        <v>149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356">
        <v>4620207490914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356">
        <v>4620207490853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42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39</v>
      </c>
      <c r="X158" s="43">
        <f>IFERROR(SUM(X156:X157),"0")</f>
        <v>70</v>
      </c>
      <c r="Y158" s="43">
        <f>IFERROR(SUM(Y156:Y157),"0")</f>
        <v>70</v>
      </c>
      <c r="Z158" s="43">
        <f>IFERROR(IF(Z156="",0,Z156),"0")+IFERROR(IF(Z157="",0,Z157),"0")</f>
        <v>1.2515999999999998</v>
      </c>
      <c r="AA158" s="67"/>
      <c r="AB158" s="67"/>
      <c r="AC158" s="67"/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0</v>
      </c>
      <c r="X159" s="43">
        <f>IFERROR(SUMPRODUCT(X156:X157*H156:H157),"0")</f>
        <v>168</v>
      </c>
      <c r="Y159" s="43">
        <f>IFERROR(SUMPRODUCT(Y156:Y157*H156:H157),"0")</f>
        <v>168</v>
      </c>
      <c r="Z159" s="42"/>
      <c r="AA159" s="67"/>
      <c r="AB159" s="67"/>
      <c r="AC159" s="67"/>
    </row>
    <row r="160" spans="1:68" ht="16.5" customHeight="1" x14ac:dyDescent="0.25">
      <c r="A160" s="354" t="s">
        <v>260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5"/>
      <c r="AB160" s="65"/>
      <c r="AC160" s="82"/>
    </row>
    <row r="161" spans="1:68" ht="14.25" customHeight="1" x14ac:dyDescent="0.25">
      <c r="A161" s="355" t="s">
        <v>149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66"/>
      <c r="AB161" s="66"/>
      <c r="AC161" s="83"/>
    </row>
    <row r="162" spans="1:68" ht="27" customHeight="1" x14ac:dyDescent="0.25">
      <c r="A162" s="63" t="s">
        <v>261</v>
      </c>
      <c r="B162" s="63" t="s">
        <v>262</v>
      </c>
      <c r="C162" s="36">
        <v>4301135570</v>
      </c>
      <c r="D162" s="356">
        <v>4607111035806</v>
      </c>
      <c r="E162" s="35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42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58"/>
      <c r="R162" s="358"/>
      <c r="S162" s="358"/>
      <c r="T162" s="35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4" t="s">
        <v>264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5"/>
      <c r="AB165" s="65"/>
      <c r="AC165" s="82"/>
    </row>
    <row r="166" spans="1:68" ht="14.25" customHeight="1" x14ac:dyDescent="0.25">
      <c r="A166" s="355" t="s">
        <v>149</v>
      </c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356">
        <v>4607111039613</v>
      </c>
      <c r="E167" s="35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8"/>
      <c r="R167" s="358"/>
      <c r="S167" s="358"/>
      <c r="T167" s="359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customHeight="1" x14ac:dyDescent="0.25">
      <c r="A170" s="354" t="s">
        <v>267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5"/>
      <c r="AB170" s="65"/>
      <c r="AC170" s="82"/>
    </row>
    <row r="171" spans="1:68" ht="14.25" customHeight="1" x14ac:dyDescent="0.25">
      <c r="A171" s="355" t="s">
        <v>149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356">
        <v>4607111036568</v>
      </c>
      <c r="E172" s="35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4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358"/>
      <c r="R172" s="358"/>
      <c r="S172" s="358"/>
      <c r="T172" s="359"/>
      <c r="U172" s="39" t="s">
        <v>46</v>
      </c>
      <c r="V172" s="39" t="s">
        <v>46</v>
      </c>
      <c r="W172" s="40" t="s">
        <v>39</v>
      </c>
      <c r="X172" s="58">
        <v>112</v>
      </c>
      <c r="Y172" s="55">
        <f>IFERROR(IF(X172="","",X172),"")</f>
        <v>112</v>
      </c>
      <c r="Z172" s="41">
        <f>IFERROR(IF(X172="","",X172*0.00941),"")</f>
        <v>1.05392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235.40159999999997</v>
      </c>
      <c r="BN172" s="81">
        <f>IFERROR(Y172*I172,"0")</f>
        <v>235.40159999999997</v>
      </c>
      <c r="BO172" s="81">
        <f>IFERROR(X172/J172,"0")</f>
        <v>0.8</v>
      </c>
      <c r="BP172" s="81">
        <f>IFERROR(Y172/J172,"0")</f>
        <v>0.8</v>
      </c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39</v>
      </c>
      <c r="X173" s="43">
        <f>IFERROR(SUM(X172:X172),"0")</f>
        <v>112</v>
      </c>
      <c r="Y173" s="43">
        <f>IFERROR(SUM(Y172:Y172),"0")</f>
        <v>112</v>
      </c>
      <c r="Z173" s="43">
        <f>IFERROR(IF(Z172="",0,Z172),"0")</f>
        <v>1.05392</v>
      </c>
      <c r="AA173" s="67"/>
      <c r="AB173" s="67"/>
      <c r="AC173" s="67"/>
    </row>
    <row r="174" spans="1:68" x14ac:dyDescent="0.2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1"/>
      <c r="P174" s="367" t="s">
        <v>40</v>
      </c>
      <c r="Q174" s="368"/>
      <c r="R174" s="368"/>
      <c r="S174" s="368"/>
      <c r="T174" s="368"/>
      <c r="U174" s="368"/>
      <c r="V174" s="369"/>
      <c r="W174" s="42" t="s">
        <v>0</v>
      </c>
      <c r="X174" s="43">
        <f>IFERROR(SUMPRODUCT(X172:X172*H172:H172),"0")</f>
        <v>188.16</v>
      </c>
      <c r="Y174" s="43">
        <f>IFERROR(SUMPRODUCT(Y172:Y172*H172:H172),"0")</f>
        <v>188.16</v>
      </c>
      <c r="Z174" s="42"/>
      <c r="AA174" s="67"/>
      <c r="AB174" s="67"/>
      <c r="AC174" s="67"/>
    </row>
    <row r="175" spans="1:68" ht="27.75" customHeight="1" x14ac:dyDescent="0.2">
      <c r="A175" s="353" t="s">
        <v>271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54"/>
      <c r="AB175" s="54"/>
      <c r="AC175" s="54"/>
    </row>
    <row r="176" spans="1:68" ht="16.5" customHeight="1" x14ac:dyDescent="0.25">
      <c r="A176" s="354" t="s">
        <v>272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5"/>
      <c r="AB176" s="65"/>
      <c r="AC176" s="82"/>
    </row>
    <row r="177" spans="1:68" ht="14.25" customHeight="1" x14ac:dyDescent="0.25">
      <c r="A177" s="355" t="s">
        <v>80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16.5" customHeight="1" x14ac:dyDescent="0.25">
      <c r="A178" s="63" t="s">
        <v>273</v>
      </c>
      <c r="B178" s="63" t="s">
        <v>274</v>
      </c>
      <c r="C178" s="36">
        <v>4301071062</v>
      </c>
      <c r="D178" s="356">
        <v>4607111036384</v>
      </c>
      <c r="E178" s="35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276</v>
      </c>
      <c r="B179" s="63" t="s">
        <v>277</v>
      </c>
      <c r="C179" s="36">
        <v>4301071050</v>
      </c>
      <c r="D179" s="356">
        <v>4607111036216</v>
      </c>
      <c r="E179" s="35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8"/>
      <c r="R179" s="358"/>
      <c r="S179" s="358"/>
      <c r="T179" s="35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1"/>
      <c r="P181" s="367" t="s">
        <v>40</v>
      </c>
      <c r="Q181" s="368"/>
      <c r="R181" s="368"/>
      <c r="S181" s="368"/>
      <c r="T181" s="368"/>
      <c r="U181" s="368"/>
      <c r="V181" s="369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54" t="s">
        <v>279</v>
      </c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65"/>
      <c r="AB182" s="65"/>
      <c r="AC182" s="82"/>
    </row>
    <row r="183" spans="1:68" ht="14.25" customHeight="1" x14ac:dyDescent="0.25">
      <c r="A183" s="355" t="s">
        <v>80</v>
      </c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66"/>
      <c r="AB183" s="66"/>
      <c r="AC183" s="83"/>
    </row>
    <row r="184" spans="1:68" ht="27" customHeight="1" x14ac:dyDescent="0.25">
      <c r="A184" s="63" t="s">
        <v>280</v>
      </c>
      <c r="B184" s="63" t="s">
        <v>281</v>
      </c>
      <c r="C184" s="36">
        <v>4301071117</v>
      </c>
      <c r="D184" s="356">
        <v>4620207491737</v>
      </c>
      <c r="E184" s="35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1"/>
      <c r="P186" s="367" t="s">
        <v>40</v>
      </c>
      <c r="Q186" s="368"/>
      <c r="R186" s="368"/>
      <c r="S186" s="368"/>
      <c r="T186" s="368"/>
      <c r="U186" s="368"/>
      <c r="V186" s="369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53" t="s">
        <v>282</v>
      </c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54"/>
      <c r="AB187" s="54"/>
      <c r="AC187" s="54"/>
    </row>
    <row r="188" spans="1:68" ht="16.5" customHeight="1" x14ac:dyDescent="0.25">
      <c r="A188" s="354" t="s">
        <v>283</v>
      </c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65"/>
      <c r="AB188" s="65"/>
      <c r="AC188" s="82"/>
    </row>
    <row r="189" spans="1:68" ht="14.25" customHeight="1" x14ac:dyDescent="0.25">
      <c r="A189" s="355" t="s">
        <v>111</v>
      </c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  <c r="T189" s="355"/>
      <c r="U189" s="355"/>
      <c r="V189" s="355"/>
      <c r="W189" s="355"/>
      <c r="X189" s="355"/>
      <c r="Y189" s="355"/>
      <c r="Z189" s="355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356">
        <v>4607111035691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356">
        <v>4607111035721</v>
      </c>
      <c r="E191" s="35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14</v>
      </c>
      <c r="Y191" s="55">
        <f>IFERROR(IF(X191="","",X191),"")</f>
        <v>14</v>
      </c>
      <c r="Z191" s="41">
        <f>IFERROR(IF(X191="","",X191*0.01788),"")</f>
        <v>0.25031999999999999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47.432000000000002</v>
      </c>
      <c r="BN191" s="81">
        <f>IFERROR(Y191*I191,"0")</f>
        <v>47.432000000000002</v>
      </c>
      <c r="BO191" s="81">
        <f>IFERROR(X191/J191,"0")</f>
        <v>0.2</v>
      </c>
      <c r="BP191" s="81">
        <f>IFERROR(Y191/J191,"0")</f>
        <v>0.2</v>
      </c>
    </row>
    <row r="192" spans="1:68" ht="27" customHeight="1" x14ac:dyDescent="0.25">
      <c r="A192" s="63" t="s">
        <v>290</v>
      </c>
      <c r="B192" s="63" t="s">
        <v>291</v>
      </c>
      <c r="C192" s="36">
        <v>4301132170</v>
      </c>
      <c r="D192" s="356">
        <v>4607111038487</v>
      </c>
      <c r="E192" s="35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356">
        <v>4620207491195</v>
      </c>
      <c r="E193" s="35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176.28800000000001</v>
      </c>
      <c r="BN193" s="81">
        <f>IFERROR(Y193*I193,"0")</f>
        <v>176.28800000000001</v>
      </c>
      <c r="BO193" s="81">
        <f>IFERROR(X193/J193,"0")</f>
        <v>0.8</v>
      </c>
      <c r="BP193" s="81">
        <f>IFERROR(Y193/J193,"0")</f>
        <v>0.8</v>
      </c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39</v>
      </c>
      <c r="X194" s="43">
        <f>IFERROR(SUM(X190:X193),"0")</f>
        <v>112</v>
      </c>
      <c r="Y194" s="43">
        <f>IFERROR(SUM(Y190:Y193),"0")</f>
        <v>112</v>
      </c>
      <c r="Z194" s="43">
        <f>IFERROR(IF(Z190="",0,Z190),"0")+IFERROR(IF(Z191="",0,Z191),"0")+IFERROR(IF(Z192="",0,Z192),"0")+IFERROR(IF(Z193="",0,Z193),"0")</f>
        <v>2.0025599999999999</v>
      </c>
      <c r="AA194" s="67"/>
      <c r="AB194" s="67"/>
      <c r="AC194" s="67"/>
    </row>
    <row r="195" spans="1:68" x14ac:dyDescent="0.2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1"/>
      <c r="P195" s="367" t="s">
        <v>40</v>
      </c>
      <c r="Q195" s="368"/>
      <c r="R195" s="368"/>
      <c r="S195" s="368"/>
      <c r="T195" s="368"/>
      <c r="U195" s="368"/>
      <c r="V195" s="369"/>
      <c r="W195" s="42" t="s">
        <v>0</v>
      </c>
      <c r="X195" s="43">
        <f>IFERROR(SUMPRODUCT(X190:X193*H190:H193),"0")</f>
        <v>322.56</v>
      </c>
      <c r="Y195" s="43">
        <f>IFERROR(SUMPRODUCT(Y190:Y193*H190:H193),"0")</f>
        <v>322.56</v>
      </c>
      <c r="Z195" s="42"/>
      <c r="AA195" s="67"/>
      <c r="AB195" s="67"/>
      <c r="AC195" s="67"/>
    </row>
    <row r="196" spans="1:68" ht="27.75" customHeight="1" x14ac:dyDescent="0.2">
      <c r="A196" s="353" t="s">
        <v>296</v>
      </c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54"/>
      <c r="AB196" s="54"/>
      <c r="AC196" s="54"/>
    </row>
    <row r="197" spans="1:68" ht="16.5" customHeight="1" x14ac:dyDescent="0.25">
      <c r="A197" s="354" t="s">
        <v>297</v>
      </c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65"/>
      <c r="AB197" s="65"/>
      <c r="AC197" s="82"/>
    </row>
    <row r="198" spans="1:68" ht="14.25" customHeight="1" x14ac:dyDescent="0.25">
      <c r="A198" s="355" t="s">
        <v>111</v>
      </c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66"/>
      <c r="AB198" s="66"/>
      <c r="AC198" s="83"/>
    </row>
    <row r="199" spans="1:68" ht="27" customHeight="1" x14ac:dyDescent="0.25">
      <c r="A199" s="63" t="s">
        <v>298</v>
      </c>
      <c r="B199" s="63" t="s">
        <v>299</v>
      </c>
      <c r="C199" s="36">
        <v>4301132227</v>
      </c>
      <c r="D199" s="356">
        <v>4620207491133</v>
      </c>
      <c r="E199" s="35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1"/>
      <c r="P201" s="367" t="s">
        <v>40</v>
      </c>
      <c r="Q201" s="368"/>
      <c r="R201" s="368"/>
      <c r="S201" s="368"/>
      <c r="T201" s="368"/>
      <c r="U201" s="368"/>
      <c r="V201" s="369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55" t="s">
        <v>149</v>
      </c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55"/>
      <c r="Q202" s="355"/>
      <c r="R202" s="355"/>
      <c r="S202" s="355"/>
      <c r="T202" s="355"/>
      <c r="U202" s="355"/>
      <c r="V202" s="355"/>
      <c r="W202" s="355"/>
      <c r="X202" s="355"/>
      <c r="Y202" s="355"/>
      <c r="Z202" s="355"/>
      <c r="AA202" s="66"/>
      <c r="AB202" s="66"/>
      <c r="AC202" s="83"/>
    </row>
    <row r="203" spans="1:68" ht="27" customHeight="1" x14ac:dyDescent="0.25">
      <c r="A203" s="63" t="s">
        <v>301</v>
      </c>
      <c r="B203" s="63" t="s">
        <v>302</v>
      </c>
      <c r="C203" s="36">
        <v>4301135834</v>
      </c>
      <c r="D203" s="356">
        <v>4620207491188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304</v>
      </c>
      <c r="B204" s="63" t="s">
        <v>305</v>
      </c>
      <c r="C204" s="36">
        <v>4301135696</v>
      </c>
      <c r="D204" s="356">
        <v>4620207490235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307</v>
      </c>
      <c r="B205" s="63" t="s">
        <v>308</v>
      </c>
      <c r="C205" s="36">
        <v>4301135697</v>
      </c>
      <c r="D205" s="356">
        <v>4620207490259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1"/>
      <c r="P207" s="367" t="s">
        <v>40</v>
      </c>
      <c r="Q207" s="368"/>
      <c r="R207" s="368"/>
      <c r="S207" s="368"/>
      <c r="T207" s="368"/>
      <c r="U207" s="368"/>
      <c r="V207" s="369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54" t="s">
        <v>310</v>
      </c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65"/>
      <c r="AB208" s="65"/>
      <c r="AC208" s="82"/>
    </row>
    <row r="209" spans="1:68" ht="14.25" customHeight="1" x14ac:dyDescent="0.25">
      <c r="A209" s="355" t="s">
        <v>149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customHeight="1" x14ac:dyDescent="0.25">
      <c r="A210" s="63" t="s">
        <v>311</v>
      </c>
      <c r="B210" s="63" t="s">
        <v>312</v>
      </c>
      <c r="C210" s="36">
        <v>4301135854</v>
      </c>
      <c r="D210" s="356">
        <v>4620207491706</v>
      </c>
      <c r="E210" s="35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4301135895</v>
      </c>
      <c r="D211" s="356">
        <v>4620207491522</v>
      </c>
      <c r="E211" s="35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1"/>
      <c r="P213" s="367" t="s">
        <v>40</v>
      </c>
      <c r="Q213" s="368"/>
      <c r="R213" s="368"/>
      <c r="S213" s="368"/>
      <c r="T213" s="368"/>
      <c r="U213" s="368"/>
      <c r="V213" s="369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54" t="s">
        <v>317</v>
      </c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65"/>
      <c r="AB214" s="65"/>
      <c r="AC214" s="82"/>
    </row>
    <row r="215" spans="1:68" ht="14.25" customHeight="1" x14ac:dyDescent="0.25">
      <c r="A215" s="355" t="s">
        <v>80</v>
      </c>
      <c r="B215" s="355"/>
      <c r="C215" s="355"/>
      <c r="D215" s="355"/>
      <c r="E215" s="355"/>
      <c r="F215" s="355"/>
      <c r="G215" s="355"/>
      <c r="H215" s="355"/>
      <c r="I215" s="355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  <c r="T215" s="355"/>
      <c r="U215" s="355"/>
      <c r="V215" s="355"/>
      <c r="W215" s="355"/>
      <c r="X215" s="355"/>
      <c r="Y215" s="355"/>
      <c r="Z215" s="355"/>
      <c r="AA215" s="66"/>
      <c r="AB215" s="66"/>
      <c r="AC215" s="83"/>
    </row>
    <row r="216" spans="1:68" ht="27" customHeight="1" x14ac:dyDescent="0.25">
      <c r="A216" s="63" t="s">
        <v>318</v>
      </c>
      <c r="B216" s="63" t="s">
        <v>319</v>
      </c>
      <c r="C216" s="36">
        <v>4301071097</v>
      </c>
      <c r="D216" s="356">
        <v>4620207491096</v>
      </c>
      <c r="E216" s="35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1"/>
      <c r="P218" s="367" t="s">
        <v>40</v>
      </c>
      <c r="Q218" s="368"/>
      <c r="R218" s="368"/>
      <c r="S218" s="368"/>
      <c r="T218" s="368"/>
      <c r="U218" s="368"/>
      <c r="V218" s="369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54" t="s">
        <v>321</v>
      </c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65"/>
      <c r="AB219" s="65"/>
      <c r="AC219" s="82"/>
    </row>
    <row r="220" spans="1:68" ht="14.25" customHeight="1" x14ac:dyDescent="0.25">
      <c r="A220" s="355" t="s">
        <v>149</v>
      </c>
      <c r="B220" s="355"/>
      <c r="C220" s="355"/>
      <c r="D220" s="355"/>
      <c r="E220" s="355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  <c r="T220" s="355"/>
      <c r="U220" s="355"/>
      <c r="V220" s="355"/>
      <c r="W220" s="355"/>
      <c r="X220" s="355"/>
      <c r="Y220" s="355"/>
      <c r="Z220" s="355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356">
        <v>4620207490501</v>
      </c>
      <c r="E221" s="35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8"/>
      <c r="R221" s="358"/>
      <c r="S221" s="358"/>
      <c r="T221" s="359"/>
      <c r="U221" s="39" t="s">
        <v>46</v>
      </c>
      <c r="V221" s="39" t="s">
        <v>46</v>
      </c>
      <c r="W221" s="40" t="s">
        <v>39</v>
      </c>
      <c r="X221" s="58">
        <v>56</v>
      </c>
      <c r="Y221" s="55">
        <f>IFERROR(IF(X221="","",X221),"")</f>
        <v>56</v>
      </c>
      <c r="Z221" s="41">
        <f>IFERROR(IF(X221="","",X221*0.01788),"")</f>
        <v>1.0012799999999999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173.80160000000001</v>
      </c>
      <c r="BN221" s="81">
        <f>IFERROR(Y221*I221,"0")</f>
        <v>173.80160000000001</v>
      </c>
      <c r="BO221" s="81">
        <f>IFERROR(X221/J221,"0")</f>
        <v>0.8</v>
      </c>
      <c r="BP221" s="81">
        <f>IFERROR(Y221/J221,"0")</f>
        <v>0.8</v>
      </c>
    </row>
    <row r="222" spans="1:68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39</v>
      </c>
      <c r="X222" s="43">
        <f>IFERROR(SUM(X221:X221),"0")</f>
        <v>56</v>
      </c>
      <c r="Y222" s="43">
        <f>IFERROR(SUM(Y221:Y221),"0")</f>
        <v>56</v>
      </c>
      <c r="Z222" s="43">
        <f>IFERROR(IF(Z221="",0,Z221),"0")</f>
        <v>1.0012799999999999</v>
      </c>
      <c r="AA222" s="67"/>
      <c r="AB222" s="67"/>
      <c r="AC222" s="67"/>
    </row>
    <row r="223" spans="1:68" x14ac:dyDescent="0.2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1"/>
      <c r="P223" s="367" t="s">
        <v>40</v>
      </c>
      <c r="Q223" s="368"/>
      <c r="R223" s="368"/>
      <c r="S223" s="368"/>
      <c r="T223" s="368"/>
      <c r="U223" s="368"/>
      <c r="V223" s="369"/>
      <c r="W223" s="42" t="s">
        <v>0</v>
      </c>
      <c r="X223" s="43">
        <f>IFERROR(SUMPRODUCT(X221:X221*H221:H221),"0")</f>
        <v>134.4</v>
      </c>
      <c r="Y223" s="43">
        <f>IFERROR(SUMPRODUCT(Y221:Y221*H221:H221),"0")</f>
        <v>134.4</v>
      </c>
      <c r="Z223" s="42"/>
      <c r="AA223" s="67"/>
      <c r="AB223" s="67"/>
      <c r="AC223" s="67"/>
    </row>
    <row r="224" spans="1:68" ht="27.75" customHeight="1" x14ac:dyDescent="0.2">
      <c r="A224" s="353" t="s">
        <v>325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54"/>
      <c r="AB224" s="54"/>
      <c r="AC224" s="54"/>
    </row>
    <row r="225" spans="1:68" ht="16.5" customHeight="1" x14ac:dyDescent="0.25">
      <c r="A225" s="354" t="s">
        <v>326</v>
      </c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65"/>
      <c r="AB225" s="65"/>
      <c r="AC225" s="82"/>
    </row>
    <row r="226" spans="1:68" ht="14.25" customHeight="1" x14ac:dyDescent="0.25">
      <c r="A226" s="355" t="s">
        <v>80</v>
      </c>
      <c r="B226" s="355"/>
      <c r="C226" s="355"/>
      <c r="D226" s="355"/>
      <c r="E226" s="355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55"/>
      <c r="U226" s="355"/>
      <c r="V226" s="355"/>
      <c r="W226" s="355"/>
      <c r="X226" s="355"/>
      <c r="Y226" s="355"/>
      <c r="Z226" s="355"/>
      <c r="AA226" s="66"/>
      <c r="AB226" s="66"/>
      <c r="AC226" s="83"/>
    </row>
    <row r="227" spans="1:68" ht="27" customHeight="1" x14ac:dyDescent="0.25">
      <c r="A227" s="63" t="s">
        <v>327</v>
      </c>
      <c r="B227" s="63" t="s">
        <v>328</v>
      </c>
      <c r="C227" s="36">
        <v>4301071036</v>
      </c>
      <c r="D227" s="356">
        <v>4607111036162</v>
      </c>
      <c r="E227" s="35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8"/>
      <c r="R227" s="358"/>
      <c r="S227" s="358"/>
      <c r="T227" s="35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1"/>
      <c r="P229" s="367" t="s">
        <v>40</v>
      </c>
      <c r="Q229" s="368"/>
      <c r="R229" s="368"/>
      <c r="S229" s="368"/>
      <c r="T229" s="368"/>
      <c r="U229" s="368"/>
      <c r="V229" s="36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53" t="s">
        <v>330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54"/>
      <c r="AB230" s="54"/>
      <c r="AC230" s="54"/>
    </row>
    <row r="231" spans="1:68" ht="16.5" customHeight="1" x14ac:dyDescent="0.25">
      <c r="A231" s="354" t="s">
        <v>331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65"/>
      <c r="AB231" s="65"/>
      <c r="AC231" s="82"/>
    </row>
    <row r="232" spans="1:68" ht="14.25" customHeight="1" x14ac:dyDescent="0.25">
      <c r="A232" s="355" t="s">
        <v>332</v>
      </c>
      <c r="B232" s="355"/>
      <c r="C232" s="355"/>
      <c r="D232" s="355"/>
      <c r="E232" s="355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5"/>
      <c r="W232" s="355"/>
      <c r="X232" s="355"/>
      <c r="Y232" s="355"/>
      <c r="Z232" s="355"/>
      <c r="AA232" s="66"/>
      <c r="AB232" s="66"/>
      <c r="AC232" s="83"/>
    </row>
    <row r="233" spans="1:68" ht="27" customHeight="1" x14ac:dyDescent="0.25">
      <c r="A233" s="63" t="s">
        <v>333</v>
      </c>
      <c r="B233" s="63" t="s">
        <v>334</v>
      </c>
      <c r="C233" s="36">
        <v>4301133004</v>
      </c>
      <c r="D233" s="356">
        <v>4607111039774</v>
      </c>
      <c r="E233" s="35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8"/>
      <c r="R233" s="358"/>
      <c r="S233" s="358"/>
      <c r="T233" s="35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1"/>
      <c r="P235" s="367" t="s">
        <v>40</v>
      </c>
      <c r="Q235" s="368"/>
      <c r="R235" s="368"/>
      <c r="S235" s="368"/>
      <c r="T235" s="368"/>
      <c r="U235" s="368"/>
      <c r="V235" s="36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55" t="s">
        <v>149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66"/>
      <c r="AB236" s="66"/>
      <c r="AC236" s="83"/>
    </row>
    <row r="237" spans="1:68" ht="37.5" customHeight="1" x14ac:dyDescent="0.25">
      <c r="A237" s="63" t="s">
        <v>336</v>
      </c>
      <c r="B237" s="63" t="s">
        <v>337</v>
      </c>
      <c r="C237" s="36">
        <v>4301135400</v>
      </c>
      <c r="D237" s="356">
        <v>4607111039361</v>
      </c>
      <c r="E237" s="35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8"/>
      <c r="R237" s="358"/>
      <c r="S237" s="358"/>
      <c r="T237" s="35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1"/>
      <c r="P239" s="367" t="s">
        <v>40</v>
      </c>
      <c r="Q239" s="368"/>
      <c r="R239" s="368"/>
      <c r="S239" s="368"/>
      <c r="T239" s="368"/>
      <c r="U239" s="368"/>
      <c r="V239" s="36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3" t="s">
        <v>338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54"/>
      <c r="AB240" s="54"/>
      <c r="AC240" s="54"/>
    </row>
    <row r="241" spans="1:68" ht="16.5" customHeight="1" x14ac:dyDescent="0.25">
      <c r="A241" s="354" t="s">
        <v>338</v>
      </c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65"/>
      <c r="AB241" s="65"/>
      <c r="AC241" s="82"/>
    </row>
    <row r="242" spans="1:68" ht="14.25" customHeight="1" x14ac:dyDescent="0.25">
      <c r="A242" s="355" t="s">
        <v>111</v>
      </c>
      <c r="B242" s="355"/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  <c r="W242" s="355"/>
      <c r="X242" s="355"/>
      <c r="Y242" s="355"/>
      <c r="Z242" s="355"/>
      <c r="AA242" s="66"/>
      <c r="AB242" s="66"/>
      <c r="AC242" s="83"/>
    </row>
    <row r="243" spans="1:68" ht="27" customHeight="1" x14ac:dyDescent="0.25">
      <c r="A243" s="63" t="s">
        <v>339</v>
      </c>
      <c r="B243" s="63" t="s">
        <v>340</v>
      </c>
      <c r="C243" s="36">
        <v>4301132228</v>
      </c>
      <c r="D243" s="356">
        <v>4640242181950</v>
      </c>
      <c r="E243" s="35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8"/>
      <c r="R243" s="358"/>
      <c r="S243" s="358"/>
      <c r="T243" s="35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1"/>
      <c r="P245" s="367" t="s">
        <v>40</v>
      </c>
      <c r="Q245" s="368"/>
      <c r="R245" s="368"/>
      <c r="S245" s="368"/>
      <c r="T245" s="368"/>
      <c r="U245" s="368"/>
      <c r="V245" s="36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customHeight="1" x14ac:dyDescent="0.2">
      <c r="A246" s="353" t="s">
        <v>342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54"/>
      <c r="AB246" s="54"/>
      <c r="AC246" s="54"/>
    </row>
    <row r="247" spans="1:68" ht="16.5" customHeight="1" x14ac:dyDescent="0.25">
      <c r="A247" s="354" t="s">
        <v>342</v>
      </c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65"/>
      <c r="AB247" s="65"/>
      <c r="AC247" s="82"/>
    </row>
    <row r="248" spans="1:68" ht="14.25" customHeight="1" x14ac:dyDescent="0.25">
      <c r="A248" s="355" t="s">
        <v>80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customHeight="1" x14ac:dyDescent="0.25">
      <c r="A249" s="63" t="s">
        <v>343</v>
      </c>
      <c r="B249" s="63" t="s">
        <v>344</v>
      </c>
      <c r="C249" s="36">
        <v>4301071014</v>
      </c>
      <c r="D249" s="356">
        <v>4640242181264</v>
      </c>
      <c r="E249" s="356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346</v>
      </c>
      <c r="B250" s="63" t="s">
        <v>347</v>
      </c>
      <c r="C250" s="36">
        <v>4301071021</v>
      </c>
      <c r="D250" s="356">
        <v>4640242181325</v>
      </c>
      <c r="E250" s="356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1"/>
      <c r="P252" s="367" t="s">
        <v>40</v>
      </c>
      <c r="Q252" s="368"/>
      <c r="R252" s="368"/>
      <c r="S252" s="368"/>
      <c r="T252" s="368"/>
      <c r="U252" s="368"/>
      <c r="V252" s="369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customHeight="1" x14ac:dyDescent="0.25">
      <c r="A253" s="355" t="s">
        <v>111</v>
      </c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  <c r="T253" s="355"/>
      <c r="U253" s="355"/>
      <c r="V253" s="355"/>
      <c r="W253" s="355"/>
      <c r="X253" s="355"/>
      <c r="Y253" s="355"/>
      <c r="Z253" s="355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356">
        <v>4640242180397</v>
      </c>
      <c r="E254" s="356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84</v>
      </c>
      <c r="Y254" s="55">
        <f>IFERROR(IF(X254="","",X254),"")</f>
        <v>84</v>
      </c>
      <c r="Z254" s="41">
        <f>IFERROR(IF(X254="","",X254*0.0155),"")</f>
        <v>1.302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525.84</v>
      </c>
      <c r="BN254" s="81">
        <f>IFERROR(Y254*I254,"0")</f>
        <v>525.84</v>
      </c>
      <c r="BO254" s="81">
        <f>IFERROR(X254/J254,"0")</f>
        <v>1</v>
      </c>
      <c r="BP254" s="81">
        <f>IFERROR(Y254/J254,"0")</f>
        <v>1</v>
      </c>
    </row>
    <row r="255" spans="1:68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39</v>
      </c>
      <c r="X255" s="43">
        <f>IFERROR(SUM(X254:X254),"0")</f>
        <v>84</v>
      </c>
      <c r="Y255" s="43">
        <f>IFERROR(SUM(Y254:Y254),"0")</f>
        <v>84</v>
      </c>
      <c r="Z255" s="43">
        <f>IFERROR(IF(Z254="",0,Z254),"0")</f>
        <v>1.302</v>
      </c>
      <c r="AA255" s="67"/>
      <c r="AB255" s="67"/>
      <c r="AC255" s="67"/>
    </row>
    <row r="256" spans="1:68" x14ac:dyDescent="0.2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1"/>
      <c r="P256" s="367" t="s">
        <v>40</v>
      </c>
      <c r="Q256" s="368"/>
      <c r="R256" s="368"/>
      <c r="S256" s="368"/>
      <c r="T256" s="368"/>
      <c r="U256" s="368"/>
      <c r="V256" s="369"/>
      <c r="W256" s="42" t="s">
        <v>0</v>
      </c>
      <c r="X256" s="43">
        <f>IFERROR(SUMPRODUCT(X254:X254*H254:H254),"0")</f>
        <v>504</v>
      </c>
      <c r="Y256" s="43">
        <f>IFERROR(SUMPRODUCT(Y254:Y254*H254:H254),"0")</f>
        <v>504</v>
      </c>
      <c r="Z256" s="42"/>
      <c r="AA256" s="67"/>
      <c r="AB256" s="67"/>
      <c r="AC256" s="67"/>
    </row>
    <row r="257" spans="1:68" ht="14.25" customHeight="1" x14ac:dyDescent="0.25">
      <c r="A257" s="355" t="s">
        <v>143</v>
      </c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66"/>
      <c r="AB257" s="66"/>
      <c r="AC257" s="83"/>
    </row>
    <row r="258" spans="1:68" ht="27" customHeight="1" x14ac:dyDescent="0.25">
      <c r="A258" s="63" t="s">
        <v>351</v>
      </c>
      <c r="B258" s="63" t="s">
        <v>352</v>
      </c>
      <c r="C258" s="36">
        <v>4301136051</v>
      </c>
      <c r="D258" s="356">
        <v>4640242180304</v>
      </c>
      <c r="E258" s="356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358"/>
      <c r="R258" s="358"/>
      <c r="S258" s="358"/>
      <c r="T258" s="35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354</v>
      </c>
      <c r="B259" s="63" t="s">
        <v>355</v>
      </c>
      <c r="C259" s="36">
        <v>4301136053</v>
      </c>
      <c r="D259" s="356">
        <v>4640242180236</v>
      </c>
      <c r="E259" s="356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356</v>
      </c>
      <c r="B260" s="63" t="s">
        <v>357</v>
      </c>
      <c r="C260" s="36">
        <v>4301136052</v>
      </c>
      <c r="D260" s="356">
        <v>4640242180410</v>
      </c>
      <c r="E260" s="356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1"/>
      <c r="P261" s="367" t="s">
        <v>40</v>
      </c>
      <c r="Q261" s="368"/>
      <c r="R261" s="368"/>
      <c r="S261" s="368"/>
      <c r="T261" s="368"/>
      <c r="U261" s="368"/>
      <c r="V261" s="369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x14ac:dyDescent="0.2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1"/>
      <c r="P262" s="367" t="s">
        <v>40</v>
      </c>
      <c r="Q262" s="368"/>
      <c r="R262" s="368"/>
      <c r="S262" s="368"/>
      <c r="T262" s="368"/>
      <c r="U262" s="368"/>
      <c r="V262" s="369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customHeight="1" x14ac:dyDescent="0.25">
      <c r="A263" s="355" t="s">
        <v>149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66"/>
      <c r="AB263" s="66"/>
      <c r="AC263" s="83"/>
    </row>
    <row r="264" spans="1:68" ht="37.5" customHeight="1" x14ac:dyDescent="0.25">
      <c r="A264" s="63" t="s">
        <v>358</v>
      </c>
      <c r="B264" s="63" t="s">
        <v>359</v>
      </c>
      <c r="C264" s="36">
        <v>4301135504</v>
      </c>
      <c r="D264" s="356">
        <v>4640242181554</v>
      </c>
      <c r="E264" s="356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356">
        <v>4620207492093</v>
      </c>
      <c r="E265" s="356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453" t="s">
        <v>363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294</v>
      </c>
      <c r="Y265" s="55">
        <f t="shared" si="18"/>
        <v>294</v>
      </c>
      <c r="Z265" s="41">
        <f>IFERROR(IF(X265="","",X265*0.00936),"")</f>
        <v>2.7518400000000001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1144.248</v>
      </c>
      <c r="BN265" s="81">
        <f t="shared" si="20"/>
        <v>1144.248</v>
      </c>
      <c r="BO265" s="81">
        <f t="shared" si="21"/>
        <v>2.3333333333333335</v>
      </c>
      <c r="BP265" s="81">
        <f t="shared" si="22"/>
        <v>2.3333333333333335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356">
        <v>4640242181424</v>
      </c>
      <c r="E266" s="356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72</v>
      </c>
      <c r="Y266" s="55">
        <f t="shared" si="18"/>
        <v>72</v>
      </c>
      <c r="Z266" s="41">
        <f>IFERROR(IF(X266="","",X266*0.0155),"")</f>
        <v>1.1160000000000001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412.92</v>
      </c>
      <c r="BN266" s="81">
        <f t="shared" si="20"/>
        <v>412.92</v>
      </c>
      <c r="BO266" s="81">
        <f t="shared" si="21"/>
        <v>0.8571428571428571</v>
      </c>
      <c r="BP266" s="81">
        <f t="shared" si="22"/>
        <v>0.8571428571428571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356">
        <v>4640242181523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ref="Z267:Z272" si="23">IFERROR(IF(X267="","",X267*0.00936),"")</f>
        <v>0.26207999999999998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89.376000000000005</v>
      </c>
      <c r="BN267" s="81">
        <f t="shared" si="20"/>
        <v>89.376000000000005</v>
      </c>
      <c r="BO267" s="81">
        <f t="shared" si="21"/>
        <v>0.22222222222222221</v>
      </c>
      <c r="BP267" s="81">
        <f t="shared" si="22"/>
        <v>0.22222222222222221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356">
        <v>4640242181486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126</v>
      </c>
      <c r="Y268" s="55">
        <f t="shared" si="18"/>
        <v>126</v>
      </c>
      <c r="Z268" s="41">
        <f t="shared" si="23"/>
        <v>1.17936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490.392</v>
      </c>
      <c r="BN268" s="81">
        <f t="shared" si="20"/>
        <v>490.392</v>
      </c>
      <c r="BO268" s="81">
        <f t="shared" si="21"/>
        <v>1</v>
      </c>
      <c r="BP268" s="81">
        <f t="shared" si="22"/>
        <v>1</v>
      </c>
    </row>
    <row r="269" spans="1:68" ht="37.5" customHeight="1" x14ac:dyDescent="0.25">
      <c r="A269" s="63" t="s">
        <v>372</v>
      </c>
      <c r="B269" s="63" t="s">
        <v>373</v>
      </c>
      <c r="C269" s="36">
        <v>4301135402</v>
      </c>
      <c r="D269" s="356">
        <v>4640242181493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14</v>
      </c>
      <c r="Y269" s="55">
        <f t="shared" si="18"/>
        <v>14</v>
      </c>
      <c r="Z269" s="41">
        <f t="shared" si="23"/>
        <v>0.13103999999999999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54.488</v>
      </c>
      <c r="BN269" s="81">
        <f t="shared" si="20"/>
        <v>54.488</v>
      </c>
      <c r="BO269" s="81">
        <f t="shared" si="21"/>
        <v>0.1111111111111111</v>
      </c>
      <c r="BP269" s="81">
        <f t="shared" si="22"/>
        <v>0.1111111111111111</v>
      </c>
    </row>
    <row r="270" spans="1:68" ht="37.5" customHeight="1" x14ac:dyDescent="0.25">
      <c r="A270" s="63" t="s">
        <v>374</v>
      </c>
      <c r="B270" s="63" t="s">
        <v>375</v>
      </c>
      <c r="C270" s="36">
        <v>4301135403</v>
      </c>
      <c r="D270" s="356">
        <v>4640242181509</v>
      </c>
      <c r="E270" s="356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376</v>
      </c>
      <c r="B271" s="63" t="s">
        <v>377</v>
      </c>
      <c r="C271" s="36">
        <v>4301135304</v>
      </c>
      <c r="D271" s="356">
        <v>4640242181240</v>
      </c>
      <c r="E271" s="356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378</v>
      </c>
      <c r="B272" s="63" t="s">
        <v>379</v>
      </c>
      <c r="C272" s="36">
        <v>4301135610</v>
      </c>
      <c r="D272" s="356">
        <v>4640242181318</v>
      </c>
      <c r="E272" s="356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380</v>
      </c>
      <c r="B273" s="63" t="s">
        <v>381</v>
      </c>
      <c r="C273" s="36">
        <v>4301135306</v>
      </c>
      <c r="D273" s="356">
        <v>4640242181387</v>
      </c>
      <c r="E273" s="356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1"/>
      <c r="P274" s="367" t="s">
        <v>40</v>
      </c>
      <c r="Q274" s="368"/>
      <c r="R274" s="368"/>
      <c r="S274" s="368"/>
      <c r="T274" s="368"/>
      <c r="U274" s="368"/>
      <c r="V274" s="369"/>
      <c r="W274" s="42" t="s">
        <v>39</v>
      </c>
      <c r="X274" s="43">
        <f>IFERROR(SUM(X264:X273),"0")</f>
        <v>534</v>
      </c>
      <c r="Y274" s="43">
        <f>IFERROR(SUM(Y264:Y273),"0")</f>
        <v>534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5.4403199999999998</v>
      </c>
      <c r="AA274" s="67"/>
      <c r="AB274" s="67"/>
      <c r="AC274" s="67"/>
    </row>
    <row r="275" spans="1:68" x14ac:dyDescent="0.2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1"/>
      <c r="P275" s="367" t="s">
        <v>40</v>
      </c>
      <c r="Q275" s="368"/>
      <c r="R275" s="368"/>
      <c r="S275" s="368"/>
      <c r="T275" s="368"/>
      <c r="U275" s="368"/>
      <c r="V275" s="369"/>
      <c r="W275" s="42" t="s">
        <v>0</v>
      </c>
      <c r="X275" s="43">
        <f>IFERROR(SUMPRODUCT(X264:X273*H264:H273),"0")</f>
        <v>2085.8000000000002</v>
      </c>
      <c r="Y275" s="43">
        <f>IFERROR(SUMPRODUCT(Y264:Y273*H264:H273),"0")</f>
        <v>2085.8000000000002</v>
      </c>
      <c r="Z275" s="42"/>
      <c r="AA275" s="67"/>
      <c r="AB275" s="67"/>
      <c r="AC275" s="67"/>
    </row>
    <row r="276" spans="1:68" ht="15" customHeight="1" x14ac:dyDescent="0.2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465"/>
      <c r="P276" s="462" t="s">
        <v>33</v>
      </c>
      <c r="Q276" s="463"/>
      <c r="R276" s="463"/>
      <c r="S276" s="463"/>
      <c r="T276" s="463"/>
      <c r="U276" s="463"/>
      <c r="V276" s="464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6430.28</v>
      </c>
      <c r="Y276" s="43">
        <f>IFERROR(Y31+Y37+Y44+Y50+Y58+Y63+Y68+Y74+Y80+Y85+Y91+Y101+Y107+Y119+Y123+Y127+Y135+Y141+Y147+Y153+Y159+Y164+Y169+Y174+Y181+Y186+Y195+Y201+Y207+Y213+Y218+Y223+Y229+Y235+Y239+Y245+Y252+Y256+Y262+Y275,"0")</f>
        <v>6430.28</v>
      </c>
      <c r="Z276" s="42"/>
      <c r="AA276" s="67"/>
      <c r="AB276" s="67"/>
      <c r="AC276" s="67"/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465"/>
      <c r="P277" s="462" t="s">
        <v>34</v>
      </c>
      <c r="Q277" s="463"/>
      <c r="R277" s="463"/>
      <c r="S277" s="463"/>
      <c r="T277" s="463"/>
      <c r="U277" s="463"/>
      <c r="V277" s="464"/>
      <c r="W277" s="42" t="s">
        <v>0</v>
      </c>
      <c r="X277" s="43">
        <f>IFERROR(SUM(BM22:BM273),"0")</f>
        <v>7410.2115999999996</v>
      </c>
      <c r="Y277" s="43">
        <f>IFERROR(SUM(BN22:BN273),"0")</f>
        <v>7410.2115999999996</v>
      </c>
      <c r="Z277" s="42"/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465"/>
      <c r="P278" s="462" t="s">
        <v>35</v>
      </c>
      <c r="Q278" s="463"/>
      <c r="R278" s="463"/>
      <c r="S278" s="463"/>
      <c r="T278" s="463"/>
      <c r="U278" s="463"/>
      <c r="V278" s="464"/>
      <c r="W278" s="42" t="s">
        <v>20</v>
      </c>
      <c r="X278" s="44">
        <f>ROUNDUP(SUM(BO22:BO273),0)</f>
        <v>24</v>
      </c>
      <c r="Y278" s="44">
        <f>ROUNDUP(SUM(BP22:BP273),0)</f>
        <v>24</v>
      </c>
      <c r="Z278" s="42"/>
      <c r="AA278" s="67"/>
      <c r="AB278" s="67"/>
      <c r="AC278" s="67"/>
    </row>
    <row r="279" spans="1:68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36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GrossWeightTotal+PalletQtyTotal*25</f>
        <v>8010.2115999999996</v>
      </c>
      <c r="Y279" s="43">
        <f>GrossWeightTotalR+PalletQtyTotalR*25</f>
        <v>8010.2115999999996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37</v>
      </c>
      <c r="Q280" s="463"/>
      <c r="R280" s="463"/>
      <c r="S280" s="463"/>
      <c r="T280" s="463"/>
      <c r="U280" s="463"/>
      <c r="V280" s="464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2114</v>
      </c>
      <c r="Y280" s="43">
        <f>IFERROR(Y30+Y36+Y43+Y49+Y57+Y62+Y67+Y73+Y79+Y84+Y90+Y100+Y106+Y118+Y122+Y126+Y134+Y140+Y146+Y152+Y158+Y163+Y168+Y173+Y180+Y185+Y194+Y200+Y206+Y212+Y217+Y222+Y228+Y234+Y238+Y244+Y251+Y255+Y261+Y274,"0")</f>
        <v>2114</v>
      </c>
      <c r="Z280" s="42"/>
      <c r="AA280" s="67"/>
      <c r="AB280" s="67"/>
      <c r="AC280" s="67"/>
    </row>
    <row r="281" spans="1:68" ht="14.25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38</v>
      </c>
      <c r="Q281" s="463"/>
      <c r="R281" s="463"/>
      <c r="S281" s="463"/>
      <c r="T281" s="463"/>
      <c r="U281" s="463"/>
      <c r="V281" s="464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29.547700000000003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466" t="s">
        <v>79</v>
      </c>
      <c r="C283" s="466" t="s">
        <v>79</v>
      </c>
      <c r="D283" s="466" t="s">
        <v>45</v>
      </c>
      <c r="E283" s="466" t="s">
        <v>45</v>
      </c>
      <c r="F283" s="466" t="s">
        <v>45</v>
      </c>
      <c r="G283" s="466" t="s">
        <v>45</v>
      </c>
      <c r="H283" s="466" t="s">
        <v>45</v>
      </c>
      <c r="I283" s="466" t="s">
        <v>45</v>
      </c>
      <c r="J283" s="466" t="s">
        <v>45</v>
      </c>
      <c r="K283" s="466" t="s">
        <v>45</v>
      </c>
      <c r="L283" s="466" t="s">
        <v>45</v>
      </c>
      <c r="M283" s="466" t="s">
        <v>45</v>
      </c>
      <c r="N283" s="467"/>
      <c r="O283" s="466" t="s">
        <v>45</v>
      </c>
      <c r="P283" s="466" t="s">
        <v>45</v>
      </c>
      <c r="Q283" s="466" t="s">
        <v>45</v>
      </c>
      <c r="R283" s="466" t="s">
        <v>45</v>
      </c>
      <c r="S283" s="466" t="s">
        <v>45</v>
      </c>
      <c r="T283" s="466" t="s">
        <v>45</v>
      </c>
      <c r="U283" s="466" t="s">
        <v>45</v>
      </c>
      <c r="V283" s="466" t="s">
        <v>271</v>
      </c>
      <c r="W283" s="466" t="s">
        <v>271</v>
      </c>
      <c r="X283" s="88" t="s">
        <v>282</v>
      </c>
      <c r="Y283" s="466" t="s">
        <v>296</v>
      </c>
      <c r="Z283" s="466" t="s">
        <v>296</v>
      </c>
      <c r="AA283" s="466" t="s">
        <v>296</v>
      </c>
      <c r="AB283" s="466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468" t="s">
        <v>10</v>
      </c>
      <c r="B284" s="466" t="s">
        <v>79</v>
      </c>
      <c r="C284" s="466" t="s">
        <v>104</v>
      </c>
      <c r="D284" s="466" t="s">
        <v>110</v>
      </c>
      <c r="E284" s="466" t="s">
        <v>121</v>
      </c>
      <c r="F284" s="466" t="s">
        <v>128</v>
      </c>
      <c r="G284" s="466" t="s">
        <v>139</v>
      </c>
      <c r="H284" s="466" t="s">
        <v>157</v>
      </c>
      <c r="I284" s="466" t="s">
        <v>164</v>
      </c>
      <c r="J284" s="466" t="s">
        <v>168</v>
      </c>
      <c r="K284" s="466" t="s">
        <v>176</v>
      </c>
      <c r="L284" s="466" t="s">
        <v>191</v>
      </c>
      <c r="M284" s="466" t="s">
        <v>197</v>
      </c>
      <c r="N284" s="1"/>
      <c r="O284" s="466" t="s">
        <v>224</v>
      </c>
      <c r="P284" s="466" t="s">
        <v>242</v>
      </c>
      <c r="Q284" s="466" t="s">
        <v>248</v>
      </c>
      <c r="R284" s="466" t="s">
        <v>255</v>
      </c>
      <c r="S284" s="466" t="s">
        <v>260</v>
      </c>
      <c r="T284" s="466" t="s">
        <v>264</v>
      </c>
      <c r="U284" s="466" t="s">
        <v>267</v>
      </c>
      <c r="V284" s="466" t="s">
        <v>272</v>
      </c>
      <c r="W284" s="466" t="s">
        <v>279</v>
      </c>
      <c r="X284" s="466" t="s">
        <v>283</v>
      </c>
      <c r="Y284" s="466" t="s">
        <v>297</v>
      </c>
      <c r="Z284" s="466" t="s">
        <v>310</v>
      </c>
      <c r="AA284" s="466" t="s">
        <v>317</v>
      </c>
      <c r="AB284" s="466" t="s">
        <v>321</v>
      </c>
      <c r="AC284" s="466" t="s">
        <v>326</v>
      </c>
      <c r="AD284" s="466" t="s">
        <v>331</v>
      </c>
      <c r="AE284" s="466" t="s">
        <v>338</v>
      </c>
      <c r="AF284" s="466" t="s">
        <v>342</v>
      </c>
    </row>
    <row r="285" spans="1:68" ht="13.5" thickBot="1" x14ac:dyDescent="0.25">
      <c r="A285" s="469"/>
      <c r="B285" s="466"/>
      <c r="C285" s="466"/>
      <c r="D285" s="466"/>
      <c r="E285" s="466"/>
      <c r="F285" s="466"/>
      <c r="G285" s="466"/>
      <c r="H285" s="466"/>
      <c r="I285" s="466"/>
      <c r="J285" s="466"/>
      <c r="K285" s="466"/>
      <c r="L285" s="466"/>
      <c r="M285" s="466"/>
      <c r="N285" s="1"/>
      <c r="O285" s="466"/>
      <c r="P285" s="466"/>
      <c r="Q285" s="466"/>
      <c r="R285" s="466"/>
      <c r="S285" s="466"/>
      <c r="T285" s="466"/>
      <c r="U285" s="466"/>
      <c r="V285" s="466"/>
      <c r="W285" s="466"/>
      <c r="X285" s="466"/>
      <c r="Y285" s="466"/>
      <c r="Z285" s="466"/>
      <c r="AA285" s="466"/>
      <c r="AB285" s="466"/>
      <c r="AC285" s="466"/>
      <c r="AD285" s="466"/>
      <c r="AE285" s="466"/>
      <c r="AF285" s="466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189</v>
      </c>
      <c r="E286" s="52">
        <f>IFERROR(X47*H47,"0")+IFERROR(X48*H48,"0")</f>
        <v>0</v>
      </c>
      <c r="F286" s="52">
        <f>IFERROR(X53*H53,"0")+IFERROR(X54*H54,"0")+IFERROR(X55*H55,"0")+IFERROR(X56*H56,"0")</f>
        <v>0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100.8</v>
      </c>
      <c r="J286" s="52">
        <f>IFERROR(X88*H88,"0")+IFERROR(X89*H89,"0")</f>
        <v>453.6</v>
      </c>
      <c r="K286" s="52">
        <f>IFERROR(X94*H94,"0")+IFERROR(X95*H95,"0")+IFERROR(X96*H96,"0")+IFERROR(X97*H97,"0")+IFERROR(X98*H98,"0")+IFERROR(X99*H99,"0")</f>
        <v>618.24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231.84</v>
      </c>
      <c r="N286" s="1"/>
      <c r="O286" s="52">
        <f>IFERROR(X130*H130,"0")+IFERROR(X131*H131,"0")+IFERROR(X132*H132,"0")+IFERROR(X133*H133,"0")+IFERROR(X137*H137,"0")+IFERROR(X138*H138,"0")+IFERROR(X139*H139,"0")</f>
        <v>266.27999999999997</v>
      </c>
      <c r="P286" s="52">
        <f>IFERROR(X144*H144,"0")+IFERROR(X145*H145,"0")</f>
        <v>714</v>
      </c>
      <c r="Q286" s="52">
        <f>IFERROR(X150*H150,"0")+IFERROR(X151*H151,"0")</f>
        <v>378</v>
      </c>
      <c r="R286" s="52">
        <f>IFERROR(X156*H156,"0")+IFERROR(X157*H157,"0")</f>
        <v>168</v>
      </c>
      <c r="S286" s="52">
        <f>IFERROR(X162*H162,"0")</f>
        <v>0</v>
      </c>
      <c r="T286" s="52">
        <f>IFERROR(X167*H167,"0")</f>
        <v>75.600000000000009</v>
      </c>
      <c r="U286" s="52">
        <f>IFERROR(X172*H172,"0")</f>
        <v>188.16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322.56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134.4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2589.8000000000002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84</v>
      </c>
      <c r="B289" s="72">
        <f>SUMPRODUCT(--(BB:BB="ПГП"),--(W:W="кор"),H:H,Y:Y)+SUMPRODUCT(--(BB:BB="ПГП"),--(W:W="кг"),Y:Y)</f>
        <v>6346.28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3"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9" priority="62" stopIfTrue="1">
      <formula>IF($V$5="самовывоз",1,0)</formula>
    </cfRule>
  </conditionalFormatting>
  <conditionalFormatting sqref="H9:I9">
    <cfRule type="expression" dxfId="8" priority="55" stopIfTrue="1">
      <formula>IF($V$5="самовывоз",1,0)</formula>
    </cfRule>
  </conditionalFormatting>
  <conditionalFormatting sqref="F9:G9">
    <cfRule type="expression" dxfId="7" priority="54" stopIfTrue="1">
      <formula>IF($V$5="самовывоз",1,0)</formula>
    </cfRule>
  </conditionalFormatting>
  <conditionalFormatting sqref="F10:G10">
    <cfRule type="expression" dxfId="6" priority="53" stopIfTrue="1">
      <formula>IF($V$5="самовывоз",1,0)</formula>
    </cfRule>
  </conditionalFormatting>
  <conditionalFormatting sqref="D9:E9">
    <cfRule type="expression" dxfId="5" priority="52" stopIfTrue="1">
      <formula>IF($V$5="самовывоз",1,0)</formula>
    </cfRule>
  </conditionalFormatting>
  <conditionalFormatting sqref="D10:E10">
    <cfRule type="expression" dxfId="4" priority="51" stopIfTrue="1">
      <formula>IF($V$5="самовывоз",1,0)</formula>
    </cfRule>
  </conditionalFormatting>
  <conditionalFormatting sqref="P8:R8 P5:R6">
    <cfRule type="expression" dxfId="3" priority="50" stopIfTrue="1">
      <formula>IF($V$5="доставка",1,0)</formula>
    </cfRule>
  </conditionalFormatting>
  <conditionalFormatting sqref="X190">
    <cfRule type="duplicateValues" dxfId="2" priority="10"/>
  </conditionalFormatting>
  <conditionalFormatting sqref="X191">
    <cfRule type="duplicateValues" dxfId="1" priority="9"/>
  </conditionalFormatting>
  <conditionalFormatting sqref="X193">
    <cfRule type="duplicateValues" dxfId="0" priority="8"/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