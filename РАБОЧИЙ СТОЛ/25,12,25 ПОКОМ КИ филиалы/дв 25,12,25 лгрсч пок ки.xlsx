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5,12,25 ПОКОМ КИ филиалы\"/>
    </mc:Choice>
  </mc:AlternateContent>
  <xr:revisionPtr revIDLastSave="0" documentId="13_ncr:1_{F72A8DEB-8BEB-4332-B262-89B2DAE8453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Sheet!$A$3:$AF$94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T5" i="1" l="1"/>
  <c r="M7" i="1"/>
  <c r="P7" i="1" s="1"/>
  <c r="Q7" i="1" s="1"/>
  <c r="M8" i="1"/>
  <c r="P8" i="1" s="1"/>
  <c r="Q8" i="1" s="1"/>
  <c r="M9" i="1"/>
  <c r="P9" i="1" s="1"/>
  <c r="Q9" i="1" s="1"/>
  <c r="M10" i="1"/>
  <c r="P10" i="1" s="1"/>
  <c r="Q10" i="1" s="1"/>
  <c r="M11" i="1"/>
  <c r="P11" i="1" s="1"/>
  <c r="Q11" i="1" s="1"/>
  <c r="M12" i="1"/>
  <c r="P12" i="1" s="1"/>
  <c r="Q12" i="1" s="1"/>
  <c r="M13" i="1"/>
  <c r="P13" i="1" s="1"/>
  <c r="Q13" i="1" s="1"/>
  <c r="M14" i="1"/>
  <c r="P14" i="1" s="1"/>
  <c r="Q14" i="1" s="1"/>
  <c r="M15" i="1"/>
  <c r="P15" i="1" s="1"/>
  <c r="Q15" i="1" s="1"/>
  <c r="M16" i="1"/>
  <c r="P16" i="1" s="1"/>
  <c r="Q16" i="1" s="1"/>
  <c r="M17" i="1"/>
  <c r="P17" i="1" s="1"/>
  <c r="Q17" i="1" s="1"/>
  <c r="M18" i="1"/>
  <c r="P18" i="1" s="1"/>
  <c r="Q18" i="1" s="1"/>
  <c r="M19" i="1"/>
  <c r="P19" i="1" s="1"/>
  <c r="Q19" i="1" s="1"/>
  <c r="M20" i="1"/>
  <c r="P20" i="1" s="1"/>
  <c r="Q20" i="1" s="1"/>
  <c r="M21" i="1"/>
  <c r="P21" i="1" s="1"/>
  <c r="Q21" i="1" s="1"/>
  <c r="M22" i="1"/>
  <c r="P22" i="1" s="1"/>
  <c r="Q22" i="1" s="1"/>
  <c r="M23" i="1"/>
  <c r="P23" i="1" s="1"/>
  <c r="Q23" i="1" s="1"/>
  <c r="M24" i="1"/>
  <c r="P24" i="1" s="1"/>
  <c r="Q24" i="1" s="1"/>
  <c r="M25" i="1"/>
  <c r="P25" i="1" s="1"/>
  <c r="Q25" i="1" s="1"/>
  <c r="M26" i="1"/>
  <c r="P26" i="1" s="1"/>
  <c r="Q26" i="1" s="1"/>
  <c r="M27" i="1"/>
  <c r="P27" i="1" s="1"/>
  <c r="Q27" i="1" s="1"/>
  <c r="M28" i="1"/>
  <c r="P28" i="1" s="1"/>
  <c r="Q28" i="1" s="1"/>
  <c r="M29" i="1"/>
  <c r="P29" i="1" s="1"/>
  <c r="M30" i="1"/>
  <c r="P30" i="1" s="1"/>
  <c r="Q30" i="1" s="1"/>
  <c r="M31" i="1"/>
  <c r="P31" i="1" s="1"/>
  <c r="U31" i="1" s="1"/>
  <c r="M32" i="1"/>
  <c r="P32" i="1" s="1"/>
  <c r="U32" i="1" s="1"/>
  <c r="M33" i="1"/>
  <c r="P33" i="1" s="1"/>
  <c r="Q33" i="1" s="1"/>
  <c r="M34" i="1"/>
  <c r="P34" i="1" s="1"/>
  <c r="Q34" i="1" s="1"/>
  <c r="M35" i="1"/>
  <c r="P35" i="1" s="1"/>
  <c r="Q35" i="1" s="1"/>
  <c r="M36" i="1"/>
  <c r="P36" i="1" s="1"/>
  <c r="M37" i="1"/>
  <c r="P37" i="1" s="1"/>
  <c r="Q37" i="1" s="1"/>
  <c r="M38" i="1"/>
  <c r="P38" i="1" s="1"/>
  <c r="Q38" i="1" s="1"/>
  <c r="M39" i="1"/>
  <c r="P39" i="1" s="1"/>
  <c r="Q39" i="1" s="1"/>
  <c r="M40" i="1"/>
  <c r="P40" i="1" s="1"/>
  <c r="Q40" i="1" s="1"/>
  <c r="M41" i="1"/>
  <c r="P41" i="1" s="1"/>
  <c r="Q41" i="1" s="1"/>
  <c r="M42" i="1"/>
  <c r="P42" i="1" s="1"/>
  <c r="Q42" i="1" s="1"/>
  <c r="M43" i="1"/>
  <c r="P43" i="1" s="1"/>
  <c r="Q43" i="1" s="1"/>
  <c r="M44" i="1"/>
  <c r="P44" i="1" s="1"/>
  <c r="Q44" i="1" s="1"/>
  <c r="M45" i="1"/>
  <c r="P45" i="1" s="1"/>
  <c r="Q45" i="1" s="1"/>
  <c r="M46" i="1"/>
  <c r="P46" i="1" s="1"/>
  <c r="Q46" i="1" s="1"/>
  <c r="M47" i="1"/>
  <c r="P47" i="1" s="1"/>
  <c r="Q47" i="1" s="1"/>
  <c r="M48" i="1"/>
  <c r="P48" i="1" s="1"/>
  <c r="U48" i="1" s="1"/>
  <c r="M49" i="1"/>
  <c r="P49" i="1" s="1"/>
  <c r="Q49" i="1" s="1"/>
  <c r="M50" i="1"/>
  <c r="P50" i="1" s="1"/>
  <c r="Q50" i="1" s="1"/>
  <c r="M51" i="1"/>
  <c r="P51" i="1" s="1"/>
  <c r="Q51" i="1" s="1"/>
  <c r="M52" i="1"/>
  <c r="P52" i="1" s="1"/>
  <c r="Q52" i="1" s="1"/>
  <c r="M53" i="1"/>
  <c r="P53" i="1" s="1"/>
  <c r="Q53" i="1" s="1"/>
  <c r="M54" i="1"/>
  <c r="P54" i="1" s="1"/>
  <c r="Q54" i="1" s="1"/>
  <c r="M55" i="1"/>
  <c r="P55" i="1" s="1"/>
  <c r="Q55" i="1" s="1"/>
  <c r="M56" i="1"/>
  <c r="P56" i="1" s="1"/>
  <c r="M57" i="1"/>
  <c r="P57" i="1" s="1"/>
  <c r="Q57" i="1" s="1"/>
  <c r="M58" i="1"/>
  <c r="P58" i="1" s="1"/>
  <c r="Q58" i="1" s="1"/>
  <c r="M59" i="1"/>
  <c r="P59" i="1" s="1"/>
  <c r="M60" i="1"/>
  <c r="P60" i="1" s="1"/>
  <c r="Q60" i="1" s="1"/>
  <c r="M61" i="1"/>
  <c r="P61" i="1" s="1"/>
  <c r="Q61" i="1" s="1"/>
  <c r="M62" i="1"/>
  <c r="P62" i="1" s="1"/>
  <c r="Q62" i="1" s="1"/>
  <c r="M63" i="1"/>
  <c r="P63" i="1" s="1"/>
  <c r="Q63" i="1" s="1"/>
  <c r="M64" i="1"/>
  <c r="P64" i="1" s="1"/>
  <c r="Q64" i="1" s="1"/>
  <c r="M65" i="1"/>
  <c r="P65" i="1" s="1"/>
  <c r="Q65" i="1" s="1"/>
  <c r="M66" i="1"/>
  <c r="P66" i="1" s="1"/>
  <c r="Q66" i="1" s="1"/>
  <c r="M67" i="1"/>
  <c r="P67" i="1" s="1"/>
  <c r="Q67" i="1" s="1"/>
  <c r="M68" i="1"/>
  <c r="P68" i="1" s="1"/>
  <c r="U68" i="1" s="1"/>
  <c r="M69" i="1"/>
  <c r="P69" i="1" s="1"/>
  <c r="Q69" i="1" s="1"/>
  <c r="M70" i="1"/>
  <c r="P70" i="1" s="1"/>
  <c r="Q70" i="1" s="1"/>
  <c r="M71" i="1"/>
  <c r="P71" i="1" s="1"/>
  <c r="Q71" i="1" s="1"/>
  <c r="M72" i="1"/>
  <c r="P72" i="1" s="1"/>
  <c r="M73" i="1"/>
  <c r="P73" i="1" s="1"/>
  <c r="Q73" i="1" s="1"/>
  <c r="M74" i="1"/>
  <c r="P74" i="1" s="1"/>
  <c r="Q74" i="1" s="1"/>
  <c r="M75" i="1"/>
  <c r="P75" i="1" s="1"/>
  <c r="Q75" i="1" s="1"/>
  <c r="M76" i="1"/>
  <c r="P76" i="1" s="1"/>
  <c r="Q76" i="1" s="1"/>
  <c r="M77" i="1"/>
  <c r="P77" i="1" s="1"/>
  <c r="Q77" i="1" s="1"/>
  <c r="M78" i="1"/>
  <c r="P78" i="1" s="1"/>
  <c r="Q78" i="1" s="1"/>
  <c r="M79" i="1"/>
  <c r="P79" i="1" s="1"/>
  <c r="Q79" i="1" s="1"/>
  <c r="M80" i="1"/>
  <c r="P80" i="1" s="1"/>
  <c r="Q80" i="1" s="1"/>
  <c r="M81" i="1"/>
  <c r="P81" i="1" s="1"/>
  <c r="Q81" i="1" s="1"/>
  <c r="M82" i="1"/>
  <c r="P82" i="1" s="1"/>
  <c r="Q82" i="1" s="1"/>
  <c r="M83" i="1"/>
  <c r="P83" i="1" s="1"/>
  <c r="Q83" i="1" s="1"/>
  <c r="M84" i="1"/>
  <c r="P84" i="1" s="1"/>
  <c r="Q84" i="1" s="1"/>
  <c r="M85" i="1"/>
  <c r="P85" i="1" s="1"/>
  <c r="Q85" i="1" s="1"/>
  <c r="M86" i="1"/>
  <c r="P86" i="1" s="1"/>
  <c r="Q86" i="1" s="1"/>
  <c r="M87" i="1"/>
  <c r="P87" i="1" s="1"/>
  <c r="Q87" i="1" s="1"/>
  <c r="M88" i="1"/>
  <c r="P88" i="1" s="1"/>
  <c r="Q88" i="1" s="1"/>
  <c r="M89" i="1"/>
  <c r="P89" i="1" s="1"/>
  <c r="U89" i="1" s="1"/>
  <c r="M90" i="1"/>
  <c r="P90" i="1" s="1"/>
  <c r="Q90" i="1" s="1"/>
  <c r="M91" i="1"/>
  <c r="P91" i="1" s="1"/>
  <c r="Q91" i="1" s="1"/>
  <c r="M92" i="1"/>
  <c r="P92" i="1" s="1"/>
  <c r="V92" i="1" s="1"/>
  <c r="M93" i="1"/>
  <c r="P93" i="1" s="1"/>
  <c r="Q93" i="1" s="1"/>
  <c r="M94" i="1"/>
  <c r="P94" i="1" s="1"/>
  <c r="V94" i="1" s="1"/>
  <c r="M6" i="1"/>
  <c r="P6" i="1" s="1"/>
  <c r="Q6" i="1" s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D5" i="1"/>
  <c r="AC5" i="1"/>
  <c r="AB5" i="1"/>
  <c r="AA5" i="1"/>
  <c r="Z5" i="1"/>
  <c r="Y5" i="1"/>
  <c r="X5" i="1"/>
  <c r="W5" i="1"/>
  <c r="R5" i="1"/>
  <c r="O5" i="1"/>
  <c r="N5" i="1"/>
  <c r="K5" i="1"/>
  <c r="F5" i="1"/>
  <c r="E5" i="1"/>
  <c r="Q94" i="1" l="1"/>
  <c r="AF94" i="1" s="1"/>
  <c r="Q56" i="1"/>
  <c r="AF56" i="1" s="1"/>
  <c r="Q92" i="1"/>
  <c r="AF92" i="1" s="1"/>
  <c r="AF88" i="1"/>
  <c r="AF86" i="1"/>
  <c r="AF84" i="1"/>
  <c r="AF82" i="1"/>
  <c r="AF80" i="1"/>
  <c r="AF78" i="1"/>
  <c r="AF76" i="1"/>
  <c r="AF74" i="1"/>
  <c r="AF72" i="1"/>
  <c r="AF70" i="1"/>
  <c r="AF46" i="1"/>
  <c r="AF44" i="1"/>
  <c r="AF42" i="1"/>
  <c r="AF40" i="1"/>
  <c r="AF38" i="1"/>
  <c r="AF36" i="1"/>
  <c r="AF34" i="1"/>
  <c r="AF30" i="1"/>
  <c r="AF28" i="1"/>
  <c r="AF26" i="1"/>
  <c r="AF24" i="1"/>
  <c r="AF22" i="1"/>
  <c r="AF20" i="1"/>
  <c r="AF18" i="1"/>
  <c r="AF16" i="1"/>
  <c r="AF14" i="1"/>
  <c r="AF12" i="1"/>
  <c r="AF10" i="1"/>
  <c r="AF8" i="1"/>
  <c r="V93" i="1"/>
  <c r="AF93" i="1"/>
  <c r="AF91" i="1"/>
  <c r="AF87" i="1"/>
  <c r="AF85" i="1"/>
  <c r="AF83" i="1"/>
  <c r="AF81" i="1"/>
  <c r="AF79" i="1"/>
  <c r="AF77" i="1"/>
  <c r="AF75" i="1"/>
  <c r="AF73" i="1"/>
  <c r="AF71" i="1"/>
  <c r="AF69" i="1"/>
  <c r="AF67" i="1"/>
  <c r="AF65" i="1"/>
  <c r="AF63" i="1"/>
  <c r="AF61" i="1"/>
  <c r="AF59" i="1"/>
  <c r="AF57" i="1"/>
  <c r="AF55" i="1"/>
  <c r="AF53" i="1"/>
  <c r="AF51" i="1"/>
  <c r="AF49" i="1"/>
  <c r="AF47" i="1"/>
  <c r="AF45" i="1"/>
  <c r="AF43" i="1"/>
  <c r="AF41" i="1"/>
  <c r="AF39" i="1"/>
  <c r="AF7" i="1"/>
  <c r="AF9" i="1"/>
  <c r="AF11" i="1"/>
  <c r="AF13" i="1"/>
  <c r="AF15" i="1"/>
  <c r="AF17" i="1"/>
  <c r="AF19" i="1"/>
  <c r="AF21" i="1"/>
  <c r="AF23" i="1"/>
  <c r="AF25" i="1"/>
  <c r="AF27" i="1"/>
  <c r="AF29" i="1"/>
  <c r="AF33" i="1"/>
  <c r="AF35" i="1"/>
  <c r="AF37" i="1"/>
  <c r="AF50" i="1"/>
  <c r="AF52" i="1"/>
  <c r="AF54" i="1"/>
  <c r="AF58" i="1"/>
  <c r="AF60" i="1"/>
  <c r="AF62" i="1"/>
  <c r="AF64" i="1"/>
  <c r="AF66" i="1"/>
  <c r="AF90" i="1"/>
  <c r="U86" i="1"/>
  <c r="U84" i="1"/>
  <c r="U82" i="1"/>
  <c r="U80" i="1"/>
  <c r="U78" i="1"/>
  <c r="U76" i="1"/>
  <c r="U74" i="1"/>
  <c r="U70" i="1"/>
  <c r="U46" i="1"/>
  <c r="U44" i="1"/>
  <c r="U42" i="1"/>
  <c r="U38" i="1"/>
  <c r="U36" i="1"/>
  <c r="U34" i="1"/>
  <c r="U30" i="1"/>
  <c r="U28" i="1"/>
  <c r="U26" i="1"/>
  <c r="U22" i="1"/>
  <c r="U20" i="1"/>
  <c r="U18" i="1"/>
  <c r="U16" i="1"/>
  <c r="U14" i="1"/>
  <c r="U12" i="1"/>
  <c r="U10" i="1"/>
  <c r="V70" i="1"/>
  <c r="V50" i="1"/>
  <c r="V28" i="1"/>
  <c r="L5" i="1"/>
  <c r="V82" i="1"/>
  <c r="V60" i="1"/>
  <c r="V38" i="1"/>
  <c r="V18" i="1"/>
  <c r="V86" i="1"/>
  <c r="V76" i="1"/>
  <c r="V66" i="1"/>
  <c r="V54" i="1"/>
  <c r="V44" i="1"/>
  <c r="V34" i="1"/>
  <c r="V22" i="1"/>
  <c r="V12" i="1"/>
  <c r="V90" i="1"/>
  <c r="V84" i="1"/>
  <c r="V78" i="1"/>
  <c r="V74" i="1"/>
  <c r="V68" i="1"/>
  <c r="V62" i="1"/>
  <c r="V58" i="1"/>
  <c r="V52" i="1"/>
  <c r="V46" i="1"/>
  <c r="V42" i="1"/>
  <c r="V36" i="1"/>
  <c r="V30" i="1"/>
  <c r="V26" i="1"/>
  <c r="V20" i="1"/>
  <c r="V14" i="1"/>
  <c r="V10" i="1"/>
  <c r="U88" i="1"/>
  <c r="V88" i="1"/>
  <c r="U72" i="1"/>
  <c r="V72" i="1"/>
  <c r="V56" i="1"/>
  <c r="U40" i="1"/>
  <c r="V40" i="1"/>
  <c r="U24" i="1"/>
  <c r="V24" i="1"/>
  <c r="U8" i="1"/>
  <c r="V8" i="1"/>
  <c r="V6" i="1"/>
  <c r="V80" i="1"/>
  <c r="V64" i="1"/>
  <c r="V48" i="1"/>
  <c r="V32" i="1"/>
  <c r="V16" i="1"/>
  <c r="V91" i="1"/>
  <c r="V89" i="1"/>
  <c r="V87" i="1"/>
  <c r="V85" i="1"/>
  <c r="V83" i="1"/>
  <c r="V81" i="1"/>
  <c r="V79" i="1"/>
  <c r="V77" i="1"/>
  <c r="V75" i="1"/>
  <c r="V73" i="1"/>
  <c r="V71" i="1"/>
  <c r="V69" i="1"/>
  <c r="V67" i="1"/>
  <c r="V65" i="1"/>
  <c r="V63" i="1"/>
  <c r="V61" i="1"/>
  <c r="V59" i="1"/>
  <c r="V57" i="1"/>
  <c r="V55" i="1"/>
  <c r="V53" i="1"/>
  <c r="V51" i="1"/>
  <c r="V49" i="1"/>
  <c r="V47" i="1"/>
  <c r="V45" i="1"/>
  <c r="V43" i="1"/>
  <c r="V41" i="1"/>
  <c r="V39" i="1"/>
  <c r="V37" i="1"/>
  <c r="V35" i="1"/>
  <c r="V33" i="1"/>
  <c r="V31" i="1"/>
  <c r="V29" i="1"/>
  <c r="V27" i="1"/>
  <c r="V25" i="1"/>
  <c r="V23" i="1"/>
  <c r="V21" i="1"/>
  <c r="V19" i="1"/>
  <c r="V17" i="1"/>
  <c r="V15" i="1"/>
  <c r="V13" i="1"/>
  <c r="V11" i="1"/>
  <c r="V9" i="1"/>
  <c r="V7" i="1"/>
  <c r="P5" i="1"/>
  <c r="M5" i="1"/>
  <c r="U56" i="1" l="1"/>
  <c r="U92" i="1"/>
  <c r="U50" i="1"/>
  <c r="U54" i="1"/>
  <c r="U60" i="1"/>
  <c r="U64" i="1"/>
  <c r="U90" i="1"/>
  <c r="U9" i="1"/>
  <c r="U13" i="1"/>
  <c r="U17" i="1"/>
  <c r="U21" i="1"/>
  <c r="U25" i="1"/>
  <c r="U29" i="1"/>
  <c r="U35" i="1"/>
  <c r="Q5" i="1"/>
  <c r="AF6" i="1"/>
  <c r="AF5" i="1" s="1"/>
  <c r="U93" i="1"/>
  <c r="U94" i="1"/>
  <c r="U52" i="1"/>
  <c r="U58" i="1"/>
  <c r="U62" i="1"/>
  <c r="U66" i="1"/>
  <c r="U7" i="1"/>
  <c r="U11" i="1"/>
  <c r="U15" i="1"/>
  <c r="U19" i="1"/>
  <c r="U23" i="1"/>
  <c r="U27" i="1"/>
  <c r="U33" i="1"/>
  <c r="U37" i="1"/>
  <c r="U39" i="1"/>
  <c r="U41" i="1"/>
  <c r="U43" i="1"/>
  <c r="U45" i="1"/>
  <c r="U47" i="1"/>
  <c r="U49" i="1"/>
  <c r="U51" i="1"/>
  <c r="U53" i="1"/>
  <c r="U55" i="1"/>
  <c r="U57" i="1"/>
  <c r="U59" i="1"/>
  <c r="U61" i="1"/>
  <c r="U63" i="1"/>
  <c r="U65" i="1"/>
  <c r="U67" i="1"/>
  <c r="U69" i="1"/>
  <c r="U71" i="1"/>
  <c r="U73" i="1"/>
  <c r="U75" i="1"/>
  <c r="U77" i="1"/>
  <c r="U79" i="1"/>
  <c r="U81" i="1"/>
  <c r="U83" i="1"/>
  <c r="U85" i="1"/>
  <c r="U87" i="1"/>
  <c r="U91" i="1"/>
  <c r="U6" i="1"/>
</calcChain>
</file>

<file path=xl/sharedStrings.xml><?xml version="1.0" encoding="utf-8"?>
<sst xmlns="http://schemas.openxmlformats.org/spreadsheetml/2006/main" count="340" uniqueCount="141">
  <si>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</si>
  <si>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</si>
  <si>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</si>
  <si>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</si>
  <si>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</si>
  <si>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</si>
  <si>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</si>
  <si>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</si>
  <si>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</si>
  <si>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</si>
  <si>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</si>
  <si>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</si>
  <si>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</si>
  <si>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</si>
  <si>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</si>
  <si>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</si>
  <si>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</si>
  <si>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</si>
  <si>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</si>
  <si>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</si>
  <si>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</si>
  <si>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</si>
  <si>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</si>
  <si>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</si>
  <si>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25,12,</t>
  </si>
  <si>
    <t>18,12,</t>
  </si>
  <si>
    <t>16,12,</t>
  </si>
  <si>
    <t>11,12,</t>
  </si>
  <si>
    <t>09,12,</t>
  </si>
  <si>
    <t>04,12,</t>
  </si>
  <si>
    <t>02,12,</t>
  </si>
  <si>
    <t>27,11,</t>
  </si>
  <si>
    <t>25,11,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</si>
  <si>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</si>
  <si>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</si>
  <si>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</si>
  <si>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</si>
  <si>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</si>
  <si>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</si>
  <si>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</si>
  <si>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</si>
  <si>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</si>
  <si>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</si>
  <si>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</si>
  <si>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</si>
  <si>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</si>
  <si>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</si>
  <si>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</si>
  <si>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</si>
  <si>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</si>
  <si>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</si>
  <si>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</si>
  <si>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</si>
  <si>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</si>
  <si>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</si>
  <si>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</si>
  <si>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</si>
  <si>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</si>
  <si>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</si>
  <si>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</si>
  <si>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</si>
  <si>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</si>
  <si>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>нет потребности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</si>
  <si>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</si>
  <si>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</si>
  <si>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</si>
  <si>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>СПАР</t>
  </si>
  <si>
    <t xml:space="preserve"> 278  Сосиски Сочинки с сочным окороком, МГС 0.4кг,   ПОКОМ</t>
  </si>
  <si>
    <t>сети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</si>
  <si>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</si>
  <si>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</si>
  <si>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</si>
  <si>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</si>
  <si>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>ТК Вояж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</si>
  <si>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</si>
  <si>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</si>
  <si>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</si>
  <si>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</si>
  <si>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</si>
  <si>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</si>
  <si>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</si>
  <si>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</si>
  <si>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</si>
  <si>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322  Колбаса вареная Молокуша 0,45кг ТМ Вязанка  ПОКОМ</t>
  </si>
  <si>
    <t>ТК ВОЯЖ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</si>
  <si>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</si>
  <si>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</si>
  <si>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</si>
  <si>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</si>
  <si>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</si>
  <si>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</si>
  <si>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</si>
  <si>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</si>
  <si>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>Spar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</si>
  <si>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</si>
  <si>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</si>
  <si>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</si>
  <si>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</si>
  <si>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</si>
  <si>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</si>
  <si>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</si>
  <si>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</si>
  <si>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</si>
  <si>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</si>
  <si>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>новинка</t>
  </si>
  <si>
    <t xml:space="preserve"> 394 Ветчина Сочинка с сочным окороком ТМ Стародворье полиамид ф/в 0,35 кг  Поком</t>
  </si>
  <si>
    <t>вывод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</si>
  <si>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</si>
  <si>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</si>
  <si>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</si>
  <si>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</si>
  <si>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>ТК Вояж / нет в бланке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</si>
  <si>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</si>
  <si>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</si>
  <si>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</si>
  <si>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</si>
  <si>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</si>
  <si>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</si>
  <si>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</si>
  <si>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</si>
  <si>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</si>
  <si>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</si>
  <si>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</si>
  <si>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</si>
  <si>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</si>
  <si>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</si>
  <si>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</si>
  <si>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</si>
  <si>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</si>
  <si>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нет потребности / нет в бланке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</si>
  <si>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</si>
  <si>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</si>
  <si>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</si>
  <si>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</si>
  <si>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</si>
  <si>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Химич</t>
  </si>
  <si>
    <t>нет</t>
  </si>
  <si>
    <t>ТМА декабрь_январь</t>
  </si>
  <si>
    <t>ТМА декабрь_январь / сети</t>
  </si>
  <si>
    <t>нужно увеличить продаж!!!</t>
  </si>
  <si>
    <t>перемещение из Донецка 60кг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</si>
</sst>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1"/>
      <name val="Calibri"/>
      <family val="2"/>
      <charset val="204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21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2" borderId="1" xfId="1" applyNumberFormat="1" applyFont="1" applyFill="1"/>
    <xf numFmtId="164" fontId="5" fillId="0" borderId="1" xfId="1" applyNumberFormat="1" applyFont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164" fontId="1" fillId="7" borderId="2" xfId="1" applyNumberFormat="1" applyFill="1" applyBorder="1"/>
    <xf numFmtId="164" fontId="6" fillId="8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S6" sqref="S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4" width="7" customWidth="1"/>
    <col min="15" max="15" width="0.5703125" customWidth="1"/>
    <col min="16" max="18" width="7" customWidth="1"/>
    <col min="19" max="19" width="14.5703125" customWidth="1"/>
    <col min="20" max="20" width="7" customWidth="1"/>
    <col min="21" max="22" width="5" customWidth="1"/>
    <col min="23" max="30" width="6" customWidth="1"/>
    <col min="31" max="31" width="35.5703125" customWidth="1"/>
    <col min="32" max="32" width="7" customWidth="1"/>
    <col min="33" max="50" width="8" customWidth="1"/>
  </cols>
  <sheetData>
    <row r="1" spans="1:50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7" t="s">
        <v>17</v>
      </c>
      <c r="S3" s="7" t="s">
        <v>18</v>
      </c>
      <c r="T3" s="10" t="s">
        <v>135</v>
      </c>
      <c r="U3" s="2" t="s">
        <v>19</v>
      </c>
      <c r="V3" s="2" t="s">
        <v>20</v>
      </c>
      <c r="W3" s="2" t="s">
        <v>21</v>
      </c>
      <c r="X3" s="2" t="s">
        <v>21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22</v>
      </c>
      <c r="AF3" s="2" t="s">
        <v>23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1" t="s">
        <v>136</v>
      </c>
      <c r="P4" s="1" t="s">
        <v>24</v>
      </c>
      <c r="Q4" s="1"/>
      <c r="R4" s="1"/>
      <c r="S4" s="1"/>
      <c r="T4" s="1"/>
      <c r="U4" s="1"/>
      <c r="V4" s="1"/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SUM(E6:E500)</f>
        <v>47012.377000000008</v>
      </c>
      <c r="F5" s="4">
        <f>SUM(F6:F500)</f>
        <v>56097.09199999999</v>
      </c>
      <c r="G5" s="8"/>
      <c r="H5" s="1"/>
      <c r="I5" s="1"/>
      <c r="J5" s="1"/>
      <c r="K5" s="4">
        <f t="shared" ref="K5:T5" si="0">SUM(K6:K500)</f>
        <v>49418.74500000001</v>
      </c>
      <c r="L5" s="4">
        <f t="shared" si="0"/>
        <v>-2406.3679999999995</v>
      </c>
      <c r="M5" s="4">
        <f t="shared" si="0"/>
        <v>45745.572000000007</v>
      </c>
      <c r="N5" s="4">
        <f t="shared" si="0"/>
        <v>1266.8050000000001</v>
      </c>
      <c r="O5" s="4">
        <f t="shared" si="0"/>
        <v>0</v>
      </c>
      <c r="P5" s="4">
        <f t="shared" si="0"/>
        <v>9149.114400000004</v>
      </c>
      <c r="Q5" s="4">
        <f t="shared" si="0"/>
        <v>57072.401800000029</v>
      </c>
      <c r="R5" s="4">
        <f t="shared" si="0"/>
        <v>0</v>
      </c>
      <c r="S5" s="1"/>
      <c r="T5" s="4">
        <f t="shared" si="0"/>
        <v>0</v>
      </c>
      <c r="U5" s="1"/>
      <c r="V5" s="1"/>
      <c r="W5" s="4">
        <f t="shared" ref="W5:AD5" si="1">SUM(W6:W500)</f>
        <v>7993.0832</v>
      </c>
      <c r="X5" s="4">
        <f t="shared" si="1"/>
        <v>7797.6295999999966</v>
      </c>
      <c r="Y5" s="4">
        <f t="shared" si="1"/>
        <v>7546.3587999999991</v>
      </c>
      <c r="Z5" s="4">
        <f t="shared" si="1"/>
        <v>7606.0971999999992</v>
      </c>
      <c r="AA5" s="4">
        <f t="shared" si="1"/>
        <v>7269.5209999999979</v>
      </c>
      <c r="AB5" s="4">
        <f t="shared" si="1"/>
        <v>7225.3923999999988</v>
      </c>
      <c r="AC5" s="4">
        <f t="shared" si="1"/>
        <v>7719.581799999999</v>
      </c>
      <c r="AD5" s="4">
        <f t="shared" si="1"/>
        <v>7511.7746000000025</v>
      </c>
      <c r="AE5" s="1"/>
      <c r="AF5" s="4">
        <f>SUM(AF6:AF500)</f>
        <v>43287.849900000008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" t="s">
        <v>33</v>
      </c>
      <c r="B6" s="1" t="s">
        <v>34</v>
      </c>
      <c r="C6" s="1">
        <v>1408.9059999999999</v>
      </c>
      <c r="D6" s="1">
        <v>1781.097</v>
      </c>
      <c r="E6" s="1">
        <v>1664.7829999999999</v>
      </c>
      <c r="F6" s="1">
        <v>1173.873</v>
      </c>
      <c r="G6" s="8">
        <v>1</v>
      </c>
      <c r="H6" s="1">
        <v>50</v>
      </c>
      <c r="I6" s="1" t="s">
        <v>35</v>
      </c>
      <c r="J6" s="1"/>
      <c r="K6" s="1">
        <v>1688.4659999999999</v>
      </c>
      <c r="L6" s="1">
        <f t="shared" ref="L6:L37" si="2">E6-K6</f>
        <v>-23.682999999999993</v>
      </c>
      <c r="M6" s="1">
        <f>E6-N6</f>
        <v>1610.617</v>
      </c>
      <c r="N6" s="1">
        <v>54.165999999999997</v>
      </c>
      <c r="O6" s="1"/>
      <c r="P6" s="1">
        <f>M6/5</f>
        <v>322.1234</v>
      </c>
      <c r="Q6" s="5">
        <f>12*P6-F6</f>
        <v>2691.6078000000002</v>
      </c>
      <c r="R6" s="5"/>
      <c r="S6" s="1"/>
      <c r="T6" s="1"/>
      <c r="U6" s="1">
        <f>(F6+Q6)/P6</f>
        <v>12</v>
      </c>
      <c r="V6" s="1">
        <f>F6/P6</f>
        <v>3.6441717677138636</v>
      </c>
      <c r="W6" s="1">
        <v>211.72800000000001</v>
      </c>
      <c r="X6" s="1">
        <v>200.25479999999999</v>
      </c>
      <c r="Y6" s="1">
        <v>192.68879999999999</v>
      </c>
      <c r="Z6" s="1">
        <v>182.98179999999999</v>
      </c>
      <c r="AA6" s="1">
        <v>190.1738</v>
      </c>
      <c r="AB6" s="1">
        <v>194.68440000000001</v>
      </c>
      <c r="AC6" s="1">
        <v>180.22620000000001</v>
      </c>
      <c r="AD6" s="1">
        <v>175.9058</v>
      </c>
      <c r="AE6" s="1"/>
      <c r="AF6" s="1">
        <f t="shared" ref="AF6:AF30" si="3">G6*Q6</f>
        <v>2691.6078000000002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" t="s">
        <v>36</v>
      </c>
      <c r="B7" s="1" t="s">
        <v>34</v>
      </c>
      <c r="C7" s="1">
        <v>665.923</v>
      </c>
      <c r="D7" s="1">
        <v>277.76</v>
      </c>
      <c r="E7" s="1">
        <v>307.78100000000001</v>
      </c>
      <c r="F7" s="1">
        <v>525.93600000000004</v>
      </c>
      <c r="G7" s="8">
        <v>1</v>
      </c>
      <c r="H7" s="1">
        <v>45</v>
      </c>
      <c r="I7" s="1" t="s">
        <v>35</v>
      </c>
      <c r="J7" s="1"/>
      <c r="K7" s="1">
        <v>364.18400000000003</v>
      </c>
      <c r="L7" s="1">
        <f t="shared" si="2"/>
        <v>-56.40300000000002</v>
      </c>
      <c r="M7" s="1">
        <f t="shared" ref="M7:M70" si="4">E7-N7</f>
        <v>251.047</v>
      </c>
      <c r="N7" s="1">
        <v>56.734000000000002</v>
      </c>
      <c r="O7" s="1"/>
      <c r="P7" s="1">
        <f t="shared" ref="P7:P70" si="5">M7/5</f>
        <v>50.209400000000002</v>
      </c>
      <c r="Q7" s="5">
        <f t="shared" ref="Q7:Q24" si="6">13*P7-F7</f>
        <v>126.78620000000001</v>
      </c>
      <c r="R7" s="5"/>
      <c r="S7" s="1"/>
      <c r="T7" s="1"/>
      <c r="U7" s="1">
        <f t="shared" ref="U7:U70" si="7">(F7+Q7)/P7</f>
        <v>13</v>
      </c>
      <c r="V7" s="1">
        <f t="shared" ref="V7:V70" si="8">F7/P7</f>
        <v>10.474851322660697</v>
      </c>
      <c r="W7" s="1">
        <v>60.696199999999997</v>
      </c>
      <c r="X7" s="1">
        <v>58.614400000000003</v>
      </c>
      <c r="Y7" s="1">
        <v>66.862399999999994</v>
      </c>
      <c r="Z7" s="1">
        <v>67.287199999999999</v>
      </c>
      <c r="AA7" s="1">
        <v>52.376600000000003</v>
      </c>
      <c r="AB7" s="1">
        <v>52.968800000000002</v>
      </c>
      <c r="AC7" s="1">
        <v>62.610799999999998</v>
      </c>
      <c r="AD7" s="1">
        <v>57.118200000000002</v>
      </c>
      <c r="AE7" s="1"/>
      <c r="AF7" s="1">
        <f t="shared" si="3"/>
        <v>126.78620000000001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37</v>
      </c>
      <c r="B8" s="1" t="s">
        <v>34</v>
      </c>
      <c r="C8" s="1">
        <v>534.57500000000005</v>
      </c>
      <c r="D8" s="1">
        <v>489.262</v>
      </c>
      <c r="E8" s="1">
        <v>335.27600000000001</v>
      </c>
      <c r="F8" s="1">
        <v>606.64099999999996</v>
      </c>
      <c r="G8" s="8">
        <v>1</v>
      </c>
      <c r="H8" s="1">
        <v>45</v>
      </c>
      <c r="I8" s="1" t="s">
        <v>35</v>
      </c>
      <c r="J8" s="1"/>
      <c r="K8" s="1">
        <v>369.44799999999998</v>
      </c>
      <c r="L8" s="1">
        <f t="shared" si="2"/>
        <v>-34.171999999999969</v>
      </c>
      <c r="M8" s="1">
        <f t="shared" si="4"/>
        <v>294.678</v>
      </c>
      <c r="N8" s="1">
        <v>40.597999999999999</v>
      </c>
      <c r="O8" s="1"/>
      <c r="P8" s="1">
        <f t="shared" si="5"/>
        <v>58.935600000000001</v>
      </c>
      <c r="Q8" s="5">
        <f t="shared" si="6"/>
        <v>159.5218000000001</v>
      </c>
      <c r="R8" s="5"/>
      <c r="S8" s="1"/>
      <c r="T8" s="1"/>
      <c r="U8" s="1">
        <f t="shared" si="7"/>
        <v>13</v>
      </c>
      <c r="V8" s="1">
        <f t="shared" si="8"/>
        <v>10.29328623107256</v>
      </c>
      <c r="W8" s="1">
        <v>68.611199999999997</v>
      </c>
      <c r="X8" s="1">
        <v>63.823799999999991</v>
      </c>
      <c r="Y8" s="1">
        <v>70.787999999999997</v>
      </c>
      <c r="Z8" s="1">
        <v>69.325199999999995</v>
      </c>
      <c r="AA8" s="1">
        <v>55.6494</v>
      </c>
      <c r="AB8" s="1">
        <v>53.993599999999986</v>
      </c>
      <c r="AC8" s="1">
        <v>58.798799999999993</v>
      </c>
      <c r="AD8" s="1">
        <v>60.416600000000003</v>
      </c>
      <c r="AE8" s="1"/>
      <c r="AF8" s="1">
        <f t="shared" si="3"/>
        <v>159.5218000000001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" t="s">
        <v>38</v>
      </c>
      <c r="B9" s="1" t="s">
        <v>39</v>
      </c>
      <c r="C9" s="1">
        <v>536.96199999999999</v>
      </c>
      <c r="D9" s="1">
        <v>757</v>
      </c>
      <c r="E9" s="1">
        <v>490.1</v>
      </c>
      <c r="F9" s="1">
        <v>750.86199999999997</v>
      </c>
      <c r="G9" s="8">
        <v>0.45</v>
      </c>
      <c r="H9" s="1">
        <v>45</v>
      </c>
      <c r="I9" s="1" t="s">
        <v>35</v>
      </c>
      <c r="J9" s="1"/>
      <c r="K9" s="1">
        <v>518.1</v>
      </c>
      <c r="L9" s="1">
        <f t="shared" si="2"/>
        <v>-28</v>
      </c>
      <c r="M9" s="1">
        <f t="shared" si="4"/>
        <v>490.1</v>
      </c>
      <c r="N9" s="1"/>
      <c r="O9" s="1"/>
      <c r="P9" s="1">
        <f t="shared" si="5"/>
        <v>98.02000000000001</v>
      </c>
      <c r="Q9" s="5">
        <f t="shared" si="6"/>
        <v>523.39800000000025</v>
      </c>
      <c r="R9" s="5"/>
      <c r="S9" s="1"/>
      <c r="T9" s="1"/>
      <c r="U9" s="1">
        <f t="shared" si="7"/>
        <v>13</v>
      </c>
      <c r="V9" s="1">
        <f t="shared" si="8"/>
        <v>7.6602938175882462</v>
      </c>
      <c r="W9" s="1">
        <v>89.807600000000008</v>
      </c>
      <c r="X9" s="1">
        <v>90.4</v>
      </c>
      <c r="Y9" s="1">
        <v>87.2</v>
      </c>
      <c r="Z9" s="1">
        <v>82</v>
      </c>
      <c r="AA9" s="1">
        <v>78</v>
      </c>
      <c r="AB9" s="1">
        <v>74.599999999999994</v>
      </c>
      <c r="AC9" s="1">
        <v>90.8</v>
      </c>
      <c r="AD9" s="1">
        <v>88</v>
      </c>
      <c r="AE9" s="1"/>
      <c r="AF9" s="1">
        <f t="shared" si="3"/>
        <v>235.52910000000011</v>
      </c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40</v>
      </c>
      <c r="B10" s="1" t="s">
        <v>39</v>
      </c>
      <c r="C10" s="1">
        <v>805</v>
      </c>
      <c r="D10" s="1">
        <v>2143</v>
      </c>
      <c r="E10" s="1">
        <v>1139</v>
      </c>
      <c r="F10" s="1">
        <v>1557</v>
      </c>
      <c r="G10" s="8">
        <v>0.45</v>
      </c>
      <c r="H10" s="1">
        <v>45</v>
      </c>
      <c r="I10" s="1" t="s">
        <v>35</v>
      </c>
      <c r="J10" s="1"/>
      <c r="K10" s="1">
        <v>1157</v>
      </c>
      <c r="L10" s="1">
        <f t="shared" si="2"/>
        <v>-18</v>
      </c>
      <c r="M10" s="1">
        <f t="shared" si="4"/>
        <v>1139</v>
      </c>
      <c r="N10" s="1"/>
      <c r="O10" s="1"/>
      <c r="P10" s="1">
        <f t="shared" si="5"/>
        <v>227.8</v>
      </c>
      <c r="Q10" s="5">
        <f t="shared" si="6"/>
        <v>1404.4</v>
      </c>
      <c r="R10" s="5"/>
      <c r="S10" s="1"/>
      <c r="T10" s="1"/>
      <c r="U10" s="1">
        <f t="shared" si="7"/>
        <v>13</v>
      </c>
      <c r="V10" s="1">
        <f t="shared" si="8"/>
        <v>6.8349429323968387</v>
      </c>
      <c r="W10" s="1">
        <v>199.6</v>
      </c>
      <c r="X10" s="1">
        <v>182.6</v>
      </c>
      <c r="Y10" s="1">
        <v>152.4</v>
      </c>
      <c r="Z10" s="1">
        <v>158</v>
      </c>
      <c r="AA10" s="1">
        <v>172.4</v>
      </c>
      <c r="AB10" s="1">
        <v>171.4</v>
      </c>
      <c r="AC10" s="1">
        <v>172.4</v>
      </c>
      <c r="AD10" s="1">
        <v>155.4</v>
      </c>
      <c r="AE10" s="1"/>
      <c r="AF10" s="1">
        <f t="shared" si="3"/>
        <v>631.98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41</v>
      </c>
      <c r="B11" s="1" t="s">
        <v>39</v>
      </c>
      <c r="C11" s="1">
        <v>67</v>
      </c>
      <c r="D11" s="1">
        <v>375</v>
      </c>
      <c r="E11" s="1">
        <v>183</v>
      </c>
      <c r="F11" s="1">
        <v>202</v>
      </c>
      <c r="G11" s="8">
        <v>0.17</v>
      </c>
      <c r="H11" s="1">
        <v>180</v>
      </c>
      <c r="I11" s="1" t="s">
        <v>35</v>
      </c>
      <c r="J11" s="1"/>
      <c r="K11" s="1">
        <v>188</v>
      </c>
      <c r="L11" s="1">
        <f t="shared" si="2"/>
        <v>-5</v>
      </c>
      <c r="M11" s="1">
        <f t="shared" si="4"/>
        <v>183</v>
      </c>
      <c r="N11" s="1"/>
      <c r="O11" s="1"/>
      <c r="P11" s="1">
        <f t="shared" si="5"/>
        <v>36.6</v>
      </c>
      <c r="Q11" s="5">
        <f t="shared" si="6"/>
        <v>273.8</v>
      </c>
      <c r="R11" s="5"/>
      <c r="S11" s="1"/>
      <c r="T11" s="1"/>
      <c r="U11" s="1">
        <f t="shared" si="7"/>
        <v>13</v>
      </c>
      <c r="V11" s="1">
        <f t="shared" si="8"/>
        <v>5.5191256830601088</v>
      </c>
      <c r="W11" s="1">
        <v>29.4</v>
      </c>
      <c r="X11" s="1">
        <v>22.8</v>
      </c>
      <c r="Y11" s="1">
        <v>17.399999999999999</v>
      </c>
      <c r="Z11" s="1">
        <v>17.2</v>
      </c>
      <c r="AA11" s="1">
        <v>10.8</v>
      </c>
      <c r="AB11" s="1">
        <v>14.6</v>
      </c>
      <c r="AC11" s="1">
        <v>19.399999999999999</v>
      </c>
      <c r="AD11" s="1">
        <v>12.8</v>
      </c>
      <c r="AE11" s="1"/>
      <c r="AF11" s="1">
        <f t="shared" si="3"/>
        <v>46.546000000000006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42</v>
      </c>
      <c r="B12" s="1" t="s">
        <v>39</v>
      </c>
      <c r="C12" s="1">
        <v>204</v>
      </c>
      <c r="D12" s="1">
        <v>294</v>
      </c>
      <c r="E12" s="1">
        <v>189</v>
      </c>
      <c r="F12" s="1">
        <v>237</v>
      </c>
      <c r="G12" s="8">
        <v>0.3</v>
      </c>
      <c r="H12" s="1">
        <v>40</v>
      </c>
      <c r="I12" s="1" t="s">
        <v>35</v>
      </c>
      <c r="J12" s="1"/>
      <c r="K12" s="1">
        <v>254</v>
      </c>
      <c r="L12" s="1">
        <f t="shared" si="2"/>
        <v>-65</v>
      </c>
      <c r="M12" s="1">
        <f t="shared" si="4"/>
        <v>189</v>
      </c>
      <c r="N12" s="1"/>
      <c r="O12" s="1"/>
      <c r="P12" s="1">
        <f t="shared" si="5"/>
        <v>37.799999999999997</v>
      </c>
      <c r="Q12" s="5">
        <f>12*P12-F12</f>
        <v>216.59999999999997</v>
      </c>
      <c r="R12" s="5"/>
      <c r="S12" s="1"/>
      <c r="T12" s="1"/>
      <c r="U12" s="1">
        <f t="shared" si="7"/>
        <v>12</v>
      </c>
      <c r="V12" s="1">
        <f t="shared" si="8"/>
        <v>6.2698412698412707</v>
      </c>
      <c r="W12" s="1">
        <v>36</v>
      </c>
      <c r="X12" s="1">
        <v>37.200000000000003</v>
      </c>
      <c r="Y12" s="1">
        <v>33.799999999999997</v>
      </c>
      <c r="Z12" s="1">
        <v>37.6</v>
      </c>
      <c r="AA12" s="1">
        <v>34.4</v>
      </c>
      <c r="AB12" s="1">
        <v>18.399999999999999</v>
      </c>
      <c r="AC12" s="1">
        <v>32.200000000000003</v>
      </c>
      <c r="AD12" s="1">
        <v>32</v>
      </c>
      <c r="AE12" s="1"/>
      <c r="AF12" s="1">
        <f t="shared" si="3"/>
        <v>64.97999999999999</v>
      </c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43</v>
      </c>
      <c r="B13" s="1" t="s">
        <v>39</v>
      </c>
      <c r="C13" s="1">
        <v>259</v>
      </c>
      <c r="D13" s="1">
        <v>270</v>
      </c>
      <c r="E13" s="1">
        <v>389</v>
      </c>
      <c r="F13" s="1">
        <v>72</v>
      </c>
      <c r="G13" s="8">
        <v>0.17</v>
      </c>
      <c r="H13" s="1">
        <v>180</v>
      </c>
      <c r="I13" s="1" t="s">
        <v>35</v>
      </c>
      <c r="J13" s="1"/>
      <c r="K13" s="1">
        <v>443</v>
      </c>
      <c r="L13" s="1">
        <f t="shared" si="2"/>
        <v>-54</v>
      </c>
      <c r="M13" s="1">
        <f t="shared" si="4"/>
        <v>389</v>
      </c>
      <c r="N13" s="1"/>
      <c r="O13" s="1"/>
      <c r="P13" s="1">
        <f t="shared" si="5"/>
        <v>77.8</v>
      </c>
      <c r="Q13" s="5">
        <f>9*P13-F13</f>
        <v>628.19999999999993</v>
      </c>
      <c r="R13" s="5"/>
      <c r="S13" s="1"/>
      <c r="T13" s="1"/>
      <c r="U13" s="1">
        <f t="shared" si="7"/>
        <v>9</v>
      </c>
      <c r="V13" s="1">
        <f t="shared" si="8"/>
        <v>0.92544987146529567</v>
      </c>
      <c r="W13" s="1">
        <v>69.400000000000006</v>
      </c>
      <c r="X13" s="1">
        <v>72</v>
      </c>
      <c r="Y13" s="1">
        <v>48.2</v>
      </c>
      <c r="Z13" s="1">
        <v>39.799999999999997</v>
      </c>
      <c r="AA13" s="1">
        <v>45.4</v>
      </c>
      <c r="AB13" s="1">
        <v>43.6</v>
      </c>
      <c r="AC13" s="1">
        <v>37.799999999999997</v>
      </c>
      <c r="AD13" s="1">
        <v>40.4</v>
      </c>
      <c r="AE13" s="1"/>
      <c r="AF13" s="1">
        <f t="shared" si="3"/>
        <v>106.794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44</v>
      </c>
      <c r="B14" s="1" t="s">
        <v>34</v>
      </c>
      <c r="C14" s="1">
        <v>1062.3030000000001</v>
      </c>
      <c r="D14" s="1">
        <v>1103.424</v>
      </c>
      <c r="E14" s="1">
        <v>885.23800000000006</v>
      </c>
      <c r="F14" s="1">
        <v>1142.999</v>
      </c>
      <c r="G14" s="8">
        <v>1</v>
      </c>
      <c r="H14" s="1">
        <v>55</v>
      </c>
      <c r="I14" s="1" t="s">
        <v>35</v>
      </c>
      <c r="J14" s="1"/>
      <c r="K14" s="1">
        <v>895.37599999999998</v>
      </c>
      <c r="L14" s="1">
        <f t="shared" si="2"/>
        <v>-10.13799999999992</v>
      </c>
      <c r="M14" s="1">
        <f t="shared" si="4"/>
        <v>885.23800000000006</v>
      </c>
      <c r="N14" s="1"/>
      <c r="O14" s="1"/>
      <c r="P14" s="1">
        <f t="shared" si="5"/>
        <v>177.04760000000002</v>
      </c>
      <c r="Q14" s="5">
        <f t="shared" si="6"/>
        <v>1158.6198000000002</v>
      </c>
      <c r="R14" s="5"/>
      <c r="S14" s="1"/>
      <c r="T14" s="1"/>
      <c r="U14" s="1">
        <f t="shared" si="7"/>
        <v>13</v>
      </c>
      <c r="V14" s="1">
        <f t="shared" si="8"/>
        <v>6.4558853099392479</v>
      </c>
      <c r="W14" s="1">
        <v>145.43199999999999</v>
      </c>
      <c r="X14" s="1">
        <v>135.30840000000001</v>
      </c>
      <c r="Y14" s="1">
        <v>139.0334</v>
      </c>
      <c r="Z14" s="1">
        <v>130.6772</v>
      </c>
      <c r="AA14" s="1">
        <v>112.2272</v>
      </c>
      <c r="AB14" s="1">
        <v>116.54940000000001</v>
      </c>
      <c r="AC14" s="1">
        <v>129.6788</v>
      </c>
      <c r="AD14" s="1">
        <v>130.35839999999999</v>
      </c>
      <c r="AE14" s="11" t="s">
        <v>137</v>
      </c>
      <c r="AF14" s="1">
        <f t="shared" si="3"/>
        <v>1158.6198000000002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45</v>
      </c>
      <c r="B15" s="1" t="s">
        <v>34</v>
      </c>
      <c r="C15" s="1">
        <v>3371.3560000000002</v>
      </c>
      <c r="D15" s="1">
        <v>3459.085</v>
      </c>
      <c r="E15" s="1">
        <v>2766.28</v>
      </c>
      <c r="F15" s="1">
        <v>3484.607</v>
      </c>
      <c r="G15" s="8">
        <v>1</v>
      </c>
      <c r="H15" s="1">
        <v>50</v>
      </c>
      <c r="I15" s="1" t="s">
        <v>35</v>
      </c>
      <c r="J15" s="1"/>
      <c r="K15" s="1">
        <v>2984.127</v>
      </c>
      <c r="L15" s="1">
        <f t="shared" si="2"/>
        <v>-217.84699999999975</v>
      </c>
      <c r="M15" s="1">
        <f t="shared" si="4"/>
        <v>2766.28</v>
      </c>
      <c r="N15" s="1"/>
      <c r="O15" s="1"/>
      <c r="P15" s="1">
        <f t="shared" si="5"/>
        <v>553.25600000000009</v>
      </c>
      <c r="Q15" s="5">
        <f t="shared" si="6"/>
        <v>3707.7210000000014</v>
      </c>
      <c r="R15" s="5"/>
      <c r="S15" s="1"/>
      <c r="T15" s="1"/>
      <c r="U15" s="1">
        <f t="shared" si="7"/>
        <v>13</v>
      </c>
      <c r="V15" s="1">
        <f t="shared" si="8"/>
        <v>6.2983627832323545</v>
      </c>
      <c r="W15" s="1">
        <v>455.30959999999988</v>
      </c>
      <c r="X15" s="1">
        <v>452.64479999999998</v>
      </c>
      <c r="Y15" s="1">
        <v>436.24799999999988</v>
      </c>
      <c r="Z15" s="1">
        <v>444.14880000000011</v>
      </c>
      <c r="AA15" s="1">
        <v>413.01400000000001</v>
      </c>
      <c r="AB15" s="1">
        <v>390.86860000000001</v>
      </c>
      <c r="AC15" s="1">
        <v>403.22340000000003</v>
      </c>
      <c r="AD15" s="1">
        <v>416.09780000000001</v>
      </c>
      <c r="AE15" s="11" t="s">
        <v>137</v>
      </c>
      <c r="AF15" s="1">
        <f t="shared" si="3"/>
        <v>3707.7210000000014</v>
      </c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46</v>
      </c>
      <c r="B16" s="1" t="s">
        <v>34</v>
      </c>
      <c r="C16" s="1">
        <v>167.637</v>
      </c>
      <c r="D16" s="1">
        <v>340.726</v>
      </c>
      <c r="E16" s="1">
        <v>218.654</v>
      </c>
      <c r="F16" s="1">
        <v>225.42</v>
      </c>
      <c r="G16" s="8">
        <v>1</v>
      </c>
      <c r="H16" s="1">
        <v>60</v>
      </c>
      <c r="I16" s="1" t="s">
        <v>35</v>
      </c>
      <c r="J16" s="1"/>
      <c r="K16" s="1">
        <v>239.50899999999999</v>
      </c>
      <c r="L16" s="1">
        <f t="shared" si="2"/>
        <v>-20.85499999999999</v>
      </c>
      <c r="M16" s="1">
        <f t="shared" si="4"/>
        <v>192.245</v>
      </c>
      <c r="N16" s="1">
        <v>26.408999999999999</v>
      </c>
      <c r="O16" s="1"/>
      <c r="P16" s="1">
        <f t="shared" si="5"/>
        <v>38.448999999999998</v>
      </c>
      <c r="Q16" s="5">
        <f t="shared" si="6"/>
        <v>274.41700000000003</v>
      </c>
      <c r="R16" s="5"/>
      <c r="S16" s="1"/>
      <c r="T16" s="1"/>
      <c r="U16" s="1">
        <f t="shared" si="7"/>
        <v>13</v>
      </c>
      <c r="V16" s="1">
        <f t="shared" si="8"/>
        <v>5.8628312829982576</v>
      </c>
      <c r="W16" s="1">
        <v>33.643999999999998</v>
      </c>
      <c r="X16" s="1">
        <v>31.352799999999998</v>
      </c>
      <c r="Y16" s="1">
        <v>28.491</v>
      </c>
      <c r="Z16" s="1">
        <v>23.248799999999999</v>
      </c>
      <c r="AA16" s="1">
        <v>25.207599999999999</v>
      </c>
      <c r="AB16" s="1">
        <v>27.665600000000001</v>
      </c>
      <c r="AC16" s="1">
        <v>32.453600000000002</v>
      </c>
      <c r="AD16" s="1">
        <v>25.558800000000002</v>
      </c>
      <c r="AE16" s="1"/>
      <c r="AF16" s="1">
        <f t="shared" si="3"/>
        <v>274.41700000000003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47</v>
      </c>
      <c r="B17" s="1" t="s">
        <v>34</v>
      </c>
      <c r="C17" s="1">
        <v>2339.261</v>
      </c>
      <c r="D17" s="1">
        <v>1933.048</v>
      </c>
      <c r="E17" s="1">
        <v>2049.377</v>
      </c>
      <c r="F17" s="1">
        <v>1816.6089999999999</v>
      </c>
      <c r="G17" s="8">
        <v>1</v>
      </c>
      <c r="H17" s="1">
        <v>60</v>
      </c>
      <c r="I17" s="1" t="s">
        <v>35</v>
      </c>
      <c r="J17" s="1"/>
      <c r="K17" s="1">
        <v>2115.7249999999999</v>
      </c>
      <c r="L17" s="1">
        <f t="shared" si="2"/>
        <v>-66.347999999999956</v>
      </c>
      <c r="M17" s="1">
        <f t="shared" si="4"/>
        <v>2049.377</v>
      </c>
      <c r="N17" s="1"/>
      <c r="O17" s="1"/>
      <c r="P17" s="1">
        <f t="shared" si="5"/>
        <v>409.87540000000001</v>
      </c>
      <c r="Q17" s="5">
        <f>12*P17-F17</f>
        <v>3101.8958000000007</v>
      </c>
      <c r="R17" s="5"/>
      <c r="S17" s="1"/>
      <c r="T17" s="1"/>
      <c r="U17" s="1">
        <f t="shared" si="7"/>
        <v>12.000000000000002</v>
      </c>
      <c r="V17" s="1">
        <f t="shared" si="8"/>
        <v>4.4321005847142807</v>
      </c>
      <c r="W17" s="1">
        <v>284.73779999999999</v>
      </c>
      <c r="X17" s="1">
        <v>281.13060000000002</v>
      </c>
      <c r="Y17" s="1">
        <v>280.9896</v>
      </c>
      <c r="Z17" s="1">
        <v>285.08960000000002</v>
      </c>
      <c r="AA17" s="1">
        <v>233.15700000000001</v>
      </c>
      <c r="AB17" s="1">
        <v>214.32320000000001</v>
      </c>
      <c r="AC17" s="1">
        <v>252.369</v>
      </c>
      <c r="AD17" s="1">
        <v>234.47559999999999</v>
      </c>
      <c r="AE17" s="1"/>
      <c r="AF17" s="1">
        <f t="shared" si="3"/>
        <v>3101.8958000000007</v>
      </c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" t="s">
        <v>48</v>
      </c>
      <c r="B18" s="1" t="s">
        <v>34</v>
      </c>
      <c r="C18" s="1">
        <v>109.33</v>
      </c>
      <c r="D18" s="1">
        <v>284.726</v>
      </c>
      <c r="E18" s="1">
        <v>126.617</v>
      </c>
      <c r="F18" s="1">
        <v>244.65600000000001</v>
      </c>
      <c r="G18" s="8">
        <v>1</v>
      </c>
      <c r="H18" s="1">
        <v>60</v>
      </c>
      <c r="I18" s="1" t="s">
        <v>35</v>
      </c>
      <c r="J18" s="1"/>
      <c r="K18" s="1">
        <v>122.255</v>
      </c>
      <c r="L18" s="1">
        <f t="shared" si="2"/>
        <v>4.362000000000009</v>
      </c>
      <c r="M18" s="1">
        <f t="shared" si="4"/>
        <v>126.617</v>
      </c>
      <c r="N18" s="1"/>
      <c r="O18" s="1"/>
      <c r="P18" s="1">
        <f t="shared" si="5"/>
        <v>25.323399999999999</v>
      </c>
      <c r="Q18" s="5">
        <f t="shared" si="6"/>
        <v>84.548200000000008</v>
      </c>
      <c r="R18" s="5"/>
      <c r="S18" s="1"/>
      <c r="T18" s="1"/>
      <c r="U18" s="1">
        <f t="shared" si="7"/>
        <v>13</v>
      </c>
      <c r="V18" s="1">
        <f t="shared" si="8"/>
        <v>9.6612619158564819</v>
      </c>
      <c r="W18" s="1">
        <v>26.979600000000001</v>
      </c>
      <c r="X18" s="1">
        <v>22.966799999999999</v>
      </c>
      <c r="Y18" s="1">
        <v>20.192399999999999</v>
      </c>
      <c r="Z18" s="1">
        <v>19.4758</v>
      </c>
      <c r="AA18" s="1">
        <v>21.106000000000002</v>
      </c>
      <c r="AB18" s="1">
        <v>20.777799999999999</v>
      </c>
      <c r="AC18" s="1">
        <v>25.240200000000002</v>
      </c>
      <c r="AD18" s="1">
        <v>22.045200000000001</v>
      </c>
      <c r="AE18" s="1"/>
      <c r="AF18" s="1">
        <f t="shared" si="3"/>
        <v>84.548200000000008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" t="s">
        <v>49</v>
      </c>
      <c r="B19" s="1" t="s">
        <v>34</v>
      </c>
      <c r="C19" s="1">
        <v>21.190999999999999</v>
      </c>
      <c r="D19" s="1"/>
      <c r="E19" s="1">
        <v>10.177</v>
      </c>
      <c r="F19" s="1">
        <v>6.5359999999999996</v>
      </c>
      <c r="G19" s="8">
        <v>1</v>
      </c>
      <c r="H19" s="1">
        <v>180</v>
      </c>
      <c r="I19" s="1" t="s">
        <v>35</v>
      </c>
      <c r="J19" s="1"/>
      <c r="K19" s="1">
        <v>9.48</v>
      </c>
      <c r="L19" s="1">
        <f t="shared" si="2"/>
        <v>0.69699999999999918</v>
      </c>
      <c r="M19" s="1">
        <f t="shared" si="4"/>
        <v>10.177</v>
      </c>
      <c r="N19" s="1"/>
      <c r="O19" s="1"/>
      <c r="P19" s="1">
        <f t="shared" si="5"/>
        <v>2.0354000000000001</v>
      </c>
      <c r="Q19" s="5">
        <f>11*P19-F19</f>
        <v>15.853400000000002</v>
      </c>
      <c r="R19" s="5"/>
      <c r="S19" s="1"/>
      <c r="T19" s="1"/>
      <c r="U19" s="1">
        <f t="shared" si="7"/>
        <v>11</v>
      </c>
      <c r="V19" s="1">
        <f t="shared" si="8"/>
        <v>3.2111624250761519</v>
      </c>
      <c r="W19" s="1">
        <v>0.75679999999999992</v>
      </c>
      <c r="X19" s="1">
        <v>0.65860000000000007</v>
      </c>
      <c r="Y19" s="1">
        <v>1.8124</v>
      </c>
      <c r="Z19" s="1">
        <v>1.2986</v>
      </c>
      <c r="AA19" s="1">
        <v>0.2218</v>
      </c>
      <c r="AB19" s="1">
        <v>0.51839999999999997</v>
      </c>
      <c r="AC19" s="1">
        <v>1.1838</v>
      </c>
      <c r="AD19" s="1">
        <v>1.2063999999999999</v>
      </c>
      <c r="AE19" s="1"/>
      <c r="AF19" s="1">
        <f t="shared" si="3"/>
        <v>15.853400000000002</v>
      </c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" t="s">
        <v>50</v>
      </c>
      <c r="B20" s="1" t="s">
        <v>34</v>
      </c>
      <c r="C20" s="1">
        <v>2066.3359999999998</v>
      </c>
      <c r="D20" s="1">
        <v>1783.2249999999999</v>
      </c>
      <c r="E20" s="1">
        <v>1593.1020000000001</v>
      </c>
      <c r="F20" s="1">
        <v>2018.5150000000001</v>
      </c>
      <c r="G20" s="8">
        <v>1</v>
      </c>
      <c r="H20" s="1">
        <v>60</v>
      </c>
      <c r="I20" s="1" t="s">
        <v>35</v>
      </c>
      <c r="J20" s="1"/>
      <c r="K20" s="1">
        <v>1689.7449999999999</v>
      </c>
      <c r="L20" s="1">
        <f t="shared" si="2"/>
        <v>-96.642999999999802</v>
      </c>
      <c r="M20" s="1">
        <f t="shared" si="4"/>
        <v>1561.5620000000001</v>
      </c>
      <c r="N20" s="1">
        <v>31.54</v>
      </c>
      <c r="O20" s="1"/>
      <c r="P20" s="1">
        <f t="shared" si="5"/>
        <v>312.31240000000003</v>
      </c>
      <c r="Q20" s="5">
        <f t="shared" si="6"/>
        <v>2041.5462</v>
      </c>
      <c r="R20" s="5"/>
      <c r="S20" s="1"/>
      <c r="T20" s="1"/>
      <c r="U20" s="1">
        <f t="shared" si="7"/>
        <v>13</v>
      </c>
      <c r="V20" s="1">
        <f t="shared" si="8"/>
        <v>6.4631279449679226</v>
      </c>
      <c r="W20" s="1">
        <v>261.25799999999998</v>
      </c>
      <c r="X20" s="1">
        <v>258.31220000000002</v>
      </c>
      <c r="Y20" s="1">
        <v>255.6172</v>
      </c>
      <c r="Z20" s="1">
        <v>262.20699999999999</v>
      </c>
      <c r="AA20" s="1">
        <v>237.0258</v>
      </c>
      <c r="AB20" s="1">
        <v>241.30940000000001</v>
      </c>
      <c r="AC20" s="1">
        <v>266.0838</v>
      </c>
      <c r="AD20" s="1">
        <v>255.89400000000001</v>
      </c>
      <c r="AE20" s="11" t="s">
        <v>137</v>
      </c>
      <c r="AF20" s="1">
        <f t="shared" si="3"/>
        <v>2041.5462</v>
      </c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" t="s">
        <v>51</v>
      </c>
      <c r="B21" s="1" t="s">
        <v>34</v>
      </c>
      <c r="C21" s="1">
        <v>275.66399999999999</v>
      </c>
      <c r="D21" s="1">
        <v>550.07000000000005</v>
      </c>
      <c r="E21" s="1">
        <v>292.30799999999999</v>
      </c>
      <c r="F21" s="1">
        <v>472.303</v>
      </c>
      <c r="G21" s="8">
        <v>1</v>
      </c>
      <c r="H21" s="1">
        <v>60</v>
      </c>
      <c r="I21" s="1" t="s">
        <v>35</v>
      </c>
      <c r="J21" s="1"/>
      <c r="K21" s="1">
        <v>303.05500000000001</v>
      </c>
      <c r="L21" s="1">
        <f t="shared" si="2"/>
        <v>-10.747000000000014</v>
      </c>
      <c r="M21" s="1">
        <f t="shared" si="4"/>
        <v>271.428</v>
      </c>
      <c r="N21" s="1">
        <v>20.88</v>
      </c>
      <c r="O21" s="1"/>
      <c r="P21" s="1">
        <f t="shared" si="5"/>
        <v>54.285600000000002</v>
      </c>
      <c r="Q21" s="5">
        <f t="shared" si="6"/>
        <v>233.40980000000002</v>
      </c>
      <c r="R21" s="5"/>
      <c r="S21" s="1"/>
      <c r="T21" s="1"/>
      <c r="U21" s="1">
        <f t="shared" si="7"/>
        <v>13</v>
      </c>
      <c r="V21" s="1">
        <f t="shared" si="8"/>
        <v>8.7003367375510265</v>
      </c>
      <c r="W21" s="1">
        <v>54.360799999999998</v>
      </c>
      <c r="X21" s="1">
        <v>51.039599999999993</v>
      </c>
      <c r="Y21" s="1">
        <v>42.496600000000001</v>
      </c>
      <c r="Z21" s="1">
        <v>36.841000000000001</v>
      </c>
      <c r="AA21" s="1">
        <v>46.499399999999987</v>
      </c>
      <c r="AB21" s="1">
        <v>51.252599999999987</v>
      </c>
      <c r="AC21" s="1">
        <v>48.412199999999999</v>
      </c>
      <c r="AD21" s="1">
        <v>48.023200000000003</v>
      </c>
      <c r="AE21" s="1"/>
      <c r="AF21" s="1">
        <f t="shared" si="3"/>
        <v>233.40980000000002</v>
      </c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 t="s">
        <v>52</v>
      </c>
      <c r="B22" s="1" t="s">
        <v>34</v>
      </c>
      <c r="C22" s="1">
        <v>350.71899999999999</v>
      </c>
      <c r="D22" s="1">
        <v>273.68</v>
      </c>
      <c r="E22" s="1">
        <v>238.726</v>
      </c>
      <c r="F22" s="1">
        <v>333.99099999999999</v>
      </c>
      <c r="G22" s="8">
        <v>1</v>
      </c>
      <c r="H22" s="1">
        <v>60</v>
      </c>
      <c r="I22" s="1" t="s">
        <v>35</v>
      </c>
      <c r="J22" s="1"/>
      <c r="K22" s="1">
        <v>240.42</v>
      </c>
      <c r="L22" s="1">
        <f t="shared" si="2"/>
        <v>-1.6939999999999884</v>
      </c>
      <c r="M22" s="1">
        <f t="shared" si="4"/>
        <v>238.726</v>
      </c>
      <c r="N22" s="1"/>
      <c r="O22" s="1"/>
      <c r="P22" s="1">
        <f t="shared" si="5"/>
        <v>47.745199999999997</v>
      </c>
      <c r="Q22" s="5">
        <f t="shared" si="6"/>
        <v>286.69659999999999</v>
      </c>
      <c r="R22" s="5"/>
      <c r="S22" s="1"/>
      <c r="T22" s="1"/>
      <c r="U22" s="1">
        <f t="shared" si="7"/>
        <v>13</v>
      </c>
      <c r="V22" s="1">
        <f t="shared" si="8"/>
        <v>6.9952791065908198</v>
      </c>
      <c r="W22" s="1">
        <v>42.707999999999998</v>
      </c>
      <c r="X22" s="1">
        <v>39.196599999999997</v>
      </c>
      <c r="Y22" s="1">
        <v>41.993400000000001</v>
      </c>
      <c r="Z22" s="1">
        <v>38.009399999999999</v>
      </c>
      <c r="AA22" s="1">
        <v>35.380800000000001</v>
      </c>
      <c r="AB22" s="1">
        <v>39.007599999999996</v>
      </c>
      <c r="AC22" s="1">
        <v>40.718800000000002</v>
      </c>
      <c r="AD22" s="1">
        <v>40.025399999999998</v>
      </c>
      <c r="AE22" s="1"/>
      <c r="AF22" s="1">
        <f t="shared" si="3"/>
        <v>286.69659999999999</v>
      </c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" t="s">
        <v>53</v>
      </c>
      <c r="B23" s="1" t="s">
        <v>34</v>
      </c>
      <c r="C23" s="1">
        <v>17.234000000000002</v>
      </c>
      <c r="D23" s="1">
        <v>0.35399999999999998</v>
      </c>
      <c r="E23" s="1">
        <v>13.273999999999999</v>
      </c>
      <c r="F23" s="1">
        <v>-0.93899999999999995</v>
      </c>
      <c r="G23" s="8">
        <v>1</v>
      </c>
      <c r="H23" s="1">
        <v>180</v>
      </c>
      <c r="I23" s="1" t="s">
        <v>35</v>
      </c>
      <c r="J23" s="1"/>
      <c r="K23" s="1">
        <v>13.907999999999999</v>
      </c>
      <c r="L23" s="1">
        <f t="shared" si="2"/>
        <v>-0.63400000000000034</v>
      </c>
      <c r="M23" s="1">
        <f t="shared" si="4"/>
        <v>13.273999999999999</v>
      </c>
      <c r="N23" s="1"/>
      <c r="O23" s="1"/>
      <c r="P23" s="1">
        <f t="shared" si="5"/>
        <v>2.6547999999999998</v>
      </c>
      <c r="Q23" s="5">
        <f>8*P23-F23</f>
        <v>22.177399999999999</v>
      </c>
      <c r="R23" s="5"/>
      <c r="S23" s="1"/>
      <c r="T23" s="1"/>
      <c r="U23" s="1">
        <f t="shared" si="7"/>
        <v>8</v>
      </c>
      <c r="V23" s="1">
        <f t="shared" si="8"/>
        <v>-0.35369896037366283</v>
      </c>
      <c r="W23" s="1">
        <v>1.0336000000000001</v>
      </c>
      <c r="X23" s="1">
        <v>0.96579999999999999</v>
      </c>
      <c r="Y23" s="1">
        <v>1.7390000000000001</v>
      </c>
      <c r="Z23" s="1">
        <v>1.0544</v>
      </c>
      <c r="AA23" s="1">
        <v>0.64759999999999995</v>
      </c>
      <c r="AB23" s="1">
        <v>1.01</v>
      </c>
      <c r="AC23" s="1">
        <v>1.0067999999999999</v>
      </c>
      <c r="AD23" s="1">
        <v>1.1636</v>
      </c>
      <c r="AE23" s="1"/>
      <c r="AF23" s="1">
        <f t="shared" si="3"/>
        <v>22.177399999999999</v>
      </c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 t="s">
        <v>54</v>
      </c>
      <c r="B24" s="1" t="s">
        <v>34</v>
      </c>
      <c r="C24" s="1">
        <v>920.947</v>
      </c>
      <c r="D24" s="1">
        <v>642.42999999999995</v>
      </c>
      <c r="E24" s="1">
        <v>619.64</v>
      </c>
      <c r="F24" s="1">
        <v>819.27099999999996</v>
      </c>
      <c r="G24" s="8">
        <v>1</v>
      </c>
      <c r="H24" s="1">
        <v>60</v>
      </c>
      <c r="I24" s="1" t="s">
        <v>35</v>
      </c>
      <c r="J24" s="1"/>
      <c r="K24" s="1">
        <v>624.12</v>
      </c>
      <c r="L24" s="1">
        <f t="shared" si="2"/>
        <v>-4.4800000000000182</v>
      </c>
      <c r="M24" s="1">
        <f t="shared" si="4"/>
        <v>619.64</v>
      </c>
      <c r="N24" s="1"/>
      <c r="O24" s="1"/>
      <c r="P24" s="1">
        <f t="shared" si="5"/>
        <v>123.928</v>
      </c>
      <c r="Q24" s="5">
        <f t="shared" si="6"/>
        <v>791.79299999999989</v>
      </c>
      <c r="R24" s="5"/>
      <c r="S24" s="1"/>
      <c r="T24" s="1"/>
      <c r="U24" s="1">
        <f t="shared" si="7"/>
        <v>12.999999999999998</v>
      </c>
      <c r="V24" s="1">
        <f t="shared" si="8"/>
        <v>6.6108627590213667</v>
      </c>
      <c r="W24" s="1">
        <v>105.0656</v>
      </c>
      <c r="X24" s="1">
        <v>103.96639999999999</v>
      </c>
      <c r="Y24" s="1">
        <v>113.941</v>
      </c>
      <c r="Z24" s="1">
        <v>109.06740000000001</v>
      </c>
      <c r="AA24" s="1">
        <v>94.770799999999994</v>
      </c>
      <c r="AB24" s="1">
        <v>103.97539999999999</v>
      </c>
      <c r="AC24" s="1">
        <v>107.18980000000001</v>
      </c>
      <c r="AD24" s="1">
        <v>114.184</v>
      </c>
      <c r="AE24" s="11" t="s">
        <v>137</v>
      </c>
      <c r="AF24" s="1">
        <f t="shared" si="3"/>
        <v>791.79299999999989</v>
      </c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" t="s">
        <v>55</v>
      </c>
      <c r="B25" s="1" t="s">
        <v>34</v>
      </c>
      <c r="C25" s="1">
        <v>258.13900000000001</v>
      </c>
      <c r="D25" s="1">
        <v>321.05</v>
      </c>
      <c r="E25" s="1">
        <v>232.47</v>
      </c>
      <c r="F25" s="1">
        <v>292.00599999999997</v>
      </c>
      <c r="G25" s="8">
        <v>1</v>
      </c>
      <c r="H25" s="1">
        <v>30</v>
      </c>
      <c r="I25" s="1" t="s">
        <v>35</v>
      </c>
      <c r="J25" s="1"/>
      <c r="K25" s="1">
        <v>250.02699999999999</v>
      </c>
      <c r="L25" s="1">
        <f t="shared" si="2"/>
        <v>-17.556999999999988</v>
      </c>
      <c r="M25" s="1">
        <f t="shared" si="4"/>
        <v>216.44299999999998</v>
      </c>
      <c r="N25" s="1">
        <v>16.027000000000001</v>
      </c>
      <c r="O25" s="1"/>
      <c r="P25" s="1">
        <f t="shared" si="5"/>
        <v>43.288599999999995</v>
      </c>
      <c r="Q25" s="5">
        <f>11*P25-F25</f>
        <v>184.16859999999997</v>
      </c>
      <c r="R25" s="5"/>
      <c r="S25" s="1"/>
      <c r="T25" s="1"/>
      <c r="U25" s="1">
        <f t="shared" si="7"/>
        <v>11</v>
      </c>
      <c r="V25" s="1">
        <f t="shared" si="8"/>
        <v>6.7455634970869927</v>
      </c>
      <c r="W25" s="1">
        <v>49.251600000000003</v>
      </c>
      <c r="X25" s="1">
        <v>45.033000000000001</v>
      </c>
      <c r="Y25" s="1">
        <v>42.228999999999999</v>
      </c>
      <c r="Z25" s="1">
        <v>40.580199999999998</v>
      </c>
      <c r="AA25" s="1">
        <v>40.481999999999999</v>
      </c>
      <c r="AB25" s="1">
        <v>44.878</v>
      </c>
      <c r="AC25" s="1">
        <v>42.4694</v>
      </c>
      <c r="AD25" s="1">
        <v>43.450599999999987</v>
      </c>
      <c r="AE25" s="1"/>
      <c r="AF25" s="1">
        <f t="shared" si="3"/>
        <v>184.16859999999997</v>
      </c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" t="s">
        <v>56</v>
      </c>
      <c r="B26" s="1" t="s">
        <v>34</v>
      </c>
      <c r="C26" s="1">
        <v>260.67500000000001</v>
      </c>
      <c r="D26" s="1">
        <v>97.388000000000005</v>
      </c>
      <c r="E26" s="1">
        <v>170.09399999999999</v>
      </c>
      <c r="F26" s="1">
        <v>150.19200000000001</v>
      </c>
      <c r="G26" s="8">
        <v>1</v>
      </c>
      <c r="H26" s="1">
        <v>30</v>
      </c>
      <c r="I26" s="1" t="s">
        <v>35</v>
      </c>
      <c r="J26" s="1"/>
      <c r="K26" s="1">
        <v>173.2</v>
      </c>
      <c r="L26" s="1">
        <f t="shared" si="2"/>
        <v>-3.1059999999999945</v>
      </c>
      <c r="M26" s="1">
        <f t="shared" si="4"/>
        <v>170.09399999999999</v>
      </c>
      <c r="N26" s="1"/>
      <c r="O26" s="1"/>
      <c r="P26" s="1">
        <f t="shared" si="5"/>
        <v>34.018799999999999</v>
      </c>
      <c r="Q26" s="5">
        <f>10*P26-F26</f>
        <v>189.99599999999998</v>
      </c>
      <c r="R26" s="5"/>
      <c r="S26" s="1"/>
      <c r="T26" s="1"/>
      <c r="U26" s="1">
        <f t="shared" si="7"/>
        <v>10</v>
      </c>
      <c r="V26" s="1">
        <f t="shared" si="8"/>
        <v>4.4149705456982611</v>
      </c>
      <c r="W26" s="1">
        <v>32.119599999999998</v>
      </c>
      <c r="X26" s="1">
        <v>32.944599999999987</v>
      </c>
      <c r="Y26" s="1">
        <v>35.842799999999997</v>
      </c>
      <c r="Z26" s="1">
        <v>31.335999999999999</v>
      </c>
      <c r="AA26" s="1">
        <v>31.9438</v>
      </c>
      <c r="AB26" s="1">
        <v>32.544400000000003</v>
      </c>
      <c r="AC26" s="1">
        <v>33.5578</v>
      </c>
      <c r="AD26" s="1">
        <v>41.352999999999987</v>
      </c>
      <c r="AE26" s="1"/>
      <c r="AF26" s="1">
        <f t="shared" si="3"/>
        <v>189.99599999999998</v>
      </c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 t="s">
        <v>57</v>
      </c>
      <c r="B27" s="1" t="s">
        <v>34</v>
      </c>
      <c r="C27" s="1">
        <v>1149.3050000000001</v>
      </c>
      <c r="D27" s="1">
        <v>685.12099999999998</v>
      </c>
      <c r="E27" s="1">
        <v>823.26300000000003</v>
      </c>
      <c r="F27" s="1">
        <v>922.86300000000006</v>
      </c>
      <c r="G27" s="8">
        <v>1</v>
      </c>
      <c r="H27" s="1">
        <v>30</v>
      </c>
      <c r="I27" s="1" t="s">
        <v>35</v>
      </c>
      <c r="J27" s="1"/>
      <c r="K27" s="1">
        <v>833.00400000000002</v>
      </c>
      <c r="L27" s="1">
        <f t="shared" si="2"/>
        <v>-9.7409999999999854</v>
      </c>
      <c r="M27" s="1">
        <f t="shared" si="4"/>
        <v>823.26300000000003</v>
      </c>
      <c r="N27" s="1"/>
      <c r="O27" s="1"/>
      <c r="P27" s="1">
        <f t="shared" si="5"/>
        <v>164.65260000000001</v>
      </c>
      <c r="Q27" s="5">
        <f>11*P27-F27</f>
        <v>888.31560000000013</v>
      </c>
      <c r="R27" s="5"/>
      <c r="S27" s="1"/>
      <c r="T27" s="1"/>
      <c r="U27" s="1">
        <f t="shared" si="7"/>
        <v>11</v>
      </c>
      <c r="V27" s="1">
        <f t="shared" si="8"/>
        <v>5.6049099740909041</v>
      </c>
      <c r="W27" s="1">
        <v>162.02099999999999</v>
      </c>
      <c r="X27" s="1">
        <v>164.52979999999999</v>
      </c>
      <c r="Y27" s="1">
        <v>170.48519999999999</v>
      </c>
      <c r="Z27" s="1">
        <v>169.26339999999999</v>
      </c>
      <c r="AA27" s="1">
        <v>161.17760000000001</v>
      </c>
      <c r="AB27" s="1">
        <v>165.77279999999999</v>
      </c>
      <c r="AC27" s="1">
        <v>179.8784</v>
      </c>
      <c r="AD27" s="1">
        <v>170.97020000000001</v>
      </c>
      <c r="AE27" s="11" t="s">
        <v>137</v>
      </c>
      <c r="AF27" s="1">
        <f t="shared" si="3"/>
        <v>888.31560000000013</v>
      </c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 t="s">
        <v>58</v>
      </c>
      <c r="B28" s="1" t="s">
        <v>34</v>
      </c>
      <c r="C28" s="1">
        <v>31.006</v>
      </c>
      <c r="D28" s="1">
        <v>7.8330000000000002</v>
      </c>
      <c r="E28" s="1">
        <v>21.283000000000001</v>
      </c>
      <c r="F28" s="1">
        <v>14.243</v>
      </c>
      <c r="G28" s="8">
        <v>1</v>
      </c>
      <c r="H28" s="1">
        <v>45</v>
      </c>
      <c r="I28" s="1" t="s">
        <v>35</v>
      </c>
      <c r="J28" s="1"/>
      <c r="K28" s="1">
        <v>23.7</v>
      </c>
      <c r="L28" s="1">
        <f t="shared" si="2"/>
        <v>-2.416999999999998</v>
      </c>
      <c r="M28" s="1">
        <f t="shared" si="4"/>
        <v>21.283000000000001</v>
      </c>
      <c r="N28" s="1"/>
      <c r="O28" s="1"/>
      <c r="P28" s="1">
        <f t="shared" si="5"/>
        <v>4.2566000000000006</v>
      </c>
      <c r="Q28" s="5">
        <f>11*P28-F28</f>
        <v>32.579600000000006</v>
      </c>
      <c r="R28" s="5"/>
      <c r="S28" s="1"/>
      <c r="T28" s="1"/>
      <c r="U28" s="1">
        <f t="shared" si="7"/>
        <v>11</v>
      </c>
      <c r="V28" s="1">
        <f t="shared" si="8"/>
        <v>3.3460978245548088</v>
      </c>
      <c r="W28" s="1">
        <v>1.9974000000000001</v>
      </c>
      <c r="X28" s="1">
        <v>2.797400000000001</v>
      </c>
      <c r="Y28" s="1">
        <v>5.7324000000000002</v>
      </c>
      <c r="Z28" s="1">
        <v>2.7198000000000002</v>
      </c>
      <c r="AA28" s="1">
        <v>2.9620000000000002</v>
      </c>
      <c r="AB28" s="1">
        <v>3.5964</v>
      </c>
      <c r="AC28" s="1">
        <v>2.8079999999999998</v>
      </c>
      <c r="AD28" s="1">
        <v>2.4186000000000001</v>
      </c>
      <c r="AE28" s="1"/>
      <c r="AF28" s="1">
        <f t="shared" si="3"/>
        <v>32.579600000000006</v>
      </c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 t="s">
        <v>59</v>
      </c>
      <c r="B29" s="1" t="s">
        <v>34</v>
      </c>
      <c r="C29" s="1">
        <v>9.2319999999999993</v>
      </c>
      <c r="D29" s="1">
        <v>44.887999999999998</v>
      </c>
      <c r="E29" s="1">
        <v>13.013</v>
      </c>
      <c r="F29" s="1">
        <v>39.588999999999999</v>
      </c>
      <c r="G29" s="8">
        <v>1</v>
      </c>
      <c r="H29" s="1">
        <v>40</v>
      </c>
      <c r="I29" s="1" t="s">
        <v>35</v>
      </c>
      <c r="J29" s="1"/>
      <c r="K29" s="1">
        <v>16.899999999999999</v>
      </c>
      <c r="L29" s="1">
        <f t="shared" si="2"/>
        <v>-3.8869999999999987</v>
      </c>
      <c r="M29" s="1">
        <f t="shared" si="4"/>
        <v>13.013</v>
      </c>
      <c r="N29" s="1"/>
      <c r="O29" s="1"/>
      <c r="P29" s="1">
        <f t="shared" si="5"/>
        <v>2.6025999999999998</v>
      </c>
      <c r="Q29" s="5"/>
      <c r="R29" s="5"/>
      <c r="S29" s="1"/>
      <c r="T29" s="1"/>
      <c r="U29" s="1">
        <f t="shared" si="7"/>
        <v>15.211327134404058</v>
      </c>
      <c r="V29" s="1">
        <f t="shared" si="8"/>
        <v>15.211327134404058</v>
      </c>
      <c r="W29" s="1">
        <v>3.7467999999999999</v>
      </c>
      <c r="X29" s="1">
        <v>3.1909999999999998</v>
      </c>
      <c r="Y29" s="1">
        <v>2.1383999999999999</v>
      </c>
      <c r="Z29" s="1">
        <v>2.7206000000000001</v>
      </c>
      <c r="AA29" s="1">
        <v>2.9420000000000002</v>
      </c>
      <c r="AB29" s="1">
        <v>3.2292000000000001</v>
      </c>
      <c r="AC29" s="1">
        <v>3.5019999999999998</v>
      </c>
      <c r="AD29" s="1">
        <v>4.3224</v>
      </c>
      <c r="AE29" s="1"/>
      <c r="AF29" s="1">
        <f t="shared" si="3"/>
        <v>0</v>
      </c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 t="s">
        <v>60</v>
      </c>
      <c r="B30" s="1" t="s">
        <v>34</v>
      </c>
      <c r="C30" s="1">
        <v>258.71499999999997</v>
      </c>
      <c r="D30" s="1">
        <v>217.50800000000001</v>
      </c>
      <c r="E30" s="1">
        <v>172.964</v>
      </c>
      <c r="F30" s="1">
        <v>274.18099999999998</v>
      </c>
      <c r="G30" s="8">
        <v>1</v>
      </c>
      <c r="H30" s="1">
        <v>30</v>
      </c>
      <c r="I30" s="1" t="s">
        <v>35</v>
      </c>
      <c r="J30" s="1"/>
      <c r="K30" s="1">
        <v>164.7</v>
      </c>
      <c r="L30" s="1">
        <f t="shared" si="2"/>
        <v>8.26400000000001</v>
      </c>
      <c r="M30" s="1">
        <f t="shared" si="4"/>
        <v>172.964</v>
      </c>
      <c r="N30" s="1"/>
      <c r="O30" s="1"/>
      <c r="P30" s="1">
        <f t="shared" si="5"/>
        <v>34.592799999999997</v>
      </c>
      <c r="Q30" s="5">
        <f>11*P30-F30</f>
        <v>106.33979999999997</v>
      </c>
      <c r="R30" s="5"/>
      <c r="S30" s="1"/>
      <c r="T30" s="1"/>
      <c r="U30" s="1">
        <f t="shared" si="7"/>
        <v>11</v>
      </c>
      <c r="V30" s="1">
        <f t="shared" si="8"/>
        <v>7.9259556902014294</v>
      </c>
      <c r="W30" s="1">
        <v>37.761600000000001</v>
      </c>
      <c r="X30" s="1">
        <v>42.185400000000001</v>
      </c>
      <c r="Y30" s="1">
        <v>38.101199999999999</v>
      </c>
      <c r="Z30" s="1">
        <v>34.8782</v>
      </c>
      <c r="AA30" s="1">
        <v>30.7776</v>
      </c>
      <c r="AB30" s="1">
        <v>31.29</v>
      </c>
      <c r="AC30" s="1">
        <v>35.423999999999999</v>
      </c>
      <c r="AD30" s="1">
        <v>33.455800000000004</v>
      </c>
      <c r="AE30" s="1"/>
      <c r="AF30" s="1">
        <f t="shared" si="3"/>
        <v>106.33979999999997</v>
      </c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5" t="s">
        <v>61</v>
      </c>
      <c r="B31" s="15" t="s">
        <v>34</v>
      </c>
      <c r="C31" s="15"/>
      <c r="D31" s="15"/>
      <c r="E31" s="15"/>
      <c r="F31" s="15"/>
      <c r="G31" s="16">
        <v>0</v>
      </c>
      <c r="H31" s="15">
        <v>50</v>
      </c>
      <c r="I31" s="15" t="s">
        <v>35</v>
      </c>
      <c r="J31" s="15"/>
      <c r="K31" s="15"/>
      <c r="L31" s="15">
        <f t="shared" si="2"/>
        <v>0</v>
      </c>
      <c r="M31" s="15">
        <f t="shared" si="4"/>
        <v>0</v>
      </c>
      <c r="N31" s="15"/>
      <c r="O31" s="15"/>
      <c r="P31" s="15">
        <f t="shared" si="5"/>
        <v>0</v>
      </c>
      <c r="Q31" s="17"/>
      <c r="R31" s="17"/>
      <c r="S31" s="15"/>
      <c r="T31" s="15"/>
      <c r="U31" s="15" t="e">
        <f t="shared" si="7"/>
        <v>#DIV/0!</v>
      </c>
      <c r="V31" s="15" t="e">
        <f t="shared" si="8"/>
        <v>#DIV/0!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 t="s">
        <v>62</v>
      </c>
      <c r="AF31" s="15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5" t="s">
        <v>63</v>
      </c>
      <c r="B32" s="15" t="s">
        <v>34</v>
      </c>
      <c r="C32" s="15"/>
      <c r="D32" s="15"/>
      <c r="E32" s="15"/>
      <c r="F32" s="15"/>
      <c r="G32" s="16">
        <v>0</v>
      </c>
      <c r="H32" s="15">
        <v>50</v>
      </c>
      <c r="I32" s="15" t="s">
        <v>35</v>
      </c>
      <c r="J32" s="15"/>
      <c r="K32" s="15"/>
      <c r="L32" s="15">
        <f t="shared" si="2"/>
        <v>0</v>
      </c>
      <c r="M32" s="15">
        <f t="shared" si="4"/>
        <v>0</v>
      </c>
      <c r="N32" s="15"/>
      <c r="O32" s="15"/>
      <c r="P32" s="15">
        <f t="shared" si="5"/>
        <v>0</v>
      </c>
      <c r="Q32" s="17"/>
      <c r="R32" s="17"/>
      <c r="S32" s="15"/>
      <c r="T32" s="15"/>
      <c r="U32" s="15" t="e">
        <f t="shared" si="7"/>
        <v>#DIV/0!</v>
      </c>
      <c r="V32" s="15" t="e">
        <f t="shared" si="8"/>
        <v>#DIV/0!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 t="s">
        <v>62</v>
      </c>
      <c r="AF32" s="15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" t="s">
        <v>64</v>
      </c>
      <c r="B33" s="1" t="s">
        <v>39</v>
      </c>
      <c r="C33" s="1">
        <v>3448</v>
      </c>
      <c r="D33" s="1">
        <v>4329</v>
      </c>
      <c r="E33" s="1">
        <v>2751</v>
      </c>
      <c r="F33" s="1">
        <v>4678</v>
      </c>
      <c r="G33" s="8">
        <v>0.4</v>
      </c>
      <c r="H33" s="1">
        <v>45</v>
      </c>
      <c r="I33" s="1" t="s">
        <v>35</v>
      </c>
      <c r="J33" s="1"/>
      <c r="K33" s="1">
        <v>2811</v>
      </c>
      <c r="L33" s="1">
        <f t="shared" si="2"/>
        <v>-60</v>
      </c>
      <c r="M33" s="1">
        <f t="shared" si="4"/>
        <v>2703</v>
      </c>
      <c r="N33" s="1">
        <v>48</v>
      </c>
      <c r="O33" s="1"/>
      <c r="P33" s="1">
        <f t="shared" si="5"/>
        <v>540.6</v>
      </c>
      <c r="Q33" s="5">
        <f t="shared" ref="Q33:Q47" si="9">13*P33-F33</f>
        <v>2349.8000000000002</v>
      </c>
      <c r="R33" s="5"/>
      <c r="S33" s="1"/>
      <c r="T33" s="1"/>
      <c r="U33" s="1">
        <f t="shared" si="7"/>
        <v>13</v>
      </c>
      <c r="V33" s="1">
        <f t="shared" si="8"/>
        <v>8.6533481317055116</v>
      </c>
      <c r="W33" s="1">
        <v>547</v>
      </c>
      <c r="X33" s="1">
        <v>536.6</v>
      </c>
      <c r="Y33" s="1">
        <v>529.79999999999995</v>
      </c>
      <c r="Z33" s="1">
        <v>568.79999999999995</v>
      </c>
      <c r="AA33" s="1">
        <v>505.2</v>
      </c>
      <c r="AB33" s="1">
        <v>495.2</v>
      </c>
      <c r="AC33" s="1">
        <v>495.8</v>
      </c>
      <c r="AD33" s="1">
        <v>468.8</v>
      </c>
      <c r="AE33" s="11" t="s">
        <v>138</v>
      </c>
      <c r="AF33" s="1">
        <f t="shared" ref="AF33:AF47" si="10">G33*Q33</f>
        <v>939.92000000000007</v>
      </c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" t="s">
        <v>65</v>
      </c>
      <c r="B34" s="1" t="s">
        <v>39</v>
      </c>
      <c r="C34" s="1">
        <v>564</v>
      </c>
      <c r="D34" s="1">
        <v>1291</v>
      </c>
      <c r="E34" s="1">
        <v>699</v>
      </c>
      <c r="F34" s="1">
        <v>962</v>
      </c>
      <c r="G34" s="8">
        <v>0.45</v>
      </c>
      <c r="H34" s="1">
        <v>50</v>
      </c>
      <c r="I34" s="1" t="s">
        <v>35</v>
      </c>
      <c r="J34" s="1"/>
      <c r="K34" s="1">
        <v>709</v>
      </c>
      <c r="L34" s="1">
        <f t="shared" si="2"/>
        <v>-10</v>
      </c>
      <c r="M34" s="1">
        <f t="shared" si="4"/>
        <v>689</v>
      </c>
      <c r="N34" s="1">
        <v>10</v>
      </c>
      <c r="O34" s="1"/>
      <c r="P34" s="1">
        <f t="shared" si="5"/>
        <v>137.80000000000001</v>
      </c>
      <c r="Q34" s="5">
        <f t="shared" si="9"/>
        <v>829.40000000000009</v>
      </c>
      <c r="R34" s="5"/>
      <c r="S34" s="1"/>
      <c r="T34" s="1"/>
      <c r="U34" s="1">
        <f t="shared" si="7"/>
        <v>13</v>
      </c>
      <c r="V34" s="1">
        <f t="shared" si="8"/>
        <v>6.9811320754716979</v>
      </c>
      <c r="W34" s="1">
        <v>120.6</v>
      </c>
      <c r="X34" s="1">
        <v>117.2</v>
      </c>
      <c r="Y34" s="1">
        <v>87</v>
      </c>
      <c r="Z34" s="1">
        <v>88.6</v>
      </c>
      <c r="AA34" s="1">
        <v>109.8</v>
      </c>
      <c r="AB34" s="1">
        <v>102</v>
      </c>
      <c r="AC34" s="1">
        <v>103</v>
      </c>
      <c r="AD34" s="1">
        <v>92</v>
      </c>
      <c r="AE34" s="1" t="s">
        <v>66</v>
      </c>
      <c r="AF34" s="1">
        <f t="shared" si="10"/>
        <v>373.23000000000008</v>
      </c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" t="s">
        <v>67</v>
      </c>
      <c r="B35" s="1" t="s">
        <v>39</v>
      </c>
      <c r="C35" s="1">
        <v>2445</v>
      </c>
      <c r="D35" s="1">
        <v>2160</v>
      </c>
      <c r="E35" s="1">
        <v>1706</v>
      </c>
      <c r="F35" s="1">
        <v>2638</v>
      </c>
      <c r="G35" s="8">
        <v>0.4</v>
      </c>
      <c r="H35" s="1">
        <v>45</v>
      </c>
      <c r="I35" s="1" t="s">
        <v>35</v>
      </c>
      <c r="J35" s="1"/>
      <c r="K35" s="1">
        <v>1762</v>
      </c>
      <c r="L35" s="1">
        <f t="shared" si="2"/>
        <v>-56</v>
      </c>
      <c r="M35" s="1">
        <f t="shared" si="4"/>
        <v>1706</v>
      </c>
      <c r="N35" s="1"/>
      <c r="O35" s="1"/>
      <c r="P35" s="1">
        <f t="shared" si="5"/>
        <v>341.2</v>
      </c>
      <c r="Q35" s="5">
        <f t="shared" si="9"/>
        <v>1797.5999999999995</v>
      </c>
      <c r="R35" s="5"/>
      <c r="S35" s="1"/>
      <c r="T35" s="1"/>
      <c r="U35" s="1">
        <f t="shared" si="7"/>
        <v>12.999999999999998</v>
      </c>
      <c r="V35" s="1">
        <f t="shared" si="8"/>
        <v>7.7315357561547486</v>
      </c>
      <c r="W35" s="1">
        <v>319.2</v>
      </c>
      <c r="X35" s="1">
        <v>311.39999999999998</v>
      </c>
      <c r="Y35" s="1">
        <v>339.4</v>
      </c>
      <c r="Z35" s="1">
        <v>353.8</v>
      </c>
      <c r="AA35" s="1">
        <v>297.39999999999998</v>
      </c>
      <c r="AB35" s="1">
        <v>270.39999999999998</v>
      </c>
      <c r="AC35" s="1">
        <v>274.39999999999998</v>
      </c>
      <c r="AD35" s="1">
        <v>259.2</v>
      </c>
      <c r="AE35" s="1" t="s">
        <v>68</v>
      </c>
      <c r="AF35" s="1">
        <f t="shared" si="10"/>
        <v>719.03999999999985</v>
      </c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 t="s">
        <v>69</v>
      </c>
      <c r="B36" s="1" t="s">
        <v>39</v>
      </c>
      <c r="C36" s="1">
        <v>29</v>
      </c>
      <c r="D36" s="1">
        <v>102</v>
      </c>
      <c r="E36" s="1">
        <v>14</v>
      </c>
      <c r="F36" s="1">
        <v>112</v>
      </c>
      <c r="G36" s="8">
        <v>0.4</v>
      </c>
      <c r="H36" s="1">
        <v>40</v>
      </c>
      <c r="I36" s="1" t="s">
        <v>35</v>
      </c>
      <c r="J36" s="1"/>
      <c r="K36" s="1">
        <v>66</v>
      </c>
      <c r="L36" s="1">
        <f t="shared" si="2"/>
        <v>-52</v>
      </c>
      <c r="M36" s="1">
        <f t="shared" si="4"/>
        <v>14</v>
      </c>
      <c r="N36" s="1"/>
      <c r="O36" s="1"/>
      <c r="P36" s="1">
        <f t="shared" si="5"/>
        <v>2.8</v>
      </c>
      <c r="Q36" s="5"/>
      <c r="R36" s="5"/>
      <c r="S36" s="1"/>
      <c r="T36" s="1"/>
      <c r="U36" s="1">
        <f t="shared" si="7"/>
        <v>40</v>
      </c>
      <c r="V36" s="1">
        <f t="shared" si="8"/>
        <v>40</v>
      </c>
      <c r="W36" s="1">
        <v>10.4</v>
      </c>
      <c r="X36" s="1">
        <v>12.8</v>
      </c>
      <c r="Y36" s="1">
        <v>6.6</v>
      </c>
      <c r="Z36" s="1">
        <v>4.2</v>
      </c>
      <c r="AA36" s="1">
        <v>8.8000000000000007</v>
      </c>
      <c r="AB36" s="1">
        <v>8.4</v>
      </c>
      <c r="AC36" s="1">
        <v>6.2</v>
      </c>
      <c r="AD36" s="1">
        <v>6.8</v>
      </c>
      <c r="AE36" s="20" t="s">
        <v>139</v>
      </c>
      <c r="AF36" s="1">
        <f t="shared" si="10"/>
        <v>0</v>
      </c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 t="s">
        <v>70</v>
      </c>
      <c r="B37" s="1" t="s">
        <v>34</v>
      </c>
      <c r="C37" s="1">
        <v>937.51800000000003</v>
      </c>
      <c r="D37" s="1">
        <v>109.47</v>
      </c>
      <c r="E37" s="1">
        <v>345.35</v>
      </c>
      <c r="F37" s="1">
        <v>616.00900000000001</v>
      </c>
      <c r="G37" s="8">
        <v>1</v>
      </c>
      <c r="H37" s="1">
        <v>45</v>
      </c>
      <c r="I37" s="1" t="s">
        <v>35</v>
      </c>
      <c r="J37" s="1"/>
      <c r="K37" s="1">
        <v>388.80200000000002</v>
      </c>
      <c r="L37" s="1">
        <f t="shared" si="2"/>
        <v>-43.451999999999998</v>
      </c>
      <c r="M37" s="1">
        <f t="shared" si="4"/>
        <v>345.35</v>
      </c>
      <c r="N37" s="1"/>
      <c r="O37" s="1"/>
      <c r="P37" s="1">
        <f t="shared" si="5"/>
        <v>69.070000000000007</v>
      </c>
      <c r="Q37" s="5">
        <f t="shared" si="9"/>
        <v>281.90100000000007</v>
      </c>
      <c r="R37" s="5"/>
      <c r="S37" s="1"/>
      <c r="T37" s="1"/>
      <c r="U37" s="1">
        <f t="shared" si="7"/>
        <v>13</v>
      </c>
      <c r="V37" s="1">
        <f t="shared" si="8"/>
        <v>8.9186187925293172</v>
      </c>
      <c r="W37" s="1">
        <v>69.38300000000001</v>
      </c>
      <c r="X37" s="1">
        <v>68.669000000000011</v>
      </c>
      <c r="Y37" s="1">
        <v>105.89400000000001</v>
      </c>
      <c r="Z37" s="1">
        <v>90.141199999999998</v>
      </c>
      <c r="AA37" s="1">
        <v>78.867400000000004</v>
      </c>
      <c r="AB37" s="1">
        <v>82.456600000000009</v>
      </c>
      <c r="AC37" s="1">
        <v>76.686800000000005</v>
      </c>
      <c r="AD37" s="1">
        <v>76.649799999999999</v>
      </c>
      <c r="AE37" s="1"/>
      <c r="AF37" s="1">
        <f t="shared" si="10"/>
        <v>281.90100000000007</v>
      </c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" t="s">
        <v>71</v>
      </c>
      <c r="B38" s="1" t="s">
        <v>39</v>
      </c>
      <c r="C38" s="1">
        <v>532</v>
      </c>
      <c r="D38" s="1">
        <v>20</v>
      </c>
      <c r="E38" s="1">
        <v>214</v>
      </c>
      <c r="F38" s="1">
        <v>304</v>
      </c>
      <c r="G38" s="8">
        <v>0.1</v>
      </c>
      <c r="H38" s="1">
        <v>730</v>
      </c>
      <c r="I38" s="1" t="s">
        <v>35</v>
      </c>
      <c r="J38" s="1"/>
      <c r="K38" s="1">
        <v>215</v>
      </c>
      <c r="L38" s="1">
        <f t="shared" ref="L38:L69" si="11">E38-K38</f>
        <v>-1</v>
      </c>
      <c r="M38" s="1">
        <f t="shared" si="4"/>
        <v>214</v>
      </c>
      <c r="N38" s="1"/>
      <c r="O38" s="1"/>
      <c r="P38" s="1">
        <f t="shared" si="5"/>
        <v>42.8</v>
      </c>
      <c r="Q38" s="5">
        <f t="shared" si="9"/>
        <v>252.39999999999998</v>
      </c>
      <c r="R38" s="5"/>
      <c r="S38" s="1"/>
      <c r="T38" s="1"/>
      <c r="U38" s="1">
        <f t="shared" si="7"/>
        <v>13</v>
      </c>
      <c r="V38" s="1">
        <f t="shared" si="8"/>
        <v>7.1028037383177578</v>
      </c>
      <c r="W38" s="1">
        <v>39</v>
      </c>
      <c r="X38" s="1">
        <v>39.4</v>
      </c>
      <c r="Y38" s="1">
        <v>45.6</v>
      </c>
      <c r="Z38" s="1">
        <v>49.2</v>
      </c>
      <c r="AA38" s="1">
        <v>49.2</v>
      </c>
      <c r="AB38" s="1">
        <v>63</v>
      </c>
      <c r="AC38" s="1">
        <v>63.6</v>
      </c>
      <c r="AD38" s="1">
        <v>58.2</v>
      </c>
      <c r="AE38" s="1"/>
      <c r="AF38" s="1">
        <f t="shared" si="10"/>
        <v>25.24</v>
      </c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" t="s">
        <v>72</v>
      </c>
      <c r="B39" s="1" t="s">
        <v>39</v>
      </c>
      <c r="C39" s="1">
        <v>434</v>
      </c>
      <c r="D39" s="1">
        <v>721</v>
      </c>
      <c r="E39" s="1">
        <v>570</v>
      </c>
      <c r="F39" s="1">
        <v>488</v>
      </c>
      <c r="G39" s="8">
        <v>0.35</v>
      </c>
      <c r="H39" s="1">
        <v>40</v>
      </c>
      <c r="I39" s="1" t="s">
        <v>35</v>
      </c>
      <c r="J39" s="1"/>
      <c r="K39" s="1">
        <v>595</v>
      </c>
      <c r="L39" s="1">
        <f t="shared" si="11"/>
        <v>-25</v>
      </c>
      <c r="M39" s="1">
        <f t="shared" si="4"/>
        <v>570</v>
      </c>
      <c r="N39" s="1"/>
      <c r="O39" s="1"/>
      <c r="P39" s="1">
        <f t="shared" si="5"/>
        <v>114</v>
      </c>
      <c r="Q39" s="5">
        <f>11*P39-F39</f>
        <v>766</v>
      </c>
      <c r="R39" s="5"/>
      <c r="S39" s="1"/>
      <c r="T39" s="1"/>
      <c r="U39" s="1">
        <f t="shared" si="7"/>
        <v>11</v>
      </c>
      <c r="V39" s="1">
        <f t="shared" si="8"/>
        <v>4.2807017543859649</v>
      </c>
      <c r="W39" s="1">
        <v>91.8</v>
      </c>
      <c r="X39" s="1">
        <v>89.6</v>
      </c>
      <c r="Y39" s="1">
        <v>77.8</v>
      </c>
      <c r="Z39" s="1">
        <v>80.2</v>
      </c>
      <c r="AA39" s="1">
        <v>86.2</v>
      </c>
      <c r="AB39" s="1">
        <v>75.400000000000006</v>
      </c>
      <c r="AC39" s="1">
        <v>86.6</v>
      </c>
      <c r="AD39" s="1">
        <v>90.8</v>
      </c>
      <c r="AE39" s="1" t="s">
        <v>73</v>
      </c>
      <c r="AF39" s="1">
        <f t="shared" si="10"/>
        <v>268.09999999999997</v>
      </c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 t="s">
        <v>74</v>
      </c>
      <c r="B40" s="1" t="s">
        <v>34</v>
      </c>
      <c r="C40" s="1">
        <v>264.61799999999999</v>
      </c>
      <c r="D40" s="1">
        <v>201.06100000000001</v>
      </c>
      <c r="E40" s="1">
        <v>317.57799999999997</v>
      </c>
      <c r="F40" s="1">
        <v>48.298000000000002</v>
      </c>
      <c r="G40" s="8">
        <v>1</v>
      </c>
      <c r="H40" s="1">
        <v>40</v>
      </c>
      <c r="I40" s="1" t="s">
        <v>35</v>
      </c>
      <c r="J40" s="1"/>
      <c r="K40" s="1">
        <v>377.22</v>
      </c>
      <c r="L40" s="1">
        <f t="shared" si="11"/>
        <v>-59.642000000000053</v>
      </c>
      <c r="M40" s="1">
        <f t="shared" si="4"/>
        <v>255.93399999999997</v>
      </c>
      <c r="N40" s="1">
        <v>61.643999999999998</v>
      </c>
      <c r="O40" s="1"/>
      <c r="P40" s="1">
        <f t="shared" si="5"/>
        <v>51.186799999999991</v>
      </c>
      <c r="Q40" s="5">
        <f>8*P40-F40</f>
        <v>361.19639999999993</v>
      </c>
      <c r="R40" s="5"/>
      <c r="S40" s="1"/>
      <c r="T40" s="1"/>
      <c r="U40" s="1">
        <f t="shared" si="7"/>
        <v>8</v>
      </c>
      <c r="V40" s="1">
        <f t="shared" si="8"/>
        <v>0.94356357498417576</v>
      </c>
      <c r="W40" s="1">
        <v>28.554400000000001</v>
      </c>
      <c r="X40" s="1">
        <v>37.6922</v>
      </c>
      <c r="Y40" s="1">
        <v>36.742400000000004</v>
      </c>
      <c r="Z40" s="1">
        <v>31.194600000000001</v>
      </c>
      <c r="AA40" s="1">
        <v>25.7182</v>
      </c>
      <c r="AB40" s="1">
        <v>24.661999999999999</v>
      </c>
      <c r="AC40" s="1">
        <v>30.4862</v>
      </c>
      <c r="AD40" s="1">
        <v>27.222000000000001</v>
      </c>
      <c r="AE40" s="1"/>
      <c r="AF40" s="1">
        <f t="shared" si="10"/>
        <v>361.19639999999993</v>
      </c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" t="s">
        <v>75</v>
      </c>
      <c r="B41" s="1" t="s">
        <v>39</v>
      </c>
      <c r="C41" s="1">
        <v>268</v>
      </c>
      <c r="D41" s="1">
        <v>486</v>
      </c>
      <c r="E41" s="1">
        <v>258</v>
      </c>
      <c r="F41" s="1">
        <v>431</v>
      </c>
      <c r="G41" s="8">
        <v>0.4</v>
      </c>
      <c r="H41" s="1">
        <v>40</v>
      </c>
      <c r="I41" s="1" t="s">
        <v>35</v>
      </c>
      <c r="J41" s="1"/>
      <c r="K41" s="1">
        <v>263</v>
      </c>
      <c r="L41" s="1">
        <f t="shared" si="11"/>
        <v>-5</v>
      </c>
      <c r="M41" s="1">
        <f t="shared" si="4"/>
        <v>258</v>
      </c>
      <c r="N41" s="1"/>
      <c r="O41" s="1"/>
      <c r="P41" s="1">
        <f t="shared" si="5"/>
        <v>51.6</v>
      </c>
      <c r="Q41" s="5">
        <f>12*P41-F41</f>
        <v>188.20000000000005</v>
      </c>
      <c r="R41" s="5"/>
      <c r="S41" s="1"/>
      <c r="T41" s="1"/>
      <c r="U41" s="1">
        <f t="shared" si="7"/>
        <v>12</v>
      </c>
      <c r="V41" s="1">
        <f t="shared" si="8"/>
        <v>8.3527131782945734</v>
      </c>
      <c r="W41" s="1">
        <v>60.2</v>
      </c>
      <c r="X41" s="1">
        <v>46.6</v>
      </c>
      <c r="Y41" s="1">
        <v>47.2</v>
      </c>
      <c r="Z41" s="1">
        <v>43.6</v>
      </c>
      <c r="AA41" s="1">
        <v>18.2</v>
      </c>
      <c r="AB41" s="1">
        <v>25</v>
      </c>
      <c r="AC41" s="1">
        <v>56.2</v>
      </c>
      <c r="AD41" s="1">
        <v>46</v>
      </c>
      <c r="AE41" s="1"/>
      <c r="AF41" s="1">
        <f t="shared" si="10"/>
        <v>75.280000000000015</v>
      </c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 t="s">
        <v>76</v>
      </c>
      <c r="B42" s="1" t="s">
        <v>39</v>
      </c>
      <c r="C42" s="1">
        <v>196</v>
      </c>
      <c r="D42" s="1">
        <v>1152</v>
      </c>
      <c r="E42" s="1">
        <v>428</v>
      </c>
      <c r="F42" s="1">
        <v>856</v>
      </c>
      <c r="G42" s="8">
        <v>0.4</v>
      </c>
      <c r="H42" s="1">
        <v>45</v>
      </c>
      <c r="I42" s="1" t="s">
        <v>35</v>
      </c>
      <c r="J42" s="1"/>
      <c r="K42" s="1">
        <v>459</v>
      </c>
      <c r="L42" s="1">
        <f t="shared" si="11"/>
        <v>-31</v>
      </c>
      <c r="M42" s="1">
        <f t="shared" si="4"/>
        <v>428</v>
      </c>
      <c r="N42" s="1"/>
      <c r="O42" s="1"/>
      <c r="P42" s="1">
        <f t="shared" si="5"/>
        <v>85.6</v>
      </c>
      <c r="Q42" s="5">
        <f t="shared" si="9"/>
        <v>256.79999999999995</v>
      </c>
      <c r="R42" s="5"/>
      <c r="S42" s="1"/>
      <c r="T42" s="1"/>
      <c r="U42" s="1">
        <f t="shared" si="7"/>
        <v>13</v>
      </c>
      <c r="V42" s="1">
        <f t="shared" si="8"/>
        <v>10</v>
      </c>
      <c r="W42" s="1">
        <v>91.8</v>
      </c>
      <c r="X42" s="1">
        <v>70.2</v>
      </c>
      <c r="Y42" s="1">
        <v>57.8</v>
      </c>
      <c r="Z42" s="1">
        <v>60</v>
      </c>
      <c r="AA42" s="1">
        <v>57.2</v>
      </c>
      <c r="AB42" s="1">
        <v>53</v>
      </c>
      <c r="AC42" s="1">
        <v>60.8</v>
      </c>
      <c r="AD42" s="1">
        <v>53.6</v>
      </c>
      <c r="AE42" s="1" t="s">
        <v>68</v>
      </c>
      <c r="AF42" s="1">
        <f t="shared" si="10"/>
        <v>102.71999999999998</v>
      </c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 t="s">
        <v>77</v>
      </c>
      <c r="B43" s="1" t="s">
        <v>34</v>
      </c>
      <c r="C43" s="1">
        <v>373.37099999999998</v>
      </c>
      <c r="D43" s="1">
        <v>428.947</v>
      </c>
      <c r="E43" s="1">
        <v>494.65</v>
      </c>
      <c r="F43" s="1">
        <v>163.809</v>
      </c>
      <c r="G43" s="8">
        <v>1</v>
      </c>
      <c r="H43" s="1">
        <v>40</v>
      </c>
      <c r="I43" s="1" t="s">
        <v>35</v>
      </c>
      <c r="J43" s="1"/>
      <c r="K43" s="1">
        <v>569.73099999999999</v>
      </c>
      <c r="L43" s="1">
        <f t="shared" si="11"/>
        <v>-75.081000000000017</v>
      </c>
      <c r="M43" s="1">
        <f t="shared" si="4"/>
        <v>416.41899999999998</v>
      </c>
      <c r="N43" s="1">
        <v>78.230999999999995</v>
      </c>
      <c r="O43" s="1"/>
      <c r="P43" s="1">
        <f t="shared" si="5"/>
        <v>83.283799999999999</v>
      </c>
      <c r="Q43" s="5">
        <f>9*P43-F43</f>
        <v>585.74520000000007</v>
      </c>
      <c r="R43" s="5"/>
      <c r="S43" s="1"/>
      <c r="T43" s="1"/>
      <c r="U43" s="1">
        <f t="shared" si="7"/>
        <v>9</v>
      </c>
      <c r="V43" s="1">
        <f t="shared" si="8"/>
        <v>1.9668771117552273</v>
      </c>
      <c r="W43" s="1">
        <v>58.600200000000008</v>
      </c>
      <c r="X43" s="1">
        <v>61.506399999999999</v>
      </c>
      <c r="Y43" s="1">
        <v>58.0304</v>
      </c>
      <c r="Z43" s="1">
        <v>57.372</v>
      </c>
      <c r="AA43" s="1">
        <v>52.2864</v>
      </c>
      <c r="AB43" s="1">
        <v>53.046799999999998</v>
      </c>
      <c r="AC43" s="1">
        <v>46.023600000000002</v>
      </c>
      <c r="AD43" s="1">
        <v>41.178600000000003</v>
      </c>
      <c r="AE43" s="1"/>
      <c r="AF43" s="1">
        <f t="shared" si="10"/>
        <v>585.74520000000007</v>
      </c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 t="s">
        <v>78</v>
      </c>
      <c r="B44" s="1" t="s">
        <v>39</v>
      </c>
      <c r="C44" s="1">
        <v>1511</v>
      </c>
      <c r="D44" s="1">
        <v>2971</v>
      </c>
      <c r="E44" s="1">
        <v>1742</v>
      </c>
      <c r="F44" s="1">
        <v>2341</v>
      </c>
      <c r="G44" s="8">
        <v>0.35</v>
      </c>
      <c r="H44" s="1">
        <v>40</v>
      </c>
      <c r="I44" s="1" t="s">
        <v>35</v>
      </c>
      <c r="J44" s="1"/>
      <c r="K44" s="1">
        <v>1786</v>
      </c>
      <c r="L44" s="1">
        <f t="shared" si="11"/>
        <v>-44</v>
      </c>
      <c r="M44" s="1">
        <f t="shared" si="4"/>
        <v>1724</v>
      </c>
      <c r="N44" s="1">
        <v>18</v>
      </c>
      <c r="O44" s="1"/>
      <c r="P44" s="1">
        <f t="shared" si="5"/>
        <v>344.8</v>
      </c>
      <c r="Q44" s="5">
        <f t="shared" ref="Q44:Q45" si="12">12*P44-F44</f>
        <v>1796.6000000000004</v>
      </c>
      <c r="R44" s="5"/>
      <c r="S44" s="1"/>
      <c r="T44" s="1"/>
      <c r="U44" s="1">
        <f t="shared" si="7"/>
        <v>12</v>
      </c>
      <c r="V44" s="1">
        <f t="shared" si="8"/>
        <v>6.7894431554524362</v>
      </c>
      <c r="W44" s="1">
        <v>361</v>
      </c>
      <c r="X44" s="1">
        <v>344.6</v>
      </c>
      <c r="Y44" s="1">
        <v>298.2</v>
      </c>
      <c r="Z44" s="1">
        <v>314.60000000000002</v>
      </c>
      <c r="AA44" s="1">
        <v>330.8</v>
      </c>
      <c r="AB44" s="1">
        <v>334</v>
      </c>
      <c r="AC44" s="1">
        <v>353.8</v>
      </c>
      <c r="AD44" s="1">
        <v>329.2</v>
      </c>
      <c r="AE44" s="11" t="s">
        <v>137</v>
      </c>
      <c r="AF44" s="1">
        <f t="shared" si="10"/>
        <v>628.81000000000006</v>
      </c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 t="s">
        <v>79</v>
      </c>
      <c r="B45" s="1" t="s">
        <v>39</v>
      </c>
      <c r="C45" s="1">
        <v>1131</v>
      </c>
      <c r="D45" s="1">
        <v>504</v>
      </c>
      <c r="E45" s="1">
        <v>598</v>
      </c>
      <c r="F45" s="1">
        <v>965</v>
      </c>
      <c r="G45" s="8">
        <v>0.4</v>
      </c>
      <c r="H45" s="1">
        <v>40</v>
      </c>
      <c r="I45" s="1" t="s">
        <v>35</v>
      </c>
      <c r="J45" s="1"/>
      <c r="K45" s="1">
        <v>603</v>
      </c>
      <c r="L45" s="1">
        <f t="shared" si="11"/>
        <v>-5</v>
      </c>
      <c r="M45" s="1">
        <f t="shared" si="4"/>
        <v>598</v>
      </c>
      <c r="N45" s="1"/>
      <c r="O45" s="1"/>
      <c r="P45" s="1">
        <f t="shared" si="5"/>
        <v>119.6</v>
      </c>
      <c r="Q45" s="5">
        <f t="shared" si="12"/>
        <v>470.19999999999982</v>
      </c>
      <c r="R45" s="5"/>
      <c r="S45" s="1"/>
      <c r="T45" s="1"/>
      <c r="U45" s="1">
        <f t="shared" si="7"/>
        <v>11.999999999999998</v>
      </c>
      <c r="V45" s="1">
        <f t="shared" si="8"/>
        <v>8.0685618729096991</v>
      </c>
      <c r="W45" s="1">
        <v>132.19999999999999</v>
      </c>
      <c r="X45" s="1">
        <v>149.4</v>
      </c>
      <c r="Y45" s="1">
        <v>151.6</v>
      </c>
      <c r="Z45" s="1">
        <v>140</v>
      </c>
      <c r="AA45" s="1">
        <v>133.4</v>
      </c>
      <c r="AB45" s="1">
        <v>115.2</v>
      </c>
      <c r="AC45" s="1">
        <v>138.02199999999999</v>
      </c>
      <c r="AD45" s="1">
        <v>143.6</v>
      </c>
      <c r="AE45" s="1"/>
      <c r="AF45" s="1">
        <f t="shared" si="10"/>
        <v>188.07999999999993</v>
      </c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 t="s">
        <v>80</v>
      </c>
      <c r="B46" s="1" t="s">
        <v>34</v>
      </c>
      <c r="C46" s="1">
        <v>480.96899999999999</v>
      </c>
      <c r="D46" s="1">
        <v>911.69100000000003</v>
      </c>
      <c r="E46" s="1">
        <v>626.73900000000003</v>
      </c>
      <c r="F46" s="1">
        <v>641.87099999999998</v>
      </c>
      <c r="G46" s="8">
        <v>1</v>
      </c>
      <c r="H46" s="1">
        <v>50</v>
      </c>
      <c r="I46" s="1" t="s">
        <v>35</v>
      </c>
      <c r="J46" s="1"/>
      <c r="K46" s="1">
        <v>628.27</v>
      </c>
      <c r="L46" s="1">
        <f t="shared" si="11"/>
        <v>-1.5309999999999491</v>
      </c>
      <c r="M46" s="1">
        <f t="shared" si="4"/>
        <v>605.05900000000008</v>
      </c>
      <c r="N46" s="1">
        <v>21.68</v>
      </c>
      <c r="O46" s="1"/>
      <c r="P46" s="1">
        <f t="shared" si="5"/>
        <v>121.01180000000002</v>
      </c>
      <c r="Q46" s="5">
        <f t="shared" si="9"/>
        <v>931.28240000000039</v>
      </c>
      <c r="R46" s="5"/>
      <c r="S46" s="1"/>
      <c r="T46" s="1"/>
      <c r="U46" s="1">
        <f t="shared" si="7"/>
        <v>13</v>
      </c>
      <c r="V46" s="1">
        <f t="shared" si="8"/>
        <v>5.3042017390039637</v>
      </c>
      <c r="W46" s="1">
        <v>93.060199999999995</v>
      </c>
      <c r="X46" s="1">
        <v>85.131</v>
      </c>
      <c r="Y46" s="1">
        <v>69.878399999999999</v>
      </c>
      <c r="Z46" s="1">
        <v>74.82820000000001</v>
      </c>
      <c r="AA46" s="1">
        <v>78.015599999999992</v>
      </c>
      <c r="AB46" s="1">
        <v>85.325600000000009</v>
      </c>
      <c r="AC46" s="1">
        <v>86.111800000000002</v>
      </c>
      <c r="AD46" s="1">
        <v>83.411799999999999</v>
      </c>
      <c r="AE46" s="1"/>
      <c r="AF46" s="1">
        <f t="shared" si="10"/>
        <v>931.28240000000039</v>
      </c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 t="s">
        <v>81</v>
      </c>
      <c r="B47" s="1" t="s">
        <v>34</v>
      </c>
      <c r="C47" s="1">
        <v>1031.202</v>
      </c>
      <c r="D47" s="1">
        <v>1062.261</v>
      </c>
      <c r="E47" s="1">
        <v>985.63400000000001</v>
      </c>
      <c r="F47" s="1">
        <v>894.94200000000001</v>
      </c>
      <c r="G47" s="8">
        <v>1</v>
      </c>
      <c r="H47" s="1">
        <v>50</v>
      </c>
      <c r="I47" s="1" t="s">
        <v>35</v>
      </c>
      <c r="J47" s="1"/>
      <c r="K47" s="1">
        <v>995.37699999999995</v>
      </c>
      <c r="L47" s="1">
        <f t="shared" si="11"/>
        <v>-9.7429999999999382</v>
      </c>
      <c r="M47" s="1">
        <f t="shared" si="4"/>
        <v>953.65700000000004</v>
      </c>
      <c r="N47" s="1">
        <v>31.977</v>
      </c>
      <c r="O47" s="1"/>
      <c r="P47" s="1">
        <f t="shared" si="5"/>
        <v>190.73140000000001</v>
      </c>
      <c r="Q47" s="5">
        <f t="shared" si="9"/>
        <v>1584.5662000000002</v>
      </c>
      <c r="R47" s="5"/>
      <c r="S47" s="1"/>
      <c r="T47" s="1"/>
      <c r="U47" s="1">
        <f t="shared" si="7"/>
        <v>13</v>
      </c>
      <c r="V47" s="1">
        <f t="shared" si="8"/>
        <v>4.6921587111508645</v>
      </c>
      <c r="W47" s="1">
        <v>140.89320000000001</v>
      </c>
      <c r="X47" s="1">
        <v>145.45400000000001</v>
      </c>
      <c r="Y47" s="1">
        <v>136.43700000000001</v>
      </c>
      <c r="Z47" s="1">
        <v>128.56460000000001</v>
      </c>
      <c r="AA47" s="1">
        <v>136.21279999999999</v>
      </c>
      <c r="AB47" s="1">
        <v>135.34639999999999</v>
      </c>
      <c r="AC47" s="1">
        <v>137.33619999999999</v>
      </c>
      <c r="AD47" s="1">
        <v>156.09559999999999</v>
      </c>
      <c r="AE47" s="1"/>
      <c r="AF47" s="1">
        <f t="shared" si="10"/>
        <v>1584.5662000000002</v>
      </c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5" t="s">
        <v>82</v>
      </c>
      <c r="B48" s="15" t="s">
        <v>34</v>
      </c>
      <c r="C48" s="15"/>
      <c r="D48" s="15"/>
      <c r="E48" s="15"/>
      <c r="F48" s="15"/>
      <c r="G48" s="16">
        <v>0</v>
      </c>
      <c r="H48" s="15">
        <v>40</v>
      </c>
      <c r="I48" s="15" t="s">
        <v>35</v>
      </c>
      <c r="J48" s="15"/>
      <c r="K48" s="15"/>
      <c r="L48" s="15">
        <f t="shared" si="11"/>
        <v>0</v>
      </c>
      <c r="M48" s="15">
        <f t="shared" si="4"/>
        <v>0</v>
      </c>
      <c r="N48" s="15"/>
      <c r="O48" s="15"/>
      <c r="P48" s="15">
        <f t="shared" si="5"/>
        <v>0</v>
      </c>
      <c r="Q48" s="17"/>
      <c r="R48" s="17"/>
      <c r="S48" s="15"/>
      <c r="T48" s="15"/>
      <c r="U48" s="15" t="e">
        <f t="shared" si="7"/>
        <v>#DIV/0!</v>
      </c>
      <c r="V48" s="15" t="e">
        <f t="shared" si="8"/>
        <v>#DIV/0!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 t="s">
        <v>62</v>
      </c>
      <c r="AF48" s="15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 t="s">
        <v>83</v>
      </c>
      <c r="B49" s="1" t="s">
        <v>39</v>
      </c>
      <c r="C49" s="1">
        <v>1041</v>
      </c>
      <c r="D49" s="1">
        <v>622</v>
      </c>
      <c r="E49" s="1">
        <v>623</v>
      </c>
      <c r="F49" s="1">
        <v>909</v>
      </c>
      <c r="G49" s="8">
        <v>0.45</v>
      </c>
      <c r="H49" s="1">
        <v>50</v>
      </c>
      <c r="I49" s="1" t="s">
        <v>35</v>
      </c>
      <c r="J49" s="1"/>
      <c r="K49" s="1">
        <v>637</v>
      </c>
      <c r="L49" s="1">
        <f t="shared" si="11"/>
        <v>-14</v>
      </c>
      <c r="M49" s="1">
        <f t="shared" si="4"/>
        <v>623</v>
      </c>
      <c r="N49" s="1"/>
      <c r="O49" s="1"/>
      <c r="P49" s="1">
        <f t="shared" si="5"/>
        <v>124.6</v>
      </c>
      <c r="Q49" s="5">
        <f t="shared" ref="Q49:Q57" si="13">13*P49-F49</f>
        <v>710.8</v>
      </c>
      <c r="R49" s="5"/>
      <c r="S49" s="1"/>
      <c r="T49" s="1"/>
      <c r="U49" s="1">
        <f t="shared" si="7"/>
        <v>13</v>
      </c>
      <c r="V49" s="1">
        <f t="shared" si="8"/>
        <v>7.2953451043338688</v>
      </c>
      <c r="W49" s="1">
        <v>110</v>
      </c>
      <c r="X49" s="1">
        <v>102.8</v>
      </c>
      <c r="Y49" s="1">
        <v>88</v>
      </c>
      <c r="Z49" s="1">
        <v>99.6</v>
      </c>
      <c r="AA49" s="1">
        <v>138</v>
      </c>
      <c r="AB49" s="1">
        <v>139.4</v>
      </c>
      <c r="AC49" s="1">
        <v>154</v>
      </c>
      <c r="AD49" s="1">
        <v>153.80000000000001</v>
      </c>
      <c r="AE49" s="1" t="s">
        <v>84</v>
      </c>
      <c r="AF49" s="1">
        <f t="shared" ref="AF49:AF67" si="14">G49*Q49</f>
        <v>319.86</v>
      </c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 t="s">
        <v>85</v>
      </c>
      <c r="B50" s="1" t="s">
        <v>39</v>
      </c>
      <c r="C50" s="1">
        <v>105</v>
      </c>
      <c r="D50" s="1">
        <v>261</v>
      </c>
      <c r="E50" s="1">
        <v>121</v>
      </c>
      <c r="F50" s="1">
        <v>189</v>
      </c>
      <c r="G50" s="8">
        <v>0.4</v>
      </c>
      <c r="H50" s="1">
        <v>40</v>
      </c>
      <c r="I50" s="1" t="s">
        <v>35</v>
      </c>
      <c r="J50" s="1"/>
      <c r="K50" s="1">
        <v>151</v>
      </c>
      <c r="L50" s="1">
        <f t="shared" si="11"/>
        <v>-30</v>
      </c>
      <c r="M50" s="1">
        <f t="shared" si="4"/>
        <v>121</v>
      </c>
      <c r="N50" s="1"/>
      <c r="O50" s="1"/>
      <c r="P50" s="1">
        <f t="shared" si="5"/>
        <v>24.2</v>
      </c>
      <c r="Q50" s="5">
        <f t="shared" ref="Q50:Q51" si="15">12*P50-F50</f>
        <v>101.39999999999998</v>
      </c>
      <c r="R50" s="5"/>
      <c r="S50" s="1"/>
      <c r="T50" s="1"/>
      <c r="U50" s="1">
        <f t="shared" si="7"/>
        <v>12</v>
      </c>
      <c r="V50" s="1">
        <f t="shared" si="8"/>
        <v>7.8099173553719012</v>
      </c>
      <c r="W50" s="1">
        <v>27.4</v>
      </c>
      <c r="X50" s="1">
        <v>20.2</v>
      </c>
      <c r="Y50" s="1">
        <v>20.6</v>
      </c>
      <c r="Z50" s="1">
        <v>26.6</v>
      </c>
      <c r="AA50" s="1">
        <v>26.6</v>
      </c>
      <c r="AB50" s="1">
        <v>18.600000000000001</v>
      </c>
      <c r="AC50" s="1">
        <v>23</v>
      </c>
      <c r="AD50" s="1">
        <v>18.2</v>
      </c>
      <c r="AE50" s="1"/>
      <c r="AF50" s="1">
        <f t="shared" si="14"/>
        <v>40.559999999999995</v>
      </c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 t="s">
        <v>86</v>
      </c>
      <c r="B51" s="1" t="s">
        <v>39</v>
      </c>
      <c r="C51" s="1">
        <v>254</v>
      </c>
      <c r="D51" s="1">
        <v>151</v>
      </c>
      <c r="E51" s="1">
        <v>155</v>
      </c>
      <c r="F51" s="1">
        <v>230</v>
      </c>
      <c r="G51" s="8">
        <v>0.4</v>
      </c>
      <c r="H51" s="1">
        <v>40</v>
      </c>
      <c r="I51" s="1" t="s">
        <v>35</v>
      </c>
      <c r="J51" s="1"/>
      <c r="K51" s="1">
        <v>162</v>
      </c>
      <c r="L51" s="1">
        <f t="shared" si="11"/>
        <v>-7</v>
      </c>
      <c r="M51" s="1">
        <f t="shared" si="4"/>
        <v>155</v>
      </c>
      <c r="N51" s="1"/>
      <c r="O51" s="1"/>
      <c r="P51" s="1">
        <f t="shared" si="5"/>
        <v>31</v>
      </c>
      <c r="Q51" s="5">
        <f t="shared" si="15"/>
        <v>142</v>
      </c>
      <c r="R51" s="5"/>
      <c r="S51" s="1"/>
      <c r="T51" s="1"/>
      <c r="U51" s="1">
        <f t="shared" si="7"/>
        <v>12</v>
      </c>
      <c r="V51" s="1">
        <f t="shared" si="8"/>
        <v>7.419354838709677</v>
      </c>
      <c r="W51" s="1">
        <v>30.8</v>
      </c>
      <c r="X51" s="1">
        <v>35.6</v>
      </c>
      <c r="Y51" s="1">
        <v>35.200000000000003</v>
      </c>
      <c r="Z51" s="1">
        <v>37.200000000000003</v>
      </c>
      <c r="AA51" s="1">
        <v>40</v>
      </c>
      <c r="AB51" s="1">
        <v>40</v>
      </c>
      <c r="AC51" s="1">
        <v>35.4</v>
      </c>
      <c r="AD51" s="1">
        <v>36.799999999999997</v>
      </c>
      <c r="AE51" s="11" t="s">
        <v>137</v>
      </c>
      <c r="AF51" s="1">
        <f t="shared" si="14"/>
        <v>56.800000000000004</v>
      </c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 t="s">
        <v>87</v>
      </c>
      <c r="B52" s="1" t="s">
        <v>34</v>
      </c>
      <c r="C52" s="1">
        <v>583.30399999999997</v>
      </c>
      <c r="D52" s="1">
        <v>518.99400000000003</v>
      </c>
      <c r="E52" s="1">
        <v>497.548</v>
      </c>
      <c r="F52" s="1">
        <v>499.57299999999998</v>
      </c>
      <c r="G52" s="8">
        <v>1</v>
      </c>
      <c r="H52" s="1">
        <v>50</v>
      </c>
      <c r="I52" s="1" t="s">
        <v>35</v>
      </c>
      <c r="J52" s="1"/>
      <c r="K52" s="1">
        <v>488.65</v>
      </c>
      <c r="L52" s="1">
        <f t="shared" si="11"/>
        <v>8.8980000000000246</v>
      </c>
      <c r="M52" s="1">
        <f t="shared" si="4"/>
        <v>497.548</v>
      </c>
      <c r="N52" s="1"/>
      <c r="O52" s="1"/>
      <c r="P52" s="1">
        <f t="shared" si="5"/>
        <v>99.509600000000006</v>
      </c>
      <c r="Q52" s="5">
        <f t="shared" si="13"/>
        <v>794.05180000000007</v>
      </c>
      <c r="R52" s="5"/>
      <c r="S52" s="1"/>
      <c r="T52" s="1"/>
      <c r="U52" s="1">
        <f t="shared" si="7"/>
        <v>13</v>
      </c>
      <c r="V52" s="1">
        <f t="shared" si="8"/>
        <v>5.0203497953966245</v>
      </c>
      <c r="W52" s="1">
        <v>73.804599999999994</v>
      </c>
      <c r="X52" s="1">
        <v>73.170400000000001</v>
      </c>
      <c r="Y52" s="1">
        <v>73.025599999999997</v>
      </c>
      <c r="Z52" s="1">
        <v>70.519599999999997</v>
      </c>
      <c r="AA52" s="1">
        <v>65.875399999999999</v>
      </c>
      <c r="AB52" s="1">
        <v>75.746800000000007</v>
      </c>
      <c r="AC52" s="1">
        <v>78.845200000000006</v>
      </c>
      <c r="AD52" s="1">
        <v>84.103800000000007</v>
      </c>
      <c r="AE52" s="1"/>
      <c r="AF52" s="1">
        <f t="shared" si="14"/>
        <v>794.05180000000007</v>
      </c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 t="s">
        <v>88</v>
      </c>
      <c r="B53" s="1" t="s">
        <v>39</v>
      </c>
      <c r="C53" s="1">
        <v>199</v>
      </c>
      <c r="D53" s="1">
        <v>100</v>
      </c>
      <c r="E53" s="1">
        <v>85</v>
      </c>
      <c r="F53" s="1">
        <v>201</v>
      </c>
      <c r="G53" s="8">
        <v>0.1</v>
      </c>
      <c r="H53" s="1">
        <v>730</v>
      </c>
      <c r="I53" s="1" t="s">
        <v>35</v>
      </c>
      <c r="J53" s="1"/>
      <c r="K53" s="1">
        <v>85</v>
      </c>
      <c r="L53" s="1">
        <f t="shared" si="11"/>
        <v>0</v>
      </c>
      <c r="M53" s="1">
        <f t="shared" si="4"/>
        <v>85</v>
      </c>
      <c r="N53" s="1"/>
      <c r="O53" s="1"/>
      <c r="P53" s="1">
        <f t="shared" si="5"/>
        <v>17</v>
      </c>
      <c r="Q53" s="5">
        <f t="shared" si="13"/>
        <v>20</v>
      </c>
      <c r="R53" s="5"/>
      <c r="S53" s="1"/>
      <c r="T53" s="1"/>
      <c r="U53" s="1">
        <f t="shared" si="7"/>
        <v>13</v>
      </c>
      <c r="V53" s="1">
        <f t="shared" si="8"/>
        <v>11.823529411764707</v>
      </c>
      <c r="W53" s="1">
        <v>20.399999999999999</v>
      </c>
      <c r="X53" s="1">
        <v>22</v>
      </c>
      <c r="Y53" s="1">
        <v>25</v>
      </c>
      <c r="Z53" s="1">
        <v>28.8</v>
      </c>
      <c r="AA53" s="1">
        <v>24.8</v>
      </c>
      <c r="AB53" s="1">
        <v>29.4</v>
      </c>
      <c r="AC53" s="1">
        <v>37.4</v>
      </c>
      <c r="AD53" s="1">
        <v>31.6</v>
      </c>
      <c r="AE53" s="1"/>
      <c r="AF53" s="1">
        <f t="shared" si="14"/>
        <v>2</v>
      </c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 t="s">
        <v>89</v>
      </c>
      <c r="B54" s="1" t="s">
        <v>34</v>
      </c>
      <c r="C54" s="1">
        <v>1227.028</v>
      </c>
      <c r="D54" s="1">
        <v>1339.3340000000001</v>
      </c>
      <c r="E54" s="1">
        <v>1106.232</v>
      </c>
      <c r="F54" s="1">
        <v>1221.4870000000001</v>
      </c>
      <c r="G54" s="8">
        <v>1</v>
      </c>
      <c r="H54" s="1">
        <v>50</v>
      </c>
      <c r="I54" s="1" t="s">
        <v>35</v>
      </c>
      <c r="J54" s="1"/>
      <c r="K54" s="1">
        <v>1139.8510000000001</v>
      </c>
      <c r="L54" s="1">
        <f t="shared" si="11"/>
        <v>-33.619000000000142</v>
      </c>
      <c r="M54" s="1">
        <f t="shared" si="4"/>
        <v>1106.232</v>
      </c>
      <c r="N54" s="1"/>
      <c r="O54" s="1"/>
      <c r="P54" s="1">
        <f t="shared" si="5"/>
        <v>221.24639999999999</v>
      </c>
      <c r="Q54" s="5">
        <f t="shared" si="13"/>
        <v>1654.7161999999998</v>
      </c>
      <c r="R54" s="5"/>
      <c r="S54" s="1"/>
      <c r="T54" s="1"/>
      <c r="U54" s="1">
        <f t="shared" si="7"/>
        <v>13</v>
      </c>
      <c r="V54" s="1">
        <f t="shared" si="8"/>
        <v>5.5209350299033115</v>
      </c>
      <c r="W54" s="1">
        <v>170.66679999999999</v>
      </c>
      <c r="X54" s="1">
        <v>161.72380000000001</v>
      </c>
      <c r="Y54" s="1">
        <v>157.36000000000001</v>
      </c>
      <c r="Z54" s="1">
        <v>157.6866</v>
      </c>
      <c r="AA54" s="1">
        <v>150.42599999999999</v>
      </c>
      <c r="AB54" s="1">
        <v>152.63679999999999</v>
      </c>
      <c r="AC54" s="1">
        <v>147.08860000000001</v>
      </c>
      <c r="AD54" s="1">
        <v>152.1294</v>
      </c>
      <c r="AE54" s="1"/>
      <c r="AF54" s="1">
        <f t="shared" si="14"/>
        <v>1654.7161999999998</v>
      </c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 t="s">
        <v>90</v>
      </c>
      <c r="B55" s="1" t="s">
        <v>34</v>
      </c>
      <c r="C55" s="1">
        <v>50.779000000000003</v>
      </c>
      <c r="D55" s="1">
        <v>248.89699999999999</v>
      </c>
      <c r="E55" s="1">
        <v>131.655</v>
      </c>
      <c r="F55" s="1">
        <v>97.123000000000005</v>
      </c>
      <c r="G55" s="8">
        <v>1</v>
      </c>
      <c r="H55" s="1">
        <v>50</v>
      </c>
      <c r="I55" s="1" t="s">
        <v>35</v>
      </c>
      <c r="J55" s="1"/>
      <c r="K55" s="1">
        <v>176.749</v>
      </c>
      <c r="L55" s="1">
        <f t="shared" si="11"/>
        <v>-45.093999999999994</v>
      </c>
      <c r="M55" s="1">
        <f t="shared" si="4"/>
        <v>88.456000000000003</v>
      </c>
      <c r="N55" s="1">
        <v>43.198999999999998</v>
      </c>
      <c r="O55" s="1"/>
      <c r="P55" s="1">
        <f t="shared" si="5"/>
        <v>17.691200000000002</v>
      </c>
      <c r="Q55" s="5">
        <f t="shared" si="13"/>
        <v>132.86260000000004</v>
      </c>
      <c r="R55" s="5"/>
      <c r="S55" s="1"/>
      <c r="T55" s="1"/>
      <c r="U55" s="1">
        <f t="shared" si="7"/>
        <v>13</v>
      </c>
      <c r="V55" s="1">
        <f t="shared" si="8"/>
        <v>5.4899045853305593</v>
      </c>
      <c r="W55" s="1">
        <v>17.258800000000001</v>
      </c>
      <c r="X55" s="1">
        <v>15.8902</v>
      </c>
      <c r="Y55" s="1">
        <v>13.5344</v>
      </c>
      <c r="Z55" s="1">
        <v>12.65</v>
      </c>
      <c r="AA55" s="1">
        <v>19.626799999999999</v>
      </c>
      <c r="AB55" s="1">
        <v>16.927199999999999</v>
      </c>
      <c r="AC55" s="1">
        <v>14.8002</v>
      </c>
      <c r="AD55" s="1">
        <v>16.416399999999999</v>
      </c>
      <c r="AE55" s="1"/>
      <c r="AF55" s="1">
        <f t="shared" si="14"/>
        <v>132.86260000000004</v>
      </c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 t="s">
        <v>91</v>
      </c>
      <c r="B56" s="1" t="s">
        <v>39</v>
      </c>
      <c r="C56" s="1">
        <v>166</v>
      </c>
      <c r="D56" s="1">
        <v>60</v>
      </c>
      <c r="E56" s="1">
        <v>85</v>
      </c>
      <c r="F56" s="1">
        <v>128</v>
      </c>
      <c r="G56" s="8">
        <v>0.1</v>
      </c>
      <c r="H56" s="1">
        <v>730</v>
      </c>
      <c r="I56" s="1" t="s">
        <v>35</v>
      </c>
      <c r="J56" s="1"/>
      <c r="K56" s="1">
        <v>85</v>
      </c>
      <c r="L56" s="1">
        <f t="shared" si="11"/>
        <v>0</v>
      </c>
      <c r="M56" s="1">
        <f t="shared" si="4"/>
        <v>85</v>
      </c>
      <c r="N56" s="1"/>
      <c r="O56" s="1"/>
      <c r="P56" s="1">
        <f t="shared" si="5"/>
        <v>17</v>
      </c>
      <c r="Q56" s="5">
        <f t="shared" si="13"/>
        <v>93</v>
      </c>
      <c r="R56" s="5"/>
      <c r="S56" s="1"/>
      <c r="T56" s="1"/>
      <c r="U56" s="1">
        <f t="shared" si="7"/>
        <v>13</v>
      </c>
      <c r="V56" s="1">
        <f t="shared" si="8"/>
        <v>7.5294117647058822</v>
      </c>
      <c r="W56" s="1">
        <v>15.8</v>
      </c>
      <c r="X56" s="1">
        <v>15.6</v>
      </c>
      <c r="Y56" s="1">
        <v>16.2</v>
      </c>
      <c r="Z56" s="1">
        <v>23.4</v>
      </c>
      <c r="AA56" s="1">
        <v>24.6</v>
      </c>
      <c r="AB56" s="1">
        <v>31</v>
      </c>
      <c r="AC56" s="1">
        <v>32.200000000000003</v>
      </c>
      <c r="AD56" s="1">
        <v>22.2</v>
      </c>
      <c r="AE56" s="1"/>
      <c r="AF56" s="1">
        <f t="shared" si="14"/>
        <v>9.3000000000000007</v>
      </c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 t="s">
        <v>92</v>
      </c>
      <c r="B57" s="1" t="s">
        <v>39</v>
      </c>
      <c r="C57" s="1">
        <v>484</v>
      </c>
      <c r="D57" s="1">
        <v>1291</v>
      </c>
      <c r="E57" s="1">
        <v>873</v>
      </c>
      <c r="F57" s="1">
        <v>840</v>
      </c>
      <c r="G57" s="8">
        <v>0.4</v>
      </c>
      <c r="H57" s="1">
        <v>50</v>
      </c>
      <c r="I57" s="1" t="s">
        <v>35</v>
      </c>
      <c r="J57" s="1"/>
      <c r="K57" s="1">
        <v>893</v>
      </c>
      <c r="L57" s="1">
        <f t="shared" si="11"/>
        <v>-20</v>
      </c>
      <c r="M57" s="1">
        <f t="shared" si="4"/>
        <v>873</v>
      </c>
      <c r="N57" s="1"/>
      <c r="O57" s="1"/>
      <c r="P57" s="1">
        <f t="shared" si="5"/>
        <v>174.6</v>
      </c>
      <c r="Q57" s="5">
        <f t="shared" si="13"/>
        <v>1429.7999999999997</v>
      </c>
      <c r="R57" s="5"/>
      <c r="S57" s="1"/>
      <c r="T57" s="1"/>
      <c r="U57" s="1">
        <f t="shared" si="7"/>
        <v>12.999999999999998</v>
      </c>
      <c r="V57" s="1">
        <f t="shared" si="8"/>
        <v>4.8109965635738829</v>
      </c>
      <c r="W57" s="1">
        <v>120.8</v>
      </c>
      <c r="X57" s="1">
        <v>103.8</v>
      </c>
      <c r="Y57" s="1">
        <v>86.2</v>
      </c>
      <c r="Z57" s="1">
        <v>88.6</v>
      </c>
      <c r="AA57" s="1">
        <v>76.2</v>
      </c>
      <c r="AB57" s="1">
        <v>53.4</v>
      </c>
      <c r="AC57" s="1">
        <v>47.4</v>
      </c>
      <c r="AD57" s="1">
        <v>53.6</v>
      </c>
      <c r="AE57" s="1" t="s">
        <v>93</v>
      </c>
      <c r="AF57" s="1">
        <f t="shared" si="14"/>
        <v>571.91999999999996</v>
      </c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 t="s">
        <v>94</v>
      </c>
      <c r="B58" s="1" t="s">
        <v>34</v>
      </c>
      <c r="C58" s="1">
        <v>89.463999999999999</v>
      </c>
      <c r="D58" s="1">
        <v>32.606000000000002</v>
      </c>
      <c r="E58" s="1">
        <v>51.250999999999998</v>
      </c>
      <c r="F58" s="1">
        <v>66.736000000000004</v>
      </c>
      <c r="G58" s="8">
        <v>1</v>
      </c>
      <c r="H58" s="1">
        <v>40</v>
      </c>
      <c r="I58" s="1" t="s">
        <v>35</v>
      </c>
      <c r="J58" s="1"/>
      <c r="K58" s="1">
        <v>50.5</v>
      </c>
      <c r="L58" s="1">
        <f t="shared" si="11"/>
        <v>0.75099999999999767</v>
      </c>
      <c r="M58" s="1">
        <f t="shared" si="4"/>
        <v>51.250999999999998</v>
      </c>
      <c r="N58" s="1"/>
      <c r="O58" s="1"/>
      <c r="P58" s="1">
        <f t="shared" si="5"/>
        <v>10.2502</v>
      </c>
      <c r="Q58" s="5">
        <f>12*P58-F58</f>
        <v>56.26639999999999</v>
      </c>
      <c r="R58" s="5"/>
      <c r="S58" s="1"/>
      <c r="T58" s="1"/>
      <c r="U58" s="1">
        <f t="shared" si="7"/>
        <v>12</v>
      </c>
      <c r="V58" s="1">
        <f t="shared" si="8"/>
        <v>6.510702230200387</v>
      </c>
      <c r="W58" s="1">
        <v>9.4443999999999999</v>
      </c>
      <c r="X58" s="1">
        <v>9.3394000000000013</v>
      </c>
      <c r="Y58" s="1">
        <v>11.129799999999999</v>
      </c>
      <c r="Z58" s="1">
        <v>7.8465999999999996</v>
      </c>
      <c r="AA58" s="1">
        <v>5.8376000000000001</v>
      </c>
      <c r="AB58" s="1">
        <v>7.4585999999999997</v>
      </c>
      <c r="AC58" s="1">
        <v>5.7283999999999997</v>
      </c>
      <c r="AD58" s="1">
        <v>4.1044</v>
      </c>
      <c r="AE58" s="1"/>
      <c r="AF58" s="1">
        <f t="shared" si="14"/>
        <v>56.26639999999999</v>
      </c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 t="s">
        <v>95</v>
      </c>
      <c r="B59" s="1" t="s">
        <v>34</v>
      </c>
      <c r="C59" s="1">
        <v>32.340000000000003</v>
      </c>
      <c r="D59" s="1">
        <v>96.873999999999995</v>
      </c>
      <c r="E59" s="1">
        <v>34.253</v>
      </c>
      <c r="F59" s="1">
        <v>92.25</v>
      </c>
      <c r="G59" s="8">
        <v>1</v>
      </c>
      <c r="H59" s="1">
        <v>40</v>
      </c>
      <c r="I59" s="1" t="s">
        <v>35</v>
      </c>
      <c r="J59" s="1"/>
      <c r="K59" s="1">
        <v>34.200000000000003</v>
      </c>
      <c r="L59" s="1">
        <f t="shared" si="11"/>
        <v>5.2999999999997272E-2</v>
      </c>
      <c r="M59" s="1">
        <f t="shared" si="4"/>
        <v>34.253</v>
      </c>
      <c r="N59" s="1"/>
      <c r="O59" s="1"/>
      <c r="P59" s="1">
        <f t="shared" si="5"/>
        <v>6.8506</v>
      </c>
      <c r="Q59" s="5"/>
      <c r="R59" s="5"/>
      <c r="S59" s="1"/>
      <c r="T59" s="1"/>
      <c r="U59" s="1">
        <f t="shared" si="7"/>
        <v>13.465973783318249</v>
      </c>
      <c r="V59" s="1">
        <f t="shared" si="8"/>
        <v>13.465973783318249</v>
      </c>
      <c r="W59" s="1">
        <v>10.49</v>
      </c>
      <c r="X59" s="1">
        <v>8.8762000000000008</v>
      </c>
      <c r="Y59" s="1">
        <v>6.9022000000000006</v>
      </c>
      <c r="Z59" s="1">
        <v>4.2786</v>
      </c>
      <c r="AA59" s="1">
        <v>5.6212</v>
      </c>
      <c r="AB59" s="1">
        <v>7.9974000000000007</v>
      </c>
      <c r="AC59" s="1">
        <v>4.0177999999999994</v>
      </c>
      <c r="AD59" s="1">
        <v>3.0268000000000002</v>
      </c>
      <c r="AE59" s="1"/>
      <c r="AF59" s="1">
        <f t="shared" si="14"/>
        <v>0</v>
      </c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 t="s">
        <v>96</v>
      </c>
      <c r="B60" s="1" t="s">
        <v>39</v>
      </c>
      <c r="C60" s="1">
        <v>1799</v>
      </c>
      <c r="D60" s="1">
        <v>637</v>
      </c>
      <c r="E60" s="1">
        <v>892</v>
      </c>
      <c r="F60" s="1">
        <v>1390</v>
      </c>
      <c r="G60" s="8">
        <v>0.4</v>
      </c>
      <c r="H60" s="1">
        <v>40</v>
      </c>
      <c r="I60" s="1" t="s">
        <v>35</v>
      </c>
      <c r="J60" s="1"/>
      <c r="K60" s="1">
        <v>941</v>
      </c>
      <c r="L60" s="1">
        <f t="shared" si="11"/>
        <v>-49</v>
      </c>
      <c r="M60" s="1">
        <f t="shared" si="4"/>
        <v>892</v>
      </c>
      <c r="N60" s="1"/>
      <c r="O60" s="1"/>
      <c r="P60" s="1">
        <f t="shared" si="5"/>
        <v>178.4</v>
      </c>
      <c r="Q60" s="5">
        <f t="shared" ref="Q60:Q61" si="16">12*P60-F60</f>
        <v>750.80000000000018</v>
      </c>
      <c r="R60" s="5"/>
      <c r="S60" s="1"/>
      <c r="T60" s="1"/>
      <c r="U60" s="1">
        <f t="shared" si="7"/>
        <v>12</v>
      </c>
      <c r="V60" s="1">
        <f t="shared" si="8"/>
        <v>7.7914798206278029</v>
      </c>
      <c r="W60" s="1">
        <v>193.6</v>
      </c>
      <c r="X60" s="1">
        <v>214.4</v>
      </c>
      <c r="Y60" s="1">
        <v>228.8</v>
      </c>
      <c r="Z60" s="1">
        <v>228.4</v>
      </c>
      <c r="AA60" s="1">
        <v>196.6</v>
      </c>
      <c r="AB60" s="1">
        <v>176.2</v>
      </c>
      <c r="AC60" s="1">
        <v>180.6</v>
      </c>
      <c r="AD60" s="1">
        <v>184.4</v>
      </c>
      <c r="AE60" s="1"/>
      <c r="AF60" s="1">
        <f t="shared" si="14"/>
        <v>300.32000000000011</v>
      </c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 t="s">
        <v>97</v>
      </c>
      <c r="B61" s="1" t="s">
        <v>39</v>
      </c>
      <c r="C61" s="1">
        <v>1278</v>
      </c>
      <c r="D61" s="1">
        <v>320</v>
      </c>
      <c r="E61" s="1">
        <v>630</v>
      </c>
      <c r="F61" s="1">
        <v>822</v>
      </c>
      <c r="G61" s="8">
        <v>0.4</v>
      </c>
      <c r="H61" s="1">
        <v>40</v>
      </c>
      <c r="I61" s="1" t="s">
        <v>35</v>
      </c>
      <c r="J61" s="1"/>
      <c r="K61" s="1">
        <v>688</v>
      </c>
      <c r="L61" s="1">
        <f t="shared" si="11"/>
        <v>-58</v>
      </c>
      <c r="M61" s="1">
        <f t="shared" si="4"/>
        <v>630</v>
      </c>
      <c r="N61" s="1"/>
      <c r="O61" s="1"/>
      <c r="P61" s="1">
        <f t="shared" si="5"/>
        <v>126</v>
      </c>
      <c r="Q61" s="5">
        <f t="shared" si="16"/>
        <v>690</v>
      </c>
      <c r="R61" s="5"/>
      <c r="S61" s="1"/>
      <c r="T61" s="1"/>
      <c r="U61" s="1">
        <f t="shared" si="7"/>
        <v>12</v>
      </c>
      <c r="V61" s="1">
        <f t="shared" si="8"/>
        <v>6.5238095238095237</v>
      </c>
      <c r="W61" s="1">
        <v>123</v>
      </c>
      <c r="X61" s="1">
        <v>139.4</v>
      </c>
      <c r="Y61" s="1">
        <v>156</v>
      </c>
      <c r="Z61" s="1">
        <v>158.4</v>
      </c>
      <c r="AA61" s="1">
        <v>148.19999999999999</v>
      </c>
      <c r="AB61" s="1">
        <v>122</v>
      </c>
      <c r="AC61" s="1">
        <v>126.6</v>
      </c>
      <c r="AD61" s="1">
        <v>132</v>
      </c>
      <c r="AE61" s="1"/>
      <c r="AF61" s="1">
        <f t="shared" si="14"/>
        <v>276</v>
      </c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 t="s">
        <v>98</v>
      </c>
      <c r="B62" s="1" t="s">
        <v>34</v>
      </c>
      <c r="C62" s="1">
        <v>823.68399999999997</v>
      </c>
      <c r="D62" s="1">
        <v>957.13599999999997</v>
      </c>
      <c r="E62" s="1">
        <v>810.98699999999997</v>
      </c>
      <c r="F62" s="1">
        <v>720.93899999999996</v>
      </c>
      <c r="G62" s="8">
        <v>1</v>
      </c>
      <c r="H62" s="1">
        <v>40</v>
      </c>
      <c r="I62" s="1" t="s">
        <v>35</v>
      </c>
      <c r="J62" s="1"/>
      <c r="K62" s="1">
        <v>893.17600000000004</v>
      </c>
      <c r="L62" s="1">
        <f t="shared" si="11"/>
        <v>-82.189000000000078</v>
      </c>
      <c r="M62" s="1">
        <f t="shared" si="4"/>
        <v>810.98699999999997</v>
      </c>
      <c r="N62" s="1"/>
      <c r="O62" s="1"/>
      <c r="P62" s="1">
        <f t="shared" si="5"/>
        <v>162.19739999999999</v>
      </c>
      <c r="Q62" s="5">
        <f>11*P62-F62</f>
        <v>1063.2323999999999</v>
      </c>
      <c r="R62" s="5"/>
      <c r="S62" s="1"/>
      <c r="T62" s="1"/>
      <c r="U62" s="1">
        <f t="shared" si="7"/>
        <v>11</v>
      </c>
      <c r="V62" s="1">
        <f t="shared" si="8"/>
        <v>4.4448246396058142</v>
      </c>
      <c r="W62" s="1">
        <v>134.4308</v>
      </c>
      <c r="X62" s="1">
        <v>116.4502</v>
      </c>
      <c r="Y62" s="1">
        <v>121.652</v>
      </c>
      <c r="Z62" s="1">
        <v>108.2684</v>
      </c>
      <c r="AA62" s="1">
        <v>108.13200000000001</v>
      </c>
      <c r="AB62" s="1">
        <v>125.53660000000001</v>
      </c>
      <c r="AC62" s="1">
        <v>136.41659999999999</v>
      </c>
      <c r="AD62" s="1">
        <v>113.4212</v>
      </c>
      <c r="AE62" s="1"/>
      <c r="AF62" s="1">
        <f t="shared" si="14"/>
        <v>1063.2323999999999</v>
      </c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 t="s">
        <v>99</v>
      </c>
      <c r="B63" s="1" t="s">
        <v>34</v>
      </c>
      <c r="C63" s="1">
        <v>358.02199999999999</v>
      </c>
      <c r="D63" s="1">
        <v>657.11500000000001</v>
      </c>
      <c r="E63" s="1">
        <v>568.91300000000001</v>
      </c>
      <c r="F63" s="1">
        <v>291.137</v>
      </c>
      <c r="G63" s="8">
        <v>1</v>
      </c>
      <c r="H63" s="1">
        <v>40</v>
      </c>
      <c r="I63" s="1" t="s">
        <v>35</v>
      </c>
      <c r="J63" s="1"/>
      <c r="K63" s="1">
        <v>617.29499999999996</v>
      </c>
      <c r="L63" s="1">
        <f t="shared" si="11"/>
        <v>-48.381999999999948</v>
      </c>
      <c r="M63" s="1">
        <f t="shared" si="4"/>
        <v>482.76800000000003</v>
      </c>
      <c r="N63" s="1">
        <v>86.144999999999996</v>
      </c>
      <c r="O63" s="1"/>
      <c r="P63" s="1">
        <f t="shared" si="5"/>
        <v>96.553600000000003</v>
      </c>
      <c r="Q63" s="5">
        <f>10*P63-F63</f>
        <v>674.39900000000011</v>
      </c>
      <c r="R63" s="5"/>
      <c r="S63" s="1"/>
      <c r="T63" s="1"/>
      <c r="U63" s="1">
        <f t="shared" si="7"/>
        <v>10</v>
      </c>
      <c r="V63" s="1">
        <f t="shared" si="8"/>
        <v>3.0152889172438933</v>
      </c>
      <c r="W63" s="1">
        <v>75.583600000000004</v>
      </c>
      <c r="X63" s="1">
        <v>79.619200000000006</v>
      </c>
      <c r="Y63" s="1">
        <v>69.424200000000013</v>
      </c>
      <c r="Z63" s="1">
        <v>67.4358</v>
      </c>
      <c r="AA63" s="1">
        <v>58.606599999999993</v>
      </c>
      <c r="AB63" s="1">
        <v>53.909799999999997</v>
      </c>
      <c r="AC63" s="1">
        <v>56.66340000000001</v>
      </c>
      <c r="AD63" s="1">
        <v>59.118600000000001</v>
      </c>
      <c r="AE63" s="1"/>
      <c r="AF63" s="1">
        <f t="shared" si="14"/>
        <v>674.39900000000011</v>
      </c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 t="s">
        <v>100</v>
      </c>
      <c r="B64" s="1" t="s">
        <v>34</v>
      </c>
      <c r="C64" s="1">
        <v>324.88600000000002</v>
      </c>
      <c r="D64" s="1">
        <v>951.18899999999996</v>
      </c>
      <c r="E64" s="1">
        <v>655.42200000000003</v>
      </c>
      <c r="F64" s="1">
        <v>397.31400000000002</v>
      </c>
      <c r="G64" s="8">
        <v>1</v>
      </c>
      <c r="H64" s="1">
        <v>40</v>
      </c>
      <c r="I64" s="1" t="s">
        <v>35</v>
      </c>
      <c r="J64" s="1"/>
      <c r="K64" s="1">
        <v>759.69200000000001</v>
      </c>
      <c r="L64" s="1">
        <f t="shared" si="11"/>
        <v>-104.26999999999998</v>
      </c>
      <c r="M64" s="1">
        <f t="shared" si="4"/>
        <v>514.03</v>
      </c>
      <c r="N64" s="1">
        <v>141.392</v>
      </c>
      <c r="O64" s="1"/>
      <c r="P64" s="1">
        <f t="shared" si="5"/>
        <v>102.806</v>
      </c>
      <c r="Q64" s="5">
        <f>11*P64-F64</f>
        <v>733.55199999999991</v>
      </c>
      <c r="R64" s="5"/>
      <c r="S64" s="1"/>
      <c r="T64" s="1"/>
      <c r="U64" s="1">
        <f t="shared" si="7"/>
        <v>11</v>
      </c>
      <c r="V64" s="1">
        <f t="shared" si="8"/>
        <v>3.8646966130381499</v>
      </c>
      <c r="W64" s="1">
        <v>92.429000000000002</v>
      </c>
      <c r="X64" s="1">
        <v>93.965800000000002</v>
      </c>
      <c r="Y64" s="1">
        <v>72.241599999999991</v>
      </c>
      <c r="Z64" s="1">
        <v>76.343199999999996</v>
      </c>
      <c r="AA64" s="1">
        <v>82.772999999999996</v>
      </c>
      <c r="AB64" s="1">
        <v>73.986000000000004</v>
      </c>
      <c r="AC64" s="1">
        <v>64.55080000000001</v>
      </c>
      <c r="AD64" s="1">
        <v>66.826800000000006</v>
      </c>
      <c r="AE64" s="1"/>
      <c r="AF64" s="1">
        <f t="shared" si="14"/>
        <v>733.55199999999991</v>
      </c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 t="s">
        <v>101</v>
      </c>
      <c r="B65" s="1" t="s">
        <v>34</v>
      </c>
      <c r="C65" s="1">
        <v>80.563000000000002</v>
      </c>
      <c r="D65" s="1">
        <v>198.16</v>
      </c>
      <c r="E65" s="1">
        <v>102.38500000000001</v>
      </c>
      <c r="F65" s="1">
        <v>142.00800000000001</v>
      </c>
      <c r="G65" s="8">
        <v>1</v>
      </c>
      <c r="H65" s="1">
        <v>30</v>
      </c>
      <c r="I65" s="1" t="s">
        <v>35</v>
      </c>
      <c r="J65" s="1"/>
      <c r="K65" s="1">
        <v>108.45</v>
      </c>
      <c r="L65" s="1">
        <f t="shared" si="11"/>
        <v>-6.0649999999999977</v>
      </c>
      <c r="M65" s="1">
        <f t="shared" si="4"/>
        <v>102.38500000000001</v>
      </c>
      <c r="N65" s="1"/>
      <c r="O65" s="1"/>
      <c r="P65" s="1">
        <f t="shared" si="5"/>
        <v>20.477</v>
      </c>
      <c r="Q65" s="5">
        <f>11*P65-F65</f>
        <v>83.239000000000004</v>
      </c>
      <c r="R65" s="5"/>
      <c r="S65" s="1"/>
      <c r="T65" s="1"/>
      <c r="U65" s="1">
        <f t="shared" si="7"/>
        <v>11</v>
      </c>
      <c r="V65" s="1">
        <f t="shared" si="8"/>
        <v>6.9350002441763934</v>
      </c>
      <c r="W65" s="1">
        <v>24.0608</v>
      </c>
      <c r="X65" s="1">
        <v>21.084</v>
      </c>
      <c r="Y65" s="1">
        <v>17.145399999999999</v>
      </c>
      <c r="Z65" s="1">
        <v>19.202000000000002</v>
      </c>
      <c r="AA65" s="1">
        <v>17.738800000000001</v>
      </c>
      <c r="AB65" s="1">
        <v>19.161200000000001</v>
      </c>
      <c r="AC65" s="1">
        <v>19.527999999999999</v>
      </c>
      <c r="AD65" s="1">
        <v>18.597999999999999</v>
      </c>
      <c r="AE65" s="1" t="s">
        <v>68</v>
      </c>
      <c r="AF65" s="1">
        <f t="shared" si="14"/>
        <v>83.239000000000004</v>
      </c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 t="s">
        <v>102</v>
      </c>
      <c r="B66" s="1" t="s">
        <v>39</v>
      </c>
      <c r="C66" s="1">
        <v>110</v>
      </c>
      <c r="D66" s="1">
        <v>64</v>
      </c>
      <c r="E66" s="1">
        <v>128</v>
      </c>
      <c r="F66" s="1">
        <v>29</v>
      </c>
      <c r="G66" s="8">
        <v>0.6</v>
      </c>
      <c r="H66" s="1">
        <v>60</v>
      </c>
      <c r="I66" s="1" t="s">
        <v>35</v>
      </c>
      <c r="J66" s="1"/>
      <c r="K66" s="1">
        <v>136</v>
      </c>
      <c r="L66" s="1">
        <f t="shared" si="11"/>
        <v>-8</v>
      </c>
      <c r="M66" s="1">
        <f t="shared" si="4"/>
        <v>128</v>
      </c>
      <c r="N66" s="1"/>
      <c r="O66" s="1"/>
      <c r="P66" s="1">
        <f t="shared" si="5"/>
        <v>25.6</v>
      </c>
      <c r="Q66" s="5">
        <f>9*P66-F66</f>
        <v>201.4</v>
      </c>
      <c r="R66" s="5"/>
      <c r="S66" s="1"/>
      <c r="T66" s="1"/>
      <c r="U66" s="1">
        <f t="shared" si="7"/>
        <v>9</v>
      </c>
      <c r="V66" s="1">
        <f t="shared" si="8"/>
        <v>1.1328125</v>
      </c>
      <c r="W66" s="1">
        <v>11</v>
      </c>
      <c r="X66" s="1">
        <v>13.8</v>
      </c>
      <c r="Y66" s="1">
        <v>14</v>
      </c>
      <c r="Z66" s="1">
        <v>13.8</v>
      </c>
      <c r="AA66" s="1">
        <v>12.8</v>
      </c>
      <c r="AB66" s="1">
        <v>14.4</v>
      </c>
      <c r="AC66" s="1">
        <v>14.4</v>
      </c>
      <c r="AD66" s="1">
        <v>13.8</v>
      </c>
      <c r="AE66" s="1" t="s">
        <v>93</v>
      </c>
      <c r="AF66" s="1">
        <f t="shared" si="14"/>
        <v>120.84</v>
      </c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 t="s">
        <v>103</v>
      </c>
      <c r="B67" s="1" t="s">
        <v>39</v>
      </c>
      <c r="C67" s="1">
        <v>24</v>
      </c>
      <c r="D67" s="1"/>
      <c r="E67" s="1">
        <v>14</v>
      </c>
      <c r="F67" s="1">
        <v>6</v>
      </c>
      <c r="G67" s="8">
        <v>0.6</v>
      </c>
      <c r="H67" s="1">
        <v>60</v>
      </c>
      <c r="I67" s="1" t="s">
        <v>35</v>
      </c>
      <c r="J67" s="1"/>
      <c r="K67" s="1">
        <v>14</v>
      </c>
      <c r="L67" s="1">
        <f t="shared" si="11"/>
        <v>0</v>
      </c>
      <c r="M67" s="1">
        <f t="shared" si="4"/>
        <v>14</v>
      </c>
      <c r="N67" s="1"/>
      <c r="O67" s="1"/>
      <c r="P67" s="1">
        <f t="shared" si="5"/>
        <v>2.8</v>
      </c>
      <c r="Q67" s="5">
        <f>10*P67-F67</f>
        <v>22</v>
      </c>
      <c r="R67" s="5"/>
      <c r="S67" s="1"/>
      <c r="T67" s="1"/>
      <c r="U67" s="1">
        <f t="shared" si="7"/>
        <v>10</v>
      </c>
      <c r="V67" s="1">
        <f t="shared" si="8"/>
        <v>2.1428571428571428</v>
      </c>
      <c r="W67" s="1">
        <v>1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 t="s">
        <v>104</v>
      </c>
      <c r="AF67" s="1">
        <f t="shared" si="14"/>
        <v>13.2</v>
      </c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2" t="s">
        <v>105</v>
      </c>
      <c r="B68" s="12" t="s">
        <v>39</v>
      </c>
      <c r="C68" s="12">
        <v>-2</v>
      </c>
      <c r="D68" s="12"/>
      <c r="E68" s="12"/>
      <c r="F68" s="12">
        <v>-2</v>
      </c>
      <c r="G68" s="13">
        <v>0</v>
      </c>
      <c r="H68" s="12">
        <v>50</v>
      </c>
      <c r="I68" s="12" t="s">
        <v>106</v>
      </c>
      <c r="J68" s="12"/>
      <c r="K68" s="12">
        <v>6</v>
      </c>
      <c r="L68" s="12">
        <f t="shared" si="11"/>
        <v>-6</v>
      </c>
      <c r="M68" s="12">
        <f t="shared" si="4"/>
        <v>0</v>
      </c>
      <c r="N68" s="12"/>
      <c r="O68" s="12"/>
      <c r="P68" s="12">
        <f t="shared" si="5"/>
        <v>0</v>
      </c>
      <c r="Q68" s="14"/>
      <c r="R68" s="14"/>
      <c r="S68" s="12"/>
      <c r="T68" s="12"/>
      <c r="U68" s="12" t="e">
        <f t="shared" si="7"/>
        <v>#DIV/0!</v>
      </c>
      <c r="V68" s="12" t="e">
        <f t="shared" si="8"/>
        <v>#DIV/0!</v>
      </c>
      <c r="W68" s="12">
        <v>0.2</v>
      </c>
      <c r="X68" s="12">
        <v>0.2</v>
      </c>
      <c r="Y68" s="12">
        <v>-0.2</v>
      </c>
      <c r="Z68" s="12">
        <v>0.2</v>
      </c>
      <c r="AA68" s="12">
        <v>3.8</v>
      </c>
      <c r="AB68" s="12">
        <v>9.6</v>
      </c>
      <c r="AC68" s="12">
        <v>14.4</v>
      </c>
      <c r="AD68" s="12">
        <v>16.2</v>
      </c>
      <c r="AE68" s="12"/>
      <c r="AF68" s="12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 t="s">
        <v>107</v>
      </c>
      <c r="B69" s="1" t="s">
        <v>39</v>
      </c>
      <c r="C69" s="1">
        <v>645</v>
      </c>
      <c r="D69" s="1">
        <v>791</v>
      </c>
      <c r="E69" s="1">
        <v>625</v>
      </c>
      <c r="F69" s="1">
        <v>711</v>
      </c>
      <c r="G69" s="8">
        <v>0.37</v>
      </c>
      <c r="H69" s="1">
        <v>50</v>
      </c>
      <c r="I69" s="1" t="s">
        <v>35</v>
      </c>
      <c r="J69" s="1"/>
      <c r="K69" s="1">
        <v>642</v>
      </c>
      <c r="L69" s="1">
        <f t="shared" si="11"/>
        <v>-17</v>
      </c>
      <c r="M69" s="1">
        <f t="shared" si="4"/>
        <v>625</v>
      </c>
      <c r="N69" s="1"/>
      <c r="O69" s="1"/>
      <c r="P69" s="1">
        <f t="shared" si="5"/>
        <v>125</v>
      </c>
      <c r="Q69" s="5">
        <f t="shared" ref="Q69:Q85" si="17">13*P69-F69</f>
        <v>914</v>
      </c>
      <c r="R69" s="5"/>
      <c r="S69" s="1"/>
      <c r="T69" s="1"/>
      <c r="U69" s="1">
        <f t="shared" si="7"/>
        <v>13</v>
      </c>
      <c r="V69" s="1">
        <f t="shared" si="8"/>
        <v>5.6879999999999997</v>
      </c>
      <c r="W69" s="1">
        <v>95.8</v>
      </c>
      <c r="X69" s="1">
        <v>85</v>
      </c>
      <c r="Y69" s="1">
        <v>75</v>
      </c>
      <c r="Z69" s="1">
        <v>83.6</v>
      </c>
      <c r="AA69" s="1">
        <v>87.4</v>
      </c>
      <c r="AB69" s="1">
        <v>83.8</v>
      </c>
      <c r="AC69" s="1">
        <v>117.6</v>
      </c>
      <c r="AD69" s="1">
        <v>115.6</v>
      </c>
      <c r="AE69" s="1"/>
      <c r="AF69" s="1">
        <f t="shared" ref="AF69:AF88" si="18">G69*Q69</f>
        <v>338.18</v>
      </c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 t="s">
        <v>108</v>
      </c>
      <c r="B70" s="1" t="s">
        <v>39</v>
      </c>
      <c r="C70" s="1">
        <v>53</v>
      </c>
      <c r="D70" s="1">
        <v>62</v>
      </c>
      <c r="E70" s="1">
        <v>49</v>
      </c>
      <c r="F70" s="1">
        <v>51</v>
      </c>
      <c r="G70" s="8">
        <v>0.4</v>
      </c>
      <c r="H70" s="1">
        <v>30</v>
      </c>
      <c r="I70" s="1" t="s">
        <v>35</v>
      </c>
      <c r="J70" s="1"/>
      <c r="K70" s="1">
        <v>52</v>
      </c>
      <c r="L70" s="1">
        <f t="shared" ref="L70:L94" si="19">E70-K70</f>
        <v>-3</v>
      </c>
      <c r="M70" s="1">
        <f t="shared" si="4"/>
        <v>49</v>
      </c>
      <c r="N70" s="1"/>
      <c r="O70" s="1"/>
      <c r="P70" s="1">
        <f t="shared" si="5"/>
        <v>9.8000000000000007</v>
      </c>
      <c r="Q70" s="5">
        <f>11*P70-F70</f>
        <v>56.800000000000011</v>
      </c>
      <c r="R70" s="5"/>
      <c r="S70" s="1"/>
      <c r="T70" s="1"/>
      <c r="U70" s="1">
        <f t="shared" si="7"/>
        <v>11</v>
      </c>
      <c r="V70" s="1">
        <f t="shared" si="8"/>
        <v>5.204081632653061</v>
      </c>
      <c r="W70" s="1">
        <v>8.8000000000000007</v>
      </c>
      <c r="X70" s="1">
        <v>7.4</v>
      </c>
      <c r="Y70" s="1">
        <v>7.4</v>
      </c>
      <c r="Z70" s="1">
        <v>7.2</v>
      </c>
      <c r="AA70" s="1">
        <v>6.2</v>
      </c>
      <c r="AB70" s="1">
        <v>7</v>
      </c>
      <c r="AC70" s="1">
        <v>8.4</v>
      </c>
      <c r="AD70" s="1">
        <v>5.8</v>
      </c>
      <c r="AE70" s="1"/>
      <c r="AF70" s="1">
        <f t="shared" si="18"/>
        <v>22.720000000000006</v>
      </c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 t="s">
        <v>109</v>
      </c>
      <c r="B71" s="1" t="s">
        <v>39</v>
      </c>
      <c r="C71" s="1">
        <v>1</v>
      </c>
      <c r="D71" s="1">
        <v>384</v>
      </c>
      <c r="E71" s="1">
        <v>138.80000000000001</v>
      </c>
      <c r="F71" s="1">
        <v>181.2</v>
      </c>
      <c r="G71" s="8">
        <v>0.6</v>
      </c>
      <c r="H71" s="1">
        <v>55</v>
      </c>
      <c r="I71" s="1" t="s">
        <v>35</v>
      </c>
      <c r="J71" s="1"/>
      <c r="K71" s="1">
        <v>193.8</v>
      </c>
      <c r="L71" s="1">
        <f t="shared" si="19"/>
        <v>-55</v>
      </c>
      <c r="M71" s="1">
        <f t="shared" ref="M71:M94" si="20">E71-N71</f>
        <v>138.80000000000001</v>
      </c>
      <c r="N71" s="1"/>
      <c r="O71" s="1"/>
      <c r="P71" s="1">
        <f t="shared" ref="P71:P94" si="21">M71/5</f>
        <v>27.76</v>
      </c>
      <c r="Q71" s="5">
        <f t="shared" si="17"/>
        <v>179.68</v>
      </c>
      <c r="R71" s="5"/>
      <c r="S71" s="1"/>
      <c r="T71" s="1"/>
      <c r="U71" s="1">
        <f t="shared" ref="U71:U94" si="22">(F71+Q71)/P71</f>
        <v>12.999999999999998</v>
      </c>
      <c r="V71" s="1">
        <f t="shared" ref="V71:V94" si="23">F71/P71</f>
        <v>6.5273775216138317</v>
      </c>
      <c r="W71" s="1">
        <v>27</v>
      </c>
      <c r="X71" s="1">
        <v>17.920000000000002</v>
      </c>
      <c r="Y71" s="1">
        <v>11.6</v>
      </c>
      <c r="Z71" s="1">
        <v>13.2</v>
      </c>
      <c r="AA71" s="1">
        <v>15.2</v>
      </c>
      <c r="AB71" s="1">
        <v>16.399999999999999</v>
      </c>
      <c r="AC71" s="1">
        <v>13.8</v>
      </c>
      <c r="AD71" s="1">
        <v>8.1999999999999993</v>
      </c>
      <c r="AE71" s="1" t="s">
        <v>68</v>
      </c>
      <c r="AF71" s="1">
        <f t="shared" si="18"/>
        <v>107.80800000000001</v>
      </c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8" t="s">
        <v>110</v>
      </c>
      <c r="B72" s="1" t="s">
        <v>39</v>
      </c>
      <c r="C72" s="1"/>
      <c r="D72" s="1"/>
      <c r="E72" s="1"/>
      <c r="F72" s="1"/>
      <c r="G72" s="8">
        <v>0.45</v>
      </c>
      <c r="H72" s="1">
        <v>40</v>
      </c>
      <c r="I72" s="1" t="s">
        <v>35</v>
      </c>
      <c r="J72" s="1"/>
      <c r="K72" s="1"/>
      <c r="L72" s="1">
        <f t="shared" si="19"/>
        <v>0</v>
      </c>
      <c r="M72" s="1">
        <f t="shared" si="20"/>
        <v>0</v>
      </c>
      <c r="N72" s="1"/>
      <c r="O72" s="1"/>
      <c r="P72" s="1">
        <f t="shared" si="21"/>
        <v>0</v>
      </c>
      <c r="Q72" s="19">
        <v>10</v>
      </c>
      <c r="R72" s="5"/>
      <c r="S72" s="1"/>
      <c r="T72" s="1"/>
      <c r="U72" s="1" t="e">
        <f t="shared" si="22"/>
        <v>#DIV/0!</v>
      </c>
      <c r="V72" s="1" t="e">
        <f t="shared" si="23"/>
        <v>#DIV/0!</v>
      </c>
      <c r="W72" s="1">
        <v>0</v>
      </c>
      <c r="X72" s="1">
        <v>0</v>
      </c>
      <c r="Y72" s="1">
        <v>0</v>
      </c>
      <c r="Z72" s="1">
        <v>-0.2</v>
      </c>
      <c r="AA72" s="1">
        <v>-0.2</v>
      </c>
      <c r="AB72" s="1">
        <v>0.4</v>
      </c>
      <c r="AC72" s="1">
        <v>2.6</v>
      </c>
      <c r="AD72" s="1">
        <v>6.2</v>
      </c>
      <c r="AE72" s="18" t="s">
        <v>111</v>
      </c>
      <c r="AF72" s="1">
        <f t="shared" si="18"/>
        <v>4.5</v>
      </c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 t="s">
        <v>112</v>
      </c>
      <c r="B73" s="1" t="s">
        <v>39</v>
      </c>
      <c r="C73" s="1">
        <v>580</v>
      </c>
      <c r="D73" s="1">
        <v>900</v>
      </c>
      <c r="E73" s="1">
        <v>611</v>
      </c>
      <c r="F73" s="1">
        <v>777</v>
      </c>
      <c r="G73" s="8">
        <v>0.4</v>
      </c>
      <c r="H73" s="1">
        <v>50</v>
      </c>
      <c r="I73" s="1" t="s">
        <v>35</v>
      </c>
      <c r="J73" s="1"/>
      <c r="K73" s="1">
        <v>628</v>
      </c>
      <c r="L73" s="1">
        <f t="shared" si="19"/>
        <v>-17</v>
      </c>
      <c r="M73" s="1">
        <f t="shared" si="20"/>
        <v>593</v>
      </c>
      <c r="N73" s="1">
        <v>18</v>
      </c>
      <c r="O73" s="1"/>
      <c r="P73" s="1">
        <f t="shared" si="21"/>
        <v>118.6</v>
      </c>
      <c r="Q73" s="5">
        <f t="shared" si="17"/>
        <v>764.8</v>
      </c>
      <c r="R73" s="5"/>
      <c r="S73" s="1"/>
      <c r="T73" s="1"/>
      <c r="U73" s="1">
        <f t="shared" si="22"/>
        <v>13</v>
      </c>
      <c r="V73" s="1">
        <f t="shared" si="23"/>
        <v>6.5514333895446883</v>
      </c>
      <c r="W73" s="1">
        <v>99</v>
      </c>
      <c r="X73" s="1">
        <v>90.8</v>
      </c>
      <c r="Y73" s="1">
        <v>79.400000000000006</v>
      </c>
      <c r="Z73" s="1">
        <v>85.4</v>
      </c>
      <c r="AA73" s="1">
        <v>70.599999999999994</v>
      </c>
      <c r="AB73" s="1">
        <v>59</v>
      </c>
      <c r="AC73" s="1">
        <v>56.8</v>
      </c>
      <c r="AD73" s="1">
        <v>47</v>
      </c>
      <c r="AE73" s="1" t="s">
        <v>68</v>
      </c>
      <c r="AF73" s="1">
        <f t="shared" si="18"/>
        <v>305.92</v>
      </c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 t="s">
        <v>113</v>
      </c>
      <c r="B74" s="1" t="s">
        <v>39</v>
      </c>
      <c r="C74" s="1">
        <v>76</v>
      </c>
      <c r="D74" s="1">
        <v>3</v>
      </c>
      <c r="E74" s="1">
        <v>33</v>
      </c>
      <c r="F74" s="1">
        <v>46</v>
      </c>
      <c r="G74" s="8">
        <v>0.4</v>
      </c>
      <c r="H74" s="1">
        <v>55</v>
      </c>
      <c r="I74" s="1" t="s">
        <v>35</v>
      </c>
      <c r="J74" s="1"/>
      <c r="K74" s="1">
        <v>33</v>
      </c>
      <c r="L74" s="1">
        <f t="shared" si="19"/>
        <v>0</v>
      </c>
      <c r="M74" s="1">
        <f t="shared" si="20"/>
        <v>33</v>
      </c>
      <c r="N74" s="1"/>
      <c r="O74" s="1"/>
      <c r="P74" s="1">
        <f t="shared" si="21"/>
        <v>6.6</v>
      </c>
      <c r="Q74" s="5">
        <f t="shared" si="17"/>
        <v>39.799999999999997</v>
      </c>
      <c r="R74" s="5"/>
      <c r="S74" s="1"/>
      <c r="T74" s="1"/>
      <c r="U74" s="1">
        <f t="shared" si="22"/>
        <v>13</v>
      </c>
      <c r="V74" s="1">
        <f t="shared" si="23"/>
        <v>6.9696969696969697</v>
      </c>
      <c r="W74" s="1">
        <v>4.8</v>
      </c>
      <c r="X74" s="1">
        <v>6.4</v>
      </c>
      <c r="Y74" s="1">
        <v>8.8000000000000007</v>
      </c>
      <c r="Z74" s="1">
        <v>7.2</v>
      </c>
      <c r="AA74" s="1">
        <v>4.8</v>
      </c>
      <c r="AB74" s="1">
        <v>3.2</v>
      </c>
      <c r="AC74" s="1">
        <v>4.5999999999999996</v>
      </c>
      <c r="AD74" s="1">
        <v>5.8</v>
      </c>
      <c r="AE74" s="1"/>
      <c r="AF74" s="1">
        <f t="shared" si="18"/>
        <v>15.92</v>
      </c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 t="s">
        <v>114</v>
      </c>
      <c r="B75" s="1" t="s">
        <v>34</v>
      </c>
      <c r="C75" s="1">
        <v>431.69600000000003</v>
      </c>
      <c r="D75" s="1">
        <v>149.95099999999999</v>
      </c>
      <c r="E75" s="1">
        <v>328.56400000000002</v>
      </c>
      <c r="F75" s="1">
        <v>206.745</v>
      </c>
      <c r="G75" s="8">
        <v>1</v>
      </c>
      <c r="H75" s="1">
        <v>55</v>
      </c>
      <c r="I75" s="1" t="s">
        <v>35</v>
      </c>
      <c r="J75" s="1"/>
      <c r="K75" s="1">
        <v>319.8</v>
      </c>
      <c r="L75" s="1">
        <f t="shared" si="19"/>
        <v>8.76400000000001</v>
      </c>
      <c r="M75" s="1">
        <f t="shared" si="20"/>
        <v>328.56400000000002</v>
      </c>
      <c r="N75" s="1"/>
      <c r="O75" s="1"/>
      <c r="P75" s="1">
        <f t="shared" si="21"/>
        <v>65.712800000000001</v>
      </c>
      <c r="Q75" s="5">
        <f>11*P75-F75</f>
        <v>516.09580000000005</v>
      </c>
      <c r="R75" s="5"/>
      <c r="S75" s="1"/>
      <c r="T75" s="1"/>
      <c r="U75" s="1">
        <f t="shared" si="22"/>
        <v>11</v>
      </c>
      <c r="V75" s="1">
        <f t="shared" si="23"/>
        <v>3.1461906964853119</v>
      </c>
      <c r="W75" s="1">
        <v>40.026799999999987</v>
      </c>
      <c r="X75" s="1">
        <v>43.802399999999999</v>
      </c>
      <c r="Y75" s="1">
        <v>49.250799999999998</v>
      </c>
      <c r="Z75" s="1">
        <v>44.468000000000004</v>
      </c>
      <c r="AA75" s="1">
        <v>54.786199999999987</v>
      </c>
      <c r="AB75" s="1">
        <v>67.261600000000001</v>
      </c>
      <c r="AC75" s="1">
        <v>89.215400000000002</v>
      </c>
      <c r="AD75" s="1">
        <v>94.238199999999992</v>
      </c>
      <c r="AE75" s="1" t="s">
        <v>66</v>
      </c>
      <c r="AF75" s="1">
        <f t="shared" si="18"/>
        <v>516.09580000000005</v>
      </c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 t="s">
        <v>115</v>
      </c>
      <c r="B76" s="1" t="s">
        <v>34</v>
      </c>
      <c r="C76" s="1">
        <v>993.46100000000001</v>
      </c>
      <c r="D76" s="1">
        <v>1178.4749999999999</v>
      </c>
      <c r="E76" s="1">
        <v>871.49199999999996</v>
      </c>
      <c r="F76" s="1">
        <v>1131.9559999999999</v>
      </c>
      <c r="G76" s="8">
        <v>1</v>
      </c>
      <c r="H76" s="1">
        <v>60</v>
      </c>
      <c r="I76" s="1" t="s">
        <v>35</v>
      </c>
      <c r="J76" s="1"/>
      <c r="K76" s="1">
        <v>913.92</v>
      </c>
      <c r="L76" s="1">
        <f t="shared" si="19"/>
        <v>-42.427999999999997</v>
      </c>
      <c r="M76" s="1">
        <f t="shared" si="20"/>
        <v>851.01199999999994</v>
      </c>
      <c r="N76" s="1">
        <v>20.48</v>
      </c>
      <c r="O76" s="1"/>
      <c r="P76" s="1">
        <f t="shared" si="21"/>
        <v>170.20239999999998</v>
      </c>
      <c r="Q76" s="5">
        <f t="shared" si="17"/>
        <v>1080.6751999999999</v>
      </c>
      <c r="R76" s="5"/>
      <c r="S76" s="1"/>
      <c r="T76" s="1"/>
      <c r="U76" s="1">
        <f t="shared" si="22"/>
        <v>13</v>
      </c>
      <c r="V76" s="1">
        <f t="shared" si="23"/>
        <v>6.6506465243733341</v>
      </c>
      <c r="W76" s="1">
        <v>146.2998</v>
      </c>
      <c r="X76" s="1">
        <v>142.84119999999999</v>
      </c>
      <c r="Y76" s="1">
        <v>135.79640000000001</v>
      </c>
      <c r="Z76" s="1">
        <v>133.3998</v>
      </c>
      <c r="AA76" s="1">
        <v>129.43180000000001</v>
      </c>
      <c r="AB76" s="1">
        <v>132.5378</v>
      </c>
      <c r="AC76" s="1">
        <v>138.80619999999999</v>
      </c>
      <c r="AD76" s="1">
        <v>144.02619999999999</v>
      </c>
      <c r="AE76" s="11" t="s">
        <v>137</v>
      </c>
      <c r="AF76" s="1">
        <f t="shared" si="18"/>
        <v>1080.6751999999999</v>
      </c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 t="s">
        <v>116</v>
      </c>
      <c r="B77" s="1" t="s">
        <v>34</v>
      </c>
      <c r="C77" s="1">
        <v>1372.64</v>
      </c>
      <c r="D77" s="1">
        <v>1668.539</v>
      </c>
      <c r="E77" s="1">
        <v>1168.03</v>
      </c>
      <c r="F77" s="1">
        <v>1599.614</v>
      </c>
      <c r="G77" s="8">
        <v>1</v>
      </c>
      <c r="H77" s="1">
        <v>60</v>
      </c>
      <c r="I77" s="1" t="s">
        <v>35</v>
      </c>
      <c r="J77" s="1"/>
      <c r="K77" s="1">
        <v>1311.69</v>
      </c>
      <c r="L77" s="1">
        <f t="shared" si="19"/>
        <v>-143.66000000000008</v>
      </c>
      <c r="M77" s="1">
        <f t="shared" si="20"/>
        <v>1034.04</v>
      </c>
      <c r="N77" s="1">
        <v>133.99</v>
      </c>
      <c r="O77" s="1"/>
      <c r="P77" s="1">
        <f t="shared" si="21"/>
        <v>206.80799999999999</v>
      </c>
      <c r="Q77" s="5">
        <f t="shared" si="17"/>
        <v>1088.8899999999999</v>
      </c>
      <c r="R77" s="5"/>
      <c r="S77" s="1"/>
      <c r="T77" s="1"/>
      <c r="U77" s="1">
        <f t="shared" si="22"/>
        <v>13</v>
      </c>
      <c r="V77" s="1">
        <f t="shared" si="23"/>
        <v>7.7347781517156013</v>
      </c>
      <c r="W77" s="1">
        <v>196.8236</v>
      </c>
      <c r="X77" s="1">
        <v>207.64080000000001</v>
      </c>
      <c r="Y77" s="1">
        <v>184.62219999999999</v>
      </c>
      <c r="Z77" s="1">
        <v>188.2578</v>
      </c>
      <c r="AA77" s="1">
        <v>216.38939999999999</v>
      </c>
      <c r="AB77" s="1">
        <v>220.108</v>
      </c>
      <c r="AC77" s="1">
        <v>235.29859999999999</v>
      </c>
      <c r="AD77" s="1">
        <v>252.2998</v>
      </c>
      <c r="AE77" s="1"/>
      <c r="AF77" s="1">
        <f t="shared" si="18"/>
        <v>1088.8899999999999</v>
      </c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 t="s">
        <v>117</v>
      </c>
      <c r="B78" s="1" t="s">
        <v>34</v>
      </c>
      <c r="C78" s="1">
        <v>1839.9949999999999</v>
      </c>
      <c r="D78" s="1">
        <v>1373.912</v>
      </c>
      <c r="E78" s="1">
        <v>1630.146</v>
      </c>
      <c r="F78" s="1">
        <v>1195.5129999999999</v>
      </c>
      <c r="G78" s="8">
        <v>1</v>
      </c>
      <c r="H78" s="1">
        <v>60</v>
      </c>
      <c r="I78" s="1" t="s">
        <v>35</v>
      </c>
      <c r="J78" s="1"/>
      <c r="K78" s="1">
        <v>1779.462</v>
      </c>
      <c r="L78" s="1">
        <f t="shared" si="19"/>
        <v>-149.31600000000003</v>
      </c>
      <c r="M78" s="1">
        <f t="shared" si="20"/>
        <v>1630.146</v>
      </c>
      <c r="N78" s="1"/>
      <c r="O78" s="1"/>
      <c r="P78" s="1">
        <f t="shared" si="21"/>
        <v>326.0292</v>
      </c>
      <c r="Q78" s="5">
        <f>12*P78-F78</f>
        <v>2716.8374000000003</v>
      </c>
      <c r="R78" s="5"/>
      <c r="S78" s="1"/>
      <c r="T78" s="1"/>
      <c r="U78" s="1">
        <f t="shared" si="22"/>
        <v>12</v>
      </c>
      <c r="V78" s="1">
        <f t="shared" si="23"/>
        <v>3.6668893461076491</v>
      </c>
      <c r="W78" s="1">
        <v>209.27440000000001</v>
      </c>
      <c r="X78" s="1">
        <v>200.9734</v>
      </c>
      <c r="Y78" s="1">
        <v>223.13</v>
      </c>
      <c r="Z78" s="1">
        <v>214.286</v>
      </c>
      <c r="AA78" s="1">
        <v>201.80520000000001</v>
      </c>
      <c r="AB78" s="1">
        <v>202.8092</v>
      </c>
      <c r="AC78" s="1">
        <v>217.94759999999999</v>
      </c>
      <c r="AD78" s="1">
        <v>218.51240000000001</v>
      </c>
      <c r="AE78" s="11" t="s">
        <v>137</v>
      </c>
      <c r="AF78" s="1">
        <f t="shared" si="18"/>
        <v>2716.8374000000003</v>
      </c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 t="s">
        <v>118</v>
      </c>
      <c r="B79" s="1" t="s">
        <v>34</v>
      </c>
      <c r="C79" s="1">
        <v>2033.9190000000001</v>
      </c>
      <c r="D79" s="1">
        <v>3133.5189999999998</v>
      </c>
      <c r="E79" s="1">
        <v>2187.692</v>
      </c>
      <c r="F79" s="1">
        <v>2335.0120000000002</v>
      </c>
      <c r="G79" s="8">
        <v>1</v>
      </c>
      <c r="H79" s="1">
        <v>60</v>
      </c>
      <c r="I79" s="1" t="s">
        <v>35</v>
      </c>
      <c r="J79" s="1"/>
      <c r="K79" s="1">
        <v>2458.3980000000001</v>
      </c>
      <c r="L79" s="1">
        <f t="shared" si="19"/>
        <v>-270.70600000000013</v>
      </c>
      <c r="M79" s="1">
        <f t="shared" si="20"/>
        <v>1934.394</v>
      </c>
      <c r="N79" s="1">
        <v>253.298</v>
      </c>
      <c r="O79" s="1"/>
      <c r="P79" s="1">
        <f t="shared" si="21"/>
        <v>386.87880000000001</v>
      </c>
      <c r="Q79" s="5">
        <f t="shared" si="17"/>
        <v>2694.4123999999997</v>
      </c>
      <c r="R79" s="5"/>
      <c r="S79" s="1"/>
      <c r="T79" s="1"/>
      <c r="U79" s="1">
        <f t="shared" si="22"/>
        <v>13</v>
      </c>
      <c r="V79" s="1">
        <f t="shared" si="23"/>
        <v>6.0355129306645905</v>
      </c>
      <c r="W79" s="1">
        <v>333.82440000000003</v>
      </c>
      <c r="X79" s="1">
        <v>329.97120000000001</v>
      </c>
      <c r="Y79" s="1">
        <v>300.62540000000001</v>
      </c>
      <c r="Z79" s="1">
        <v>322.91699999999997</v>
      </c>
      <c r="AA79" s="1">
        <v>332.73840000000001</v>
      </c>
      <c r="AB79" s="1">
        <v>345.89920000000001</v>
      </c>
      <c r="AC79" s="1">
        <v>381.24639999999999</v>
      </c>
      <c r="AD79" s="1">
        <v>354.73759999999999</v>
      </c>
      <c r="AE79" s="11" t="s">
        <v>137</v>
      </c>
      <c r="AF79" s="1">
        <f t="shared" si="18"/>
        <v>2694.4123999999997</v>
      </c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 t="s">
        <v>119</v>
      </c>
      <c r="B80" s="1" t="s">
        <v>34</v>
      </c>
      <c r="C80" s="1">
        <v>76.91</v>
      </c>
      <c r="D80" s="1">
        <v>32.850999999999999</v>
      </c>
      <c r="E80" s="1">
        <v>41.597000000000001</v>
      </c>
      <c r="F80" s="1">
        <v>57.741999999999997</v>
      </c>
      <c r="G80" s="8">
        <v>1</v>
      </c>
      <c r="H80" s="1">
        <v>60</v>
      </c>
      <c r="I80" s="1" t="s">
        <v>35</v>
      </c>
      <c r="J80" s="1"/>
      <c r="K80" s="1">
        <v>66.408000000000001</v>
      </c>
      <c r="L80" s="1">
        <f t="shared" si="19"/>
        <v>-24.811</v>
      </c>
      <c r="M80" s="1">
        <f t="shared" si="20"/>
        <v>32.789000000000001</v>
      </c>
      <c r="N80" s="1">
        <v>8.8079999999999998</v>
      </c>
      <c r="O80" s="1"/>
      <c r="P80" s="1">
        <f t="shared" si="21"/>
        <v>6.5578000000000003</v>
      </c>
      <c r="Q80" s="5">
        <f t="shared" si="17"/>
        <v>27.509400000000007</v>
      </c>
      <c r="R80" s="5"/>
      <c r="S80" s="1"/>
      <c r="T80" s="1"/>
      <c r="U80" s="1">
        <f t="shared" si="22"/>
        <v>13</v>
      </c>
      <c r="V80" s="1">
        <f t="shared" si="23"/>
        <v>8.8050870718838627</v>
      </c>
      <c r="W80" s="1">
        <v>7.5507999999999997</v>
      </c>
      <c r="X80" s="1">
        <v>4.0162000000000004</v>
      </c>
      <c r="Y80" s="1">
        <v>3.681</v>
      </c>
      <c r="Z80" s="1">
        <v>4.0106000000000002</v>
      </c>
      <c r="AA80" s="1">
        <v>3.8592</v>
      </c>
      <c r="AB80" s="1">
        <v>3.5442000000000009</v>
      </c>
      <c r="AC80" s="1">
        <v>5.4672000000000001</v>
      </c>
      <c r="AD80" s="1">
        <v>7.4016000000000002</v>
      </c>
      <c r="AE80" s="1" t="s">
        <v>140</v>
      </c>
      <c r="AF80" s="1">
        <f t="shared" si="18"/>
        <v>27.509400000000007</v>
      </c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 t="s">
        <v>120</v>
      </c>
      <c r="B81" s="1" t="s">
        <v>39</v>
      </c>
      <c r="C81" s="1">
        <v>337.53699999999998</v>
      </c>
      <c r="D81" s="1">
        <v>438.46300000000002</v>
      </c>
      <c r="E81" s="1">
        <v>346</v>
      </c>
      <c r="F81" s="1">
        <v>347</v>
      </c>
      <c r="G81" s="8">
        <v>0.3</v>
      </c>
      <c r="H81" s="1">
        <v>40</v>
      </c>
      <c r="I81" s="1" t="s">
        <v>35</v>
      </c>
      <c r="J81" s="1"/>
      <c r="K81" s="1">
        <v>352</v>
      </c>
      <c r="L81" s="1">
        <f t="shared" si="19"/>
        <v>-6</v>
      </c>
      <c r="M81" s="1">
        <f t="shared" si="20"/>
        <v>346</v>
      </c>
      <c r="N81" s="1"/>
      <c r="O81" s="1"/>
      <c r="P81" s="1">
        <f t="shared" si="21"/>
        <v>69.2</v>
      </c>
      <c r="Q81" s="5">
        <f>12*P81-F81</f>
        <v>483.40000000000009</v>
      </c>
      <c r="R81" s="5"/>
      <c r="S81" s="1"/>
      <c r="T81" s="1"/>
      <c r="U81" s="1">
        <f t="shared" si="22"/>
        <v>12</v>
      </c>
      <c r="V81" s="1">
        <f t="shared" si="23"/>
        <v>5.0144508670520231</v>
      </c>
      <c r="W81" s="1">
        <v>63.2</v>
      </c>
      <c r="X81" s="1">
        <v>61.4</v>
      </c>
      <c r="Y81" s="1">
        <v>56.2</v>
      </c>
      <c r="Z81" s="1">
        <v>57.2</v>
      </c>
      <c r="AA81" s="1">
        <v>53.2</v>
      </c>
      <c r="AB81" s="1">
        <v>52</v>
      </c>
      <c r="AC81" s="1">
        <v>58.6</v>
      </c>
      <c r="AD81" s="1">
        <v>54.2</v>
      </c>
      <c r="AE81" s="1"/>
      <c r="AF81" s="1">
        <f t="shared" si="18"/>
        <v>145.02000000000001</v>
      </c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 t="s">
        <v>121</v>
      </c>
      <c r="B82" s="1" t="s">
        <v>39</v>
      </c>
      <c r="C82" s="1">
        <v>171</v>
      </c>
      <c r="D82" s="1">
        <v>181</v>
      </c>
      <c r="E82" s="1">
        <v>149</v>
      </c>
      <c r="F82" s="1">
        <v>174</v>
      </c>
      <c r="G82" s="8">
        <v>7.0000000000000007E-2</v>
      </c>
      <c r="H82" s="1">
        <v>90</v>
      </c>
      <c r="I82" s="1" t="s">
        <v>35</v>
      </c>
      <c r="J82" s="1"/>
      <c r="K82" s="1">
        <v>155</v>
      </c>
      <c r="L82" s="1">
        <f t="shared" si="19"/>
        <v>-6</v>
      </c>
      <c r="M82" s="1">
        <f t="shared" si="20"/>
        <v>149</v>
      </c>
      <c r="N82" s="1"/>
      <c r="O82" s="1"/>
      <c r="P82" s="1">
        <f t="shared" si="21"/>
        <v>29.8</v>
      </c>
      <c r="Q82" s="5">
        <f t="shared" si="17"/>
        <v>213.40000000000003</v>
      </c>
      <c r="R82" s="5"/>
      <c r="S82" s="1"/>
      <c r="T82" s="1"/>
      <c r="U82" s="1">
        <f t="shared" si="22"/>
        <v>13</v>
      </c>
      <c r="V82" s="1">
        <f t="shared" si="23"/>
        <v>5.8389261744966445</v>
      </c>
      <c r="W82" s="1">
        <v>24.4</v>
      </c>
      <c r="X82" s="1">
        <v>24.4</v>
      </c>
      <c r="Y82" s="1">
        <v>26</v>
      </c>
      <c r="Z82" s="1">
        <v>23.6</v>
      </c>
      <c r="AA82" s="1">
        <v>26.2</v>
      </c>
      <c r="AB82" s="1">
        <v>32.799999999999997</v>
      </c>
      <c r="AC82" s="1">
        <v>37</v>
      </c>
      <c r="AD82" s="1">
        <v>33.799999999999997</v>
      </c>
      <c r="AE82" s="1"/>
      <c r="AF82" s="1">
        <f t="shared" si="18"/>
        <v>14.938000000000004</v>
      </c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 t="s">
        <v>122</v>
      </c>
      <c r="B83" s="1" t="s">
        <v>39</v>
      </c>
      <c r="C83" s="1">
        <v>195</v>
      </c>
      <c r="D83" s="1">
        <v>217</v>
      </c>
      <c r="E83" s="1">
        <v>226</v>
      </c>
      <c r="F83" s="1">
        <v>163</v>
      </c>
      <c r="G83" s="8">
        <v>7.0000000000000007E-2</v>
      </c>
      <c r="H83" s="1">
        <v>90</v>
      </c>
      <c r="I83" s="1" t="s">
        <v>35</v>
      </c>
      <c r="J83" s="1"/>
      <c r="K83" s="1">
        <v>227</v>
      </c>
      <c r="L83" s="1">
        <f t="shared" si="19"/>
        <v>-1</v>
      </c>
      <c r="M83" s="1">
        <f t="shared" si="20"/>
        <v>226</v>
      </c>
      <c r="N83" s="1"/>
      <c r="O83" s="1"/>
      <c r="P83" s="1">
        <f t="shared" si="21"/>
        <v>45.2</v>
      </c>
      <c r="Q83" s="5">
        <f>12*P83-F83</f>
        <v>379.40000000000009</v>
      </c>
      <c r="R83" s="5"/>
      <c r="S83" s="1"/>
      <c r="T83" s="1"/>
      <c r="U83" s="1">
        <f t="shared" si="22"/>
        <v>12.000000000000002</v>
      </c>
      <c r="V83" s="1">
        <f t="shared" si="23"/>
        <v>3.6061946902654864</v>
      </c>
      <c r="W83" s="1">
        <v>28.2</v>
      </c>
      <c r="X83" s="1">
        <v>24.8</v>
      </c>
      <c r="Y83" s="1">
        <v>28.6</v>
      </c>
      <c r="Z83" s="1">
        <v>30</v>
      </c>
      <c r="AA83" s="1">
        <v>30.4</v>
      </c>
      <c r="AB83" s="1">
        <v>38.200000000000003</v>
      </c>
      <c r="AC83" s="1">
        <v>41.4</v>
      </c>
      <c r="AD83" s="1">
        <v>35.799999999999997</v>
      </c>
      <c r="AE83" s="1"/>
      <c r="AF83" s="1">
        <f t="shared" si="18"/>
        <v>26.55800000000001</v>
      </c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 t="s">
        <v>123</v>
      </c>
      <c r="B84" s="1" t="s">
        <v>39</v>
      </c>
      <c r="C84" s="1">
        <v>187</v>
      </c>
      <c r="D84" s="1">
        <v>162</v>
      </c>
      <c r="E84" s="1">
        <v>155</v>
      </c>
      <c r="F84" s="1">
        <v>159</v>
      </c>
      <c r="G84" s="8">
        <v>7.0000000000000007E-2</v>
      </c>
      <c r="H84" s="1">
        <v>90</v>
      </c>
      <c r="I84" s="1" t="s">
        <v>35</v>
      </c>
      <c r="J84" s="1"/>
      <c r="K84" s="1">
        <v>157</v>
      </c>
      <c r="L84" s="1">
        <f t="shared" si="19"/>
        <v>-2</v>
      </c>
      <c r="M84" s="1">
        <f t="shared" si="20"/>
        <v>155</v>
      </c>
      <c r="N84" s="1"/>
      <c r="O84" s="1"/>
      <c r="P84" s="1">
        <f t="shared" si="21"/>
        <v>31</v>
      </c>
      <c r="Q84" s="5">
        <f t="shared" si="17"/>
        <v>244</v>
      </c>
      <c r="R84" s="5"/>
      <c r="S84" s="1"/>
      <c r="T84" s="1"/>
      <c r="U84" s="1">
        <f t="shared" si="22"/>
        <v>13</v>
      </c>
      <c r="V84" s="1">
        <f t="shared" si="23"/>
        <v>5.129032258064516</v>
      </c>
      <c r="W84" s="1">
        <v>22.8</v>
      </c>
      <c r="X84" s="1">
        <v>20.399999999999999</v>
      </c>
      <c r="Y84" s="1">
        <v>23.6</v>
      </c>
      <c r="Z84" s="1">
        <v>23</v>
      </c>
      <c r="AA84" s="1">
        <v>18</v>
      </c>
      <c r="AB84" s="1">
        <v>23</v>
      </c>
      <c r="AC84" s="1">
        <v>27</v>
      </c>
      <c r="AD84" s="1">
        <v>23</v>
      </c>
      <c r="AE84" s="1"/>
      <c r="AF84" s="1">
        <f t="shared" si="18"/>
        <v>17.080000000000002</v>
      </c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 t="s">
        <v>124</v>
      </c>
      <c r="B85" s="1" t="s">
        <v>39</v>
      </c>
      <c r="C85" s="1">
        <v>109</v>
      </c>
      <c r="D85" s="1">
        <v>181</v>
      </c>
      <c r="E85" s="1">
        <v>131</v>
      </c>
      <c r="F85" s="1">
        <v>121</v>
      </c>
      <c r="G85" s="8">
        <v>0.05</v>
      </c>
      <c r="H85" s="1">
        <v>90</v>
      </c>
      <c r="I85" s="1" t="s">
        <v>35</v>
      </c>
      <c r="J85" s="1"/>
      <c r="K85" s="1">
        <v>132</v>
      </c>
      <c r="L85" s="1">
        <f t="shared" si="19"/>
        <v>-1</v>
      </c>
      <c r="M85" s="1">
        <f t="shared" si="20"/>
        <v>131</v>
      </c>
      <c r="N85" s="1"/>
      <c r="O85" s="1"/>
      <c r="P85" s="1">
        <f t="shared" si="21"/>
        <v>26.2</v>
      </c>
      <c r="Q85" s="5">
        <f t="shared" si="17"/>
        <v>219.59999999999997</v>
      </c>
      <c r="R85" s="5"/>
      <c r="S85" s="1"/>
      <c r="T85" s="1"/>
      <c r="U85" s="1">
        <f t="shared" si="22"/>
        <v>12.999999999999998</v>
      </c>
      <c r="V85" s="1">
        <f t="shared" si="23"/>
        <v>4.6183206106870234</v>
      </c>
      <c r="W85" s="1">
        <v>19.2</v>
      </c>
      <c r="X85" s="1">
        <v>17.600000000000001</v>
      </c>
      <c r="Y85" s="1">
        <v>16</v>
      </c>
      <c r="Z85" s="1">
        <v>13.6</v>
      </c>
      <c r="AA85" s="1">
        <v>13.2</v>
      </c>
      <c r="AB85" s="1">
        <v>19.2</v>
      </c>
      <c r="AC85" s="1">
        <v>19.2</v>
      </c>
      <c r="AD85" s="1">
        <v>16.600000000000001</v>
      </c>
      <c r="AE85" s="1"/>
      <c r="AF85" s="1">
        <f t="shared" si="18"/>
        <v>10.979999999999999</v>
      </c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 t="s">
        <v>125</v>
      </c>
      <c r="B86" s="1" t="s">
        <v>39</v>
      </c>
      <c r="C86" s="1">
        <v>176</v>
      </c>
      <c r="D86" s="1">
        <v>180</v>
      </c>
      <c r="E86" s="1">
        <v>204</v>
      </c>
      <c r="F86" s="1">
        <v>100</v>
      </c>
      <c r="G86" s="8">
        <v>0.05</v>
      </c>
      <c r="H86" s="1">
        <v>90</v>
      </c>
      <c r="I86" s="1" t="s">
        <v>35</v>
      </c>
      <c r="J86" s="1"/>
      <c r="K86" s="1">
        <v>205</v>
      </c>
      <c r="L86" s="1">
        <f t="shared" si="19"/>
        <v>-1</v>
      </c>
      <c r="M86" s="1">
        <f t="shared" si="20"/>
        <v>204</v>
      </c>
      <c r="N86" s="1"/>
      <c r="O86" s="1"/>
      <c r="P86" s="1">
        <f t="shared" si="21"/>
        <v>40.799999999999997</v>
      </c>
      <c r="Q86" s="5">
        <f>10*P86-F86</f>
        <v>308</v>
      </c>
      <c r="R86" s="5"/>
      <c r="S86" s="1"/>
      <c r="T86" s="1"/>
      <c r="U86" s="1">
        <f t="shared" si="22"/>
        <v>10</v>
      </c>
      <c r="V86" s="1">
        <f t="shared" si="23"/>
        <v>2.4509803921568629</v>
      </c>
      <c r="W86" s="1">
        <v>25.8</v>
      </c>
      <c r="X86" s="1">
        <v>22.8</v>
      </c>
      <c r="Y86" s="1">
        <v>24</v>
      </c>
      <c r="Z86" s="1">
        <v>24.2</v>
      </c>
      <c r="AA86" s="1">
        <v>21.8</v>
      </c>
      <c r="AB86" s="1">
        <v>25.6</v>
      </c>
      <c r="AC86" s="1">
        <v>27</v>
      </c>
      <c r="AD86" s="1">
        <v>26</v>
      </c>
      <c r="AE86" s="1"/>
      <c r="AF86" s="1">
        <f t="shared" si="18"/>
        <v>15.4</v>
      </c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 t="s">
        <v>126</v>
      </c>
      <c r="B87" s="1" t="s">
        <v>39</v>
      </c>
      <c r="C87" s="1">
        <v>200</v>
      </c>
      <c r="D87" s="1">
        <v>90</v>
      </c>
      <c r="E87" s="1">
        <v>139</v>
      </c>
      <c r="F87" s="1">
        <v>113</v>
      </c>
      <c r="G87" s="8">
        <v>5.5E-2</v>
      </c>
      <c r="H87" s="1">
        <v>90</v>
      </c>
      <c r="I87" s="1" t="s">
        <v>35</v>
      </c>
      <c r="J87" s="1"/>
      <c r="K87" s="1">
        <v>141</v>
      </c>
      <c r="L87" s="1">
        <f t="shared" si="19"/>
        <v>-2</v>
      </c>
      <c r="M87" s="1">
        <f t="shared" si="20"/>
        <v>139</v>
      </c>
      <c r="N87" s="1"/>
      <c r="O87" s="1"/>
      <c r="P87" s="1">
        <f t="shared" si="21"/>
        <v>27.8</v>
      </c>
      <c r="Q87" s="5">
        <f>12*P87-F87</f>
        <v>220.60000000000002</v>
      </c>
      <c r="R87" s="5"/>
      <c r="S87" s="1"/>
      <c r="T87" s="1"/>
      <c r="U87" s="1">
        <f t="shared" si="22"/>
        <v>12</v>
      </c>
      <c r="V87" s="1">
        <f t="shared" si="23"/>
        <v>4.0647482014388485</v>
      </c>
      <c r="W87" s="1">
        <v>18.8</v>
      </c>
      <c r="X87" s="1">
        <v>20.6</v>
      </c>
      <c r="Y87" s="1">
        <v>23.4</v>
      </c>
      <c r="Z87" s="1">
        <v>20.6</v>
      </c>
      <c r="AA87" s="1">
        <v>23.2</v>
      </c>
      <c r="AB87" s="1">
        <v>27.4</v>
      </c>
      <c r="AC87" s="1">
        <v>31</v>
      </c>
      <c r="AD87" s="1">
        <v>28.6</v>
      </c>
      <c r="AE87" s="1"/>
      <c r="AF87" s="1">
        <f t="shared" si="18"/>
        <v>12.133000000000001</v>
      </c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 t="s">
        <v>127</v>
      </c>
      <c r="B88" s="1" t="s">
        <v>34</v>
      </c>
      <c r="C88" s="1">
        <v>2861.6239999999998</v>
      </c>
      <c r="D88" s="1">
        <v>2559.355</v>
      </c>
      <c r="E88" s="1">
        <v>2262.4110000000001</v>
      </c>
      <c r="F88" s="1">
        <v>2924.0740000000001</v>
      </c>
      <c r="G88" s="8">
        <v>1</v>
      </c>
      <c r="H88" s="1">
        <v>40</v>
      </c>
      <c r="I88" s="1" t="s">
        <v>35</v>
      </c>
      <c r="J88" s="1"/>
      <c r="K88" s="1">
        <v>2182.7399999999998</v>
      </c>
      <c r="L88" s="1">
        <f t="shared" si="19"/>
        <v>79.671000000000276</v>
      </c>
      <c r="M88" s="1">
        <f t="shared" si="20"/>
        <v>2227.819</v>
      </c>
      <c r="N88" s="1">
        <v>34.591999999999999</v>
      </c>
      <c r="O88" s="1"/>
      <c r="P88" s="1">
        <f t="shared" si="21"/>
        <v>445.56380000000001</v>
      </c>
      <c r="Q88" s="5">
        <f>12*P88-F88</f>
        <v>2422.6916000000006</v>
      </c>
      <c r="R88" s="5"/>
      <c r="S88" s="1"/>
      <c r="T88" s="1"/>
      <c r="U88" s="1">
        <f t="shared" si="22"/>
        <v>12.000000000000002</v>
      </c>
      <c r="V88" s="1">
        <f t="shared" si="23"/>
        <v>6.5626381676428833</v>
      </c>
      <c r="W88" s="1">
        <v>442.54119999999989</v>
      </c>
      <c r="X88" s="1">
        <v>447.75979999999998</v>
      </c>
      <c r="Y88" s="1">
        <v>446.56700000000001</v>
      </c>
      <c r="Z88" s="1">
        <v>466.11419999999998</v>
      </c>
      <c r="AA88" s="1">
        <v>406.08980000000003</v>
      </c>
      <c r="AB88" s="1">
        <v>411.42840000000001</v>
      </c>
      <c r="AC88" s="1">
        <v>483.625</v>
      </c>
      <c r="AD88" s="1">
        <v>461.47680000000003</v>
      </c>
      <c r="AE88" s="11" t="s">
        <v>137</v>
      </c>
      <c r="AF88" s="1">
        <f t="shared" si="18"/>
        <v>2422.6916000000006</v>
      </c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5" t="s">
        <v>128</v>
      </c>
      <c r="B89" s="15" t="s">
        <v>34</v>
      </c>
      <c r="C89" s="15"/>
      <c r="D89" s="15"/>
      <c r="E89" s="15"/>
      <c r="F89" s="15"/>
      <c r="G89" s="16">
        <v>0</v>
      </c>
      <c r="H89" s="15">
        <v>60</v>
      </c>
      <c r="I89" s="15" t="s">
        <v>35</v>
      </c>
      <c r="J89" s="15"/>
      <c r="K89" s="15"/>
      <c r="L89" s="15">
        <f t="shared" si="19"/>
        <v>0</v>
      </c>
      <c r="M89" s="15">
        <f t="shared" si="20"/>
        <v>0</v>
      </c>
      <c r="N89" s="15"/>
      <c r="O89" s="15"/>
      <c r="P89" s="15">
        <f t="shared" si="21"/>
        <v>0</v>
      </c>
      <c r="Q89" s="17"/>
      <c r="R89" s="17"/>
      <c r="S89" s="15"/>
      <c r="T89" s="15"/>
      <c r="U89" s="15" t="e">
        <f t="shared" si="22"/>
        <v>#DIV/0!</v>
      </c>
      <c r="V89" s="15" t="e">
        <f t="shared" si="23"/>
        <v>#DIV/0!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 t="s">
        <v>129</v>
      </c>
      <c r="AF89" s="15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 t="s">
        <v>130</v>
      </c>
      <c r="B90" s="1" t="s">
        <v>39</v>
      </c>
      <c r="C90" s="1">
        <v>458</v>
      </c>
      <c r="D90" s="1">
        <v>667</v>
      </c>
      <c r="E90" s="1">
        <v>413</v>
      </c>
      <c r="F90" s="1">
        <v>612</v>
      </c>
      <c r="G90" s="8">
        <v>0.3</v>
      </c>
      <c r="H90" s="1">
        <v>40</v>
      </c>
      <c r="I90" s="1" t="s">
        <v>35</v>
      </c>
      <c r="J90" s="1"/>
      <c r="K90" s="1">
        <v>423</v>
      </c>
      <c r="L90" s="1">
        <f t="shared" si="19"/>
        <v>-10</v>
      </c>
      <c r="M90" s="1">
        <f t="shared" si="20"/>
        <v>413</v>
      </c>
      <c r="N90" s="1"/>
      <c r="O90" s="1"/>
      <c r="P90" s="1">
        <f t="shared" si="21"/>
        <v>82.6</v>
      </c>
      <c r="Q90" s="5">
        <f t="shared" ref="Q90:Q91" si="24">12*P90-F90</f>
        <v>379.19999999999993</v>
      </c>
      <c r="R90" s="5"/>
      <c r="S90" s="1"/>
      <c r="T90" s="1"/>
      <c r="U90" s="1">
        <f t="shared" si="22"/>
        <v>12</v>
      </c>
      <c r="V90" s="1">
        <f t="shared" si="23"/>
        <v>7.4092009685230034</v>
      </c>
      <c r="W90" s="1">
        <v>93</v>
      </c>
      <c r="X90" s="1">
        <v>87.8</v>
      </c>
      <c r="Y90" s="1">
        <v>80.400000000000006</v>
      </c>
      <c r="Z90" s="1">
        <v>79.2</v>
      </c>
      <c r="AA90" s="1">
        <v>74.400000000000006</v>
      </c>
      <c r="AB90" s="1">
        <v>69.8</v>
      </c>
      <c r="AC90" s="1">
        <v>77.2</v>
      </c>
      <c r="AD90" s="1">
        <v>78.599999999999994</v>
      </c>
      <c r="AE90" s="1"/>
      <c r="AF90" s="1">
        <f>G90*Q90</f>
        <v>113.75999999999998</v>
      </c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 t="s">
        <v>131</v>
      </c>
      <c r="B91" s="1" t="s">
        <v>39</v>
      </c>
      <c r="C91" s="1">
        <v>243</v>
      </c>
      <c r="D91" s="1">
        <v>613</v>
      </c>
      <c r="E91" s="1">
        <v>343</v>
      </c>
      <c r="F91" s="1">
        <v>429</v>
      </c>
      <c r="G91" s="8">
        <v>0.3</v>
      </c>
      <c r="H91" s="1">
        <v>40</v>
      </c>
      <c r="I91" s="1" t="s">
        <v>35</v>
      </c>
      <c r="J91" s="1"/>
      <c r="K91" s="1">
        <v>357</v>
      </c>
      <c r="L91" s="1">
        <f t="shared" si="19"/>
        <v>-14</v>
      </c>
      <c r="M91" s="1">
        <f t="shared" si="20"/>
        <v>343</v>
      </c>
      <c r="N91" s="1"/>
      <c r="O91" s="1"/>
      <c r="P91" s="1">
        <f t="shared" si="21"/>
        <v>68.599999999999994</v>
      </c>
      <c r="Q91" s="5">
        <f t="shared" si="24"/>
        <v>394.19999999999993</v>
      </c>
      <c r="R91" s="5"/>
      <c r="S91" s="1"/>
      <c r="T91" s="1"/>
      <c r="U91" s="1">
        <f t="shared" si="22"/>
        <v>12</v>
      </c>
      <c r="V91" s="1">
        <f t="shared" si="23"/>
        <v>6.2536443148688052</v>
      </c>
      <c r="W91" s="1">
        <v>70</v>
      </c>
      <c r="X91" s="1">
        <v>63.8</v>
      </c>
      <c r="Y91" s="1">
        <v>50.8</v>
      </c>
      <c r="Z91" s="1">
        <v>53.8</v>
      </c>
      <c r="AA91" s="1">
        <v>61.2</v>
      </c>
      <c r="AB91" s="1">
        <v>58.6</v>
      </c>
      <c r="AC91" s="1">
        <v>59.8</v>
      </c>
      <c r="AD91" s="1">
        <v>59</v>
      </c>
      <c r="AE91" s="1"/>
      <c r="AF91" s="1">
        <f>G91*Q91</f>
        <v>118.25999999999998</v>
      </c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 t="s">
        <v>132</v>
      </c>
      <c r="B92" s="1" t="s">
        <v>34</v>
      </c>
      <c r="C92" s="1">
        <v>319.58699999999999</v>
      </c>
      <c r="D92" s="1">
        <v>576.21</v>
      </c>
      <c r="E92" s="1">
        <v>286.62799999999999</v>
      </c>
      <c r="F92" s="1">
        <v>553.38599999999997</v>
      </c>
      <c r="G92" s="8">
        <v>1</v>
      </c>
      <c r="H92" s="1">
        <v>50</v>
      </c>
      <c r="I92" s="1" t="s">
        <v>35</v>
      </c>
      <c r="J92" s="1"/>
      <c r="K92" s="1">
        <v>292.11500000000001</v>
      </c>
      <c r="L92" s="1">
        <f t="shared" si="19"/>
        <v>-5.4870000000000232</v>
      </c>
      <c r="M92" s="1">
        <f t="shared" si="20"/>
        <v>275.613</v>
      </c>
      <c r="N92" s="1">
        <v>11.015000000000001</v>
      </c>
      <c r="O92" s="1"/>
      <c r="P92" s="1">
        <f t="shared" si="21"/>
        <v>55.122599999999998</v>
      </c>
      <c r="Q92" s="5">
        <f t="shared" ref="Q92" si="25">13*P92-F92</f>
        <v>163.20780000000002</v>
      </c>
      <c r="R92" s="5"/>
      <c r="S92" s="1"/>
      <c r="T92" s="1"/>
      <c r="U92" s="1">
        <f t="shared" si="22"/>
        <v>13</v>
      </c>
      <c r="V92" s="1">
        <f t="shared" si="23"/>
        <v>10.039185379499516</v>
      </c>
      <c r="W92" s="1">
        <v>59.655599999999993</v>
      </c>
      <c r="X92" s="1">
        <v>49.415999999999997</v>
      </c>
      <c r="Y92" s="1">
        <v>46.666400000000003</v>
      </c>
      <c r="Z92" s="1">
        <v>49.502000000000002</v>
      </c>
      <c r="AA92" s="1">
        <v>51.940399999999997</v>
      </c>
      <c r="AB92" s="1">
        <v>57.390600000000013</v>
      </c>
      <c r="AC92" s="1">
        <v>51.034199999999998</v>
      </c>
      <c r="AD92" s="1">
        <v>49.535200000000003</v>
      </c>
      <c r="AE92" s="1"/>
      <c r="AF92" s="1">
        <f>G92*Q92</f>
        <v>163.20780000000002</v>
      </c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 t="s">
        <v>133</v>
      </c>
      <c r="B93" s="1" t="s">
        <v>39</v>
      </c>
      <c r="C93" s="1">
        <v>274</v>
      </c>
      <c r="D93" s="1">
        <v>427</v>
      </c>
      <c r="E93" s="1">
        <v>324</v>
      </c>
      <c r="F93" s="1">
        <v>313</v>
      </c>
      <c r="G93" s="8">
        <v>0.3</v>
      </c>
      <c r="H93" s="1">
        <v>40</v>
      </c>
      <c r="I93" s="1" t="s">
        <v>35</v>
      </c>
      <c r="J93" s="1"/>
      <c r="K93" s="1">
        <v>327</v>
      </c>
      <c r="L93" s="1">
        <f t="shared" si="19"/>
        <v>-3</v>
      </c>
      <c r="M93" s="1">
        <f t="shared" si="20"/>
        <v>324</v>
      </c>
      <c r="N93" s="1"/>
      <c r="O93" s="1"/>
      <c r="P93" s="1">
        <f t="shared" si="21"/>
        <v>64.8</v>
      </c>
      <c r="Q93" s="5">
        <f>12*P93-F93</f>
        <v>464.59999999999991</v>
      </c>
      <c r="R93" s="5"/>
      <c r="S93" s="1"/>
      <c r="T93" s="1"/>
      <c r="U93" s="1">
        <f t="shared" si="22"/>
        <v>12</v>
      </c>
      <c r="V93" s="1">
        <f t="shared" si="23"/>
        <v>4.8302469135802468</v>
      </c>
      <c r="W93" s="1">
        <v>57.6</v>
      </c>
      <c r="X93" s="1">
        <v>50.4</v>
      </c>
      <c r="Y93" s="1">
        <v>49.4</v>
      </c>
      <c r="Z93" s="1">
        <v>49.6</v>
      </c>
      <c r="AA93" s="1">
        <v>48.2</v>
      </c>
      <c r="AB93" s="1">
        <v>47.2</v>
      </c>
      <c r="AC93" s="1">
        <v>50.8</v>
      </c>
      <c r="AD93" s="1">
        <v>52.6</v>
      </c>
      <c r="AE93" s="1"/>
      <c r="AF93" s="1">
        <f>G93*Q93</f>
        <v>139.37999999999997</v>
      </c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 t="s">
        <v>134</v>
      </c>
      <c r="B94" s="1" t="s">
        <v>39</v>
      </c>
      <c r="C94" s="1">
        <v>110</v>
      </c>
      <c r="D94" s="1">
        <v>31</v>
      </c>
      <c r="E94" s="1">
        <v>90</v>
      </c>
      <c r="F94" s="1">
        <v>3</v>
      </c>
      <c r="G94" s="8">
        <v>0.12</v>
      </c>
      <c r="H94" s="1">
        <v>45</v>
      </c>
      <c r="I94" s="1" t="s">
        <v>35</v>
      </c>
      <c r="J94" s="1"/>
      <c r="K94" s="1">
        <v>93</v>
      </c>
      <c r="L94" s="1">
        <f t="shared" si="19"/>
        <v>-3</v>
      </c>
      <c r="M94" s="1">
        <f t="shared" si="20"/>
        <v>90</v>
      </c>
      <c r="N94" s="1"/>
      <c r="O94" s="1"/>
      <c r="P94" s="1">
        <f t="shared" si="21"/>
        <v>18</v>
      </c>
      <c r="Q94" s="5">
        <f>8*P94-F94</f>
        <v>141</v>
      </c>
      <c r="R94" s="5"/>
      <c r="S94" s="1"/>
      <c r="T94" s="1"/>
      <c r="U94" s="1">
        <f t="shared" si="22"/>
        <v>8</v>
      </c>
      <c r="V94" s="1">
        <f t="shared" si="23"/>
        <v>0.16666666666666666</v>
      </c>
      <c r="W94" s="1">
        <v>9.4</v>
      </c>
      <c r="X94" s="1">
        <v>9.6</v>
      </c>
      <c r="Y94" s="1">
        <v>8.8000000000000007</v>
      </c>
      <c r="Z94" s="1">
        <v>10.8</v>
      </c>
      <c r="AA94" s="1">
        <v>16.399999999999999</v>
      </c>
      <c r="AB94" s="1">
        <v>18.2</v>
      </c>
      <c r="AC94" s="1">
        <v>16.600000000000001</v>
      </c>
      <c r="AD94" s="1">
        <v>12.6</v>
      </c>
      <c r="AE94" s="1"/>
      <c r="AF94" s="1">
        <f>G94*Q94</f>
        <v>16.919999999999998</v>
      </c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/>
      <c r="B95" s="1"/>
      <c r="C95" s="1"/>
      <c r="D95" s="1"/>
      <c r="E95" s="1"/>
      <c r="F95" s="1"/>
      <c r="G95" s="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spans="1:50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 spans="1:50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 spans="1:50" x14ac:dyDescent="0.25">
      <c r="A500" s="1"/>
      <c r="B500" s="1"/>
      <c r="C500" s="1"/>
      <c r="D500" s="1"/>
      <c r="E500" s="1"/>
      <c r="F500" s="1"/>
      <c r="G500" s="8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</sheetData>
  <autoFilter ref="A3:AF94" xr:uid="{992C9FBB-2417-4FB8-8960-E63FE9C97251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2025-12-25T12:58:24Z</dcterms:created>
  <dcterms:modified xsi:type="dcterms:W3CDTF">2025-12-25T13:13:40Z</dcterms:modified>
</cp:coreProperties>
</file>