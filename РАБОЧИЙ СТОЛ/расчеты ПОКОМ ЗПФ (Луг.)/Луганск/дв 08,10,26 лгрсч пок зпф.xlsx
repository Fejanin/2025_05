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83C4F7E2-D7F5-4512-A2AF-A1C8CD5E38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Sheet!$A$3:$AO$81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9" i="1" l="1"/>
  <c r="R9" i="1" s="1"/>
  <c r="U9" i="1"/>
  <c r="T15" i="1"/>
  <c r="R15" i="1" s="1"/>
  <c r="U15" i="1"/>
  <c r="T26" i="1"/>
  <c r="R26" i="1" s="1"/>
  <c r="U26" i="1"/>
  <c r="T64" i="1"/>
  <c r="R64" i="1" s="1"/>
  <c r="U64" i="1"/>
  <c r="T73" i="1"/>
  <c r="R73" i="1" s="1"/>
  <c r="U73" i="1"/>
  <c r="T76" i="1"/>
  <c r="R76" i="1" s="1"/>
  <c r="U76" i="1"/>
  <c r="T77" i="1"/>
  <c r="R77" i="1" s="1"/>
  <c r="U77" i="1"/>
  <c r="T80" i="1"/>
  <c r="R80" i="1" s="1"/>
  <c r="U80" i="1"/>
  <c r="T81" i="1"/>
  <c r="T5" i="1" s="1"/>
  <c r="U81" i="1"/>
  <c r="R81" i="1" l="1"/>
  <c r="AK80" i="1"/>
  <c r="AO80" i="1" s="1"/>
  <c r="AK81" i="1"/>
  <c r="AO81" i="1" s="1"/>
  <c r="AI80" i="1"/>
  <c r="AI81" i="1"/>
  <c r="P81" i="1"/>
  <c r="W81" i="1" s="1"/>
  <c r="P80" i="1"/>
  <c r="W80" i="1" s="1"/>
  <c r="S80" i="1" l="1"/>
  <c r="S81" i="1"/>
  <c r="AL81" i="1"/>
  <c r="AL80" i="1"/>
  <c r="V80" i="1"/>
  <c r="V81" i="1"/>
  <c r="P79" i="1"/>
  <c r="R79" i="1" s="1"/>
  <c r="L79" i="1"/>
  <c r="P78" i="1"/>
  <c r="L78" i="1"/>
  <c r="P77" i="1"/>
  <c r="L77" i="1"/>
  <c r="P76" i="1"/>
  <c r="L76" i="1"/>
  <c r="P75" i="1"/>
  <c r="R75" i="1" s="1"/>
  <c r="L75" i="1"/>
  <c r="P74" i="1"/>
  <c r="R74" i="1" s="1"/>
  <c r="L74" i="1"/>
  <c r="P73" i="1"/>
  <c r="L73" i="1"/>
  <c r="P72" i="1"/>
  <c r="L72" i="1"/>
  <c r="F72" i="1"/>
  <c r="W72" i="1" s="1"/>
  <c r="P71" i="1"/>
  <c r="R71" i="1" s="1"/>
  <c r="L71" i="1"/>
  <c r="P70" i="1"/>
  <c r="R70" i="1" s="1"/>
  <c r="L70" i="1"/>
  <c r="P69" i="1"/>
  <c r="L69" i="1"/>
  <c r="P68" i="1"/>
  <c r="L68" i="1"/>
  <c r="P67" i="1"/>
  <c r="L67" i="1"/>
  <c r="E66" i="1"/>
  <c r="L66" i="1" s="1"/>
  <c r="F65" i="1"/>
  <c r="E65" i="1"/>
  <c r="L65" i="1" s="1"/>
  <c r="P64" i="1"/>
  <c r="L64" i="1"/>
  <c r="P63" i="1"/>
  <c r="L63" i="1"/>
  <c r="P62" i="1"/>
  <c r="R62" i="1" s="1"/>
  <c r="L62" i="1"/>
  <c r="P61" i="1"/>
  <c r="L61" i="1"/>
  <c r="F60" i="1"/>
  <c r="E60" i="1"/>
  <c r="L60" i="1" s="1"/>
  <c r="P59" i="1"/>
  <c r="R59" i="1" s="1"/>
  <c r="L59" i="1"/>
  <c r="P58" i="1"/>
  <c r="R58" i="1" s="1"/>
  <c r="L58" i="1"/>
  <c r="P57" i="1"/>
  <c r="L57" i="1"/>
  <c r="P56" i="1"/>
  <c r="R56" i="1" s="1"/>
  <c r="L56" i="1"/>
  <c r="P55" i="1"/>
  <c r="R55" i="1" s="1"/>
  <c r="L55" i="1"/>
  <c r="P54" i="1"/>
  <c r="L54" i="1"/>
  <c r="P53" i="1"/>
  <c r="R53" i="1" s="1"/>
  <c r="L53" i="1"/>
  <c r="P52" i="1"/>
  <c r="L52" i="1"/>
  <c r="P51" i="1"/>
  <c r="R51" i="1" s="1"/>
  <c r="L51" i="1"/>
  <c r="P50" i="1"/>
  <c r="R50" i="1" s="1"/>
  <c r="L50" i="1"/>
  <c r="P49" i="1"/>
  <c r="R49" i="1" s="1"/>
  <c r="L49" i="1"/>
  <c r="P48" i="1"/>
  <c r="R48" i="1" s="1"/>
  <c r="L48" i="1"/>
  <c r="P47" i="1"/>
  <c r="R47" i="1" s="1"/>
  <c r="L47" i="1"/>
  <c r="P46" i="1"/>
  <c r="L46" i="1"/>
  <c r="P45" i="1"/>
  <c r="L45" i="1"/>
  <c r="P44" i="1"/>
  <c r="L44" i="1"/>
  <c r="P43" i="1"/>
  <c r="R43" i="1" s="1"/>
  <c r="L43" i="1"/>
  <c r="P42" i="1"/>
  <c r="L42" i="1"/>
  <c r="F41" i="1"/>
  <c r="E41" i="1"/>
  <c r="P41" i="1" s="1"/>
  <c r="P40" i="1"/>
  <c r="L40" i="1"/>
  <c r="P39" i="1"/>
  <c r="R39" i="1" s="1"/>
  <c r="L39" i="1"/>
  <c r="P38" i="1"/>
  <c r="R38" i="1" s="1"/>
  <c r="L38" i="1"/>
  <c r="P37" i="1"/>
  <c r="R37" i="1" s="1"/>
  <c r="L37" i="1"/>
  <c r="P36" i="1"/>
  <c r="L36" i="1"/>
  <c r="F36" i="1"/>
  <c r="P35" i="1"/>
  <c r="V35" i="1" s="1"/>
  <c r="L35" i="1"/>
  <c r="P34" i="1"/>
  <c r="R34" i="1" s="1"/>
  <c r="L34" i="1"/>
  <c r="P33" i="1"/>
  <c r="L33" i="1"/>
  <c r="F32" i="1"/>
  <c r="E32" i="1"/>
  <c r="L32" i="1" s="1"/>
  <c r="P31" i="1"/>
  <c r="R31" i="1" s="1"/>
  <c r="L31" i="1"/>
  <c r="P30" i="1"/>
  <c r="R30" i="1" s="1"/>
  <c r="L30" i="1"/>
  <c r="P29" i="1"/>
  <c r="R29" i="1" s="1"/>
  <c r="L29" i="1"/>
  <c r="F28" i="1"/>
  <c r="E28" i="1"/>
  <c r="L28" i="1" s="1"/>
  <c r="P27" i="1"/>
  <c r="V27" i="1" s="1"/>
  <c r="L27" i="1"/>
  <c r="P26" i="1"/>
  <c r="L26" i="1"/>
  <c r="P25" i="1"/>
  <c r="L25" i="1"/>
  <c r="P24" i="1"/>
  <c r="R24" i="1" s="1"/>
  <c r="L24" i="1"/>
  <c r="F23" i="1"/>
  <c r="E23" i="1"/>
  <c r="L23" i="1" s="1"/>
  <c r="F22" i="1"/>
  <c r="E22" i="1"/>
  <c r="P21" i="1"/>
  <c r="L21" i="1"/>
  <c r="P20" i="1"/>
  <c r="W20" i="1" s="1"/>
  <c r="L20" i="1"/>
  <c r="P19" i="1"/>
  <c r="R19" i="1" s="1"/>
  <c r="L19" i="1"/>
  <c r="P18" i="1"/>
  <c r="V18" i="1" s="1"/>
  <c r="L18" i="1"/>
  <c r="F17" i="1"/>
  <c r="E17" i="1"/>
  <c r="P17" i="1" s="1"/>
  <c r="R17" i="1" s="1"/>
  <c r="P16" i="1"/>
  <c r="L16" i="1"/>
  <c r="P15" i="1"/>
  <c r="L15" i="1"/>
  <c r="P14" i="1"/>
  <c r="R14" i="1" s="1"/>
  <c r="L14" i="1"/>
  <c r="P13" i="1"/>
  <c r="L13" i="1"/>
  <c r="P12" i="1"/>
  <c r="W12" i="1" s="1"/>
  <c r="L12" i="1"/>
  <c r="P11" i="1"/>
  <c r="L11" i="1"/>
  <c r="P10" i="1"/>
  <c r="L10" i="1"/>
  <c r="P9" i="1"/>
  <c r="L9" i="1"/>
  <c r="P8" i="1"/>
  <c r="L8" i="1"/>
  <c r="P7" i="1"/>
  <c r="L7" i="1"/>
  <c r="P6" i="1"/>
  <c r="W6" i="1" s="1"/>
  <c r="L6" i="1"/>
  <c r="AG5" i="1"/>
  <c r="AF5" i="1"/>
  <c r="AE5" i="1"/>
  <c r="AD5" i="1"/>
  <c r="AC5" i="1"/>
  <c r="AB5" i="1"/>
  <c r="AA5" i="1"/>
  <c r="Z5" i="1"/>
  <c r="Y5" i="1"/>
  <c r="X5" i="1"/>
  <c r="O5" i="1"/>
  <c r="N5" i="1"/>
  <c r="M5" i="1"/>
  <c r="K5" i="1"/>
  <c r="R36" i="1" l="1"/>
  <c r="AI17" i="1"/>
  <c r="V20" i="1"/>
  <c r="V6" i="1"/>
  <c r="V12" i="1"/>
  <c r="W8" i="1"/>
  <c r="W14" i="1"/>
  <c r="W24" i="1"/>
  <c r="W33" i="1"/>
  <c r="V33" i="1"/>
  <c r="W43" i="1"/>
  <c r="W46" i="1"/>
  <c r="W10" i="1"/>
  <c r="V10" i="1"/>
  <c r="W16" i="1"/>
  <c r="V16" i="1"/>
  <c r="AK17" i="1"/>
  <c r="AO17" i="1" s="1"/>
  <c r="W19" i="1"/>
  <c r="W26" i="1"/>
  <c r="W51" i="1"/>
  <c r="W54" i="1"/>
  <c r="R54" i="1"/>
  <c r="W59" i="1"/>
  <c r="W64" i="1"/>
  <c r="W73" i="1"/>
  <c r="W76" i="1"/>
  <c r="W77" i="1"/>
  <c r="W78" i="1"/>
  <c r="W9" i="1"/>
  <c r="W15" i="1"/>
  <c r="W25" i="1"/>
  <c r="W38" i="1"/>
  <c r="W45" i="1"/>
  <c r="R45" i="1"/>
  <c r="W53" i="1"/>
  <c r="W61" i="1"/>
  <c r="V61" i="1"/>
  <c r="W68" i="1"/>
  <c r="W71" i="1"/>
  <c r="W79" i="1"/>
  <c r="W29" i="1"/>
  <c r="W30" i="1"/>
  <c r="W31" i="1"/>
  <c r="W34" i="1"/>
  <c r="W37" i="1"/>
  <c r="W39" i="1"/>
  <c r="W40" i="1"/>
  <c r="R40" i="1"/>
  <c r="W41" i="1"/>
  <c r="R41" i="1"/>
  <c r="W42" i="1"/>
  <c r="W44" i="1"/>
  <c r="W47" i="1"/>
  <c r="W48" i="1"/>
  <c r="W49" i="1"/>
  <c r="W50" i="1"/>
  <c r="W52" i="1"/>
  <c r="R52" i="1"/>
  <c r="W55" i="1"/>
  <c r="W56" i="1"/>
  <c r="W57" i="1"/>
  <c r="R57" i="1"/>
  <c r="W58" i="1"/>
  <c r="W62" i="1"/>
  <c r="W63" i="1"/>
  <c r="W67" i="1"/>
  <c r="W69" i="1"/>
  <c r="W70" i="1"/>
  <c r="W74" i="1"/>
  <c r="W75" i="1"/>
  <c r="W7" i="1"/>
  <c r="V7" i="1"/>
  <c r="W13" i="1"/>
  <c r="V13" i="1"/>
  <c r="W21" i="1"/>
  <c r="V21" i="1"/>
  <c r="P28" i="1"/>
  <c r="R28" i="1" s="1"/>
  <c r="W11" i="1"/>
  <c r="V11" i="1"/>
  <c r="P22" i="1"/>
  <c r="R22" i="1" s="1"/>
  <c r="E5" i="1"/>
  <c r="W17" i="1"/>
  <c r="P23" i="1"/>
  <c r="R23" i="1" s="1"/>
  <c r="P32" i="1"/>
  <c r="R32" i="1" s="1"/>
  <c r="W36" i="1"/>
  <c r="P60" i="1"/>
  <c r="R60" i="1" s="1"/>
  <c r="P65" i="1"/>
  <c r="R65" i="1" s="1"/>
  <c r="P66" i="1"/>
  <c r="R66" i="1" s="1"/>
  <c r="L17" i="1"/>
  <c r="W18" i="1"/>
  <c r="L22" i="1"/>
  <c r="W27" i="1"/>
  <c r="W35" i="1"/>
  <c r="F5" i="1"/>
  <c r="L41" i="1"/>
  <c r="W66" i="1" l="1"/>
  <c r="AK65" i="1"/>
  <c r="AI65" i="1"/>
  <c r="W23" i="1"/>
  <c r="W65" i="1"/>
  <c r="W22" i="1"/>
  <c r="AI75" i="1"/>
  <c r="AK75" i="1"/>
  <c r="AK74" i="1"/>
  <c r="AI74" i="1"/>
  <c r="AI72" i="1"/>
  <c r="AK72" i="1"/>
  <c r="AI15" i="1"/>
  <c r="AK15" i="1"/>
  <c r="AI9" i="1"/>
  <c r="AK9" i="1"/>
  <c r="AI78" i="1"/>
  <c r="AK78" i="1"/>
  <c r="AK77" i="1"/>
  <c r="AI77" i="1"/>
  <c r="AK76" i="1"/>
  <c r="AI76" i="1"/>
  <c r="AK73" i="1"/>
  <c r="AI73" i="1"/>
  <c r="AK64" i="1"/>
  <c r="AI64" i="1"/>
  <c r="AK59" i="1"/>
  <c r="AI59" i="1"/>
  <c r="AK54" i="1"/>
  <c r="AI54" i="1"/>
  <c r="AK51" i="1"/>
  <c r="AI51" i="1"/>
  <c r="AK36" i="1"/>
  <c r="AI36" i="1"/>
  <c r="AK46" i="1"/>
  <c r="AI46" i="1"/>
  <c r="AK43" i="1"/>
  <c r="AI43" i="1"/>
  <c r="AK24" i="1"/>
  <c r="AI24" i="1"/>
  <c r="AK14" i="1"/>
  <c r="AI14" i="1"/>
  <c r="AK8" i="1"/>
  <c r="AI8" i="1"/>
  <c r="W60" i="1"/>
  <c r="W28" i="1"/>
  <c r="AI70" i="1"/>
  <c r="AK70" i="1"/>
  <c r="AK69" i="1"/>
  <c r="AI69" i="1"/>
  <c r="AI67" i="1"/>
  <c r="AK67" i="1"/>
  <c r="AI63" i="1"/>
  <c r="AK63" i="1"/>
  <c r="AK62" i="1"/>
  <c r="AI62" i="1"/>
  <c r="AI58" i="1"/>
  <c r="AK58" i="1"/>
  <c r="AK57" i="1"/>
  <c r="AI57" i="1"/>
  <c r="AI56" i="1"/>
  <c r="AK56" i="1"/>
  <c r="AI55" i="1"/>
  <c r="AK55" i="1"/>
  <c r="AI52" i="1"/>
  <c r="AK52" i="1"/>
  <c r="AI50" i="1"/>
  <c r="AK50" i="1"/>
  <c r="AK49" i="1"/>
  <c r="AI49" i="1"/>
  <c r="AI48" i="1"/>
  <c r="AK48" i="1"/>
  <c r="AI47" i="1"/>
  <c r="AK47" i="1"/>
  <c r="AI44" i="1"/>
  <c r="AK44" i="1"/>
  <c r="AI42" i="1"/>
  <c r="AK42" i="1"/>
  <c r="AK41" i="1"/>
  <c r="AI41" i="1"/>
  <c r="AI40" i="1"/>
  <c r="AK40" i="1"/>
  <c r="AK39" i="1"/>
  <c r="AI39" i="1"/>
  <c r="AI37" i="1"/>
  <c r="AK37" i="1"/>
  <c r="AK34" i="1"/>
  <c r="AI34" i="1"/>
  <c r="AK31" i="1"/>
  <c r="AI31" i="1"/>
  <c r="AI30" i="1"/>
  <c r="AK30" i="1"/>
  <c r="AK29" i="1"/>
  <c r="AI29" i="1"/>
  <c r="AK79" i="1"/>
  <c r="AI79" i="1"/>
  <c r="AK71" i="1"/>
  <c r="AI71" i="1"/>
  <c r="AK68" i="1"/>
  <c r="AI68" i="1"/>
  <c r="AI53" i="1"/>
  <c r="AK53" i="1"/>
  <c r="AI45" i="1"/>
  <c r="AK45" i="1"/>
  <c r="AK38" i="1"/>
  <c r="AI38" i="1"/>
  <c r="AI25" i="1"/>
  <c r="AK25" i="1"/>
  <c r="AK26" i="1"/>
  <c r="AI26" i="1"/>
  <c r="AK19" i="1"/>
  <c r="AI19" i="1"/>
  <c r="AL17" i="1"/>
  <c r="S17" i="1"/>
  <c r="V17" i="1" s="1"/>
  <c r="L5" i="1"/>
  <c r="W32" i="1"/>
  <c r="P5" i="1"/>
  <c r="S25" i="1" l="1"/>
  <c r="V25" i="1" s="1"/>
  <c r="AO25" i="1"/>
  <c r="AL25" i="1"/>
  <c r="AL45" i="1"/>
  <c r="S45" i="1"/>
  <c r="V45" i="1" s="1"/>
  <c r="AO45" i="1"/>
  <c r="AL53" i="1"/>
  <c r="S53" i="1"/>
  <c r="V53" i="1" s="1"/>
  <c r="AO53" i="1"/>
  <c r="AO30" i="1"/>
  <c r="AL30" i="1"/>
  <c r="S30" i="1"/>
  <c r="V30" i="1" s="1"/>
  <c r="AO37" i="1"/>
  <c r="S37" i="1"/>
  <c r="V37" i="1" s="1"/>
  <c r="AL37" i="1"/>
  <c r="AO40" i="1"/>
  <c r="S40" i="1"/>
  <c r="V40" i="1" s="1"/>
  <c r="AL40" i="1"/>
  <c r="AO42" i="1"/>
  <c r="S42" i="1"/>
  <c r="V42" i="1" s="1"/>
  <c r="AL42" i="1"/>
  <c r="AO44" i="1"/>
  <c r="S44" i="1"/>
  <c r="V44" i="1" s="1"/>
  <c r="AL44" i="1"/>
  <c r="AL47" i="1"/>
  <c r="AO47" i="1"/>
  <c r="S47" i="1"/>
  <c r="V47" i="1" s="1"/>
  <c r="AO48" i="1"/>
  <c r="AL48" i="1"/>
  <c r="S48" i="1"/>
  <c r="V48" i="1" s="1"/>
  <c r="AO50" i="1"/>
  <c r="S50" i="1"/>
  <c r="V50" i="1" s="1"/>
  <c r="AL50" i="1"/>
  <c r="AO52" i="1"/>
  <c r="S52" i="1"/>
  <c r="V52" i="1" s="1"/>
  <c r="AL52" i="1"/>
  <c r="AL55" i="1"/>
  <c r="AO55" i="1"/>
  <c r="S55" i="1"/>
  <c r="V55" i="1" s="1"/>
  <c r="AO56" i="1"/>
  <c r="AL56" i="1"/>
  <c r="S56" i="1"/>
  <c r="V56" i="1" s="1"/>
  <c r="AO58" i="1"/>
  <c r="S58" i="1"/>
  <c r="V58" i="1" s="1"/>
  <c r="AL58" i="1"/>
  <c r="AO63" i="1"/>
  <c r="S63" i="1"/>
  <c r="V63" i="1" s="1"/>
  <c r="AL63" i="1"/>
  <c r="AL67" i="1"/>
  <c r="S67" i="1"/>
  <c r="V67" i="1" s="1"/>
  <c r="AO67" i="1"/>
  <c r="AO70" i="1"/>
  <c r="S70" i="1"/>
  <c r="V70" i="1" s="1"/>
  <c r="AL70" i="1"/>
  <c r="AI28" i="1"/>
  <c r="AK28" i="1"/>
  <c r="AI32" i="1"/>
  <c r="AK32" i="1"/>
  <c r="AI60" i="1"/>
  <c r="AK60" i="1"/>
  <c r="AL8" i="1"/>
  <c r="S8" i="1"/>
  <c r="AO8" i="1"/>
  <c r="AL14" i="1"/>
  <c r="S14" i="1"/>
  <c r="V14" i="1" s="1"/>
  <c r="AO14" i="1"/>
  <c r="AL24" i="1"/>
  <c r="S24" i="1"/>
  <c r="V24" i="1" s="1"/>
  <c r="AO24" i="1"/>
  <c r="AL43" i="1"/>
  <c r="S43" i="1"/>
  <c r="V43" i="1" s="1"/>
  <c r="AO43" i="1"/>
  <c r="AO46" i="1"/>
  <c r="S46" i="1"/>
  <c r="V46" i="1" s="1"/>
  <c r="AL46" i="1"/>
  <c r="AL36" i="1"/>
  <c r="S36" i="1"/>
  <c r="V36" i="1" s="1"/>
  <c r="AO36" i="1"/>
  <c r="AL51" i="1"/>
  <c r="S51" i="1"/>
  <c r="V51" i="1" s="1"/>
  <c r="AO51" i="1"/>
  <c r="AO54" i="1"/>
  <c r="S54" i="1"/>
  <c r="V54" i="1" s="1"/>
  <c r="AL54" i="1"/>
  <c r="AL59" i="1"/>
  <c r="S59" i="1"/>
  <c r="V59" i="1" s="1"/>
  <c r="AO59" i="1"/>
  <c r="AL64" i="1"/>
  <c r="S64" i="1"/>
  <c r="V64" i="1" s="1"/>
  <c r="AO64" i="1"/>
  <c r="AO73" i="1"/>
  <c r="S73" i="1"/>
  <c r="V73" i="1" s="1"/>
  <c r="AL73" i="1"/>
  <c r="AL76" i="1"/>
  <c r="S76" i="1"/>
  <c r="V76" i="1" s="1"/>
  <c r="AO76" i="1"/>
  <c r="AO77" i="1"/>
  <c r="S77" i="1"/>
  <c r="V77" i="1" s="1"/>
  <c r="AL77" i="1"/>
  <c r="AL74" i="1"/>
  <c r="S74" i="1"/>
  <c r="V74" i="1" s="1"/>
  <c r="AO74" i="1"/>
  <c r="AI23" i="1"/>
  <c r="AK23" i="1"/>
  <c r="AK66" i="1"/>
  <c r="AI66" i="1"/>
  <c r="S19" i="1"/>
  <c r="V19" i="1" s="1"/>
  <c r="AL19" i="1"/>
  <c r="AO19" i="1"/>
  <c r="AL26" i="1"/>
  <c r="S26" i="1"/>
  <c r="V26" i="1" s="1"/>
  <c r="AO26" i="1"/>
  <c r="AL38" i="1"/>
  <c r="S38" i="1"/>
  <c r="V38" i="1" s="1"/>
  <c r="AO38" i="1"/>
  <c r="AO68" i="1"/>
  <c r="S68" i="1"/>
  <c r="V68" i="1" s="1"/>
  <c r="AL68" i="1"/>
  <c r="AL71" i="1"/>
  <c r="S71" i="1"/>
  <c r="V71" i="1" s="1"/>
  <c r="AO71" i="1"/>
  <c r="AO79" i="1"/>
  <c r="S79" i="1"/>
  <c r="V79" i="1" s="1"/>
  <c r="AL79" i="1"/>
  <c r="AL29" i="1"/>
  <c r="S29" i="1"/>
  <c r="V29" i="1" s="1"/>
  <c r="AO29" i="1"/>
  <c r="AL31" i="1"/>
  <c r="S31" i="1"/>
  <c r="V31" i="1" s="1"/>
  <c r="AO31" i="1"/>
  <c r="AL34" i="1"/>
  <c r="S34" i="1"/>
  <c r="V34" i="1" s="1"/>
  <c r="AO34" i="1"/>
  <c r="AL39" i="1"/>
  <c r="S39" i="1"/>
  <c r="V39" i="1" s="1"/>
  <c r="AO39" i="1"/>
  <c r="AL41" i="1"/>
  <c r="S41" i="1"/>
  <c r="V41" i="1" s="1"/>
  <c r="AO41" i="1"/>
  <c r="AL49" i="1"/>
  <c r="AO49" i="1"/>
  <c r="S49" i="1"/>
  <c r="V49" i="1" s="1"/>
  <c r="AL57" i="1"/>
  <c r="AO57" i="1"/>
  <c r="S57" i="1"/>
  <c r="V57" i="1" s="1"/>
  <c r="AL62" i="1"/>
  <c r="S62" i="1"/>
  <c r="V62" i="1" s="1"/>
  <c r="AO62" i="1"/>
  <c r="AL69" i="1"/>
  <c r="AO69" i="1"/>
  <c r="S69" i="1"/>
  <c r="V69" i="1" s="1"/>
  <c r="R5" i="1"/>
  <c r="AL78" i="1"/>
  <c r="AO78" i="1"/>
  <c r="S78" i="1"/>
  <c r="V78" i="1" s="1"/>
  <c r="S9" i="1"/>
  <c r="V9" i="1" s="1"/>
  <c r="AO9" i="1"/>
  <c r="AL9" i="1"/>
  <c r="S15" i="1"/>
  <c r="V15" i="1" s="1"/>
  <c r="AO15" i="1"/>
  <c r="AL15" i="1"/>
  <c r="AL72" i="1"/>
  <c r="S72" i="1"/>
  <c r="V72" i="1" s="1"/>
  <c r="AO72" i="1"/>
  <c r="AO75" i="1"/>
  <c r="S75" i="1"/>
  <c r="V75" i="1" s="1"/>
  <c r="AL75" i="1"/>
  <c r="AK22" i="1"/>
  <c r="AI22" i="1"/>
  <c r="AO65" i="1"/>
  <c r="S65" i="1"/>
  <c r="V65" i="1" s="1"/>
  <c r="AL65" i="1"/>
  <c r="AK5" i="1" l="1"/>
  <c r="AK1" i="1" s="1"/>
  <c r="AI5" i="1"/>
  <c r="AL22" i="1"/>
  <c r="S22" i="1"/>
  <c r="V22" i="1" s="1"/>
  <c r="AO22" i="1"/>
  <c r="S23" i="1"/>
  <c r="V23" i="1" s="1"/>
  <c r="AO23" i="1"/>
  <c r="AL23" i="1"/>
  <c r="AO60" i="1"/>
  <c r="S60" i="1"/>
  <c r="V60" i="1" s="1"/>
  <c r="AL60" i="1"/>
  <c r="AO32" i="1"/>
  <c r="S32" i="1"/>
  <c r="V32" i="1" s="1"/>
  <c r="AL32" i="1"/>
  <c r="AO28" i="1"/>
  <c r="AL28" i="1"/>
  <c r="S28" i="1"/>
  <c r="V28" i="1" s="1"/>
  <c r="AO66" i="1"/>
  <c r="S66" i="1"/>
  <c r="V66" i="1" s="1"/>
  <c r="AL66" i="1"/>
  <c r="V8" i="1"/>
  <c r="S5" i="1" l="1"/>
  <c r="AL5" i="1"/>
  <c r="AO5" i="1"/>
</calcChain>
</file>

<file path=xl/sharedStrings.xml><?xml version="1.0" encoding="utf-8"?>
<sst xmlns="http://schemas.openxmlformats.org/spreadsheetml/2006/main" count="310" uniqueCount="194">
  <si>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</si>
  <si>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</si>
  <si>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</si>
  <si>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</si>
  <si>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</si>
  <si>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</si>
  <si>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</si>
  <si>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</si>
  <si>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</si>
  <si>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</si>
  <si>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</si>
  <si>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</si>
  <si>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</si>
  <si>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</si>
  <si>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</si>
  <si>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</si>
  <si>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</si>
  <si>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</si>
  <si>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</si>
  <si>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</si>
  <si>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</si>
  <si>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</si>
  <si>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</si>
  <si>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</si>
  <si>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</si>
  <si>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</si>
  <si>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</si>
  <si>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</si>
  <si>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</si>
  <si>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05,10,</t>
  </si>
  <si>
    <t>08,10,</t>
  </si>
  <si>
    <t>01,10,</t>
  </si>
  <si>
    <t>24,09,</t>
  </si>
  <si>
    <t>15,09,</t>
  </si>
  <si>
    <t>10,09,</t>
  </si>
  <si>
    <t>08,09,</t>
  </si>
  <si>
    <t>03,09,</t>
  </si>
  <si>
    <t>27,08,</t>
  </si>
  <si>
    <t>20,08,</t>
  </si>
  <si>
    <t>16,08,</t>
  </si>
  <si>
    <t>13,08,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</si>
  <si>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</si>
  <si>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</si>
  <si>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</si>
  <si>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</si>
  <si>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</si>
  <si>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</si>
  <si>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</si>
  <si>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</si>
  <si>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</si>
  <si>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</si>
  <si>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</si>
  <si>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</si>
  <si>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</si>
  <si>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</si>
  <si>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</si>
  <si>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</si>
  <si>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</si>
  <si>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</si>
  <si>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</si>
  <si>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</si>
  <si>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</si>
  <si>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</si>
  <si>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</si>
  <si>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</si>
  <si>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</si>
  <si>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</si>
  <si>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курицей ТМ горячая штучка (курочка гриль) флоу-пак 0.3кг  ПОКОМ</t>
  </si>
  <si>
    <t>Чебупели Курочка гриль Базовый ассортимент Фикс.вес 0,3 Пакет Горячая штучка  Поком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</si>
  <si>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</si>
  <si>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</si>
  <si>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</si>
  <si>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</si>
  <si>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</si>
  <si>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</si>
  <si>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</si>
  <si>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</si>
  <si>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</si>
  <si>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</si>
  <si>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</si>
  <si>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</si>
  <si>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</si>
  <si>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</si>
  <si>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</si>
  <si>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</si>
  <si>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</si>
  <si>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</si>
  <si>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</si>
  <si>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</si>
  <si>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</si>
  <si>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</si>
  <si>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</si>
  <si>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</si>
  <si>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</si>
  <si>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</si>
  <si>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</si>
  <si>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</si>
  <si>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</si>
  <si>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</si>
  <si>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</si>
  <si>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</si>
  <si>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</si>
  <si>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</si>
  <si>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</si>
  <si>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</si>
  <si>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</si>
  <si>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</si>
  <si>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</si>
  <si>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</si>
  <si>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</si>
  <si>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</si>
  <si>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</si>
  <si>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</si>
  <si>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</si>
  <si>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</si>
  <si>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</si>
  <si>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</si>
  <si>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</si>
  <si>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</si>
  <si>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</si>
  <si>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</si>
  <si>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</si>
  <si>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</si>
  <si>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</si>
  <si>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</si>
  <si>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</si>
  <si>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</si>
  <si>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</si>
  <si>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</si>
  <si>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</si>
  <si>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</si>
  <si>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</si>
  <si>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</si>
  <si>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</si>
  <si>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</si>
  <si>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</si>
  <si>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</si>
  <si>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</si>
  <si>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</si>
  <si>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</si>
  <si>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</si>
  <si>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</si>
  <si>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</si>
  <si>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</si>
  <si>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</si>
  <si>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</si>
  <si>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</si>
  <si>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</si>
  <si>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</si>
  <si>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</si>
  <si>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</si>
  <si>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</si>
  <si>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</si>
  <si>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</si>
  <si>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</si>
  <si>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</si>
  <si>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</si>
  <si>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</si>
  <si>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</si>
  <si>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</si>
  <si>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нужно увеличить продажи!!!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</si>
  <si>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</si>
  <si>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</si>
  <si>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</si>
  <si>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</si>
  <si>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</si>
  <si>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</si>
  <si>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</si>
  <si>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</si>
  <si>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</si>
  <si>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</si>
  <si>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</si>
  <si>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</si>
  <si>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</si>
  <si>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</si>
  <si>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</si>
  <si>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</si>
  <si>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</si>
  <si>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</si>
  <si>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</si>
  <si>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</si>
  <si>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</si>
  <si>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</si>
  <si>
    <t>минимальная кратность 420 шт.</t>
  </si>
  <si>
    <t>Пельмени «Медвежье ушко Премиум со сливочным маслом» 0,8 классическая форма ТМ «Медвежье ушко»</t>
  </si>
  <si>
    <t>P005438</t>
  </si>
  <si>
    <t>Пельмени «Медвежье ушко Премиум со сливочным маслом» 0,4 классическая форма ТМ «Медвежье ушко»</t>
  </si>
  <si>
    <t>P005439</t>
  </si>
  <si>
    <t>ТК</t>
  </si>
  <si>
    <t>Воронков</t>
  </si>
  <si>
    <t>ТК ком</t>
  </si>
  <si>
    <t>ВНИМАНИЕ / P004956</t>
  </si>
  <si>
    <t>дн</t>
  </si>
  <si>
    <t>12,10,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</si>
</sst>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;[Red]\-0\ "/>
    <numFmt numFmtId="165" formatCode="0.0"/>
    <numFmt numFmtId="166" formatCode="0.00_ ;[Red]\-0.00\ "/>
    <numFmt numFmtId="167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1" fillId="4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4" borderId="2" xfId="1" applyNumberFormat="1" applyFill="1" applyBorder="1"/>
    <xf numFmtId="164" fontId="6" fillId="0" borderId="1" xfId="1" applyNumberFormat="1" applyFont="1"/>
    <xf numFmtId="164" fontId="1" fillId="8" borderId="1" xfId="1" applyNumberFormat="1" applyFill="1"/>
    <xf numFmtId="2" fontId="1" fillId="8" borderId="1" xfId="1" applyNumberFormat="1" applyFill="1"/>
    <xf numFmtId="0" fontId="0" fillId="0" borderId="1" xfId="0" applyBorder="1"/>
    <xf numFmtId="164" fontId="1" fillId="8" borderId="2" xfId="1" applyNumberFormat="1" applyFill="1" applyBorder="1"/>
    <xf numFmtId="165" fontId="1" fillId="8" borderId="1" xfId="1" applyNumberFormat="1" applyFill="1"/>
    <xf numFmtId="164" fontId="1" fillId="0" borderId="1" xfId="1" applyNumberFormat="1" applyBorder="1"/>
    <xf numFmtId="166" fontId="1" fillId="0" borderId="1" xfId="1" applyNumberFormat="1"/>
    <xf numFmtId="167" fontId="1" fillId="0" borderId="1" xfId="1" applyNumberFormat="1"/>
    <xf numFmtId="165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081026%20&#1083;&#1075;&#1088;&#1089;&#1095;%20&#1087;&#1086;&#1082;%20&#1079;&#1087;&#1092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 (потребность)</v>
          </cell>
          <cell r="R3" t="str">
            <v>расчет (отгрузит завод)</v>
          </cell>
        </row>
        <row r="4">
          <cell r="O4" t="str">
            <v>05,10,</v>
          </cell>
          <cell r="P4" t="str">
            <v>08,10,</v>
          </cell>
        </row>
        <row r="5">
          <cell r="E5">
            <v>26850.9</v>
          </cell>
          <cell r="F5">
            <v>24316.400000000001</v>
          </cell>
          <cell r="K5">
            <v>25037.499999999996</v>
          </cell>
          <cell r="L5">
            <v>1813.4000000000003</v>
          </cell>
          <cell r="M5">
            <v>0</v>
          </cell>
          <cell r="N5">
            <v>0</v>
          </cell>
          <cell r="O5">
            <v>15304.2</v>
          </cell>
          <cell r="P5">
            <v>5370.1799999999994</v>
          </cell>
          <cell r="Q5">
            <v>34040.799999999988</v>
          </cell>
          <cell r="R5">
            <v>34646.199999999997</v>
          </cell>
          <cell r="S5">
            <v>7050</v>
          </cell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81</v>
          </cell>
          <cell r="D6">
            <v>514</v>
          </cell>
          <cell r="E6">
            <v>277</v>
          </cell>
          <cell r="F6">
            <v>290</v>
          </cell>
          <cell r="G6">
            <v>0</v>
          </cell>
          <cell r="I6" t="str">
            <v>бонус</v>
          </cell>
          <cell r="J6" t="str">
            <v>Готовые чебупели сочные с мясом ТМ Горячая штучка флоу-пак 0,24 кг  ПОКОМ</v>
          </cell>
          <cell r="K6">
            <v>296</v>
          </cell>
          <cell r="L6">
            <v>-19</v>
          </cell>
          <cell r="P6">
            <v>55.4</v>
          </cell>
        </row>
        <row r="7">
          <cell r="A7" t="str">
            <v>БОНУС_Наггетсы Нагетосы Сочная курочка ТМ Горячая штучка 0,25 кг зам  ПОКОМ</v>
          </cell>
          <cell r="B7" t="str">
            <v>шт</v>
          </cell>
          <cell r="C7">
            <v>84</v>
          </cell>
          <cell r="D7">
            <v>501</v>
          </cell>
          <cell r="E7">
            <v>122</v>
          </cell>
          <cell r="F7">
            <v>440</v>
          </cell>
          <cell r="G7">
            <v>0</v>
          </cell>
          <cell r="I7" t="str">
            <v>бонус</v>
          </cell>
          <cell r="J7" t="str">
            <v>Наггетсы Нагетосы Сочная курочка ТМ Горячая штучка 0,25 кг зам  ПОКОМ</v>
          </cell>
          <cell r="K7">
            <v>132</v>
          </cell>
          <cell r="L7">
            <v>-10</v>
          </cell>
          <cell r="P7">
            <v>24.4</v>
          </cell>
        </row>
        <row r="8">
          <cell r="A8" t="str">
            <v>Бульмени хрустящие с мясом ТМ Горячая штучка ТС Бульмени ГШ сфера 0,22 кг  Поком</v>
          </cell>
          <cell r="B8" t="str">
            <v>шт</v>
          </cell>
          <cell r="D8">
            <v>168</v>
          </cell>
          <cell r="E8">
            <v>41</v>
          </cell>
          <cell r="F8">
            <v>120</v>
          </cell>
          <cell r="G8">
            <v>0.22</v>
          </cell>
          <cell r="H8">
            <v>180</v>
          </cell>
          <cell r="I8" t="str">
            <v>P005065</v>
          </cell>
          <cell r="K8">
            <v>41</v>
          </cell>
          <cell r="L8">
            <v>0</v>
          </cell>
          <cell r="O8">
            <v>0</v>
          </cell>
          <cell r="P8">
            <v>8.1999999999999993</v>
          </cell>
          <cell r="R8">
            <v>0</v>
          </cell>
        </row>
        <row r="9">
          <cell r="A9" t="str">
            <v>Готовые бельмеши сочные с мясом ТМ Горячая штучка 0,3кг зам  ПОКОМ</v>
          </cell>
          <cell r="B9" t="str">
            <v>шт</v>
          </cell>
          <cell r="C9">
            <v>187</v>
          </cell>
          <cell r="D9">
            <v>5</v>
          </cell>
          <cell r="E9">
            <v>183</v>
          </cell>
          <cell r="G9">
            <v>0.3</v>
          </cell>
          <cell r="H9">
            <v>180</v>
          </cell>
          <cell r="I9" t="str">
            <v>P004598</v>
          </cell>
          <cell r="K9">
            <v>203</v>
          </cell>
          <cell r="L9">
            <v>-20</v>
          </cell>
          <cell r="O9">
            <v>504</v>
          </cell>
          <cell r="P9">
            <v>36.6</v>
          </cell>
          <cell r="R9">
            <v>0</v>
          </cell>
          <cell r="S9">
            <v>350</v>
          </cell>
          <cell r="T9" t="str">
            <v>промо</v>
          </cell>
        </row>
        <row r="10">
          <cell r="A10" t="str">
            <v>Готовые круггетсы сочные ТМ Горячая штучка флоу пак 0,2кг  ПОКОМ</v>
          </cell>
          <cell r="B10" t="str">
            <v>шт</v>
          </cell>
          <cell r="C10">
            <v>434</v>
          </cell>
          <cell r="D10">
            <v>1040</v>
          </cell>
          <cell r="E10">
            <v>251</v>
          </cell>
          <cell r="F10">
            <v>752</v>
          </cell>
          <cell r="G10">
            <v>0</v>
          </cell>
          <cell r="H10">
            <v>180</v>
          </cell>
          <cell r="I10" t="str">
            <v>дубль</v>
          </cell>
          <cell r="J10" t="str">
            <v>Круггетсы сочные ТМ Горячая штучка ТС Круггетсы флоу-пак  0,2 кг.  ПОКОМ</v>
          </cell>
          <cell r="K10">
            <v>263</v>
          </cell>
          <cell r="L10">
            <v>-12</v>
          </cell>
          <cell r="P10">
            <v>50.2</v>
          </cell>
        </row>
        <row r="11">
          <cell r="A11" t="str">
            <v>Готовые пекерсы с индейкой в сливочном соусе ТМ Горячая штучка флоу-пак 0,25кг  ПОКОМ</v>
          </cell>
          <cell r="B11" t="str">
            <v>шт</v>
          </cell>
          <cell r="D11">
            <v>168</v>
          </cell>
          <cell r="E11">
            <v>39</v>
          </cell>
          <cell r="F11">
            <v>128</v>
          </cell>
          <cell r="G11">
            <v>0</v>
          </cell>
          <cell r="H11">
            <v>180</v>
          </cell>
          <cell r="I11" t="str">
            <v>дубль</v>
          </cell>
          <cell r="J11" t="str">
            <v>Пекерсы с индейкой в сливочном соусе ТМ Горячая штучка 0,25 кг зам  ПОКОМ</v>
          </cell>
          <cell r="K11">
            <v>38</v>
          </cell>
          <cell r="L11">
            <v>1</v>
          </cell>
          <cell r="P11">
            <v>7.8</v>
          </cell>
        </row>
        <row r="12">
          <cell r="A12" t="str">
            <v>Готовые хотстеры ТМ Горячая штучка ТС Хотстеры флоу-пак 0,25 кг.  ПОКОМ</v>
          </cell>
          <cell r="B12" t="str">
            <v>шт</v>
          </cell>
          <cell r="C12">
            <v>911</v>
          </cell>
          <cell r="D12">
            <v>689</v>
          </cell>
          <cell r="E12">
            <v>392</v>
          </cell>
          <cell r="F12">
            <v>966</v>
          </cell>
          <cell r="G12">
            <v>0</v>
          </cell>
          <cell r="I12" t="str">
            <v>дубль</v>
          </cell>
          <cell r="J12" t="str">
            <v>Хотстеры ТМ Горячая штучка ТС Хотстеры 0,25 кг зам  ПОКОМ</v>
          </cell>
          <cell r="K12">
            <v>400</v>
          </cell>
          <cell r="L12">
            <v>-8</v>
          </cell>
          <cell r="P12">
            <v>78.400000000000006</v>
          </cell>
        </row>
        <row r="13">
          <cell r="A13" t="str">
            <v>Готовые хотстеры с сыром ТМ Горячая штучка ТС Хотстеры флоу-пак 0,25 кг.  ПОКОМ</v>
          </cell>
          <cell r="B13" t="str">
            <v>шт</v>
          </cell>
          <cell r="C13">
            <v>306</v>
          </cell>
          <cell r="E13">
            <v>285</v>
          </cell>
          <cell r="G13">
            <v>0</v>
          </cell>
          <cell r="H13">
            <v>180</v>
          </cell>
          <cell r="I13" t="str">
            <v>дубль</v>
          </cell>
          <cell r="J13" t="str">
            <v>Хотстеры с сыром ТМ Горячая штучка ТС Хотстеры 0,25кг.  Поком</v>
          </cell>
          <cell r="K13">
            <v>295</v>
          </cell>
          <cell r="L13">
            <v>-10</v>
          </cell>
          <cell r="P13">
            <v>57</v>
          </cell>
        </row>
        <row r="14">
          <cell r="A14" t="str">
            <v>Готовые чебуманы с говядиной ТМ горячая штучка 0,28 кг.  Поком</v>
          </cell>
          <cell r="B14" t="str">
            <v>шт</v>
          </cell>
          <cell r="C14">
            <v>698</v>
          </cell>
          <cell r="D14">
            <v>5</v>
          </cell>
          <cell r="E14">
            <v>766</v>
          </cell>
          <cell r="F14">
            <v>-68</v>
          </cell>
          <cell r="G14">
            <v>0.28000000000000003</v>
          </cell>
          <cell r="H14">
            <v>180</v>
          </cell>
          <cell r="I14" t="str">
            <v>P004597</v>
          </cell>
          <cell r="K14">
            <v>794</v>
          </cell>
          <cell r="L14">
            <v>-28</v>
          </cell>
          <cell r="O14">
            <v>1596</v>
          </cell>
          <cell r="P14">
            <v>153.19999999999999</v>
          </cell>
          <cell r="Q14">
            <v>616.79999999999973</v>
          </cell>
          <cell r="R14">
            <v>588</v>
          </cell>
        </row>
        <row r="15">
          <cell r="A15" t="str">
            <v>Готовые чебупели острые с мясом ТМ Горячая штучка флоу-пак 0,24 кг  Поком</v>
          </cell>
          <cell r="B15" t="str">
            <v>шт</v>
          </cell>
          <cell r="C15">
            <v>29</v>
          </cell>
          <cell r="D15">
            <v>1187</v>
          </cell>
          <cell r="E15">
            <v>533</v>
          </cell>
          <cell r="F15">
            <v>656</v>
          </cell>
          <cell r="G15">
            <v>0.24</v>
          </cell>
          <cell r="H15">
            <v>180</v>
          </cell>
          <cell r="I15" t="str">
            <v>P004969</v>
          </cell>
          <cell r="K15">
            <v>554</v>
          </cell>
          <cell r="L15">
            <v>-21</v>
          </cell>
          <cell r="O15">
            <v>504</v>
          </cell>
          <cell r="P15">
            <v>106.6</v>
          </cell>
          <cell r="Q15">
            <v>332.39999999999986</v>
          </cell>
          <cell r="R15">
            <v>336</v>
          </cell>
          <cell r="S15">
            <v>550</v>
          </cell>
          <cell r="T15" t="str">
            <v>промо</v>
          </cell>
        </row>
        <row r="16">
          <cell r="A16" t="str">
            <v>Готовые чебупели с ветчиной и сыром 0,24 кг НОВАЯ ТМ Горячая штучка  ПОКОМ</v>
          </cell>
          <cell r="B16" t="str">
            <v>шт</v>
          </cell>
          <cell r="C16">
            <v>985</v>
          </cell>
          <cell r="D16">
            <v>865</v>
          </cell>
          <cell r="E16">
            <v>468</v>
          </cell>
          <cell r="F16">
            <v>835</v>
          </cell>
          <cell r="G16">
            <v>0</v>
          </cell>
          <cell r="I16" t="str">
            <v>дубль</v>
          </cell>
          <cell r="J16" t="str">
            <v>Готовые чебупели с ветчиной и сыром ТМ Горячая штучка флоу-пак 0,24 кг.  ПОКОМ</v>
          </cell>
          <cell r="K16">
            <v>497</v>
          </cell>
          <cell r="L16">
            <v>-29</v>
          </cell>
          <cell r="P16">
            <v>93.6</v>
          </cell>
        </row>
        <row r="17">
          <cell r="A17" t="str">
            <v>Готовые чебупели с ветчиной и сыром ТМ Горячая штучка флоу-пак 0,24 кг.  ПОКОМ</v>
          </cell>
          <cell r="B17" t="str">
            <v>шт</v>
          </cell>
          <cell r="C17">
            <v>-96</v>
          </cell>
          <cell r="D17">
            <v>509</v>
          </cell>
          <cell r="E17">
            <v>881</v>
          </cell>
          <cell r="F17">
            <v>835</v>
          </cell>
          <cell r="G17">
            <v>0.24</v>
          </cell>
          <cell r="H17">
            <v>180</v>
          </cell>
          <cell r="I17" t="str">
            <v>P004971</v>
          </cell>
          <cell r="K17">
            <v>425</v>
          </cell>
          <cell r="L17">
            <v>456</v>
          </cell>
          <cell r="O17">
            <v>336</v>
          </cell>
          <cell r="P17">
            <v>176.2</v>
          </cell>
          <cell r="Q17">
            <v>1295.7999999999997</v>
          </cell>
          <cell r="R17">
            <v>1344</v>
          </cell>
        </row>
        <row r="18">
          <cell r="A18" t="str">
            <v>Готовые чебупели с курицей ТМ горячая штучка (курочка гриль) флоу-пак 0.3кг  ПОКОМ</v>
          </cell>
          <cell r="B18" t="str">
            <v>шт</v>
          </cell>
          <cell r="D18">
            <v>392</v>
          </cell>
          <cell r="F18">
            <v>310</v>
          </cell>
          <cell r="G18">
            <v>0</v>
          </cell>
          <cell r="H18">
            <v>180</v>
          </cell>
          <cell r="I18" t="str">
            <v>дубль</v>
          </cell>
          <cell r="J18" t="str">
            <v>Чебупели Курочка гриль Базовый ассортимент Фикс.вес 0,3 Пакет Горячая штучка  Поком</v>
          </cell>
          <cell r="L18">
            <v>0</v>
          </cell>
          <cell r="P18">
            <v>0</v>
          </cell>
        </row>
        <row r="19">
          <cell r="A19" t="str">
            <v>Готовые чебупели с мясом ТМ Горячая штучка 0,24 кг  ПОКОМ</v>
          </cell>
          <cell r="B19" t="str">
            <v>шт</v>
          </cell>
          <cell r="C19">
            <v>607</v>
          </cell>
          <cell r="D19">
            <v>341</v>
          </cell>
          <cell r="E19">
            <v>624</v>
          </cell>
          <cell r="F19">
            <v>292</v>
          </cell>
          <cell r="G19">
            <v>0.24</v>
          </cell>
          <cell r="H19">
            <v>180</v>
          </cell>
          <cell r="I19" t="str">
            <v>P004974</v>
          </cell>
          <cell r="K19">
            <v>629</v>
          </cell>
          <cell r="L19">
            <v>-5</v>
          </cell>
          <cell r="O19">
            <v>504</v>
          </cell>
          <cell r="P19">
            <v>124.8</v>
          </cell>
          <cell r="Q19">
            <v>951.2</v>
          </cell>
          <cell r="R19">
            <v>1008</v>
          </cell>
        </row>
        <row r="20">
          <cell r="A20" t="str">
            <v>Готовые чебупели сочные с мясом 0,24 кг НОВАЯ ТМ Горячая штучка флоу-пак  ПОКОМ</v>
          </cell>
          <cell r="B20" t="str">
            <v>шт</v>
          </cell>
          <cell r="C20">
            <v>458</v>
          </cell>
          <cell r="D20">
            <v>1024</v>
          </cell>
          <cell r="E20">
            <v>400</v>
          </cell>
          <cell r="F20">
            <v>139</v>
          </cell>
          <cell r="G20">
            <v>0</v>
          </cell>
          <cell r="I20" t="str">
            <v>дубль</v>
          </cell>
          <cell r="J20" t="str">
            <v>Готовые чебупели сочные с мясом ТМ Горячая штучка флоу-пак 0,24 кг  ПОКОМ</v>
          </cell>
          <cell r="K20">
            <v>435</v>
          </cell>
          <cell r="L20">
            <v>-35</v>
          </cell>
          <cell r="P20">
            <v>80</v>
          </cell>
        </row>
        <row r="21">
          <cell r="A21" t="str">
            <v>Готовые чебупели сочные с мясом 0,48 кг НОВАЯ ТМ Горячая штучка флоу-пак МЕГАпачка  ПОКОМ</v>
          </cell>
          <cell r="B21" t="str">
            <v>шт</v>
          </cell>
          <cell r="C21">
            <v>120</v>
          </cell>
          <cell r="D21">
            <v>115</v>
          </cell>
          <cell r="E21">
            <v>116</v>
          </cell>
          <cell r="F21">
            <v>83</v>
          </cell>
          <cell r="G21">
            <v>0</v>
          </cell>
          <cell r="I21" t="str">
            <v>дубль</v>
          </cell>
          <cell r="J21" t="str">
            <v>Готовые чебупели сочные с мясом ТМ Горячая штучка флоу-пак 0,48 кг XXL  Поком</v>
          </cell>
          <cell r="K21">
            <v>118</v>
          </cell>
          <cell r="L21">
            <v>-2</v>
          </cell>
          <cell r="P21">
            <v>23.2</v>
          </cell>
        </row>
        <row r="22">
          <cell r="A22" t="str">
            <v>Готовые чебупели сочные с мясом ТМ Горячая штучка флоу-пак 0,24 кг  ПОКОМ</v>
          </cell>
          <cell r="B22" t="str">
            <v>шт</v>
          </cell>
          <cell r="C22">
            <v>-36</v>
          </cell>
          <cell r="D22">
            <v>408</v>
          </cell>
          <cell r="E22">
            <v>1049</v>
          </cell>
          <cell r="F22">
            <v>429</v>
          </cell>
          <cell r="G22">
            <v>0.24</v>
          </cell>
          <cell r="H22">
            <v>180</v>
          </cell>
          <cell r="I22" t="str">
            <v>P004966</v>
          </cell>
          <cell r="K22">
            <v>372</v>
          </cell>
          <cell r="L22">
            <v>677</v>
          </cell>
          <cell r="O22">
            <v>672</v>
          </cell>
          <cell r="P22">
            <v>209.8</v>
          </cell>
          <cell r="Q22">
            <v>1836.2000000000003</v>
          </cell>
          <cell r="R22">
            <v>1848</v>
          </cell>
        </row>
        <row r="23">
          <cell r="A23" t="str">
            <v>Готовые чебупели сочные с мясом ТМ Горячая штучка флоу-пак 0,48 кг XXL  Поком</v>
          </cell>
          <cell r="B23" t="str">
            <v>шт</v>
          </cell>
          <cell r="C23">
            <v>-8</v>
          </cell>
          <cell r="D23">
            <v>28</v>
          </cell>
          <cell r="E23">
            <v>136</v>
          </cell>
          <cell r="F23">
            <v>83</v>
          </cell>
          <cell r="G23">
            <v>0.48</v>
          </cell>
          <cell r="H23">
            <v>180</v>
          </cell>
          <cell r="I23" t="str">
            <v>P004595</v>
          </cell>
          <cell r="K23">
            <v>20</v>
          </cell>
          <cell r="L23">
            <v>116</v>
          </cell>
          <cell r="O23">
            <v>112</v>
          </cell>
          <cell r="P23">
            <v>27.2</v>
          </cell>
          <cell r="Q23">
            <v>185.8</v>
          </cell>
          <cell r="R23">
            <v>224</v>
          </cell>
        </row>
        <row r="24">
          <cell r="A24" t="str">
            <v>Готовые чебуреки с мясом ТМ Горячая штучка 0,09 кг флоу-пак ПОКОМ</v>
          </cell>
          <cell r="B24" t="str">
            <v>шт</v>
          </cell>
          <cell r="C24">
            <v>678</v>
          </cell>
          <cell r="D24">
            <v>696</v>
          </cell>
          <cell r="E24">
            <v>678</v>
          </cell>
          <cell r="F24">
            <v>639</v>
          </cell>
          <cell r="G24">
            <v>0.09</v>
          </cell>
          <cell r="H24">
            <v>180</v>
          </cell>
          <cell r="I24" t="str">
            <v>P004138</v>
          </cell>
          <cell r="K24">
            <v>702</v>
          </cell>
          <cell r="L24">
            <v>-24</v>
          </cell>
          <cell r="O24">
            <v>672</v>
          </cell>
          <cell r="P24">
            <v>135.6</v>
          </cell>
          <cell r="Q24">
            <v>587.39999999999986</v>
          </cell>
          <cell r="R24">
            <v>672</v>
          </cell>
        </row>
        <row r="25">
          <cell r="A25" t="str">
            <v>Готовые чебуреки со свининой и говядиной ТМ Горячая штучка ТС Базовый ассортимент 0,36 кг  ПОКОМ</v>
          </cell>
          <cell r="B25" t="str">
            <v>шт</v>
          </cell>
          <cell r="G25">
            <v>0.36</v>
          </cell>
          <cell r="H25">
            <v>180</v>
          </cell>
          <cell r="I25" t="str">
            <v>P004583</v>
          </cell>
          <cell r="K25">
            <v>120</v>
          </cell>
          <cell r="L25">
            <v>-120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Круггетсы с сырным соусом ТМ Горячая штучка ТС Круггетсы флоу-пак 0,2 кг  ПОКОМ</v>
          </cell>
          <cell r="B26" t="str">
            <v>шт</v>
          </cell>
          <cell r="C26">
            <v>87</v>
          </cell>
          <cell r="D26">
            <v>5</v>
          </cell>
          <cell r="E26">
            <v>106</v>
          </cell>
          <cell r="F26">
            <v>-19</v>
          </cell>
          <cell r="G26">
            <v>0.2</v>
          </cell>
          <cell r="H26">
            <v>180</v>
          </cell>
          <cell r="I26" t="str">
            <v>P004956</v>
          </cell>
          <cell r="K26">
            <v>118</v>
          </cell>
          <cell r="L26">
            <v>-12</v>
          </cell>
          <cell r="O26">
            <v>672</v>
          </cell>
          <cell r="P26">
            <v>21.2</v>
          </cell>
          <cell r="R26">
            <v>0</v>
          </cell>
          <cell r="S26">
            <v>250</v>
          </cell>
          <cell r="T26" t="str">
            <v>промо</v>
          </cell>
        </row>
        <row r="27">
          <cell r="A27" t="str">
            <v>Круггетсы сочные ТМ Горячая штучка ТС Круггетсы 0,25 кг зам  ПОКОМ</v>
          </cell>
          <cell r="B27" t="str">
            <v>шт</v>
          </cell>
          <cell r="E27">
            <v>12</v>
          </cell>
          <cell r="F27">
            <v>-12</v>
          </cell>
          <cell r="G27">
            <v>0</v>
          </cell>
          <cell r="I27" t="str">
            <v>дубль</v>
          </cell>
          <cell r="J27" t="str">
            <v>Круггетсы сочные ТМ Горячая штучка ТС Круггетсы флоу-пак  0,2 кг.  ПОКОМ</v>
          </cell>
          <cell r="K27">
            <v>12</v>
          </cell>
          <cell r="L27">
            <v>0</v>
          </cell>
          <cell r="P27">
            <v>2.4</v>
          </cell>
        </row>
        <row r="28">
          <cell r="A28" t="str">
            <v>Круггетсы сочные ТМ Горячая штучка ТС Круггетсы флоу-пак  0,2 кг.  ПОКОМ</v>
          </cell>
          <cell r="B28" t="str">
            <v>шт</v>
          </cell>
          <cell r="C28">
            <v>-116</v>
          </cell>
          <cell r="D28">
            <v>433</v>
          </cell>
          <cell r="E28">
            <v>580</v>
          </cell>
          <cell r="F28">
            <v>740</v>
          </cell>
          <cell r="G28">
            <v>0.2</v>
          </cell>
          <cell r="H28">
            <v>180</v>
          </cell>
          <cell r="I28" t="str">
            <v>P004953</v>
          </cell>
          <cell r="K28">
            <v>317</v>
          </cell>
          <cell r="L28">
            <v>263</v>
          </cell>
          <cell r="O28">
            <v>0</v>
          </cell>
          <cell r="P28">
            <v>116</v>
          </cell>
          <cell r="Q28">
            <v>884</v>
          </cell>
          <cell r="R28">
            <v>840</v>
          </cell>
        </row>
        <row r="29">
          <cell r="A29" t="str">
            <v>Мини-сосиски в ароматном тесте ВЕС ТМ Зареченские продукты  ПОКОМ</v>
          </cell>
          <cell r="B29" t="str">
            <v>кг</v>
          </cell>
          <cell r="C29">
            <v>385.5</v>
          </cell>
          <cell r="E29">
            <v>288.60000000000002</v>
          </cell>
          <cell r="F29">
            <v>74.7</v>
          </cell>
          <cell r="G29">
            <v>1</v>
          </cell>
          <cell r="H29">
            <v>180</v>
          </cell>
          <cell r="I29" t="str">
            <v>новинка по ротации</v>
          </cell>
          <cell r="K29">
            <v>288.8</v>
          </cell>
          <cell r="L29">
            <v>-0.19999999999998863</v>
          </cell>
          <cell r="O29">
            <v>259</v>
          </cell>
          <cell r="P29">
            <v>57.720000000000006</v>
          </cell>
          <cell r="Q29">
            <v>474.38000000000005</v>
          </cell>
          <cell r="R29">
            <v>466.20000000000005</v>
          </cell>
        </row>
        <row r="30">
          <cell r="A30" t="str">
            <v>Мини-чебуреки с мясом ТМ Зареченские ТС Зареченские продукты ПОКОМ</v>
          </cell>
          <cell r="B30" t="str">
            <v>кг</v>
          </cell>
          <cell r="C30">
            <v>88</v>
          </cell>
          <cell r="D30">
            <v>330</v>
          </cell>
          <cell r="E30">
            <v>181.5</v>
          </cell>
          <cell r="F30">
            <v>236.5</v>
          </cell>
          <cell r="G30">
            <v>1</v>
          </cell>
          <cell r="H30">
            <v>180</v>
          </cell>
          <cell r="I30" t="str">
            <v>P004358</v>
          </cell>
          <cell r="K30">
            <v>181</v>
          </cell>
          <cell r="L30">
            <v>0.5</v>
          </cell>
          <cell r="O30">
            <v>66</v>
          </cell>
          <cell r="P30">
            <v>36.299999999999997</v>
          </cell>
          <cell r="Q30">
            <v>205.69999999999993</v>
          </cell>
          <cell r="R30">
            <v>198</v>
          </cell>
        </row>
        <row r="31">
          <cell r="A31" t="str">
            <v>Мини-шарики с курочкой и сыром ТМ Зареченские ВЕС ПОКОМ</v>
          </cell>
          <cell r="B31" t="str">
            <v>кг</v>
          </cell>
          <cell r="C31">
            <v>417</v>
          </cell>
          <cell r="D31">
            <v>6</v>
          </cell>
          <cell r="E31">
            <v>255</v>
          </cell>
          <cell r="F31">
            <v>135</v>
          </cell>
          <cell r="G31">
            <v>1</v>
          </cell>
          <cell r="H31">
            <v>180</v>
          </cell>
          <cell r="I31" t="str">
            <v>P004394</v>
          </cell>
          <cell r="K31">
            <v>255.5</v>
          </cell>
          <cell r="L31">
            <v>-0.5</v>
          </cell>
          <cell r="O31">
            <v>84</v>
          </cell>
          <cell r="P31">
            <v>51</v>
          </cell>
          <cell r="Q31">
            <v>495</v>
          </cell>
          <cell r="R31">
            <v>504</v>
          </cell>
        </row>
        <row r="32">
          <cell r="A32" t="str">
            <v>Наггетсы Нагетосы Сочная курочка ТМ Горячая штучка 0,25 кг зам  ПОКОМ</v>
          </cell>
          <cell r="B32" t="str">
            <v>шт</v>
          </cell>
          <cell r="C32">
            <v>192</v>
          </cell>
          <cell r="D32">
            <v>1841</v>
          </cell>
          <cell r="E32">
            <v>462</v>
          </cell>
          <cell r="F32">
            <v>963</v>
          </cell>
          <cell r="G32">
            <v>0.25</v>
          </cell>
          <cell r="H32">
            <v>365</v>
          </cell>
          <cell r="I32" t="str">
            <v>P004602</v>
          </cell>
          <cell r="K32">
            <v>340</v>
          </cell>
          <cell r="L32">
            <v>122</v>
          </cell>
          <cell r="O32">
            <v>0</v>
          </cell>
          <cell r="P32">
            <v>92.4</v>
          </cell>
          <cell r="Q32">
            <v>330.60000000000014</v>
          </cell>
          <cell r="R32">
            <v>336</v>
          </cell>
        </row>
        <row r="33">
          <cell r="A33" t="str">
            <v>Наггетсы Нагетосы Сочная курочка в хрустящей панировке ТМ Горячая штучка флоу-пак 0,25 кг  ПОКОМ</v>
          </cell>
          <cell r="B33" t="str">
            <v>шт</v>
          </cell>
          <cell r="E33">
            <v>12</v>
          </cell>
          <cell r="F33">
            <v>-12</v>
          </cell>
          <cell r="G33">
            <v>0</v>
          </cell>
          <cell r="I33" t="str">
            <v>дубль</v>
          </cell>
          <cell r="J33" t="str">
            <v>Наггетсы Нагетосы Сочная курочка ТМ Горячая штучка 0,25 кг зам  ПОКОМ</v>
          </cell>
          <cell r="K33">
            <v>12</v>
          </cell>
          <cell r="L33">
            <v>0</v>
          </cell>
          <cell r="P33">
            <v>2.4</v>
          </cell>
        </row>
        <row r="34">
          <cell r="A34" t="str">
            <v>Наггетсы Нагетосы Сочная курочка со сметаной и зеленью ТМ Горячая штучка флоу-пак 0,25 кг  Поком</v>
          </cell>
          <cell r="B34" t="str">
            <v>шт</v>
          </cell>
          <cell r="C34">
            <v>-8</v>
          </cell>
          <cell r="D34">
            <v>504</v>
          </cell>
          <cell r="E34">
            <v>211</v>
          </cell>
          <cell r="F34">
            <v>280</v>
          </cell>
          <cell r="G34">
            <v>0.25</v>
          </cell>
          <cell r="H34">
            <v>365</v>
          </cell>
          <cell r="I34" t="str">
            <v>P004600</v>
          </cell>
          <cell r="K34">
            <v>220</v>
          </cell>
          <cell r="L34">
            <v>-9</v>
          </cell>
          <cell r="O34">
            <v>0</v>
          </cell>
          <cell r="P34">
            <v>42.2</v>
          </cell>
          <cell r="Q34">
            <v>310.80000000000007</v>
          </cell>
          <cell r="R34">
            <v>336</v>
          </cell>
        </row>
        <row r="35">
          <cell r="A35" t="str">
            <v>Наггетсы Хрустящие НД2. ВЕС.  ПОКОМ</v>
          </cell>
          <cell r="B35" t="str">
            <v>кг</v>
          </cell>
          <cell r="D35">
            <v>216</v>
          </cell>
          <cell r="F35">
            <v>216</v>
          </cell>
          <cell r="G35">
            <v>0</v>
          </cell>
          <cell r="H35">
            <v>180</v>
          </cell>
          <cell r="I35" t="str">
            <v>дубль</v>
          </cell>
          <cell r="J35" t="str">
            <v>Наггетсы Хрустящие ТМ Зареченские ТС Зареченские продукты. Поком</v>
          </cell>
          <cell r="L35">
            <v>0</v>
          </cell>
          <cell r="P35">
            <v>0</v>
          </cell>
        </row>
        <row r="36">
          <cell r="A36" t="str">
            <v>Наггетсы Хрустящие ТМ Зареченские ТС Зареченские продукты. Поком</v>
          </cell>
          <cell r="B36" t="str">
            <v>кг</v>
          </cell>
          <cell r="C36">
            <v>991</v>
          </cell>
          <cell r="E36">
            <v>623</v>
          </cell>
          <cell r="F36">
            <v>548</v>
          </cell>
          <cell r="G36">
            <v>1</v>
          </cell>
          <cell r="H36">
            <v>180</v>
          </cell>
          <cell r="I36" t="str">
            <v>P003486</v>
          </cell>
          <cell r="K36">
            <v>623</v>
          </cell>
          <cell r="L36">
            <v>0</v>
          </cell>
          <cell r="O36">
            <v>288</v>
          </cell>
          <cell r="P36">
            <v>124.6</v>
          </cell>
          <cell r="Q36">
            <v>908.39999999999986</v>
          </cell>
          <cell r="R36">
            <v>936</v>
          </cell>
        </row>
        <row r="37">
          <cell r="A37" t="str">
            <v>Наггетсы Хрустящие ТМ Стародворье с сочной курочкой 0,23 кг  ПОКОМ</v>
          </cell>
          <cell r="B37" t="str">
            <v>шт</v>
          </cell>
          <cell r="C37">
            <v>32</v>
          </cell>
          <cell r="D37">
            <v>336</v>
          </cell>
          <cell r="E37">
            <v>322</v>
          </cell>
          <cell r="F37">
            <v>36</v>
          </cell>
          <cell r="G37">
            <v>0.23</v>
          </cell>
          <cell r="H37">
            <v>180</v>
          </cell>
          <cell r="I37" t="str">
            <v>P005043</v>
          </cell>
          <cell r="K37">
            <v>394</v>
          </cell>
          <cell r="L37">
            <v>-72</v>
          </cell>
          <cell r="O37">
            <v>504</v>
          </cell>
          <cell r="P37">
            <v>64.400000000000006</v>
          </cell>
          <cell r="Q37">
            <v>361.60000000000014</v>
          </cell>
          <cell r="R37">
            <v>336</v>
          </cell>
        </row>
        <row r="38">
          <cell r="A38" t="str">
            <v>Наггетсы из печи 0,25кг ТМ Вязанка замор.  ПОКОМ</v>
          </cell>
          <cell r="B38" t="str">
            <v>шт</v>
          </cell>
          <cell r="C38">
            <v>237</v>
          </cell>
          <cell r="D38">
            <v>673</v>
          </cell>
          <cell r="E38">
            <v>454</v>
          </cell>
          <cell r="F38">
            <v>432</v>
          </cell>
          <cell r="G38">
            <v>0.25</v>
          </cell>
          <cell r="H38">
            <v>365</v>
          </cell>
          <cell r="I38" t="str">
            <v>P004497</v>
          </cell>
          <cell r="K38">
            <v>455</v>
          </cell>
          <cell r="L38">
            <v>-1</v>
          </cell>
          <cell r="O38">
            <v>336</v>
          </cell>
          <cell r="P38">
            <v>90.8</v>
          </cell>
          <cell r="Q38">
            <v>503.20000000000005</v>
          </cell>
          <cell r="R38">
            <v>504</v>
          </cell>
        </row>
        <row r="39">
          <cell r="A39" t="str">
            <v>Наггетсы с индейкой 0,25кг ТМ Вязанка ТС Из печи Сливушки ПОКОМ</v>
          </cell>
          <cell r="B39" t="str">
            <v>шт</v>
          </cell>
          <cell r="C39">
            <v>236</v>
          </cell>
          <cell r="D39">
            <v>509</v>
          </cell>
          <cell r="E39">
            <v>481</v>
          </cell>
          <cell r="F39">
            <v>219</v>
          </cell>
          <cell r="G39">
            <v>0.25</v>
          </cell>
          <cell r="H39">
            <v>365</v>
          </cell>
          <cell r="I39" t="str">
            <v>P004496</v>
          </cell>
          <cell r="K39">
            <v>486</v>
          </cell>
          <cell r="L39">
            <v>-5</v>
          </cell>
          <cell r="O39">
            <v>168</v>
          </cell>
          <cell r="P39">
            <v>96.2</v>
          </cell>
          <cell r="Q39">
            <v>959.8</v>
          </cell>
          <cell r="R39">
            <v>1008</v>
          </cell>
        </row>
        <row r="40">
          <cell r="A40" t="str">
            <v>Наггетсы с куриным филе и сыром ТМ Вязанка ТС Из печи Сливушки 0,25 кг.  Поком</v>
          </cell>
          <cell r="B40" t="str">
            <v>шт</v>
          </cell>
          <cell r="C40">
            <v>353</v>
          </cell>
          <cell r="D40">
            <v>336</v>
          </cell>
          <cell r="E40">
            <v>373</v>
          </cell>
          <cell r="F40">
            <v>295</v>
          </cell>
          <cell r="G40">
            <v>0.25</v>
          </cell>
          <cell r="H40">
            <v>180</v>
          </cell>
          <cell r="I40" t="str">
            <v>P004535</v>
          </cell>
          <cell r="K40">
            <v>373</v>
          </cell>
          <cell r="L40">
            <v>0</v>
          </cell>
          <cell r="O40">
            <v>168</v>
          </cell>
          <cell r="P40">
            <v>74.599999999999994</v>
          </cell>
          <cell r="Q40">
            <v>581.39999999999986</v>
          </cell>
          <cell r="R40">
            <v>504</v>
          </cell>
        </row>
        <row r="41">
          <cell r="A41" t="str">
            <v>Пекерсы с индейкой в сливочном соусе ТМ Горячая штучка 0,25 кг зам  ПОКОМ</v>
          </cell>
          <cell r="B41" t="str">
            <v>шт</v>
          </cell>
          <cell r="C41">
            <v>101</v>
          </cell>
          <cell r="E41">
            <v>124</v>
          </cell>
          <cell r="F41">
            <v>136</v>
          </cell>
          <cell r="G41">
            <v>0.25</v>
          </cell>
          <cell r="H41">
            <v>180</v>
          </cell>
          <cell r="I41" t="str">
            <v>P004594</v>
          </cell>
          <cell r="K41">
            <v>86</v>
          </cell>
          <cell r="L41">
            <v>38</v>
          </cell>
          <cell r="O41">
            <v>0</v>
          </cell>
          <cell r="P41">
            <v>24.8</v>
          </cell>
          <cell r="Q41">
            <v>211.2</v>
          </cell>
          <cell r="R41">
            <v>168</v>
          </cell>
        </row>
        <row r="42">
          <cell r="A42" t="str">
            <v>Пельмени Grandmeni с говядиной ТМ Горячаяштучка флоу-пак сфера 0,7 кг.  Поком</v>
          </cell>
          <cell r="B42" t="str">
            <v>шт</v>
          </cell>
          <cell r="C42">
            <v>344</v>
          </cell>
          <cell r="E42">
            <v>153</v>
          </cell>
          <cell r="F42">
            <v>190</v>
          </cell>
          <cell r="G42">
            <v>0.7</v>
          </cell>
          <cell r="H42">
            <v>180</v>
          </cell>
          <cell r="I42" t="str">
            <v>P004887</v>
          </cell>
          <cell r="K42">
            <v>153</v>
          </cell>
          <cell r="L42">
            <v>0</v>
          </cell>
          <cell r="O42">
            <v>288</v>
          </cell>
          <cell r="P42">
            <v>30.6</v>
          </cell>
          <cell r="R42">
            <v>0</v>
          </cell>
        </row>
        <row r="43">
          <cell r="A43" t="str">
            <v>Пельмени Grandmeni с говядиной и свининой ТМ Горячаяштучка флоу-па классическая форма 0,7 кг.  Поком</v>
          </cell>
          <cell r="B43" t="str">
            <v>шт</v>
          </cell>
          <cell r="C43">
            <v>244</v>
          </cell>
          <cell r="D43">
            <v>96</v>
          </cell>
          <cell r="E43">
            <v>166</v>
          </cell>
          <cell r="F43">
            <v>173</v>
          </cell>
          <cell r="G43">
            <v>0.7</v>
          </cell>
          <cell r="H43">
            <v>180</v>
          </cell>
          <cell r="I43" t="str">
            <v>P004889</v>
          </cell>
          <cell r="K43">
            <v>166</v>
          </cell>
          <cell r="L43">
            <v>0</v>
          </cell>
          <cell r="O43">
            <v>192</v>
          </cell>
          <cell r="P43">
            <v>33.200000000000003</v>
          </cell>
          <cell r="Q43">
            <v>99.800000000000068</v>
          </cell>
          <cell r="R43">
            <v>96</v>
          </cell>
        </row>
        <row r="44">
          <cell r="A44" t="str">
            <v>Пельмени Grandmeni со сливочным маслом  ТМ Горячая штучка флоу-пак сфера 0,7 кг.  Поком</v>
          </cell>
          <cell r="B44" t="str">
            <v>шт</v>
          </cell>
          <cell r="G44">
            <v>0.7</v>
          </cell>
          <cell r="H44">
            <v>180</v>
          </cell>
          <cell r="I44" t="str">
            <v>P004888</v>
          </cell>
          <cell r="L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Пельмени Бигбули #МЕГАВКУСИЩЕ с сочной грудинкой  ТМ Горячая штучка  флоу-пак сфера 0,7 кг.  Поком</v>
          </cell>
          <cell r="B45" t="str">
            <v>шт</v>
          </cell>
          <cell r="C45">
            <v>179</v>
          </cell>
          <cell r="D45">
            <v>120</v>
          </cell>
          <cell r="E45">
            <v>156</v>
          </cell>
          <cell r="F45">
            <v>142</v>
          </cell>
          <cell r="G45">
            <v>0.7</v>
          </cell>
          <cell r="H45">
            <v>180</v>
          </cell>
          <cell r="I45" t="str">
            <v>P004440</v>
          </cell>
          <cell r="K45">
            <v>186</v>
          </cell>
          <cell r="L45">
            <v>-30</v>
          </cell>
          <cell r="O45">
            <v>0</v>
          </cell>
          <cell r="P45">
            <v>31.2</v>
          </cell>
          <cell r="Q45">
            <v>294.8</v>
          </cell>
          <cell r="R45">
            <v>240</v>
          </cell>
        </row>
        <row r="46">
          <cell r="A46" t="str">
            <v>Пельмени Бигбули с мясом ТМ Горячая штучка БУЛЬМЕНИ ТС Бигбули ГШ  флоу-пак сфера 0,7.   Поком</v>
          </cell>
          <cell r="B46" t="str">
            <v>шт</v>
          </cell>
          <cell r="D46">
            <v>240</v>
          </cell>
          <cell r="E46">
            <v>51</v>
          </cell>
          <cell r="F46">
            <v>188</v>
          </cell>
          <cell r="G46">
            <v>0.7</v>
          </cell>
          <cell r="H46">
            <v>180</v>
          </cell>
          <cell r="I46" t="str">
            <v>P004442</v>
          </cell>
          <cell r="K46">
            <v>51</v>
          </cell>
          <cell r="L46">
            <v>0</v>
          </cell>
          <cell r="O46">
            <v>0</v>
          </cell>
          <cell r="P46">
            <v>10.199999999999999</v>
          </cell>
          <cell r="R46">
            <v>0</v>
          </cell>
        </row>
        <row r="47">
          <cell r="A47" t="str">
            <v>Пельмени Бигбули со сливочным маслом  ТС Бигбули ГШ#МЕГАМАСЛИЩЕ флоу-пак сфера 0,7.  Поком</v>
          </cell>
          <cell r="B47" t="str">
            <v>шт</v>
          </cell>
          <cell r="C47">
            <v>210</v>
          </cell>
          <cell r="D47">
            <v>127</v>
          </cell>
          <cell r="E47">
            <v>168</v>
          </cell>
          <cell r="F47">
            <v>162</v>
          </cell>
          <cell r="G47">
            <v>0.7</v>
          </cell>
          <cell r="H47">
            <v>180</v>
          </cell>
          <cell r="I47" t="str">
            <v>P004203</v>
          </cell>
          <cell r="K47">
            <v>175</v>
          </cell>
          <cell r="L47">
            <v>-7</v>
          </cell>
          <cell r="O47">
            <v>0</v>
          </cell>
          <cell r="P47">
            <v>33.6</v>
          </cell>
          <cell r="Q47">
            <v>308.40000000000003</v>
          </cell>
          <cell r="R47">
            <v>360</v>
          </cell>
        </row>
        <row r="48">
          <cell r="A48" t="str">
            <v>Пельмени Бульмени мини с мясом и оливковым маслом  ТС Бульмени ГШ флоу-пак сфера 0,7кг  Поком</v>
          </cell>
          <cell r="B48" t="str">
            <v>шт</v>
          </cell>
          <cell r="C48">
            <v>73</v>
          </cell>
          <cell r="D48">
            <v>120</v>
          </cell>
          <cell r="E48">
            <v>70</v>
          </cell>
          <cell r="F48">
            <v>123</v>
          </cell>
          <cell r="G48">
            <v>0.7</v>
          </cell>
          <cell r="H48">
            <v>180</v>
          </cell>
          <cell r="I48" t="str">
            <v>P004819</v>
          </cell>
          <cell r="K48">
            <v>70</v>
          </cell>
          <cell r="L48">
            <v>0</v>
          </cell>
          <cell r="O48">
            <v>0</v>
          </cell>
          <cell r="P48">
            <v>14</v>
          </cell>
          <cell r="Q48">
            <v>73</v>
          </cell>
          <cell r="R48">
            <v>120</v>
          </cell>
        </row>
        <row r="49">
          <cell r="A49" t="str">
            <v>Пельмени Бульмени с говядиной и свининой Наваристые Горячая штучка ВЕС  ПОКОМ</v>
          </cell>
          <cell r="B49" t="str">
            <v>кг</v>
          </cell>
          <cell r="C49">
            <v>1145</v>
          </cell>
          <cell r="E49">
            <v>605</v>
          </cell>
          <cell r="F49">
            <v>500</v>
          </cell>
          <cell r="G49">
            <v>1</v>
          </cell>
          <cell r="H49">
            <v>180</v>
          </cell>
          <cell r="I49" t="str">
            <v>P003697</v>
          </cell>
          <cell r="K49">
            <v>605</v>
          </cell>
          <cell r="L49">
            <v>0</v>
          </cell>
          <cell r="O49">
            <v>0</v>
          </cell>
          <cell r="P49">
            <v>121</v>
          </cell>
          <cell r="Q49">
            <v>1194</v>
          </cell>
          <cell r="R49">
            <v>1200</v>
          </cell>
        </row>
        <row r="50">
          <cell r="A50" t="str">
            <v>Пельмени Бульмени с говядиной и свининой ТМ Горячая штучка  флоу-пак сфера 0,4 кг  Поком</v>
          </cell>
          <cell r="B50" t="str">
            <v>шт</v>
          </cell>
          <cell r="C50">
            <v>92</v>
          </cell>
          <cell r="D50">
            <v>192</v>
          </cell>
          <cell r="E50">
            <v>119</v>
          </cell>
          <cell r="F50">
            <v>165</v>
          </cell>
          <cell r="G50">
            <v>0.4</v>
          </cell>
          <cell r="H50">
            <v>180</v>
          </cell>
          <cell r="I50" t="str">
            <v>P004474</v>
          </cell>
          <cell r="K50">
            <v>119</v>
          </cell>
          <cell r="L50">
            <v>0</v>
          </cell>
          <cell r="O50">
            <v>0</v>
          </cell>
          <cell r="P50">
            <v>23.8</v>
          </cell>
          <cell r="Q50">
            <v>168.2</v>
          </cell>
          <cell r="R50">
            <v>192</v>
          </cell>
        </row>
        <row r="51">
          <cell r="A51" t="str">
            <v>Пельмени Бульмени с говядиной и свининой ТМ Горячая штучка БУЛЬМЕНИ  флоу-пак сфера 0,7 кг.  Поком</v>
          </cell>
          <cell r="B51" t="str">
            <v>шт</v>
          </cell>
          <cell r="C51">
            <v>231</v>
          </cell>
          <cell r="D51">
            <v>130</v>
          </cell>
          <cell r="E51">
            <v>349</v>
          </cell>
          <cell r="F51">
            <v>2</v>
          </cell>
          <cell r="G51">
            <v>0.7</v>
          </cell>
          <cell r="H51">
            <v>180</v>
          </cell>
          <cell r="I51" t="str">
            <v>P004345</v>
          </cell>
          <cell r="K51">
            <v>394</v>
          </cell>
          <cell r="L51">
            <v>-45</v>
          </cell>
          <cell r="O51">
            <v>480</v>
          </cell>
          <cell r="P51">
            <v>69.8</v>
          </cell>
          <cell r="Q51">
            <v>495.19999999999993</v>
          </cell>
          <cell r="R51">
            <v>480</v>
          </cell>
        </row>
        <row r="52">
          <cell r="A52" t="str">
            <v>Пельмени Бульмени со сливочным маслом ТМ Горячая штучка  флоу-пак сфера 0,4 кг .  Поком</v>
          </cell>
          <cell r="B52" t="str">
            <v>шт</v>
          </cell>
          <cell r="D52">
            <v>384</v>
          </cell>
          <cell r="E52">
            <v>265</v>
          </cell>
          <cell r="F52">
            <v>119</v>
          </cell>
          <cell r="G52">
            <v>0.4</v>
          </cell>
          <cell r="H52">
            <v>180</v>
          </cell>
          <cell r="I52" t="str">
            <v>P004444</v>
          </cell>
          <cell r="K52">
            <v>265</v>
          </cell>
          <cell r="L52">
            <v>0</v>
          </cell>
          <cell r="O52">
            <v>192</v>
          </cell>
          <cell r="P52">
            <v>53</v>
          </cell>
          <cell r="Q52">
            <v>431</v>
          </cell>
          <cell r="R52">
            <v>384</v>
          </cell>
        </row>
        <row r="53">
          <cell r="A53" t="str">
            <v>Пельмени Бульмени со сливочным маслом ТМ Горячая штучка флоу-пак сфера 0,7 кг .  Поком</v>
          </cell>
          <cell r="B53" t="str">
            <v>шт</v>
          </cell>
          <cell r="C53">
            <v>256</v>
          </cell>
          <cell r="D53">
            <v>841</v>
          </cell>
          <cell r="E53">
            <v>421</v>
          </cell>
          <cell r="F53">
            <v>664</v>
          </cell>
          <cell r="G53">
            <v>0.7</v>
          </cell>
          <cell r="H53">
            <v>180</v>
          </cell>
          <cell r="I53" t="str">
            <v>P004346</v>
          </cell>
          <cell r="K53">
            <v>424</v>
          </cell>
          <cell r="L53">
            <v>-3</v>
          </cell>
          <cell r="O53">
            <v>0</v>
          </cell>
          <cell r="P53">
            <v>84.2</v>
          </cell>
          <cell r="Q53">
            <v>514.79999999999995</v>
          </cell>
          <cell r="R53">
            <v>480</v>
          </cell>
        </row>
        <row r="54">
          <cell r="A54" t="str">
            <v>Пельмени Домашние со сливочным маслом ТМ Зареченские  продукты флоу-пак сфера 0,7 кг.  Поком</v>
          </cell>
          <cell r="B54" t="str">
            <v>шт</v>
          </cell>
          <cell r="C54">
            <v>175</v>
          </cell>
          <cell r="D54">
            <v>120</v>
          </cell>
          <cell r="E54">
            <v>147</v>
          </cell>
          <cell r="F54">
            <v>143</v>
          </cell>
          <cell r="G54">
            <v>0.7</v>
          </cell>
          <cell r="H54">
            <v>180</v>
          </cell>
          <cell r="I54" t="str">
            <v>P004060</v>
          </cell>
          <cell r="K54">
            <v>148</v>
          </cell>
          <cell r="L54">
            <v>-1</v>
          </cell>
          <cell r="O54">
            <v>120</v>
          </cell>
          <cell r="P54">
            <v>29.4</v>
          </cell>
          <cell r="Q54">
            <v>148.59999999999997</v>
          </cell>
          <cell r="R54">
            <v>120</v>
          </cell>
        </row>
        <row r="55">
          <cell r="A55" t="str">
            <v>Пельмени Медвежье ушко Премиум Мясные ТМ Медвежье ушко классическая форма флоу-пак 0,8 кг. ПОКОМ</v>
          </cell>
          <cell r="B55" t="str">
            <v>шт</v>
          </cell>
          <cell r="C55">
            <v>496</v>
          </cell>
          <cell r="D55">
            <v>96</v>
          </cell>
          <cell r="E55">
            <v>317</v>
          </cell>
          <cell r="F55">
            <v>257</v>
          </cell>
          <cell r="G55">
            <v>0.8</v>
          </cell>
          <cell r="H55">
            <v>180</v>
          </cell>
          <cell r="I55" t="str">
            <v>P005158</v>
          </cell>
          <cell r="K55">
            <v>317</v>
          </cell>
          <cell r="L55">
            <v>0</v>
          </cell>
          <cell r="O55">
            <v>0</v>
          </cell>
          <cell r="P55">
            <v>63.4</v>
          </cell>
          <cell r="Q55">
            <v>630.6</v>
          </cell>
          <cell r="R55">
            <v>672</v>
          </cell>
        </row>
        <row r="56">
          <cell r="A56" t="str">
            <v>Пельмени Мясные с говядиной ТМ Стародворье сфера флоу-пак 1 кг  ПОКОМ</v>
          </cell>
          <cell r="B56" t="str">
            <v>шт</v>
          </cell>
          <cell r="C56">
            <v>406</v>
          </cell>
          <cell r="D56">
            <v>602</v>
          </cell>
          <cell r="E56">
            <v>672</v>
          </cell>
          <cell r="F56">
            <v>307</v>
          </cell>
          <cell r="G56">
            <v>1</v>
          </cell>
          <cell r="H56">
            <v>180</v>
          </cell>
          <cell r="I56" t="str">
            <v>P005048</v>
          </cell>
          <cell r="K56">
            <v>679</v>
          </cell>
          <cell r="L56">
            <v>-7</v>
          </cell>
          <cell r="O56">
            <v>780</v>
          </cell>
          <cell r="P56">
            <v>134.4</v>
          </cell>
          <cell r="Q56">
            <v>794.60000000000014</v>
          </cell>
          <cell r="R56">
            <v>780</v>
          </cell>
        </row>
        <row r="57">
          <cell r="A57" t="str">
            <v>Пельмени Отборные из свинины и говядины 0,9 кг ТМ Стародворье ТС Медвежье ушко  ПОКОМ</v>
          </cell>
          <cell r="B57" t="str">
            <v>шт</v>
          </cell>
          <cell r="C57">
            <v>247</v>
          </cell>
          <cell r="D57">
            <v>1</v>
          </cell>
          <cell r="E57">
            <v>122</v>
          </cell>
          <cell r="F57">
            <v>119</v>
          </cell>
          <cell r="G57">
            <v>0.9</v>
          </cell>
          <cell r="H57">
            <v>180</v>
          </cell>
          <cell r="I57" t="str">
            <v>P005107</v>
          </cell>
          <cell r="K57">
            <v>122</v>
          </cell>
          <cell r="L57">
            <v>0</v>
          </cell>
          <cell r="O57">
            <v>96</v>
          </cell>
          <cell r="P57">
            <v>24.4</v>
          </cell>
          <cell r="Q57">
            <v>126.59999999999997</v>
          </cell>
          <cell r="R57">
            <v>96</v>
          </cell>
        </row>
        <row r="58">
          <cell r="A58" t="str">
            <v>Пельмени Отборные с говядиной 0,9 кг НОВА ТМ Стародворье ТС Медвежье ушко  ПОКОМ</v>
          </cell>
          <cell r="B58" t="str">
            <v>шт</v>
          </cell>
          <cell r="C58">
            <v>150</v>
          </cell>
          <cell r="D58">
            <v>96</v>
          </cell>
          <cell r="E58">
            <v>81</v>
          </cell>
          <cell r="F58">
            <v>162</v>
          </cell>
          <cell r="G58">
            <v>0.9</v>
          </cell>
          <cell r="H58">
            <v>180</v>
          </cell>
          <cell r="I58" t="str">
            <v>P005105</v>
          </cell>
          <cell r="K58">
            <v>81</v>
          </cell>
          <cell r="L58">
            <v>0</v>
          </cell>
          <cell r="O58">
            <v>0</v>
          </cell>
          <cell r="P58">
            <v>16.2</v>
          </cell>
          <cell r="Q58">
            <v>64.799999999999983</v>
          </cell>
          <cell r="R58">
            <v>96</v>
          </cell>
        </row>
        <row r="59">
          <cell r="A59" t="str">
            <v>Пельмени С говядиной и свининой, ВЕС, ТМ Славница сфера пуговки  ПОКОМ</v>
          </cell>
          <cell r="B59" t="str">
            <v>кг</v>
          </cell>
          <cell r="C59">
            <v>370</v>
          </cell>
          <cell r="D59">
            <v>120</v>
          </cell>
          <cell r="E59">
            <v>275</v>
          </cell>
          <cell r="F59">
            <v>190</v>
          </cell>
          <cell r="G59">
            <v>1</v>
          </cell>
          <cell r="H59">
            <v>180</v>
          </cell>
          <cell r="I59" t="str">
            <v>P004472</v>
          </cell>
          <cell r="K59">
            <v>275</v>
          </cell>
          <cell r="L59">
            <v>0</v>
          </cell>
          <cell r="O59">
            <v>60</v>
          </cell>
          <cell r="P59">
            <v>55</v>
          </cell>
          <cell r="Q59">
            <v>520</v>
          </cell>
          <cell r="R59">
            <v>540</v>
          </cell>
        </row>
        <row r="60">
          <cell r="A60" t="str">
            <v>Пельмени Со свининой и говядиной ТМ Особый рецепт Любимая ложка 1,0 кг  ПОКОМ</v>
          </cell>
          <cell r="B60" t="str">
            <v>шт</v>
          </cell>
          <cell r="C60">
            <v>27</v>
          </cell>
          <cell r="D60">
            <v>32</v>
          </cell>
          <cell r="E60">
            <v>507</v>
          </cell>
          <cell r="F60">
            <v>795</v>
          </cell>
          <cell r="G60">
            <v>1</v>
          </cell>
          <cell r="H60">
            <v>180</v>
          </cell>
          <cell r="I60" t="str">
            <v>P004081</v>
          </cell>
          <cell r="K60">
            <v>59</v>
          </cell>
          <cell r="L60">
            <v>448</v>
          </cell>
          <cell r="O60">
            <v>0</v>
          </cell>
          <cell r="P60">
            <v>101.4</v>
          </cell>
          <cell r="Q60">
            <v>624.60000000000014</v>
          </cell>
          <cell r="R60">
            <v>600</v>
          </cell>
        </row>
        <row r="61">
          <cell r="A61" t="str">
            <v>Пельмени Со свининой и говядиной ТС Любимая ложка сфера флоу-пак 1 кг  ПОКОМ</v>
          </cell>
          <cell r="B61" t="str">
            <v>шт</v>
          </cell>
          <cell r="C61">
            <v>-1</v>
          </cell>
          <cell r="D61">
            <v>1321</v>
          </cell>
          <cell r="E61">
            <v>448</v>
          </cell>
          <cell r="F61">
            <v>795</v>
          </cell>
          <cell r="G61">
            <v>0</v>
          </cell>
          <cell r="H61">
            <v>180</v>
          </cell>
          <cell r="I61" t="str">
            <v>дубль</v>
          </cell>
          <cell r="J61" t="str">
            <v>Пельмени Со свининой и говядиной ТМ Особый рецепт Любимая ложка 1,0 кг  ПОКОМ</v>
          </cell>
          <cell r="K61">
            <v>448</v>
          </cell>
          <cell r="L61">
            <v>0</v>
          </cell>
          <cell r="P61">
            <v>89.6</v>
          </cell>
        </row>
        <row r="62">
          <cell r="A62" t="str">
            <v>Пирожки с мясом 3,7кг ВЕС ТМ Зареченские  ПОКОМ</v>
          </cell>
          <cell r="B62" t="str">
            <v>кг</v>
          </cell>
          <cell r="C62">
            <v>388.5</v>
          </cell>
          <cell r="D62">
            <v>207.2</v>
          </cell>
          <cell r="E62">
            <v>340.4</v>
          </cell>
          <cell r="F62">
            <v>236.8</v>
          </cell>
          <cell r="G62">
            <v>1</v>
          </cell>
          <cell r="H62">
            <v>180</v>
          </cell>
          <cell r="I62" t="str">
            <v>P004359</v>
          </cell>
          <cell r="K62">
            <v>338.4</v>
          </cell>
          <cell r="L62">
            <v>2</v>
          </cell>
          <cell r="O62">
            <v>207.2</v>
          </cell>
          <cell r="P62">
            <v>68.08</v>
          </cell>
          <cell r="Q62">
            <v>509.12000000000006</v>
          </cell>
          <cell r="R62">
            <v>518</v>
          </cell>
        </row>
        <row r="63">
          <cell r="A63" t="str">
            <v>Хот-догстер ТМ Горячая штучка ТС Хот-Догстер флоу-пак 0,09 кг.  Поком</v>
          </cell>
          <cell r="B63" t="str">
            <v>шт</v>
          </cell>
          <cell r="C63">
            <v>748</v>
          </cell>
          <cell r="D63">
            <v>420</v>
          </cell>
          <cell r="E63">
            <v>324</v>
          </cell>
          <cell r="F63">
            <v>840</v>
          </cell>
          <cell r="G63">
            <v>0.09</v>
          </cell>
          <cell r="H63">
            <v>180</v>
          </cell>
          <cell r="I63" t="str">
            <v>P004630</v>
          </cell>
          <cell r="K63">
            <v>324</v>
          </cell>
          <cell r="L63">
            <v>0</v>
          </cell>
          <cell r="O63">
            <v>0</v>
          </cell>
          <cell r="P63">
            <v>64.8</v>
          </cell>
          <cell r="Q63">
            <v>261.59999999999991</v>
          </cell>
          <cell r="R63">
            <v>420</v>
          </cell>
        </row>
        <row r="64">
          <cell r="A64" t="str">
            <v>Хотстеры Васаби-чили ТМ Горячая штучка ТС Хотстеры 0,23кг жареные ПОКОМ</v>
          </cell>
          <cell r="B64" t="str">
            <v>шт</v>
          </cell>
          <cell r="C64">
            <v>158</v>
          </cell>
          <cell r="D64">
            <v>336</v>
          </cell>
          <cell r="E64">
            <v>282</v>
          </cell>
          <cell r="F64">
            <v>-4</v>
          </cell>
          <cell r="G64">
            <v>0.23</v>
          </cell>
          <cell r="H64">
            <v>180</v>
          </cell>
          <cell r="I64" t="str">
            <v>P005182</v>
          </cell>
          <cell r="K64">
            <v>450</v>
          </cell>
          <cell r="L64">
            <v>-168</v>
          </cell>
          <cell r="O64">
            <v>0</v>
          </cell>
          <cell r="P64">
            <v>56.4</v>
          </cell>
          <cell r="Q64">
            <v>568</v>
          </cell>
          <cell r="R64">
            <v>588</v>
          </cell>
          <cell r="S64">
            <v>1200</v>
          </cell>
          <cell r="T64" t="str">
            <v>промо спар</v>
          </cell>
        </row>
        <row r="65">
          <cell r="A65" t="str">
            <v>Хотстеры ТМ Горячая штучка ТС Хотстеры 0,25 кг зам  ПОКОМ</v>
          </cell>
          <cell r="B65" t="str">
            <v>шт</v>
          </cell>
          <cell r="C65">
            <v>-20</v>
          </cell>
          <cell r="D65">
            <v>212</v>
          </cell>
          <cell r="E65">
            <v>584</v>
          </cell>
          <cell r="F65">
            <v>966</v>
          </cell>
          <cell r="G65">
            <v>0.25</v>
          </cell>
          <cell r="H65">
            <v>180</v>
          </cell>
          <cell r="I65" t="str">
            <v>P004489</v>
          </cell>
          <cell r="K65">
            <v>192</v>
          </cell>
          <cell r="L65">
            <v>392</v>
          </cell>
          <cell r="O65">
            <v>0</v>
          </cell>
          <cell r="P65">
            <v>116.8</v>
          </cell>
          <cell r="Q65">
            <v>669.2</v>
          </cell>
          <cell r="R65">
            <v>672</v>
          </cell>
        </row>
        <row r="66">
          <cell r="A66" t="str">
            <v>Хотстеры с сыром ТМ Горячая штучка ТС Хотстеры 0,25кг.  Поком</v>
          </cell>
          <cell r="B66" t="str">
            <v>шт</v>
          </cell>
          <cell r="C66">
            <v>-8</v>
          </cell>
          <cell r="D66">
            <v>8</v>
          </cell>
          <cell r="E66">
            <v>285</v>
          </cell>
          <cell r="G66">
            <v>0.25</v>
          </cell>
          <cell r="H66">
            <v>180</v>
          </cell>
          <cell r="I66" t="str">
            <v>P005058</v>
          </cell>
          <cell r="L66">
            <v>285</v>
          </cell>
          <cell r="O66">
            <v>504</v>
          </cell>
          <cell r="P66">
            <v>57</v>
          </cell>
          <cell r="Q66">
            <v>294</v>
          </cell>
          <cell r="R66">
            <v>336</v>
          </cell>
        </row>
        <row r="67">
          <cell r="A67" t="str">
            <v>Хрустипай апельсин имбирь ТМ Горячая штучка 0,18 кг  ПОКОМ</v>
          </cell>
          <cell r="B67" t="str">
            <v>шт</v>
          </cell>
          <cell r="C67">
            <v>41</v>
          </cell>
          <cell r="E67">
            <v>4</v>
          </cell>
          <cell r="F67">
            <v>37</v>
          </cell>
          <cell r="G67">
            <v>0.18</v>
          </cell>
          <cell r="H67">
            <v>180</v>
          </cell>
          <cell r="I67" t="str">
            <v>P005201</v>
          </cell>
          <cell r="K67">
            <v>4</v>
          </cell>
          <cell r="L67">
            <v>0</v>
          </cell>
          <cell r="O67">
            <v>0</v>
          </cell>
          <cell r="P67">
            <v>0.8</v>
          </cell>
          <cell r="R67">
            <v>0</v>
          </cell>
        </row>
        <row r="68">
          <cell r="A68" t="str">
            <v>Хрустипай манго маракуйя ТМ Горячая штучка 0,18 кг  ПОКОМ</v>
          </cell>
          <cell r="B68" t="str">
            <v>шт</v>
          </cell>
          <cell r="C68">
            <v>125</v>
          </cell>
          <cell r="E68">
            <v>17</v>
          </cell>
          <cell r="F68">
            <v>108</v>
          </cell>
          <cell r="G68">
            <v>0.18</v>
          </cell>
          <cell r="H68">
            <v>180</v>
          </cell>
          <cell r="I68" t="str">
            <v>P005199</v>
          </cell>
          <cell r="K68">
            <v>17</v>
          </cell>
          <cell r="L68">
            <v>0</v>
          </cell>
          <cell r="O68">
            <v>0</v>
          </cell>
          <cell r="P68">
            <v>3.4</v>
          </cell>
          <cell r="R68">
            <v>0</v>
          </cell>
        </row>
        <row r="69">
          <cell r="A69" t="str">
            <v>Хрустипай манго чили ТМ Горячая штучка 0,18кг с начинкой ПОКОМ</v>
          </cell>
          <cell r="B69" t="str">
            <v>шт</v>
          </cell>
          <cell r="C69">
            <v>129</v>
          </cell>
          <cell r="E69">
            <v>4</v>
          </cell>
          <cell r="F69">
            <v>125</v>
          </cell>
          <cell r="G69">
            <v>0.18</v>
          </cell>
          <cell r="H69">
            <v>180</v>
          </cell>
          <cell r="I69" t="str">
            <v>P005200</v>
          </cell>
          <cell r="K69">
            <v>4</v>
          </cell>
          <cell r="L69">
            <v>0</v>
          </cell>
          <cell r="O69">
            <v>0</v>
          </cell>
          <cell r="P69">
            <v>0.8</v>
          </cell>
          <cell r="R69">
            <v>0</v>
          </cell>
        </row>
        <row r="70">
          <cell r="A70" t="str">
            <v>Хрустящие крылышки ТМ Горячая штучка 0,3 кг зам  ПОКОМ</v>
          </cell>
          <cell r="B70" t="str">
            <v>шт</v>
          </cell>
          <cell r="C70">
            <v>367</v>
          </cell>
          <cell r="D70">
            <v>1181</v>
          </cell>
          <cell r="E70">
            <v>794</v>
          </cell>
          <cell r="F70">
            <v>734</v>
          </cell>
          <cell r="G70">
            <v>0.3</v>
          </cell>
          <cell r="H70">
            <v>180</v>
          </cell>
          <cell r="I70" t="str">
            <v>P004588</v>
          </cell>
          <cell r="K70">
            <v>799</v>
          </cell>
          <cell r="L70">
            <v>-5</v>
          </cell>
          <cell r="O70">
            <v>168</v>
          </cell>
          <cell r="P70">
            <v>158.80000000000001</v>
          </cell>
          <cell r="Q70">
            <v>1321.2000000000003</v>
          </cell>
          <cell r="R70">
            <v>1344</v>
          </cell>
        </row>
        <row r="71">
          <cell r="A71" t="str">
            <v>Хрустящие крылышки острые к пиву ТМ Горячая штучка 0,3кг зам  ПОКОМ</v>
          </cell>
          <cell r="B71" t="str">
            <v>шт</v>
          </cell>
          <cell r="C71">
            <v>770</v>
          </cell>
          <cell r="D71">
            <v>5</v>
          </cell>
          <cell r="E71">
            <v>541</v>
          </cell>
          <cell r="F71">
            <v>218</v>
          </cell>
          <cell r="G71">
            <v>0.3</v>
          </cell>
          <cell r="H71">
            <v>180</v>
          </cell>
          <cell r="I71" t="str">
            <v>P004589</v>
          </cell>
          <cell r="K71">
            <v>546</v>
          </cell>
          <cell r="L71">
            <v>-5</v>
          </cell>
          <cell r="O71">
            <v>504</v>
          </cell>
          <cell r="P71">
            <v>108.2</v>
          </cell>
          <cell r="Q71">
            <v>792.8</v>
          </cell>
          <cell r="R71">
            <v>840</v>
          </cell>
        </row>
        <row r="72">
          <cell r="A72" t="str">
            <v>Чебупели Курочка гриль Базовый ассортимент Фикс.вес 0,3 Пакет Горячая штучка  Поком</v>
          </cell>
          <cell r="B72" t="str">
            <v>шт</v>
          </cell>
          <cell r="C72">
            <v>-26</v>
          </cell>
          <cell r="D72">
            <v>82</v>
          </cell>
          <cell r="E72">
            <v>56</v>
          </cell>
          <cell r="F72">
            <v>310</v>
          </cell>
          <cell r="G72">
            <v>0.3</v>
          </cell>
          <cell r="H72">
            <v>180</v>
          </cell>
          <cell r="I72" t="str">
            <v>P004113</v>
          </cell>
          <cell r="K72">
            <v>70</v>
          </cell>
          <cell r="L72">
            <v>-14</v>
          </cell>
          <cell r="O72">
            <v>392</v>
          </cell>
          <cell r="P72">
            <v>11.2</v>
          </cell>
          <cell r="R72">
            <v>0</v>
          </cell>
        </row>
        <row r="73">
          <cell r="A73" t="str">
            <v>Чебупели со вкусом Фо бо ТМ Горячая штучка 0,22 кг  ПОКОМ</v>
          </cell>
          <cell r="B73" t="str">
            <v>шт</v>
          </cell>
          <cell r="C73">
            <v>141</v>
          </cell>
          <cell r="D73">
            <v>257</v>
          </cell>
          <cell r="E73">
            <v>390</v>
          </cell>
          <cell r="F73">
            <v>3</v>
          </cell>
          <cell r="G73">
            <v>0.22</v>
          </cell>
          <cell r="I73" t="str">
            <v>матрица</v>
          </cell>
          <cell r="K73">
            <v>558</v>
          </cell>
          <cell r="L73">
            <v>-168</v>
          </cell>
          <cell r="O73">
            <v>252</v>
          </cell>
          <cell r="P73">
            <v>78</v>
          </cell>
          <cell r="Q73">
            <v>759</v>
          </cell>
          <cell r="R73">
            <v>756</v>
          </cell>
          <cell r="S73">
            <v>1100</v>
          </cell>
          <cell r="T73" t="str">
            <v>промо спар</v>
          </cell>
        </row>
        <row r="74">
          <cell r="A74" t="str">
            <v>Чебупицца Пепперони ТМ Горячая штучка ТС Чебупицца 0.25кг зам  ПОКОМ</v>
          </cell>
          <cell r="B74" t="str">
            <v>шт</v>
          </cell>
          <cell r="C74">
            <v>92</v>
          </cell>
          <cell r="D74">
            <v>2527</v>
          </cell>
          <cell r="E74">
            <v>1852</v>
          </cell>
          <cell r="F74">
            <v>725</v>
          </cell>
          <cell r="G74">
            <v>0.25</v>
          </cell>
          <cell r="H74">
            <v>180</v>
          </cell>
          <cell r="I74" t="str">
            <v>P004486</v>
          </cell>
          <cell r="K74">
            <v>1858</v>
          </cell>
          <cell r="L74">
            <v>-6</v>
          </cell>
          <cell r="O74">
            <v>1512</v>
          </cell>
          <cell r="P74">
            <v>370.4</v>
          </cell>
          <cell r="Q74">
            <v>2948.5999999999995</v>
          </cell>
          <cell r="R74">
            <v>3024</v>
          </cell>
        </row>
        <row r="75">
          <cell r="A75" t="str">
            <v>Чебупицца курочка по-итальянски Горячая штучка 0,25 кг зам  ПОКОМ</v>
          </cell>
          <cell r="B75" t="str">
            <v>шт</v>
          </cell>
          <cell r="C75">
            <v>1683</v>
          </cell>
          <cell r="D75">
            <v>847</v>
          </cell>
          <cell r="E75">
            <v>1562</v>
          </cell>
          <cell r="F75">
            <v>929</v>
          </cell>
          <cell r="G75">
            <v>0.25</v>
          </cell>
          <cell r="H75">
            <v>180</v>
          </cell>
          <cell r="I75" t="str">
            <v>P004484</v>
          </cell>
          <cell r="K75">
            <v>1568</v>
          </cell>
          <cell r="L75">
            <v>-6</v>
          </cell>
          <cell r="O75">
            <v>1176</v>
          </cell>
          <cell r="P75">
            <v>312.39999999999998</v>
          </cell>
          <cell r="Q75">
            <v>2268.5999999999995</v>
          </cell>
          <cell r="R75">
            <v>2352</v>
          </cell>
        </row>
        <row r="76">
          <cell r="A76" t="str">
            <v>Чебупицца со вкусом Том ям ТМ Горячая штучка ТС Чебупицца 0,23кг жареные ПОКОМ</v>
          </cell>
          <cell r="B76" t="str">
            <v>шт</v>
          </cell>
          <cell r="C76">
            <v>614</v>
          </cell>
          <cell r="D76">
            <v>6</v>
          </cell>
          <cell r="E76">
            <v>627</v>
          </cell>
          <cell r="F76">
            <v>-12</v>
          </cell>
          <cell r="G76">
            <v>0.23</v>
          </cell>
          <cell r="H76">
            <v>180</v>
          </cell>
          <cell r="I76" t="str">
            <v>P005180</v>
          </cell>
          <cell r="K76">
            <v>665</v>
          </cell>
          <cell r="L76">
            <v>-38</v>
          </cell>
          <cell r="O76">
            <v>252</v>
          </cell>
          <cell r="P76">
            <v>125.4</v>
          </cell>
          <cell r="Q76">
            <v>1264.8000000000002</v>
          </cell>
          <cell r="R76">
            <v>1260</v>
          </cell>
          <cell r="S76">
            <v>1400</v>
          </cell>
          <cell r="T76" t="str">
            <v>промо спар</v>
          </cell>
        </row>
        <row r="77">
          <cell r="A77" t="str">
            <v>Чебупицца со вкусом Утка по-пекински ТМ Горячая штучка ТС Чебупицца 0,23 кг.  ПОКОМ</v>
          </cell>
          <cell r="B77" t="str">
            <v>шт</v>
          </cell>
          <cell r="C77">
            <v>367</v>
          </cell>
          <cell r="D77">
            <v>595</v>
          </cell>
          <cell r="E77">
            <v>887</v>
          </cell>
          <cell r="F77">
            <v>70</v>
          </cell>
          <cell r="G77">
            <v>0.23</v>
          </cell>
          <cell r="I77" t="str">
            <v>матрица</v>
          </cell>
          <cell r="K77">
            <v>927</v>
          </cell>
          <cell r="L77">
            <v>-40</v>
          </cell>
          <cell r="O77">
            <v>504</v>
          </cell>
          <cell r="P77">
            <v>177.4</v>
          </cell>
          <cell r="Q77">
            <v>1732.2000000000003</v>
          </cell>
          <cell r="R77">
            <v>1764</v>
          </cell>
          <cell r="S77">
            <v>2000</v>
          </cell>
          <cell r="T77" t="str">
            <v>промо спар</v>
          </cell>
        </row>
        <row r="78">
          <cell r="A78" t="str">
            <v>Чебуреки Мясные вес 2,7 кг ТМ Зареченские ТС Зареченские продукты   Поком</v>
          </cell>
          <cell r="B78" t="str">
            <v>кг</v>
          </cell>
          <cell r="C78">
            <v>1225.8</v>
          </cell>
          <cell r="E78">
            <v>113.4</v>
          </cell>
          <cell r="F78">
            <v>1112.4000000000001</v>
          </cell>
          <cell r="G78">
            <v>1</v>
          </cell>
          <cell r="H78">
            <v>180</v>
          </cell>
          <cell r="I78" t="str">
            <v>P003478</v>
          </cell>
          <cell r="K78">
            <v>114.7</v>
          </cell>
          <cell r="L78">
            <v>-1.2999999999999972</v>
          </cell>
          <cell r="O78">
            <v>0</v>
          </cell>
          <cell r="P78">
            <v>22.68</v>
          </cell>
          <cell r="R78">
            <v>0</v>
          </cell>
        </row>
        <row r="79">
          <cell r="A79" t="str">
            <v>Чебуреки сочные ТМ Зареченские ТС Зареченские продукты.  Поком</v>
          </cell>
          <cell r="B79" t="str">
            <v>кг</v>
          </cell>
          <cell r="C79">
            <v>1735</v>
          </cell>
          <cell r="D79">
            <v>1260</v>
          </cell>
          <cell r="E79">
            <v>1370</v>
          </cell>
          <cell r="F79">
            <v>1525</v>
          </cell>
          <cell r="G79">
            <v>1</v>
          </cell>
          <cell r="H79">
            <v>180</v>
          </cell>
          <cell r="I79" t="str">
            <v>P003476</v>
          </cell>
          <cell r="K79">
            <v>1370.1</v>
          </cell>
          <cell r="L79">
            <v>-9.9999999999909051E-2</v>
          </cell>
          <cell r="O79">
            <v>180</v>
          </cell>
          <cell r="P79">
            <v>274</v>
          </cell>
          <cell r="Q79">
            <v>2131</v>
          </cell>
          <cell r="R79">
            <v>2160</v>
          </cell>
        </row>
        <row r="80">
          <cell r="A80" t="str">
            <v>Пельмени «Медвежье ушко Премиум со сливочным маслом» 0,8 классическая форма ТМ «Медвежье ушко»</v>
          </cell>
          <cell r="B80" t="str">
            <v>шт</v>
          </cell>
          <cell r="I80" t="str">
            <v>P005438</v>
          </cell>
          <cell r="S80">
            <v>100</v>
          </cell>
          <cell r="T80" t="str">
            <v>промо сети</v>
          </cell>
        </row>
        <row r="81">
          <cell r="A81" t="str">
            <v>Пельмени «Медвежье ушко Премиум со сливочным маслом» 0,4 классическая форма ТМ «Медвежье ушко»</v>
          </cell>
          <cell r="B81" t="str">
            <v>шт</v>
          </cell>
          <cell r="I81" t="str">
            <v>P005439</v>
          </cell>
          <cell r="S81">
            <v>100</v>
          </cell>
          <cell r="T81" t="str">
            <v>промо сети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4" sqref="AL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6.42578125" customWidth="1"/>
    <col min="16" max="16" width="6" customWidth="1"/>
    <col min="17" max="19" width="7" customWidth="1"/>
    <col min="20" max="20" width="7" style="26" customWidth="1"/>
    <col min="21" max="21" width="7.5703125" style="26" customWidth="1"/>
    <col min="22" max="23" width="5" customWidth="1"/>
    <col min="24" max="33" width="6" customWidth="1"/>
    <col min="34" max="34" width="28.140625" customWidth="1"/>
    <col min="35" max="35" width="6.7109375" customWidth="1"/>
    <col min="36" max="36" width="6" style="6" customWidth="1"/>
    <col min="37" max="37" width="7.5703125" style="13" customWidth="1"/>
    <col min="38" max="38" width="6.7109375" customWidth="1"/>
    <col min="39" max="40" width="5" customWidth="1"/>
    <col min="41" max="41" width="6" style="13" customWidth="1"/>
    <col min="42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30">
        <v>-2.2999999999999998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8"/>
      <c r="AK1" s="31">
        <f>AK2-AK5</f>
        <v>-34</v>
      </c>
      <c r="AL1" s="1"/>
      <c r="AM1" s="1"/>
      <c r="AN1" s="1"/>
      <c r="AO1" s="10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192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8"/>
      <c r="AK2" s="10">
        <v>3500</v>
      </c>
      <c r="AL2" s="1"/>
      <c r="AM2" s="1"/>
      <c r="AN2" s="1"/>
      <c r="AO2" s="10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</v>
      </c>
      <c r="S3" s="3" t="s">
        <v>17</v>
      </c>
      <c r="T3" s="3" t="s">
        <v>188</v>
      </c>
      <c r="U3" s="3" t="s">
        <v>190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9" t="s">
        <v>23</v>
      </c>
      <c r="AK3" s="11" t="s">
        <v>24</v>
      </c>
      <c r="AL3" s="2" t="s">
        <v>25</v>
      </c>
      <c r="AM3" s="2" t="s">
        <v>26</v>
      </c>
      <c r="AN3" s="2" t="s">
        <v>27</v>
      </c>
      <c r="AO3" s="11" t="s">
        <v>28</v>
      </c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 t="s">
        <v>189</v>
      </c>
      <c r="U4" s="1"/>
      <c r="V4" s="1"/>
      <c r="W4" s="1"/>
      <c r="X4" s="1" t="s">
        <v>31</v>
      </c>
      <c r="Y4" s="1" t="s">
        <v>32</v>
      </c>
      <c r="Z4" s="1" t="s">
        <v>33</v>
      </c>
      <c r="AA4" s="1" t="s">
        <v>34</v>
      </c>
      <c r="AB4" s="1" t="s">
        <v>35</v>
      </c>
      <c r="AC4" s="1" t="s">
        <v>36</v>
      </c>
      <c r="AD4" s="1" t="s">
        <v>37</v>
      </c>
      <c r="AE4" s="1" t="s">
        <v>38</v>
      </c>
      <c r="AF4" s="1" t="s">
        <v>39</v>
      </c>
      <c r="AG4" s="1" t="s">
        <v>40</v>
      </c>
      <c r="AH4" s="1"/>
      <c r="AI4" s="1"/>
      <c r="AJ4" s="8"/>
      <c r="AK4" s="32" t="s">
        <v>193</v>
      </c>
      <c r="AL4" s="1"/>
      <c r="AM4" s="1"/>
      <c r="AN4" s="1"/>
      <c r="AO4" s="10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SUM(E6:E496)</f>
        <v>26850.9</v>
      </c>
      <c r="F5" s="4">
        <f>SUM(F6:F496)</f>
        <v>24316.400000000001</v>
      </c>
      <c r="G5" s="8"/>
      <c r="H5" s="1"/>
      <c r="I5" s="1"/>
      <c r="J5" s="1"/>
      <c r="K5" s="4">
        <f t="shared" ref="K5:T5" si="0">SUM(K6:K496)</f>
        <v>25037.499999999996</v>
      </c>
      <c r="L5" s="4">
        <f t="shared" si="0"/>
        <v>1813.4000000000003</v>
      </c>
      <c r="M5" s="4">
        <f t="shared" si="0"/>
        <v>0</v>
      </c>
      <c r="N5" s="4">
        <f t="shared" si="0"/>
        <v>0</v>
      </c>
      <c r="O5" s="4">
        <f t="shared" si="0"/>
        <v>15304.2</v>
      </c>
      <c r="P5" s="4">
        <f t="shared" si="0"/>
        <v>5370.1799999999994</v>
      </c>
      <c r="Q5" s="4">
        <v>34040.799999999988</v>
      </c>
      <c r="R5" s="4">
        <f t="shared" si="0"/>
        <v>27400.369999999995</v>
      </c>
      <c r="S5" s="4">
        <f t="shared" si="0"/>
        <v>27039.200000000001</v>
      </c>
      <c r="T5" s="4">
        <f t="shared" si="0"/>
        <v>7050</v>
      </c>
      <c r="U5" s="4"/>
      <c r="V5" s="1"/>
      <c r="W5" s="1"/>
      <c r="X5" s="4">
        <f t="shared" ref="X5:AG5" si="1">SUM(X6:X496)</f>
        <v>4773.3</v>
      </c>
      <c r="Y5" s="4">
        <f t="shared" si="1"/>
        <v>5515.4999999999991</v>
      </c>
      <c r="Z5" s="4">
        <f t="shared" si="1"/>
        <v>4977.2</v>
      </c>
      <c r="AA5" s="4">
        <f t="shared" si="1"/>
        <v>4438.5200000000004</v>
      </c>
      <c r="AB5" s="4">
        <f t="shared" si="1"/>
        <v>4423.74</v>
      </c>
      <c r="AC5" s="4">
        <f t="shared" si="1"/>
        <v>3764.58</v>
      </c>
      <c r="AD5" s="4">
        <f t="shared" si="1"/>
        <v>4526.4400000000005</v>
      </c>
      <c r="AE5" s="4">
        <f t="shared" si="1"/>
        <v>4272.42</v>
      </c>
      <c r="AF5" s="4">
        <f t="shared" si="1"/>
        <v>4518.9859999999999</v>
      </c>
      <c r="AG5" s="4">
        <f t="shared" si="1"/>
        <v>4489.4260000000013</v>
      </c>
      <c r="AH5" s="1"/>
      <c r="AI5" s="4">
        <f>SUM(AI6:AI496)</f>
        <v>12000.673000000003</v>
      </c>
      <c r="AJ5" s="8"/>
      <c r="AK5" s="12">
        <f>SUM(AK6:AK496)</f>
        <v>3534</v>
      </c>
      <c r="AL5" s="4">
        <f>SUM(AL6:AL496)</f>
        <v>11918.44</v>
      </c>
      <c r="AM5" s="1"/>
      <c r="AN5" s="1"/>
      <c r="AO5" s="12">
        <f>SUM(AO6:AO496)</f>
        <v>36.828571428571429</v>
      </c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4" t="s">
        <v>41</v>
      </c>
      <c r="B6" s="14" t="s">
        <v>42</v>
      </c>
      <c r="C6" s="14">
        <v>81</v>
      </c>
      <c r="D6" s="14">
        <v>514</v>
      </c>
      <c r="E6" s="18">
        <v>277</v>
      </c>
      <c r="F6" s="18">
        <v>290</v>
      </c>
      <c r="G6" s="15">
        <v>0</v>
      </c>
      <c r="H6" s="14"/>
      <c r="I6" s="14" t="s">
        <v>43</v>
      </c>
      <c r="J6" s="14" t="s">
        <v>44</v>
      </c>
      <c r="K6" s="14">
        <v>296</v>
      </c>
      <c r="L6" s="14">
        <f t="shared" ref="L6:L37" si="2">E6-K6</f>
        <v>-19</v>
      </c>
      <c r="M6" s="14"/>
      <c r="N6" s="14"/>
      <c r="O6" s="14"/>
      <c r="P6" s="14">
        <f t="shared" ref="P6:P37" si="3">E6/5</f>
        <v>55.4</v>
      </c>
      <c r="Q6" s="16"/>
      <c r="R6" s="16"/>
      <c r="S6" s="16"/>
      <c r="T6" s="29"/>
      <c r="U6" s="29"/>
      <c r="V6" s="14">
        <f t="shared" ref="V6:V37" si="4">(F6+O6+S6)/P6</f>
        <v>5.2346570397111911</v>
      </c>
      <c r="W6" s="14">
        <f t="shared" ref="W6:W37" si="5">(F6+O6)/P6</f>
        <v>5.2346570397111911</v>
      </c>
      <c r="X6" s="14">
        <v>55.2</v>
      </c>
      <c r="Y6" s="14">
        <v>61.6</v>
      </c>
      <c r="Z6" s="14">
        <v>72.2</v>
      </c>
      <c r="AA6" s="14">
        <v>54.2</v>
      </c>
      <c r="AB6" s="14">
        <v>51.6</v>
      </c>
      <c r="AC6" s="14">
        <v>53.6</v>
      </c>
      <c r="AD6" s="14">
        <v>80.599999999999994</v>
      </c>
      <c r="AE6" s="14">
        <v>77.2</v>
      </c>
      <c r="AF6" s="14">
        <v>41.6</v>
      </c>
      <c r="AG6" s="14">
        <v>35.6</v>
      </c>
      <c r="AH6" s="14"/>
      <c r="AI6" s="14"/>
      <c r="AJ6" s="15"/>
      <c r="AK6" s="17"/>
      <c r="AL6" s="14"/>
      <c r="AM6" s="14"/>
      <c r="AN6" s="14"/>
      <c r="AO6" s="17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4" t="s">
        <v>45</v>
      </c>
      <c r="B7" s="14" t="s">
        <v>42</v>
      </c>
      <c r="C7" s="14">
        <v>84</v>
      </c>
      <c r="D7" s="14">
        <v>501</v>
      </c>
      <c r="E7" s="18">
        <v>122</v>
      </c>
      <c r="F7" s="18">
        <v>440</v>
      </c>
      <c r="G7" s="15">
        <v>0</v>
      </c>
      <c r="H7" s="14"/>
      <c r="I7" s="14" t="s">
        <v>43</v>
      </c>
      <c r="J7" s="14" t="s">
        <v>46</v>
      </c>
      <c r="K7" s="14">
        <v>132</v>
      </c>
      <c r="L7" s="14">
        <f t="shared" si="2"/>
        <v>-10</v>
      </c>
      <c r="M7" s="14"/>
      <c r="N7" s="14"/>
      <c r="O7" s="14"/>
      <c r="P7" s="14">
        <f t="shared" si="3"/>
        <v>24.4</v>
      </c>
      <c r="Q7" s="16"/>
      <c r="R7" s="16"/>
      <c r="S7" s="16"/>
      <c r="T7" s="29"/>
      <c r="U7" s="29"/>
      <c r="V7" s="14">
        <f t="shared" si="4"/>
        <v>18.032786885245901</v>
      </c>
      <c r="W7" s="14">
        <f t="shared" si="5"/>
        <v>18.032786885245901</v>
      </c>
      <c r="X7" s="14">
        <v>28.2</v>
      </c>
      <c r="Y7" s="14">
        <v>27.4</v>
      </c>
      <c r="Z7" s="14">
        <v>23.2</v>
      </c>
      <c r="AA7" s="14">
        <v>29.2</v>
      </c>
      <c r="AB7" s="14">
        <v>24.2</v>
      </c>
      <c r="AC7" s="14">
        <v>3.4</v>
      </c>
      <c r="AD7" s="14">
        <v>0</v>
      </c>
      <c r="AE7" s="14">
        <v>0</v>
      </c>
      <c r="AF7" s="14">
        <v>0</v>
      </c>
      <c r="AG7" s="14">
        <v>0</v>
      </c>
      <c r="AH7" s="14"/>
      <c r="AI7" s="14"/>
      <c r="AJ7" s="15"/>
      <c r="AK7" s="17"/>
      <c r="AL7" s="14"/>
      <c r="AM7" s="14"/>
      <c r="AN7" s="14"/>
      <c r="AO7" s="17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47</v>
      </c>
      <c r="B8" s="1" t="s">
        <v>42</v>
      </c>
      <c r="C8" s="1"/>
      <c r="D8" s="1">
        <v>168</v>
      </c>
      <c r="E8" s="1">
        <v>41</v>
      </c>
      <c r="F8" s="1">
        <v>120</v>
      </c>
      <c r="G8" s="8">
        <v>0.22</v>
      </c>
      <c r="H8" s="1">
        <v>180</v>
      </c>
      <c r="I8" s="1" t="s">
        <v>48</v>
      </c>
      <c r="J8" s="1"/>
      <c r="K8" s="1">
        <v>41</v>
      </c>
      <c r="L8" s="1">
        <f t="shared" si="2"/>
        <v>0</v>
      </c>
      <c r="M8" s="1"/>
      <c r="N8" s="1"/>
      <c r="O8" s="1">
        <v>0</v>
      </c>
      <c r="P8" s="1">
        <f t="shared" si="3"/>
        <v>8.1999999999999993</v>
      </c>
      <c r="Q8" s="5"/>
      <c r="R8" s="5"/>
      <c r="S8" s="5">
        <f>AJ8*AK8</f>
        <v>0</v>
      </c>
      <c r="T8" s="29"/>
      <c r="U8" s="29"/>
      <c r="V8" s="1">
        <f t="shared" si="4"/>
        <v>14.634146341463415</v>
      </c>
      <c r="W8" s="1">
        <f t="shared" si="5"/>
        <v>14.634146341463415</v>
      </c>
      <c r="X8" s="1">
        <v>6</v>
      </c>
      <c r="Y8" s="1">
        <v>26.8</v>
      </c>
      <c r="Z8" s="1">
        <v>13</v>
      </c>
      <c r="AA8" s="1">
        <v>12.2</v>
      </c>
      <c r="AB8" s="1">
        <v>13.8</v>
      </c>
      <c r="AC8" s="1">
        <v>12.8</v>
      </c>
      <c r="AD8" s="1">
        <v>8.8000000000000007</v>
      </c>
      <c r="AE8" s="1">
        <v>11.8</v>
      </c>
      <c r="AF8" s="1">
        <v>11</v>
      </c>
      <c r="AG8" s="1">
        <v>21.8</v>
      </c>
      <c r="AH8" s="1"/>
      <c r="AI8" s="1">
        <f>G8*R8</f>
        <v>0</v>
      </c>
      <c r="AJ8" s="8">
        <v>12</v>
      </c>
      <c r="AK8" s="10">
        <f>MROUND(R8, AJ8*AM8)/AJ8</f>
        <v>0</v>
      </c>
      <c r="AL8" s="1">
        <f>AK8*AJ8*G8</f>
        <v>0</v>
      </c>
      <c r="AM8" s="1">
        <v>14</v>
      </c>
      <c r="AN8" s="1">
        <v>70</v>
      </c>
      <c r="AO8" s="10">
        <f>AK8/AN8</f>
        <v>0</v>
      </c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49</v>
      </c>
      <c r="B9" s="1" t="s">
        <v>42</v>
      </c>
      <c r="C9" s="1">
        <v>187</v>
      </c>
      <c r="D9" s="1">
        <v>5</v>
      </c>
      <c r="E9" s="1">
        <v>183</v>
      </c>
      <c r="F9" s="1"/>
      <c r="G9" s="8">
        <v>0.3</v>
      </c>
      <c r="H9" s="1">
        <v>180</v>
      </c>
      <c r="I9" s="1" t="s">
        <v>50</v>
      </c>
      <c r="J9" s="1"/>
      <c r="K9" s="1">
        <v>203</v>
      </c>
      <c r="L9" s="1">
        <f t="shared" si="2"/>
        <v>-20</v>
      </c>
      <c r="M9" s="1"/>
      <c r="N9" s="1"/>
      <c r="O9" s="1">
        <v>504</v>
      </c>
      <c r="P9" s="1">
        <f t="shared" si="3"/>
        <v>36.6</v>
      </c>
      <c r="Q9" s="5"/>
      <c r="R9" s="5">
        <f>T9</f>
        <v>350</v>
      </c>
      <c r="S9" s="5">
        <f>AJ9*AK9</f>
        <v>336</v>
      </c>
      <c r="T9" s="29">
        <f>VLOOKUP(A9,[1]Sheet!$A:$T,19,0)</f>
        <v>350</v>
      </c>
      <c r="U9" s="29" t="str">
        <f>VLOOKUP(A9,[1]Sheet!$A:$T,20,0)</f>
        <v>промо</v>
      </c>
      <c r="V9" s="1">
        <f t="shared" si="4"/>
        <v>22.950819672131146</v>
      </c>
      <c r="W9" s="1">
        <f t="shared" si="5"/>
        <v>13.770491803278688</v>
      </c>
      <c r="X9" s="1">
        <v>49.8</v>
      </c>
      <c r="Y9" s="1">
        <v>26.4</v>
      </c>
      <c r="Z9" s="1">
        <v>45</v>
      </c>
      <c r="AA9" s="1">
        <v>17.8</v>
      </c>
      <c r="AB9" s="1">
        <v>13.4</v>
      </c>
      <c r="AC9" s="1">
        <v>22.4</v>
      </c>
      <c r="AD9" s="1">
        <v>41.8</v>
      </c>
      <c r="AE9" s="1">
        <v>19.2</v>
      </c>
      <c r="AF9" s="1">
        <v>20.6</v>
      </c>
      <c r="AG9" s="1">
        <v>21.8</v>
      </c>
      <c r="AH9" s="1"/>
      <c r="AI9" s="1">
        <f>G9*R9</f>
        <v>105</v>
      </c>
      <c r="AJ9" s="8">
        <v>12</v>
      </c>
      <c r="AK9" s="10">
        <f>MROUND(R9, AJ9*AM9)/AJ9</f>
        <v>28</v>
      </c>
      <c r="AL9" s="1">
        <f>AK9*AJ9*G9</f>
        <v>100.8</v>
      </c>
      <c r="AM9" s="1">
        <v>14</v>
      </c>
      <c r="AN9" s="1">
        <v>70</v>
      </c>
      <c r="AO9" s="10">
        <f>AK9/AN9</f>
        <v>0.4</v>
      </c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4" t="s">
        <v>51</v>
      </c>
      <c r="B10" s="14" t="s">
        <v>42</v>
      </c>
      <c r="C10" s="14">
        <v>434</v>
      </c>
      <c r="D10" s="14">
        <v>1040</v>
      </c>
      <c r="E10" s="18">
        <v>251</v>
      </c>
      <c r="F10" s="18">
        <v>752</v>
      </c>
      <c r="G10" s="15">
        <v>0</v>
      </c>
      <c r="H10" s="14">
        <v>180</v>
      </c>
      <c r="I10" s="14" t="s">
        <v>52</v>
      </c>
      <c r="J10" s="14" t="s">
        <v>53</v>
      </c>
      <c r="K10" s="14">
        <v>263</v>
      </c>
      <c r="L10" s="14">
        <f t="shared" si="2"/>
        <v>-12</v>
      </c>
      <c r="M10" s="14"/>
      <c r="N10" s="14"/>
      <c r="O10" s="14"/>
      <c r="P10" s="14">
        <f t="shared" si="3"/>
        <v>50.2</v>
      </c>
      <c r="Q10" s="16"/>
      <c r="R10" s="16"/>
      <c r="S10" s="16"/>
      <c r="T10" s="29"/>
      <c r="U10" s="29"/>
      <c r="V10" s="14">
        <f t="shared" si="4"/>
        <v>14.9800796812749</v>
      </c>
      <c r="W10" s="14">
        <f t="shared" si="5"/>
        <v>14.9800796812749</v>
      </c>
      <c r="X10" s="14">
        <v>19</v>
      </c>
      <c r="Y10" s="14">
        <v>1.4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/>
      <c r="AI10" s="14"/>
      <c r="AJ10" s="15"/>
      <c r="AK10" s="17"/>
      <c r="AL10" s="14"/>
      <c r="AM10" s="14"/>
      <c r="AN10" s="14"/>
      <c r="AO10" s="17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4" t="s">
        <v>54</v>
      </c>
      <c r="B11" s="14" t="s">
        <v>42</v>
      </c>
      <c r="C11" s="14"/>
      <c r="D11" s="14">
        <v>168</v>
      </c>
      <c r="E11" s="18">
        <v>39</v>
      </c>
      <c r="F11" s="18">
        <v>128</v>
      </c>
      <c r="G11" s="15">
        <v>0</v>
      </c>
      <c r="H11" s="14">
        <v>180</v>
      </c>
      <c r="I11" s="14" t="s">
        <v>52</v>
      </c>
      <c r="J11" s="14" t="s">
        <v>55</v>
      </c>
      <c r="K11" s="14">
        <v>38</v>
      </c>
      <c r="L11" s="14">
        <f t="shared" si="2"/>
        <v>1</v>
      </c>
      <c r="M11" s="14"/>
      <c r="N11" s="14"/>
      <c r="O11" s="14"/>
      <c r="P11" s="14">
        <f t="shared" si="3"/>
        <v>7.8</v>
      </c>
      <c r="Q11" s="16"/>
      <c r="R11" s="16"/>
      <c r="S11" s="16"/>
      <c r="T11" s="29"/>
      <c r="U11" s="29"/>
      <c r="V11" s="14">
        <f t="shared" si="4"/>
        <v>16.410256410256412</v>
      </c>
      <c r="W11" s="14">
        <f t="shared" si="5"/>
        <v>16.410256410256412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/>
      <c r="AI11" s="14"/>
      <c r="AJ11" s="15"/>
      <c r="AK11" s="17"/>
      <c r="AL11" s="14"/>
      <c r="AM11" s="14"/>
      <c r="AN11" s="14"/>
      <c r="AO11" s="17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4" t="s">
        <v>56</v>
      </c>
      <c r="B12" s="14" t="s">
        <v>42</v>
      </c>
      <c r="C12" s="14">
        <v>911</v>
      </c>
      <c r="D12" s="14">
        <v>689</v>
      </c>
      <c r="E12" s="18">
        <v>392</v>
      </c>
      <c r="F12" s="18">
        <v>966</v>
      </c>
      <c r="G12" s="15">
        <v>0</v>
      </c>
      <c r="H12" s="14"/>
      <c r="I12" s="14" t="s">
        <v>52</v>
      </c>
      <c r="J12" s="14" t="s">
        <v>57</v>
      </c>
      <c r="K12" s="14">
        <v>400</v>
      </c>
      <c r="L12" s="14">
        <f t="shared" si="2"/>
        <v>-8</v>
      </c>
      <c r="M12" s="14"/>
      <c r="N12" s="14"/>
      <c r="O12" s="14"/>
      <c r="P12" s="14">
        <f t="shared" si="3"/>
        <v>78.400000000000006</v>
      </c>
      <c r="Q12" s="16"/>
      <c r="R12" s="16"/>
      <c r="S12" s="16"/>
      <c r="T12" s="29"/>
      <c r="U12" s="29"/>
      <c r="V12" s="14">
        <f t="shared" si="4"/>
        <v>12.321428571428571</v>
      </c>
      <c r="W12" s="14">
        <f t="shared" si="5"/>
        <v>12.321428571428571</v>
      </c>
      <c r="X12" s="14">
        <v>67.8</v>
      </c>
      <c r="Y12" s="14">
        <v>57.8</v>
      </c>
      <c r="Z12" s="14">
        <v>3</v>
      </c>
      <c r="AA12" s="14">
        <v>1.6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/>
      <c r="AI12" s="14"/>
      <c r="AJ12" s="15"/>
      <c r="AK12" s="17"/>
      <c r="AL12" s="14"/>
      <c r="AM12" s="14"/>
      <c r="AN12" s="14"/>
      <c r="AO12" s="17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4" t="s">
        <v>58</v>
      </c>
      <c r="B13" s="14" t="s">
        <v>42</v>
      </c>
      <c r="C13" s="14">
        <v>306</v>
      </c>
      <c r="D13" s="14"/>
      <c r="E13" s="18">
        <v>285</v>
      </c>
      <c r="F13" s="14"/>
      <c r="G13" s="15">
        <v>0</v>
      </c>
      <c r="H13" s="14">
        <v>180</v>
      </c>
      <c r="I13" s="14" t="s">
        <v>52</v>
      </c>
      <c r="J13" s="14" t="s">
        <v>59</v>
      </c>
      <c r="K13" s="14">
        <v>295</v>
      </c>
      <c r="L13" s="14">
        <f t="shared" si="2"/>
        <v>-10</v>
      </c>
      <c r="M13" s="14"/>
      <c r="N13" s="14"/>
      <c r="O13" s="14"/>
      <c r="P13" s="14">
        <f t="shared" si="3"/>
        <v>57</v>
      </c>
      <c r="Q13" s="16"/>
      <c r="R13" s="16"/>
      <c r="S13" s="16"/>
      <c r="T13" s="29"/>
      <c r="U13" s="29"/>
      <c r="V13" s="14">
        <f t="shared" si="4"/>
        <v>0</v>
      </c>
      <c r="W13" s="14">
        <f t="shared" si="5"/>
        <v>0</v>
      </c>
      <c r="X13" s="14">
        <v>24.8</v>
      </c>
      <c r="Y13" s="14">
        <v>0.4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/>
      <c r="AI13" s="14"/>
      <c r="AJ13" s="15"/>
      <c r="AK13" s="17"/>
      <c r="AL13" s="14"/>
      <c r="AM13" s="14"/>
      <c r="AN13" s="14"/>
      <c r="AO13" s="17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60</v>
      </c>
      <c r="B14" s="1" t="s">
        <v>42</v>
      </c>
      <c r="C14" s="1">
        <v>698</v>
      </c>
      <c r="D14" s="1">
        <v>5</v>
      </c>
      <c r="E14" s="1">
        <v>766</v>
      </c>
      <c r="F14" s="1">
        <v>-68</v>
      </c>
      <c r="G14" s="8">
        <v>0.28000000000000003</v>
      </c>
      <c r="H14" s="1">
        <v>180</v>
      </c>
      <c r="I14" s="1" t="s">
        <v>61</v>
      </c>
      <c r="J14" s="1"/>
      <c r="K14" s="1">
        <v>794</v>
      </c>
      <c r="L14" s="1">
        <f t="shared" si="2"/>
        <v>-28</v>
      </c>
      <c r="M14" s="1"/>
      <c r="N14" s="1"/>
      <c r="O14" s="1">
        <v>1596</v>
      </c>
      <c r="P14" s="1">
        <f t="shared" si="3"/>
        <v>153.19999999999999</v>
      </c>
      <c r="Q14" s="5">
        <v>616.79999999999973</v>
      </c>
      <c r="R14" s="5">
        <f>14*P14-O14-F14+$R$1*P14</f>
        <v>264.43999999999977</v>
      </c>
      <c r="S14" s="5">
        <f>AJ14*AK14</f>
        <v>252</v>
      </c>
      <c r="T14" s="29"/>
      <c r="U14" s="29"/>
      <c r="V14" s="1">
        <f t="shared" si="4"/>
        <v>11.618798955613578</v>
      </c>
      <c r="W14" s="1">
        <f t="shared" si="5"/>
        <v>9.9738903394255889</v>
      </c>
      <c r="X14" s="1">
        <v>179.8</v>
      </c>
      <c r="Y14" s="1">
        <v>123.6</v>
      </c>
      <c r="Z14" s="1">
        <v>169.8</v>
      </c>
      <c r="AA14" s="1">
        <v>104.8</v>
      </c>
      <c r="AB14" s="1">
        <v>125.8</v>
      </c>
      <c r="AC14" s="1">
        <v>114</v>
      </c>
      <c r="AD14" s="1">
        <v>140</v>
      </c>
      <c r="AE14" s="1">
        <v>146.4</v>
      </c>
      <c r="AF14" s="1">
        <v>142.6</v>
      </c>
      <c r="AG14" s="1">
        <v>152.4</v>
      </c>
      <c r="AH14" s="1"/>
      <c r="AI14" s="1">
        <f>G14*R14</f>
        <v>74.043199999999942</v>
      </c>
      <c r="AJ14" s="8">
        <v>6</v>
      </c>
      <c r="AK14" s="10">
        <f>MROUND(R14, AJ14*AM14)/AJ14</f>
        <v>42</v>
      </c>
      <c r="AL14" s="1">
        <f>AK14*AJ14*G14</f>
        <v>70.56</v>
      </c>
      <c r="AM14" s="1">
        <v>14</v>
      </c>
      <c r="AN14" s="1">
        <v>140</v>
      </c>
      <c r="AO14" s="10">
        <f>AK14/AN14</f>
        <v>0.3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62</v>
      </c>
      <c r="B15" s="1" t="s">
        <v>42</v>
      </c>
      <c r="C15" s="1">
        <v>29</v>
      </c>
      <c r="D15" s="1">
        <v>1187</v>
      </c>
      <c r="E15" s="1">
        <v>533</v>
      </c>
      <c r="F15" s="1">
        <v>656</v>
      </c>
      <c r="G15" s="8">
        <v>0.24</v>
      </c>
      <c r="H15" s="1">
        <v>180</v>
      </c>
      <c r="I15" s="1" t="s">
        <v>63</v>
      </c>
      <c r="J15" s="1"/>
      <c r="K15" s="1">
        <v>554</v>
      </c>
      <c r="L15" s="1">
        <f t="shared" si="2"/>
        <v>-21</v>
      </c>
      <c r="M15" s="1"/>
      <c r="N15" s="1"/>
      <c r="O15" s="1">
        <v>504</v>
      </c>
      <c r="P15" s="1">
        <f t="shared" si="3"/>
        <v>106.6</v>
      </c>
      <c r="Q15" s="5">
        <v>332.39999999999986</v>
      </c>
      <c r="R15" s="5">
        <f>T15</f>
        <v>550</v>
      </c>
      <c r="S15" s="5">
        <f>AJ15*AK15</f>
        <v>504</v>
      </c>
      <c r="T15" s="29">
        <f>VLOOKUP(A15,[1]Sheet!$A:$T,19,0)</f>
        <v>550</v>
      </c>
      <c r="U15" s="29" t="str">
        <f>VLOOKUP(A15,[1]Sheet!$A:$T,20,0)</f>
        <v>промо</v>
      </c>
      <c r="V15" s="1">
        <f t="shared" si="4"/>
        <v>15.609756097560977</v>
      </c>
      <c r="W15" s="1">
        <f t="shared" si="5"/>
        <v>10.881801125703566</v>
      </c>
      <c r="X15" s="1">
        <v>125.2</v>
      </c>
      <c r="Y15" s="1">
        <v>142.6</v>
      </c>
      <c r="Z15" s="1">
        <v>105.2</v>
      </c>
      <c r="AA15" s="1">
        <v>84.6</v>
      </c>
      <c r="AB15" s="1">
        <v>97.2</v>
      </c>
      <c r="AC15" s="1">
        <v>81.8</v>
      </c>
      <c r="AD15" s="1">
        <v>102.8</v>
      </c>
      <c r="AE15" s="1">
        <v>97.6</v>
      </c>
      <c r="AF15" s="1">
        <v>78.400000000000006</v>
      </c>
      <c r="AG15" s="1">
        <v>76.400000000000006</v>
      </c>
      <c r="AH15" s="1"/>
      <c r="AI15" s="1">
        <f>G15*R15</f>
        <v>132</v>
      </c>
      <c r="AJ15" s="8">
        <v>12</v>
      </c>
      <c r="AK15" s="10">
        <f>MROUND(R15, AJ15*AM15)/AJ15</f>
        <v>42</v>
      </c>
      <c r="AL15" s="1">
        <f>AK15*AJ15*G15</f>
        <v>120.96</v>
      </c>
      <c r="AM15" s="1">
        <v>14</v>
      </c>
      <c r="AN15" s="1">
        <v>70</v>
      </c>
      <c r="AO15" s="10">
        <f>AK15/AN15</f>
        <v>0.6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4" t="s">
        <v>64</v>
      </c>
      <c r="B16" s="14" t="s">
        <v>42</v>
      </c>
      <c r="C16" s="14">
        <v>985</v>
      </c>
      <c r="D16" s="14">
        <v>865</v>
      </c>
      <c r="E16" s="18">
        <v>468</v>
      </c>
      <c r="F16" s="18">
        <v>835</v>
      </c>
      <c r="G16" s="15">
        <v>0</v>
      </c>
      <c r="H16" s="14"/>
      <c r="I16" s="14" t="s">
        <v>52</v>
      </c>
      <c r="J16" s="14" t="s">
        <v>65</v>
      </c>
      <c r="K16" s="14">
        <v>497</v>
      </c>
      <c r="L16" s="14">
        <f t="shared" si="2"/>
        <v>-29</v>
      </c>
      <c r="M16" s="14"/>
      <c r="N16" s="14"/>
      <c r="O16" s="14"/>
      <c r="P16" s="14">
        <f t="shared" si="3"/>
        <v>93.6</v>
      </c>
      <c r="Q16" s="16"/>
      <c r="R16" s="16"/>
      <c r="S16" s="16"/>
      <c r="T16" s="29"/>
      <c r="U16" s="29"/>
      <c r="V16" s="14">
        <f t="shared" si="4"/>
        <v>8.9209401709401721</v>
      </c>
      <c r="W16" s="14">
        <f t="shared" si="5"/>
        <v>8.9209401709401721</v>
      </c>
      <c r="X16" s="14">
        <v>107.4</v>
      </c>
      <c r="Y16" s="14">
        <v>99</v>
      </c>
      <c r="Z16" s="14">
        <v>13.2</v>
      </c>
      <c r="AA16" s="14">
        <v>9.4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/>
      <c r="AI16" s="14"/>
      <c r="AJ16" s="15"/>
      <c r="AK16" s="17"/>
      <c r="AL16" s="14"/>
      <c r="AM16" s="14"/>
      <c r="AN16" s="14"/>
      <c r="AO16" s="17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65</v>
      </c>
      <c r="B17" s="1" t="s">
        <v>42</v>
      </c>
      <c r="C17" s="1">
        <v>-96</v>
      </c>
      <c r="D17" s="1">
        <v>509</v>
      </c>
      <c r="E17" s="18">
        <f>413+E16</f>
        <v>881</v>
      </c>
      <c r="F17" s="18">
        <f>0+F16</f>
        <v>835</v>
      </c>
      <c r="G17" s="8">
        <v>0.24</v>
      </c>
      <c r="H17" s="1">
        <v>180</v>
      </c>
      <c r="I17" s="1" t="s">
        <v>66</v>
      </c>
      <c r="J17" s="1"/>
      <c r="K17" s="1">
        <v>425</v>
      </c>
      <c r="L17" s="1">
        <f t="shared" si="2"/>
        <v>456</v>
      </c>
      <c r="M17" s="1"/>
      <c r="N17" s="1"/>
      <c r="O17" s="1">
        <v>336</v>
      </c>
      <c r="P17" s="1">
        <f t="shared" si="3"/>
        <v>176.2</v>
      </c>
      <c r="Q17" s="5">
        <v>1295.7999999999997</v>
      </c>
      <c r="R17" s="5">
        <f>14*P17-O17-F17+$R$1*P17</f>
        <v>890.53999999999974</v>
      </c>
      <c r="S17" s="5">
        <f>AJ17*AK17</f>
        <v>840</v>
      </c>
      <c r="T17" s="29"/>
      <c r="U17" s="29"/>
      <c r="V17" s="1">
        <f t="shared" si="4"/>
        <v>11.413166855845631</v>
      </c>
      <c r="W17" s="1">
        <f t="shared" si="5"/>
        <v>6.645856980703746</v>
      </c>
      <c r="X17" s="1">
        <v>162.6</v>
      </c>
      <c r="Y17" s="1">
        <v>218.2</v>
      </c>
      <c r="Z17" s="1">
        <v>201.4</v>
      </c>
      <c r="AA17" s="1">
        <v>172</v>
      </c>
      <c r="AB17" s="1">
        <v>197</v>
      </c>
      <c r="AC17" s="1">
        <v>175.4</v>
      </c>
      <c r="AD17" s="1">
        <v>194.2</v>
      </c>
      <c r="AE17" s="1">
        <v>191.8</v>
      </c>
      <c r="AF17" s="1">
        <v>287.39999999999998</v>
      </c>
      <c r="AG17" s="1">
        <v>268.39999999999998</v>
      </c>
      <c r="AH17" s="1"/>
      <c r="AI17" s="1">
        <f>G17*R17</f>
        <v>213.72959999999992</v>
      </c>
      <c r="AJ17" s="8">
        <v>12</v>
      </c>
      <c r="AK17" s="10">
        <f>MROUND(R17, AJ17*AM17)/AJ17</f>
        <v>70</v>
      </c>
      <c r="AL17" s="1">
        <f>AK17*AJ17*G17</f>
        <v>201.6</v>
      </c>
      <c r="AM17" s="1">
        <v>14</v>
      </c>
      <c r="AN17" s="1">
        <v>70</v>
      </c>
      <c r="AO17" s="10">
        <f>AK17/AN17</f>
        <v>1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4" t="s">
        <v>67</v>
      </c>
      <c r="B18" s="14" t="s">
        <v>42</v>
      </c>
      <c r="C18" s="14"/>
      <c r="D18" s="14">
        <v>392</v>
      </c>
      <c r="E18" s="14"/>
      <c r="F18" s="18">
        <v>310</v>
      </c>
      <c r="G18" s="15">
        <v>0</v>
      </c>
      <c r="H18" s="14">
        <v>180</v>
      </c>
      <c r="I18" s="14" t="s">
        <v>52</v>
      </c>
      <c r="J18" s="14" t="s">
        <v>68</v>
      </c>
      <c r="K18" s="14"/>
      <c r="L18" s="14">
        <f t="shared" si="2"/>
        <v>0</v>
      </c>
      <c r="M18" s="14"/>
      <c r="N18" s="14"/>
      <c r="O18" s="14"/>
      <c r="P18" s="14">
        <f t="shared" si="3"/>
        <v>0</v>
      </c>
      <c r="Q18" s="16"/>
      <c r="R18" s="16"/>
      <c r="S18" s="16"/>
      <c r="T18" s="29"/>
      <c r="U18" s="29"/>
      <c r="V18" s="14" t="e">
        <f t="shared" si="4"/>
        <v>#DIV/0!</v>
      </c>
      <c r="W18" s="14" t="e">
        <f t="shared" si="5"/>
        <v>#DIV/0!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/>
      <c r="AI18" s="14"/>
      <c r="AJ18" s="15"/>
      <c r="AK18" s="17"/>
      <c r="AL18" s="14"/>
      <c r="AM18" s="14"/>
      <c r="AN18" s="14"/>
      <c r="AO18" s="17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69</v>
      </c>
      <c r="B19" s="1" t="s">
        <v>42</v>
      </c>
      <c r="C19" s="1">
        <v>607</v>
      </c>
      <c r="D19" s="1">
        <v>341</v>
      </c>
      <c r="E19" s="1">
        <v>624</v>
      </c>
      <c r="F19" s="1">
        <v>292</v>
      </c>
      <c r="G19" s="8">
        <v>0.24</v>
      </c>
      <c r="H19" s="1">
        <v>180</v>
      </c>
      <c r="I19" s="1" t="s">
        <v>70</v>
      </c>
      <c r="J19" s="1"/>
      <c r="K19" s="1">
        <v>629</v>
      </c>
      <c r="L19" s="1">
        <f t="shared" si="2"/>
        <v>-5</v>
      </c>
      <c r="M19" s="1"/>
      <c r="N19" s="1"/>
      <c r="O19" s="1">
        <v>504</v>
      </c>
      <c r="P19" s="1">
        <f t="shared" si="3"/>
        <v>124.8</v>
      </c>
      <c r="Q19" s="5">
        <v>951.2</v>
      </c>
      <c r="R19" s="5">
        <f>14*P19-O19-F19+$R$1*P19</f>
        <v>664.16000000000008</v>
      </c>
      <c r="S19" s="5">
        <f>AJ19*AK19</f>
        <v>672</v>
      </c>
      <c r="T19" s="29"/>
      <c r="U19" s="29"/>
      <c r="V19" s="1">
        <f t="shared" si="4"/>
        <v>11.762820512820513</v>
      </c>
      <c r="W19" s="1">
        <f t="shared" si="5"/>
        <v>6.3782051282051286</v>
      </c>
      <c r="X19" s="1">
        <v>118</v>
      </c>
      <c r="Y19" s="1">
        <v>131.6</v>
      </c>
      <c r="Z19" s="1">
        <v>144.80000000000001</v>
      </c>
      <c r="AA19" s="1">
        <v>113</v>
      </c>
      <c r="AB19" s="1">
        <v>111.2</v>
      </c>
      <c r="AC19" s="1">
        <v>91</v>
      </c>
      <c r="AD19" s="1">
        <v>114.2</v>
      </c>
      <c r="AE19" s="1">
        <v>123.8</v>
      </c>
      <c r="AF19" s="1">
        <v>89</v>
      </c>
      <c r="AG19" s="1">
        <v>93.4</v>
      </c>
      <c r="AH19" s="1"/>
      <c r="AI19" s="1">
        <f>G19*R19</f>
        <v>159.39840000000001</v>
      </c>
      <c r="AJ19" s="8">
        <v>12</v>
      </c>
      <c r="AK19" s="10">
        <f>MROUND(R19, AJ19*AM19)/AJ19</f>
        <v>56</v>
      </c>
      <c r="AL19" s="1">
        <f>AK19*AJ19*G19</f>
        <v>161.28</v>
      </c>
      <c r="AM19" s="1">
        <v>14</v>
      </c>
      <c r="AN19" s="1">
        <v>70</v>
      </c>
      <c r="AO19" s="10">
        <f>AK19/AN19</f>
        <v>0.8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4" t="s">
        <v>71</v>
      </c>
      <c r="B20" s="14" t="s">
        <v>42</v>
      </c>
      <c r="C20" s="14">
        <v>458</v>
      </c>
      <c r="D20" s="14">
        <v>1024</v>
      </c>
      <c r="E20" s="18">
        <v>400</v>
      </c>
      <c r="F20" s="18">
        <v>139</v>
      </c>
      <c r="G20" s="15">
        <v>0</v>
      </c>
      <c r="H20" s="14"/>
      <c r="I20" s="14" t="s">
        <v>52</v>
      </c>
      <c r="J20" s="14" t="s">
        <v>44</v>
      </c>
      <c r="K20" s="14">
        <v>435</v>
      </c>
      <c r="L20" s="14">
        <f t="shared" si="2"/>
        <v>-35</v>
      </c>
      <c r="M20" s="14"/>
      <c r="N20" s="14"/>
      <c r="O20" s="14"/>
      <c r="P20" s="14">
        <f t="shared" si="3"/>
        <v>80</v>
      </c>
      <c r="Q20" s="16"/>
      <c r="R20" s="16"/>
      <c r="S20" s="16"/>
      <c r="T20" s="29"/>
      <c r="U20" s="29"/>
      <c r="V20" s="14">
        <f t="shared" si="4"/>
        <v>1.7375</v>
      </c>
      <c r="W20" s="14">
        <f t="shared" si="5"/>
        <v>1.7375</v>
      </c>
      <c r="X20" s="14">
        <v>64.2</v>
      </c>
      <c r="Y20" s="14">
        <v>83</v>
      </c>
      <c r="Z20" s="14">
        <v>6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/>
      <c r="AI20" s="14"/>
      <c r="AJ20" s="15"/>
      <c r="AK20" s="17"/>
      <c r="AL20" s="14"/>
      <c r="AM20" s="14"/>
      <c r="AN20" s="14"/>
      <c r="AO20" s="17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4" t="s">
        <v>72</v>
      </c>
      <c r="B21" s="14" t="s">
        <v>42</v>
      </c>
      <c r="C21" s="14">
        <v>120</v>
      </c>
      <c r="D21" s="14">
        <v>115</v>
      </c>
      <c r="E21" s="18">
        <v>116</v>
      </c>
      <c r="F21" s="18">
        <v>83</v>
      </c>
      <c r="G21" s="15">
        <v>0</v>
      </c>
      <c r="H21" s="14"/>
      <c r="I21" s="14" t="s">
        <v>52</v>
      </c>
      <c r="J21" s="14" t="s">
        <v>73</v>
      </c>
      <c r="K21" s="14">
        <v>118</v>
      </c>
      <c r="L21" s="14">
        <f t="shared" si="2"/>
        <v>-2</v>
      </c>
      <c r="M21" s="14"/>
      <c r="N21" s="14"/>
      <c r="O21" s="14"/>
      <c r="P21" s="14">
        <f t="shared" si="3"/>
        <v>23.2</v>
      </c>
      <c r="Q21" s="16"/>
      <c r="R21" s="16"/>
      <c r="S21" s="16"/>
      <c r="T21" s="29"/>
      <c r="U21" s="29"/>
      <c r="V21" s="14">
        <f t="shared" si="4"/>
        <v>3.577586206896552</v>
      </c>
      <c r="W21" s="14">
        <f t="shared" si="5"/>
        <v>3.577586206896552</v>
      </c>
      <c r="X21" s="14">
        <v>24.6</v>
      </c>
      <c r="Y21" s="14">
        <v>18.8</v>
      </c>
      <c r="Z21" s="14">
        <v>7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/>
      <c r="AI21" s="14"/>
      <c r="AJ21" s="15"/>
      <c r="AK21" s="17"/>
      <c r="AL21" s="14"/>
      <c r="AM21" s="14"/>
      <c r="AN21" s="14"/>
      <c r="AO21" s="17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44</v>
      </c>
      <c r="B22" s="1" t="s">
        <v>42</v>
      </c>
      <c r="C22" s="1">
        <v>-36</v>
      </c>
      <c r="D22" s="1">
        <v>408</v>
      </c>
      <c r="E22" s="18">
        <f>372+E6+E20</f>
        <v>1049</v>
      </c>
      <c r="F22" s="18">
        <f>0+F6+F20</f>
        <v>429</v>
      </c>
      <c r="G22" s="8">
        <v>0.24</v>
      </c>
      <c r="H22" s="1">
        <v>180</v>
      </c>
      <c r="I22" s="1" t="s">
        <v>74</v>
      </c>
      <c r="J22" s="1"/>
      <c r="K22" s="1">
        <v>372</v>
      </c>
      <c r="L22" s="1">
        <f t="shared" si="2"/>
        <v>677</v>
      </c>
      <c r="M22" s="1"/>
      <c r="N22" s="1"/>
      <c r="O22" s="1">
        <v>672</v>
      </c>
      <c r="P22" s="1">
        <f t="shared" si="3"/>
        <v>209.8</v>
      </c>
      <c r="Q22" s="5">
        <v>1836.2000000000003</v>
      </c>
      <c r="R22" s="5">
        <f t="shared" ref="R22:R24" si="6">14*P22-O22-F22+$R$1*P22</f>
        <v>1353.6600000000003</v>
      </c>
      <c r="S22" s="5">
        <f>AJ22*AK22</f>
        <v>1344</v>
      </c>
      <c r="T22" s="29"/>
      <c r="U22" s="29"/>
      <c r="V22" s="1">
        <f t="shared" si="4"/>
        <v>11.653956148713059</v>
      </c>
      <c r="W22" s="1">
        <f t="shared" si="5"/>
        <v>5.2478551000953289</v>
      </c>
      <c r="X22" s="1">
        <v>162.6</v>
      </c>
      <c r="Y22" s="1">
        <v>234.4</v>
      </c>
      <c r="Z22" s="1">
        <v>214.8</v>
      </c>
      <c r="AA22" s="1">
        <v>169</v>
      </c>
      <c r="AB22" s="1">
        <v>156.80000000000001</v>
      </c>
      <c r="AC22" s="1">
        <v>177.6</v>
      </c>
      <c r="AD22" s="1">
        <v>215</v>
      </c>
      <c r="AE22" s="1">
        <v>226.8</v>
      </c>
      <c r="AF22" s="1">
        <v>235.4</v>
      </c>
      <c r="AG22" s="1">
        <v>218.2</v>
      </c>
      <c r="AH22" s="1"/>
      <c r="AI22" s="1">
        <f>G22*R22</f>
        <v>324.87840000000006</v>
      </c>
      <c r="AJ22" s="8">
        <v>12</v>
      </c>
      <c r="AK22" s="10">
        <f>MROUND(R22, AJ22*AM22)/AJ22</f>
        <v>112</v>
      </c>
      <c r="AL22" s="1">
        <f>AK22*AJ22*G22</f>
        <v>322.56</v>
      </c>
      <c r="AM22" s="1">
        <v>14</v>
      </c>
      <c r="AN22" s="1">
        <v>70</v>
      </c>
      <c r="AO22" s="10">
        <f>AK22/AN22</f>
        <v>1.6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73</v>
      </c>
      <c r="B23" s="1" t="s">
        <v>42</v>
      </c>
      <c r="C23" s="1">
        <v>-8</v>
      </c>
      <c r="D23" s="1">
        <v>28</v>
      </c>
      <c r="E23" s="18">
        <f>20+E21</f>
        <v>136</v>
      </c>
      <c r="F23" s="18">
        <f>0+F21</f>
        <v>83</v>
      </c>
      <c r="G23" s="8">
        <v>0.48</v>
      </c>
      <c r="H23" s="1">
        <v>180</v>
      </c>
      <c r="I23" s="1" t="s">
        <v>75</v>
      </c>
      <c r="J23" s="1"/>
      <c r="K23" s="1">
        <v>20</v>
      </c>
      <c r="L23" s="1">
        <f t="shared" si="2"/>
        <v>116</v>
      </c>
      <c r="M23" s="1"/>
      <c r="N23" s="1"/>
      <c r="O23" s="1">
        <v>112</v>
      </c>
      <c r="P23" s="1">
        <f t="shared" si="3"/>
        <v>27.2</v>
      </c>
      <c r="Q23" s="5">
        <v>185.8</v>
      </c>
      <c r="R23" s="5">
        <f t="shared" si="6"/>
        <v>123.24000000000001</v>
      </c>
      <c r="S23" s="5">
        <f>AJ23*AK23</f>
        <v>112</v>
      </c>
      <c r="T23" s="29"/>
      <c r="U23" s="29"/>
      <c r="V23" s="1">
        <f t="shared" si="4"/>
        <v>11.286764705882353</v>
      </c>
      <c r="W23" s="1">
        <f t="shared" si="5"/>
        <v>7.1691176470588234</v>
      </c>
      <c r="X23" s="1">
        <v>26.2</v>
      </c>
      <c r="Y23" s="1">
        <v>21.4</v>
      </c>
      <c r="Z23" s="1">
        <v>24</v>
      </c>
      <c r="AA23" s="1">
        <v>32.4</v>
      </c>
      <c r="AB23" s="1">
        <v>31.6</v>
      </c>
      <c r="AC23" s="1">
        <v>34.799999999999997</v>
      </c>
      <c r="AD23" s="1">
        <v>27.2</v>
      </c>
      <c r="AE23" s="1">
        <v>30.6</v>
      </c>
      <c r="AF23" s="1">
        <v>22.6</v>
      </c>
      <c r="AG23" s="1">
        <v>18.600000000000001</v>
      </c>
      <c r="AH23" s="1"/>
      <c r="AI23" s="1">
        <f>G23*R23</f>
        <v>59.155200000000001</v>
      </c>
      <c r="AJ23" s="8">
        <v>8</v>
      </c>
      <c r="AK23" s="10">
        <f>MROUND(R23, AJ23*AM23)/AJ23</f>
        <v>14</v>
      </c>
      <c r="AL23" s="1">
        <f>AK23*AJ23*G23</f>
        <v>53.76</v>
      </c>
      <c r="AM23" s="1">
        <v>14</v>
      </c>
      <c r="AN23" s="1">
        <v>70</v>
      </c>
      <c r="AO23" s="10">
        <f>AK23/AN23</f>
        <v>0.2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76</v>
      </c>
      <c r="B24" s="1" t="s">
        <v>42</v>
      </c>
      <c r="C24" s="1">
        <v>678</v>
      </c>
      <c r="D24" s="1">
        <v>696</v>
      </c>
      <c r="E24" s="1">
        <v>678</v>
      </c>
      <c r="F24" s="1">
        <v>639</v>
      </c>
      <c r="G24" s="8">
        <v>0.09</v>
      </c>
      <c r="H24" s="1">
        <v>180</v>
      </c>
      <c r="I24" s="1" t="s">
        <v>77</v>
      </c>
      <c r="J24" s="1"/>
      <c r="K24" s="1">
        <v>702</v>
      </c>
      <c r="L24" s="1">
        <f t="shared" si="2"/>
        <v>-24</v>
      </c>
      <c r="M24" s="1"/>
      <c r="N24" s="1"/>
      <c r="O24" s="1">
        <v>672</v>
      </c>
      <c r="P24" s="1">
        <f t="shared" si="3"/>
        <v>135.6</v>
      </c>
      <c r="Q24" s="5">
        <v>587.39999999999986</v>
      </c>
      <c r="R24" s="5">
        <f t="shared" si="6"/>
        <v>275.51999999999992</v>
      </c>
      <c r="S24" s="5">
        <f>AJ24*AK24</f>
        <v>336</v>
      </c>
      <c r="T24" s="29"/>
      <c r="U24" s="29"/>
      <c r="V24" s="1">
        <f t="shared" si="4"/>
        <v>12.146017699115045</v>
      </c>
      <c r="W24" s="1">
        <f t="shared" si="5"/>
        <v>9.6681415929203549</v>
      </c>
      <c r="X24" s="1">
        <v>163</v>
      </c>
      <c r="Y24" s="1">
        <v>143</v>
      </c>
      <c r="Z24" s="1">
        <v>161</v>
      </c>
      <c r="AA24" s="1">
        <v>128.80000000000001</v>
      </c>
      <c r="AB24" s="1">
        <v>135.4</v>
      </c>
      <c r="AC24" s="1">
        <v>89.8</v>
      </c>
      <c r="AD24" s="1">
        <v>154.4</v>
      </c>
      <c r="AE24" s="1">
        <v>104</v>
      </c>
      <c r="AF24" s="1">
        <v>117</v>
      </c>
      <c r="AG24" s="1">
        <v>120.2</v>
      </c>
      <c r="AH24" s="1"/>
      <c r="AI24" s="1">
        <f>G24*R24</f>
        <v>24.796799999999994</v>
      </c>
      <c r="AJ24" s="8">
        <v>24</v>
      </c>
      <c r="AK24" s="10">
        <f>MROUND(R24, AJ24*AM24)/AJ24</f>
        <v>14</v>
      </c>
      <c r="AL24" s="1">
        <f>AK24*AJ24*G24</f>
        <v>30.24</v>
      </c>
      <c r="AM24" s="1">
        <v>14</v>
      </c>
      <c r="AN24" s="1">
        <v>126</v>
      </c>
      <c r="AO24" s="10">
        <f>AK24/AN24</f>
        <v>0.1111111111111111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9" t="s">
        <v>78</v>
      </c>
      <c r="B25" s="1" t="s">
        <v>42</v>
      </c>
      <c r="C25" s="1"/>
      <c r="D25" s="1"/>
      <c r="E25" s="1"/>
      <c r="F25" s="1"/>
      <c r="G25" s="8">
        <v>0.36</v>
      </c>
      <c r="H25" s="1">
        <v>180</v>
      </c>
      <c r="I25" s="1" t="s">
        <v>79</v>
      </c>
      <c r="J25" s="1"/>
      <c r="K25" s="1">
        <v>120</v>
      </c>
      <c r="L25" s="1">
        <f t="shared" si="2"/>
        <v>-120</v>
      </c>
      <c r="M25" s="1"/>
      <c r="N25" s="1"/>
      <c r="O25" s="1">
        <v>0</v>
      </c>
      <c r="P25" s="1">
        <f t="shared" si="3"/>
        <v>0</v>
      </c>
      <c r="Q25" s="22">
        <v>0</v>
      </c>
      <c r="R25" s="22">
        <v>0</v>
      </c>
      <c r="S25" s="22">
        <f>AJ25*AK25</f>
        <v>0</v>
      </c>
      <c r="T25" s="29"/>
      <c r="U25" s="29"/>
      <c r="V25" s="1" t="e">
        <f t="shared" si="4"/>
        <v>#DIV/0!</v>
      </c>
      <c r="W25" s="1" t="e">
        <f t="shared" si="5"/>
        <v>#DIV/0!</v>
      </c>
      <c r="X25" s="1">
        <v>0</v>
      </c>
      <c r="Y25" s="1">
        <v>0</v>
      </c>
      <c r="Z25" s="1">
        <v>96</v>
      </c>
      <c r="AA25" s="1">
        <v>33.799999999999997</v>
      </c>
      <c r="AB25" s="1">
        <v>89.8</v>
      </c>
      <c r="AC25" s="1">
        <v>99.4</v>
      </c>
      <c r="AD25" s="1">
        <v>109</v>
      </c>
      <c r="AE25" s="1">
        <v>107.8</v>
      </c>
      <c r="AF25" s="1">
        <v>95.2</v>
      </c>
      <c r="AG25" s="1">
        <v>113.8</v>
      </c>
      <c r="AH25" s="7" t="s">
        <v>80</v>
      </c>
      <c r="AI25" s="1">
        <f>G25*R25</f>
        <v>0</v>
      </c>
      <c r="AJ25" s="8">
        <v>10</v>
      </c>
      <c r="AK25" s="10">
        <f>MROUND(R25, AJ25*AM25)/AJ25</f>
        <v>0</v>
      </c>
      <c r="AL25" s="1">
        <f>AK25*AJ25*G25</f>
        <v>0</v>
      </c>
      <c r="AM25" s="1">
        <v>14</v>
      </c>
      <c r="AN25" s="1">
        <v>70</v>
      </c>
      <c r="AO25" s="10">
        <f>AK25/AN25</f>
        <v>0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81</v>
      </c>
      <c r="B26" s="1" t="s">
        <v>42</v>
      </c>
      <c r="C26" s="1">
        <v>87</v>
      </c>
      <c r="D26" s="1">
        <v>5</v>
      </c>
      <c r="E26" s="1">
        <v>106</v>
      </c>
      <c r="F26" s="1">
        <v>-19</v>
      </c>
      <c r="G26" s="8">
        <v>0.2</v>
      </c>
      <c r="H26" s="1">
        <v>180</v>
      </c>
      <c r="I26" s="1" t="s">
        <v>191</v>
      </c>
      <c r="J26" s="1"/>
      <c r="K26" s="1">
        <v>118</v>
      </c>
      <c r="L26" s="1">
        <f t="shared" si="2"/>
        <v>-12</v>
      </c>
      <c r="M26" s="1"/>
      <c r="N26" s="1"/>
      <c r="O26" s="1">
        <v>672</v>
      </c>
      <c r="P26" s="1">
        <f t="shared" si="3"/>
        <v>21.2</v>
      </c>
      <c r="Q26" s="5"/>
      <c r="R26" s="5">
        <f>T26</f>
        <v>250</v>
      </c>
      <c r="S26" s="5">
        <f>AJ26*AK26</f>
        <v>168</v>
      </c>
      <c r="T26" s="29">
        <f>VLOOKUP(A26,[1]Sheet!$A:$T,19,0)</f>
        <v>250</v>
      </c>
      <c r="U26" s="29" t="str">
        <f>VLOOKUP(A26,[1]Sheet!$A:$T,20,0)</f>
        <v>промо</v>
      </c>
      <c r="V26" s="1">
        <f t="shared" si="4"/>
        <v>38.726415094339622</v>
      </c>
      <c r="W26" s="1">
        <f t="shared" si="5"/>
        <v>30.80188679245283</v>
      </c>
      <c r="X26" s="1">
        <v>72.599999999999994</v>
      </c>
      <c r="Y26" s="1">
        <v>38.4</v>
      </c>
      <c r="Z26" s="1">
        <v>57.2</v>
      </c>
      <c r="AA26" s="1">
        <v>52.4</v>
      </c>
      <c r="AB26" s="1">
        <v>47</v>
      </c>
      <c r="AC26" s="1">
        <v>46.8</v>
      </c>
      <c r="AD26" s="1">
        <v>36.6</v>
      </c>
      <c r="AE26" s="1">
        <v>38.200000000000003</v>
      </c>
      <c r="AF26" s="1">
        <v>47.8</v>
      </c>
      <c r="AG26" s="1">
        <v>56.6</v>
      </c>
      <c r="AH26" s="1"/>
      <c r="AI26" s="1">
        <f>G26*R26</f>
        <v>50</v>
      </c>
      <c r="AJ26" s="8">
        <v>12</v>
      </c>
      <c r="AK26" s="10">
        <f>MROUND(R26, AJ26*AM26)/AJ26</f>
        <v>14</v>
      </c>
      <c r="AL26" s="1">
        <f>AK26*AJ26*G26</f>
        <v>33.6</v>
      </c>
      <c r="AM26" s="1">
        <v>14</v>
      </c>
      <c r="AN26" s="1">
        <v>70</v>
      </c>
      <c r="AO26" s="10">
        <f>AK26/AN26</f>
        <v>0.2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4" t="s">
        <v>82</v>
      </c>
      <c r="B27" s="14" t="s">
        <v>42</v>
      </c>
      <c r="C27" s="14"/>
      <c r="D27" s="14"/>
      <c r="E27" s="18">
        <v>12</v>
      </c>
      <c r="F27" s="18">
        <v>-12</v>
      </c>
      <c r="G27" s="15">
        <v>0</v>
      </c>
      <c r="H27" s="14"/>
      <c r="I27" s="14" t="s">
        <v>52</v>
      </c>
      <c r="J27" s="14" t="s">
        <v>53</v>
      </c>
      <c r="K27" s="14">
        <v>12</v>
      </c>
      <c r="L27" s="14">
        <f t="shared" si="2"/>
        <v>0</v>
      </c>
      <c r="M27" s="14"/>
      <c r="N27" s="14"/>
      <c r="O27" s="14"/>
      <c r="P27" s="14">
        <f t="shared" si="3"/>
        <v>2.4</v>
      </c>
      <c r="Q27" s="16"/>
      <c r="R27" s="16"/>
      <c r="S27" s="16"/>
      <c r="T27" s="29"/>
      <c r="U27" s="29"/>
      <c r="V27" s="14">
        <f t="shared" si="4"/>
        <v>-5</v>
      </c>
      <c r="W27" s="14">
        <f t="shared" si="5"/>
        <v>-5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/>
      <c r="AI27" s="14"/>
      <c r="AJ27" s="15"/>
      <c r="AK27" s="17"/>
      <c r="AL27" s="14"/>
      <c r="AM27" s="14"/>
      <c r="AN27" s="14"/>
      <c r="AO27" s="17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53</v>
      </c>
      <c r="B28" s="1" t="s">
        <v>42</v>
      </c>
      <c r="C28" s="1">
        <v>-116</v>
      </c>
      <c r="D28" s="1">
        <v>433</v>
      </c>
      <c r="E28" s="18">
        <f>317+E10+E27</f>
        <v>580</v>
      </c>
      <c r="F28" s="18">
        <f>0+F10+F27</f>
        <v>740</v>
      </c>
      <c r="G28" s="8">
        <v>0.2</v>
      </c>
      <c r="H28" s="1">
        <v>180</v>
      </c>
      <c r="I28" s="1" t="s">
        <v>83</v>
      </c>
      <c r="J28" s="1"/>
      <c r="K28" s="1">
        <v>317</v>
      </c>
      <c r="L28" s="1">
        <f t="shared" si="2"/>
        <v>263</v>
      </c>
      <c r="M28" s="1"/>
      <c r="N28" s="1"/>
      <c r="O28" s="1">
        <v>0</v>
      </c>
      <c r="P28" s="1">
        <f t="shared" si="3"/>
        <v>116</v>
      </c>
      <c r="Q28" s="5">
        <v>884</v>
      </c>
      <c r="R28" s="5">
        <f t="shared" ref="R28:R32" si="7">14*P28-O28-F28+$R$1*P28</f>
        <v>617.20000000000005</v>
      </c>
      <c r="S28" s="5">
        <f>AJ28*AK28</f>
        <v>672</v>
      </c>
      <c r="T28" s="29"/>
      <c r="U28" s="29"/>
      <c r="V28" s="1">
        <f t="shared" si="4"/>
        <v>12.172413793103448</v>
      </c>
      <c r="W28" s="1">
        <f t="shared" si="5"/>
        <v>6.3793103448275863</v>
      </c>
      <c r="X28" s="1">
        <v>98.2</v>
      </c>
      <c r="Y28" s="1">
        <v>137.6</v>
      </c>
      <c r="Z28" s="1">
        <v>106.8</v>
      </c>
      <c r="AA28" s="1">
        <v>61.2</v>
      </c>
      <c r="AB28" s="1">
        <v>101.2</v>
      </c>
      <c r="AC28" s="1">
        <v>104</v>
      </c>
      <c r="AD28" s="1">
        <v>101.6</v>
      </c>
      <c r="AE28" s="1">
        <v>62.6</v>
      </c>
      <c r="AF28" s="1">
        <v>103.2</v>
      </c>
      <c r="AG28" s="1">
        <v>92</v>
      </c>
      <c r="AH28" s="1"/>
      <c r="AI28" s="1">
        <f>G28*R28</f>
        <v>123.44000000000001</v>
      </c>
      <c r="AJ28" s="8">
        <v>12</v>
      </c>
      <c r="AK28" s="10">
        <f>MROUND(R28, AJ28*AM28)/AJ28</f>
        <v>56</v>
      </c>
      <c r="AL28" s="1">
        <f>AK28*AJ28*G28</f>
        <v>134.4</v>
      </c>
      <c r="AM28" s="1">
        <v>14</v>
      </c>
      <c r="AN28" s="1">
        <v>70</v>
      </c>
      <c r="AO28" s="10">
        <f>AK28/AN28</f>
        <v>0.8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84</v>
      </c>
      <c r="B29" s="1" t="s">
        <v>85</v>
      </c>
      <c r="C29" s="1">
        <v>385.5</v>
      </c>
      <c r="D29" s="1"/>
      <c r="E29" s="1">
        <v>288.60000000000002</v>
      </c>
      <c r="F29" s="1">
        <v>74.7</v>
      </c>
      <c r="G29" s="8">
        <v>1</v>
      </c>
      <c r="H29" s="1">
        <v>180</v>
      </c>
      <c r="I29" s="1" t="s">
        <v>86</v>
      </c>
      <c r="J29" s="1"/>
      <c r="K29" s="1">
        <v>288.8</v>
      </c>
      <c r="L29" s="1">
        <f t="shared" si="2"/>
        <v>-0.19999999999998863</v>
      </c>
      <c r="M29" s="1"/>
      <c r="N29" s="1"/>
      <c r="O29" s="1">
        <v>259</v>
      </c>
      <c r="P29" s="1">
        <f t="shared" si="3"/>
        <v>57.720000000000006</v>
      </c>
      <c r="Q29" s="5">
        <v>474.38000000000005</v>
      </c>
      <c r="R29" s="5">
        <f t="shared" si="7"/>
        <v>341.62400000000002</v>
      </c>
      <c r="S29" s="5">
        <f>AJ29*AK29</f>
        <v>362.6</v>
      </c>
      <c r="T29" s="29"/>
      <c r="U29" s="29"/>
      <c r="V29" s="1">
        <f t="shared" si="4"/>
        <v>12.063409563409561</v>
      </c>
      <c r="W29" s="1">
        <f t="shared" si="5"/>
        <v>5.7813582813582807</v>
      </c>
      <c r="X29" s="1">
        <v>50.88</v>
      </c>
      <c r="Y29" s="1">
        <v>54.759999999999991</v>
      </c>
      <c r="Z29" s="1">
        <v>55.5</v>
      </c>
      <c r="AA29" s="1">
        <v>57.720000000000013</v>
      </c>
      <c r="AB29" s="1">
        <v>42.18</v>
      </c>
      <c r="AC29" s="1">
        <v>17.02</v>
      </c>
      <c r="AD29" s="1">
        <v>38.479999999999997</v>
      </c>
      <c r="AE29" s="1">
        <v>0</v>
      </c>
      <c r="AF29" s="1">
        <v>0</v>
      </c>
      <c r="AG29" s="1">
        <v>0</v>
      </c>
      <c r="AH29" s="1"/>
      <c r="AI29" s="1">
        <f>G29*R29</f>
        <v>341.62400000000002</v>
      </c>
      <c r="AJ29" s="8">
        <v>3.7</v>
      </c>
      <c r="AK29" s="10">
        <f>MROUND(R29, AJ29*AM29)/AJ29</f>
        <v>98</v>
      </c>
      <c r="AL29" s="1">
        <f>AK29*AJ29*G29</f>
        <v>362.6</v>
      </c>
      <c r="AM29" s="1">
        <v>14</v>
      </c>
      <c r="AN29" s="1">
        <v>126</v>
      </c>
      <c r="AO29" s="10">
        <f>AK29/AN29</f>
        <v>0.77777777777777779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87</v>
      </c>
      <c r="B30" s="1" t="s">
        <v>85</v>
      </c>
      <c r="C30" s="1">
        <v>88</v>
      </c>
      <c r="D30" s="1">
        <v>330</v>
      </c>
      <c r="E30" s="1">
        <v>181.5</v>
      </c>
      <c r="F30" s="1">
        <v>236.5</v>
      </c>
      <c r="G30" s="8">
        <v>1</v>
      </c>
      <c r="H30" s="1">
        <v>180</v>
      </c>
      <c r="I30" s="1" t="s">
        <v>88</v>
      </c>
      <c r="J30" s="1"/>
      <c r="K30" s="1">
        <v>181</v>
      </c>
      <c r="L30" s="1">
        <f t="shared" si="2"/>
        <v>0.5</v>
      </c>
      <c r="M30" s="1"/>
      <c r="N30" s="1"/>
      <c r="O30" s="1">
        <v>66</v>
      </c>
      <c r="P30" s="1">
        <f t="shared" si="3"/>
        <v>36.299999999999997</v>
      </c>
      <c r="Q30" s="5">
        <v>205.69999999999993</v>
      </c>
      <c r="R30" s="5">
        <f t="shared" si="7"/>
        <v>122.20999999999995</v>
      </c>
      <c r="S30" s="5">
        <f>AJ30*AK30</f>
        <v>132</v>
      </c>
      <c r="T30" s="29"/>
      <c r="U30" s="29"/>
      <c r="V30" s="1">
        <f t="shared" si="4"/>
        <v>11.969696969696971</v>
      </c>
      <c r="W30" s="1">
        <f t="shared" si="5"/>
        <v>8.3333333333333339</v>
      </c>
      <c r="X30" s="1">
        <v>36.299999999999997</v>
      </c>
      <c r="Y30" s="1">
        <v>41.5</v>
      </c>
      <c r="Z30" s="1">
        <v>39.4</v>
      </c>
      <c r="AA30" s="1">
        <v>19.5</v>
      </c>
      <c r="AB30" s="1">
        <v>9.8000000000000007</v>
      </c>
      <c r="AC30" s="1">
        <v>24.2</v>
      </c>
      <c r="AD30" s="1">
        <v>45.1</v>
      </c>
      <c r="AE30" s="1">
        <v>15.3</v>
      </c>
      <c r="AF30" s="1">
        <v>24.1</v>
      </c>
      <c r="AG30" s="1">
        <v>28.6</v>
      </c>
      <c r="AH30" s="1"/>
      <c r="AI30" s="1">
        <f>G30*R30</f>
        <v>122.20999999999995</v>
      </c>
      <c r="AJ30" s="8">
        <v>5.5</v>
      </c>
      <c r="AK30" s="10">
        <f>MROUND(R30, AJ30*AM30)/AJ30</f>
        <v>24</v>
      </c>
      <c r="AL30" s="1">
        <f>AK30*AJ30*G30</f>
        <v>132</v>
      </c>
      <c r="AM30" s="1">
        <v>12</v>
      </c>
      <c r="AN30" s="1">
        <v>84</v>
      </c>
      <c r="AO30" s="10">
        <f>AK30/AN30</f>
        <v>0.2857142857142857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89</v>
      </c>
      <c r="B31" s="1" t="s">
        <v>85</v>
      </c>
      <c r="C31" s="1">
        <v>417</v>
      </c>
      <c r="D31" s="1">
        <v>6</v>
      </c>
      <c r="E31" s="1">
        <v>255</v>
      </c>
      <c r="F31" s="1">
        <v>135</v>
      </c>
      <c r="G31" s="8">
        <v>1</v>
      </c>
      <c r="H31" s="1">
        <v>180</v>
      </c>
      <c r="I31" s="1" t="s">
        <v>90</v>
      </c>
      <c r="J31" s="1"/>
      <c r="K31" s="1">
        <v>255.5</v>
      </c>
      <c r="L31" s="1">
        <f t="shared" si="2"/>
        <v>-0.5</v>
      </c>
      <c r="M31" s="1"/>
      <c r="N31" s="1"/>
      <c r="O31" s="1">
        <v>84</v>
      </c>
      <c r="P31" s="1">
        <f t="shared" si="3"/>
        <v>51</v>
      </c>
      <c r="Q31" s="5">
        <v>495</v>
      </c>
      <c r="R31" s="5">
        <f t="shared" si="7"/>
        <v>377.7</v>
      </c>
      <c r="S31" s="5">
        <f>AJ31*AK31</f>
        <v>378</v>
      </c>
      <c r="T31" s="29"/>
      <c r="U31" s="29"/>
      <c r="V31" s="1">
        <f t="shared" si="4"/>
        <v>11.705882352941176</v>
      </c>
      <c r="W31" s="1">
        <f t="shared" si="5"/>
        <v>4.2941176470588234</v>
      </c>
      <c r="X31" s="1">
        <v>37.200000000000003</v>
      </c>
      <c r="Y31" s="1">
        <v>43.2</v>
      </c>
      <c r="Z31" s="1">
        <v>61.2</v>
      </c>
      <c r="AA31" s="1">
        <v>56.7</v>
      </c>
      <c r="AB31" s="1">
        <v>53.7</v>
      </c>
      <c r="AC31" s="1">
        <v>39</v>
      </c>
      <c r="AD31" s="1">
        <v>45</v>
      </c>
      <c r="AE31" s="1">
        <v>40.799999999999997</v>
      </c>
      <c r="AF31" s="1">
        <v>33.6</v>
      </c>
      <c r="AG31" s="1">
        <v>33</v>
      </c>
      <c r="AH31" s="1"/>
      <c r="AI31" s="1">
        <f>G31*R31</f>
        <v>377.7</v>
      </c>
      <c r="AJ31" s="8">
        <v>3</v>
      </c>
      <c r="AK31" s="10">
        <f>MROUND(R31, AJ31*AM31)/AJ31</f>
        <v>126</v>
      </c>
      <c r="AL31" s="1">
        <f>AK31*AJ31*G31</f>
        <v>378</v>
      </c>
      <c r="AM31" s="1">
        <v>14</v>
      </c>
      <c r="AN31" s="1">
        <v>126</v>
      </c>
      <c r="AO31" s="10">
        <f>AK31/AN31</f>
        <v>1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46</v>
      </c>
      <c r="B32" s="1" t="s">
        <v>42</v>
      </c>
      <c r="C32" s="1">
        <v>192</v>
      </c>
      <c r="D32" s="1">
        <v>1841</v>
      </c>
      <c r="E32" s="18">
        <f>328+E7+E33</f>
        <v>462</v>
      </c>
      <c r="F32" s="18">
        <f>535+F7+F33</f>
        <v>963</v>
      </c>
      <c r="G32" s="8">
        <v>0.25</v>
      </c>
      <c r="H32" s="1">
        <v>365</v>
      </c>
      <c r="I32" s="1" t="s">
        <v>91</v>
      </c>
      <c r="J32" s="1"/>
      <c r="K32" s="1">
        <v>340</v>
      </c>
      <c r="L32" s="1">
        <f t="shared" si="2"/>
        <v>122</v>
      </c>
      <c r="M32" s="1"/>
      <c r="N32" s="1"/>
      <c r="O32" s="1">
        <v>0</v>
      </c>
      <c r="P32" s="1">
        <f t="shared" si="3"/>
        <v>92.4</v>
      </c>
      <c r="Q32" s="5">
        <v>330.60000000000014</v>
      </c>
      <c r="R32" s="5">
        <f t="shared" si="7"/>
        <v>118.08000000000013</v>
      </c>
      <c r="S32" s="5">
        <f>AJ32*AK32</f>
        <v>84</v>
      </c>
      <c r="T32" s="29"/>
      <c r="U32" s="29"/>
      <c r="V32" s="1">
        <f t="shared" si="4"/>
        <v>11.33116883116883</v>
      </c>
      <c r="W32" s="1">
        <f t="shared" si="5"/>
        <v>10.422077922077921</v>
      </c>
      <c r="X32" s="1">
        <v>86.2</v>
      </c>
      <c r="Y32" s="1">
        <v>117</v>
      </c>
      <c r="Z32" s="1">
        <v>48.4</v>
      </c>
      <c r="AA32" s="1">
        <v>74.599999999999994</v>
      </c>
      <c r="AB32" s="1">
        <v>86.2</v>
      </c>
      <c r="AC32" s="1">
        <v>53.2</v>
      </c>
      <c r="AD32" s="1">
        <v>35.6</v>
      </c>
      <c r="AE32" s="1">
        <v>44.6</v>
      </c>
      <c r="AF32" s="1">
        <v>67.2</v>
      </c>
      <c r="AG32" s="1">
        <v>61</v>
      </c>
      <c r="AH32" s="1"/>
      <c r="AI32" s="1">
        <f>G32*R32</f>
        <v>29.520000000000032</v>
      </c>
      <c r="AJ32" s="8">
        <v>6</v>
      </c>
      <c r="AK32" s="10">
        <f>MROUND(R32, AJ32*AM32)/AJ32</f>
        <v>14</v>
      </c>
      <c r="AL32" s="1">
        <f>AK32*AJ32*G32</f>
        <v>21</v>
      </c>
      <c r="AM32" s="1">
        <v>14</v>
      </c>
      <c r="AN32" s="1">
        <v>140</v>
      </c>
      <c r="AO32" s="10">
        <f>AK32/AN32</f>
        <v>0.1</v>
      </c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4" t="s">
        <v>92</v>
      </c>
      <c r="B33" s="14" t="s">
        <v>42</v>
      </c>
      <c r="C33" s="14"/>
      <c r="D33" s="14"/>
      <c r="E33" s="18">
        <v>12</v>
      </c>
      <c r="F33" s="18">
        <v>-12</v>
      </c>
      <c r="G33" s="15">
        <v>0</v>
      </c>
      <c r="H33" s="14"/>
      <c r="I33" s="14" t="s">
        <v>52</v>
      </c>
      <c r="J33" s="14" t="s">
        <v>46</v>
      </c>
      <c r="K33" s="14">
        <v>12</v>
      </c>
      <c r="L33" s="14">
        <f t="shared" si="2"/>
        <v>0</v>
      </c>
      <c r="M33" s="14"/>
      <c r="N33" s="14"/>
      <c r="O33" s="14"/>
      <c r="P33" s="14">
        <f t="shared" si="3"/>
        <v>2.4</v>
      </c>
      <c r="Q33" s="16"/>
      <c r="R33" s="16"/>
      <c r="S33" s="16"/>
      <c r="T33" s="29"/>
      <c r="U33" s="29"/>
      <c r="V33" s="14">
        <f t="shared" si="4"/>
        <v>-5</v>
      </c>
      <c r="W33" s="14">
        <f t="shared" si="5"/>
        <v>-5</v>
      </c>
      <c r="X33" s="14">
        <v>0</v>
      </c>
      <c r="Y33" s="14">
        <v>0.2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/>
      <c r="AI33" s="14"/>
      <c r="AJ33" s="15"/>
      <c r="AK33" s="17"/>
      <c r="AL33" s="14"/>
      <c r="AM33" s="14"/>
      <c r="AN33" s="14"/>
      <c r="AO33" s="17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93</v>
      </c>
      <c r="B34" s="1" t="s">
        <v>42</v>
      </c>
      <c r="C34" s="1">
        <v>-8</v>
      </c>
      <c r="D34" s="1">
        <v>504</v>
      </c>
      <c r="E34" s="1">
        <v>211</v>
      </c>
      <c r="F34" s="1">
        <v>280</v>
      </c>
      <c r="G34" s="8">
        <v>0.25</v>
      </c>
      <c r="H34" s="1">
        <v>365</v>
      </c>
      <c r="I34" s="1" t="s">
        <v>94</v>
      </c>
      <c r="J34" s="1"/>
      <c r="K34" s="1">
        <v>220</v>
      </c>
      <c r="L34" s="1">
        <f t="shared" si="2"/>
        <v>-9</v>
      </c>
      <c r="M34" s="1"/>
      <c r="N34" s="1"/>
      <c r="O34" s="1">
        <v>0</v>
      </c>
      <c r="P34" s="1">
        <f t="shared" si="3"/>
        <v>42.2</v>
      </c>
      <c r="Q34" s="5">
        <v>310.80000000000007</v>
      </c>
      <c r="R34" s="5">
        <f>14*P34-O34-F34+$R$1*P34</f>
        <v>213.74000000000007</v>
      </c>
      <c r="S34" s="5">
        <f>AJ34*AK34</f>
        <v>252</v>
      </c>
      <c r="T34" s="29"/>
      <c r="U34" s="29"/>
      <c r="V34" s="1">
        <f t="shared" si="4"/>
        <v>12.606635071090047</v>
      </c>
      <c r="W34" s="1">
        <f t="shared" si="5"/>
        <v>6.6350710900473926</v>
      </c>
      <c r="X34" s="1">
        <v>35.799999999999997</v>
      </c>
      <c r="Y34" s="1">
        <v>53.6</v>
      </c>
      <c r="Z34" s="1">
        <v>37.799999999999997</v>
      </c>
      <c r="AA34" s="1">
        <v>39.4</v>
      </c>
      <c r="AB34" s="1">
        <v>48.6</v>
      </c>
      <c r="AC34" s="1">
        <v>39.799999999999997</v>
      </c>
      <c r="AD34" s="1">
        <v>57.6</v>
      </c>
      <c r="AE34" s="1">
        <v>34.799999999999997</v>
      </c>
      <c r="AF34" s="1">
        <v>58.8</v>
      </c>
      <c r="AG34" s="1">
        <v>68</v>
      </c>
      <c r="AH34" s="1"/>
      <c r="AI34" s="1">
        <f>G34*R34</f>
        <v>53.435000000000016</v>
      </c>
      <c r="AJ34" s="8">
        <v>6</v>
      </c>
      <c r="AK34" s="10">
        <f>MROUND(R34, AJ34*AM34)/AJ34</f>
        <v>42</v>
      </c>
      <c r="AL34" s="1">
        <f>AK34*AJ34*G34</f>
        <v>63</v>
      </c>
      <c r="AM34" s="1">
        <v>14</v>
      </c>
      <c r="AN34" s="1">
        <v>140</v>
      </c>
      <c r="AO34" s="10">
        <f>AK34/AN34</f>
        <v>0.3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4" t="s">
        <v>95</v>
      </c>
      <c r="B35" s="14" t="s">
        <v>85</v>
      </c>
      <c r="C35" s="14"/>
      <c r="D35" s="14">
        <v>216</v>
      </c>
      <c r="E35" s="14"/>
      <c r="F35" s="18">
        <v>216</v>
      </c>
      <c r="G35" s="15">
        <v>0</v>
      </c>
      <c r="H35" s="14">
        <v>180</v>
      </c>
      <c r="I35" s="14" t="s">
        <v>52</v>
      </c>
      <c r="J35" s="14" t="s">
        <v>96</v>
      </c>
      <c r="K35" s="14"/>
      <c r="L35" s="14">
        <f t="shared" si="2"/>
        <v>0</v>
      </c>
      <c r="M35" s="14"/>
      <c r="N35" s="14"/>
      <c r="O35" s="14"/>
      <c r="P35" s="14">
        <f t="shared" si="3"/>
        <v>0</v>
      </c>
      <c r="Q35" s="16"/>
      <c r="R35" s="16"/>
      <c r="S35" s="16"/>
      <c r="T35" s="29"/>
      <c r="U35" s="29"/>
      <c r="V35" s="14" t="e">
        <f t="shared" si="4"/>
        <v>#DIV/0!</v>
      </c>
      <c r="W35" s="14" t="e">
        <f t="shared" si="5"/>
        <v>#DIV/0!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/>
      <c r="AI35" s="14"/>
      <c r="AJ35" s="15"/>
      <c r="AK35" s="17"/>
      <c r="AL35" s="14"/>
      <c r="AM35" s="14"/>
      <c r="AN35" s="14"/>
      <c r="AO35" s="17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96</v>
      </c>
      <c r="B36" s="1" t="s">
        <v>85</v>
      </c>
      <c r="C36" s="1">
        <v>991</v>
      </c>
      <c r="D36" s="1"/>
      <c r="E36" s="1">
        <v>623</v>
      </c>
      <c r="F36" s="18">
        <f>332+F35</f>
        <v>548</v>
      </c>
      <c r="G36" s="8">
        <v>1</v>
      </c>
      <c r="H36" s="1">
        <v>180</v>
      </c>
      <c r="I36" s="1" t="s">
        <v>97</v>
      </c>
      <c r="J36" s="1"/>
      <c r="K36" s="1">
        <v>623</v>
      </c>
      <c r="L36" s="1">
        <f t="shared" si="2"/>
        <v>0</v>
      </c>
      <c r="M36" s="1"/>
      <c r="N36" s="1"/>
      <c r="O36" s="1">
        <v>288</v>
      </c>
      <c r="P36" s="1">
        <f t="shared" si="3"/>
        <v>124.6</v>
      </c>
      <c r="Q36" s="5">
        <v>908.39999999999986</v>
      </c>
      <c r="R36" s="5">
        <f t="shared" ref="R36:R39" si="8">14*P36-O36-F36+$R$1*P36</f>
        <v>621.81999999999994</v>
      </c>
      <c r="S36" s="5">
        <f t="shared" ref="S36:S60" si="9">AJ36*AK36</f>
        <v>648</v>
      </c>
      <c r="T36" s="29"/>
      <c r="U36" s="29"/>
      <c r="V36" s="1">
        <f t="shared" si="4"/>
        <v>11.910112359550562</v>
      </c>
      <c r="W36" s="1">
        <f t="shared" si="5"/>
        <v>6.7094703049759232</v>
      </c>
      <c r="X36" s="1">
        <v>117.4</v>
      </c>
      <c r="Y36" s="1">
        <v>147.6</v>
      </c>
      <c r="Z36" s="1">
        <v>123.2</v>
      </c>
      <c r="AA36" s="1">
        <v>181.4</v>
      </c>
      <c r="AB36" s="1">
        <v>137</v>
      </c>
      <c r="AC36" s="1">
        <v>59.6</v>
      </c>
      <c r="AD36" s="1">
        <v>79.2</v>
      </c>
      <c r="AE36" s="1">
        <v>80.400000000000006</v>
      </c>
      <c r="AF36" s="1">
        <v>76.8</v>
      </c>
      <c r="AG36" s="1">
        <v>78</v>
      </c>
      <c r="AH36" s="1"/>
      <c r="AI36" s="1">
        <f t="shared" ref="AI36:AI60" si="10">G36*R36</f>
        <v>621.81999999999994</v>
      </c>
      <c r="AJ36" s="8">
        <v>6</v>
      </c>
      <c r="AK36" s="10">
        <f t="shared" ref="AK36:AK60" si="11">MROUND(R36, AJ36*AM36)/AJ36</f>
        <v>108</v>
      </c>
      <c r="AL36" s="1">
        <f t="shared" ref="AL36:AL60" si="12">AK36*AJ36*G36</f>
        <v>648</v>
      </c>
      <c r="AM36" s="1">
        <v>12</v>
      </c>
      <c r="AN36" s="1">
        <v>84</v>
      </c>
      <c r="AO36" s="10">
        <f t="shared" ref="AO36:AO60" si="13">AK36/AN36</f>
        <v>1.2857142857142858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98</v>
      </c>
      <c r="B37" s="1" t="s">
        <v>42</v>
      </c>
      <c r="C37" s="1">
        <v>32</v>
      </c>
      <c r="D37" s="1">
        <v>336</v>
      </c>
      <c r="E37" s="1">
        <v>322</v>
      </c>
      <c r="F37" s="1">
        <v>36</v>
      </c>
      <c r="G37" s="8">
        <v>0.23</v>
      </c>
      <c r="H37" s="1">
        <v>180</v>
      </c>
      <c r="I37" s="1" t="s">
        <v>99</v>
      </c>
      <c r="J37" s="1"/>
      <c r="K37" s="1">
        <v>394</v>
      </c>
      <c r="L37" s="1">
        <f t="shared" si="2"/>
        <v>-72</v>
      </c>
      <c r="M37" s="1"/>
      <c r="N37" s="1"/>
      <c r="O37" s="1">
        <v>504</v>
      </c>
      <c r="P37" s="1">
        <f t="shared" si="3"/>
        <v>64.400000000000006</v>
      </c>
      <c r="Q37" s="5">
        <v>361.60000000000014</v>
      </c>
      <c r="R37" s="5">
        <f t="shared" si="8"/>
        <v>213.48000000000013</v>
      </c>
      <c r="S37" s="5">
        <f t="shared" si="9"/>
        <v>168</v>
      </c>
      <c r="T37" s="29"/>
      <c r="U37" s="29"/>
      <c r="V37" s="1">
        <f t="shared" si="4"/>
        <v>10.993788819875775</v>
      </c>
      <c r="W37" s="1">
        <f t="shared" si="5"/>
        <v>8.3850931677018625</v>
      </c>
      <c r="X37" s="1">
        <v>71</v>
      </c>
      <c r="Y37" s="1">
        <v>64.2</v>
      </c>
      <c r="Z37" s="1">
        <v>60.2</v>
      </c>
      <c r="AA37" s="1">
        <v>59</v>
      </c>
      <c r="AB37" s="1">
        <v>52.2</v>
      </c>
      <c r="AC37" s="1">
        <v>47.2</v>
      </c>
      <c r="AD37" s="1">
        <v>52.4</v>
      </c>
      <c r="AE37" s="1">
        <v>41.6</v>
      </c>
      <c r="AF37" s="1">
        <v>42.2</v>
      </c>
      <c r="AG37" s="1">
        <v>61.4</v>
      </c>
      <c r="AH37" s="1"/>
      <c r="AI37" s="1">
        <f t="shared" si="10"/>
        <v>49.100400000000036</v>
      </c>
      <c r="AJ37" s="8">
        <v>12</v>
      </c>
      <c r="AK37" s="10">
        <f t="shared" si="11"/>
        <v>14</v>
      </c>
      <c r="AL37" s="1">
        <f t="shared" si="12"/>
        <v>38.64</v>
      </c>
      <c r="AM37" s="1">
        <v>14</v>
      </c>
      <c r="AN37" s="1">
        <v>70</v>
      </c>
      <c r="AO37" s="10">
        <f t="shared" si="13"/>
        <v>0.2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100</v>
      </c>
      <c r="B38" s="1" t="s">
        <v>42</v>
      </c>
      <c r="C38" s="1">
        <v>237</v>
      </c>
      <c r="D38" s="1">
        <v>673</v>
      </c>
      <c r="E38" s="1">
        <v>454</v>
      </c>
      <c r="F38" s="1">
        <v>432</v>
      </c>
      <c r="G38" s="8">
        <v>0.25</v>
      </c>
      <c r="H38" s="1">
        <v>365</v>
      </c>
      <c r="I38" s="1" t="s">
        <v>101</v>
      </c>
      <c r="J38" s="1"/>
      <c r="K38" s="1">
        <v>455</v>
      </c>
      <c r="L38" s="1">
        <f t="shared" ref="L38:L69" si="14">E38-K38</f>
        <v>-1</v>
      </c>
      <c r="M38" s="1"/>
      <c r="N38" s="1"/>
      <c r="O38" s="1">
        <v>336</v>
      </c>
      <c r="P38" s="1">
        <f t="shared" ref="P38:P69" si="15">E38/5</f>
        <v>90.8</v>
      </c>
      <c r="Q38" s="5">
        <v>503.20000000000005</v>
      </c>
      <c r="R38" s="5">
        <f t="shared" si="8"/>
        <v>294.36000000000007</v>
      </c>
      <c r="S38" s="5">
        <f t="shared" si="9"/>
        <v>336</v>
      </c>
      <c r="T38" s="29"/>
      <c r="U38" s="29"/>
      <c r="V38" s="1">
        <f t="shared" ref="V38:V69" si="16">(F38+O38+S38)/P38</f>
        <v>12.158590308370044</v>
      </c>
      <c r="W38" s="1">
        <f t="shared" ref="W38:W69" si="17">(F38+O38)/P38</f>
        <v>8.4581497797356828</v>
      </c>
      <c r="X38" s="1">
        <v>91</v>
      </c>
      <c r="Y38" s="1">
        <v>115.2</v>
      </c>
      <c r="Z38" s="1">
        <v>94</v>
      </c>
      <c r="AA38" s="1">
        <v>92.8</v>
      </c>
      <c r="AB38" s="1">
        <v>108.2</v>
      </c>
      <c r="AC38" s="1">
        <v>84.8</v>
      </c>
      <c r="AD38" s="1">
        <v>101.6</v>
      </c>
      <c r="AE38" s="1">
        <v>106</v>
      </c>
      <c r="AF38" s="1">
        <v>94.4</v>
      </c>
      <c r="AG38" s="1">
        <v>81.2</v>
      </c>
      <c r="AH38" s="1"/>
      <c r="AI38" s="1">
        <f t="shared" si="10"/>
        <v>73.590000000000018</v>
      </c>
      <c r="AJ38" s="8">
        <v>12</v>
      </c>
      <c r="AK38" s="10">
        <f t="shared" si="11"/>
        <v>28</v>
      </c>
      <c r="AL38" s="1">
        <f t="shared" si="12"/>
        <v>84</v>
      </c>
      <c r="AM38" s="1">
        <v>14</v>
      </c>
      <c r="AN38" s="1">
        <v>70</v>
      </c>
      <c r="AO38" s="10">
        <f t="shared" si="13"/>
        <v>0.4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102</v>
      </c>
      <c r="B39" s="1" t="s">
        <v>42</v>
      </c>
      <c r="C39" s="1">
        <v>236</v>
      </c>
      <c r="D39" s="1">
        <v>509</v>
      </c>
      <c r="E39" s="1">
        <v>481</v>
      </c>
      <c r="F39" s="1">
        <v>219</v>
      </c>
      <c r="G39" s="8">
        <v>0.25</v>
      </c>
      <c r="H39" s="1">
        <v>365</v>
      </c>
      <c r="I39" s="1" t="s">
        <v>103</v>
      </c>
      <c r="J39" s="1"/>
      <c r="K39" s="1">
        <v>486</v>
      </c>
      <c r="L39" s="1">
        <f t="shared" si="14"/>
        <v>-5</v>
      </c>
      <c r="M39" s="1"/>
      <c r="N39" s="1"/>
      <c r="O39" s="1">
        <v>168</v>
      </c>
      <c r="P39" s="1">
        <f t="shared" si="15"/>
        <v>96.2</v>
      </c>
      <c r="Q39" s="5">
        <v>959.8</v>
      </c>
      <c r="R39" s="5">
        <f t="shared" si="8"/>
        <v>738.54</v>
      </c>
      <c r="S39" s="5">
        <f t="shared" si="9"/>
        <v>672</v>
      </c>
      <c r="T39" s="29"/>
      <c r="U39" s="29"/>
      <c r="V39" s="1">
        <f t="shared" si="16"/>
        <v>11.008316008316008</v>
      </c>
      <c r="W39" s="1">
        <f t="shared" si="17"/>
        <v>4.0228690228690231</v>
      </c>
      <c r="X39" s="1">
        <v>75.8</v>
      </c>
      <c r="Y39" s="1">
        <v>92.2</v>
      </c>
      <c r="Z39" s="1">
        <v>90.8</v>
      </c>
      <c r="AA39" s="1">
        <v>63.2</v>
      </c>
      <c r="AB39" s="1">
        <v>64.8</v>
      </c>
      <c r="AC39" s="1">
        <v>63</v>
      </c>
      <c r="AD39" s="1">
        <v>77.400000000000006</v>
      </c>
      <c r="AE39" s="1">
        <v>80.400000000000006</v>
      </c>
      <c r="AF39" s="1">
        <v>156</v>
      </c>
      <c r="AG39" s="1">
        <v>152.80000000000001</v>
      </c>
      <c r="AH39" s="1"/>
      <c r="AI39" s="1">
        <f t="shared" si="10"/>
        <v>184.63499999999999</v>
      </c>
      <c r="AJ39" s="8">
        <v>12</v>
      </c>
      <c r="AK39" s="10">
        <f t="shared" si="11"/>
        <v>56</v>
      </c>
      <c r="AL39" s="1">
        <f t="shared" si="12"/>
        <v>168</v>
      </c>
      <c r="AM39" s="1">
        <v>14</v>
      </c>
      <c r="AN39" s="1">
        <v>70</v>
      </c>
      <c r="AO39" s="10">
        <f t="shared" si="13"/>
        <v>0.8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104</v>
      </c>
      <c r="B40" s="1" t="s">
        <v>42</v>
      </c>
      <c r="C40" s="1">
        <v>353</v>
      </c>
      <c r="D40" s="1">
        <v>336</v>
      </c>
      <c r="E40" s="1">
        <v>373</v>
      </c>
      <c r="F40" s="1">
        <v>295</v>
      </c>
      <c r="G40" s="8">
        <v>0.25</v>
      </c>
      <c r="H40" s="1">
        <v>180</v>
      </c>
      <c r="I40" s="1" t="s">
        <v>105</v>
      </c>
      <c r="J40" s="1"/>
      <c r="K40" s="1">
        <v>373</v>
      </c>
      <c r="L40" s="1">
        <f t="shared" si="14"/>
        <v>0</v>
      </c>
      <c r="M40" s="1"/>
      <c r="N40" s="1"/>
      <c r="O40" s="1">
        <v>168</v>
      </c>
      <c r="P40" s="1">
        <f t="shared" si="15"/>
        <v>74.599999999999994</v>
      </c>
      <c r="Q40" s="5">
        <v>581.39999999999986</v>
      </c>
      <c r="R40" s="5">
        <f t="shared" ref="R36:R60" si="18">14*P40-O40-F40</f>
        <v>581.39999999999986</v>
      </c>
      <c r="S40" s="5">
        <f t="shared" si="9"/>
        <v>504</v>
      </c>
      <c r="T40" s="29"/>
      <c r="U40" s="29"/>
      <c r="V40" s="1">
        <f t="shared" si="16"/>
        <v>12.962466487935657</v>
      </c>
      <c r="W40" s="1">
        <f t="shared" si="17"/>
        <v>6.2064343163538878</v>
      </c>
      <c r="X40" s="1">
        <v>68.400000000000006</v>
      </c>
      <c r="Y40" s="1">
        <v>65.2</v>
      </c>
      <c r="Z40" s="1">
        <v>71.400000000000006</v>
      </c>
      <c r="AA40" s="1">
        <v>86.6</v>
      </c>
      <c r="AB40" s="1">
        <v>77.400000000000006</v>
      </c>
      <c r="AC40" s="1">
        <v>46</v>
      </c>
      <c r="AD40" s="1">
        <v>61.6</v>
      </c>
      <c r="AE40" s="1">
        <v>65</v>
      </c>
      <c r="AF40" s="1">
        <v>53.8</v>
      </c>
      <c r="AG40" s="1">
        <v>48.6</v>
      </c>
      <c r="AH40" s="1"/>
      <c r="AI40" s="1">
        <f t="shared" si="10"/>
        <v>145.34999999999997</v>
      </c>
      <c r="AJ40" s="8">
        <v>12</v>
      </c>
      <c r="AK40" s="10">
        <f t="shared" si="11"/>
        <v>42</v>
      </c>
      <c r="AL40" s="1">
        <f t="shared" si="12"/>
        <v>126</v>
      </c>
      <c r="AM40" s="1">
        <v>14</v>
      </c>
      <c r="AN40" s="1">
        <v>70</v>
      </c>
      <c r="AO40" s="10">
        <f t="shared" si="13"/>
        <v>0.6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55</v>
      </c>
      <c r="B41" s="1" t="s">
        <v>42</v>
      </c>
      <c r="C41" s="1">
        <v>101</v>
      </c>
      <c r="D41" s="1"/>
      <c r="E41" s="18">
        <f>85+E11</f>
        <v>124</v>
      </c>
      <c r="F41" s="18">
        <f>8+F11</f>
        <v>136</v>
      </c>
      <c r="G41" s="8">
        <v>0.25</v>
      </c>
      <c r="H41" s="1">
        <v>180</v>
      </c>
      <c r="I41" s="1" t="s">
        <v>106</v>
      </c>
      <c r="J41" s="1"/>
      <c r="K41" s="1">
        <v>86</v>
      </c>
      <c r="L41" s="1">
        <f t="shared" si="14"/>
        <v>38</v>
      </c>
      <c r="M41" s="1"/>
      <c r="N41" s="1"/>
      <c r="O41" s="1">
        <v>0</v>
      </c>
      <c r="P41" s="1">
        <f t="shared" si="15"/>
        <v>24.8</v>
      </c>
      <c r="Q41" s="5">
        <v>211.2</v>
      </c>
      <c r="R41" s="5">
        <f t="shared" si="18"/>
        <v>211.2</v>
      </c>
      <c r="S41" s="5">
        <f t="shared" si="9"/>
        <v>168</v>
      </c>
      <c r="T41" s="29"/>
      <c r="U41" s="29"/>
      <c r="V41" s="1">
        <f t="shared" si="16"/>
        <v>12.258064516129032</v>
      </c>
      <c r="W41" s="1">
        <f t="shared" si="17"/>
        <v>5.4838709677419351</v>
      </c>
      <c r="X41" s="1">
        <v>23.6</v>
      </c>
      <c r="Y41" s="1">
        <v>28.6</v>
      </c>
      <c r="Z41" s="1">
        <v>0</v>
      </c>
      <c r="AA41" s="1">
        <v>13.8</v>
      </c>
      <c r="AB41" s="1">
        <v>26.6</v>
      </c>
      <c r="AC41" s="1">
        <v>20.2</v>
      </c>
      <c r="AD41" s="1">
        <v>13.8</v>
      </c>
      <c r="AE41" s="1">
        <v>10.199999999999999</v>
      </c>
      <c r="AF41" s="1">
        <v>13.8</v>
      </c>
      <c r="AG41" s="1">
        <v>13.6</v>
      </c>
      <c r="AH41" s="1"/>
      <c r="AI41" s="1">
        <f t="shared" si="10"/>
        <v>52.8</v>
      </c>
      <c r="AJ41" s="8">
        <v>12</v>
      </c>
      <c r="AK41" s="10">
        <f t="shared" si="11"/>
        <v>14</v>
      </c>
      <c r="AL41" s="1">
        <f t="shared" si="12"/>
        <v>42</v>
      </c>
      <c r="AM41" s="1">
        <v>14</v>
      </c>
      <c r="AN41" s="1">
        <v>70</v>
      </c>
      <c r="AO41" s="10">
        <f t="shared" si="13"/>
        <v>0.2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107</v>
      </c>
      <c r="B42" s="1" t="s">
        <v>42</v>
      </c>
      <c r="C42" s="1">
        <v>344</v>
      </c>
      <c r="D42" s="1"/>
      <c r="E42" s="1">
        <v>153</v>
      </c>
      <c r="F42" s="1">
        <v>190</v>
      </c>
      <c r="G42" s="8">
        <v>0.7</v>
      </c>
      <c r="H42" s="1">
        <v>180</v>
      </c>
      <c r="I42" s="1" t="s">
        <v>108</v>
      </c>
      <c r="J42" s="1"/>
      <c r="K42" s="1">
        <v>153</v>
      </c>
      <c r="L42" s="1">
        <f t="shared" si="14"/>
        <v>0</v>
      </c>
      <c r="M42" s="1"/>
      <c r="N42" s="1"/>
      <c r="O42" s="1">
        <v>288</v>
      </c>
      <c r="P42" s="1">
        <f t="shared" si="15"/>
        <v>30.6</v>
      </c>
      <c r="Q42" s="5"/>
      <c r="R42" s="5"/>
      <c r="S42" s="5">
        <f t="shared" si="9"/>
        <v>0</v>
      </c>
      <c r="T42" s="29"/>
      <c r="U42" s="29"/>
      <c r="V42" s="1">
        <f t="shared" si="16"/>
        <v>15.620915032679738</v>
      </c>
      <c r="W42" s="1">
        <f t="shared" si="17"/>
        <v>15.620915032679738</v>
      </c>
      <c r="X42" s="1">
        <v>47.6</v>
      </c>
      <c r="Y42" s="1">
        <v>41.8</v>
      </c>
      <c r="Z42" s="1">
        <v>54.6</v>
      </c>
      <c r="AA42" s="1">
        <v>27.4</v>
      </c>
      <c r="AB42" s="1">
        <v>27.2</v>
      </c>
      <c r="AC42" s="1">
        <v>40.799999999999997</v>
      </c>
      <c r="AD42" s="1">
        <v>42</v>
      </c>
      <c r="AE42" s="1">
        <v>36.200000000000003</v>
      </c>
      <c r="AF42" s="1">
        <v>30.8</v>
      </c>
      <c r="AG42" s="1">
        <v>30.8</v>
      </c>
      <c r="AH42" s="1"/>
      <c r="AI42" s="1">
        <f t="shared" si="10"/>
        <v>0</v>
      </c>
      <c r="AJ42" s="8">
        <v>8</v>
      </c>
      <c r="AK42" s="10">
        <f t="shared" si="11"/>
        <v>0</v>
      </c>
      <c r="AL42" s="1">
        <f t="shared" si="12"/>
        <v>0</v>
      </c>
      <c r="AM42" s="1">
        <v>12</v>
      </c>
      <c r="AN42" s="1">
        <v>84</v>
      </c>
      <c r="AO42" s="10">
        <f t="shared" si="13"/>
        <v>0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109</v>
      </c>
      <c r="B43" s="1" t="s">
        <v>42</v>
      </c>
      <c r="C43" s="1">
        <v>244</v>
      </c>
      <c r="D43" s="1">
        <v>96</v>
      </c>
      <c r="E43" s="1">
        <v>166</v>
      </c>
      <c r="F43" s="1">
        <v>173</v>
      </c>
      <c r="G43" s="8">
        <v>0.7</v>
      </c>
      <c r="H43" s="1">
        <v>180</v>
      </c>
      <c r="I43" s="1" t="s">
        <v>110</v>
      </c>
      <c r="J43" s="1"/>
      <c r="K43" s="1">
        <v>166</v>
      </c>
      <c r="L43" s="1">
        <f t="shared" si="14"/>
        <v>0</v>
      </c>
      <c r="M43" s="1"/>
      <c r="N43" s="1"/>
      <c r="O43" s="1">
        <v>192</v>
      </c>
      <c r="P43" s="1">
        <f t="shared" si="15"/>
        <v>33.200000000000003</v>
      </c>
      <c r="Q43" s="5">
        <v>99.800000000000068</v>
      </c>
      <c r="R43" s="5">
        <f>14*P43-O43-F43+$R$1*P43</f>
        <v>23.440000000000069</v>
      </c>
      <c r="S43" s="5">
        <f t="shared" si="9"/>
        <v>0</v>
      </c>
      <c r="T43" s="29"/>
      <c r="U43" s="29"/>
      <c r="V43" s="1">
        <f t="shared" si="16"/>
        <v>10.993975903614457</v>
      </c>
      <c r="W43" s="1">
        <f t="shared" si="17"/>
        <v>10.993975903614457</v>
      </c>
      <c r="X43" s="1">
        <v>38.200000000000003</v>
      </c>
      <c r="Y43" s="1">
        <v>42.8</v>
      </c>
      <c r="Z43" s="1">
        <v>50</v>
      </c>
      <c r="AA43" s="1">
        <v>32.200000000000003</v>
      </c>
      <c r="AB43" s="1">
        <v>29.2</v>
      </c>
      <c r="AC43" s="1">
        <v>32.4</v>
      </c>
      <c r="AD43" s="1">
        <v>36.200000000000003</v>
      </c>
      <c r="AE43" s="1">
        <v>29</v>
      </c>
      <c r="AF43" s="1">
        <v>27.2</v>
      </c>
      <c r="AG43" s="1">
        <v>30.2</v>
      </c>
      <c r="AH43" s="1"/>
      <c r="AI43" s="1">
        <f t="shared" si="10"/>
        <v>16.408000000000047</v>
      </c>
      <c r="AJ43" s="8">
        <v>8</v>
      </c>
      <c r="AK43" s="10">
        <f t="shared" si="11"/>
        <v>0</v>
      </c>
      <c r="AL43" s="1">
        <f t="shared" si="12"/>
        <v>0</v>
      </c>
      <c r="AM43" s="1">
        <v>12</v>
      </c>
      <c r="AN43" s="1">
        <v>84</v>
      </c>
      <c r="AO43" s="10">
        <f t="shared" si="13"/>
        <v>0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9" t="s">
        <v>111</v>
      </c>
      <c r="B44" s="1" t="s">
        <v>42</v>
      </c>
      <c r="C44" s="1"/>
      <c r="D44" s="1"/>
      <c r="E44" s="1"/>
      <c r="F44" s="1"/>
      <c r="G44" s="8">
        <v>0.7</v>
      </c>
      <c r="H44" s="1">
        <v>180</v>
      </c>
      <c r="I44" s="1" t="s">
        <v>112</v>
      </c>
      <c r="J44" s="1"/>
      <c r="K44" s="1"/>
      <c r="L44" s="1">
        <f t="shared" si="14"/>
        <v>0</v>
      </c>
      <c r="M44" s="1"/>
      <c r="N44" s="1"/>
      <c r="O44" s="1">
        <v>0</v>
      </c>
      <c r="P44" s="1">
        <f t="shared" si="15"/>
        <v>0</v>
      </c>
      <c r="Q44" s="22">
        <v>0</v>
      </c>
      <c r="R44" s="22">
        <v>0</v>
      </c>
      <c r="S44" s="22">
        <f t="shared" si="9"/>
        <v>0</v>
      </c>
      <c r="T44" s="29"/>
      <c r="U44" s="29"/>
      <c r="V44" s="1" t="e">
        <f t="shared" si="16"/>
        <v>#DIV/0!</v>
      </c>
      <c r="W44" s="1" t="e">
        <f t="shared" si="17"/>
        <v>#DIV/0!</v>
      </c>
      <c r="X44" s="1">
        <v>0</v>
      </c>
      <c r="Y44" s="1">
        <v>0</v>
      </c>
      <c r="Z44" s="1">
        <v>0.4</v>
      </c>
      <c r="AA44" s="1">
        <v>0.4</v>
      </c>
      <c r="AB44" s="1">
        <v>0</v>
      </c>
      <c r="AC44" s="1">
        <v>0</v>
      </c>
      <c r="AD44" s="1">
        <v>18.2</v>
      </c>
      <c r="AE44" s="1">
        <v>24.4</v>
      </c>
      <c r="AF44" s="1">
        <v>26.4</v>
      </c>
      <c r="AG44" s="1">
        <v>25.4</v>
      </c>
      <c r="AH44" s="7" t="s">
        <v>80</v>
      </c>
      <c r="AI44" s="1">
        <f t="shared" si="10"/>
        <v>0</v>
      </c>
      <c r="AJ44" s="8">
        <v>8</v>
      </c>
      <c r="AK44" s="10">
        <f t="shared" si="11"/>
        <v>0</v>
      </c>
      <c r="AL44" s="1">
        <f t="shared" si="12"/>
        <v>0</v>
      </c>
      <c r="AM44" s="1">
        <v>12</v>
      </c>
      <c r="AN44" s="1">
        <v>84</v>
      </c>
      <c r="AO44" s="10">
        <f t="shared" si="13"/>
        <v>0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113</v>
      </c>
      <c r="B45" s="1" t="s">
        <v>42</v>
      </c>
      <c r="C45" s="1">
        <v>179</v>
      </c>
      <c r="D45" s="1">
        <v>120</v>
      </c>
      <c r="E45" s="1">
        <v>156</v>
      </c>
      <c r="F45" s="1">
        <v>142</v>
      </c>
      <c r="G45" s="8">
        <v>0.7</v>
      </c>
      <c r="H45" s="1">
        <v>180</v>
      </c>
      <c r="I45" s="1" t="s">
        <v>114</v>
      </c>
      <c r="J45" s="1"/>
      <c r="K45" s="1">
        <v>186</v>
      </c>
      <c r="L45" s="1">
        <f t="shared" si="14"/>
        <v>-30</v>
      </c>
      <c r="M45" s="1"/>
      <c r="N45" s="1"/>
      <c r="O45" s="1">
        <v>0</v>
      </c>
      <c r="P45" s="1">
        <f t="shared" si="15"/>
        <v>31.2</v>
      </c>
      <c r="Q45" s="5">
        <v>294.8</v>
      </c>
      <c r="R45" s="5">
        <f t="shared" si="18"/>
        <v>294.8</v>
      </c>
      <c r="S45" s="5">
        <f t="shared" si="9"/>
        <v>240</v>
      </c>
      <c r="T45" s="29"/>
      <c r="U45" s="29"/>
      <c r="V45" s="1">
        <f t="shared" si="16"/>
        <v>12.243589743589745</v>
      </c>
      <c r="W45" s="1">
        <f t="shared" si="17"/>
        <v>4.5512820512820511</v>
      </c>
      <c r="X45" s="1">
        <v>20.399999999999999</v>
      </c>
      <c r="Y45" s="1">
        <v>27</v>
      </c>
      <c r="Z45" s="1">
        <v>32.4</v>
      </c>
      <c r="AA45" s="1">
        <v>26.4</v>
      </c>
      <c r="AB45" s="1">
        <v>22.6</v>
      </c>
      <c r="AC45" s="1">
        <v>18.600000000000001</v>
      </c>
      <c r="AD45" s="1">
        <v>29.4</v>
      </c>
      <c r="AE45" s="1">
        <v>13.2</v>
      </c>
      <c r="AF45" s="1">
        <v>21.2</v>
      </c>
      <c r="AG45" s="1">
        <v>27</v>
      </c>
      <c r="AH45" s="1"/>
      <c r="AI45" s="1">
        <f t="shared" si="10"/>
        <v>206.35999999999999</v>
      </c>
      <c r="AJ45" s="8">
        <v>10</v>
      </c>
      <c r="AK45" s="10">
        <f t="shared" si="11"/>
        <v>24</v>
      </c>
      <c r="AL45" s="1">
        <f t="shared" si="12"/>
        <v>168</v>
      </c>
      <c r="AM45" s="1">
        <v>12</v>
      </c>
      <c r="AN45" s="1">
        <v>84</v>
      </c>
      <c r="AO45" s="10">
        <f t="shared" si="13"/>
        <v>0.2857142857142857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115</v>
      </c>
      <c r="B46" s="1" t="s">
        <v>42</v>
      </c>
      <c r="C46" s="1"/>
      <c r="D46" s="1">
        <v>240</v>
      </c>
      <c r="E46" s="1">
        <v>51</v>
      </c>
      <c r="F46" s="1">
        <v>188</v>
      </c>
      <c r="G46" s="8">
        <v>0.7</v>
      </c>
      <c r="H46" s="1">
        <v>180</v>
      </c>
      <c r="I46" s="1" t="s">
        <v>116</v>
      </c>
      <c r="J46" s="1"/>
      <c r="K46" s="1">
        <v>51</v>
      </c>
      <c r="L46" s="1">
        <f t="shared" si="14"/>
        <v>0</v>
      </c>
      <c r="M46" s="1"/>
      <c r="N46" s="1"/>
      <c r="O46" s="1">
        <v>0</v>
      </c>
      <c r="P46" s="1">
        <f t="shared" si="15"/>
        <v>10.199999999999999</v>
      </c>
      <c r="Q46" s="5"/>
      <c r="R46" s="5"/>
      <c r="S46" s="5">
        <f t="shared" si="9"/>
        <v>0</v>
      </c>
      <c r="T46" s="29"/>
      <c r="U46" s="29"/>
      <c r="V46" s="1">
        <f t="shared" si="16"/>
        <v>18.43137254901961</v>
      </c>
      <c r="W46" s="1">
        <f t="shared" si="17"/>
        <v>18.43137254901961</v>
      </c>
      <c r="X46" s="1">
        <v>18.8</v>
      </c>
      <c r="Y46" s="1">
        <v>29</v>
      </c>
      <c r="Z46" s="1">
        <v>0</v>
      </c>
      <c r="AA46" s="1">
        <v>0</v>
      </c>
      <c r="AB46" s="1">
        <v>0</v>
      </c>
      <c r="AC46" s="1">
        <v>8.6</v>
      </c>
      <c r="AD46" s="1">
        <v>15.4</v>
      </c>
      <c r="AE46" s="1">
        <v>12.6</v>
      </c>
      <c r="AF46" s="1">
        <v>21.2</v>
      </c>
      <c r="AG46" s="1">
        <v>20.8</v>
      </c>
      <c r="AH46" s="1" t="s">
        <v>117</v>
      </c>
      <c r="AI46" s="1">
        <f t="shared" si="10"/>
        <v>0</v>
      </c>
      <c r="AJ46" s="8">
        <v>10</v>
      </c>
      <c r="AK46" s="10">
        <f t="shared" si="11"/>
        <v>0</v>
      </c>
      <c r="AL46" s="1">
        <f t="shared" si="12"/>
        <v>0</v>
      </c>
      <c r="AM46" s="1">
        <v>12</v>
      </c>
      <c r="AN46" s="1">
        <v>84</v>
      </c>
      <c r="AO46" s="10">
        <f t="shared" si="13"/>
        <v>0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118</v>
      </c>
      <c r="B47" s="1" t="s">
        <v>42</v>
      </c>
      <c r="C47" s="1">
        <v>210</v>
      </c>
      <c r="D47" s="1">
        <v>127</v>
      </c>
      <c r="E47" s="1">
        <v>168</v>
      </c>
      <c r="F47" s="1">
        <v>162</v>
      </c>
      <c r="G47" s="8">
        <v>0.7</v>
      </c>
      <c r="H47" s="1">
        <v>180</v>
      </c>
      <c r="I47" s="1" t="s">
        <v>119</v>
      </c>
      <c r="J47" s="1"/>
      <c r="K47" s="1">
        <v>175</v>
      </c>
      <c r="L47" s="1">
        <f t="shared" si="14"/>
        <v>-7</v>
      </c>
      <c r="M47" s="1"/>
      <c r="N47" s="1"/>
      <c r="O47" s="1">
        <v>0</v>
      </c>
      <c r="P47" s="1">
        <f t="shared" si="15"/>
        <v>33.6</v>
      </c>
      <c r="Q47" s="5">
        <v>308.40000000000003</v>
      </c>
      <c r="R47" s="5">
        <f t="shared" ref="R47:R51" si="19">14*P47-O47-F47+$R$1*P47</f>
        <v>231.12000000000003</v>
      </c>
      <c r="S47" s="5">
        <f t="shared" si="9"/>
        <v>240</v>
      </c>
      <c r="T47" s="29"/>
      <c r="U47" s="29"/>
      <c r="V47" s="1">
        <f t="shared" si="16"/>
        <v>11.964285714285714</v>
      </c>
      <c r="W47" s="1">
        <f t="shared" si="17"/>
        <v>4.8214285714285712</v>
      </c>
      <c r="X47" s="1">
        <v>24.4</v>
      </c>
      <c r="Y47" s="1">
        <v>32</v>
      </c>
      <c r="Z47" s="1">
        <v>39.200000000000003</v>
      </c>
      <c r="AA47" s="1">
        <v>42.4</v>
      </c>
      <c r="AB47" s="1">
        <v>39</v>
      </c>
      <c r="AC47" s="1">
        <v>26</v>
      </c>
      <c r="AD47" s="1">
        <v>31.8</v>
      </c>
      <c r="AE47" s="1">
        <v>25.2</v>
      </c>
      <c r="AF47" s="1">
        <v>37.4</v>
      </c>
      <c r="AG47" s="1">
        <v>47</v>
      </c>
      <c r="AH47" s="1"/>
      <c r="AI47" s="1">
        <f t="shared" si="10"/>
        <v>161.78400000000002</v>
      </c>
      <c r="AJ47" s="8">
        <v>10</v>
      </c>
      <c r="AK47" s="10">
        <f t="shared" si="11"/>
        <v>24</v>
      </c>
      <c r="AL47" s="1">
        <f t="shared" si="12"/>
        <v>168</v>
      </c>
      <c r="AM47" s="1">
        <v>12</v>
      </c>
      <c r="AN47" s="1">
        <v>84</v>
      </c>
      <c r="AO47" s="10">
        <f t="shared" si="13"/>
        <v>0.2857142857142857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120</v>
      </c>
      <c r="B48" s="1" t="s">
        <v>42</v>
      </c>
      <c r="C48" s="1">
        <v>73</v>
      </c>
      <c r="D48" s="1">
        <v>120</v>
      </c>
      <c r="E48" s="1">
        <v>70</v>
      </c>
      <c r="F48" s="1">
        <v>123</v>
      </c>
      <c r="G48" s="8">
        <v>0.7</v>
      </c>
      <c r="H48" s="1">
        <v>180</v>
      </c>
      <c r="I48" s="1" t="s">
        <v>121</v>
      </c>
      <c r="J48" s="1"/>
      <c r="K48" s="1">
        <v>70</v>
      </c>
      <c r="L48" s="1">
        <f t="shared" si="14"/>
        <v>0</v>
      </c>
      <c r="M48" s="1"/>
      <c r="N48" s="1"/>
      <c r="O48" s="1">
        <v>0</v>
      </c>
      <c r="P48" s="1">
        <f t="shared" si="15"/>
        <v>14</v>
      </c>
      <c r="Q48" s="5">
        <v>73</v>
      </c>
      <c r="R48" s="5">
        <f t="shared" si="19"/>
        <v>40.800000000000004</v>
      </c>
      <c r="S48" s="5">
        <f t="shared" si="9"/>
        <v>0</v>
      </c>
      <c r="T48" s="29"/>
      <c r="U48" s="29"/>
      <c r="V48" s="1">
        <f t="shared" si="16"/>
        <v>8.7857142857142865</v>
      </c>
      <c r="W48" s="1">
        <f t="shared" si="17"/>
        <v>8.7857142857142865</v>
      </c>
      <c r="X48" s="1">
        <v>14</v>
      </c>
      <c r="Y48" s="1">
        <v>19.8</v>
      </c>
      <c r="Z48" s="1">
        <v>8.6</v>
      </c>
      <c r="AA48" s="1">
        <v>23.2</v>
      </c>
      <c r="AB48" s="1">
        <v>21.2</v>
      </c>
      <c r="AC48" s="1">
        <v>10.199999999999999</v>
      </c>
      <c r="AD48" s="1">
        <v>12.8</v>
      </c>
      <c r="AE48" s="1">
        <v>14.6</v>
      </c>
      <c r="AF48" s="1">
        <v>14</v>
      </c>
      <c r="AG48" s="1">
        <v>13.8</v>
      </c>
      <c r="AH48" s="1"/>
      <c r="AI48" s="1">
        <f t="shared" si="10"/>
        <v>28.560000000000002</v>
      </c>
      <c r="AJ48" s="8">
        <v>10</v>
      </c>
      <c r="AK48" s="10">
        <f t="shared" si="11"/>
        <v>0</v>
      </c>
      <c r="AL48" s="1">
        <f t="shared" si="12"/>
        <v>0</v>
      </c>
      <c r="AM48" s="1">
        <v>12</v>
      </c>
      <c r="AN48" s="1">
        <v>84</v>
      </c>
      <c r="AO48" s="10">
        <f t="shared" si="13"/>
        <v>0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122</v>
      </c>
      <c r="B49" s="1" t="s">
        <v>85</v>
      </c>
      <c r="C49" s="1">
        <v>1145</v>
      </c>
      <c r="D49" s="1"/>
      <c r="E49" s="1">
        <v>605</v>
      </c>
      <c r="F49" s="1">
        <v>500</v>
      </c>
      <c r="G49" s="8">
        <v>1</v>
      </c>
      <c r="H49" s="1">
        <v>180</v>
      </c>
      <c r="I49" s="1" t="s">
        <v>123</v>
      </c>
      <c r="J49" s="1"/>
      <c r="K49" s="1">
        <v>605</v>
      </c>
      <c r="L49" s="1">
        <f t="shared" si="14"/>
        <v>0</v>
      </c>
      <c r="M49" s="1"/>
      <c r="N49" s="1"/>
      <c r="O49" s="1">
        <v>0</v>
      </c>
      <c r="P49" s="1">
        <f t="shared" si="15"/>
        <v>121</v>
      </c>
      <c r="Q49" s="5">
        <v>1194</v>
      </c>
      <c r="R49" s="5">
        <f t="shared" si="19"/>
        <v>915.7</v>
      </c>
      <c r="S49" s="5">
        <f t="shared" si="9"/>
        <v>900</v>
      </c>
      <c r="T49" s="29"/>
      <c r="U49" s="29"/>
      <c r="V49" s="1">
        <f t="shared" si="16"/>
        <v>11.570247933884298</v>
      </c>
      <c r="W49" s="1">
        <f t="shared" si="17"/>
        <v>4.1322314049586772</v>
      </c>
      <c r="X49" s="1">
        <v>87</v>
      </c>
      <c r="Y49" s="1">
        <v>138</v>
      </c>
      <c r="Z49" s="1">
        <v>155.19999999999999</v>
      </c>
      <c r="AA49" s="1">
        <v>181</v>
      </c>
      <c r="AB49" s="1">
        <v>163</v>
      </c>
      <c r="AC49" s="1">
        <v>77</v>
      </c>
      <c r="AD49" s="1">
        <v>103</v>
      </c>
      <c r="AE49" s="1">
        <v>106</v>
      </c>
      <c r="AF49" s="1">
        <v>96.4</v>
      </c>
      <c r="AG49" s="1">
        <v>98.4</v>
      </c>
      <c r="AH49" s="1"/>
      <c r="AI49" s="1">
        <f t="shared" si="10"/>
        <v>915.7</v>
      </c>
      <c r="AJ49" s="8">
        <v>5</v>
      </c>
      <c r="AK49" s="10">
        <f t="shared" si="11"/>
        <v>180</v>
      </c>
      <c r="AL49" s="1">
        <f t="shared" si="12"/>
        <v>900</v>
      </c>
      <c r="AM49" s="1">
        <v>12</v>
      </c>
      <c r="AN49" s="1">
        <v>144</v>
      </c>
      <c r="AO49" s="10">
        <f t="shared" si="13"/>
        <v>1.25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124</v>
      </c>
      <c r="B50" s="1" t="s">
        <v>42</v>
      </c>
      <c r="C50" s="1">
        <v>92</v>
      </c>
      <c r="D50" s="1">
        <v>192</v>
      </c>
      <c r="E50" s="1">
        <v>119</v>
      </c>
      <c r="F50" s="1">
        <v>165</v>
      </c>
      <c r="G50" s="8">
        <v>0.4</v>
      </c>
      <c r="H50" s="1">
        <v>180</v>
      </c>
      <c r="I50" s="1" t="s">
        <v>125</v>
      </c>
      <c r="J50" s="1"/>
      <c r="K50" s="1">
        <v>119</v>
      </c>
      <c r="L50" s="1">
        <f t="shared" si="14"/>
        <v>0</v>
      </c>
      <c r="M50" s="1"/>
      <c r="N50" s="1"/>
      <c r="O50" s="1">
        <v>0</v>
      </c>
      <c r="P50" s="1">
        <f t="shared" si="15"/>
        <v>23.8</v>
      </c>
      <c r="Q50" s="5">
        <v>168.2</v>
      </c>
      <c r="R50" s="5">
        <f t="shared" si="19"/>
        <v>113.46</v>
      </c>
      <c r="S50" s="5">
        <f t="shared" si="9"/>
        <v>192</v>
      </c>
      <c r="T50" s="29"/>
      <c r="U50" s="29"/>
      <c r="V50" s="1">
        <f t="shared" si="16"/>
        <v>15</v>
      </c>
      <c r="W50" s="1">
        <f t="shared" si="17"/>
        <v>6.9327731092436968</v>
      </c>
      <c r="X50" s="1">
        <v>28.8</v>
      </c>
      <c r="Y50" s="1">
        <v>32.6</v>
      </c>
      <c r="Z50" s="1">
        <v>29.2</v>
      </c>
      <c r="AA50" s="1">
        <v>14.8</v>
      </c>
      <c r="AB50" s="1">
        <v>25.8</v>
      </c>
      <c r="AC50" s="1">
        <v>33.200000000000003</v>
      </c>
      <c r="AD50" s="1">
        <v>14.8</v>
      </c>
      <c r="AE50" s="1">
        <v>31.6</v>
      </c>
      <c r="AF50" s="1">
        <v>17.399999999999999</v>
      </c>
      <c r="AG50" s="1">
        <v>16</v>
      </c>
      <c r="AH50" s="1"/>
      <c r="AI50" s="1">
        <f t="shared" si="10"/>
        <v>45.384</v>
      </c>
      <c r="AJ50" s="8">
        <v>16</v>
      </c>
      <c r="AK50" s="10">
        <f t="shared" si="11"/>
        <v>12</v>
      </c>
      <c r="AL50" s="1">
        <f t="shared" si="12"/>
        <v>76.800000000000011</v>
      </c>
      <c r="AM50" s="1">
        <v>12</v>
      </c>
      <c r="AN50" s="1">
        <v>84</v>
      </c>
      <c r="AO50" s="10">
        <f t="shared" si="13"/>
        <v>0.14285714285714285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126</v>
      </c>
      <c r="B51" s="1" t="s">
        <v>42</v>
      </c>
      <c r="C51" s="1">
        <v>231</v>
      </c>
      <c r="D51" s="1">
        <v>130</v>
      </c>
      <c r="E51" s="1">
        <v>349</v>
      </c>
      <c r="F51" s="1">
        <v>2</v>
      </c>
      <c r="G51" s="8">
        <v>0.7</v>
      </c>
      <c r="H51" s="1">
        <v>180</v>
      </c>
      <c r="I51" s="1" t="s">
        <v>127</v>
      </c>
      <c r="J51" s="1"/>
      <c r="K51" s="1">
        <v>394</v>
      </c>
      <c r="L51" s="1">
        <f t="shared" si="14"/>
        <v>-45</v>
      </c>
      <c r="M51" s="1"/>
      <c r="N51" s="1"/>
      <c r="O51" s="1">
        <v>480</v>
      </c>
      <c r="P51" s="1">
        <f t="shared" si="15"/>
        <v>69.8</v>
      </c>
      <c r="Q51" s="5">
        <v>495.19999999999993</v>
      </c>
      <c r="R51" s="5">
        <f t="shared" si="19"/>
        <v>334.65999999999997</v>
      </c>
      <c r="S51" s="5">
        <f t="shared" si="9"/>
        <v>360</v>
      </c>
      <c r="T51" s="29"/>
      <c r="U51" s="29"/>
      <c r="V51" s="1">
        <f t="shared" si="16"/>
        <v>12.063037249283669</v>
      </c>
      <c r="W51" s="1">
        <f t="shared" si="17"/>
        <v>6.9054441260744985</v>
      </c>
      <c r="X51" s="1">
        <v>65.2</v>
      </c>
      <c r="Y51" s="1">
        <v>56.6</v>
      </c>
      <c r="Z51" s="1">
        <v>66</v>
      </c>
      <c r="AA51" s="1">
        <v>58</v>
      </c>
      <c r="AB51" s="1">
        <v>49.4</v>
      </c>
      <c r="AC51" s="1">
        <v>44.6</v>
      </c>
      <c r="AD51" s="1">
        <v>50</v>
      </c>
      <c r="AE51" s="1">
        <v>47.4</v>
      </c>
      <c r="AF51" s="1">
        <v>66.8</v>
      </c>
      <c r="AG51" s="1">
        <v>69.2</v>
      </c>
      <c r="AH51" s="1"/>
      <c r="AI51" s="1">
        <f t="shared" si="10"/>
        <v>234.26199999999997</v>
      </c>
      <c r="AJ51" s="8">
        <v>10</v>
      </c>
      <c r="AK51" s="10">
        <f t="shared" si="11"/>
        <v>36</v>
      </c>
      <c r="AL51" s="1">
        <f t="shared" si="12"/>
        <v>251.99999999999997</v>
      </c>
      <c r="AM51" s="1">
        <v>12</v>
      </c>
      <c r="AN51" s="1">
        <v>84</v>
      </c>
      <c r="AO51" s="10">
        <f t="shared" si="13"/>
        <v>0.42857142857142855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128</v>
      </c>
      <c r="B52" s="1" t="s">
        <v>42</v>
      </c>
      <c r="C52" s="1"/>
      <c r="D52" s="1">
        <v>384</v>
      </c>
      <c r="E52" s="1">
        <v>265</v>
      </c>
      <c r="F52" s="1">
        <v>119</v>
      </c>
      <c r="G52" s="8">
        <v>0.4</v>
      </c>
      <c r="H52" s="1">
        <v>180</v>
      </c>
      <c r="I52" s="1" t="s">
        <v>129</v>
      </c>
      <c r="J52" s="1"/>
      <c r="K52" s="1">
        <v>265</v>
      </c>
      <c r="L52" s="1">
        <f t="shared" si="14"/>
        <v>0</v>
      </c>
      <c r="M52" s="1"/>
      <c r="N52" s="1"/>
      <c r="O52" s="1">
        <v>192</v>
      </c>
      <c r="P52" s="1">
        <f t="shared" si="15"/>
        <v>53</v>
      </c>
      <c r="Q52" s="5">
        <v>431</v>
      </c>
      <c r="R52" s="5">
        <f t="shared" si="18"/>
        <v>431</v>
      </c>
      <c r="S52" s="5">
        <f t="shared" si="9"/>
        <v>384</v>
      </c>
      <c r="T52" s="29"/>
      <c r="U52" s="29"/>
      <c r="V52" s="1">
        <f t="shared" si="16"/>
        <v>13.113207547169811</v>
      </c>
      <c r="W52" s="1">
        <f t="shared" si="17"/>
        <v>5.867924528301887</v>
      </c>
      <c r="X52" s="1">
        <v>41.6</v>
      </c>
      <c r="Y52" s="1">
        <v>46.8</v>
      </c>
      <c r="Z52" s="1">
        <v>33.200000000000003</v>
      </c>
      <c r="AA52" s="1">
        <v>24</v>
      </c>
      <c r="AB52" s="1">
        <v>36.4</v>
      </c>
      <c r="AC52" s="1">
        <v>40.6</v>
      </c>
      <c r="AD52" s="1">
        <v>48</v>
      </c>
      <c r="AE52" s="1">
        <v>20</v>
      </c>
      <c r="AF52" s="1">
        <v>38.6</v>
      </c>
      <c r="AG52" s="1">
        <v>40.799999999999997</v>
      </c>
      <c r="AH52" s="1"/>
      <c r="AI52" s="1">
        <f t="shared" si="10"/>
        <v>172.4</v>
      </c>
      <c r="AJ52" s="8">
        <v>16</v>
      </c>
      <c r="AK52" s="10">
        <f t="shared" si="11"/>
        <v>24</v>
      </c>
      <c r="AL52" s="1">
        <f t="shared" si="12"/>
        <v>153.60000000000002</v>
      </c>
      <c r="AM52" s="1">
        <v>12</v>
      </c>
      <c r="AN52" s="1">
        <v>84</v>
      </c>
      <c r="AO52" s="10">
        <f t="shared" si="13"/>
        <v>0.2857142857142857</v>
      </c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130</v>
      </c>
      <c r="B53" s="1" t="s">
        <v>42</v>
      </c>
      <c r="C53" s="1">
        <v>256</v>
      </c>
      <c r="D53" s="1">
        <v>841</v>
      </c>
      <c r="E53" s="1">
        <v>421</v>
      </c>
      <c r="F53" s="1">
        <v>664</v>
      </c>
      <c r="G53" s="8">
        <v>0.7</v>
      </c>
      <c r="H53" s="1">
        <v>180</v>
      </c>
      <c r="I53" s="1" t="s">
        <v>131</v>
      </c>
      <c r="J53" s="1"/>
      <c r="K53" s="1">
        <v>424</v>
      </c>
      <c r="L53" s="1">
        <f t="shared" si="14"/>
        <v>-3</v>
      </c>
      <c r="M53" s="1"/>
      <c r="N53" s="1"/>
      <c r="O53" s="1">
        <v>0</v>
      </c>
      <c r="P53" s="1">
        <f t="shared" si="15"/>
        <v>84.2</v>
      </c>
      <c r="Q53" s="5">
        <v>514.79999999999995</v>
      </c>
      <c r="R53" s="5">
        <f>14*P53-O53-F53+$R$1*P53</f>
        <v>321.14</v>
      </c>
      <c r="S53" s="5">
        <f t="shared" si="9"/>
        <v>360</v>
      </c>
      <c r="T53" s="29"/>
      <c r="U53" s="29"/>
      <c r="V53" s="1">
        <f t="shared" si="16"/>
        <v>12.161520190023753</v>
      </c>
      <c r="W53" s="1">
        <f t="shared" si="17"/>
        <v>7.8859857482185269</v>
      </c>
      <c r="X53" s="1">
        <v>81.599999999999994</v>
      </c>
      <c r="Y53" s="1">
        <v>101.2</v>
      </c>
      <c r="Z53" s="1">
        <v>93.6</v>
      </c>
      <c r="AA53" s="1">
        <v>78.8</v>
      </c>
      <c r="AB53" s="1">
        <v>85.6</v>
      </c>
      <c r="AC53" s="1">
        <v>70.400000000000006</v>
      </c>
      <c r="AD53" s="1">
        <v>102.8</v>
      </c>
      <c r="AE53" s="1">
        <v>94.2</v>
      </c>
      <c r="AF53" s="1">
        <v>107.6</v>
      </c>
      <c r="AG53" s="1">
        <v>112.2</v>
      </c>
      <c r="AH53" s="1"/>
      <c r="AI53" s="1">
        <f t="shared" si="10"/>
        <v>224.79799999999997</v>
      </c>
      <c r="AJ53" s="8">
        <v>10</v>
      </c>
      <c r="AK53" s="10">
        <f t="shared" si="11"/>
        <v>36</v>
      </c>
      <c r="AL53" s="1">
        <f t="shared" si="12"/>
        <v>251.99999999999997</v>
      </c>
      <c r="AM53" s="1">
        <v>12</v>
      </c>
      <c r="AN53" s="1">
        <v>84</v>
      </c>
      <c r="AO53" s="10">
        <f t="shared" si="13"/>
        <v>0.42857142857142855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132</v>
      </c>
      <c r="B54" s="1" t="s">
        <v>42</v>
      </c>
      <c r="C54" s="1">
        <v>175</v>
      </c>
      <c r="D54" s="1">
        <v>120</v>
      </c>
      <c r="E54" s="1">
        <v>147</v>
      </c>
      <c r="F54" s="1">
        <v>143</v>
      </c>
      <c r="G54" s="8">
        <v>0.7</v>
      </c>
      <c r="H54" s="1">
        <v>180</v>
      </c>
      <c r="I54" s="1" t="s">
        <v>133</v>
      </c>
      <c r="J54" s="1"/>
      <c r="K54" s="1">
        <v>148</v>
      </c>
      <c r="L54" s="1">
        <f t="shared" si="14"/>
        <v>-1</v>
      </c>
      <c r="M54" s="1"/>
      <c r="N54" s="1"/>
      <c r="O54" s="1">
        <v>120</v>
      </c>
      <c r="P54" s="1">
        <f t="shared" si="15"/>
        <v>29.4</v>
      </c>
      <c r="Q54" s="5">
        <v>148.59999999999997</v>
      </c>
      <c r="R54" s="5">
        <f t="shared" si="18"/>
        <v>148.59999999999997</v>
      </c>
      <c r="S54" s="5">
        <f t="shared" si="9"/>
        <v>120</v>
      </c>
      <c r="T54" s="29"/>
      <c r="U54" s="29"/>
      <c r="V54" s="1">
        <f t="shared" si="16"/>
        <v>13.027210884353742</v>
      </c>
      <c r="W54" s="1">
        <f t="shared" si="17"/>
        <v>8.9455782312925169</v>
      </c>
      <c r="X54" s="1">
        <v>28.4</v>
      </c>
      <c r="Y54" s="1">
        <v>28.4</v>
      </c>
      <c r="Z54" s="1">
        <v>33.4</v>
      </c>
      <c r="AA54" s="1">
        <v>34.200000000000003</v>
      </c>
      <c r="AB54" s="1">
        <v>30.6</v>
      </c>
      <c r="AC54" s="1">
        <v>18.2</v>
      </c>
      <c r="AD54" s="1">
        <v>38.799999999999997</v>
      </c>
      <c r="AE54" s="1">
        <v>26.6</v>
      </c>
      <c r="AF54" s="1">
        <v>33.200000000000003</v>
      </c>
      <c r="AG54" s="1">
        <v>29.4</v>
      </c>
      <c r="AH54" s="1"/>
      <c r="AI54" s="1">
        <f t="shared" si="10"/>
        <v>104.01999999999997</v>
      </c>
      <c r="AJ54" s="8">
        <v>10</v>
      </c>
      <c r="AK54" s="10">
        <f t="shared" si="11"/>
        <v>12</v>
      </c>
      <c r="AL54" s="1">
        <f t="shared" si="12"/>
        <v>84</v>
      </c>
      <c r="AM54" s="1">
        <v>12</v>
      </c>
      <c r="AN54" s="1">
        <v>84</v>
      </c>
      <c r="AO54" s="10">
        <f t="shared" si="13"/>
        <v>0.14285714285714285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134</v>
      </c>
      <c r="B55" s="1" t="s">
        <v>42</v>
      </c>
      <c r="C55" s="1">
        <v>496</v>
      </c>
      <c r="D55" s="1">
        <v>96</v>
      </c>
      <c r="E55" s="1">
        <v>317</v>
      </c>
      <c r="F55" s="1">
        <v>257</v>
      </c>
      <c r="G55" s="8">
        <v>0.8</v>
      </c>
      <c r="H55" s="1">
        <v>180</v>
      </c>
      <c r="I55" s="1" t="s">
        <v>135</v>
      </c>
      <c r="J55" s="1"/>
      <c r="K55" s="1">
        <v>317</v>
      </c>
      <c r="L55" s="1">
        <f t="shared" si="14"/>
        <v>0</v>
      </c>
      <c r="M55" s="1"/>
      <c r="N55" s="1"/>
      <c r="O55" s="1">
        <v>0</v>
      </c>
      <c r="P55" s="1">
        <f t="shared" si="15"/>
        <v>63.4</v>
      </c>
      <c r="Q55" s="5">
        <v>630.6</v>
      </c>
      <c r="R55" s="5">
        <f t="shared" ref="R55:R56" si="20">14*P55-O55-F55+$R$1*P55</f>
        <v>484.78000000000003</v>
      </c>
      <c r="S55" s="5">
        <f t="shared" si="9"/>
        <v>480</v>
      </c>
      <c r="T55" s="29"/>
      <c r="U55" s="29"/>
      <c r="V55" s="1">
        <f t="shared" si="16"/>
        <v>11.624605678233438</v>
      </c>
      <c r="W55" s="1">
        <f t="shared" si="17"/>
        <v>4.0536277602523656</v>
      </c>
      <c r="X55" s="1">
        <v>44.6</v>
      </c>
      <c r="Y55" s="1">
        <v>69</v>
      </c>
      <c r="Z55" s="1">
        <v>80.8</v>
      </c>
      <c r="AA55" s="1">
        <v>73.8</v>
      </c>
      <c r="AB55" s="1">
        <v>48.6</v>
      </c>
      <c r="AC55" s="1">
        <v>20.399999999999999</v>
      </c>
      <c r="AD55" s="1">
        <v>37.4</v>
      </c>
      <c r="AE55" s="1">
        <v>11.4</v>
      </c>
      <c r="AF55" s="1">
        <v>28.6</v>
      </c>
      <c r="AG55" s="1">
        <v>36.4</v>
      </c>
      <c r="AH55" s="1"/>
      <c r="AI55" s="1">
        <f t="shared" si="10"/>
        <v>387.82400000000007</v>
      </c>
      <c r="AJ55" s="8">
        <v>8</v>
      </c>
      <c r="AK55" s="10">
        <f t="shared" si="11"/>
        <v>60</v>
      </c>
      <c r="AL55" s="1">
        <f t="shared" si="12"/>
        <v>384</v>
      </c>
      <c r="AM55" s="1">
        <v>12</v>
      </c>
      <c r="AN55" s="1">
        <v>84</v>
      </c>
      <c r="AO55" s="10">
        <f t="shared" si="13"/>
        <v>0.7142857142857143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136</v>
      </c>
      <c r="B56" s="1" t="s">
        <v>42</v>
      </c>
      <c r="C56" s="1">
        <v>406</v>
      </c>
      <c r="D56" s="1">
        <v>602</v>
      </c>
      <c r="E56" s="1">
        <v>672</v>
      </c>
      <c r="F56" s="1">
        <v>307</v>
      </c>
      <c r="G56" s="8">
        <v>1</v>
      </c>
      <c r="H56" s="1">
        <v>180</v>
      </c>
      <c r="I56" s="1" t="s">
        <v>137</v>
      </c>
      <c r="J56" s="1"/>
      <c r="K56" s="1">
        <v>679</v>
      </c>
      <c r="L56" s="1">
        <f t="shared" si="14"/>
        <v>-7</v>
      </c>
      <c r="M56" s="1"/>
      <c r="N56" s="1"/>
      <c r="O56" s="1">
        <v>780</v>
      </c>
      <c r="P56" s="1">
        <f t="shared" si="15"/>
        <v>134.4</v>
      </c>
      <c r="Q56" s="5">
        <v>794.60000000000014</v>
      </c>
      <c r="R56" s="5">
        <f t="shared" si="20"/>
        <v>485.48000000000013</v>
      </c>
      <c r="S56" s="5">
        <f t="shared" si="9"/>
        <v>480</v>
      </c>
      <c r="T56" s="29"/>
      <c r="U56" s="29"/>
      <c r="V56" s="1">
        <f t="shared" si="16"/>
        <v>11.65922619047619</v>
      </c>
      <c r="W56" s="1">
        <f t="shared" si="17"/>
        <v>8.0877976190476186</v>
      </c>
      <c r="X56" s="1">
        <v>140.4</v>
      </c>
      <c r="Y56" s="1">
        <v>135.19999999999999</v>
      </c>
      <c r="Z56" s="1">
        <v>143</v>
      </c>
      <c r="AA56" s="1">
        <v>145.19999999999999</v>
      </c>
      <c r="AB56" s="1">
        <v>135.19999999999999</v>
      </c>
      <c r="AC56" s="1">
        <v>97.8</v>
      </c>
      <c r="AD56" s="1">
        <v>121.2</v>
      </c>
      <c r="AE56" s="1">
        <v>136.4</v>
      </c>
      <c r="AF56" s="1">
        <v>139.6</v>
      </c>
      <c r="AG56" s="1">
        <v>124</v>
      </c>
      <c r="AH56" s="1"/>
      <c r="AI56" s="1">
        <f t="shared" si="10"/>
        <v>485.48000000000013</v>
      </c>
      <c r="AJ56" s="8">
        <v>5</v>
      </c>
      <c r="AK56" s="10">
        <f t="shared" si="11"/>
        <v>96</v>
      </c>
      <c r="AL56" s="1">
        <f t="shared" si="12"/>
        <v>480</v>
      </c>
      <c r="AM56" s="1">
        <v>12</v>
      </c>
      <c r="AN56" s="1">
        <v>84</v>
      </c>
      <c r="AO56" s="10">
        <f t="shared" si="13"/>
        <v>1.1428571428571428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138</v>
      </c>
      <c r="B57" s="1" t="s">
        <v>42</v>
      </c>
      <c r="C57" s="1">
        <v>247</v>
      </c>
      <c r="D57" s="1">
        <v>1</v>
      </c>
      <c r="E57" s="1">
        <v>122</v>
      </c>
      <c r="F57" s="1">
        <v>119</v>
      </c>
      <c r="G57" s="8">
        <v>0.9</v>
      </c>
      <c r="H57" s="1">
        <v>180</v>
      </c>
      <c r="I57" s="1" t="s">
        <v>139</v>
      </c>
      <c r="J57" s="1"/>
      <c r="K57" s="1">
        <v>122</v>
      </c>
      <c r="L57" s="1">
        <f t="shared" si="14"/>
        <v>0</v>
      </c>
      <c r="M57" s="1"/>
      <c r="N57" s="1"/>
      <c r="O57" s="1">
        <v>96</v>
      </c>
      <c r="P57" s="1">
        <f t="shared" si="15"/>
        <v>24.4</v>
      </c>
      <c r="Q57" s="5">
        <v>126.59999999999997</v>
      </c>
      <c r="R57" s="5">
        <f t="shared" si="18"/>
        <v>126.59999999999997</v>
      </c>
      <c r="S57" s="5">
        <f t="shared" si="9"/>
        <v>96</v>
      </c>
      <c r="T57" s="29"/>
      <c r="U57" s="29"/>
      <c r="V57" s="1">
        <f t="shared" si="16"/>
        <v>12.745901639344263</v>
      </c>
      <c r="W57" s="1">
        <f t="shared" si="17"/>
        <v>8.8114754098360653</v>
      </c>
      <c r="X57" s="1">
        <v>23.8</v>
      </c>
      <c r="Y57" s="1">
        <v>27.8</v>
      </c>
      <c r="Z57" s="1">
        <v>39.6</v>
      </c>
      <c r="AA57" s="1">
        <v>42</v>
      </c>
      <c r="AB57" s="1">
        <v>33.6</v>
      </c>
      <c r="AC57" s="1">
        <v>26</v>
      </c>
      <c r="AD57" s="1">
        <v>39.4</v>
      </c>
      <c r="AE57" s="1">
        <v>40</v>
      </c>
      <c r="AF57" s="1">
        <v>41.6</v>
      </c>
      <c r="AG57" s="1">
        <v>38</v>
      </c>
      <c r="AH57" s="1"/>
      <c r="AI57" s="1">
        <f t="shared" si="10"/>
        <v>113.93999999999997</v>
      </c>
      <c r="AJ57" s="8">
        <v>8</v>
      </c>
      <c r="AK57" s="10">
        <f t="shared" si="11"/>
        <v>12</v>
      </c>
      <c r="AL57" s="1">
        <f t="shared" si="12"/>
        <v>86.4</v>
      </c>
      <c r="AM57" s="1">
        <v>12</v>
      </c>
      <c r="AN57" s="1">
        <v>84</v>
      </c>
      <c r="AO57" s="10">
        <f t="shared" si="13"/>
        <v>0.14285714285714285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140</v>
      </c>
      <c r="B58" s="1" t="s">
        <v>42</v>
      </c>
      <c r="C58" s="1">
        <v>150</v>
      </c>
      <c r="D58" s="1">
        <v>96</v>
      </c>
      <c r="E58" s="1">
        <v>81</v>
      </c>
      <c r="F58" s="1">
        <v>162</v>
      </c>
      <c r="G58" s="8">
        <v>0.9</v>
      </c>
      <c r="H58" s="1">
        <v>180</v>
      </c>
      <c r="I58" s="1" t="s">
        <v>141</v>
      </c>
      <c r="J58" s="1"/>
      <c r="K58" s="1">
        <v>81</v>
      </c>
      <c r="L58" s="1">
        <f t="shared" si="14"/>
        <v>0</v>
      </c>
      <c r="M58" s="1"/>
      <c r="N58" s="1"/>
      <c r="O58" s="1">
        <v>0</v>
      </c>
      <c r="P58" s="1">
        <f t="shared" si="15"/>
        <v>16.2</v>
      </c>
      <c r="Q58" s="5">
        <v>64.799999999999983</v>
      </c>
      <c r="R58" s="5">
        <f t="shared" ref="R58:R60" si="21">14*P58-O58-F58+$R$1*P58</f>
        <v>27.539999999999985</v>
      </c>
      <c r="S58" s="5">
        <f t="shared" si="9"/>
        <v>0</v>
      </c>
      <c r="T58" s="29"/>
      <c r="U58" s="29"/>
      <c r="V58" s="1">
        <f t="shared" si="16"/>
        <v>10</v>
      </c>
      <c r="W58" s="1">
        <f t="shared" si="17"/>
        <v>10</v>
      </c>
      <c r="X58" s="1">
        <v>12</v>
      </c>
      <c r="Y58" s="1">
        <v>14.8</v>
      </c>
      <c r="Z58" s="1">
        <v>19.399999999999999</v>
      </c>
      <c r="AA58" s="1">
        <v>17.399999999999999</v>
      </c>
      <c r="AB58" s="1">
        <v>16.8</v>
      </c>
      <c r="AC58" s="1">
        <v>11.6</v>
      </c>
      <c r="AD58" s="1">
        <v>15</v>
      </c>
      <c r="AE58" s="1">
        <v>26.4</v>
      </c>
      <c r="AF58" s="1">
        <v>23.6</v>
      </c>
      <c r="AG58" s="1">
        <v>21.4</v>
      </c>
      <c r="AH58" s="1"/>
      <c r="AI58" s="1">
        <f t="shared" si="10"/>
        <v>24.785999999999987</v>
      </c>
      <c r="AJ58" s="8">
        <v>8</v>
      </c>
      <c r="AK58" s="10">
        <f t="shared" si="11"/>
        <v>0</v>
      </c>
      <c r="AL58" s="1">
        <f t="shared" si="12"/>
        <v>0</v>
      </c>
      <c r="AM58" s="1">
        <v>12</v>
      </c>
      <c r="AN58" s="1">
        <v>84</v>
      </c>
      <c r="AO58" s="10">
        <f t="shared" si="13"/>
        <v>0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142</v>
      </c>
      <c r="B59" s="1" t="s">
        <v>85</v>
      </c>
      <c r="C59" s="1">
        <v>370</v>
      </c>
      <c r="D59" s="1">
        <v>120</v>
      </c>
      <c r="E59" s="1">
        <v>275</v>
      </c>
      <c r="F59" s="1">
        <v>190</v>
      </c>
      <c r="G59" s="8">
        <v>1</v>
      </c>
      <c r="H59" s="1">
        <v>180</v>
      </c>
      <c r="I59" s="1" t="s">
        <v>143</v>
      </c>
      <c r="J59" s="1"/>
      <c r="K59" s="1">
        <v>275</v>
      </c>
      <c r="L59" s="1">
        <f t="shared" si="14"/>
        <v>0</v>
      </c>
      <c r="M59" s="1"/>
      <c r="N59" s="1"/>
      <c r="O59" s="1">
        <v>60</v>
      </c>
      <c r="P59" s="1">
        <f t="shared" si="15"/>
        <v>55</v>
      </c>
      <c r="Q59" s="5">
        <v>520</v>
      </c>
      <c r="R59" s="5">
        <f t="shared" si="21"/>
        <v>393.5</v>
      </c>
      <c r="S59" s="5">
        <f t="shared" si="9"/>
        <v>420</v>
      </c>
      <c r="T59" s="29"/>
      <c r="U59" s="29"/>
      <c r="V59" s="1">
        <f t="shared" si="16"/>
        <v>12.181818181818182</v>
      </c>
      <c r="W59" s="1">
        <f t="shared" si="17"/>
        <v>4.5454545454545459</v>
      </c>
      <c r="X59" s="1">
        <v>44</v>
      </c>
      <c r="Y59" s="1">
        <v>54</v>
      </c>
      <c r="Z59" s="1">
        <v>64</v>
      </c>
      <c r="AA59" s="1">
        <v>69</v>
      </c>
      <c r="AB59" s="1">
        <v>57</v>
      </c>
      <c r="AC59" s="1">
        <v>45</v>
      </c>
      <c r="AD59" s="1">
        <v>51</v>
      </c>
      <c r="AE59" s="1">
        <v>88</v>
      </c>
      <c r="AF59" s="1">
        <v>77</v>
      </c>
      <c r="AG59" s="1">
        <v>56</v>
      </c>
      <c r="AH59" s="1"/>
      <c r="AI59" s="1">
        <f t="shared" si="10"/>
        <v>393.5</v>
      </c>
      <c r="AJ59" s="8">
        <v>5</v>
      </c>
      <c r="AK59" s="10">
        <f t="shared" si="11"/>
        <v>84</v>
      </c>
      <c r="AL59" s="1">
        <f t="shared" si="12"/>
        <v>420</v>
      </c>
      <c r="AM59" s="1">
        <v>12</v>
      </c>
      <c r="AN59" s="1">
        <v>144</v>
      </c>
      <c r="AO59" s="10">
        <f t="shared" si="13"/>
        <v>0.58333333333333337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144</v>
      </c>
      <c r="B60" s="1" t="s">
        <v>42</v>
      </c>
      <c r="C60" s="1">
        <v>27</v>
      </c>
      <c r="D60" s="1">
        <v>32</v>
      </c>
      <c r="E60" s="18">
        <f>59+E61</f>
        <v>507</v>
      </c>
      <c r="F60" s="18">
        <f>0+F61</f>
        <v>795</v>
      </c>
      <c r="G60" s="8">
        <v>1</v>
      </c>
      <c r="H60" s="1">
        <v>180</v>
      </c>
      <c r="I60" s="1" t="s">
        <v>145</v>
      </c>
      <c r="J60" s="1"/>
      <c r="K60" s="1">
        <v>59</v>
      </c>
      <c r="L60" s="1">
        <f t="shared" si="14"/>
        <v>448</v>
      </c>
      <c r="M60" s="1"/>
      <c r="N60" s="1"/>
      <c r="O60" s="1">
        <v>0</v>
      </c>
      <c r="P60" s="1">
        <f t="shared" si="15"/>
        <v>101.4</v>
      </c>
      <c r="Q60" s="5">
        <v>624.60000000000014</v>
      </c>
      <c r="R60" s="5">
        <f t="shared" si="21"/>
        <v>391.38000000000011</v>
      </c>
      <c r="S60" s="5">
        <f t="shared" si="9"/>
        <v>420</v>
      </c>
      <c r="T60" s="29"/>
      <c r="U60" s="29"/>
      <c r="V60" s="1">
        <f t="shared" si="16"/>
        <v>11.982248520710058</v>
      </c>
      <c r="W60" s="1">
        <f t="shared" si="17"/>
        <v>7.840236686390532</v>
      </c>
      <c r="X60" s="1">
        <v>86.2</v>
      </c>
      <c r="Y60" s="1">
        <v>133.19999999999999</v>
      </c>
      <c r="Z60" s="1">
        <v>3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 t="s">
        <v>146</v>
      </c>
      <c r="AI60" s="1">
        <f t="shared" si="10"/>
        <v>391.38000000000011</v>
      </c>
      <c r="AJ60" s="8">
        <v>5</v>
      </c>
      <c r="AK60" s="10">
        <f t="shared" si="11"/>
        <v>84</v>
      </c>
      <c r="AL60" s="1">
        <f t="shared" si="12"/>
        <v>420</v>
      </c>
      <c r="AM60" s="1">
        <v>12</v>
      </c>
      <c r="AN60" s="1">
        <v>84</v>
      </c>
      <c r="AO60" s="10">
        <f t="shared" si="13"/>
        <v>1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4" t="s">
        <v>147</v>
      </c>
      <c r="B61" s="14" t="s">
        <v>42</v>
      </c>
      <c r="C61" s="14">
        <v>-1</v>
      </c>
      <c r="D61" s="14">
        <v>1321</v>
      </c>
      <c r="E61" s="18">
        <v>448</v>
      </c>
      <c r="F61" s="18">
        <v>795</v>
      </c>
      <c r="G61" s="15">
        <v>0</v>
      </c>
      <c r="H61" s="14">
        <v>180</v>
      </c>
      <c r="I61" s="14" t="s">
        <v>52</v>
      </c>
      <c r="J61" s="14" t="s">
        <v>144</v>
      </c>
      <c r="K61" s="14">
        <v>448</v>
      </c>
      <c r="L61" s="14">
        <f t="shared" si="14"/>
        <v>0</v>
      </c>
      <c r="M61" s="14"/>
      <c r="N61" s="14"/>
      <c r="O61" s="14"/>
      <c r="P61" s="14">
        <f t="shared" si="15"/>
        <v>89.6</v>
      </c>
      <c r="Q61" s="16"/>
      <c r="R61" s="16"/>
      <c r="S61" s="16"/>
      <c r="T61" s="29"/>
      <c r="U61" s="29"/>
      <c r="V61" s="14">
        <f t="shared" si="16"/>
        <v>8.8727678571428577</v>
      </c>
      <c r="W61" s="14">
        <f t="shared" si="17"/>
        <v>8.8727678571428577</v>
      </c>
      <c r="X61" s="14">
        <v>0.2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/>
      <c r="AI61" s="14"/>
      <c r="AJ61" s="15"/>
      <c r="AK61" s="17"/>
      <c r="AL61" s="14"/>
      <c r="AM61" s="14"/>
      <c r="AN61" s="14"/>
      <c r="AO61" s="17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148</v>
      </c>
      <c r="B62" s="1" t="s">
        <v>85</v>
      </c>
      <c r="C62" s="1">
        <v>388.5</v>
      </c>
      <c r="D62" s="1">
        <v>207.2</v>
      </c>
      <c r="E62" s="1">
        <v>340.4</v>
      </c>
      <c r="F62" s="1">
        <v>236.8</v>
      </c>
      <c r="G62" s="8">
        <v>1</v>
      </c>
      <c r="H62" s="1">
        <v>180</v>
      </c>
      <c r="I62" s="1" t="s">
        <v>149</v>
      </c>
      <c r="J62" s="1"/>
      <c r="K62" s="1">
        <v>338.4</v>
      </c>
      <c r="L62" s="1">
        <f t="shared" si="14"/>
        <v>2</v>
      </c>
      <c r="M62" s="1"/>
      <c r="N62" s="1"/>
      <c r="O62" s="1">
        <v>207.2</v>
      </c>
      <c r="P62" s="1">
        <f t="shared" si="15"/>
        <v>68.08</v>
      </c>
      <c r="Q62" s="5">
        <v>509.12000000000006</v>
      </c>
      <c r="R62" s="5">
        <f>14*P62-O62-F62+$R$1*P62</f>
        <v>352.53600000000006</v>
      </c>
      <c r="S62" s="5">
        <f t="shared" ref="S62:S79" si="22">AJ62*AK62</f>
        <v>362.6</v>
      </c>
      <c r="T62" s="29"/>
      <c r="U62" s="29"/>
      <c r="V62" s="1">
        <f t="shared" si="16"/>
        <v>11.847826086956522</v>
      </c>
      <c r="W62" s="1">
        <f t="shared" si="17"/>
        <v>6.5217391304347831</v>
      </c>
      <c r="X62" s="1">
        <v>59.2</v>
      </c>
      <c r="Y62" s="1">
        <v>74</v>
      </c>
      <c r="Z62" s="1">
        <v>84.36</v>
      </c>
      <c r="AA62" s="1">
        <v>80.66</v>
      </c>
      <c r="AB62" s="1">
        <v>81.400000000000006</v>
      </c>
      <c r="AC62" s="1">
        <v>71.039999999999992</v>
      </c>
      <c r="AD62" s="1">
        <v>89.539999999999992</v>
      </c>
      <c r="AE62" s="1">
        <v>79.97999999999999</v>
      </c>
      <c r="AF62" s="1">
        <v>71.039999999999992</v>
      </c>
      <c r="AG62" s="1">
        <v>62.16</v>
      </c>
      <c r="AH62" s="1"/>
      <c r="AI62" s="1">
        <f t="shared" ref="AI62:AI81" si="23">G62*R62</f>
        <v>352.53600000000006</v>
      </c>
      <c r="AJ62" s="8">
        <v>3.7</v>
      </c>
      <c r="AK62" s="10">
        <f t="shared" ref="AK62:AK79" si="24">MROUND(R62, AJ62*AM62)/AJ62</f>
        <v>98</v>
      </c>
      <c r="AL62" s="1">
        <f t="shared" ref="AL62:AL79" si="25">AK62*AJ62*G62</f>
        <v>362.6</v>
      </c>
      <c r="AM62" s="1">
        <v>14</v>
      </c>
      <c r="AN62" s="1">
        <v>126</v>
      </c>
      <c r="AO62" s="10">
        <f t="shared" ref="AO62:AO81" si="26">AK62/AN62</f>
        <v>0.77777777777777779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150</v>
      </c>
      <c r="B63" s="1" t="s">
        <v>42</v>
      </c>
      <c r="C63" s="1">
        <v>748</v>
      </c>
      <c r="D63" s="1">
        <v>420</v>
      </c>
      <c r="E63" s="1">
        <v>324</v>
      </c>
      <c r="F63" s="1">
        <v>840</v>
      </c>
      <c r="G63" s="8">
        <v>0.09</v>
      </c>
      <c r="H63" s="1">
        <v>180</v>
      </c>
      <c r="I63" s="1" t="s">
        <v>151</v>
      </c>
      <c r="J63" s="1"/>
      <c r="K63" s="1">
        <v>324</v>
      </c>
      <c r="L63" s="1">
        <f t="shared" si="14"/>
        <v>0</v>
      </c>
      <c r="M63" s="1"/>
      <c r="N63" s="1"/>
      <c r="O63" s="1">
        <v>0</v>
      </c>
      <c r="P63" s="1">
        <f t="shared" si="15"/>
        <v>64.8</v>
      </c>
      <c r="Q63" s="5">
        <v>261.59999999999991</v>
      </c>
      <c r="R63" s="5"/>
      <c r="S63" s="5">
        <f t="shared" si="22"/>
        <v>0</v>
      </c>
      <c r="T63" s="29"/>
      <c r="U63" s="29"/>
      <c r="V63" s="1">
        <f t="shared" si="16"/>
        <v>12.962962962962964</v>
      </c>
      <c r="W63" s="1">
        <f t="shared" si="17"/>
        <v>12.962962962962964</v>
      </c>
      <c r="X63" s="1">
        <v>11.8</v>
      </c>
      <c r="Y63" s="1">
        <v>70</v>
      </c>
      <c r="Z63" s="1">
        <v>73.400000000000006</v>
      </c>
      <c r="AA63" s="1">
        <v>52</v>
      </c>
      <c r="AB63" s="1">
        <v>43.6</v>
      </c>
      <c r="AC63" s="1">
        <v>50.2</v>
      </c>
      <c r="AD63" s="1">
        <v>70.2</v>
      </c>
      <c r="AE63" s="1">
        <v>70.599999999999994</v>
      </c>
      <c r="AF63" s="1">
        <v>66</v>
      </c>
      <c r="AG63" s="1">
        <v>58.8</v>
      </c>
      <c r="AH63" s="23" t="s">
        <v>183</v>
      </c>
      <c r="AI63" s="1">
        <f t="shared" si="23"/>
        <v>0</v>
      </c>
      <c r="AJ63" s="8">
        <v>30</v>
      </c>
      <c r="AK63" s="10">
        <f t="shared" si="24"/>
        <v>0</v>
      </c>
      <c r="AL63" s="1">
        <f t="shared" si="25"/>
        <v>0</v>
      </c>
      <c r="AM63" s="1">
        <v>14</v>
      </c>
      <c r="AN63" s="1">
        <v>126</v>
      </c>
      <c r="AO63" s="10">
        <f t="shared" si="26"/>
        <v>0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152</v>
      </c>
      <c r="B64" s="1" t="s">
        <v>42</v>
      </c>
      <c r="C64" s="1">
        <v>158</v>
      </c>
      <c r="D64" s="1">
        <v>336</v>
      </c>
      <c r="E64" s="1">
        <v>282</v>
      </c>
      <c r="F64" s="1">
        <v>-4</v>
      </c>
      <c r="G64" s="8">
        <v>0.23</v>
      </c>
      <c r="H64" s="1">
        <v>180</v>
      </c>
      <c r="I64" s="1" t="s">
        <v>153</v>
      </c>
      <c r="J64" s="1"/>
      <c r="K64" s="1">
        <v>450</v>
      </c>
      <c r="L64" s="1">
        <f t="shared" si="14"/>
        <v>-168</v>
      </c>
      <c r="M64" s="1"/>
      <c r="N64" s="1"/>
      <c r="O64" s="1">
        <v>0</v>
      </c>
      <c r="P64" s="1">
        <f t="shared" si="15"/>
        <v>56.4</v>
      </c>
      <c r="Q64" s="5">
        <v>568</v>
      </c>
      <c r="R64" s="5">
        <f>T64</f>
        <v>1200</v>
      </c>
      <c r="S64" s="5">
        <f t="shared" si="22"/>
        <v>1176</v>
      </c>
      <c r="T64" s="29">
        <f>VLOOKUP(A64,[1]Sheet!$A:$T,19,0)</f>
        <v>1200</v>
      </c>
      <c r="U64" s="29" t="str">
        <f>VLOOKUP(A64,[1]Sheet!$A:$T,20,0)</f>
        <v>промо спар</v>
      </c>
      <c r="V64" s="1">
        <f t="shared" si="16"/>
        <v>20.780141843971631</v>
      </c>
      <c r="W64" s="1">
        <f t="shared" si="17"/>
        <v>-7.0921985815602842E-2</v>
      </c>
      <c r="X64" s="1">
        <v>25</v>
      </c>
      <c r="Y64" s="1">
        <v>45.2</v>
      </c>
      <c r="Z64" s="1">
        <v>30.8</v>
      </c>
      <c r="AA64" s="1">
        <v>35</v>
      </c>
      <c r="AB64" s="1">
        <v>36</v>
      </c>
      <c r="AC64" s="1">
        <v>30.2</v>
      </c>
      <c r="AD64" s="1">
        <v>20.8</v>
      </c>
      <c r="AE64" s="1">
        <v>20.6</v>
      </c>
      <c r="AF64" s="1">
        <v>28.8</v>
      </c>
      <c r="AG64" s="1">
        <v>39.6</v>
      </c>
      <c r="AH64" s="1"/>
      <c r="AI64" s="1">
        <f t="shared" si="23"/>
        <v>276</v>
      </c>
      <c r="AJ64" s="8">
        <v>6</v>
      </c>
      <c r="AK64" s="10">
        <f t="shared" si="24"/>
        <v>196</v>
      </c>
      <c r="AL64" s="1">
        <f t="shared" si="25"/>
        <v>270.48</v>
      </c>
      <c r="AM64" s="1">
        <v>14</v>
      </c>
      <c r="AN64" s="1">
        <v>140</v>
      </c>
      <c r="AO64" s="10">
        <f t="shared" si="26"/>
        <v>1.4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57</v>
      </c>
      <c r="B65" s="1" t="s">
        <v>42</v>
      </c>
      <c r="C65" s="1">
        <v>-20</v>
      </c>
      <c r="D65" s="1">
        <v>212</v>
      </c>
      <c r="E65" s="18">
        <f>192+E12</f>
        <v>584</v>
      </c>
      <c r="F65" s="18">
        <f>0+F12</f>
        <v>966</v>
      </c>
      <c r="G65" s="8">
        <v>0.25</v>
      </c>
      <c r="H65" s="1">
        <v>180</v>
      </c>
      <c r="I65" s="1" t="s">
        <v>154</v>
      </c>
      <c r="J65" s="1"/>
      <c r="K65" s="1">
        <v>192</v>
      </c>
      <c r="L65" s="1">
        <f t="shared" si="14"/>
        <v>392</v>
      </c>
      <c r="M65" s="1"/>
      <c r="N65" s="1"/>
      <c r="O65" s="1">
        <v>0</v>
      </c>
      <c r="P65" s="1">
        <f t="shared" si="15"/>
        <v>116.8</v>
      </c>
      <c r="Q65" s="5">
        <v>669.2</v>
      </c>
      <c r="R65" s="5">
        <f t="shared" ref="R65:R66" si="27">14*P65-O65-F65+$R$1*P65</f>
        <v>400.56000000000006</v>
      </c>
      <c r="S65" s="5">
        <f t="shared" si="22"/>
        <v>336</v>
      </c>
      <c r="T65" s="29"/>
      <c r="U65" s="29"/>
      <c r="V65" s="1">
        <f t="shared" si="16"/>
        <v>11.147260273972604</v>
      </c>
      <c r="W65" s="1">
        <f t="shared" si="17"/>
        <v>8.2705479452054789</v>
      </c>
      <c r="X65" s="1">
        <v>101.4</v>
      </c>
      <c r="Y65" s="1">
        <v>90.6</v>
      </c>
      <c r="Z65" s="1">
        <v>149.6</v>
      </c>
      <c r="AA65" s="1">
        <v>109.4</v>
      </c>
      <c r="AB65" s="1">
        <v>89.6</v>
      </c>
      <c r="AC65" s="1">
        <v>130.19999999999999</v>
      </c>
      <c r="AD65" s="1">
        <v>153.4</v>
      </c>
      <c r="AE65" s="1">
        <v>160.4</v>
      </c>
      <c r="AF65" s="1">
        <v>161.6</v>
      </c>
      <c r="AG65" s="1">
        <v>139.80000000000001</v>
      </c>
      <c r="AH65" s="1"/>
      <c r="AI65" s="1">
        <f t="shared" si="23"/>
        <v>100.14000000000001</v>
      </c>
      <c r="AJ65" s="8">
        <v>12</v>
      </c>
      <c r="AK65" s="10">
        <f t="shared" si="24"/>
        <v>28</v>
      </c>
      <c r="AL65" s="1">
        <f t="shared" si="25"/>
        <v>84</v>
      </c>
      <c r="AM65" s="1">
        <v>14</v>
      </c>
      <c r="AN65" s="1">
        <v>70</v>
      </c>
      <c r="AO65" s="10">
        <f t="shared" si="26"/>
        <v>0.4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59</v>
      </c>
      <c r="B66" s="1" t="s">
        <v>42</v>
      </c>
      <c r="C66" s="1">
        <v>-8</v>
      </c>
      <c r="D66" s="1">
        <v>8</v>
      </c>
      <c r="E66" s="18">
        <f>0+E13</f>
        <v>285</v>
      </c>
      <c r="F66" s="1"/>
      <c r="G66" s="8">
        <v>0.25</v>
      </c>
      <c r="H66" s="1">
        <v>180</v>
      </c>
      <c r="I66" s="1" t="s">
        <v>155</v>
      </c>
      <c r="J66" s="1"/>
      <c r="K66" s="1"/>
      <c r="L66" s="1">
        <f t="shared" si="14"/>
        <v>285</v>
      </c>
      <c r="M66" s="1"/>
      <c r="N66" s="1"/>
      <c r="O66" s="1">
        <v>504</v>
      </c>
      <c r="P66" s="1">
        <f t="shared" si="15"/>
        <v>57</v>
      </c>
      <c r="Q66" s="5">
        <v>294</v>
      </c>
      <c r="R66" s="5">
        <f t="shared" si="27"/>
        <v>162.9</v>
      </c>
      <c r="S66" s="5">
        <f t="shared" si="22"/>
        <v>168</v>
      </c>
      <c r="T66" s="29"/>
      <c r="U66" s="29"/>
      <c r="V66" s="1">
        <f t="shared" si="16"/>
        <v>11.789473684210526</v>
      </c>
      <c r="W66" s="1">
        <f t="shared" si="17"/>
        <v>8.8421052631578956</v>
      </c>
      <c r="X66" s="1">
        <v>67.599999999999994</v>
      </c>
      <c r="Y66" s="1">
        <v>116.6</v>
      </c>
      <c r="Z66" s="1">
        <v>97.8</v>
      </c>
      <c r="AA66" s="1">
        <v>75.400000000000006</v>
      </c>
      <c r="AB66" s="1">
        <v>95</v>
      </c>
      <c r="AC66" s="1">
        <v>79.2</v>
      </c>
      <c r="AD66" s="1">
        <v>94.6</v>
      </c>
      <c r="AE66" s="1">
        <v>79</v>
      </c>
      <c r="AF66" s="1">
        <v>69</v>
      </c>
      <c r="AG66" s="1">
        <v>71.400000000000006</v>
      </c>
      <c r="AH66" s="1"/>
      <c r="AI66" s="1">
        <f t="shared" si="23"/>
        <v>40.725000000000001</v>
      </c>
      <c r="AJ66" s="8">
        <v>12</v>
      </c>
      <c r="AK66" s="10">
        <f t="shared" si="24"/>
        <v>14</v>
      </c>
      <c r="AL66" s="1">
        <f t="shared" si="25"/>
        <v>42</v>
      </c>
      <c r="AM66" s="1">
        <v>14</v>
      </c>
      <c r="AN66" s="1">
        <v>70</v>
      </c>
      <c r="AO66" s="10">
        <f t="shared" si="26"/>
        <v>0.2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156</v>
      </c>
      <c r="B67" s="1" t="s">
        <v>42</v>
      </c>
      <c r="C67" s="1">
        <v>41</v>
      </c>
      <c r="D67" s="1"/>
      <c r="E67" s="1">
        <v>4</v>
      </c>
      <c r="F67" s="1">
        <v>37</v>
      </c>
      <c r="G67" s="8">
        <v>0.18</v>
      </c>
      <c r="H67" s="1">
        <v>180</v>
      </c>
      <c r="I67" s="1" t="s">
        <v>157</v>
      </c>
      <c r="J67" s="1"/>
      <c r="K67" s="1">
        <v>4</v>
      </c>
      <c r="L67" s="1">
        <f t="shared" si="14"/>
        <v>0</v>
      </c>
      <c r="M67" s="1"/>
      <c r="N67" s="1"/>
      <c r="O67" s="1">
        <v>0</v>
      </c>
      <c r="P67" s="1">
        <f t="shared" si="15"/>
        <v>0.8</v>
      </c>
      <c r="Q67" s="5"/>
      <c r="R67" s="5"/>
      <c r="S67" s="5">
        <f t="shared" si="22"/>
        <v>0</v>
      </c>
      <c r="T67" s="29"/>
      <c r="U67" s="29"/>
      <c r="V67" s="1">
        <f t="shared" si="16"/>
        <v>46.25</v>
      </c>
      <c r="W67" s="1">
        <f t="shared" si="17"/>
        <v>46.25</v>
      </c>
      <c r="X67" s="1">
        <v>1.6</v>
      </c>
      <c r="Y67" s="1">
        <v>3.2</v>
      </c>
      <c r="Z67" s="1">
        <v>2</v>
      </c>
      <c r="AA67" s="1">
        <v>0.2</v>
      </c>
      <c r="AB67" s="1">
        <v>0.6</v>
      </c>
      <c r="AC67" s="1">
        <v>0.8</v>
      </c>
      <c r="AD67" s="1">
        <v>2.2000000000000002</v>
      </c>
      <c r="AE67" s="1">
        <v>1.8</v>
      </c>
      <c r="AF67" s="1">
        <v>2.4</v>
      </c>
      <c r="AG67" s="1">
        <v>1.8</v>
      </c>
      <c r="AH67" s="21" t="s">
        <v>160</v>
      </c>
      <c r="AI67" s="1">
        <f t="shared" si="23"/>
        <v>0</v>
      </c>
      <c r="AJ67" s="8">
        <v>6</v>
      </c>
      <c r="AK67" s="10">
        <f t="shared" si="24"/>
        <v>0</v>
      </c>
      <c r="AL67" s="1">
        <f t="shared" si="25"/>
        <v>0</v>
      </c>
      <c r="AM67" s="1">
        <v>14</v>
      </c>
      <c r="AN67" s="1">
        <v>140</v>
      </c>
      <c r="AO67" s="10">
        <f t="shared" si="26"/>
        <v>0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158</v>
      </c>
      <c r="B68" s="1" t="s">
        <v>42</v>
      </c>
      <c r="C68" s="1">
        <v>125</v>
      </c>
      <c r="D68" s="1"/>
      <c r="E68" s="1">
        <v>17</v>
      </c>
      <c r="F68" s="1">
        <v>108</v>
      </c>
      <c r="G68" s="8">
        <v>0.18</v>
      </c>
      <c r="H68" s="1">
        <v>180</v>
      </c>
      <c r="I68" s="1" t="s">
        <v>159</v>
      </c>
      <c r="J68" s="1"/>
      <c r="K68" s="1">
        <v>17</v>
      </c>
      <c r="L68" s="1">
        <f t="shared" si="14"/>
        <v>0</v>
      </c>
      <c r="M68" s="1"/>
      <c r="N68" s="1"/>
      <c r="O68" s="1">
        <v>0</v>
      </c>
      <c r="P68" s="1">
        <f t="shared" si="15"/>
        <v>3.4</v>
      </c>
      <c r="Q68" s="5"/>
      <c r="R68" s="5"/>
      <c r="S68" s="5">
        <f t="shared" si="22"/>
        <v>0</v>
      </c>
      <c r="T68" s="29"/>
      <c r="U68" s="29"/>
      <c r="V68" s="1">
        <f t="shared" si="16"/>
        <v>31.764705882352942</v>
      </c>
      <c r="W68" s="1">
        <f t="shared" si="17"/>
        <v>31.764705882352942</v>
      </c>
      <c r="X68" s="1">
        <v>0.8</v>
      </c>
      <c r="Y68" s="1">
        <v>3.2</v>
      </c>
      <c r="Z68" s="1">
        <v>6.8</v>
      </c>
      <c r="AA68" s="1">
        <v>3.4</v>
      </c>
      <c r="AB68" s="1">
        <v>3.2</v>
      </c>
      <c r="AC68" s="1">
        <v>3.8</v>
      </c>
      <c r="AD68" s="1">
        <v>3</v>
      </c>
      <c r="AE68" s="1">
        <v>10.199999999999999</v>
      </c>
      <c r="AF68" s="1">
        <v>12.2</v>
      </c>
      <c r="AG68" s="1">
        <v>3.4</v>
      </c>
      <c r="AH68" s="21" t="s">
        <v>160</v>
      </c>
      <c r="AI68" s="1">
        <f t="shared" si="23"/>
        <v>0</v>
      </c>
      <c r="AJ68" s="8">
        <v>6</v>
      </c>
      <c r="AK68" s="10">
        <f t="shared" si="24"/>
        <v>0</v>
      </c>
      <c r="AL68" s="1">
        <f t="shared" si="25"/>
        <v>0</v>
      </c>
      <c r="AM68" s="1">
        <v>14</v>
      </c>
      <c r="AN68" s="1">
        <v>140</v>
      </c>
      <c r="AO68" s="10">
        <f t="shared" si="26"/>
        <v>0</v>
      </c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161</v>
      </c>
      <c r="B69" s="1" t="s">
        <v>42</v>
      </c>
      <c r="C69" s="1">
        <v>129</v>
      </c>
      <c r="D69" s="1"/>
      <c r="E69" s="1">
        <v>4</v>
      </c>
      <c r="F69" s="1">
        <v>125</v>
      </c>
      <c r="G69" s="8">
        <v>0.18</v>
      </c>
      <c r="H69" s="1">
        <v>180</v>
      </c>
      <c r="I69" s="1" t="s">
        <v>162</v>
      </c>
      <c r="J69" s="1"/>
      <c r="K69" s="1">
        <v>4</v>
      </c>
      <c r="L69" s="1">
        <f t="shared" si="14"/>
        <v>0</v>
      </c>
      <c r="M69" s="1"/>
      <c r="N69" s="1"/>
      <c r="O69" s="1">
        <v>0</v>
      </c>
      <c r="P69" s="1">
        <f t="shared" si="15"/>
        <v>0.8</v>
      </c>
      <c r="Q69" s="5"/>
      <c r="R69" s="5"/>
      <c r="S69" s="5">
        <f t="shared" si="22"/>
        <v>0</v>
      </c>
      <c r="T69" s="29"/>
      <c r="U69" s="29"/>
      <c r="V69" s="1">
        <f t="shared" si="16"/>
        <v>156.25</v>
      </c>
      <c r="W69" s="1">
        <f t="shared" si="17"/>
        <v>156.25</v>
      </c>
      <c r="X69" s="1">
        <v>0.4</v>
      </c>
      <c r="Y69" s="1">
        <v>3.2</v>
      </c>
      <c r="Z69" s="1">
        <v>1.6</v>
      </c>
      <c r="AA69" s="1">
        <v>2.4</v>
      </c>
      <c r="AB69" s="1">
        <v>1</v>
      </c>
      <c r="AC69" s="1">
        <v>0.4</v>
      </c>
      <c r="AD69" s="1">
        <v>1.8</v>
      </c>
      <c r="AE69" s="1">
        <v>9</v>
      </c>
      <c r="AF69" s="1">
        <v>8.4</v>
      </c>
      <c r="AG69" s="1">
        <v>1.4</v>
      </c>
      <c r="AH69" s="21" t="s">
        <v>160</v>
      </c>
      <c r="AI69" s="1">
        <f t="shared" si="23"/>
        <v>0</v>
      </c>
      <c r="AJ69" s="8">
        <v>6</v>
      </c>
      <c r="AK69" s="10">
        <f t="shared" si="24"/>
        <v>0</v>
      </c>
      <c r="AL69" s="1">
        <f t="shared" si="25"/>
        <v>0</v>
      </c>
      <c r="AM69" s="1">
        <v>14</v>
      </c>
      <c r="AN69" s="1">
        <v>140</v>
      </c>
      <c r="AO69" s="10">
        <f t="shared" si="26"/>
        <v>0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163</v>
      </c>
      <c r="B70" s="1" t="s">
        <v>42</v>
      </c>
      <c r="C70" s="1">
        <v>367</v>
      </c>
      <c r="D70" s="1">
        <v>1181</v>
      </c>
      <c r="E70" s="1">
        <v>794</v>
      </c>
      <c r="F70" s="1">
        <v>734</v>
      </c>
      <c r="G70" s="8">
        <v>0.3</v>
      </c>
      <c r="H70" s="1">
        <v>180</v>
      </c>
      <c r="I70" s="1" t="s">
        <v>164</v>
      </c>
      <c r="J70" s="1"/>
      <c r="K70" s="1">
        <v>799</v>
      </c>
      <c r="L70" s="1">
        <f t="shared" ref="L70:L79" si="28">E70-K70</f>
        <v>-5</v>
      </c>
      <c r="M70" s="1"/>
      <c r="N70" s="1"/>
      <c r="O70" s="1">
        <v>168</v>
      </c>
      <c r="P70" s="1">
        <f t="shared" ref="P70:P79" si="29">E70/5</f>
        <v>158.80000000000001</v>
      </c>
      <c r="Q70" s="5">
        <v>1321.2000000000003</v>
      </c>
      <c r="R70" s="5">
        <f t="shared" ref="R70:R71" si="30">14*P70-O70-F70+$R$1*P70</f>
        <v>955.96000000000026</v>
      </c>
      <c r="S70" s="5">
        <f t="shared" si="22"/>
        <v>1008</v>
      </c>
      <c r="T70" s="29"/>
      <c r="U70" s="29"/>
      <c r="V70" s="1">
        <f t="shared" ref="V70:V79" si="31">(F70+O70+S70)/P70</f>
        <v>12.02770780856423</v>
      </c>
      <c r="W70" s="1">
        <f t="shared" ref="W70:W79" si="32">(F70+O70)/P70</f>
        <v>5.6801007556675058</v>
      </c>
      <c r="X70" s="1">
        <v>134.4</v>
      </c>
      <c r="Y70" s="1">
        <v>182.8</v>
      </c>
      <c r="Z70" s="1">
        <v>151.19999999999999</v>
      </c>
      <c r="AA70" s="1">
        <v>113.6</v>
      </c>
      <c r="AB70" s="1">
        <v>124.4</v>
      </c>
      <c r="AC70" s="1">
        <v>114</v>
      </c>
      <c r="AD70" s="1">
        <v>146.80000000000001</v>
      </c>
      <c r="AE70" s="1">
        <v>166.4</v>
      </c>
      <c r="AF70" s="1">
        <v>162.4</v>
      </c>
      <c r="AG70" s="1">
        <v>173.4</v>
      </c>
      <c r="AH70" s="1"/>
      <c r="AI70" s="1">
        <f t="shared" si="23"/>
        <v>286.78800000000007</v>
      </c>
      <c r="AJ70" s="8">
        <v>12</v>
      </c>
      <c r="AK70" s="10">
        <f t="shared" si="24"/>
        <v>84</v>
      </c>
      <c r="AL70" s="1">
        <f t="shared" si="25"/>
        <v>302.39999999999998</v>
      </c>
      <c r="AM70" s="1">
        <v>14</v>
      </c>
      <c r="AN70" s="1">
        <v>70</v>
      </c>
      <c r="AO70" s="10">
        <f t="shared" si="26"/>
        <v>1.2</v>
      </c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165</v>
      </c>
      <c r="B71" s="1" t="s">
        <v>42</v>
      </c>
      <c r="C71" s="1">
        <v>770</v>
      </c>
      <c r="D71" s="1">
        <v>5</v>
      </c>
      <c r="E71" s="1">
        <v>541</v>
      </c>
      <c r="F71" s="1">
        <v>218</v>
      </c>
      <c r="G71" s="8">
        <v>0.3</v>
      </c>
      <c r="H71" s="1">
        <v>180</v>
      </c>
      <c r="I71" s="1" t="s">
        <v>166</v>
      </c>
      <c r="J71" s="1"/>
      <c r="K71" s="1">
        <v>546</v>
      </c>
      <c r="L71" s="1">
        <f t="shared" si="28"/>
        <v>-5</v>
      </c>
      <c r="M71" s="1"/>
      <c r="N71" s="1"/>
      <c r="O71" s="1">
        <v>504</v>
      </c>
      <c r="P71" s="1">
        <f t="shared" si="29"/>
        <v>108.2</v>
      </c>
      <c r="Q71" s="5">
        <v>792.8</v>
      </c>
      <c r="R71" s="5">
        <f t="shared" si="30"/>
        <v>543.93999999999994</v>
      </c>
      <c r="S71" s="5">
        <f t="shared" si="22"/>
        <v>504</v>
      </c>
      <c r="T71" s="29"/>
      <c r="U71" s="29"/>
      <c r="V71" s="1">
        <f t="shared" si="31"/>
        <v>11.330868761552679</v>
      </c>
      <c r="W71" s="1">
        <f t="shared" si="32"/>
        <v>6.6728280961182991</v>
      </c>
      <c r="X71" s="1">
        <v>99</v>
      </c>
      <c r="Y71" s="1">
        <v>99.2</v>
      </c>
      <c r="Z71" s="1">
        <v>131.6</v>
      </c>
      <c r="AA71" s="1">
        <v>91.4</v>
      </c>
      <c r="AB71" s="1">
        <v>116</v>
      </c>
      <c r="AC71" s="1">
        <v>102.8</v>
      </c>
      <c r="AD71" s="1">
        <v>114.2</v>
      </c>
      <c r="AE71" s="1">
        <v>123.4</v>
      </c>
      <c r="AF71" s="1">
        <v>111.4</v>
      </c>
      <c r="AG71" s="1">
        <v>109.4</v>
      </c>
      <c r="AH71" s="1"/>
      <c r="AI71" s="1">
        <f t="shared" si="23"/>
        <v>163.18199999999999</v>
      </c>
      <c r="AJ71" s="8">
        <v>12</v>
      </c>
      <c r="AK71" s="10">
        <f t="shared" si="24"/>
        <v>42</v>
      </c>
      <c r="AL71" s="1">
        <f t="shared" si="25"/>
        <v>151.19999999999999</v>
      </c>
      <c r="AM71" s="1">
        <v>14</v>
      </c>
      <c r="AN71" s="1">
        <v>70</v>
      </c>
      <c r="AO71" s="10">
        <f t="shared" si="26"/>
        <v>0.6</v>
      </c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68</v>
      </c>
      <c r="B72" s="1" t="s">
        <v>42</v>
      </c>
      <c r="C72" s="1">
        <v>-26</v>
      </c>
      <c r="D72" s="1">
        <v>82</v>
      </c>
      <c r="E72" s="1">
        <v>56</v>
      </c>
      <c r="F72" s="18">
        <f>0+F18</f>
        <v>310</v>
      </c>
      <c r="G72" s="8">
        <v>0.3</v>
      </c>
      <c r="H72" s="1">
        <v>180</v>
      </c>
      <c r="I72" s="1" t="s">
        <v>167</v>
      </c>
      <c r="J72" s="1"/>
      <c r="K72" s="1">
        <v>70</v>
      </c>
      <c r="L72" s="1">
        <f t="shared" si="28"/>
        <v>-14</v>
      </c>
      <c r="M72" s="1"/>
      <c r="N72" s="1"/>
      <c r="O72" s="1">
        <v>392</v>
      </c>
      <c r="P72" s="1">
        <f t="shared" si="29"/>
        <v>11.2</v>
      </c>
      <c r="Q72" s="5"/>
      <c r="R72" s="5"/>
      <c r="S72" s="5">
        <f t="shared" si="22"/>
        <v>0</v>
      </c>
      <c r="T72" s="29"/>
      <c r="U72" s="29"/>
      <c r="V72" s="1">
        <f t="shared" si="31"/>
        <v>62.678571428571431</v>
      </c>
      <c r="W72" s="1">
        <f t="shared" si="32"/>
        <v>62.678571428571431</v>
      </c>
      <c r="X72" s="1">
        <v>62</v>
      </c>
      <c r="Y72" s="1">
        <v>63</v>
      </c>
      <c r="Z72" s="1">
        <v>49.8</v>
      </c>
      <c r="AA72" s="1">
        <v>38.799999999999997</v>
      </c>
      <c r="AB72" s="1">
        <v>37.6</v>
      </c>
      <c r="AC72" s="1">
        <v>29.8</v>
      </c>
      <c r="AD72" s="1">
        <v>40.4</v>
      </c>
      <c r="AE72" s="1">
        <v>24.4</v>
      </c>
      <c r="AF72" s="1">
        <v>28.8</v>
      </c>
      <c r="AG72" s="1">
        <v>40</v>
      </c>
      <c r="AH72" s="20" t="s">
        <v>182</v>
      </c>
      <c r="AI72" s="1">
        <f t="shared" si="23"/>
        <v>0</v>
      </c>
      <c r="AJ72" s="8">
        <v>14</v>
      </c>
      <c r="AK72" s="10">
        <f t="shared" si="24"/>
        <v>0</v>
      </c>
      <c r="AL72" s="1">
        <f t="shared" si="25"/>
        <v>0</v>
      </c>
      <c r="AM72" s="1">
        <v>14</v>
      </c>
      <c r="AN72" s="1">
        <v>70</v>
      </c>
      <c r="AO72" s="10">
        <f t="shared" si="26"/>
        <v>0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168</v>
      </c>
      <c r="B73" s="1" t="s">
        <v>42</v>
      </c>
      <c r="C73" s="1">
        <v>141</v>
      </c>
      <c r="D73" s="1">
        <v>257</v>
      </c>
      <c r="E73" s="1">
        <v>390</v>
      </c>
      <c r="F73" s="1">
        <v>3</v>
      </c>
      <c r="G73" s="8">
        <v>0.22</v>
      </c>
      <c r="H73" s="1"/>
      <c r="I73" s="1" t="s">
        <v>169</v>
      </c>
      <c r="J73" s="1"/>
      <c r="K73" s="1">
        <v>558</v>
      </c>
      <c r="L73" s="1">
        <f t="shared" si="28"/>
        <v>-168</v>
      </c>
      <c r="M73" s="1"/>
      <c r="N73" s="1"/>
      <c r="O73" s="1">
        <v>252</v>
      </c>
      <c r="P73" s="1">
        <f t="shared" si="29"/>
        <v>78</v>
      </c>
      <c r="Q73" s="5">
        <v>759</v>
      </c>
      <c r="R73" s="5">
        <f>T73</f>
        <v>1100</v>
      </c>
      <c r="S73" s="5">
        <f t="shared" si="22"/>
        <v>1092</v>
      </c>
      <c r="T73" s="29">
        <f>VLOOKUP(A73,[1]Sheet!$A:$T,19,0)</f>
        <v>1100</v>
      </c>
      <c r="U73" s="29" t="str">
        <f>VLOOKUP(A73,[1]Sheet!$A:$T,20,0)</f>
        <v>промо спар</v>
      </c>
      <c r="V73" s="1">
        <f t="shared" si="31"/>
        <v>17.26923076923077</v>
      </c>
      <c r="W73" s="1">
        <f t="shared" si="32"/>
        <v>3.2692307692307692</v>
      </c>
      <c r="X73" s="1">
        <v>51</v>
      </c>
      <c r="Y73" s="1">
        <v>55.2</v>
      </c>
      <c r="Z73" s="1">
        <v>0</v>
      </c>
      <c r="AA73" s="1">
        <v>34.200000000000003</v>
      </c>
      <c r="AB73" s="1">
        <v>50.6</v>
      </c>
      <c r="AC73" s="1">
        <v>31.8</v>
      </c>
      <c r="AD73" s="1">
        <v>16.8</v>
      </c>
      <c r="AE73" s="1">
        <v>0</v>
      </c>
      <c r="AF73" s="1">
        <v>0</v>
      </c>
      <c r="AG73" s="1">
        <v>0</v>
      </c>
      <c r="AH73" s="1"/>
      <c r="AI73" s="1">
        <f t="shared" si="23"/>
        <v>242</v>
      </c>
      <c r="AJ73" s="8">
        <v>6</v>
      </c>
      <c r="AK73" s="10">
        <f t="shared" si="24"/>
        <v>182</v>
      </c>
      <c r="AL73" s="1">
        <f t="shared" si="25"/>
        <v>240.24</v>
      </c>
      <c r="AM73" s="1">
        <v>14</v>
      </c>
      <c r="AN73" s="1">
        <v>140</v>
      </c>
      <c r="AO73" s="10">
        <f t="shared" si="26"/>
        <v>1.3</v>
      </c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171</v>
      </c>
      <c r="B74" s="1" t="s">
        <v>42</v>
      </c>
      <c r="C74" s="1">
        <v>92</v>
      </c>
      <c r="D74" s="1">
        <v>2527</v>
      </c>
      <c r="E74" s="1">
        <v>1852</v>
      </c>
      <c r="F74" s="1">
        <v>725</v>
      </c>
      <c r="G74" s="8">
        <v>0.25</v>
      </c>
      <c r="H74" s="1">
        <v>180</v>
      </c>
      <c r="I74" s="1" t="s">
        <v>172</v>
      </c>
      <c r="J74" s="1"/>
      <c r="K74" s="1">
        <v>1858</v>
      </c>
      <c r="L74" s="1">
        <f t="shared" si="28"/>
        <v>-6</v>
      </c>
      <c r="M74" s="1"/>
      <c r="N74" s="1"/>
      <c r="O74" s="1">
        <v>1512</v>
      </c>
      <c r="P74" s="1">
        <f t="shared" si="29"/>
        <v>370.4</v>
      </c>
      <c r="Q74" s="5">
        <v>2948.5999999999995</v>
      </c>
      <c r="R74" s="5">
        <f t="shared" ref="R74:R75" si="33">14*P74-O74-F74+$R$1*P74</f>
        <v>2096.6799999999994</v>
      </c>
      <c r="S74" s="5">
        <f t="shared" si="22"/>
        <v>2016</v>
      </c>
      <c r="T74" s="29"/>
      <c r="U74" s="29"/>
      <c r="V74" s="1">
        <f t="shared" si="31"/>
        <v>11.482181425485962</v>
      </c>
      <c r="W74" s="1">
        <f t="shared" si="32"/>
        <v>6.0394168466522684</v>
      </c>
      <c r="X74" s="1">
        <v>318.2</v>
      </c>
      <c r="Y74" s="1">
        <v>424.4</v>
      </c>
      <c r="Z74" s="1">
        <v>357.6</v>
      </c>
      <c r="AA74" s="1">
        <v>275.60000000000002</v>
      </c>
      <c r="AB74" s="1">
        <v>283.2</v>
      </c>
      <c r="AC74" s="1">
        <v>294.60000000000002</v>
      </c>
      <c r="AD74" s="1">
        <v>384.8</v>
      </c>
      <c r="AE74" s="1">
        <v>365.2</v>
      </c>
      <c r="AF74" s="1">
        <v>433.4</v>
      </c>
      <c r="AG74" s="1">
        <v>418.8</v>
      </c>
      <c r="AH74" s="1"/>
      <c r="AI74" s="1">
        <f t="shared" si="23"/>
        <v>524.16999999999985</v>
      </c>
      <c r="AJ74" s="8">
        <v>12</v>
      </c>
      <c r="AK74" s="10">
        <f t="shared" si="24"/>
        <v>168</v>
      </c>
      <c r="AL74" s="1">
        <f t="shared" si="25"/>
        <v>504</v>
      </c>
      <c r="AM74" s="1">
        <v>14</v>
      </c>
      <c r="AN74" s="1">
        <v>70</v>
      </c>
      <c r="AO74" s="10">
        <f t="shared" si="26"/>
        <v>2.4</v>
      </c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173</v>
      </c>
      <c r="B75" s="1" t="s">
        <v>42</v>
      </c>
      <c r="C75" s="1">
        <v>1683</v>
      </c>
      <c r="D75" s="1">
        <v>847</v>
      </c>
      <c r="E75" s="1">
        <v>1562</v>
      </c>
      <c r="F75" s="1">
        <v>929</v>
      </c>
      <c r="G75" s="8">
        <v>0.25</v>
      </c>
      <c r="H75" s="1">
        <v>180</v>
      </c>
      <c r="I75" s="1" t="s">
        <v>174</v>
      </c>
      <c r="J75" s="1"/>
      <c r="K75" s="1">
        <v>1568</v>
      </c>
      <c r="L75" s="1">
        <f t="shared" si="28"/>
        <v>-6</v>
      </c>
      <c r="M75" s="1"/>
      <c r="N75" s="1"/>
      <c r="O75" s="1">
        <v>1176</v>
      </c>
      <c r="P75" s="1">
        <f t="shared" si="29"/>
        <v>312.39999999999998</v>
      </c>
      <c r="Q75" s="5">
        <v>2268.5999999999995</v>
      </c>
      <c r="R75" s="5">
        <f t="shared" si="33"/>
        <v>1550.0799999999995</v>
      </c>
      <c r="S75" s="5">
        <f t="shared" si="22"/>
        <v>1512</v>
      </c>
      <c r="T75" s="29"/>
      <c r="U75" s="29"/>
      <c r="V75" s="1">
        <f t="shared" si="31"/>
        <v>11.578104993597952</v>
      </c>
      <c r="W75" s="1">
        <f t="shared" si="32"/>
        <v>6.7381562099871966</v>
      </c>
      <c r="X75" s="1">
        <v>290.60000000000002</v>
      </c>
      <c r="Y75" s="1">
        <v>326.39999999999998</v>
      </c>
      <c r="Z75" s="1">
        <v>355.4</v>
      </c>
      <c r="AA75" s="1">
        <v>268.60000000000002</v>
      </c>
      <c r="AB75" s="1">
        <v>244.6</v>
      </c>
      <c r="AC75" s="1">
        <v>258.39999999999998</v>
      </c>
      <c r="AD75" s="1">
        <v>331.4</v>
      </c>
      <c r="AE75" s="1">
        <v>346.6</v>
      </c>
      <c r="AF75" s="1">
        <v>345.6</v>
      </c>
      <c r="AG75" s="1">
        <v>348.2</v>
      </c>
      <c r="AH75" s="1"/>
      <c r="AI75" s="1">
        <f t="shared" si="23"/>
        <v>387.51999999999987</v>
      </c>
      <c r="AJ75" s="8">
        <v>12</v>
      </c>
      <c r="AK75" s="10">
        <f t="shared" si="24"/>
        <v>126</v>
      </c>
      <c r="AL75" s="1">
        <f t="shared" si="25"/>
        <v>378</v>
      </c>
      <c r="AM75" s="1">
        <v>14</v>
      </c>
      <c r="AN75" s="1">
        <v>70</v>
      </c>
      <c r="AO75" s="10">
        <f t="shared" si="26"/>
        <v>1.8</v>
      </c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175</v>
      </c>
      <c r="B76" s="1" t="s">
        <v>42</v>
      </c>
      <c r="C76" s="1">
        <v>614</v>
      </c>
      <c r="D76" s="1">
        <v>6</v>
      </c>
      <c r="E76" s="1">
        <v>627</v>
      </c>
      <c r="F76" s="1">
        <v>-12</v>
      </c>
      <c r="G76" s="8">
        <v>0.23</v>
      </c>
      <c r="H76" s="1">
        <v>180</v>
      </c>
      <c r="I76" s="1" t="s">
        <v>176</v>
      </c>
      <c r="J76" s="1"/>
      <c r="K76" s="1">
        <v>665</v>
      </c>
      <c r="L76" s="1">
        <f t="shared" si="28"/>
        <v>-38</v>
      </c>
      <c r="M76" s="1"/>
      <c r="N76" s="1"/>
      <c r="O76" s="1">
        <v>252</v>
      </c>
      <c r="P76" s="1">
        <f t="shared" si="29"/>
        <v>125.4</v>
      </c>
      <c r="Q76" s="5">
        <v>1264.8000000000002</v>
      </c>
      <c r="R76" s="5">
        <f t="shared" ref="R76:R77" si="34">T76</f>
        <v>1400</v>
      </c>
      <c r="S76" s="5">
        <f t="shared" si="22"/>
        <v>1428</v>
      </c>
      <c r="T76" s="29">
        <f>VLOOKUP(A76,[1]Sheet!$A:$T,19,0)</f>
        <v>1400</v>
      </c>
      <c r="U76" s="29" t="str">
        <f>VLOOKUP(A76,[1]Sheet!$A:$T,20,0)</f>
        <v>промо спар</v>
      </c>
      <c r="V76" s="1">
        <f t="shared" si="31"/>
        <v>13.301435406698564</v>
      </c>
      <c r="W76" s="1">
        <f t="shared" si="32"/>
        <v>1.9138755980861244</v>
      </c>
      <c r="X76" s="1">
        <v>66.2</v>
      </c>
      <c r="Y76" s="1">
        <v>77.599999999999994</v>
      </c>
      <c r="Z76" s="1">
        <v>99.4</v>
      </c>
      <c r="AA76" s="1">
        <v>101.2</v>
      </c>
      <c r="AB76" s="1">
        <v>96.8</v>
      </c>
      <c r="AC76" s="1">
        <v>56.6</v>
      </c>
      <c r="AD76" s="1">
        <v>62.4</v>
      </c>
      <c r="AE76" s="1">
        <v>59.8</v>
      </c>
      <c r="AF76" s="1">
        <v>61.2</v>
      </c>
      <c r="AG76" s="1">
        <v>78.8</v>
      </c>
      <c r="AH76" s="1"/>
      <c r="AI76" s="1">
        <f t="shared" si="23"/>
        <v>322</v>
      </c>
      <c r="AJ76" s="8">
        <v>6</v>
      </c>
      <c r="AK76" s="10">
        <f t="shared" si="24"/>
        <v>238</v>
      </c>
      <c r="AL76" s="1">
        <f t="shared" si="25"/>
        <v>328.44</v>
      </c>
      <c r="AM76" s="1">
        <v>14</v>
      </c>
      <c r="AN76" s="1">
        <v>140</v>
      </c>
      <c r="AO76" s="10">
        <f t="shared" si="26"/>
        <v>1.7</v>
      </c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177</v>
      </c>
      <c r="B77" s="1" t="s">
        <v>42</v>
      </c>
      <c r="C77" s="1">
        <v>367</v>
      </c>
      <c r="D77" s="1">
        <v>595</v>
      </c>
      <c r="E77" s="1">
        <v>887</v>
      </c>
      <c r="F77" s="1">
        <v>70</v>
      </c>
      <c r="G77" s="8">
        <v>0.23</v>
      </c>
      <c r="H77" s="1"/>
      <c r="I77" s="1" t="s">
        <v>169</v>
      </c>
      <c r="J77" s="1"/>
      <c r="K77" s="1">
        <v>927</v>
      </c>
      <c r="L77" s="1">
        <f t="shared" si="28"/>
        <v>-40</v>
      </c>
      <c r="M77" s="1"/>
      <c r="N77" s="1"/>
      <c r="O77" s="1">
        <v>504</v>
      </c>
      <c r="P77" s="1">
        <f t="shared" si="29"/>
        <v>177.4</v>
      </c>
      <c r="Q77" s="5">
        <v>1732.2000000000003</v>
      </c>
      <c r="R77" s="5">
        <f t="shared" si="34"/>
        <v>2000</v>
      </c>
      <c r="S77" s="5">
        <f t="shared" si="22"/>
        <v>2016</v>
      </c>
      <c r="T77" s="29">
        <f>VLOOKUP(A77,[1]Sheet!$A:$T,19,0)</f>
        <v>2000</v>
      </c>
      <c r="U77" s="29" t="str">
        <f>VLOOKUP(A77,[1]Sheet!$A:$T,20,0)</f>
        <v>промо спар</v>
      </c>
      <c r="V77" s="1">
        <f t="shared" si="31"/>
        <v>14.599774520856821</v>
      </c>
      <c r="W77" s="1">
        <f t="shared" si="32"/>
        <v>3.2356257046223225</v>
      </c>
      <c r="X77" s="1">
        <v>109.2</v>
      </c>
      <c r="Y77" s="1">
        <v>117.6</v>
      </c>
      <c r="Z77" s="1">
        <v>64</v>
      </c>
      <c r="AA77" s="1">
        <v>127</v>
      </c>
      <c r="AB77" s="1">
        <v>117.8</v>
      </c>
      <c r="AC77" s="1">
        <v>86.6</v>
      </c>
      <c r="AD77" s="1">
        <v>59.8</v>
      </c>
      <c r="AE77" s="1">
        <v>0</v>
      </c>
      <c r="AF77" s="1">
        <v>0</v>
      </c>
      <c r="AG77" s="1">
        <v>0</v>
      </c>
      <c r="AH77" s="1"/>
      <c r="AI77" s="1">
        <f t="shared" si="23"/>
        <v>460</v>
      </c>
      <c r="AJ77" s="8">
        <v>6</v>
      </c>
      <c r="AK77" s="10">
        <f t="shared" si="24"/>
        <v>336</v>
      </c>
      <c r="AL77" s="1">
        <f t="shared" si="25"/>
        <v>463.68</v>
      </c>
      <c r="AM77" s="1">
        <v>14</v>
      </c>
      <c r="AN77" s="1">
        <v>140</v>
      </c>
      <c r="AO77" s="10">
        <f t="shared" si="26"/>
        <v>2.4</v>
      </c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178</v>
      </c>
      <c r="B78" s="1" t="s">
        <v>85</v>
      </c>
      <c r="C78" s="1">
        <v>1225.8</v>
      </c>
      <c r="D78" s="1"/>
      <c r="E78" s="1">
        <v>113.4</v>
      </c>
      <c r="F78" s="1">
        <v>1112.4000000000001</v>
      </c>
      <c r="G78" s="8">
        <v>1</v>
      </c>
      <c r="H78" s="1">
        <v>180</v>
      </c>
      <c r="I78" s="1" t="s">
        <v>179</v>
      </c>
      <c r="J78" s="1"/>
      <c r="K78" s="1">
        <v>114.7</v>
      </c>
      <c r="L78" s="1">
        <f t="shared" si="28"/>
        <v>-1.2999999999999972</v>
      </c>
      <c r="M78" s="1"/>
      <c r="N78" s="1"/>
      <c r="O78" s="1">
        <v>0</v>
      </c>
      <c r="P78" s="1">
        <f t="shared" si="29"/>
        <v>22.68</v>
      </c>
      <c r="Q78" s="5"/>
      <c r="R78" s="5"/>
      <c r="S78" s="5">
        <f t="shared" si="22"/>
        <v>0</v>
      </c>
      <c r="T78" s="29"/>
      <c r="U78" s="29"/>
      <c r="V78" s="1">
        <f t="shared" si="31"/>
        <v>49.047619047619051</v>
      </c>
      <c r="W78" s="1">
        <f t="shared" si="32"/>
        <v>49.047619047619051</v>
      </c>
      <c r="X78" s="1">
        <v>25.92</v>
      </c>
      <c r="Y78" s="1">
        <v>8.64</v>
      </c>
      <c r="Z78" s="1">
        <v>97.74</v>
      </c>
      <c r="AA78" s="1">
        <v>31.32</v>
      </c>
      <c r="AB78" s="1">
        <v>33.44</v>
      </c>
      <c r="AC78" s="1">
        <v>39.92</v>
      </c>
      <c r="AD78" s="1">
        <v>42.12</v>
      </c>
      <c r="AE78" s="1">
        <v>32.94</v>
      </c>
      <c r="AF78" s="1">
        <v>50.445999999999998</v>
      </c>
      <c r="AG78" s="1">
        <v>52.066000000000003</v>
      </c>
      <c r="AH78" s="21" t="s">
        <v>160</v>
      </c>
      <c r="AI78" s="1">
        <f t="shared" si="23"/>
        <v>0</v>
      </c>
      <c r="AJ78" s="8">
        <v>2.7</v>
      </c>
      <c r="AK78" s="10">
        <f t="shared" si="24"/>
        <v>0</v>
      </c>
      <c r="AL78" s="1">
        <f t="shared" si="25"/>
        <v>0</v>
      </c>
      <c r="AM78" s="1">
        <v>14</v>
      </c>
      <c r="AN78" s="1">
        <v>126</v>
      </c>
      <c r="AO78" s="10">
        <f t="shared" si="26"/>
        <v>0</v>
      </c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180</v>
      </c>
      <c r="B79" s="1" t="s">
        <v>85</v>
      </c>
      <c r="C79" s="1">
        <v>1735</v>
      </c>
      <c r="D79" s="1">
        <v>1260</v>
      </c>
      <c r="E79" s="1">
        <v>1370</v>
      </c>
      <c r="F79" s="1">
        <v>1525</v>
      </c>
      <c r="G79" s="8">
        <v>1</v>
      </c>
      <c r="H79" s="1">
        <v>180</v>
      </c>
      <c r="I79" s="1" t="s">
        <v>181</v>
      </c>
      <c r="J79" s="1"/>
      <c r="K79" s="1">
        <v>1370.1</v>
      </c>
      <c r="L79" s="1">
        <f t="shared" si="28"/>
        <v>-9.9999999999909051E-2</v>
      </c>
      <c r="M79" s="1"/>
      <c r="N79" s="1"/>
      <c r="O79" s="1">
        <v>180</v>
      </c>
      <c r="P79" s="1">
        <f t="shared" si="29"/>
        <v>274</v>
      </c>
      <c r="Q79" s="5">
        <v>2131</v>
      </c>
      <c r="R79" s="5">
        <f>14*P79-O79-F79+$R$1*P79</f>
        <v>1500.8000000000002</v>
      </c>
      <c r="S79" s="5">
        <f t="shared" si="22"/>
        <v>1500</v>
      </c>
      <c r="T79" s="29"/>
      <c r="U79" s="29"/>
      <c r="V79" s="1">
        <f t="shared" si="31"/>
        <v>11.697080291970803</v>
      </c>
      <c r="W79" s="1">
        <f t="shared" si="32"/>
        <v>6.2226277372262775</v>
      </c>
      <c r="X79" s="1">
        <v>253</v>
      </c>
      <c r="Y79" s="1">
        <v>308</v>
      </c>
      <c r="Z79" s="1">
        <v>133</v>
      </c>
      <c r="AA79" s="1">
        <v>287.02</v>
      </c>
      <c r="AB79" s="1">
        <v>245.02</v>
      </c>
      <c r="AC79" s="1">
        <v>162</v>
      </c>
      <c r="AD79" s="1">
        <v>151</v>
      </c>
      <c r="AE79" s="1">
        <v>182</v>
      </c>
      <c r="AF79" s="1">
        <v>145.19999999999999</v>
      </c>
      <c r="AG79" s="1">
        <v>138.19999999999999</v>
      </c>
      <c r="AH79" s="1"/>
      <c r="AI79" s="1">
        <f t="shared" si="23"/>
        <v>1500.8000000000002</v>
      </c>
      <c r="AJ79" s="8">
        <v>5</v>
      </c>
      <c r="AK79" s="10">
        <f t="shared" si="24"/>
        <v>300</v>
      </c>
      <c r="AL79" s="1">
        <f t="shared" si="25"/>
        <v>1500</v>
      </c>
      <c r="AM79" s="1">
        <v>12</v>
      </c>
      <c r="AN79" s="1">
        <v>84</v>
      </c>
      <c r="AO79" s="10">
        <f t="shared" si="26"/>
        <v>3.5714285714285716</v>
      </c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24" t="s">
        <v>184</v>
      </c>
      <c r="B80" s="24" t="s">
        <v>42</v>
      </c>
      <c r="C80" s="24"/>
      <c r="D80" s="24"/>
      <c r="E80" s="24"/>
      <c r="F80" s="24"/>
      <c r="G80" s="25">
        <v>0.8</v>
      </c>
      <c r="H80" s="24">
        <v>180</v>
      </c>
      <c r="I80" s="24" t="s">
        <v>185</v>
      </c>
      <c r="J80" s="24"/>
      <c r="K80" s="24"/>
      <c r="L80" s="24"/>
      <c r="M80" s="24"/>
      <c r="N80" s="24"/>
      <c r="O80" s="24"/>
      <c r="P80" s="24">
        <f t="shared" ref="P80:P81" si="35">E80/5</f>
        <v>0</v>
      </c>
      <c r="Q80" s="27"/>
      <c r="R80" s="5">
        <f t="shared" ref="R80:R81" si="36">T80</f>
        <v>100</v>
      </c>
      <c r="S80" s="27">
        <f t="shared" ref="S80:S81" si="37">AJ80*AK80</f>
        <v>96</v>
      </c>
      <c r="T80" s="29">
        <f>VLOOKUP(A80,[1]Sheet!$A:$T,19,0)</f>
        <v>100</v>
      </c>
      <c r="U80" s="29" t="str">
        <f>VLOOKUP(A80,[1]Sheet!$A:$T,20,0)</f>
        <v>промо сети</v>
      </c>
      <c r="V80" s="24" t="e">
        <f t="shared" ref="V80:V81" si="38">(F80+O80+S80)/P80</f>
        <v>#DIV/0!</v>
      </c>
      <c r="W80" s="24" t="e">
        <f t="shared" ref="W80:W81" si="39">(F80+O80)/P80</f>
        <v>#DIV/0!</v>
      </c>
      <c r="X80" s="24">
        <v>0</v>
      </c>
      <c r="Y80" s="24">
        <v>0</v>
      </c>
      <c r="Z80" s="24">
        <v>0</v>
      </c>
      <c r="AA80" s="24">
        <v>0</v>
      </c>
      <c r="AB80" s="24">
        <v>0</v>
      </c>
      <c r="AC80" s="24">
        <v>0</v>
      </c>
      <c r="AD80" s="24">
        <v>0</v>
      </c>
      <c r="AE80" s="24">
        <v>0</v>
      </c>
      <c r="AF80" s="24">
        <v>0</v>
      </c>
      <c r="AG80" s="24">
        <v>0</v>
      </c>
      <c r="AH80" s="24" t="s">
        <v>170</v>
      </c>
      <c r="AI80" s="24">
        <f t="shared" si="23"/>
        <v>80</v>
      </c>
      <c r="AJ80" s="25">
        <v>8</v>
      </c>
      <c r="AK80" s="28">
        <f t="shared" ref="AK80:AK81" si="40">MROUND(R80, AJ80*AM80)/AJ80</f>
        <v>12</v>
      </c>
      <c r="AL80" s="24">
        <f t="shared" ref="AL80:AL81" si="41">AK80*AJ80*G80</f>
        <v>76.800000000000011</v>
      </c>
      <c r="AM80" s="24">
        <v>12</v>
      </c>
      <c r="AN80" s="24">
        <v>84</v>
      </c>
      <c r="AO80" s="28">
        <f t="shared" si="26"/>
        <v>0.14285714285714285</v>
      </c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24" t="s">
        <v>186</v>
      </c>
      <c r="B81" s="24" t="s">
        <v>42</v>
      </c>
      <c r="C81" s="24"/>
      <c r="D81" s="24"/>
      <c r="E81" s="24"/>
      <c r="F81" s="24"/>
      <c r="G81" s="25">
        <v>0.4</v>
      </c>
      <c r="H81" s="24">
        <v>180</v>
      </c>
      <c r="I81" s="24" t="s">
        <v>187</v>
      </c>
      <c r="J81" s="24"/>
      <c r="K81" s="24"/>
      <c r="L81" s="24"/>
      <c r="M81" s="24"/>
      <c r="N81" s="24"/>
      <c r="O81" s="24"/>
      <c r="P81" s="24">
        <f t="shared" si="35"/>
        <v>0</v>
      </c>
      <c r="Q81" s="27"/>
      <c r="R81" s="5">
        <f t="shared" si="36"/>
        <v>100</v>
      </c>
      <c r="S81" s="27">
        <f t="shared" si="37"/>
        <v>192</v>
      </c>
      <c r="T81" s="29">
        <f>VLOOKUP(A81,[1]Sheet!$A:$T,19,0)</f>
        <v>100</v>
      </c>
      <c r="U81" s="29" t="str">
        <f>VLOOKUP(A81,[1]Sheet!$A:$T,20,0)</f>
        <v>промо сети</v>
      </c>
      <c r="V81" s="24" t="e">
        <f t="shared" si="38"/>
        <v>#DIV/0!</v>
      </c>
      <c r="W81" s="24" t="e">
        <f t="shared" si="39"/>
        <v>#DIV/0!</v>
      </c>
      <c r="X81" s="24">
        <v>0</v>
      </c>
      <c r="Y81" s="24">
        <v>0</v>
      </c>
      <c r="Z81" s="24">
        <v>0</v>
      </c>
      <c r="AA81" s="24">
        <v>0</v>
      </c>
      <c r="AB81" s="24">
        <v>0</v>
      </c>
      <c r="AC81" s="24">
        <v>0</v>
      </c>
      <c r="AD81" s="24">
        <v>0</v>
      </c>
      <c r="AE81" s="24">
        <v>0</v>
      </c>
      <c r="AF81" s="24">
        <v>0</v>
      </c>
      <c r="AG81" s="24">
        <v>0</v>
      </c>
      <c r="AH81" s="24" t="s">
        <v>170</v>
      </c>
      <c r="AI81" s="24">
        <f t="shared" si="23"/>
        <v>40</v>
      </c>
      <c r="AJ81" s="25">
        <v>16</v>
      </c>
      <c r="AK81" s="28">
        <f t="shared" si="40"/>
        <v>12</v>
      </c>
      <c r="AL81" s="24">
        <f t="shared" si="41"/>
        <v>76.800000000000011</v>
      </c>
      <c r="AM81" s="24">
        <v>12</v>
      </c>
      <c r="AN81" s="24">
        <v>84</v>
      </c>
      <c r="AO81" s="28">
        <f t="shared" si="26"/>
        <v>0.14285714285714285</v>
      </c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8"/>
      <c r="AK82" s="10"/>
      <c r="AL82" s="1"/>
      <c r="AM82" s="1"/>
      <c r="AN82" s="1"/>
      <c r="AO82" s="10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8"/>
      <c r="AK83" s="10"/>
      <c r="AL83" s="1"/>
      <c r="AM83" s="1"/>
      <c r="AN83" s="1"/>
      <c r="AO83" s="10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8"/>
      <c r="AK84" s="10"/>
      <c r="AL84" s="1"/>
      <c r="AM84" s="1"/>
      <c r="AN84" s="1"/>
      <c r="AO84" s="10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8"/>
      <c r="AK85" s="10"/>
      <c r="AL85" s="1"/>
      <c r="AM85" s="1"/>
      <c r="AN85" s="1"/>
      <c r="AO85" s="10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8"/>
      <c r="AK86" s="10"/>
      <c r="AL86" s="1"/>
      <c r="AM86" s="1"/>
      <c r="AN86" s="1"/>
      <c r="AO86" s="10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8"/>
      <c r="AK87" s="10"/>
      <c r="AL87" s="1"/>
      <c r="AM87" s="1"/>
      <c r="AN87" s="1"/>
      <c r="AO87" s="10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8"/>
      <c r="AK88" s="10"/>
      <c r="AL88" s="1"/>
      <c r="AM88" s="1"/>
      <c r="AN88" s="1"/>
      <c r="AO88" s="10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8"/>
      <c r="AK89" s="10"/>
      <c r="AL89" s="1"/>
      <c r="AM89" s="1"/>
      <c r="AN89" s="1"/>
      <c r="AO89" s="10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8"/>
      <c r="AK90" s="10"/>
      <c r="AL90" s="1"/>
      <c r="AM90" s="1"/>
      <c r="AN90" s="1"/>
      <c r="AO90" s="10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8"/>
      <c r="AK91" s="10"/>
      <c r="AL91" s="1"/>
      <c r="AM91" s="1"/>
      <c r="AN91" s="1"/>
      <c r="AO91" s="10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8"/>
      <c r="AK92" s="10"/>
      <c r="AL92" s="1"/>
      <c r="AM92" s="1"/>
      <c r="AN92" s="1"/>
      <c r="AO92" s="10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8"/>
      <c r="AK93" s="10"/>
      <c r="AL93" s="1"/>
      <c r="AM93" s="1"/>
      <c r="AN93" s="1"/>
      <c r="AO93" s="10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8"/>
      <c r="AK94" s="10"/>
      <c r="AL94" s="1"/>
      <c r="AM94" s="1"/>
      <c r="AN94" s="1"/>
      <c r="AO94" s="10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8"/>
      <c r="AK95" s="10"/>
      <c r="AL95" s="1"/>
      <c r="AM95" s="1"/>
      <c r="AN95" s="1"/>
      <c r="AO95" s="10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8"/>
      <c r="AK96" s="10"/>
      <c r="AL96" s="1"/>
      <c r="AM96" s="1"/>
      <c r="AN96" s="1"/>
      <c r="AO96" s="10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8"/>
      <c r="AK97" s="10"/>
      <c r="AL97" s="1"/>
      <c r="AM97" s="1"/>
      <c r="AN97" s="1"/>
      <c r="AO97" s="10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8"/>
      <c r="AK98" s="10"/>
      <c r="AL98" s="1"/>
      <c r="AM98" s="1"/>
      <c r="AN98" s="1"/>
      <c r="AO98" s="10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8"/>
      <c r="AK99" s="10"/>
      <c r="AL99" s="1"/>
      <c r="AM99" s="1"/>
      <c r="AN99" s="1"/>
      <c r="AO99" s="10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8"/>
      <c r="AK100" s="10"/>
      <c r="AL100" s="1"/>
      <c r="AM100" s="1"/>
      <c r="AN100" s="1"/>
      <c r="AO100" s="10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8"/>
      <c r="AK101" s="10"/>
      <c r="AL101" s="1"/>
      <c r="AM101" s="1"/>
      <c r="AN101" s="1"/>
      <c r="AO101" s="10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8"/>
      <c r="AK102" s="10"/>
      <c r="AL102" s="1"/>
      <c r="AM102" s="1"/>
      <c r="AN102" s="1"/>
      <c r="AO102" s="10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8"/>
      <c r="AK103" s="10"/>
      <c r="AL103" s="1"/>
      <c r="AM103" s="1"/>
      <c r="AN103" s="1"/>
      <c r="AO103" s="10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8"/>
      <c r="AK104" s="10"/>
      <c r="AL104" s="1"/>
      <c r="AM104" s="1"/>
      <c r="AN104" s="1"/>
      <c r="AO104" s="10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8"/>
      <c r="AK105" s="10"/>
      <c r="AL105" s="1"/>
      <c r="AM105" s="1"/>
      <c r="AN105" s="1"/>
      <c r="AO105" s="10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8"/>
      <c r="AK106" s="10"/>
      <c r="AL106" s="1"/>
      <c r="AM106" s="1"/>
      <c r="AN106" s="1"/>
      <c r="AO106" s="10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8"/>
      <c r="AK107" s="10"/>
      <c r="AL107" s="1"/>
      <c r="AM107" s="1"/>
      <c r="AN107" s="1"/>
      <c r="AO107" s="10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8"/>
      <c r="AK108" s="10"/>
      <c r="AL108" s="1"/>
      <c r="AM108" s="1"/>
      <c r="AN108" s="1"/>
      <c r="AO108" s="10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8"/>
      <c r="AK109" s="10"/>
      <c r="AL109" s="1"/>
      <c r="AM109" s="1"/>
      <c r="AN109" s="1"/>
      <c r="AO109" s="10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8"/>
      <c r="AK110" s="10"/>
      <c r="AL110" s="1"/>
      <c r="AM110" s="1"/>
      <c r="AN110" s="1"/>
      <c r="AO110" s="10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8"/>
      <c r="AK111" s="10"/>
      <c r="AL111" s="1"/>
      <c r="AM111" s="1"/>
      <c r="AN111" s="1"/>
      <c r="AO111" s="10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8"/>
      <c r="AK112" s="10"/>
      <c r="AL112" s="1"/>
      <c r="AM112" s="1"/>
      <c r="AN112" s="1"/>
      <c r="AO112" s="10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8"/>
      <c r="AK113" s="10"/>
      <c r="AL113" s="1"/>
      <c r="AM113" s="1"/>
      <c r="AN113" s="1"/>
      <c r="AO113" s="10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8"/>
      <c r="AK114" s="10"/>
      <c r="AL114" s="1"/>
      <c r="AM114" s="1"/>
      <c r="AN114" s="1"/>
      <c r="AO114" s="10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8"/>
      <c r="AK115" s="10"/>
      <c r="AL115" s="1"/>
      <c r="AM115" s="1"/>
      <c r="AN115" s="1"/>
      <c r="AO115" s="10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8"/>
      <c r="AK116" s="10"/>
      <c r="AL116" s="1"/>
      <c r="AM116" s="1"/>
      <c r="AN116" s="1"/>
      <c r="AO116" s="10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8"/>
      <c r="AK117" s="10"/>
      <c r="AL117" s="1"/>
      <c r="AM117" s="1"/>
      <c r="AN117" s="1"/>
      <c r="AO117" s="10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8"/>
      <c r="AK118" s="10"/>
      <c r="AL118" s="1"/>
      <c r="AM118" s="1"/>
      <c r="AN118" s="1"/>
      <c r="AO118" s="10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8"/>
      <c r="AK119" s="10"/>
      <c r="AL119" s="1"/>
      <c r="AM119" s="1"/>
      <c r="AN119" s="1"/>
      <c r="AO119" s="10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8"/>
      <c r="AK120" s="10"/>
      <c r="AL120" s="1"/>
      <c r="AM120" s="1"/>
      <c r="AN120" s="1"/>
      <c r="AO120" s="10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8"/>
      <c r="AK121" s="10"/>
      <c r="AL121" s="1"/>
      <c r="AM121" s="1"/>
      <c r="AN121" s="1"/>
      <c r="AO121" s="10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8"/>
      <c r="AK122" s="10"/>
      <c r="AL122" s="1"/>
      <c r="AM122" s="1"/>
      <c r="AN122" s="1"/>
      <c r="AO122" s="10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8"/>
      <c r="AK123" s="10"/>
      <c r="AL123" s="1"/>
      <c r="AM123" s="1"/>
      <c r="AN123" s="1"/>
      <c r="AO123" s="10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8"/>
      <c r="AK124" s="10"/>
      <c r="AL124" s="1"/>
      <c r="AM124" s="1"/>
      <c r="AN124" s="1"/>
      <c r="AO124" s="10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8"/>
      <c r="AK125" s="10"/>
      <c r="AL125" s="1"/>
      <c r="AM125" s="1"/>
      <c r="AN125" s="1"/>
      <c r="AO125" s="10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8"/>
      <c r="AK126" s="10"/>
      <c r="AL126" s="1"/>
      <c r="AM126" s="1"/>
      <c r="AN126" s="1"/>
      <c r="AO126" s="10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8"/>
      <c r="AK127" s="10"/>
      <c r="AL127" s="1"/>
      <c r="AM127" s="1"/>
      <c r="AN127" s="1"/>
      <c r="AO127" s="10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8"/>
      <c r="AK128" s="10"/>
      <c r="AL128" s="1"/>
      <c r="AM128" s="1"/>
      <c r="AN128" s="1"/>
      <c r="AO128" s="10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8"/>
      <c r="AK129" s="10"/>
      <c r="AL129" s="1"/>
      <c r="AM129" s="1"/>
      <c r="AN129" s="1"/>
      <c r="AO129" s="10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8"/>
      <c r="AK130" s="10"/>
      <c r="AL130" s="1"/>
      <c r="AM130" s="1"/>
      <c r="AN130" s="1"/>
      <c r="AO130" s="10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8"/>
      <c r="AK131" s="10"/>
      <c r="AL131" s="1"/>
      <c r="AM131" s="1"/>
      <c r="AN131" s="1"/>
      <c r="AO131" s="10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8"/>
      <c r="AK132" s="10"/>
      <c r="AL132" s="1"/>
      <c r="AM132" s="1"/>
      <c r="AN132" s="1"/>
      <c r="AO132" s="10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8"/>
      <c r="AK133" s="10"/>
      <c r="AL133" s="1"/>
      <c r="AM133" s="1"/>
      <c r="AN133" s="1"/>
      <c r="AO133" s="10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8"/>
      <c r="AK134" s="10"/>
      <c r="AL134" s="1"/>
      <c r="AM134" s="1"/>
      <c r="AN134" s="1"/>
      <c r="AO134" s="10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8"/>
      <c r="AK135" s="10"/>
      <c r="AL135" s="1"/>
      <c r="AM135" s="1"/>
      <c r="AN135" s="1"/>
      <c r="AO135" s="10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8"/>
      <c r="AK136" s="10"/>
      <c r="AL136" s="1"/>
      <c r="AM136" s="1"/>
      <c r="AN136" s="1"/>
      <c r="AO136" s="10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8"/>
      <c r="AK137" s="10"/>
      <c r="AL137" s="1"/>
      <c r="AM137" s="1"/>
      <c r="AN137" s="1"/>
      <c r="AO137" s="10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8"/>
      <c r="AK138" s="10"/>
      <c r="AL138" s="1"/>
      <c r="AM138" s="1"/>
      <c r="AN138" s="1"/>
      <c r="AO138" s="10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8"/>
      <c r="AK139" s="10"/>
      <c r="AL139" s="1"/>
      <c r="AM139" s="1"/>
      <c r="AN139" s="1"/>
      <c r="AO139" s="10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8"/>
      <c r="AK140" s="10"/>
      <c r="AL140" s="1"/>
      <c r="AM140" s="1"/>
      <c r="AN140" s="1"/>
      <c r="AO140" s="10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8"/>
      <c r="AK141" s="10"/>
      <c r="AL141" s="1"/>
      <c r="AM141" s="1"/>
      <c r="AN141" s="1"/>
      <c r="AO141" s="10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8"/>
      <c r="AK142" s="10"/>
      <c r="AL142" s="1"/>
      <c r="AM142" s="1"/>
      <c r="AN142" s="1"/>
      <c r="AO142" s="10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8"/>
      <c r="AK143" s="10"/>
      <c r="AL143" s="1"/>
      <c r="AM143" s="1"/>
      <c r="AN143" s="1"/>
      <c r="AO143" s="10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8"/>
      <c r="AK144" s="10"/>
      <c r="AL144" s="1"/>
      <c r="AM144" s="1"/>
      <c r="AN144" s="1"/>
      <c r="AO144" s="10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8"/>
      <c r="AK145" s="10"/>
      <c r="AL145" s="1"/>
      <c r="AM145" s="1"/>
      <c r="AN145" s="1"/>
      <c r="AO145" s="10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8"/>
      <c r="AK146" s="10"/>
      <c r="AL146" s="1"/>
      <c r="AM146" s="1"/>
      <c r="AN146" s="1"/>
      <c r="AO146" s="10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8"/>
      <c r="AK147" s="10"/>
      <c r="AL147" s="1"/>
      <c r="AM147" s="1"/>
      <c r="AN147" s="1"/>
      <c r="AO147" s="10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8"/>
      <c r="AK148" s="10"/>
      <c r="AL148" s="1"/>
      <c r="AM148" s="1"/>
      <c r="AN148" s="1"/>
      <c r="AO148" s="10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8"/>
      <c r="AK149" s="10"/>
      <c r="AL149" s="1"/>
      <c r="AM149" s="1"/>
      <c r="AN149" s="1"/>
      <c r="AO149" s="10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8"/>
      <c r="AK150" s="10"/>
      <c r="AL150" s="1"/>
      <c r="AM150" s="1"/>
      <c r="AN150" s="1"/>
      <c r="AO150" s="10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8"/>
      <c r="AK151" s="10"/>
      <c r="AL151" s="1"/>
      <c r="AM151" s="1"/>
      <c r="AN151" s="1"/>
      <c r="AO151" s="10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8"/>
      <c r="AK152" s="10"/>
      <c r="AL152" s="1"/>
      <c r="AM152" s="1"/>
      <c r="AN152" s="1"/>
      <c r="AO152" s="10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8"/>
      <c r="AK153" s="10"/>
      <c r="AL153" s="1"/>
      <c r="AM153" s="1"/>
      <c r="AN153" s="1"/>
      <c r="AO153" s="10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8"/>
      <c r="AK154" s="10"/>
      <c r="AL154" s="1"/>
      <c r="AM154" s="1"/>
      <c r="AN154" s="1"/>
      <c r="AO154" s="10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8"/>
      <c r="AK155" s="10"/>
      <c r="AL155" s="1"/>
      <c r="AM155" s="1"/>
      <c r="AN155" s="1"/>
      <c r="AO155" s="10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8"/>
      <c r="AK156" s="10"/>
      <c r="AL156" s="1"/>
      <c r="AM156" s="1"/>
      <c r="AN156" s="1"/>
      <c r="AO156" s="10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8"/>
      <c r="AK157" s="10"/>
      <c r="AL157" s="1"/>
      <c r="AM157" s="1"/>
      <c r="AN157" s="1"/>
      <c r="AO157" s="10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8"/>
      <c r="AK158" s="10"/>
      <c r="AL158" s="1"/>
      <c r="AM158" s="1"/>
      <c r="AN158" s="1"/>
      <c r="AO158" s="10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8"/>
      <c r="AK159" s="10"/>
      <c r="AL159" s="1"/>
      <c r="AM159" s="1"/>
      <c r="AN159" s="1"/>
      <c r="AO159" s="10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8"/>
      <c r="AK160" s="10"/>
      <c r="AL160" s="1"/>
      <c r="AM160" s="1"/>
      <c r="AN160" s="1"/>
      <c r="AO160" s="10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8"/>
      <c r="AK161" s="10"/>
      <c r="AL161" s="1"/>
      <c r="AM161" s="1"/>
      <c r="AN161" s="1"/>
      <c r="AO161" s="10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8"/>
      <c r="AK162" s="10"/>
      <c r="AL162" s="1"/>
      <c r="AM162" s="1"/>
      <c r="AN162" s="1"/>
      <c r="AO162" s="10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8"/>
      <c r="AK163" s="10"/>
      <c r="AL163" s="1"/>
      <c r="AM163" s="1"/>
      <c r="AN163" s="1"/>
      <c r="AO163" s="10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8"/>
      <c r="AK164" s="10"/>
      <c r="AL164" s="1"/>
      <c r="AM164" s="1"/>
      <c r="AN164" s="1"/>
      <c r="AO164" s="10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8"/>
      <c r="AK165" s="10"/>
      <c r="AL165" s="1"/>
      <c r="AM165" s="1"/>
      <c r="AN165" s="1"/>
      <c r="AO165" s="10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8"/>
      <c r="AK166" s="10"/>
      <c r="AL166" s="1"/>
      <c r="AM166" s="1"/>
      <c r="AN166" s="1"/>
      <c r="AO166" s="10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8"/>
      <c r="AK167" s="10"/>
      <c r="AL167" s="1"/>
      <c r="AM167" s="1"/>
      <c r="AN167" s="1"/>
      <c r="AO167" s="10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8"/>
      <c r="AK168" s="10"/>
      <c r="AL168" s="1"/>
      <c r="AM168" s="1"/>
      <c r="AN168" s="1"/>
      <c r="AO168" s="10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8"/>
      <c r="AK169" s="10"/>
      <c r="AL169" s="1"/>
      <c r="AM169" s="1"/>
      <c r="AN169" s="1"/>
      <c r="AO169" s="10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8"/>
      <c r="AK170" s="10"/>
      <c r="AL170" s="1"/>
      <c r="AM170" s="1"/>
      <c r="AN170" s="1"/>
      <c r="AO170" s="10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8"/>
      <c r="AK171" s="10"/>
      <c r="AL171" s="1"/>
      <c r="AM171" s="1"/>
      <c r="AN171" s="1"/>
      <c r="AO171" s="10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8"/>
      <c r="AK172" s="10"/>
      <c r="AL172" s="1"/>
      <c r="AM172" s="1"/>
      <c r="AN172" s="1"/>
      <c r="AO172" s="10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8"/>
      <c r="AK173" s="10"/>
      <c r="AL173" s="1"/>
      <c r="AM173" s="1"/>
      <c r="AN173" s="1"/>
      <c r="AO173" s="10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8"/>
      <c r="AK174" s="10"/>
      <c r="AL174" s="1"/>
      <c r="AM174" s="1"/>
      <c r="AN174" s="1"/>
      <c r="AO174" s="10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8"/>
      <c r="AK175" s="10"/>
      <c r="AL175" s="1"/>
      <c r="AM175" s="1"/>
      <c r="AN175" s="1"/>
      <c r="AO175" s="10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8"/>
      <c r="AK176" s="10"/>
      <c r="AL176" s="1"/>
      <c r="AM176" s="1"/>
      <c r="AN176" s="1"/>
      <c r="AO176" s="10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8"/>
      <c r="AK177" s="10"/>
      <c r="AL177" s="1"/>
      <c r="AM177" s="1"/>
      <c r="AN177" s="1"/>
      <c r="AO177" s="10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8"/>
      <c r="AK178" s="10"/>
      <c r="AL178" s="1"/>
      <c r="AM178" s="1"/>
      <c r="AN178" s="1"/>
      <c r="AO178" s="10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8"/>
      <c r="AK179" s="10"/>
      <c r="AL179" s="1"/>
      <c r="AM179" s="1"/>
      <c r="AN179" s="1"/>
      <c r="AO179" s="10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8"/>
      <c r="AK180" s="10"/>
      <c r="AL180" s="1"/>
      <c r="AM180" s="1"/>
      <c r="AN180" s="1"/>
      <c r="AO180" s="10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8"/>
      <c r="AK181" s="10"/>
      <c r="AL181" s="1"/>
      <c r="AM181" s="1"/>
      <c r="AN181" s="1"/>
      <c r="AO181" s="10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8"/>
      <c r="AK182" s="10"/>
      <c r="AL182" s="1"/>
      <c r="AM182" s="1"/>
      <c r="AN182" s="1"/>
      <c r="AO182" s="10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8"/>
      <c r="AK183" s="10"/>
      <c r="AL183" s="1"/>
      <c r="AM183" s="1"/>
      <c r="AN183" s="1"/>
      <c r="AO183" s="10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8"/>
      <c r="AK184" s="10"/>
      <c r="AL184" s="1"/>
      <c r="AM184" s="1"/>
      <c r="AN184" s="1"/>
      <c r="AO184" s="10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8"/>
      <c r="AK185" s="10"/>
      <c r="AL185" s="1"/>
      <c r="AM185" s="1"/>
      <c r="AN185" s="1"/>
      <c r="AO185" s="10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8"/>
      <c r="AK186" s="10"/>
      <c r="AL186" s="1"/>
      <c r="AM186" s="1"/>
      <c r="AN186" s="1"/>
      <c r="AO186" s="10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8"/>
      <c r="AK187" s="10"/>
      <c r="AL187" s="1"/>
      <c r="AM187" s="1"/>
      <c r="AN187" s="1"/>
      <c r="AO187" s="10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8"/>
      <c r="AK188" s="10"/>
      <c r="AL188" s="1"/>
      <c r="AM188" s="1"/>
      <c r="AN188" s="1"/>
      <c r="AO188" s="10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8"/>
      <c r="AK189" s="10"/>
      <c r="AL189" s="1"/>
      <c r="AM189" s="1"/>
      <c r="AN189" s="1"/>
      <c r="AO189" s="10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8"/>
      <c r="AK190" s="10"/>
      <c r="AL190" s="1"/>
      <c r="AM190" s="1"/>
      <c r="AN190" s="1"/>
      <c r="AO190" s="10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8"/>
      <c r="AK191" s="10"/>
      <c r="AL191" s="1"/>
      <c r="AM191" s="1"/>
      <c r="AN191" s="1"/>
      <c r="AO191" s="10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8"/>
      <c r="AK192" s="10"/>
      <c r="AL192" s="1"/>
      <c r="AM192" s="1"/>
      <c r="AN192" s="1"/>
      <c r="AO192" s="10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8"/>
      <c r="AK193" s="10"/>
      <c r="AL193" s="1"/>
      <c r="AM193" s="1"/>
      <c r="AN193" s="1"/>
      <c r="AO193" s="10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8"/>
      <c r="AK194" s="10"/>
      <c r="AL194" s="1"/>
      <c r="AM194" s="1"/>
      <c r="AN194" s="1"/>
      <c r="AO194" s="10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8"/>
      <c r="AK195" s="10"/>
      <c r="AL195" s="1"/>
      <c r="AM195" s="1"/>
      <c r="AN195" s="1"/>
      <c r="AO195" s="10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8"/>
      <c r="AK196" s="10"/>
      <c r="AL196" s="1"/>
      <c r="AM196" s="1"/>
      <c r="AN196" s="1"/>
      <c r="AO196" s="10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8"/>
      <c r="AK197" s="10"/>
      <c r="AL197" s="1"/>
      <c r="AM197" s="1"/>
      <c r="AN197" s="1"/>
      <c r="AO197" s="10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8"/>
      <c r="AK198" s="10"/>
      <c r="AL198" s="1"/>
      <c r="AM198" s="1"/>
      <c r="AN198" s="1"/>
      <c r="AO198" s="10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8"/>
      <c r="AK199" s="10"/>
      <c r="AL199" s="1"/>
      <c r="AM199" s="1"/>
      <c r="AN199" s="1"/>
      <c r="AO199" s="10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8"/>
      <c r="AK200" s="10"/>
      <c r="AL200" s="1"/>
      <c r="AM200" s="1"/>
      <c r="AN200" s="1"/>
      <c r="AO200" s="10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8"/>
      <c r="AK201" s="10"/>
      <c r="AL201" s="1"/>
      <c r="AM201" s="1"/>
      <c r="AN201" s="1"/>
      <c r="AO201" s="10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8"/>
      <c r="AK202" s="10"/>
      <c r="AL202" s="1"/>
      <c r="AM202" s="1"/>
      <c r="AN202" s="1"/>
      <c r="AO202" s="10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8"/>
      <c r="AK203" s="10"/>
      <c r="AL203" s="1"/>
      <c r="AM203" s="1"/>
      <c r="AN203" s="1"/>
      <c r="AO203" s="10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8"/>
      <c r="AK204" s="10"/>
      <c r="AL204" s="1"/>
      <c r="AM204" s="1"/>
      <c r="AN204" s="1"/>
      <c r="AO204" s="10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8"/>
      <c r="AK205" s="10"/>
      <c r="AL205" s="1"/>
      <c r="AM205" s="1"/>
      <c r="AN205" s="1"/>
      <c r="AO205" s="10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8"/>
      <c r="AK206" s="10"/>
      <c r="AL206" s="1"/>
      <c r="AM206" s="1"/>
      <c r="AN206" s="1"/>
      <c r="AO206" s="10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8"/>
      <c r="AK207" s="10"/>
      <c r="AL207" s="1"/>
      <c r="AM207" s="1"/>
      <c r="AN207" s="1"/>
      <c r="AO207" s="10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8"/>
      <c r="AK208" s="10"/>
      <c r="AL208" s="1"/>
      <c r="AM208" s="1"/>
      <c r="AN208" s="1"/>
      <c r="AO208" s="10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8"/>
      <c r="AK209" s="10"/>
      <c r="AL209" s="1"/>
      <c r="AM209" s="1"/>
      <c r="AN209" s="1"/>
      <c r="AO209" s="10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8"/>
      <c r="AK210" s="10"/>
      <c r="AL210" s="1"/>
      <c r="AM210" s="1"/>
      <c r="AN210" s="1"/>
      <c r="AO210" s="10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8"/>
      <c r="AK211" s="10"/>
      <c r="AL211" s="1"/>
      <c r="AM211" s="1"/>
      <c r="AN211" s="1"/>
      <c r="AO211" s="10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8"/>
      <c r="AK212" s="10"/>
      <c r="AL212" s="1"/>
      <c r="AM212" s="1"/>
      <c r="AN212" s="1"/>
      <c r="AO212" s="10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8"/>
      <c r="AK213" s="10"/>
      <c r="AL213" s="1"/>
      <c r="AM213" s="1"/>
      <c r="AN213" s="1"/>
      <c r="AO213" s="10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8"/>
      <c r="AK214" s="10"/>
      <c r="AL214" s="1"/>
      <c r="AM214" s="1"/>
      <c r="AN214" s="1"/>
      <c r="AO214" s="10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8"/>
      <c r="AK215" s="10"/>
      <c r="AL215" s="1"/>
      <c r="AM215" s="1"/>
      <c r="AN215" s="1"/>
      <c r="AO215" s="10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8"/>
      <c r="AK216" s="10"/>
      <c r="AL216" s="1"/>
      <c r="AM216" s="1"/>
      <c r="AN216" s="1"/>
      <c r="AO216" s="10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8"/>
      <c r="AK217" s="10"/>
      <c r="AL217" s="1"/>
      <c r="AM217" s="1"/>
      <c r="AN217" s="1"/>
      <c r="AO217" s="10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8"/>
      <c r="AK218" s="10"/>
      <c r="AL218" s="1"/>
      <c r="AM218" s="1"/>
      <c r="AN218" s="1"/>
      <c r="AO218" s="10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8"/>
      <c r="AK219" s="10"/>
      <c r="AL219" s="1"/>
      <c r="AM219" s="1"/>
      <c r="AN219" s="1"/>
      <c r="AO219" s="10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8"/>
      <c r="AK220" s="10"/>
      <c r="AL220" s="1"/>
      <c r="AM220" s="1"/>
      <c r="AN220" s="1"/>
      <c r="AO220" s="10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8"/>
      <c r="AK221" s="10"/>
      <c r="AL221" s="1"/>
      <c r="AM221" s="1"/>
      <c r="AN221" s="1"/>
      <c r="AO221" s="10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8"/>
      <c r="AK222" s="10"/>
      <c r="AL222" s="1"/>
      <c r="AM222" s="1"/>
      <c r="AN222" s="1"/>
      <c r="AO222" s="10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8"/>
      <c r="AK223" s="10"/>
      <c r="AL223" s="1"/>
      <c r="AM223" s="1"/>
      <c r="AN223" s="1"/>
      <c r="AO223" s="10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8"/>
      <c r="AK224" s="10"/>
      <c r="AL224" s="1"/>
      <c r="AM224" s="1"/>
      <c r="AN224" s="1"/>
      <c r="AO224" s="10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8"/>
      <c r="AK225" s="10"/>
      <c r="AL225" s="1"/>
      <c r="AM225" s="1"/>
      <c r="AN225" s="1"/>
      <c r="AO225" s="10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8"/>
      <c r="AK226" s="10"/>
      <c r="AL226" s="1"/>
      <c r="AM226" s="1"/>
      <c r="AN226" s="1"/>
      <c r="AO226" s="10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8"/>
      <c r="AK227" s="10"/>
      <c r="AL227" s="1"/>
      <c r="AM227" s="1"/>
      <c r="AN227" s="1"/>
      <c r="AO227" s="10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8"/>
      <c r="AK228" s="10"/>
      <c r="AL228" s="1"/>
      <c r="AM228" s="1"/>
      <c r="AN228" s="1"/>
      <c r="AO228" s="10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8"/>
      <c r="AK229" s="10"/>
      <c r="AL229" s="1"/>
      <c r="AM229" s="1"/>
      <c r="AN229" s="1"/>
      <c r="AO229" s="10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8"/>
      <c r="AK230" s="10"/>
      <c r="AL230" s="1"/>
      <c r="AM230" s="1"/>
      <c r="AN230" s="1"/>
      <c r="AO230" s="10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8"/>
      <c r="AK231" s="10"/>
      <c r="AL231" s="1"/>
      <c r="AM231" s="1"/>
      <c r="AN231" s="1"/>
      <c r="AO231" s="10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8"/>
      <c r="AK232" s="10"/>
      <c r="AL232" s="1"/>
      <c r="AM232" s="1"/>
      <c r="AN232" s="1"/>
      <c r="AO232" s="10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8"/>
      <c r="AK233" s="10"/>
      <c r="AL233" s="1"/>
      <c r="AM233" s="1"/>
      <c r="AN233" s="1"/>
      <c r="AO233" s="10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8"/>
      <c r="AK234" s="10"/>
      <c r="AL234" s="1"/>
      <c r="AM234" s="1"/>
      <c r="AN234" s="1"/>
      <c r="AO234" s="10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8"/>
      <c r="AK235" s="10"/>
      <c r="AL235" s="1"/>
      <c r="AM235" s="1"/>
      <c r="AN235" s="1"/>
      <c r="AO235" s="10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8"/>
      <c r="AK236" s="10"/>
      <c r="AL236" s="1"/>
      <c r="AM236" s="1"/>
      <c r="AN236" s="1"/>
      <c r="AO236" s="10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8"/>
      <c r="AK237" s="10"/>
      <c r="AL237" s="1"/>
      <c r="AM237" s="1"/>
      <c r="AN237" s="1"/>
      <c r="AO237" s="10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8"/>
      <c r="AK238" s="10"/>
      <c r="AL238" s="1"/>
      <c r="AM238" s="1"/>
      <c r="AN238" s="1"/>
      <c r="AO238" s="10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8"/>
      <c r="AK239" s="10"/>
      <c r="AL239" s="1"/>
      <c r="AM239" s="1"/>
      <c r="AN239" s="1"/>
      <c r="AO239" s="10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8"/>
      <c r="AK240" s="10"/>
      <c r="AL240" s="1"/>
      <c r="AM240" s="1"/>
      <c r="AN240" s="1"/>
      <c r="AO240" s="10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8"/>
      <c r="AK241" s="10"/>
      <c r="AL241" s="1"/>
      <c r="AM241" s="1"/>
      <c r="AN241" s="1"/>
      <c r="AO241" s="10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8"/>
      <c r="AK242" s="10"/>
      <c r="AL242" s="1"/>
      <c r="AM242" s="1"/>
      <c r="AN242" s="1"/>
      <c r="AO242" s="10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8"/>
      <c r="AK243" s="10"/>
      <c r="AL243" s="1"/>
      <c r="AM243" s="1"/>
      <c r="AN243" s="1"/>
      <c r="AO243" s="10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8"/>
      <c r="AK244" s="10"/>
      <c r="AL244" s="1"/>
      <c r="AM244" s="1"/>
      <c r="AN244" s="1"/>
      <c r="AO244" s="10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8"/>
      <c r="AK245" s="10"/>
      <c r="AL245" s="1"/>
      <c r="AM245" s="1"/>
      <c r="AN245" s="1"/>
      <c r="AO245" s="10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8"/>
      <c r="AK246" s="10"/>
      <c r="AL246" s="1"/>
      <c r="AM246" s="1"/>
      <c r="AN246" s="1"/>
      <c r="AO246" s="10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8"/>
      <c r="AK247" s="10"/>
      <c r="AL247" s="1"/>
      <c r="AM247" s="1"/>
      <c r="AN247" s="1"/>
      <c r="AO247" s="10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8"/>
      <c r="AK248" s="10"/>
      <c r="AL248" s="1"/>
      <c r="AM248" s="1"/>
      <c r="AN248" s="1"/>
      <c r="AO248" s="10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8"/>
      <c r="AK249" s="10"/>
      <c r="AL249" s="1"/>
      <c r="AM249" s="1"/>
      <c r="AN249" s="1"/>
      <c r="AO249" s="10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8"/>
      <c r="AK250" s="10"/>
      <c r="AL250" s="1"/>
      <c r="AM250" s="1"/>
      <c r="AN250" s="1"/>
      <c r="AO250" s="10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8"/>
      <c r="AK251" s="10"/>
      <c r="AL251" s="1"/>
      <c r="AM251" s="1"/>
      <c r="AN251" s="1"/>
      <c r="AO251" s="10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8"/>
      <c r="AK252" s="10"/>
      <c r="AL252" s="1"/>
      <c r="AM252" s="1"/>
      <c r="AN252" s="1"/>
      <c r="AO252" s="10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8"/>
      <c r="AK253" s="10"/>
      <c r="AL253" s="1"/>
      <c r="AM253" s="1"/>
      <c r="AN253" s="1"/>
      <c r="AO253" s="10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8"/>
      <c r="AK254" s="10"/>
      <c r="AL254" s="1"/>
      <c r="AM254" s="1"/>
      <c r="AN254" s="1"/>
      <c r="AO254" s="10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8"/>
      <c r="AK255" s="10"/>
      <c r="AL255" s="1"/>
      <c r="AM255" s="1"/>
      <c r="AN255" s="1"/>
      <c r="AO255" s="10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8"/>
      <c r="AK256" s="10"/>
      <c r="AL256" s="1"/>
      <c r="AM256" s="1"/>
      <c r="AN256" s="1"/>
      <c r="AO256" s="10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8"/>
      <c r="AK257" s="10"/>
      <c r="AL257" s="1"/>
      <c r="AM257" s="1"/>
      <c r="AN257" s="1"/>
      <c r="AO257" s="10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8"/>
      <c r="AK258" s="10"/>
      <c r="AL258" s="1"/>
      <c r="AM258" s="1"/>
      <c r="AN258" s="1"/>
      <c r="AO258" s="10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8"/>
      <c r="AK259" s="10"/>
      <c r="AL259" s="1"/>
      <c r="AM259" s="1"/>
      <c r="AN259" s="1"/>
      <c r="AO259" s="10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8"/>
      <c r="AK260" s="10"/>
      <c r="AL260" s="1"/>
      <c r="AM260" s="1"/>
      <c r="AN260" s="1"/>
      <c r="AO260" s="10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8"/>
      <c r="AK261" s="10"/>
      <c r="AL261" s="1"/>
      <c r="AM261" s="1"/>
      <c r="AN261" s="1"/>
      <c r="AO261" s="10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8"/>
      <c r="AK262" s="10"/>
      <c r="AL262" s="1"/>
      <c r="AM262" s="1"/>
      <c r="AN262" s="1"/>
      <c r="AO262" s="10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8"/>
      <c r="AK263" s="10"/>
      <c r="AL263" s="1"/>
      <c r="AM263" s="1"/>
      <c r="AN263" s="1"/>
      <c r="AO263" s="10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8"/>
      <c r="AK264" s="10"/>
      <c r="AL264" s="1"/>
      <c r="AM264" s="1"/>
      <c r="AN264" s="1"/>
      <c r="AO264" s="10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8"/>
      <c r="AK265" s="10"/>
      <c r="AL265" s="1"/>
      <c r="AM265" s="1"/>
      <c r="AN265" s="1"/>
      <c r="AO265" s="10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8"/>
      <c r="AK266" s="10"/>
      <c r="AL266" s="1"/>
      <c r="AM266" s="1"/>
      <c r="AN266" s="1"/>
      <c r="AO266" s="10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8"/>
      <c r="AK267" s="10"/>
      <c r="AL267" s="1"/>
      <c r="AM267" s="1"/>
      <c r="AN267" s="1"/>
      <c r="AO267" s="10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8"/>
      <c r="AK268" s="10"/>
      <c r="AL268" s="1"/>
      <c r="AM268" s="1"/>
      <c r="AN268" s="1"/>
      <c r="AO268" s="10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8"/>
      <c r="AK269" s="10"/>
      <c r="AL269" s="1"/>
      <c r="AM269" s="1"/>
      <c r="AN269" s="1"/>
      <c r="AO269" s="10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8"/>
      <c r="AK270" s="10"/>
      <c r="AL270" s="1"/>
      <c r="AM270" s="1"/>
      <c r="AN270" s="1"/>
      <c r="AO270" s="10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8"/>
      <c r="AK271" s="10"/>
      <c r="AL271" s="1"/>
      <c r="AM271" s="1"/>
      <c r="AN271" s="1"/>
      <c r="AO271" s="10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8"/>
      <c r="AK272" s="10"/>
      <c r="AL272" s="1"/>
      <c r="AM272" s="1"/>
      <c r="AN272" s="1"/>
      <c r="AO272" s="10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8"/>
      <c r="AK273" s="10"/>
      <c r="AL273" s="1"/>
      <c r="AM273" s="1"/>
      <c r="AN273" s="1"/>
      <c r="AO273" s="10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8"/>
      <c r="AK274" s="10"/>
      <c r="AL274" s="1"/>
      <c r="AM274" s="1"/>
      <c r="AN274" s="1"/>
      <c r="AO274" s="10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8"/>
      <c r="AK275" s="10"/>
      <c r="AL275" s="1"/>
      <c r="AM275" s="1"/>
      <c r="AN275" s="1"/>
      <c r="AO275" s="10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8"/>
      <c r="AK276" s="10"/>
      <c r="AL276" s="1"/>
      <c r="AM276" s="1"/>
      <c r="AN276" s="1"/>
      <c r="AO276" s="10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8"/>
      <c r="AK277" s="10"/>
      <c r="AL277" s="1"/>
      <c r="AM277" s="1"/>
      <c r="AN277" s="1"/>
      <c r="AO277" s="10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8"/>
      <c r="AK278" s="10"/>
      <c r="AL278" s="1"/>
      <c r="AM278" s="1"/>
      <c r="AN278" s="1"/>
      <c r="AO278" s="10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8"/>
      <c r="AK279" s="10"/>
      <c r="AL279" s="1"/>
      <c r="AM279" s="1"/>
      <c r="AN279" s="1"/>
      <c r="AO279" s="10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8"/>
      <c r="AK280" s="10"/>
      <c r="AL280" s="1"/>
      <c r="AM280" s="1"/>
      <c r="AN280" s="1"/>
      <c r="AO280" s="10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8"/>
      <c r="AK281" s="10"/>
      <c r="AL281" s="1"/>
      <c r="AM281" s="1"/>
      <c r="AN281" s="1"/>
      <c r="AO281" s="10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8"/>
      <c r="AK282" s="10"/>
      <c r="AL282" s="1"/>
      <c r="AM282" s="1"/>
      <c r="AN282" s="1"/>
      <c r="AO282" s="10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8"/>
      <c r="AK283" s="10"/>
      <c r="AL283" s="1"/>
      <c r="AM283" s="1"/>
      <c r="AN283" s="1"/>
      <c r="AO283" s="10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8"/>
      <c r="AK284" s="10"/>
      <c r="AL284" s="1"/>
      <c r="AM284" s="1"/>
      <c r="AN284" s="1"/>
      <c r="AO284" s="10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8"/>
      <c r="AK285" s="10"/>
      <c r="AL285" s="1"/>
      <c r="AM285" s="1"/>
      <c r="AN285" s="1"/>
      <c r="AO285" s="10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8"/>
      <c r="AK286" s="10"/>
      <c r="AL286" s="1"/>
      <c r="AM286" s="1"/>
      <c r="AN286" s="1"/>
      <c r="AO286" s="10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8"/>
      <c r="AK287" s="10"/>
      <c r="AL287" s="1"/>
      <c r="AM287" s="1"/>
      <c r="AN287" s="1"/>
      <c r="AO287" s="10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8"/>
      <c r="AK288" s="10"/>
      <c r="AL288" s="1"/>
      <c r="AM288" s="1"/>
      <c r="AN288" s="1"/>
      <c r="AO288" s="10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8"/>
      <c r="AK289" s="10"/>
      <c r="AL289" s="1"/>
      <c r="AM289" s="1"/>
      <c r="AN289" s="1"/>
      <c r="AO289" s="10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8"/>
      <c r="AK290" s="10"/>
      <c r="AL290" s="1"/>
      <c r="AM290" s="1"/>
      <c r="AN290" s="1"/>
      <c r="AO290" s="10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8"/>
      <c r="AK291" s="10"/>
      <c r="AL291" s="1"/>
      <c r="AM291" s="1"/>
      <c r="AN291" s="1"/>
      <c r="AO291" s="10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8"/>
      <c r="AK292" s="10"/>
      <c r="AL292" s="1"/>
      <c r="AM292" s="1"/>
      <c r="AN292" s="1"/>
      <c r="AO292" s="10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8"/>
      <c r="AK293" s="10"/>
      <c r="AL293" s="1"/>
      <c r="AM293" s="1"/>
      <c r="AN293" s="1"/>
      <c r="AO293" s="10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8"/>
      <c r="AK294" s="10"/>
      <c r="AL294" s="1"/>
      <c r="AM294" s="1"/>
      <c r="AN294" s="1"/>
      <c r="AO294" s="10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8"/>
      <c r="AK295" s="10"/>
      <c r="AL295" s="1"/>
      <c r="AM295" s="1"/>
      <c r="AN295" s="1"/>
      <c r="AO295" s="10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8"/>
      <c r="AK296" s="10"/>
      <c r="AL296" s="1"/>
      <c r="AM296" s="1"/>
      <c r="AN296" s="1"/>
      <c r="AO296" s="10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8"/>
      <c r="AK297" s="10"/>
      <c r="AL297" s="1"/>
      <c r="AM297" s="1"/>
      <c r="AN297" s="1"/>
      <c r="AO297" s="10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8"/>
      <c r="AK298" s="10"/>
      <c r="AL298" s="1"/>
      <c r="AM298" s="1"/>
      <c r="AN298" s="1"/>
      <c r="AO298" s="10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8"/>
      <c r="AK299" s="10"/>
      <c r="AL299" s="1"/>
      <c r="AM299" s="1"/>
      <c r="AN299" s="1"/>
      <c r="AO299" s="10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8"/>
      <c r="AK300" s="10"/>
      <c r="AL300" s="1"/>
      <c r="AM300" s="1"/>
      <c r="AN300" s="1"/>
      <c r="AO300" s="10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8"/>
      <c r="AK301" s="10"/>
      <c r="AL301" s="1"/>
      <c r="AM301" s="1"/>
      <c r="AN301" s="1"/>
      <c r="AO301" s="10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8"/>
      <c r="AK302" s="10"/>
      <c r="AL302" s="1"/>
      <c r="AM302" s="1"/>
      <c r="AN302" s="1"/>
      <c r="AO302" s="10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8"/>
      <c r="AK303" s="10"/>
      <c r="AL303" s="1"/>
      <c r="AM303" s="1"/>
      <c r="AN303" s="1"/>
      <c r="AO303" s="10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8"/>
      <c r="AK304" s="10"/>
      <c r="AL304" s="1"/>
      <c r="AM304" s="1"/>
      <c r="AN304" s="1"/>
      <c r="AO304" s="10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8"/>
      <c r="AK305" s="10"/>
      <c r="AL305" s="1"/>
      <c r="AM305" s="1"/>
      <c r="AN305" s="1"/>
      <c r="AO305" s="10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8"/>
      <c r="AK306" s="10"/>
      <c r="AL306" s="1"/>
      <c r="AM306" s="1"/>
      <c r="AN306" s="1"/>
      <c r="AO306" s="10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8"/>
      <c r="AK307" s="10"/>
      <c r="AL307" s="1"/>
      <c r="AM307" s="1"/>
      <c r="AN307" s="1"/>
      <c r="AO307" s="10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8"/>
      <c r="AK308" s="10"/>
      <c r="AL308" s="1"/>
      <c r="AM308" s="1"/>
      <c r="AN308" s="1"/>
      <c r="AO308" s="10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8"/>
      <c r="AK309" s="10"/>
      <c r="AL309" s="1"/>
      <c r="AM309" s="1"/>
      <c r="AN309" s="1"/>
      <c r="AO309" s="10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8"/>
      <c r="AK310" s="10"/>
      <c r="AL310" s="1"/>
      <c r="AM310" s="1"/>
      <c r="AN310" s="1"/>
      <c r="AO310" s="10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8"/>
      <c r="AK311" s="10"/>
      <c r="AL311" s="1"/>
      <c r="AM311" s="1"/>
      <c r="AN311" s="1"/>
      <c r="AO311" s="10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8"/>
      <c r="AK312" s="10"/>
      <c r="AL312" s="1"/>
      <c r="AM312" s="1"/>
      <c r="AN312" s="1"/>
      <c r="AO312" s="10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8"/>
      <c r="AK313" s="10"/>
      <c r="AL313" s="1"/>
      <c r="AM313" s="1"/>
      <c r="AN313" s="1"/>
      <c r="AO313" s="10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8"/>
      <c r="AK314" s="10"/>
      <c r="AL314" s="1"/>
      <c r="AM314" s="1"/>
      <c r="AN314" s="1"/>
      <c r="AO314" s="10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8"/>
      <c r="AK315" s="10"/>
      <c r="AL315" s="1"/>
      <c r="AM315" s="1"/>
      <c r="AN315" s="1"/>
      <c r="AO315" s="10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8"/>
      <c r="AK316" s="10"/>
      <c r="AL316" s="1"/>
      <c r="AM316" s="1"/>
      <c r="AN316" s="1"/>
      <c r="AO316" s="10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8"/>
      <c r="AK317" s="10"/>
      <c r="AL317" s="1"/>
      <c r="AM317" s="1"/>
      <c r="AN317" s="1"/>
      <c r="AO317" s="10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8"/>
      <c r="AK318" s="10"/>
      <c r="AL318" s="1"/>
      <c r="AM318" s="1"/>
      <c r="AN318" s="1"/>
      <c r="AO318" s="10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8"/>
      <c r="AK319" s="10"/>
      <c r="AL319" s="1"/>
      <c r="AM319" s="1"/>
      <c r="AN319" s="1"/>
      <c r="AO319" s="10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8"/>
      <c r="AK320" s="10"/>
      <c r="AL320" s="1"/>
      <c r="AM320" s="1"/>
      <c r="AN320" s="1"/>
      <c r="AO320" s="10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8"/>
      <c r="AK321" s="10"/>
      <c r="AL321" s="1"/>
      <c r="AM321" s="1"/>
      <c r="AN321" s="1"/>
      <c r="AO321" s="10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8"/>
      <c r="AK322" s="10"/>
      <c r="AL322" s="1"/>
      <c r="AM322" s="1"/>
      <c r="AN322" s="1"/>
      <c r="AO322" s="10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8"/>
      <c r="AK323" s="10"/>
      <c r="AL323" s="1"/>
      <c r="AM323" s="1"/>
      <c r="AN323" s="1"/>
      <c r="AO323" s="10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8"/>
      <c r="AK324" s="10"/>
      <c r="AL324" s="1"/>
      <c r="AM324" s="1"/>
      <c r="AN324" s="1"/>
      <c r="AO324" s="10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8"/>
      <c r="AK325" s="10"/>
      <c r="AL325" s="1"/>
      <c r="AM325" s="1"/>
      <c r="AN325" s="1"/>
      <c r="AO325" s="10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8"/>
      <c r="AK326" s="10"/>
      <c r="AL326" s="1"/>
      <c r="AM326" s="1"/>
      <c r="AN326" s="1"/>
      <c r="AO326" s="10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8"/>
      <c r="AK327" s="10"/>
      <c r="AL327" s="1"/>
      <c r="AM327" s="1"/>
      <c r="AN327" s="1"/>
      <c r="AO327" s="10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8"/>
      <c r="AK328" s="10"/>
      <c r="AL328" s="1"/>
      <c r="AM328" s="1"/>
      <c r="AN328" s="1"/>
      <c r="AO328" s="10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8"/>
      <c r="AK329" s="10"/>
      <c r="AL329" s="1"/>
      <c r="AM329" s="1"/>
      <c r="AN329" s="1"/>
      <c r="AO329" s="10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8"/>
      <c r="AK330" s="10"/>
      <c r="AL330" s="1"/>
      <c r="AM330" s="1"/>
      <c r="AN330" s="1"/>
      <c r="AO330" s="10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8"/>
      <c r="AK331" s="10"/>
      <c r="AL331" s="1"/>
      <c r="AM331" s="1"/>
      <c r="AN331" s="1"/>
      <c r="AO331" s="10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8"/>
      <c r="AK332" s="10"/>
      <c r="AL332" s="1"/>
      <c r="AM332" s="1"/>
      <c r="AN332" s="1"/>
      <c r="AO332" s="10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8"/>
      <c r="AK333" s="10"/>
      <c r="AL333" s="1"/>
      <c r="AM333" s="1"/>
      <c r="AN333" s="1"/>
      <c r="AO333" s="10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8"/>
      <c r="AK334" s="10"/>
      <c r="AL334" s="1"/>
      <c r="AM334" s="1"/>
      <c r="AN334" s="1"/>
      <c r="AO334" s="10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8"/>
      <c r="AK335" s="10"/>
      <c r="AL335" s="1"/>
      <c r="AM335" s="1"/>
      <c r="AN335" s="1"/>
      <c r="AO335" s="10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8"/>
      <c r="AK336" s="10"/>
      <c r="AL336" s="1"/>
      <c r="AM336" s="1"/>
      <c r="AN336" s="1"/>
      <c r="AO336" s="10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8"/>
      <c r="AK337" s="10"/>
      <c r="AL337" s="1"/>
      <c r="AM337" s="1"/>
      <c r="AN337" s="1"/>
      <c r="AO337" s="10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8"/>
      <c r="AK338" s="10"/>
      <c r="AL338" s="1"/>
      <c r="AM338" s="1"/>
      <c r="AN338" s="1"/>
      <c r="AO338" s="10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8"/>
      <c r="AK339" s="10"/>
      <c r="AL339" s="1"/>
      <c r="AM339" s="1"/>
      <c r="AN339" s="1"/>
      <c r="AO339" s="10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8"/>
      <c r="AK340" s="10"/>
      <c r="AL340" s="1"/>
      <c r="AM340" s="1"/>
      <c r="AN340" s="1"/>
      <c r="AO340" s="10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8"/>
      <c r="AK341" s="10"/>
      <c r="AL341" s="1"/>
      <c r="AM341" s="1"/>
      <c r="AN341" s="1"/>
      <c r="AO341" s="10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8"/>
      <c r="AK342" s="10"/>
      <c r="AL342" s="1"/>
      <c r="AM342" s="1"/>
      <c r="AN342" s="1"/>
      <c r="AO342" s="10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8"/>
      <c r="AK343" s="10"/>
      <c r="AL343" s="1"/>
      <c r="AM343" s="1"/>
      <c r="AN343" s="1"/>
      <c r="AO343" s="10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8"/>
      <c r="AK344" s="10"/>
      <c r="AL344" s="1"/>
      <c r="AM344" s="1"/>
      <c r="AN344" s="1"/>
      <c r="AO344" s="10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8"/>
      <c r="AK345" s="10"/>
      <c r="AL345" s="1"/>
      <c r="AM345" s="1"/>
      <c r="AN345" s="1"/>
      <c r="AO345" s="10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8"/>
      <c r="AK346" s="10"/>
      <c r="AL346" s="1"/>
      <c r="AM346" s="1"/>
      <c r="AN346" s="1"/>
      <c r="AO346" s="10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8"/>
      <c r="AK347" s="10"/>
      <c r="AL347" s="1"/>
      <c r="AM347" s="1"/>
      <c r="AN347" s="1"/>
      <c r="AO347" s="10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8"/>
      <c r="AK348" s="10"/>
      <c r="AL348" s="1"/>
      <c r="AM348" s="1"/>
      <c r="AN348" s="1"/>
      <c r="AO348" s="10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8"/>
      <c r="AK349" s="10"/>
      <c r="AL349" s="1"/>
      <c r="AM349" s="1"/>
      <c r="AN349" s="1"/>
      <c r="AO349" s="10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8"/>
      <c r="AK350" s="10"/>
      <c r="AL350" s="1"/>
      <c r="AM350" s="1"/>
      <c r="AN350" s="1"/>
      <c r="AO350" s="10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8"/>
      <c r="AK351" s="10"/>
      <c r="AL351" s="1"/>
      <c r="AM351" s="1"/>
      <c r="AN351" s="1"/>
      <c r="AO351" s="10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8"/>
      <c r="AK352" s="10"/>
      <c r="AL352" s="1"/>
      <c r="AM352" s="1"/>
      <c r="AN352" s="1"/>
      <c r="AO352" s="10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8"/>
      <c r="AK353" s="10"/>
      <c r="AL353" s="1"/>
      <c r="AM353" s="1"/>
      <c r="AN353" s="1"/>
      <c r="AO353" s="10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8"/>
      <c r="AK354" s="10"/>
      <c r="AL354" s="1"/>
      <c r="AM354" s="1"/>
      <c r="AN354" s="1"/>
      <c r="AO354" s="10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8"/>
      <c r="AK355" s="10"/>
      <c r="AL355" s="1"/>
      <c r="AM355" s="1"/>
      <c r="AN355" s="1"/>
      <c r="AO355" s="10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8"/>
      <c r="AK356" s="10"/>
      <c r="AL356" s="1"/>
      <c r="AM356" s="1"/>
      <c r="AN356" s="1"/>
      <c r="AO356" s="10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8"/>
      <c r="AK357" s="10"/>
      <c r="AL357" s="1"/>
      <c r="AM357" s="1"/>
      <c r="AN357" s="1"/>
      <c r="AO357" s="10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8"/>
      <c r="AK358" s="10"/>
      <c r="AL358" s="1"/>
      <c r="AM358" s="1"/>
      <c r="AN358" s="1"/>
      <c r="AO358" s="10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8"/>
      <c r="AK359" s="10"/>
      <c r="AL359" s="1"/>
      <c r="AM359" s="1"/>
      <c r="AN359" s="1"/>
      <c r="AO359" s="10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8"/>
      <c r="AK360" s="10"/>
      <c r="AL360" s="1"/>
      <c r="AM360" s="1"/>
      <c r="AN360" s="1"/>
      <c r="AO360" s="10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8"/>
      <c r="AK361" s="10"/>
      <c r="AL361" s="1"/>
      <c r="AM361" s="1"/>
      <c r="AN361" s="1"/>
      <c r="AO361" s="10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8"/>
      <c r="AK362" s="10"/>
      <c r="AL362" s="1"/>
      <c r="AM362" s="1"/>
      <c r="AN362" s="1"/>
      <c r="AO362" s="10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8"/>
      <c r="AK363" s="10"/>
      <c r="AL363" s="1"/>
      <c r="AM363" s="1"/>
      <c r="AN363" s="1"/>
      <c r="AO363" s="10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8"/>
      <c r="AK364" s="10"/>
      <c r="AL364" s="1"/>
      <c r="AM364" s="1"/>
      <c r="AN364" s="1"/>
      <c r="AO364" s="10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8"/>
      <c r="AK365" s="10"/>
      <c r="AL365" s="1"/>
      <c r="AM365" s="1"/>
      <c r="AN365" s="1"/>
      <c r="AO365" s="10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8"/>
      <c r="AK366" s="10"/>
      <c r="AL366" s="1"/>
      <c r="AM366" s="1"/>
      <c r="AN366" s="1"/>
      <c r="AO366" s="10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8"/>
      <c r="AK367" s="10"/>
      <c r="AL367" s="1"/>
      <c r="AM367" s="1"/>
      <c r="AN367" s="1"/>
      <c r="AO367" s="10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8"/>
      <c r="AK368" s="10"/>
      <c r="AL368" s="1"/>
      <c r="AM368" s="1"/>
      <c r="AN368" s="1"/>
      <c r="AO368" s="10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8"/>
      <c r="AK369" s="10"/>
      <c r="AL369" s="1"/>
      <c r="AM369" s="1"/>
      <c r="AN369" s="1"/>
      <c r="AO369" s="10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8"/>
      <c r="AK370" s="10"/>
      <c r="AL370" s="1"/>
      <c r="AM370" s="1"/>
      <c r="AN370" s="1"/>
      <c r="AO370" s="10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8"/>
      <c r="AK371" s="10"/>
      <c r="AL371" s="1"/>
      <c r="AM371" s="1"/>
      <c r="AN371" s="1"/>
      <c r="AO371" s="10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8"/>
      <c r="AK372" s="10"/>
      <c r="AL372" s="1"/>
      <c r="AM372" s="1"/>
      <c r="AN372" s="1"/>
      <c r="AO372" s="10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8"/>
      <c r="AK373" s="10"/>
      <c r="AL373" s="1"/>
      <c r="AM373" s="1"/>
      <c r="AN373" s="1"/>
      <c r="AO373" s="10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8"/>
      <c r="AK374" s="10"/>
      <c r="AL374" s="1"/>
      <c r="AM374" s="1"/>
      <c r="AN374" s="1"/>
      <c r="AO374" s="10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8"/>
      <c r="AK375" s="10"/>
      <c r="AL375" s="1"/>
      <c r="AM375" s="1"/>
      <c r="AN375" s="1"/>
      <c r="AO375" s="10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8"/>
      <c r="AK376" s="10"/>
      <c r="AL376" s="1"/>
      <c r="AM376" s="1"/>
      <c r="AN376" s="1"/>
      <c r="AO376" s="10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8"/>
      <c r="AK377" s="10"/>
      <c r="AL377" s="1"/>
      <c r="AM377" s="1"/>
      <c r="AN377" s="1"/>
      <c r="AO377" s="10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8"/>
      <c r="AK378" s="10"/>
      <c r="AL378" s="1"/>
      <c r="AM378" s="1"/>
      <c r="AN378" s="1"/>
      <c r="AO378" s="10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8"/>
      <c r="AK379" s="10"/>
      <c r="AL379" s="1"/>
      <c r="AM379" s="1"/>
      <c r="AN379" s="1"/>
      <c r="AO379" s="10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8"/>
      <c r="AK380" s="10"/>
      <c r="AL380" s="1"/>
      <c r="AM380" s="1"/>
      <c r="AN380" s="1"/>
      <c r="AO380" s="10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8"/>
      <c r="AK381" s="10"/>
      <c r="AL381" s="1"/>
      <c r="AM381" s="1"/>
      <c r="AN381" s="1"/>
      <c r="AO381" s="10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8"/>
      <c r="AK382" s="10"/>
      <c r="AL382" s="1"/>
      <c r="AM382" s="1"/>
      <c r="AN382" s="1"/>
      <c r="AO382" s="10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8"/>
      <c r="AK383" s="10"/>
      <c r="AL383" s="1"/>
      <c r="AM383" s="1"/>
      <c r="AN383" s="1"/>
      <c r="AO383" s="10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8"/>
      <c r="AK384" s="10"/>
      <c r="AL384" s="1"/>
      <c r="AM384" s="1"/>
      <c r="AN384" s="1"/>
      <c r="AO384" s="10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8"/>
      <c r="AK385" s="10"/>
      <c r="AL385" s="1"/>
      <c r="AM385" s="1"/>
      <c r="AN385" s="1"/>
      <c r="AO385" s="10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8"/>
      <c r="AK386" s="10"/>
      <c r="AL386" s="1"/>
      <c r="AM386" s="1"/>
      <c r="AN386" s="1"/>
      <c r="AO386" s="10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8"/>
      <c r="AK387" s="10"/>
      <c r="AL387" s="1"/>
      <c r="AM387" s="1"/>
      <c r="AN387" s="1"/>
      <c r="AO387" s="10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8"/>
      <c r="AK388" s="10"/>
      <c r="AL388" s="1"/>
      <c r="AM388" s="1"/>
      <c r="AN388" s="1"/>
      <c r="AO388" s="10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8"/>
      <c r="AK389" s="10"/>
      <c r="AL389" s="1"/>
      <c r="AM389" s="1"/>
      <c r="AN389" s="1"/>
      <c r="AO389" s="10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8"/>
      <c r="AK390" s="10"/>
      <c r="AL390" s="1"/>
      <c r="AM390" s="1"/>
      <c r="AN390" s="1"/>
      <c r="AO390" s="10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8"/>
      <c r="AK391" s="10"/>
      <c r="AL391" s="1"/>
      <c r="AM391" s="1"/>
      <c r="AN391" s="1"/>
      <c r="AO391" s="10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8"/>
      <c r="AK392" s="10"/>
      <c r="AL392" s="1"/>
      <c r="AM392" s="1"/>
      <c r="AN392" s="1"/>
      <c r="AO392" s="10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8"/>
      <c r="AK393" s="10"/>
      <c r="AL393" s="1"/>
      <c r="AM393" s="1"/>
      <c r="AN393" s="1"/>
      <c r="AO393" s="10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8"/>
      <c r="AK394" s="10"/>
      <c r="AL394" s="1"/>
      <c r="AM394" s="1"/>
      <c r="AN394" s="1"/>
      <c r="AO394" s="10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8"/>
      <c r="AK395" s="10"/>
      <c r="AL395" s="1"/>
      <c r="AM395" s="1"/>
      <c r="AN395" s="1"/>
      <c r="AO395" s="10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8"/>
      <c r="AK396" s="10"/>
      <c r="AL396" s="1"/>
      <c r="AM396" s="1"/>
      <c r="AN396" s="1"/>
      <c r="AO396" s="10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8"/>
      <c r="AK397" s="10"/>
      <c r="AL397" s="1"/>
      <c r="AM397" s="1"/>
      <c r="AN397" s="1"/>
      <c r="AO397" s="10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8"/>
      <c r="AK398" s="10"/>
      <c r="AL398" s="1"/>
      <c r="AM398" s="1"/>
      <c r="AN398" s="1"/>
      <c r="AO398" s="10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8"/>
      <c r="AK399" s="10"/>
      <c r="AL399" s="1"/>
      <c r="AM399" s="1"/>
      <c r="AN399" s="1"/>
      <c r="AO399" s="10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8"/>
      <c r="AK400" s="10"/>
      <c r="AL400" s="1"/>
      <c r="AM400" s="1"/>
      <c r="AN400" s="1"/>
      <c r="AO400" s="10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8"/>
      <c r="AK401" s="10"/>
      <c r="AL401" s="1"/>
      <c r="AM401" s="1"/>
      <c r="AN401" s="1"/>
      <c r="AO401" s="10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8"/>
      <c r="AK402" s="10"/>
      <c r="AL402" s="1"/>
      <c r="AM402" s="1"/>
      <c r="AN402" s="1"/>
      <c r="AO402" s="10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8"/>
      <c r="AK403" s="10"/>
      <c r="AL403" s="1"/>
      <c r="AM403" s="1"/>
      <c r="AN403" s="1"/>
      <c r="AO403" s="10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8"/>
      <c r="AK404" s="10"/>
      <c r="AL404" s="1"/>
      <c r="AM404" s="1"/>
      <c r="AN404" s="1"/>
      <c r="AO404" s="10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8"/>
      <c r="AK405" s="10"/>
      <c r="AL405" s="1"/>
      <c r="AM405" s="1"/>
      <c r="AN405" s="1"/>
      <c r="AO405" s="10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8"/>
      <c r="AK406" s="10"/>
      <c r="AL406" s="1"/>
      <c r="AM406" s="1"/>
      <c r="AN406" s="1"/>
      <c r="AO406" s="10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8"/>
      <c r="AK407" s="10"/>
      <c r="AL407" s="1"/>
      <c r="AM407" s="1"/>
      <c r="AN407" s="1"/>
      <c r="AO407" s="10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8"/>
      <c r="AK408" s="10"/>
      <c r="AL408" s="1"/>
      <c r="AM408" s="1"/>
      <c r="AN408" s="1"/>
      <c r="AO408" s="10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8"/>
      <c r="AK409" s="10"/>
      <c r="AL409" s="1"/>
      <c r="AM409" s="1"/>
      <c r="AN409" s="1"/>
      <c r="AO409" s="10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8"/>
      <c r="AK410" s="10"/>
      <c r="AL410" s="1"/>
      <c r="AM410" s="1"/>
      <c r="AN410" s="1"/>
      <c r="AO410" s="10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8"/>
      <c r="AK411" s="10"/>
      <c r="AL411" s="1"/>
      <c r="AM411" s="1"/>
      <c r="AN411" s="1"/>
      <c r="AO411" s="10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8"/>
      <c r="AK412" s="10"/>
      <c r="AL412" s="1"/>
      <c r="AM412" s="1"/>
      <c r="AN412" s="1"/>
      <c r="AO412" s="10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8"/>
      <c r="AK413" s="10"/>
      <c r="AL413" s="1"/>
      <c r="AM413" s="1"/>
      <c r="AN413" s="1"/>
      <c r="AO413" s="10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8"/>
      <c r="AK414" s="10"/>
      <c r="AL414" s="1"/>
      <c r="AM414" s="1"/>
      <c r="AN414" s="1"/>
      <c r="AO414" s="10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8"/>
      <c r="AK415" s="10"/>
      <c r="AL415" s="1"/>
      <c r="AM415" s="1"/>
      <c r="AN415" s="1"/>
      <c r="AO415" s="10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8"/>
      <c r="AK416" s="10"/>
      <c r="AL416" s="1"/>
      <c r="AM416" s="1"/>
      <c r="AN416" s="1"/>
      <c r="AO416" s="10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8"/>
      <c r="AK417" s="10"/>
      <c r="AL417" s="1"/>
      <c r="AM417" s="1"/>
      <c r="AN417" s="1"/>
      <c r="AO417" s="10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8"/>
      <c r="AK418" s="10"/>
      <c r="AL418" s="1"/>
      <c r="AM418" s="1"/>
      <c r="AN418" s="1"/>
      <c r="AO418" s="10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8"/>
      <c r="AK419" s="10"/>
      <c r="AL419" s="1"/>
      <c r="AM419" s="1"/>
      <c r="AN419" s="1"/>
      <c r="AO419" s="10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8"/>
      <c r="AK420" s="10"/>
      <c r="AL420" s="1"/>
      <c r="AM420" s="1"/>
      <c r="AN420" s="1"/>
      <c r="AO420" s="10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8"/>
      <c r="AK421" s="10"/>
      <c r="AL421" s="1"/>
      <c r="AM421" s="1"/>
      <c r="AN421" s="1"/>
      <c r="AO421" s="10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8"/>
      <c r="AK422" s="10"/>
      <c r="AL422" s="1"/>
      <c r="AM422" s="1"/>
      <c r="AN422" s="1"/>
      <c r="AO422" s="10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8"/>
      <c r="AK423" s="10"/>
      <c r="AL423" s="1"/>
      <c r="AM423" s="1"/>
      <c r="AN423" s="1"/>
      <c r="AO423" s="10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8"/>
      <c r="AK424" s="10"/>
      <c r="AL424" s="1"/>
      <c r="AM424" s="1"/>
      <c r="AN424" s="1"/>
      <c r="AO424" s="10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8"/>
      <c r="AK425" s="10"/>
      <c r="AL425" s="1"/>
      <c r="AM425" s="1"/>
      <c r="AN425" s="1"/>
      <c r="AO425" s="10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8"/>
      <c r="AK426" s="10"/>
      <c r="AL426" s="1"/>
      <c r="AM426" s="1"/>
      <c r="AN426" s="1"/>
      <c r="AO426" s="10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8"/>
      <c r="AK427" s="10"/>
      <c r="AL427" s="1"/>
      <c r="AM427" s="1"/>
      <c r="AN427" s="1"/>
      <c r="AO427" s="10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8"/>
      <c r="AK428" s="10"/>
      <c r="AL428" s="1"/>
      <c r="AM428" s="1"/>
      <c r="AN428" s="1"/>
      <c r="AO428" s="10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8"/>
      <c r="AK429" s="10"/>
      <c r="AL429" s="1"/>
      <c r="AM429" s="1"/>
      <c r="AN429" s="1"/>
      <c r="AO429" s="10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8"/>
      <c r="AK430" s="10"/>
      <c r="AL430" s="1"/>
      <c r="AM430" s="1"/>
      <c r="AN430" s="1"/>
      <c r="AO430" s="10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8"/>
      <c r="AK431" s="10"/>
      <c r="AL431" s="1"/>
      <c r="AM431" s="1"/>
      <c r="AN431" s="1"/>
      <c r="AO431" s="10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8"/>
      <c r="AK432" s="10"/>
      <c r="AL432" s="1"/>
      <c r="AM432" s="1"/>
      <c r="AN432" s="1"/>
      <c r="AO432" s="10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8"/>
      <c r="AK433" s="10"/>
      <c r="AL433" s="1"/>
      <c r="AM433" s="1"/>
      <c r="AN433" s="1"/>
      <c r="AO433" s="10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8"/>
      <c r="AK434" s="10"/>
      <c r="AL434" s="1"/>
      <c r="AM434" s="1"/>
      <c r="AN434" s="1"/>
      <c r="AO434" s="10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8"/>
      <c r="AK435" s="10"/>
      <c r="AL435" s="1"/>
      <c r="AM435" s="1"/>
      <c r="AN435" s="1"/>
      <c r="AO435" s="10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8"/>
      <c r="AK436" s="10"/>
      <c r="AL436" s="1"/>
      <c r="AM436" s="1"/>
      <c r="AN436" s="1"/>
      <c r="AO436" s="10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8"/>
      <c r="AK437" s="10"/>
      <c r="AL437" s="1"/>
      <c r="AM437" s="1"/>
      <c r="AN437" s="1"/>
      <c r="AO437" s="10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8"/>
      <c r="AK438" s="10"/>
      <c r="AL438" s="1"/>
      <c r="AM438" s="1"/>
      <c r="AN438" s="1"/>
      <c r="AO438" s="10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8"/>
      <c r="AK439" s="10"/>
      <c r="AL439" s="1"/>
      <c r="AM439" s="1"/>
      <c r="AN439" s="1"/>
      <c r="AO439" s="10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8"/>
      <c r="AK440" s="10"/>
      <c r="AL440" s="1"/>
      <c r="AM440" s="1"/>
      <c r="AN440" s="1"/>
      <c r="AO440" s="10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8"/>
      <c r="AK441" s="10"/>
      <c r="AL441" s="1"/>
      <c r="AM441" s="1"/>
      <c r="AN441" s="1"/>
      <c r="AO441" s="10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8"/>
      <c r="AK442" s="10"/>
      <c r="AL442" s="1"/>
      <c r="AM442" s="1"/>
      <c r="AN442" s="1"/>
      <c r="AO442" s="10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8"/>
      <c r="AK443" s="10"/>
      <c r="AL443" s="1"/>
      <c r="AM443" s="1"/>
      <c r="AN443" s="1"/>
      <c r="AO443" s="10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8"/>
      <c r="AK444" s="10"/>
      <c r="AL444" s="1"/>
      <c r="AM444" s="1"/>
      <c r="AN444" s="1"/>
      <c r="AO444" s="10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8"/>
      <c r="AK445" s="10"/>
      <c r="AL445" s="1"/>
      <c r="AM445" s="1"/>
      <c r="AN445" s="1"/>
      <c r="AO445" s="10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8"/>
      <c r="AK446" s="10"/>
      <c r="AL446" s="1"/>
      <c r="AM446" s="1"/>
      <c r="AN446" s="1"/>
      <c r="AO446" s="10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8"/>
      <c r="AK447" s="10"/>
      <c r="AL447" s="1"/>
      <c r="AM447" s="1"/>
      <c r="AN447" s="1"/>
      <c r="AO447" s="10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8"/>
      <c r="AK448" s="10"/>
      <c r="AL448" s="1"/>
      <c r="AM448" s="1"/>
      <c r="AN448" s="1"/>
      <c r="AO448" s="10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8"/>
      <c r="AK449" s="10"/>
      <c r="AL449" s="1"/>
      <c r="AM449" s="1"/>
      <c r="AN449" s="1"/>
      <c r="AO449" s="10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8"/>
      <c r="AK450" s="10"/>
      <c r="AL450" s="1"/>
      <c r="AM450" s="1"/>
      <c r="AN450" s="1"/>
      <c r="AO450" s="10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8"/>
      <c r="AK451" s="10"/>
      <c r="AL451" s="1"/>
      <c r="AM451" s="1"/>
      <c r="AN451" s="1"/>
      <c r="AO451" s="10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8"/>
      <c r="AK452" s="10"/>
      <c r="AL452" s="1"/>
      <c r="AM452" s="1"/>
      <c r="AN452" s="1"/>
      <c r="AO452" s="10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8"/>
      <c r="AK453" s="10"/>
      <c r="AL453" s="1"/>
      <c r="AM453" s="1"/>
      <c r="AN453" s="1"/>
      <c r="AO453" s="10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8"/>
      <c r="AK454" s="10"/>
      <c r="AL454" s="1"/>
      <c r="AM454" s="1"/>
      <c r="AN454" s="1"/>
      <c r="AO454" s="10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8"/>
      <c r="AK455" s="10"/>
      <c r="AL455" s="1"/>
      <c r="AM455" s="1"/>
      <c r="AN455" s="1"/>
      <c r="AO455" s="10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8"/>
      <c r="AK456" s="10"/>
      <c r="AL456" s="1"/>
      <c r="AM456" s="1"/>
      <c r="AN456" s="1"/>
      <c r="AO456" s="10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8"/>
      <c r="AK457" s="10"/>
      <c r="AL457" s="1"/>
      <c r="AM457" s="1"/>
      <c r="AN457" s="1"/>
      <c r="AO457" s="10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8"/>
      <c r="AK458" s="10"/>
      <c r="AL458" s="1"/>
      <c r="AM458" s="1"/>
      <c r="AN458" s="1"/>
      <c r="AO458" s="10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8"/>
      <c r="AK459" s="10"/>
      <c r="AL459" s="1"/>
      <c r="AM459" s="1"/>
      <c r="AN459" s="1"/>
      <c r="AO459" s="10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8"/>
      <c r="AK460" s="10"/>
      <c r="AL460" s="1"/>
      <c r="AM460" s="1"/>
      <c r="AN460" s="1"/>
      <c r="AO460" s="10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8"/>
      <c r="AK461" s="10"/>
      <c r="AL461" s="1"/>
      <c r="AM461" s="1"/>
      <c r="AN461" s="1"/>
      <c r="AO461" s="10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8"/>
      <c r="AK462" s="10"/>
      <c r="AL462" s="1"/>
      <c r="AM462" s="1"/>
      <c r="AN462" s="1"/>
      <c r="AO462" s="10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8"/>
      <c r="AK463" s="10"/>
      <c r="AL463" s="1"/>
      <c r="AM463" s="1"/>
      <c r="AN463" s="1"/>
      <c r="AO463" s="10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8"/>
      <c r="AK464" s="10"/>
      <c r="AL464" s="1"/>
      <c r="AM464" s="1"/>
      <c r="AN464" s="1"/>
      <c r="AO464" s="10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8"/>
      <c r="AK465" s="10"/>
      <c r="AL465" s="1"/>
      <c r="AM465" s="1"/>
      <c r="AN465" s="1"/>
      <c r="AO465" s="10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8"/>
      <c r="AK466" s="10"/>
      <c r="AL466" s="1"/>
      <c r="AM466" s="1"/>
      <c r="AN466" s="1"/>
      <c r="AO466" s="10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8"/>
      <c r="AK467" s="10"/>
      <c r="AL467" s="1"/>
      <c r="AM467" s="1"/>
      <c r="AN467" s="1"/>
      <c r="AO467" s="10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8"/>
      <c r="AK468" s="10"/>
      <c r="AL468" s="1"/>
      <c r="AM468" s="1"/>
      <c r="AN468" s="1"/>
      <c r="AO468" s="10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8"/>
      <c r="AK469" s="10"/>
      <c r="AL469" s="1"/>
      <c r="AM469" s="1"/>
      <c r="AN469" s="1"/>
      <c r="AO469" s="10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8"/>
      <c r="AK470" s="10"/>
      <c r="AL470" s="1"/>
      <c r="AM470" s="1"/>
      <c r="AN470" s="1"/>
      <c r="AO470" s="10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8"/>
      <c r="AK471" s="10"/>
      <c r="AL471" s="1"/>
      <c r="AM471" s="1"/>
      <c r="AN471" s="1"/>
      <c r="AO471" s="10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8"/>
      <c r="AK472" s="10"/>
      <c r="AL472" s="1"/>
      <c r="AM472" s="1"/>
      <c r="AN472" s="1"/>
      <c r="AO472" s="10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8"/>
      <c r="AK473" s="10"/>
      <c r="AL473" s="1"/>
      <c r="AM473" s="1"/>
      <c r="AN473" s="1"/>
      <c r="AO473" s="10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8"/>
      <c r="AK474" s="10"/>
      <c r="AL474" s="1"/>
      <c r="AM474" s="1"/>
      <c r="AN474" s="1"/>
      <c r="AO474" s="10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8"/>
      <c r="AK475" s="10"/>
      <c r="AL475" s="1"/>
      <c r="AM475" s="1"/>
      <c r="AN475" s="1"/>
      <c r="AO475" s="10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8"/>
      <c r="AK476" s="10"/>
      <c r="AL476" s="1"/>
      <c r="AM476" s="1"/>
      <c r="AN476" s="1"/>
      <c r="AO476" s="10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8"/>
      <c r="AK477" s="10"/>
      <c r="AL477" s="1"/>
      <c r="AM477" s="1"/>
      <c r="AN477" s="1"/>
      <c r="AO477" s="10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8"/>
      <c r="AK478" s="10"/>
      <c r="AL478" s="1"/>
      <c r="AM478" s="1"/>
      <c r="AN478" s="1"/>
      <c r="AO478" s="10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8"/>
      <c r="AK479" s="10"/>
      <c r="AL479" s="1"/>
      <c r="AM479" s="1"/>
      <c r="AN479" s="1"/>
      <c r="AO479" s="10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8"/>
      <c r="AK480" s="10"/>
      <c r="AL480" s="1"/>
      <c r="AM480" s="1"/>
      <c r="AN480" s="1"/>
      <c r="AO480" s="10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8"/>
      <c r="AK481" s="10"/>
      <c r="AL481" s="1"/>
      <c r="AM481" s="1"/>
      <c r="AN481" s="1"/>
      <c r="AO481" s="10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8"/>
      <c r="AK482" s="10"/>
      <c r="AL482" s="1"/>
      <c r="AM482" s="1"/>
      <c r="AN482" s="1"/>
      <c r="AO482" s="10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8"/>
      <c r="AK483" s="10"/>
      <c r="AL483" s="1"/>
      <c r="AM483" s="1"/>
      <c r="AN483" s="1"/>
      <c r="AO483" s="10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8"/>
      <c r="AK484" s="10"/>
      <c r="AL484" s="1"/>
      <c r="AM484" s="1"/>
      <c r="AN484" s="1"/>
      <c r="AO484" s="10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8"/>
      <c r="AK485" s="10"/>
      <c r="AL485" s="1"/>
      <c r="AM485" s="1"/>
      <c r="AN485" s="1"/>
      <c r="AO485" s="10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8"/>
      <c r="AK486" s="10"/>
      <c r="AL486" s="1"/>
      <c r="AM486" s="1"/>
      <c r="AN486" s="1"/>
      <c r="AO486" s="10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8"/>
      <c r="AK487" s="10"/>
      <c r="AL487" s="1"/>
      <c r="AM487" s="1"/>
      <c r="AN487" s="1"/>
      <c r="AO487" s="10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8"/>
      <c r="AK488" s="10"/>
      <c r="AL488" s="1"/>
      <c r="AM488" s="1"/>
      <c r="AN488" s="1"/>
      <c r="AO488" s="10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8"/>
      <c r="AK489" s="10"/>
      <c r="AL489" s="1"/>
      <c r="AM489" s="1"/>
      <c r="AN489" s="1"/>
      <c r="AO489" s="10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8"/>
      <c r="AK490" s="10"/>
      <c r="AL490" s="1"/>
      <c r="AM490" s="1"/>
      <c r="AN490" s="1"/>
      <c r="AO490" s="10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8"/>
      <c r="AK491" s="10"/>
      <c r="AL491" s="1"/>
      <c r="AM491" s="1"/>
      <c r="AN491" s="1"/>
      <c r="AO491" s="10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8"/>
      <c r="AK492" s="10"/>
      <c r="AL492" s="1"/>
      <c r="AM492" s="1"/>
      <c r="AN492" s="1"/>
      <c r="AO492" s="10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8"/>
      <c r="AK493" s="10"/>
      <c r="AL493" s="1"/>
      <c r="AM493" s="1"/>
      <c r="AN493" s="1"/>
      <c r="AO493" s="10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8"/>
      <c r="AK494" s="10"/>
      <c r="AL494" s="1"/>
      <c r="AM494" s="1"/>
      <c r="AN494" s="1"/>
      <c r="AO494" s="10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8"/>
      <c r="AK495" s="10"/>
      <c r="AL495" s="1"/>
      <c r="AM495" s="1"/>
      <c r="AN495" s="1"/>
      <c r="AO495" s="10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8"/>
      <c r="AK496" s="10"/>
      <c r="AL496" s="1"/>
      <c r="AM496" s="1"/>
      <c r="AN496" s="1"/>
      <c r="AO496" s="10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</sheetData>
  <autoFilter ref="A3:AO8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2026-10-08T11:06:58Z</dcterms:created>
  <dcterms:modified xsi:type="dcterms:W3CDTF">2026-10-09T10:46:30Z</dcterms:modified>
</cp:coreProperties>
</file>