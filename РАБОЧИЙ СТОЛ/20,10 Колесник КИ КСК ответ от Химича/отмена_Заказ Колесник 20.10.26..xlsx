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599AC00-4F23-42BF-BD7F-C67F500595C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Y349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Y246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Y121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Z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Z390" i="2" l="1"/>
  <c r="BP220" i="2"/>
  <c r="Z124" i="2"/>
  <c r="BN124" i="2"/>
  <c r="Z126" i="2"/>
  <c r="BN126" i="2"/>
  <c r="Z282" i="2"/>
  <c r="Z183" i="2"/>
  <c r="Z362" i="2"/>
  <c r="BN362" i="2"/>
  <c r="Z70" i="2"/>
  <c r="Z176" i="2"/>
  <c r="Y199" i="2"/>
  <c r="Z245" i="2"/>
  <c r="Z269" i="2"/>
  <c r="Z300" i="2"/>
  <c r="BN300" i="2"/>
  <c r="Z323" i="2"/>
  <c r="BN323" i="2"/>
  <c r="Z325" i="2"/>
  <c r="BN325" i="2"/>
  <c r="Z382" i="2"/>
  <c r="Z415" i="2"/>
  <c r="BN415" i="2"/>
  <c r="Z442" i="2"/>
  <c r="X568" i="2"/>
  <c r="Y24" i="2"/>
  <c r="Y37" i="2"/>
  <c r="Z35" i="2"/>
  <c r="Z36" i="2" s="1"/>
  <c r="BN35" i="2"/>
  <c r="Y36" i="2"/>
  <c r="Z51" i="2"/>
  <c r="Z94" i="2"/>
  <c r="Y148" i="2"/>
  <c r="Z180" i="2"/>
  <c r="Z193" i="2"/>
  <c r="Z194" i="2" s="1"/>
  <c r="Z259" i="2"/>
  <c r="Z261" i="2" s="1"/>
  <c r="BP266" i="2"/>
  <c r="Z278" i="2"/>
  <c r="Z289" i="2"/>
  <c r="Z333" i="2"/>
  <c r="Z370" i="2"/>
  <c r="Z383" i="2"/>
  <c r="BN383" i="2"/>
  <c r="Z402" i="2"/>
  <c r="Z451" i="2"/>
  <c r="BN29" i="2"/>
  <c r="Y86" i="2"/>
  <c r="Y85" i="2"/>
  <c r="Z82" i="2"/>
  <c r="BN106" i="2"/>
  <c r="Z106" i="2"/>
  <c r="BP140" i="2"/>
  <c r="Y143" i="2"/>
  <c r="BN171" i="2"/>
  <c r="Y173" i="2"/>
  <c r="BN206" i="2"/>
  <c r="BN222" i="2"/>
  <c r="BP235" i="2"/>
  <c r="Y241" i="2"/>
  <c r="BN236" i="2"/>
  <c r="BN238" i="2"/>
  <c r="BP62" i="2"/>
  <c r="BN62" i="2"/>
  <c r="Z62" i="2"/>
  <c r="BP82" i="2"/>
  <c r="BN83" i="2"/>
  <c r="Z83" i="2"/>
  <c r="BP92" i="2"/>
  <c r="BN92" i="2"/>
  <c r="Z92" i="2"/>
  <c r="BP106" i="2"/>
  <c r="BN110" i="2"/>
  <c r="BP110" i="2"/>
  <c r="I574" i="2"/>
  <c r="BN151" i="2"/>
  <c r="BN178" i="2"/>
  <c r="BP178" i="2"/>
  <c r="BP204" i="2"/>
  <c r="Z204" i="2"/>
  <c r="BN228" i="2"/>
  <c r="BN249" i="2"/>
  <c r="BN265" i="2"/>
  <c r="BN296" i="2"/>
  <c r="BN327" i="2"/>
  <c r="BP372" i="2"/>
  <c r="BN384" i="2"/>
  <c r="BN404" i="2"/>
  <c r="BN444" i="2"/>
  <c r="BP271" i="2"/>
  <c r="BN280" i="2"/>
  <c r="BP392" i="2"/>
  <c r="BN416" i="2"/>
  <c r="BP432" i="2"/>
  <c r="BP455" i="2"/>
  <c r="BP467" i="2"/>
  <c r="BN511" i="2"/>
  <c r="BP34" i="2"/>
  <c r="BP51" i="2"/>
  <c r="BN52" i="2"/>
  <c r="BP70" i="2"/>
  <c r="Y156" i="2"/>
  <c r="BN154" i="2"/>
  <c r="BP183" i="2"/>
  <c r="BN226" i="2"/>
  <c r="BN231" i="2"/>
  <c r="BP243" i="2"/>
  <c r="Y250" i="2"/>
  <c r="Y251" i="2"/>
  <c r="BN254" i="2"/>
  <c r="Z255" i="2"/>
  <c r="Z256" i="2" s="1"/>
  <c r="Y262" i="2"/>
  <c r="Z268" i="2"/>
  <c r="Z271" i="2"/>
  <c r="BP276" i="2"/>
  <c r="Z285" i="2"/>
  <c r="BN313" i="2"/>
  <c r="Z315" i="2"/>
  <c r="Z346" i="2"/>
  <c r="BN346" i="2"/>
  <c r="BP346" i="2"/>
  <c r="BN347" i="2"/>
  <c r="Y359" i="2"/>
  <c r="Z372" i="2"/>
  <c r="Z373" i="2"/>
  <c r="BN373" i="2"/>
  <c r="BN374" i="2"/>
  <c r="Z380" i="2"/>
  <c r="BP382" i="2"/>
  <c r="Z392" i="2"/>
  <c r="Z398" i="2"/>
  <c r="BP424" i="2"/>
  <c r="Z432" i="2"/>
  <c r="Z439" i="2"/>
  <c r="BP442" i="2"/>
  <c r="BN443" i="2"/>
  <c r="Z455" i="2"/>
  <c r="Z457" i="2"/>
  <c r="BN457" i="2"/>
  <c r="Y458" i="2"/>
  <c r="Z467" i="2"/>
  <c r="Z468" i="2"/>
  <c r="BN468" i="2"/>
  <c r="Y469" i="2"/>
  <c r="Z478" i="2"/>
  <c r="BN478" i="2"/>
  <c r="Z488" i="2"/>
  <c r="BN503" i="2"/>
  <c r="BN515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Z418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505" i="2" l="1"/>
  <c r="Z524" i="2"/>
  <c r="Z365" i="2"/>
  <c r="Z155" i="2"/>
  <c r="Z85" i="2"/>
  <c r="Z137" i="2"/>
  <c r="Z291" i="2"/>
  <c r="Z446" i="2"/>
  <c r="Z399" i="2"/>
  <c r="Z518" i="2"/>
  <c r="Z386" i="2"/>
  <c r="Z335" i="2"/>
  <c r="Z458" i="2"/>
  <c r="Z452" i="2"/>
  <c r="Z433" i="2"/>
  <c r="Z240" i="2"/>
  <c r="Z55" i="2"/>
  <c r="Z302" i="2"/>
  <c r="Z272" i="2"/>
  <c r="Z246" i="2"/>
  <c r="Z190" i="2"/>
  <c r="Z79" i="2"/>
  <c r="Z557" i="2"/>
  <c r="Z393" i="2"/>
  <c r="Z376" i="2"/>
  <c r="Z172" i="2"/>
  <c r="Z67" i="2"/>
  <c r="Z317" i="2"/>
  <c r="Z74" i="2"/>
  <c r="Z479" i="2"/>
  <c r="Z406" i="2"/>
  <c r="Z328" i="2"/>
  <c r="X567" i="2"/>
  <c r="Z469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<sst xmlns="http://schemas.openxmlformats.org/spreadsheetml/2006/main" count="4240" uniqueCount="893">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</sst>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46313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875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Воскресенье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4.1666666666666664E-2</v>
      </c>
      <c r="R8" s="963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15.25925925925926</v>
      </c>
      <c r="Y55" s="43">
        <f>IFERROR(Y51/H51,"0")+IFERROR(Y52/H52,"0")+IFERROR(Y53/H53,"0")+IFERROR(Y54/H54,"0")</f>
        <v>16</v>
      </c>
      <c r="Z55" s="43">
        <f>IFERROR(IF(Z51="",0,Z51),"0")+IFERROR(IF(Z52="",0,Z52),"0")+IFERROR(IF(Z53="",0,Z53),"0")+IFERROR(IF(Z54="",0,Z54),"0")</f>
        <v>0.24392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124</v>
      </c>
      <c r="Y56" s="43">
        <f>IFERROR(SUM(Y51:Y54),"0")</f>
        <v>132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hidden="1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hidden="1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6</v>
      </c>
      <c r="Y95" s="43">
        <f>IFERROR(Y89/H89,"0")+IFERROR(Y90/H90,"0")+IFERROR(Y91/H91,"0")+IFERROR(Y92/H92,"0")+IFERROR(Y93/H93,"0")+IFERROR(Y94/H94,"0")</f>
        <v>6</v>
      </c>
      <c r="Z95" s="43">
        <f>IFERROR(IF(Z89="",0,Z89),"0")+IFERROR(IF(Z90="",0,Z90),"0")+IFERROR(IF(Z91="",0,Z91),"0")+IFERROR(IF(Z92="",0,Z92),"0")+IFERROR(IF(Z93="",0,Z93),"0")+IFERROR(IF(Z94="",0,Z94),"0")</f>
        <v>5.4120000000000001E-2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27</v>
      </c>
      <c r="Y96" s="43">
        <f>IFERROR(SUM(Y89:Y94),"0")</f>
        <v>27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100</v>
      </c>
      <c r="Y98" s="55">
        <f>IFERROR(IF(X98="",0,CEILING((X98/$H98),1)*$H98),"")</f>
        <v>105.3</v>
      </c>
      <c r="Z98" s="41">
        <f>IFERROR(IF(Y98=0,"",ROUNDUP(Y98/H98,0)*0.01898),"")</f>
        <v>0.24674000000000001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106.09876543209877</v>
      </c>
      <c r="BN98" s="78">
        <f>IFERROR(Y98*I98/H98,"0")</f>
        <v>111.72199999999999</v>
      </c>
      <c r="BO98" s="78">
        <f>IFERROR(1/J98*(X98/H98),"0")</f>
        <v>0.19290123456790123</v>
      </c>
      <c r="BP98" s="78">
        <f>IFERROR(1/J98*(Y98/H98),"0")</f>
        <v>0.203125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27</v>
      </c>
      <c r="Y100" s="55">
        <f>IFERROR(IF(X100="",0,CEILING((X100/$H100),1)*$H100),"")</f>
        <v>27</v>
      </c>
      <c r="Z100" s="41">
        <f>IFERROR(IF(Y100=0,"",ROUNDUP(Y100/H100,0)*0.00651),"")</f>
        <v>6.5100000000000005E-2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29.519999999999996</v>
      </c>
      <c r="BN100" s="78">
        <f>IFERROR(Y100*I100/H100,"0")</f>
        <v>29.519999999999996</v>
      </c>
      <c r="BO100" s="78">
        <f>IFERROR(1/J100*(X100/H100),"0")</f>
        <v>5.4945054945054951E-2</v>
      </c>
      <c r="BP100" s="78">
        <f>IFERROR(1/J100*(Y100/H100),"0")</f>
        <v>5.4945054945054951E-2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22.345679012345677</v>
      </c>
      <c r="Y102" s="43">
        <f>IFERROR(Y98/H98,"0")+IFERROR(Y99/H99,"0")+IFERROR(Y100/H100,"0")+IFERROR(Y101/H101,"0")</f>
        <v>23</v>
      </c>
      <c r="Z102" s="43">
        <f>IFERROR(IF(Z98="",0,Z98),"0")+IFERROR(IF(Z99="",0,Z99),"0")+IFERROR(IF(Z100="",0,Z100),"0")+IFERROR(IF(Z101="",0,Z101),"0")</f>
        <v>0.31184000000000001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127</v>
      </c>
      <c r="Y103" s="43">
        <f>IFERROR(SUM(Y98:Y101),"0")</f>
        <v>132.30000000000001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27</v>
      </c>
      <c r="Y110" s="55">
        <f t="shared" si="10"/>
        <v>27</v>
      </c>
      <c r="Z110" s="41">
        <f>IFERROR(IF(Y110=0,"",ROUNDUP(Y110/H110,0)*0.00902),"")</f>
        <v>5.4120000000000001E-2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28.14</v>
      </c>
      <c r="BN110" s="78">
        <f t="shared" si="12"/>
        <v>28.14</v>
      </c>
      <c r="BO110" s="78">
        <f t="shared" si="13"/>
        <v>4.5454545454545456E-2</v>
      </c>
      <c r="BP110" s="78">
        <f t="shared" si="14"/>
        <v>4.5454545454545456E-2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6</v>
      </c>
      <c r="Y113" s="43">
        <f>IFERROR(Y106/H106,"0")+IFERROR(Y107/H107,"0")+IFERROR(Y108/H108,"0")+IFERROR(Y109/H109,"0")+IFERROR(Y110/H110,"0")+IFERROR(Y111/H111,"0")+IFERROR(Y112/H112,"0")</f>
        <v>6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5.4120000000000001E-2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27</v>
      </c>
      <c r="Y114" s="43">
        <f>IFERROR(SUM(Y106:Y112),"0")</f>
        <v>27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200</v>
      </c>
      <c r="Y123" s="55">
        <f>IFERROR(IF(X123="",0,CEILING((X123/$H123),1)*$H123),"")</f>
        <v>202.5</v>
      </c>
      <c r="Z123" s="41">
        <f>IFERROR(IF(Y123=0,"",ROUNDUP(Y123/H123,0)*0.01898),"")</f>
        <v>0.47450000000000003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212.04938271604939</v>
      </c>
      <c r="BN123" s="78">
        <f>IFERROR(Y123*I123/H123,"0")</f>
        <v>214.7</v>
      </c>
      <c r="BO123" s="78">
        <f>IFERROR(1/J123*(X123/H123),"0")</f>
        <v>0.38580246913580246</v>
      </c>
      <c r="BP123" s="78">
        <f>IFERROR(1/J123*(Y123/H123),"0")</f>
        <v>0.390625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27</v>
      </c>
      <c r="Y125" s="55">
        <f>IFERROR(IF(X125="",0,CEILING((X125/$H125),1)*$H125),"")</f>
        <v>27</v>
      </c>
      <c r="Z125" s="41">
        <f>IFERROR(IF(Y125=0,"",ROUNDUP(Y125/H125,0)*0.00651),"")</f>
        <v>6.5100000000000005E-2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29.519999999999996</v>
      </c>
      <c r="BN125" s="78">
        <f>IFERROR(Y125*I125/H125,"0")</f>
        <v>29.519999999999996</v>
      </c>
      <c r="BO125" s="78">
        <f>IFERROR(1/J125*(X125/H125),"0")</f>
        <v>5.4945054945054951E-2</v>
      </c>
      <c r="BP125" s="78">
        <f>IFERROR(1/J125*(Y125/H125),"0")</f>
        <v>5.4945054945054951E-2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34.691358024691354</v>
      </c>
      <c r="Y127" s="43">
        <f>IFERROR(Y123/H123,"0")+IFERROR(Y124/H124,"0")+IFERROR(Y125/H125,"0")+IFERROR(Y126/H126,"0")</f>
        <v>35</v>
      </c>
      <c r="Z127" s="43">
        <f>IFERROR(IF(Z123="",0,Z123),"0")+IFERROR(IF(Z124="",0,Z124),"0")+IFERROR(IF(Z125="",0,Z125),"0")+IFERROR(IF(Z126="",0,Z126),"0")</f>
        <v>0.53960000000000008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227</v>
      </c>
      <c r="Y128" s="43">
        <f>IFERROR(SUM(Y123:Y126),"0")</f>
        <v>229.5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hidden="1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1" si="26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52.976190476190474</v>
      </c>
      <c r="BN218" s="78">
        <f t="shared" ref="BN218:BN231" si="28">IFERROR(Y218*I218/H218,"0")</f>
        <v>53.400000000000006</v>
      </c>
      <c r="BO218" s="78">
        <f t="shared" ref="BO218:BO231" si="29">IFERROR(1/J218*(X218/H218),"0")</f>
        <v>9.0187590187590191E-2</v>
      </c>
      <c r="BP218" s="78">
        <f t="shared" ref="BP218:BP231" si="30">IFERROR(1/J218*(Y218/H218),"0")</f>
        <v>9.0909090909090912E-2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60</v>
      </c>
      <c r="Y220" s="55">
        <f t="shared" si="26"/>
        <v>63</v>
      </c>
      <c r="Z220" s="41">
        <f>IFERROR(IF(Y220=0,"",ROUNDUP(Y220/H220,0)*0.00902),"")</f>
        <v>0.1353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62.714285714285708</v>
      </c>
      <c r="BN220" s="78">
        <f t="shared" si="28"/>
        <v>65.849999999999994</v>
      </c>
      <c r="BO220" s="78">
        <f t="shared" si="29"/>
        <v>0.10822510822510822</v>
      </c>
      <c r="BP220" s="78">
        <f t="shared" si="30"/>
        <v>0.11363636363636365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26.19047619047619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27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0.24354000000000001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110</v>
      </c>
      <c r="Y233" s="43">
        <f>IFERROR(SUM(Y218:Y231),"0")</f>
        <v>113.4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100</v>
      </c>
      <c r="Y264" s="55">
        <f t="shared" ref="Y264:Y271" si="31">IFERROR(IF(X264="",0,CEILING((X264/$H264),1)*$H264),"")</f>
        <v>102.60000000000001</v>
      </c>
      <c r="Z264" s="41">
        <f>IFERROR(IF(Y264=0,"",ROUNDUP(Y264/H264,0)*0.00902),"")</f>
        <v>0.17138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103.5185185185185</v>
      </c>
      <c r="BN264" s="78">
        <f t="shared" ref="BN264:BN271" si="33">IFERROR(Y264*I264/H264,"0")</f>
        <v>106.21</v>
      </c>
      <c r="BO264" s="78">
        <f t="shared" ref="BO264:BO271" si="34">IFERROR(1/J264*(X264/H264),"0")</f>
        <v>0.14029180695847362</v>
      </c>
      <c r="BP264" s="78">
        <f t="shared" ref="BP264:BP271" si="35">IFERROR(1/J264*(Y264/H264),"0")</f>
        <v>0.14393939393939395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100</v>
      </c>
      <c r="Y265" s="55">
        <f t="shared" si="31"/>
        <v>102.60000000000001</v>
      </c>
      <c r="Z265" s="41">
        <f>IFERROR(IF(Y265=0,"",ROUNDUP(Y265/H265,0)*0.00902),"")</f>
        <v>0.17138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103.5185185185185</v>
      </c>
      <c r="BN265" s="78">
        <f t="shared" si="33"/>
        <v>106.21</v>
      </c>
      <c r="BO265" s="78">
        <f t="shared" si="34"/>
        <v>0.14029180695847362</v>
      </c>
      <c r="BP265" s="78">
        <f t="shared" si="35"/>
        <v>0.14393939393939395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100</v>
      </c>
      <c r="Y266" s="55">
        <f t="shared" si="31"/>
        <v>102.60000000000001</v>
      </c>
      <c r="Z266" s="41">
        <f>IFERROR(IF(Y266=0,"",ROUNDUP(Y266/H266,0)*0.00902),"")</f>
        <v>0.17138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103.5185185185185</v>
      </c>
      <c r="BN266" s="78">
        <f t="shared" si="33"/>
        <v>106.21</v>
      </c>
      <c r="BO266" s="78">
        <f t="shared" si="34"/>
        <v>0.14029180695847362</v>
      </c>
      <c r="BP266" s="78">
        <f t="shared" si="35"/>
        <v>0.14393939393939395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1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103.5185185185185</v>
      </c>
      <c r="BN267" s="78">
        <f t="shared" si="33"/>
        <v>106.21</v>
      </c>
      <c r="BO267" s="78">
        <f t="shared" si="34"/>
        <v>0.14029180695847362</v>
      </c>
      <c r="BP267" s="78">
        <f t="shared" si="35"/>
        <v>0.14393939393939395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74.074074074074076</v>
      </c>
      <c r="Y272" s="43">
        <f>IFERROR(Y264/H264,"0")+IFERROR(Y265/H265,"0")+IFERROR(Y266/H266,"0")+IFERROR(Y267/H267,"0")+IFERROR(Y268/H268,"0")+IFERROR(Y269/H269,"0")+IFERROR(Y270/H270,"0")+IFERROR(Y271/H271,"0")</f>
        <v>76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0.68552000000000002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400</v>
      </c>
      <c r="Y273" s="43">
        <f>IFERROR(SUM(Y264:Y271),"0")</f>
        <v>410.40000000000003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36"/>
        <v>104.39999999999999</v>
      </c>
      <c r="Z277" s="41">
        <f>IFERROR(IF(Y277=0,"",ROUNDUP(Y277/H277,0)*0.01898),"")</f>
        <v>0.22776000000000002</v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105.67816091954025</v>
      </c>
      <c r="BN277" s="78">
        <f t="shared" si="38"/>
        <v>110.32800000000002</v>
      </c>
      <c r="BO277" s="78">
        <f t="shared" si="39"/>
        <v>0.1795977011494253</v>
      </c>
      <c r="BP277" s="78">
        <f t="shared" si="40"/>
        <v>0.1875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24</v>
      </c>
      <c r="Y278" s="55">
        <f t="shared" si="36"/>
        <v>24</v>
      </c>
      <c r="Z278" s="41">
        <f>IFERROR(IF(Y278=0,"",ROUNDUP(Y278/H278,0)*0.00651),"")</f>
        <v>6.5100000000000005E-2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26.7</v>
      </c>
      <c r="BN278" s="78">
        <f t="shared" si="38"/>
        <v>26.7</v>
      </c>
      <c r="BO278" s="78">
        <f t="shared" si="39"/>
        <v>5.4945054945054951E-2</v>
      </c>
      <c r="BP278" s="78">
        <f t="shared" si="40"/>
        <v>5.4945054945054951E-2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24</v>
      </c>
      <c r="Y284" s="55">
        <f t="shared" si="36"/>
        <v>24</v>
      </c>
      <c r="Z284" s="41">
        <f>IFERROR(IF(Y284=0,"",ROUNDUP(Y284/H284,0)*0.00651),"")</f>
        <v>6.5100000000000005E-2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26.580000000000002</v>
      </c>
      <c r="BN284" s="78">
        <f t="shared" si="38"/>
        <v>26.580000000000002</v>
      </c>
      <c r="BO284" s="78">
        <f t="shared" si="39"/>
        <v>5.4945054945054951E-2</v>
      </c>
      <c r="BP284" s="78">
        <f t="shared" si="40"/>
        <v>5.4945054945054951E-2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31.494252873563219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32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0.35796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148</v>
      </c>
      <c r="Y287" s="43">
        <f>IFERROR(SUM(Y275:Y285),"0")</f>
        <v>152.39999999999998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24</v>
      </c>
      <c r="Y289" s="55">
        <f>IFERROR(IF(X289="",0,CEILING((X289/$H289),1)*$H289),"")</f>
        <v>24</v>
      </c>
      <c r="Z289" s="41">
        <f>IFERROR(IF(Y289=0,"",ROUNDUP(Y289/H289,0)*0.00651),"")</f>
        <v>6.5100000000000005E-2</v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26.520000000000003</v>
      </c>
      <c r="BN289" s="78">
        <f>IFERROR(Y289*I289/H289,"0")</f>
        <v>26.520000000000003</v>
      </c>
      <c r="BO289" s="78">
        <f>IFERROR(1/J289*(X289/H289),"0")</f>
        <v>5.4945054945054951E-2</v>
      </c>
      <c r="BP289" s="78">
        <f>IFERROR(1/J289*(Y289/H289),"0")</f>
        <v>5.4945054945054951E-2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24</v>
      </c>
      <c r="Y290" s="55">
        <f>IFERROR(IF(X290="",0,CEILING((X290/$H290),1)*$H290),"")</f>
        <v>24</v>
      </c>
      <c r="Z290" s="41">
        <f>IFERROR(IF(Y290=0,"",ROUNDUP(Y290/H290,0)*0.00651),"")</f>
        <v>6.5100000000000005E-2</v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26.520000000000003</v>
      </c>
      <c r="BN290" s="78">
        <f>IFERROR(Y290*I290/H290,"0")</f>
        <v>26.520000000000003</v>
      </c>
      <c r="BO290" s="78">
        <f>IFERROR(1/J290*(X290/H290),"0")</f>
        <v>5.4945054945054951E-2</v>
      </c>
      <c r="BP290" s="78">
        <f>IFERROR(1/J290*(Y290/H290),"0")</f>
        <v>5.4945054945054951E-2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20</v>
      </c>
      <c r="Y291" s="43">
        <f>IFERROR(Y289/H289,"0")+IFERROR(Y290/H290,"0")</f>
        <v>20</v>
      </c>
      <c r="Z291" s="43">
        <f>IFERROR(IF(Z289="",0,Z289),"0")+IFERROR(IF(Z290="",0,Z290),"0")</f>
        <v>0.13020000000000001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48</v>
      </c>
      <c r="Y292" s="43">
        <f>IFERROR(SUM(Y289:Y290),"0")</f>
        <v>48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60</v>
      </c>
      <c r="Y379" s="55">
        <f t="shared" ref="Y379:Y385" si="56">IFERROR(IF(X379="",0,CEILING((X379/$H379),1)*$H379),"")</f>
        <v>63</v>
      </c>
      <c r="Z379" s="41">
        <f>IFERROR(IF(Y379=0,"",ROUNDUP(Y379/H379,0)*0.00902),"")</f>
        <v>0.1353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63.571428571428569</v>
      </c>
      <c r="BN379" s="78">
        <f t="shared" ref="BN379:BN385" si="58">IFERROR(Y379*I379/H379,"0")</f>
        <v>66.75</v>
      </c>
      <c r="BO379" s="78">
        <f t="shared" ref="BO379:BO385" si="59">IFERROR(1/J379*(X379/H379),"0")</f>
        <v>0.10822510822510822</v>
      </c>
      <c r="BP379" s="78">
        <f t="shared" ref="BP379:BP385" si="60">IFERROR(1/J379*(Y379/H379),"0")</f>
        <v>0.11363636363636365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60</v>
      </c>
      <c r="Y380" s="55">
        <f t="shared" si="56"/>
        <v>63</v>
      </c>
      <c r="Z380" s="41">
        <f>IFERROR(IF(Y380=0,"",ROUNDUP(Y380/H380,0)*0.00902),"")</f>
        <v>0.1353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63.571428571428569</v>
      </c>
      <c r="BN380" s="78">
        <f t="shared" si="58"/>
        <v>66.75</v>
      </c>
      <c r="BO380" s="78">
        <f t="shared" si="59"/>
        <v>0.10822510822510822</v>
      </c>
      <c r="BP380" s="78">
        <f t="shared" si="60"/>
        <v>0.11363636363636365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28.571428571428569</v>
      </c>
      <c r="Y386" s="43">
        <f>IFERROR(Y379/H379,"0")+IFERROR(Y380/H380,"0")+IFERROR(Y381/H381,"0")+IFERROR(Y382/H382,"0")+IFERROR(Y383/H383,"0")+IFERROR(Y384/H384,"0")+IFERROR(Y385/H385,"0")</f>
        <v>30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0.27060000000000001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120</v>
      </c>
      <c r="Y387" s="43">
        <f>IFERROR(SUM(Y379:Y385),"0")</f>
        <v>126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105.3</v>
      </c>
      <c r="Z391" s="41">
        <f>IFERROR(IF(Y391=0,"",ROUNDUP(Y391/H391,0)*0.01898),"")</f>
        <v>0.24674000000000001</v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105.87654320987654</v>
      </c>
      <c r="BN391" s="78">
        <f>IFERROR(Y391*I391/H391,"0")</f>
        <v>111.48800000000001</v>
      </c>
      <c r="BO391" s="78">
        <f>IFERROR(1/J391*(X391/H391),"0")</f>
        <v>0.19290123456790123</v>
      </c>
      <c r="BP391" s="78">
        <f>IFERROR(1/J391*(Y391/H391),"0")</f>
        <v>0.203125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12.345679012345679</v>
      </c>
      <c r="Y393" s="43">
        <f>IFERROR(Y389/H389,"0")+IFERROR(Y390/H390,"0")+IFERROR(Y391/H391,"0")+IFERROR(Y392/H392,"0")</f>
        <v>13</v>
      </c>
      <c r="Z393" s="43">
        <f>IFERROR(IF(Z389="",0,Z389),"0")+IFERROR(IF(Z390="",0,Z390),"0")+IFERROR(IF(Z391="",0,Z391),"0")+IFERROR(IF(Z392="",0,Z392),"0")</f>
        <v>0.24674000000000001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100</v>
      </c>
      <c r="Y394" s="43">
        <f>IFERROR(SUM(Y389:Y392),"0")</f>
        <v>105.3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100</v>
      </c>
      <c r="Y397" s="55">
        <f>IFERROR(IF(X397="",0,CEILING((X397/$H397),1)*$H397),"")</f>
        <v>101.39999999999999</v>
      </c>
      <c r="Z397" s="41">
        <f>IFERROR(IF(Y397=0,"",ROUNDUP(Y397/H397,0)*0.01898),"")</f>
        <v>0.24674000000000001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106.33333333333334</v>
      </c>
      <c r="BN397" s="78">
        <f>IFERROR(Y397*I397/H397,"0")</f>
        <v>107.82199999999999</v>
      </c>
      <c r="BO397" s="78">
        <f>IFERROR(1/J397*(X397/H397),"0")</f>
        <v>0.20032051282051283</v>
      </c>
      <c r="BP397" s="78">
        <f>IFERROR(1/J397*(Y397/H397),"0")</f>
        <v>0.203125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12.820512820512821</v>
      </c>
      <c r="Y399" s="43">
        <f>IFERROR(Y396/H396,"0")+IFERROR(Y397/H397,"0")+IFERROR(Y398/H398,"0")</f>
        <v>13</v>
      </c>
      <c r="Z399" s="43">
        <f>IFERROR(IF(Z396="",0,Z396),"0")+IFERROR(IF(Z397="",0,Z397),"0")+IFERROR(IF(Z398="",0,Z398),"0")</f>
        <v>0.24674000000000001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100</v>
      </c>
      <c r="Y400" s="43">
        <f>IFERROR(SUM(Y396:Y398),"0")</f>
        <v>101.39999999999999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21</v>
      </c>
      <c r="Y431" s="55">
        <f>IFERROR(IF(X431="",0,CEILING((X431/$H431),1)*$H431),"")</f>
        <v>21</v>
      </c>
      <c r="Z431" s="41">
        <f>IFERROR(IF(Y431=0,"",ROUNDUP(Y431/H431,0)*0.00651),"")</f>
        <v>6.5100000000000005E-2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23.519999999999996</v>
      </c>
      <c r="BN431" s="78">
        <f>IFERROR(Y431*I431/H431,"0")</f>
        <v>23.519999999999996</v>
      </c>
      <c r="BO431" s="78">
        <f>IFERROR(1/J431*(X431/H431),"0")</f>
        <v>5.4945054945054951E-2</v>
      </c>
      <c r="BP431" s="78">
        <f>IFERROR(1/J431*(Y431/H431),"0")</f>
        <v>5.4945054945054951E-2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21</v>
      </c>
      <c r="Y432" s="55">
        <f>IFERROR(IF(X432="",0,CEILING((X432/$H432),1)*$H432),"")</f>
        <v>21</v>
      </c>
      <c r="Z432" s="41">
        <f>IFERROR(IF(Y432=0,"",ROUNDUP(Y432/H432,0)*0.00651),"")</f>
        <v>6.5100000000000005E-2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23.4</v>
      </c>
      <c r="BN432" s="78">
        <f>IFERROR(Y432*I432/H432,"0")</f>
        <v>23.4</v>
      </c>
      <c r="BO432" s="78">
        <f>IFERROR(1/J432*(X432/H432),"0")</f>
        <v>5.4945054945054951E-2</v>
      </c>
      <c r="BP432" s="78">
        <f>IFERROR(1/J432*(Y432/H432),"0")</f>
        <v>5.4945054945054951E-2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20</v>
      </c>
      <c r="Y433" s="43">
        <f>IFERROR(Y430/H430,"0")+IFERROR(Y431/H431,"0")+IFERROR(Y432/H432,"0")</f>
        <v>20</v>
      </c>
      <c r="Z433" s="43">
        <f>IFERROR(IF(Z430="",0,Z430),"0")+IFERROR(IF(Z431="",0,Z431),"0")+IFERROR(IF(Z432="",0,Z432),"0")</f>
        <v>0.13020000000000001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42</v>
      </c>
      <c r="Y434" s="43">
        <f>IFERROR(SUM(Y430:Y432),"0")</f>
        <v>42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3500</v>
      </c>
      <c r="Y439" s="55">
        <f t="shared" si="61"/>
        <v>3510</v>
      </c>
      <c r="Z439" s="41">
        <f>IFERROR(IF(Y439=0,"",ROUNDUP(Y439/H439,0)*0.02175),"")</f>
        <v>5.0894999999999992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3609.6666666666665</v>
      </c>
      <c r="BN439" s="78">
        <f t="shared" si="63"/>
        <v>3619.9800000000005</v>
      </c>
      <c r="BO439" s="78">
        <f t="shared" si="64"/>
        <v>4.8611111111111107</v>
      </c>
      <c r="BP439" s="78">
        <f t="shared" si="65"/>
        <v>4.875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2000</v>
      </c>
      <c r="Y440" s="55">
        <f t="shared" si="61"/>
        <v>2010</v>
      </c>
      <c r="Z440" s="41">
        <f>IFERROR(IF(Y440=0,"",ROUNDUP(Y440/H440,0)*0.02175),"")</f>
        <v>2.9144999999999999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2062.6666666666665</v>
      </c>
      <c r="BN440" s="78">
        <f t="shared" si="63"/>
        <v>2072.98</v>
      </c>
      <c r="BO440" s="78">
        <f t="shared" si="64"/>
        <v>2.7777777777777777</v>
      </c>
      <c r="BP440" s="78">
        <f t="shared" si="65"/>
        <v>2.7916666666666665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3500</v>
      </c>
      <c r="Y441" s="55">
        <f t="shared" si="61"/>
        <v>3510</v>
      </c>
      <c r="Z441" s="41">
        <f>IFERROR(IF(Y441=0,"",ROUNDUP(Y441/H441,0)*0.02175),"")</f>
        <v>5.0894999999999992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3609.6666666666665</v>
      </c>
      <c r="BN441" s="78">
        <f t="shared" si="63"/>
        <v>3619.9800000000005</v>
      </c>
      <c r="BO441" s="78">
        <f t="shared" si="64"/>
        <v>4.8611111111111107</v>
      </c>
      <c r="BP441" s="78">
        <f t="shared" si="65"/>
        <v>4.875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600</v>
      </c>
      <c r="Y446" s="43">
        <f>IFERROR(Y438/H438,"0")+IFERROR(Y439/H439,"0")+IFERROR(Y440/H440,"0")+IFERROR(Y441/H441,"0")+IFERROR(Y442/H442,"0")+IFERROR(Y443/H443,"0")+IFERROR(Y444/H444,"0")+IFERROR(Y445/H445,"0")</f>
        <v>602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13.093499999999999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9000</v>
      </c>
      <c r="Y447" s="43">
        <f>IFERROR(SUM(Y438:Y445),"0")</f>
        <v>9030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2500</v>
      </c>
      <c r="Y449" s="55">
        <f>IFERROR(IF(X449="",0,CEILING((X449/$H449),1)*$H449),"")</f>
        <v>2505</v>
      </c>
      <c r="Z449" s="41">
        <f>IFERROR(IF(Y449=0,"",ROUNDUP(Y449/H449,0)*0.02175),"")</f>
        <v>3.6322499999999995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2578.3333333333335</v>
      </c>
      <c r="BN449" s="78">
        <f>IFERROR(Y449*I449/H449,"0")</f>
        <v>2583.4899999999998</v>
      </c>
      <c r="BO449" s="78">
        <f>IFERROR(1/J449*(X449/H449),"0")</f>
        <v>3.4722222222222219</v>
      </c>
      <c r="BP449" s="78">
        <f>IFERROR(1/J449*(Y449/H449),"0")</f>
        <v>3.4791666666666665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166.66666666666666</v>
      </c>
      <c r="Y452" s="43">
        <f>IFERROR(Y449/H449,"0")+IFERROR(Y450/H450,"0")+IFERROR(Y451/H451,"0")</f>
        <v>167</v>
      </c>
      <c r="Z452" s="43">
        <f>IFERROR(IF(Z449="",0,Z449),"0")+IFERROR(IF(Z450="",0,Z450),"0")+IFERROR(IF(Z451="",0,Z451),"0")</f>
        <v>3.6322499999999995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2500</v>
      </c>
      <c r="Y453" s="43">
        <f>IFERROR(SUM(Y449:Y451),"0")</f>
        <v>2505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100</v>
      </c>
      <c r="Y462" s="55">
        <f>IFERROR(IF(X462="",0,CEILING((X462/$H462),1)*$H462),"")</f>
        <v>108</v>
      </c>
      <c r="Z462" s="41">
        <f>IFERROR(IF(Y462=0,"",ROUNDUP(Y462/H462,0)*0.01898),"")</f>
        <v>0.22776000000000002</v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105.48888888888888</v>
      </c>
      <c r="BN462" s="78">
        <f>IFERROR(Y462*I462/H462,"0")</f>
        <v>113.92799999999998</v>
      </c>
      <c r="BO462" s="78">
        <f>IFERROR(1/J462*(X462/H462),"0")</f>
        <v>0.1736111111111111</v>
      </c>
      <c r="BP462" s="78">
        <f>IFERROR(1/J462*(Y462/H462),"0")</f>
        <v>0.1875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11.111111111111111</v>
      </c>
      <c r="Y463" s="43">
        <f>IFERROR(Y461/H461,"0")+IFERROR(Y462/H462,"0")</f>
        <v>12</v>
      </c>
      <c r="Z463" s="43">
        <f>IFERROR(IF(Z461="",0,Z461),"0")+IFERROR(IF(Z462="",0,Z462),"0")</f>
        <v>0.22776000000000002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100</v>
      </c>
      <c r="Y464" s="43">
        <f>IFERROR(SUM(Y461:Y462),"0")</f>
        <v>108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300</v>
      </c>
      <c r="Y476" s="55">
        <f>IFERROR(IF(X476="",0,CEILING((X476/$H476),1)*$H476),"")</f>
        <v>306</v>
      </c>
      <c r="Z476" s="41">
        <f>IFERROR(IF(Y476=0,"",ROUNDUP(Y476/H476,0)*0.01898),"")</f>
        <v>0.64532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316.46666666666664</v>
      </c>
      <c r="BN476" s="78">
        <f>IFERROR(Y476*I476/H476,"0")</f>
        <v>322.79599999999999</v>
      </c>
      <c r="BO476" s="78">
        <f>IFERROR(1/J476*(X476/H476),"0")</f>
        <v>0.52083333333333337</v>
      </c>
      <c r="BP476" s="78">
        <f>IFERROR(1/J476*(Y476/H476),"0")</f>
        <v>0.53125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33.333333333333336</v>
      </c>
      <c r="Y479" s="43">
        <f>IFERROR(Y476/H476,"0")+IFERROR(Y477/H477,"0")+IFERROR(Y478/H478,"0")</f>
        <v>34</v>
      </c>
      <c r="Z479" s="43">
        <f>IFERROR(IF(Z476="",0,Z476),"0")+IFERROR(IF(Z477="",0,Z477),"0")+IFERROR(IF(Z478="",0,Z478),"0")</f>
        <v>0.64532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300</v>
      </c>
      <c r="Y480" s="43">
        <f>IFERROR(SUM(Y476:Y478),"0")</f>
        <v>306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60</v>
      </c>
      <c r="Y484" s="55">
        <f t="shared" ref="Y484:Y489" si="66">IFERROR(IF(X484="",0,CEILING((X484/$H484),1)*$H484),"")</f>
        <v>64.800000000000011</v>
      </c>
      <c r="Z484" s="41">
        <f>IFERROR(IF(Y484=0,"",ROUNDUP(Y484/H484,0)*0.00902),"")</f>
        <v>0.10824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62.1111111111111</v>
      </c>
      <c r="BN484" s="78">
        <f t="shared" ref="BN484:BN489" si="68">IFERROR(Y484*I484/H484,"0")</f>
        <v>67.08</v>
      </c>
      <c r="BO484" s="78">
        <f t="shared" ref="BO484:BO489" si="69">IFERROR(1/J484*(X484/H484),"0")</f>
        <v>8.4175084175084181E-2</v>
      </c>
      <c r="BP484" s="78">
        <f t="shared" ref="BP484:BP489" si="70">IFERROR(1/J484*(Y484/H484),"0")</f>
        <v>9.0909090909090925E-2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60</v>
      </c>
      <c r="Y485" s="55">
        <f t="shared" si="66"/>
        <v>64.800000000000011</v>
      </c>
      <c r="Z485" s="41">
        <f>IFERROR(IF(Y485=0,"",ROUNDUP(Y485/H485,0)*0.00902),"")</f>
        <v>0.10824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62.1111111111111</v>
      </c>
      <c r="BN485" s="78">
        <f t="shared" si="68"/>
        <v>67.08</v>
      </c>
      <c r="BO485" s="78">
        <f t="shared" si="69"/>
        <v>8.4175084175084181E-2</v>
      </c>
      <c r="BP485" s="78">
        <f t="shared" si="70"/>
        <v>9.0909090909090925E-2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22.222222222222221</v>
      </c>
      <c r="Y490" s="43">
        <f>IFERROR(Y484/H484,"0")+IFERROR(Y485/H485,"0")+IFERROR(Y486/H486,"0")+IFERROR(Y487/H487,"0")+IFERROR(Y488/H488,"0")+IFERROR(Y489/H489,"0")</f>
        <v>24.000000000000004</v>
      </c>
      <c r="Z490" s="43">
        <f>IFERROR(IF(Z484="",0,Z484),"0")+IFERROR(IF(Z485="",0,Z485),"0")+IFERROR(IF(Z486="",0,Z486),"0")+IFERROR(IF(Z487="",0,Z487),"0")+IFERROR(IF(Z488="",0,Z488),"0")+IFERROR(IF(Z489="",0,Z489),"0")</f>
        <v>0.21648000000000001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120</v>
      </c>
      <c r="Y491" s="43">
        <f>IFERROR(SUM(Y484:Y489),"0")</f>
        <v>129.60000000000002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60</v>
      </c>
      <c r="Y502" s="55">
        <f>IFERROR(IF(X502="",0,CEILING((X502/$H502),1)*$H502),"")</f>
        <v>64.800000000000011</v>
      </c>
      <c r="Z502" s="41">
        <f>IFERROR(IF(Y502=0,"",ROUNDUP(Y502/H502,0)*0.00902),"")</f>
        <v>0.10824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62.1111111111111</v>
      </c>
      <c r="BN502" s="78">
        <f>IFERROR(Y502*I502/H502,"0")</f>
        <v>67.08</v>
      </c>
      <c r="BO502" s="78">
        <f>IFERROR(1/J502*(X502/H502),"0")</f>
        <v>8.4175084175084181E-2</v>
      </c>
      <c r="BP502" s="78">
        <f>IFERROR(1/J502*(Y502/H502),"0")</f>
        <v>9.0909090909090925E-2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11.111111111111111</v>
      </c>
      <c r="Y505" s="43">
        <f>IFERROR(Y502/H502,"0")+IFERROR(Y503/H503,"0")+IFERROR(Y504/H504,"0")</f>
        <v>12.000000000000002</v>
      </c>
      <c r="Z505" s="43">
        <f>IFERROR(IF(Z502="",0,Z502),"0")+IFERROR(IF(Z503="",0,Z503),"0")+IFERROR(IF(Z504="",0,Z504),"0")</f>
        <v>0.10824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60</v>
      </c>
      <c r="Y506" s="43">
        <f>IFERROR(SUM(Y502:Y504),"0")</f>
        <v>64.800000000000011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100</v>
      </c>
      <c r="Y513" s="55">
        <f t="shared" si="71"/>
        <v>100.32000000000001</v>
      </c>
      <c r="Z513" s="41">
        <f>IFERROR(IF(Y513=0,"",ROUNDUP(Y513/H513,0)*0.01196),"")</f>
        <v>0.22724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106.62878787878788</v>
      </c>
      <c r="BN513" s="78">
        <f t="shared" si="73"/>
        <v>106.97</v>
      </c>
      <c r="BO513" s="78">
        <f t="shared" si="74"/>
        <v>0.18210955710955709</v>
      </c>
      <c r="BP513" s="78">
        <f t="shared" si="75"/>
        <v>0.18269230769230771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100</v>
      </c>
      <c r="Y514" s="55">
        <f t="shared" si="71"/>
        <v>100.32000000000001</v>
      </c>
      <c r="Z514" s="41">
        <f>IFERROR(IF(Y514=0,"",ROUNDUP(Y514/H514,0)*0.01196),"")</f>
        <v>0.22724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106.62878787878788</v>
      </c>
      <c r="BN514" s="78">
        <f t="shared" si="73"/>
        <v>106.97</v>
      </c>
      <c r="BO514" s="78">
        <f t="shared" si="74"/>
        <v>0.18210955710955709</v>
      </c>
      <c r="BP514" s="78">
        <f t="shared" si="75"/>
        <v>0.18269230769230771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37.878787878787875</v>
      </c>
      <c r="Y518" s="43">
        <f>IFERROR(Y510/H510,"0")+IFERROR(Y511/H511,"0")+IFERROR(Y512/H512,"0")+IFERROR(Y513/H513,"0")+IFERROR(Y514/H514,"0")+IFERROR(Y515/H515,"0")+IFERROR(Y516/H516,"0")+IFERROR(Y517/H517,"0")</f>
        <v>38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0.45448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200</v>
      </c>
      <c r="Y519" s="43">
        <f>IFERROR(SUM(Y510:Y517),"0")</f>
        <v>200.64000000000001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7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53.314393939393938</v>
      </c>
      <c r="BN527" s="78">
        <f t="shared" ref="BN527:BN533" si="78">IFERROR(Y527*I527/H527,"0")</f>
        <v>56.3</v>
      </c>
      <c r="BO527" s="78">
        <f t="shared" ref="BO527:BO533" si="79">IFERROR(1/J527*(X527/H527),"0")</f>
        <v>9.1054778554778545E-2</v>
      </c>
      <c r="BP527" s="78">
        <f t="shared" ref="BP527:BP533" si="80">IFERROR(1/J527*(Y527/H527),"0")</f>
        <v>9.6153846153846159E-2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76"/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63.977272727272727</v>
      </c>
      <c r="BN528" s="78">
        <f t="shared" si="78"/>
        <v>67.559999999999988</v>
      </c>
      <c r="BO528" s="78">
        <f t="shared" si="79"/>
        <v>0.10926573426573427</v>
      </c>
      <c r="BP528" s="78">
        <f t="shared" si="80"/>
        <v>0.11538461538461539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60</v>
      </c>
      <c r="Y529" s="55">
        <f t="shared" si="76"/>
        <v>63.36</v>
      </c>
      <c r="Z529" s="41">
        <f>IFERROR(IF(Y529=0,"",ROUNDUP(Y529/H529,0)*0.01196),"")</f>
        <v>0.14352000000000001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63.977272727272727</v>
      </c>
      <c r="BN529" s="78">
        <f t="shared" si="78"/>
        <v>67.559999999999988</v>
      </c>
      <c r="BO529" s="78">
        <f t="shared" si="79"/>
        <v>0.10926573426573427</v>
      </c>
      <c r="BP529" s="78">
        <f t="shared" si="80"/>
        <v>0.11538461538461539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32.196969696969695</v>
      </c>
      <c r="Y534" s="43">
        <f>IFERROR(Y527/H527,"0")+IFERROR(Y528/H528,"0")+IFERROR(Y529/H529,"0")+IFERROR(Y530/H530,"0")+IFERROR(Y531/H531,"0")+IFERROR(Y532/H532,"0")+IFERROR(Y533/H533,"0")</f>
        <v>34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0.40664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170</v>
      </c>
      <c r="Y535" s="43">
        <f>IFERROR(SUM(Y527:Y533),"0")</f>
        <v>179.51999999999998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100</v>
      </c>
      <c r="Y547" s="55">
        <f>IFERROR(IF(X547="",0,CEILING((X547/$H547),1)*$H547),"")</f>
        <v>100.80000000000001</v>
      </c>
      <c r="Z547" s="41">
        <f>IFERROR(IF(Y547=0,"",ROUNDUP(Y547/H547,0)*0.00902),"")</f>
        <v>0.21648000000000001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105.95238095238095</v>
      </c>
      <c r="BN547" s="78">
        <f>IFERROR(Y547*I547/H547,"0")</f>
        <v>106.80000000000001</v>
      </c>
      <c r="BO547" s="78">
        <f>IFERROR(1/J547*(X547/H547),"0")</f>
        <v>0.18037518037518038</v>
      </c>
      <c r="BP547" s="78">
        <f>IFERROR(1/J547*(Y547/H547),"0")</f>
        <v>0.18181818181818182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23.80952380952381</v>
      </c>
      <c r="Y548" s="43">
        <f>IFERROR(Y547/H547,"0")</f>
        <v>24</v>
      </c>
      <c r="Z548" s="43">
        <f>IFERROR(IF(Z547="",0,Z547),"0")</f>
        <v>0.21648000000000001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100</v>
      </c>
      <c r="Y549" s="43">
        <f>IFERROR(SUM(Y547:Y547),"0")</f>
        <v>100.80000000000001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14350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14479.38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14871.658684408398</v>
      </c>
      <c r="Y565" s="43">
        <f>IFERROR(SUM(BN22:BN561),"0")</f>
        <v>15006.901999999995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21</v>
      </c>
      <c r="Y566" s="44">
        <f>ROUNDUP(SUM(BP22:BP561),0)</f>
        <v>22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15396.658684408398</v>
      </c>
      <c r="Y567" s="43">
        <f>GrossWeightTotalR+PalletQtyTotalR*25</f>
        <v>15556.901999999995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1278.1729507189275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1295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22.971249999999998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132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159.30000000000001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256.5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113.4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610.80000000000007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332.7</v>
      </c>
      <c r="V574" s="52">
        <f>IFERROR(Y422*1,"0")+IFERROR(Y423*1,"0")+IFERROR(Y424*1,"0")+IFERROR(Y425*1,"0")</f>
        <v>0</v>
      </c>
      <c r="W574" s="52">
        <f>IFERROR(Y430*1,"0")+IFERROR(Y431*1,"0")+IFERROR(Y432*1,"0")</f>
        <v>42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11643</v>
      </c>
      <c r="Y574" s="52">
        <f>IFERROR(Y467*1,"0")+IFERROR(Y468*1,"0")+IFERROR(Y472*1,"0")+IFERROR(Y476*1,"0")+IFERROR(Y477*1,"0")+IFERROR(Y478*1,"0")</f>
        <v>306</v>
      </c>
      <c r="Z574" s="52">
        <f>IFERROR(Y484*1,"0")+IFERROR(Y485*1,"0")+IFERROR(Y486*1,"0")+IFERROR(Y487*1,"0")+IFERROR(Y488*1,"0")+IFERROR(Y489*1,"0")+IFERROR(Y493*1,"0")</f>
        <v>129.60000000000002</v>
      </c>
      <c r="AA574" s="52">
        <f>IFERROR(Y498*1,"0")+IFERROR(Y502*1,"0")+IFERROR(Y503*1,"0")+IFERROR(Y504*1,"0")</f>
        <v>64.800000000000011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480.48000000000008</v>
      </c>
      <c r="AC574" s="52">
        <f>IFERROR(Y539*1,"0")+IFERROR(Y543*1,"0")+IFERROR(Y547*1,"0")+IFERROR(Y551*1,"0")+IFERROR(Y555*1,"0")+IFERROR(Y556*1,"0")</f>
        <v>208.8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8,17"/>
        <filter val="100,00"/>
        <filter val="11,11"/>
        <filter val="110,00"/>
        <filter val="12,35"/>
        <filter val="12,82"/>
        <filter val="120,00"/>
        <filter val="124,00"/>
        <filter val="127,00"/>
        <filter val="14 350,00"/>
        <filter val="14 871,66"/>
        <filter val="148,00"/>
        <filter val="15 396,66"/>
        <filter val="15,26"/>
        <filter val="166,67"/>
        <filter val="170,00"/>
        <filter val="18,94"/>
        <filter val="2 000,00"/>
        <filter val="2 500,00"/>
        <filter val="20,00"/>
        <filter val="200,00"/>
        <filter val="21"/>
        <filter val="21,00"/>
        <filter val="22,22"/>
        <filter val="22,35"/>
        <filter val="227,00"/>
        <filter val="23,81"/>
        <filter val="24,00"/>
        <filter val="26,19"/>
        <filter val="27,00"/>
        <filter val="28,57"/>
        <filter val="3 500,00"/>
        <filter val="300,00"/>
        <filter val="31,49"/>
        <filter val="32,20"/>
        <filter val="33,33"/>
        <filter val="34,69"/>
        <filter val="37,88"/>
        <filter val="400,00"/>
        <filter val="42,00"/>
        <filter val="48,00"/>
        <filter val="50,00"/>
        <filter val="6,00"/>
        <filter val="60,00"/>
        <filter val="600,00"/>
        <filter val="74,07"/>
        <filter val="9 000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2026-10-20T07:16:32Z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