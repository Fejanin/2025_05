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70A011-A4A3-4F11-A4E1-76D0F8D0E8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Y504" i="2"/>
  <c r="X504" i="2"/>
  <c r="BP503" i="2"/>
  <c r="BO503" i="2"/>
  <c r="BN503" i="2"/>
  <c r="BM503" i="2"/>
  <c r="Z503" i="2"/>
  <c r="Z504" i="2" s="1"/>
  <c r="Y503" i="2"/>
  <c r="AA516" i="2" s="1"/>
  <c r="P503" i="2"/>
  <c r="X500" i="2"/>
  <c r="Y499" i="2"/>
  <c r="X499" i="2"/>
  <c r="BP498" i="2"/>
  <c r="BO498" i="2"/>
  <c r="BN498" i="2"/>
  <c r="BM498" i="2"/>
  <c r="Z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N473" i="2"/>
  <c r="BM473" i="2"/>
  <c r="Z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P446" i="2"/>
  <c r="BO446" i="2"/>
  <c r="BN446" i="2"/>
  <c r="BM446" i="2"/>
  <c r="Z446" i="2"/>
  <c r="Y446" i="2"/>
  <c r="P446" i="2"/>
  <c r="X442" i="2"/>
  <c r="Y441" i="2"/>
  <c r="X441" i="2"/>
  <c r="BP440" i="2"/>
  <c r="BO440" i="2"/>
  <c r="BN440" i="2"/>
  <c r="BM440" i="2"/>
  <c r="Z440" i="2"/>
  <c r="Z441" i="2" s="1"/>
  <c r="Y440" i="2"/>
  <c r="Y442" i="2" s="1"/>
  <c r="P440" i="2"/>
  <c r="X437" i="2"/>
  <c r="X436" i="2"/>
  <c r="BP435" i="2"/>
  <c r="BO435" i="2"/>
  <c r="BN435" i="2"/>
  <c r="BM435" i="2"/>
  <c r="Z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P424" i="2"/>
  <c r="BO424" i="2"/>
  <c r="BN424" i="2"/>
  <c r="BM424" i="2"/>
  <c r="Z424" i="2"/>
  <c r="Y424" i="2"/>
  <c r="P424" i="2"/>
  <c r="BO423" i="2"/>
  <c r="BM423" i="2"/>
  <c r="Y423" i="2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P417" i="2"/>
  <c r="BP416" i="2"/>
  <c r="BO416" i="2"/>
  <c r="BN416" i="2"/>
  <c r="BM416" i="2"/>
  <c r="Z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V516" i="2" s="1"/>
  <c r="P413" i="2"/>
  <c r="BP412" i="2"/>
  <c r="BO412" i="2"/>
  <c r="BN412" i="2"/>
  <c r="BM412" i="2"/>
  <c r="Z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P384" i="2"/>
  <c r="BO384" i="2"/>
  <c r="BN384" i="2"/>
  <c r="BM384" i="2"/>
  <c r="Z384" i="2"/>
  <c r="Y384" i="2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BO334" i="2"/>
  <c r="BM334" i="2"/>
  <c r="Y334" i="2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P327" i="2"/>
  <c r="BP326" i="2"/>
  <c r="BO326" i="2"/>
  <c r="BN326" i="2"/>
  <c r="BM326" i="2"/>
  <c r="Z326" i="2"/>
  <c r="Y326" i="2"/>
  <c r="P326" i="2"/>
  <c r="BO325" i="2"/>
  <c r="BM325" i="2"/>
  <c r="Y325" i="2"/>
  <c r="P325" i="2"/>
  <c r="BO324" i="2"/>
  <c r="BM324" i="2"/>
  <c r="Y324" i="2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P319" i="2"/>
  <c r="BO318" i="2"/>
  <c r="BM318" i="2"/>
  <c r="Y318" i="2"/>
  <c r="BO317" i="2"/>
  <c r="BM317" i="2"/>
  <c r="Y317" i="2"/>
  <c r="P317" i="2"/>
  <c r="BO316" i="2"/>
  <c r="BM316" i="2"/>
  <c r="Y316" i="2"/>
  <c r="BO315" i="2"/>
  <c r="BM315" i="2"/>
  <c r="Y315" i="2"/>
  <c r="P315" i="2"/>
  <c r="BO314" i="2"/>
  <c r="BM314" i="2"/>
  <c r="Y314" i="2"/>
  <c r="BO313" i="2"/>
  <c r="BM313" i="2"/>
  <c r="Y313" i="2"/>
  <c r="P313" i="2"/>
  <c r="X310" i="2"/>
  <c r="X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P295" i="2"/>
  <c r="BO295" i="2"/>
  <c r="BN295" i="2"/>
  <c r="BM295" i="2"/>
  <c r="Z295" i="2"/>
  <c r="Y295" i="2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P279" i="2"/>
  <c r="BO279" i="2"/>
  <c r="BN279" i="2"/>
  <c r="BM279" i="2"/>
  <c r="Z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N216" i="2"/>
  <c r="BM216" i="2"/>
  <c r="Z216" i="2"/>
  <c r="Y216" i="2"/>
  <c r="P216" i="2"/>
  <c r="X214" i="2"/>
  <c r="Y213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P194" i="2"/>
  <c r="BO193" i="2"/>
  <c r="BM193" i="2"/>
  <c r="Y193" i="2"/>
  <c r="BP193" i="2" s="1"/>
  <c r="P193" i="2"/>
  <c r="BO192" i="2"/>
  <c r="BM192" i="2"/>
  <c r="Y192" i="2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BP187" i="2"/>
  <c r="BO187" i="2"/>
  <c r="BN187" i="2"/>
  <c r="BM187" i="2"/>
  <c r="Z187" i="2"/>
  <c r="Y187" i="2"/>
  <c r="P187" i="2"/>
  <c r="BO186" i="2"/>
  <c r="BM186" i="2"/>
  <c r="Y186" i="2"/>
  <c r="P186" i="2"/>
  <c r="BO185" i="2"/>
  <c r="BM185" i="2"/>
  <c r="Y185" i="2"/>
  <c r="BP185" i="2" s="1"/>
  <c r="P185" i="2"/>
  <c r="BO184" i="2"/>
  <c r="BM184" i="2"/>
  <c r="Z184" i="2"/>
  <c r="Y184" i="2"/>
  <c r="P184" i="2"/>
  <c r="X182" i="2"/>
  <c r="Y181" i="2"/>
  <c r="X181" i="2"/>
  <c r="BP180" i="2"/>
  <c r="BO180" i="2"/>
  <c r="BN180" i="2"/>
  <c r="BM180" i="2"/>
  <c r="Z180" i="2"/>
  <c r="Z181" i="2" s="1"/>
  <c r="Y180" i="2"/>
  <c r="P180" i="2"/>
  <c r="X176" i="2"/>
  <c r="Y175" i="2"/>
  <c r="X175" i="2"/>
  <c r="BP174" i="2"/>
  <c r="BO174" i="2"/>
  <c r="BN174" i="2"/>
  <c r="BM174" i="2"/>
  <c r="Z174" i="2"/>
  <c r="Z175" i="2" s="1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M165" i="2"/>
  <c r="Y165" i="2"/>
  <c r="BP165" i="2" s="1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8" i="2" s="1"/>
  <c r="X155" i="2"/>
  <c r="X154" i="2"/>
  <c r="BP153" i="2"/>
  <c r="BO153" i="2"/>
  <c r="BN153" i="2"/>
  <c r="BM153" i="2"/>
  <c r="Z153" i="2"/>
  <c r="Y153" i="2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P82" i="2"/>
  <c r="BO82" i="2"/>
  <c r="BN82" i="2"/>
  <c r="BM82" i="2"/>
  <c r="Z82" i="2"/>
  <c r="Y82" i="2"/>
  <c r="P82" i="2"/>
  <c r="BO81" i="2"/>
  <c r="BM81" i="2"/>
  <c r="Y81" i="2"/>
  <c r="P81" i="2"/>
  <c r="X79" i="2"/>
  <c r="X78" i="2"/>
  <c r="BO77" i="2"/>
  <c r="BM77" i="2"/>
  <c r="Y77" i="2"/>
  <c r="Y78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P71" i="2"/>
  <c r="BO71" i="2"/>
  <c r="BN71" i="2"/>
  <c r="BM71" i="2"/>
  <c r="Z71" i="2"/>
  <c r="Y71" i="2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7" i="2" s="1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P33" i="2"/>
  <c r="BO33" i="2"/>
  <c r="BN33" i="2"/>
  <c r="BM33" i="2"/>
  <c r="Z33" i="2"/>
  <c r="Y33" i="2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Y35" i="2" s="1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P226" i="2" l="1"/>
  <c r="BN226" i="2"/>
  <c r="Z226" i="2"/>
  <c r="BP253" i="2"/>
  <c r="BN253" i="2"/>
  <c r="Z253" i="2"/>
  <c r="BP281" i="2"/>
  <c r="BN281" i="2"/>
  <c r="Z281" i="2"/>
  <c r="BP302" i="2"/>
  <c r="BN302" i="2"/>
  <c r="Z302" i="2"/>
  <c r="BP314" i="2"/>
  <c r="BN314" i="2"/>
  <c r="Z314" i="2"/>
  <c r="BP318" i="2"/>
  <c r="BN318" i="2"/>
  <c r="Z318" i="2"/>
  <c r="BP328" i="2"/>
  <c r="BN328" i="2"/>
  <c r="Z328" i="2"/>
  <c r="BP343" i="2"/>
  <c r="BN343" i="2"/>
  <c r="Z343" i="2"/>
  <c r="BP375" i="2"/>
  <c r="BN375" i="2"/>
  <c r="Z375" i="2"/>
  <c r="BP414" i="2"/>
  <c r="BN414" i="2"/>
  <c r="Z414" i="2"/>
  <c r="W516" i="2"/>
  <c r="Y430" i="2"/>
  <c r="BP429" i="2"/>
  <c r="BN429" i="2"/>
  <c r="Z429" i="2"/>
  <c r="Z430" i="2" s="1"/>
  <c r="Y437" i="2"/>
  <c r="BP433" i="2"/>
  <c r="BN433" i="2"/>
  <c r="Z433" i="2"/>
  <c r="BP456" i="2"/>
  <c r="BN456" i="2"/>
  <c r="Z456" i="2"/>
  <c r="BP481" i="2"/>
  <c r="BN481" i="2"/>
  <c r="Z481" i="2"/>
  <c r="Z22" i="2"/>
  <c r="BN22" i="2"/>
  <c r="BP22" i="2"/>
  <c r="Z27" i="2"/>
  <c r="BN27" i="2"/>
  <c r="BP27" i="2"/>
  <c r="Z31" i="2"/>
  <c r="BN31" i="2"/>
  <c r="Z37" i="2"/>
  <c r="Z38" i="2" s="1"/>
  <c r="BN37" i="2"/>
  <c r="BP37" i="2"/>
  <c r="Y38" i="2"/>
  <c r="Z43" i="2"/>
  <c r="Z44" i="2" s="1"/>
  <c r="BN43" i="2"/>
  <c r="BP43" i="2"/>
  <c r="Y44" i="2"/>
  <c r="Z64" i="2"/>
  <c r="BN64" i="2"/>
  <c r="Z73" i="2"/>
  <c r="BN73" i="2"/>
  <c r="Y86" i="2"/>
  <c r="Z84" i="2"/>
  <c r="BN84" i="2"/>
  <c r="Y90" i="2"/>
  <c r="Z96" i="2"/>
  <c r="BN96" i="2"/>
  <c r="Z112" i="2"/>
  <c r="BN112" i="2"/>
  <c r="Z120" i="2"/>
  <c r="BN120" i="2"/>
  <c r="Z147" i="2"/>
  <c r="BN147" i="2"/>
  <c r="Z168" i="2"/>
  <c r="BN168" i="2"/>
  <c r="Z169" i="2"/>
  <c r="BN169" i="2"/>
  <c r="Z185" i="2"/>
  <c r="BN185" i="2"/>
  <c r="Z189" i="2"/>
  <c r="BN189" i="2"/>
  <c r="Z193" i="2"/>
  <c r="BN193" i="2"/>
  <c r="Z201" i="2"/>
  <c r="BN201" i="2"/>
  <c r="BP244" i="2"/>
  <c r="BN244" i="2"/>
  <c r="Z244" i="2"/>
  <c r="BP269" i="2"/>
  <c r="BN269" i="2"/>
  <c r="Z269" i="2"/>
  <c r="BP288" i="2"/>
  <c r="BN288" i="2"/>
  <c r="Z288" i="2"/>
  <c r="Y322" i="2"/>
  <c r="BP313" i="2"/>
  <c r="BN313" i="2"/>
  <c r="Z313" i="2"/>
  <c r="BP317" i="2"/>
  <c r="BN317" i="2"/>
  <c r="Z317" i="2"/>
  <c r="BP324" i="2"/>
  <c r="BN324" i="2"/>
  <c r="Z324" i="2"/>
  <c r="Y338" i="2"/>
  <c r="BP334" i="2"/>
  <c r="BN334" i="2"/>
  <c r="Z334" i="2"/>
  <c r="BP361" i="2"/>
  <c r="BN361" i="2"/>
  <c r="Z361" i="2"/>
  <c r="Y401" i="2"/>
  <c r="Y400" i="2"/>
  <c r="BP399" i="2"/>
  <c r="BN399" i="2"/>
  <c r="Z399" i="2"/>
  <c r="Z400" i="2" s="1"/>
  <c r="BP405" i="2"/>
  <c r="BN405" i="2"/>
  <c r="Z405" i="2"/>
  <c r="BP418" i="2"/>
  <c r="BN418" i="2"/>
  <c r="Z418" i="2"/>
  <c r="Y436" i="2"/>
  <c r="BP451" i="2"/>
  <c r="BN451" i="2"/>
  <c r="Z451" i="2"/>
  <c r="BP471" i="2"/>
  <c r="BN471" i="2"/>
  <c r="Z471" i="2"/>
  <c r="Y246" i="2"/>
  <c r="X516" i="2"/>
  <c r="F9" i="2"/>
  <c r="J9" i="2"/>
  <c r="F10" i="2"/>
  <c r="Y25" i="2"/>
  <c r="Y34" i="2"/>
  <c r="Y58" i="2"/>
  <c r="Y79" i="2"/>
  <c r="Y85" i="2"/>
  <c r="Y91" i="2"/>
  <c r="Y133" i="2"/>
  <c r="Y154" i="2"/>
  <c r="Y159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BP217" i="2"/>
  <c r="BN217" i="2"/>
  <c r="Z217" i="2"/>
  <c r="Z218" i="2" s="1"/>
  <c r="Y219" i="2"/>
  <c r="BP225" i="2"/>
  <c r="BN225" i="2"/>
  <c r="Z225" i="2"/>
  <c r="BP236" i="2"/>
  <c r="BN236" i="2"/>
  <c r="Z236" i="2"/>
  <c r="BP252" i="2"/>
  <c r="BN252" i="2"/>
  <c r="Z252" i="2"/>
  <c r="BP256" i="2"/>
  <c r="BN256" i="2"/>
  <c r="Z256" i="2"/>
  <c r="Y258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3" i="2"/>
  <c r="BP268" i="2"/>
  <c r="BN268" i="2"/>
  <c r="Z268" i="2"/>
  <c r="BP272" i="2"/>
  <c r="BN272" i="2"/>
  <c r="Z272" i="2"/>
  <c r="Y274" i="2"/>
  <c r="Y283" i="2"/>
  <c r="BP277" i="2"/>
  <c r="BN277" i="2"/>
  <c r="Z277" i="2"/>
  <c r="BP280" i="2"/>
  <c r="BN280" i="2"/>
  <c r="Z280" i="2"/>
  <c r="BP289" i="2"/>
  <c r="BN289" i="2"/>
  <c r="Z289" i="2"/>
  <c r="Y291" i="2"/>
  <c r="P516" i="2"/>
  <c r="Y297" i="2"/>
  <c r="BP294" i="2"/>
  <c r="BN294" i="2"/>
  <c r="Z294" i="2"/>
  <c r="BP303" i="2"/>
  <c r="BN303" i="2"/>
  <c r="Z303" i="2"/>
  <c r="Y305" i="2"/>
  <c r="Y310" i="2"/>
  <c r="BP307" i="2"/>
  <c r="BN307" i="2"/>
  <c r="Z307" i="2"/>
  <c r="Z309" i="2" s="1"/>
  <c r="BP316" i="2"/>
  <c r="BN316" i="2"/>
  <c r="Z316" i="2"/>
  <c r="Y321" i="2"/>
  <c r="BP325" i="2"/>
  <c r="BN325" i="2"/>
  <c r="Z325" i="2"/>
  <c r="BP329" i="2"/>
  <c r="BN329" i="2"/>
  <c r="Z329" i="2"/>
  <c r="BP337" i="2"/>
  <c r="BN337" i="2"/>
  <c r="Z337" i="2"/>
  <c r="Y339" i="2"/>
  <c r="BP341" i="2"/>
  <c r="BN341" i="2"/>
  <c r="Z341" i="2"/>
  <c r="BP349" i="2"/>
  <c r="BN349" i="2"/>
  <c r="Z349" i="2"/>
  <c r="BP447" i="2"/>
  <c r="BN447" i="2"/>
  <c r="Z447" i="2"/>
  <c r="BP455" i="2"/>
  <c r="BN455" i="2"/>
  <c r="Z455" i="2"/>
  <c r="BP470" i="2"/>
  <c r="BN470" i="2"/>
  <c r="Z470" i="2"/>
  <c r="BP479" i="2"/>
  <c r="BN479" i="2"/>
  <c r="Z479" i="2"/>
  <c r="B516" i="2"/>
  <c r="H9" i="2"/>
  <c r="Z23" i="2"/>
  <c r="BN23" i="2"/>
  <c r="Z28" i="2"/>
  <c r="BN28" i="2"/>
  <c r="Z30" i="2"/>
  <c r="BN30" i="2"/>
  <c r="Z32" i="2"/>
  <c r="BN32" i="2"/>
  <c r="Y45" i="2"/>
  <c r="Z50" i="2"/>
  <c r="BN50" i="2"/>
  <c r="Z56" i="2"/>
  <c r="Z57" i="2" s="1"/>
  <c r="BN56" i="2"/>
  <c r="BP56" i="2"/>
  <c r="Z63" i="2"/>
  <c r="BN63" i="2"/>
  <c r="Z65" i="2"/>
  <c r="BN65" i="2"/>
  <c r="Y74" i="2"/>
  <c r="Z72" i="2"/>
  <c r="BN72" i="2"/>
  <c r="Z77" i="2"/>
  <c r="Z78" i="2" s="1"/>
  <c r="BN77" i="2"/>
  <c r="BP77" i="2"/>
  <c r="Z81" i="2"/>
  <c r="BN81" i="2"/>
  <c r="BP81" i="2"/>
  <c r="Z83" i="2"/>
  <c r="BN83" i="2"/>
  <c r="Z89" i="2"/>
  <c r="Z90" i="2" s="1"/>
  <c r="BN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52" i="2"/>
  <c r="Z154" i="2" s="1"/>
  <c r="BN152" i="2"/>
  <c r="BP152" i="2"/>
  <c r="Z157" i="2"/>
  <c r="Z158" i="2" s="1"/>
  <c r="BN157" i="2"/>
  <c r="BP157" i="2"/>
  <c r="Z161" i="2"/>
  <c r="BN161" i="2"/>
  <c r="Y171" i="2"/>
  <c r="Z164" i="2"/>
  <c r="BN164" i="2"/>
  <c r="Z165" i="2"/>
  <c r="BN165" i="2"/>
  <c r="Z167" i="2"/>
  <c r="BN167" i="2"/>
  <c r="Z170" i="2"/>
  <c r="BN170" i="2"/>
  <c r="J516" i="2"/>
  <c r="Y182" i="2"/>
  <c r="Y197" i="2"/>
  <c r="BP184" i="2"/>
  <c r="BN184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4" i="2"/>
  <c r="BP211" i="2"/>
  <c r="BN211" i="2"/>
  <c r="Z211" i="2"/>
  <c r="Z213" i="2" s="1"/>
  <c r="Y218" i="2"/>
  <c r="BP227" i="2"/>
  <c r="BN227" i="2"/>
  <c r="Z227" i="2"/>
  <c r="L516" i="2"/>
  <c r="Y257" i="2"/>
  <c r="BP250" i="2"/>
  <c r="BN250" i="2"/>
  <c r="Z250" i="2"/>
  <c r="BP254" i="2"/>
  <c r="BN254" i="2"/>
  <c r="Z254" i="2"/>
  <c r="BP270" i="2"/>
  <c r="BN270" i="2"/>
  <c r="Z270" i="2"/>
  <c r="BP278" i="2"/>
  <c r="BN278" i="2"/>
  <c r="Z278" i="2"/>
  <c r="Y282" i="2"/>
  <c r="BP287" i="2"/>
  <c r="BN287" i="2"/>
  <c r="Z287" i="2"/>
  <c r="BP296" i="2"/>
  <c r="BN296" i="2"/>
  <c r="Z296" i="2"/>
  <c r="Y298" i="2"/>
  <c r="Q516" i="2"/>
  <c r="Y304" i="2"/>
  <c r="BP301" i="2"/>
  <c r="BN301" i="2"/>
  <c r="Z301" i="2"/>
  <c r="Z304" i="2" s="1"/>
  <c r="Y309" i="2"/>
  <c r="BP315" i="2"/>
  <c r="BN315" i="2"/>
  <c r="Z315" i="2"/>
  <c r="Z321" i="2" s="1"/>
  <c r="BP319" i="2"/>
  <c r="BN319" i="2"/>
  <c r="Z319" i="2"/>
  <c r="Y332" i="2"/>
  <c r="BP327" i="2"/>
  <c r="BN327" i="2"/>
  <c r="Z327" i="2"/>
  <c r="Y331" i="2"/>
  <c r="BP335" i="2"/>
  <c r="BN335" i="2"/>
  <c r="Z335" i="2"/>
  <c r="BP347" i="2"/>
  <c r="BN347" i="2"/>
  <c r="Z347" i="2"/>
  <c r="BP380" i="2"/>
  <c r="BN380" i="2"/>
  <c r="Z380" i="2"/>
  <c r="Y420" i="2"/>
  <c r="BP411" i="2"/>
  <c r="BN411" i="2"/>
  <c r="Z411" i="2"/>
  <c r="BP415" i="2"/>
  <c r="BN415" i="2"/>
  <c r="Z415" i="2"/>
  <c r="BP419" i="2"/>
  <c r="BN419" i="2"/>
  <c r="Z419" i="2"/>
  <c r="Y421" i="2"/>
  <c r="Y426" i="2"/>
  <c r="BP423" i="2"/>
  <c r="BN423" i="2"/>
  <c r="Z423" i="2"/>
  <c r="Z425" i="2" s="1"/>
  <c r="Y425" i="2"/>
  <c r="M516" i="2"/>
  <c r="O516" i="2"/>
  <c r="Y290" i="2"/>
  <c r="Y344" i="2"/>
  <c r="Y352" i="2"/>
  <c r="BP374" i="2"/>
  <c r="BN374" i="2"/>
  <c r="Z374" i="2"/>
  <c r="BP395" i="2"/>
  <c r="BN395" i="2"/>
  <c r="Z395" i="2"/>
  <c r="BP413" i="2"/>
  <c r="BN413" i="2"/>
  <c r="Z413" i="2"/>
  <c r="BP417" i="2"/>
  <c r="BN417" i="2"/>
  <c r="Z417" i="2"/>
  <c r="BP434" i="2"/>
  <c r="BN434" i="2"/>
  <c r="Z434" i="2"/>
  <c r="Z436" i="2" s="1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S516" i="2"/>
  <c r="Y431" i="2"/>
  <c r="Y482" i="2"/>
  <c r="Y505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97" i="2" l="1"/>
  <c r="Z74" i="2"/>
  <c r="Z344" i="2"/>
  <c r="Z351" i="2"/>
  <c r="Z482" i="2"/>
  <c r="Z338" i="2"/>
  <c r="Z290" i="2"/>
  <c r="Z85" i="2"/>
  <c r="Z34" i="2"/>
  <c r="Z24" i="2"/>
  <c r="Z331" i="2"/>
  <c r="Z297" i="2"/>
  <c r="Z282" i="2"/>
  <c r="Z273" i="2"/>
  <c r="Z420" i="2"/>
  <c r="Z257" i="2"/>
  <c r="Z203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<sst xmlns="http://schemas.openxmlformats.org/spreadsheetml/2006/main" count="3779" uniqueCount="818">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</sst>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hidden="1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100</v>
      </c>
      <c r="Y51" s="69">
        <f>IFERROR(IF(X51="",0,CEILING((X51/$H51),1)*$H51),"")</f>
        <v>100</v>
      </c>
      <c r="Z51" s="70">
        <f>IFERROR(IF(Y51=0,"",ROUNDUP(Y51/H51,0)*0.00902),"")</f>
        <v>0.22550000000000001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104.75000000000001</v>
      </c>
      <c r="BN51" s="76">
        <f>IFERROR(Y51*I51/H51,"0")</f>
        <v>104.75000000000001</v>
      </c>
      <c r="BO51" s="76">
        <f>IFERROR(1/J51*(X51/H51),"0")</f>
        <v>0.18939393939393939</v>
      </c>
      <c r="BP51" s="76">
        <f>IFERROR(1/J51*(Y51/H51),"0")</f>
        <v>0.18939393939393939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25</v>
      </c>
      <c r="Y53" s="65">
        <f>IFERROR(Y49/H49,"0")+IFERROR(Y50/H50,"0")+IFERROR(Y51/H51,"0")+IFERROR(Y52/H52,"0")</f>
        <v>25</v>
      </c>
      <c r="Z53" s="65">
        <f>IFERROR(IF(Z49="",0,Z49),"0")+IFERROR(IF(Z50="",0,Z50),"0")+IFERROR(IF(Z51="",0,Z51),"0")+IFERROR(IF(Z52="",0,Z52),"0")</f>
        <v>0.22550000000000001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100</v>
      </c>
      <c r="Y54" s="65">
        <f>IFERROR(SUM(Y49:Y52),"0")</f>
        <v>100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50</v>
      </c>
      <c r="Y61" s="69">
        <f t="shared" ref="Y61:Y66" si="6">IFERROR(IF(X61="",0,CEILING((X61/$H61),1)*$H61),"")</f>
        <v>56</v>
      </c>
      <c r="Z61" s="70">
        <f>IFERROR(IF(Y61=0,"",ROUNDUP(Y61/H61,0)*0.01898),"")</f>
        <v>9.4899999999999998E-2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51.830357142857146</v>
      </c>
      <c r="BN61" s="76">
        <f t="shared" ref="BN61:BN66" si="8">IFERROR(Y61*I61/H61,"0")</f>
        <v>58.050000000000004</v>
      </c>
      <c r="BO61" s="76">
        <f t="shared" ref="BO61:BO66" si="9">IFERROR(1/J61*(X61/H61),"0")</f>
        <v>6.9754464285714288E-2</v>
      </c>
      <c r="BP61" s="76">
        <f t="shared" ref="BP61:BP66" si="10">IFERROR(1/J61*(Y61/H61),"0")</f>
        <v>7.8125E-2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35.945767195767196</v>
      </c>
      <c r="Y67" s="65">
        <f>IFERROR(Y61/H61,"0")+IFERROR(Y62/H62,"0")+IFERROR(Y63/H63,"0")+IFERROR(Y64/H64,"0")+IFERROR(Y65/H65,"0")+IFERROR(Y66/H66,"0")</f>
        <v>38</v>
      </c>
      <c r="Z67" s="65">
        <f>IFERROR(IF(Z61="",0,Z61),"0")+IFERROR(IF(Z62="",0,Z62),"0")+IFERROR(IF(Z63="",0,Z63),"0")+IFERROR(IF(Z64="",0,Z64),"0")+IFERROR(IF(Z65="",0,Z65),"0")+IFERROR(IF(Z66="",0,Z66),"0")</f>
        <v>0.49216000000000004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250</v>
      </c>
      <c r="Y68" s="65">
        <f>IFERROR(SUM(Y61:Y66),"0")</f>
        <v>267.5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hidden="1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IFERROR(IF(Y94=0,"",ROUNDUP(Y94/H94,0)*0.01898),"")</f>
        <v/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hidden="1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0</v>
      </c>
      <c r="Y98" s="65">
        <f>IFERROR(Y94/H94,"0")+IFERROR(Y95/H95,"0")+IFERROR(Y96/H96,"0")+IFERROR(Y97/H97,"0")</f>
        <v>0</v>
      </c>
      <c r="Z98" s="65">
        <f>IFERROR(IF(Z94="",0,Z94),"0")+IFERROR(IF(Z95="",0,Z95),"0")+IFERROR(IF(Z96="",0,Z96),"0")+IFERROR(IF(Z97="",0,Z97),"0")</f>
        <v>0</v>
      </c>
      <c r="AA98" s="74"/>
      <c r="AB98" s="74"/>
      <c r="AC98" s="74"/>
    </row>
    <row r="99" spans="1:68" hidden="1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0</v>
      </c>
      <c r="Y99" s="65">
        <f>IFERROR(SUM(Y94:Y97),"0")</f>
        <v>0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hidden="1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0</v>
      </c>
      <c r="Y101" s="69">
        <f>IFERROR(IF(X101="",0,CEILING((X101/$H101),1)*$H101),"")</f>
        <v>0</v>
      </c>
      <c r="Z101" s="70" t="str">
        <f>IFERROR(IF(Y101=0,"",ROUNDUP(Y101/H101,0)*0.01898),"")</f>
        <v/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0</v>
      </c>
      <c r="BN101" s="76">
        <f>IFERROR(Y101*I101/H101,"0")</f>
        <v>0</v>
      </c>
      <c r="BO101" s="76">
        <f>IFERROR(1/J101*(X101/H101),"0")</f>
        <v>0</v>
      </c>
      <c r="BP101" s="76">
        <f>IFERROR(1/J101*(Y101/H101),"0")</f>
        <v>0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80.808080808080803</v>
      </c>
      <c r="Y105" s="65">
        <f>IFERROR(Y101/H101,"0")+IFERROR(Y102/H102,"0")+IFERROR(Y103/H103,"0")+IFERROR(Y104/H104,"0")</f>
        <v>82</v>
      </c>
      <c r="Z105" s="65">
        <f>IFERROR(IF(Z101="",0,Z101),"0")+IFERROR(IF(Z102="",0,Z102),"0")+IFERROR(IF(Z103="",0,Z103),"0")+IFERROR(IF(Z104="",0,Z104),"0")</f>
        <v>0.53381999999999996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200</v>
      </c>
      <c r="Y106" s="65">
        <f>IFERROR(SUM(Y101:Y104),"0")</f>
        <v>202.68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hidden="1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hidden="1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hidden="1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0</v>
      </c>
      <c r="Y114" s="65">
        <f>IFERROR(Y109/H109,"0")+IFERROR(Y110/H110,"0")+IFERROR(Y111/H111,"0")+IFERROR(Y112/H112,"0")+IFERROR(Y113/H113,"0")</f>
        <v>0</v>
      </c>
      <c r="Z114" s="65">
        <f>IFERROR(IF(Z109="",0,Z109),"0")+IFERROR(IF(Z110="",0,Z110),"0")+IFERROR(IF(Z111="",0,Z111),"0")+IFERROR(IF(Z112="",0,Z112),"0")+IFERROR(IF(Z113="",0,Z113),"0")</f>
        <v>0</v>
      </c>
      <c r="AA114" s="74"/>
      <c r="AB114" s="74"/>
      <c r="AC114" s="74"/>
    </row>
    <row r="115" spans="1:68" hidden="1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0</v>
      </c>
      <c r="Y115" s="65">
        <f>IFERROR(SUM(Y109:Y113),"0")</f>
        <v>0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200</v>
      </c>
      <c r="Y126" s="69">
        <f>IFERROR(IF(X126="",0,CEILING((X126/$H126),1)*$H126),"")</f>
        <v>202.5</v>
      </c>
      <c r="Z126" s="70">
        <f>IFERROR(IF(Y126=0,"",ROUNDUP(Y126/H126,0)*0.00651),"")</f>
        <v>0.48825000000000002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218.66666666666666</v>
      </c>
      <c r="BN126" s="76">
        <f>IFERROR(Y126*I126/H126,"0")</f>
        <v>221.39999999999998</v>
      </c>
      <c r="BO126" s="76">
        <f>IFERROR(1/J126*(X126/H126),"0")</f>
        <v>0.40700040700040702</v>
      </c>
      <c r="BP126" s="76">
        <f>IFERROR(1/J126*(Y126/H126),"0")</f>
        <v>0.41208791208791212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86.41975308641976</v>
      </c>
      <c r="Y128" s="65">
        <f>IFERROR(Y124/H124,"0")+IFERROR(Y125/H125,"0")+IFERROR(Y126/H126,"0")+IFERROR(Y127/H127,"0")</f>
        <v>88</v>
      </c>
      <c r="Z128" s="65">
        <f>IFERROR(IF(Z124="",0,Z124),"0")+IFERROR(IF(Z125="",0,Z125),"0")+IFERROR(IF(Z126="",0,Z126),"0")+IFERROR(IF(Z127="",0,Z127),"0")</f>
        <v>0.73499000000000003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300</v>
      </c>
      <c r="Y129" s="65">
        <f>IFERROR(SUM(Y124:Y127),"0")</f>
        <v>307.8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30</v>
      </c>
      <c r="Y146" s="69">
        <f>IFERROR(IF(X146="",0,CEILING((X146/$H146),1)*$H146),"")</f>
        <v>31.68</v>
      </c>
      <c r="Z146" s="70">
        <f>IFERROR(IF(Y146=0,"",ROUNDUP(Y146/H146,0)*0.00651),"")</f>
        <v>7.8119999999999995E-2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33.04545454545454</v>
      </c>
      <c r="BN146" s="76">
        <f>IFERROR(Y146*I146/H146,"0")</f>
        <v>34.896000000000001</v>
      </c>
      <c r="BO146" s="76">
        <f>IFERROR(1/J146*(X146/H146),"0")</f>
        <v>6.243756243756244E-2</v>
      </c>
      <c r="BP146" s="76">
        <f>IFERROR(1/J146*(Y146/H146),"0")</f>
        <v>6.5934065934065936E-2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11.363636363636363</v>
      </c>
      <c r="Y148" s="65">
        <f>IFERROR(Y146/H146,"0")+IFERROR(Y147/H147,"0")</f>
        <v>12</v>
      </c>
      <c r="Z148" s="65">
        <f>IFERROR(IF(Z146="",0,Z146),"0")+IFERROR(IF(Z147="",0,Z147),"0")</f>
        <v>7.8119999999999995E-2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30</v>
      </c>
      <c r="Y149" s="65">
        <f>IFERROR(SUM(Y146:Y147),"0")</f>
        <v>31.68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100</v>
      </c>
      <c r="Y162" s="69">
        <f t="shared" si="11"/>
        <v>100.80000000000001</v>
      </c>
      <c r="Z162" s="70">
        <f>IFERROR(IF(Y162=0,"",ROUNDUP(Y162/H162,0)*0.00902),"")</f>
        <v>0.21648000000000001</v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104.5238095238095</v>
      </c>
      <c r="BN162" s="76">
        <f t="shared" si="13"/>
        <v>105.36</v>
      </c>
      <c r="BO162" s="76">
        <f t="shared" si="14"/>
        <v>0.18037518037518038</v>
      </c>
      <c r="BP162" s="76">
        <f t="shared" si="15"/>
        <v>0.18181818181818182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74"/>
      <c r="AB171" s="74"/>
      <c r="AC171" s="74"/>
    </row>
    <row r="172" spans="1:68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100</v>
      </c>
      <c r="Y172" s="65">
        <f>IFERROR(SUM(Y161:Y170),"0")</f>
        <v>100.80000000000001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200</v>
      </c>
      <c r="Y221" s="69">
        <f t="shared" ref="Y221:Y228" si="21">IFERROR(IF(X221="",0,CEILING((X221/$H221),1)*$H221),"")</f>
        <v>205.20000000000002</v>
      </c>
      <c r="Z221" s="70">
        <f>IFERROR(IF(Y221=0,"",ROUNDUP(Y221/H221,0)*0.00902),"")</f>
        <v>0.34276000000000001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207.03703703703701</v>
      </c>
      <c r="BN221" s="76">
        <f t="shared" ref="BN221:BN228" si="23">IFERROR(Y221*I221/H221,"0")</f>
        <v>212.42</v>
      </c>
      <c r="BO221" s="76">
        <f t="shared" ref="BO221:BO228" si="24">IFERROR(1/J221*(X221/H221),"0")</f>
        <v>0.28058361391694725</v>
      </c>
      <c r="BP221" s="76">
        <f t="shared" ref="BP221:BP228" si="25">IFERROR(1/J221*(Y221/H221),"0")</f>
        <v>0.2878787878787879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120.37037037037035</v>
      </c>
      <c r="Y229" s="65">
        <f>IFERROR(Y221/H221,"0")+IFERROR(Y222/H222,"0")+IFERROR(Y223/H223,"0")+IFERROR(Y224/H224,"0")+IFERROR(Y225/H225,"0")+IFERROR(Y226/H226,"0")+IFERROR(Y227/H227,"0")+IFERROR(Y228/H228,"0")</f>
        <v>122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1.1004400000000001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650</v>
      </c>
      <c r="Y230" s="65">
        <f>IFERROR(SUM(Y221:Y228),"0")</f>
        <v>658.80000000000007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200</v>
      </c>
      <c r="Y232" s="69">
        <f t="shared" ref="Y232:Y240" si="26">IFERROR(IF(X232="",0,CEILING((X232/$H232),1)*$H232),"")</f>
        <v>202.5</v>
      </c>
      <c r="Z232" s="70">
        <f>IFERROR(IF(Y232=0,"",ROUNDUP(Y232/H232,0)*0.01898),"")</f>
        <v>0.47450000000000003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212.19753086419755</v>
      </c>
      <c r="BN232" s="76">
        <f t="shared" ref="BN232:BN240" si="28">IFERROR(Y232*I232/H232,"0")</f>
        <v>214.85</v>
      </c>
      <c r="BO232" s="76">
        <f t="shared" ref="BO232:BO240" si="29">IFERROR(1/J232*(X232/H232),"0")</f>
        <v>0.38580246913580246</v>
      </c>
      <c r="BP232" s="76">
        <f t="shared" ref="BP232:BP240" si="30">IFERROR(1/J232*(Y232/H232),"0")</f>
        <v>0.390625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200</v>
      </c>
      <c r="Y233" s="69">
        <f t="shared" si="26"/>
        <v>202.5</v>
      </c>
      <c r="Z233" s="70">
        <f>IFERROR(IF(Y233=0,"",ROUNDUP(Y233/H233,0)*0.01898),"")</f>
        <v>0.47450000000000003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211.75308641975309</v>
      </c>
      <c r="BN233" s="76">
        <f t="shared" si="28"/>
        <v>214.40000000000003</v>
      </c>
      <c r="BO233" s="76">
        <f t="shared" si="29"/>
        <v>0.38580246913580246</v>
      </c>
      <c r="BP233" s="76">
        <f t="shared" si="30"/>
        <v>0.390625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250</v>
      </c>
      <c r="Y234" s="69">
        <f t="shared" si="26"/>
        <v>252.29999999999998</v>
      </c>
      <c r="Z234" s="70">
        <f>IFERROR(IF(Y234=0,"",ROUNDUP(Y234/H234,0)*0.01898),"")</f>
        <v>0.55042000000000002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264.19540229885058</v>
      </c>
      <c r="BN234" s="76">
        <f t="shared" si="28"/>
        <v>266.62600000000003</v>
      </c>
      <c r="BO234" s="76">
        <f t="shared" si="29"/>
        <v>0.44899425287356326</v>
      </c>
      <c r="BP234" s="76">
        <f t="shared" si="30"/>
        <v>0.453125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300</v>
      </c>
      <c r="Y237" s="69">
        <f t="shared" si="26"/>
        <v>300</v>
      </c>
      <c r="Z237" s="70">
        <f t="shared" si="31"/>
        <v>0.81374999999999997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331.5</v>
      </c>
      <c r="BN237" s="76">
        <f t="shared" si="28"/>
        <v>331.5</v>
      </c>
      <c r="BO237" s="76">
        <f t="shared" si="29"/>
        <v>0.68681318681318682</v>
      </c>
      <c r="BP237" s="76">
        <f t="shared" si="30"/>
        <v>0.68681318681318682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300</v>
      </c>
      <c r="Y238" s="69">
        <f t="shared" si="26"/>
        <v>300</v>
      </c>
      <c r="Z238" s="70">
        <f t="shared" si="31"/>
        <v>0.81374999999999997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331.5</v>
      </c>
      <c r="BN238" s="76">
        <f t="shared" si="28"/>
        <v>331.5</v>
      </c>
      <c r="BO238" s="76">
        <f t="shared" si="29"/>
        <v>0.68681318681318682</v>
      </c>
      <c r="BP238" s="76">
        <f t="shared" si="30"/>
        <v>0.68681318681318682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200</v>
      </c>
      <c r="Y239" s="69">
        <f t="shared" si="26"/>
        <v>201.6</v>
      </c>
      <c r="Z239" s="70">
        <f t="shared" si="31"/>
        <v>0.54683999999999999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221</v>
      </c>
      <c r="BN239" s="76">
        <f t="shared" si="28"/>
        <v>222.768</v>
      </c>
      <c r="BO239" s="76">
        <f t="shared" si="29"/>
        <v>0.45787545787545797</v>
      </c>
      <c r="BP239" s="76">
        <f t="shared" si="30"/>
        <v>0.46153846153846156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200</v>
      </c>
      <c r="Y240" s="69">
        <f t="shared" si="26"/>
        <v>201.6</v>
      </c>
      <c r="Z240" s="70">
        <f t="shared" si="31"/>
        <v>0.54683999999999999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221.50000000000003</v>
      </c>
      <c r="BN240" s="76">
        <f t="shared" si="28"/>
        <v>223.27200000000002</v>
      </c>
      <c r="BO240" s="76">
        <f t="shared" si="29"/>
        <v>0.45787545787545797</v>
      </c>
      <c r="BP240" s="76">
        <f t="shared" si="30"/>
        <v>0.46153846153846156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557.28501489995745</v>
      </c>
      <c r="Y241" s="65">
        <f>IFERROR(Y232/H232,"0")+IFERROR(Y233/H233,"0")+IFERROR(Y234/H234,"0")+IFERROR(Y235/H235,"0")+IFERROR(Y236/H236,"0")+IFERROR(Y237/H237,"0")+IFERROR(Y238/H238,"0")+IFERROR(Y239/H239,"0")+IFERROR(Y240/H240,"0")</f>
        <v>560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4.6307299999999998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1800</v>
      </c>
      <c r="Y242" s="65">
        <f>IFERROR(SUM(Y232:Y240),"0")</f>
        <v>1811.6999999999998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hidden="1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0</v>
      </c>
      <c r="Y342" s="69">
        <f>IFERROR(IF(X342="",0,CEILING((X342/$H342),1)*$H342),"")</f>
        <v>0</v>
      </c>
      <c r="Z342" s="70" t="str">
        <f>IFERROR(IF(Y342=0,"",ROUNDUP(Y342/H342,0)*0.01898),"")</f>
        <v/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0</v>
      </c>
      <c r="BN342" s="76">
        <f>IFERROR(Y342*I342/H342,"0")</f>
        <v>0</v>
      </c>
      <c r="BO342" s="76">
        <f>IFERROR(1/J342*(X342/H342),"0")</f>
        <v>0</v>
      </c>
      <c r="BP342" s="76">
        <f>IFERROR(1/J342*(Y342/H342),"0")</f>
        <v>0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hidden="1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0</v>
      </c>
      <c r="Y344" s="65">
        <f>IFERROR(Y341/H341,"0")+IFERROR(Y342/H342,"0")+IFERROR(Y343/H343,"0")</f>
        <v>0</v>
      </c>
      <c r="Z344" s="65">
        <f>IFERROR(IF(Z341="",0,Z341),"0")+IFERROR(IF(Z342="",0,Z342),"0")+IFERROR(IF(Z343="",0,Z343),"0")</f>
        <v>0</v>
      </c>
      <c r="AA344" s="74"/>
      <c r="AB344" s="74"/>
      <c r="AC344" s="74"/>
    </row>
    <row r="345" spans="1:68" hidden="1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0</v>
      </c>
      <c r="Y345" s="65">
        <f>IFERROR(SUM(Y341:Y343),"0")</f>
        <v>0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50</v>
      </c>
      <c r="Y354" s="69">
        <f>IFERROR(IF(X354="",0,CEILING((X354/$H354),1)*$H354),"")</f>
        <v>50</v>
      </c>
      <c r="Z354" s="70">
        <f>IFERROR(IF(Y354=0,"",ROUNDUP(Y354/H354,0)*0.00474),"")</f>
        <v>0.11850000000000001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56.000000000000007</v>
      </c>
      <c r="BN354" s="76">
        <f>IFERROR(Y354*I354/H354,"0")</f>
        <v>56.000000000000007</v>
      </c>
      <c r="BO354" s="76">
        <f>IFERROR(1/J354*(X354/H354),"0")</f>
        <v>0.10504201680672269</v>
      </c>
      <c r="BP354" s="76">
        <f>IFERROR(1/J354*(Y354/H354),"0")</f>
        <v>0.10504201680672269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50</v>
      </c>
      <c r="Y355" s="69">
        <f>IFERROR(IF(X355="",0,CEILING((X355/$H355),1)*$H355),"")</f>
        <v>50</v>
      </c>
      <c r="Z355" s="70">
        <f>IFERROR(IF(Y355=0,"",ROUNDUP(Y355/H355,0)*0.00474),"")</f>
        <v>0.11850000000000001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56.000000000000007</v>
      </c>
      <c r="BN355" s="76">
        <f>IFERROR(Y355*I355/H355,"0")</f>
        <v>56.000000000000007</v>
      </c>
      <c r="BO355" s="76">
        <f>IFERROR(1/J355*(X355/H355),"0")</f>
        <v>0.10504201680672269</v>
      </c>
      <c r="BP355" s="76">
        <f>IFERROR(1/J355*(Y355/H355),"0")</f>
        <v>0.10504201680672269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50</v>
      </c>
      <c r="Y356" s="69">
        <f>IFERROR(IF(X356="",0,CEILING((X356/$H356),1)*$H356),"")</f>
        <v>50</v>
      </c>
      <c r="Z356" s="70">
        <f>IFERROR(IF(Y356=0,"",ROUNDUP(Y356/H356,0)*0.00474),"")</f>
        <v>0.11850000000000001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56.000000000000007</v>
      </c>
      <c r="BN356" s="76">
        <f>IFERROR(Y356*I356/H356,"0")</f>
        <v>56.000000000000007</v>
      </c>
      <c r="BO356" s="76">
        <f>IFERROR(1/J356*(X356/H356),"0")</f>
        <v>0.10504201680672269</v>
      </c>
      <c r="BP356" s="76">
        <f>IFERROR(1/J356*(Y356/H356),"0")</f>
        <v>0.10504201680672269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75</v>
      </c>
      <c r="Y357" s="65">
        <f>IFERROR(Y354/H354,"0")+IFERROR(Y355/H355,"0")+IFERROR(Y356/H356,"0")</f>
        <v>75</v>
      </c>
      <c r="Z357" s="65">
        <f>IFERROR(IF(Z354="",0,Z354),"0")+IFERROR(IF(Z355="",0,Z355),"0")+IFERROR(IF(Z356="",0,Z356),"0")</f>
        <v>0.35550000000000004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150</v>
      </c>
      <c r="Y358" s="65">
        <f>IFERROR(SUM(Y354:Y356),"0")</f>
        <v>150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hidden="1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0</v>
      </c>
      <c r="Y362" s="69">
        <f>IFERROR(IF(X362="",0,CEILING((X362/$H362),1)*$H362),"")</f>
        <v>0</v>
      </c>
      <c r="Z362" s="70" t="str">
        <f>IFERROR(IF(Y362=0,"",ROUNDUP(Y362/H362,0)*0.00651),"")</f>
        <v/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0</v>
      </c>
      <c r="BN362" s="76">
        <f>IFERROR(Y362*I362/H362,"0")</f>
        <v>0</v>
      </c>
      <c r="BO362" s="76">
        <f>IFERROR(1/J362*(X362/H362),"0")</f>
        <v>0</v>
      </c>
      <c r="BP362" s="76">
        <f>IFERROR(1/J362*(Y362/H362),"0")</f>
        <v>0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hidden="1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hidden="1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hidden="1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hidden="1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0</v>
      </c>
      <c r="Y379" s="69">
        <f>IFERROR(IF(X379="",0,CEILING((X379/$H379),1)*$H379),"")</f>
        <v>0</v>
      </c>
      <c r="Z379" s="70" t="str">
        <f>IFERROR(IF(Y379=0,"",ROUNDUP(Y379/H379,0)*0.02175),"")</f>
        <v/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0</v>
      </c>
      <c r="BN379" s="76">
        <f>IFERROR(Y379*I379/H379,"0")</f>
        <v>0</v>
      </c>
      <c r="BO379" s="76">
        <f>IFERROR(1/J379*(X379/H379),"0")</f>
        <v>0</v>
      </c>
      <c r="BP379" s="76">
        <f>IFERROR(1/J379*(Y379/H379),"0")</f>
        <v>0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hidden="1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0</v>
      </c>
      <c r="Y381" s="65">
        <f>IFERROR(Y379/H379,"0")+IFERROR(Y380/H380,"0")</f>
        <v>0</v>
      </c>
      <c r="Z381" s="65">
        <f>IFERROR(IF(Z379="",0,Z379),"0")+IFERROR(IF(Z380="",0,Z380),"0")</f>
        <v>0</v>
      </c>
      <c r="AA381" s="74"/>
      <c r="AB381" s="74"/>
      <c r="AC381" s="74"/>
    </row>
    <row r="382" spans="1:68" hidden="1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0</v>
      </c>
      <c r="Y382" s="65">
        <f>IFERROR(SUM(Y379:Y380),"0")</f>
        <v>0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100</v>
      </c>
      <c r="Y384" s="69">
        <f>IFERROR(IF(X384="",0,CEILING((X384/$H384),1)*$H384),"")</f>
        <v>108</v>
      </c>
      <c r="Z384" s="70">
        <f>IFERROR(IF(Y384=0,"",ROUNDUP(Y384/H384,0)*0.01898),"")</f>
        <v>0.22776000000000002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105.55555555555556</v>
      </c>
      <c r="BN384" s="76">
        <f>IFERROR(Y384*I384/H384,"0")</f>
        <v>114</v>
      </c>
      <c r="BO384" s="76">
        <f>IFERROR(1/J384*(X384/H384),"0")</f>
        <v>0.1736111111111111</v>
      </c>
      <c r="BP384" s="76">
        <f>IFERROR(1/J384*(Y384/H384),"0")</f>
        <v>0.1875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22.222222222222221</v>
      </c>
      <c r="Y386" s="65">
        <f>IFERROR(Y384/H384,"0")+IFERROR(Y385/H385,"0")</f>
        <v>24</v>
      </c>
      <c r="Z386" s="65">
        <f>IFERROR(IF(Z384="",0,Z384),"0")+IFERROR(IF(Z385="",0,Z385),"0")</f>
        <v>0.45552000000000004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200</v>
      </c>
      <c r="Y387" s="65">
        <f>IFERROR(SUM(Y384:Y385),"0")</f>
        <v>216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1500</v>
      </c>
      <c r="Y403" s="69">
        <f>IFERROR(IF(X403="",0,CEILING((X403/$H403),1)*$H403),"")</f>
        <v>1503</v>
      </c>
      <c r="Z403" s="70">
        <f>IFERROR(IF(Y403=0,"",ROUNDUP(Y403/H403,0)*0.01898),"")</f>
        <v>3.1696599999999999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1582.3333333333333</v>
      </c>
      <c r="BN403" s="76">
        <f>IFERROR(Y403*I403/H403,"0")</f>
        <v>1585.498</v>
      </c>
      <c r="BO403" s="76">
        <f>IFERROR(1/J403*(X403/H403),"0")</f>
        <v>2.6041666666666665</v>
      </c>
      <c r="BP403" s="76">
        <f>IFERROR(1/J403*(Y403/H403),"0")</f>
        <v>2.609375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229.16666666666666</v>
      </c>
      <c r="Y406" s="65">
        <f>IFERROR(Y403/H403,"0")+IFERROR(Y404/H404,"0")+IFERROR(Y405/H405,"0")</f>
        <v>230</v>
      </c>
      <c r="Z406" s="65">
        <f>IFERROR(IF(Z403="",0,Z403),"0")+IFERROR(IF(Z404="",0,Z404),"0")+IFERROR(IF(Z405="",0,Z405),"0")</f>
        <v>3.57979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1650</v>
      </c>
      <c r="Y407" s="65">
        <f>IFERROR(SUM(Y403:Y405),"0")</f>
        <v>1654.2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hidden="1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0</v>
      </c>
      <c r="Y452" s="69">
        <f t="shared" si="58"/>
        <v>0</v>
      </c>
      <c r="Z452" s="70" t="str">
        <f t="shared" si="59"/>
        <v/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0</v>
      </c>
      <c r="BN452" s="76">
        <f t="shared" si="61"/>
        <v>0</v>
      </c>
      <c r="BO452" s="76">
        <f t="shared" si="62"/>
        <v>0</v>
      </c>
      <c r="BP452" s="76">
        <f t="shared" si="63"/>
        <v>0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231.06060606060606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232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2.65124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1200</v>
      </c>
      <c r="Y459" s="65">
        <f>IFERROR(SUM(Y446:Y457),"0")</f>
        <v>1204.8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94.696969696969688</v>
      </c>
      <c r="Y474" s="65">
        <f>IFERROR(Y467/H467,"0")+IFERROR(Y468/H468,"0")+IFERROR(Y469/H469,"0")+IFERROR(Y470/H470,"0")+IFERROR(Y471/H471,"0")+IFERROR(Y472/H472,"0")+IFERROR(Y473/H473,"0")</f>
        <v>95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1.1362000000000001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500</v>
      </c>
      <c r="Y475" s="65">
        <f>IFERROR(SUM(Y467:Y473),"0")</f>
        <v>501.6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500</v>
      </c>
      <c r="Y493" s="69">
        <f>IFERROR(IF(X493="",0,CEILING((X493/$H493),1)*$H493),"")</f>
        <v>504</v>
      </c>
      <c r="Z493" s="70">
        <f>IFERROR(IF(Y493=0,"",ROUNDUP(Y493/H493,0)*0.01898),"")</f>
        <v>1.06288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527.44444444444446</v>
      </c>
      <c r="BN493" s="76">
        <f>IFERROR(Y493*I493/H493,"0")</f>
        <v>531.66399999999999</v>
      </c>
      <c r="BO493" s="76">
        <f>IFERROR(1/J493*(X493/H493),"0")</f>
        <v>0.86805555555555558</v>
      </c>
      <c r="BP493" s="76">
        <f>IFERROR(1/J493*(Y493/H493),"0")</f>
        <v>0.875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55.555555555555557</v>
      </c>
      <c r="Y494" s="65">
        <f>IFERROR(Y493/H493,"0")</f>
        <v>56</v>
      </c>
      <c r="Z494" s="65">
        <f>IFERROR(IF(Z493="",0,Z493),"0")</f>
        <v>1.06288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500</v>
      </c>
      <c r="Y495" s="65">
        <f>IFERROR(SUM(Y493:Y493),"0")</f>
        <v>504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8080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8170.920000000001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8702.8336919413068</v>
      </c>
      <c r="Y507" s="65">
        <f>IFERROR(SUM(BN22:BN503),"0")</f>
        <v>8799.5380000000005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15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9077.8336919413068</v>
      </c>
      <c r="Y509" s="65">
        <f>GrossWeightTotalR+PalletQtyTotalR*25</f>
        <v>9199.5380000000005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1738.5911316227409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1754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18.281129999999997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100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321.5</v>
      </c>
      <c r="F516" s="84">
        <f>IFERROR(Y94*1,"0")+IFERROR(Y95*1,"0")+IFERROR(Y96*1,"0")+IFERROR(Y97*1,"0")+IFERROR(Y101*1,"0")+IFERROR(Y102*1,"0")+IFERROR(Y103*1,"0")+IFERROR(Y104*1,"0")</f>
        <v>202.68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361.8</v>
      </c>
      <c r="H516" s="84">
        <f>IFERROR(Y136*1,"0")+IFERROR(Y137*1,"0")+IFERROR(Y141*1,"0")+IFERROR(Y142*1,"0")+IFERROR(Y146*1,"0")+IFERROR(Y147*1,"0")</f>
        <v>31.68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100.80000000000001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2470.5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150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216</v>
      </c>
      <c r="U516" s="84">
        <f>IFERROR(Y394*1,"0")+IFERROR(Y395*1,"0")+IFERROR(Y399*1,"0")+IFERROR(Y403*1,"0")+IFERROR(Y404*1,"0")+IFERROR(Y405*1,"0")</f>
        <v>1654.2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2007.3600000000001</v>
      </c>
      <c r="Z516" s="84">
        <f>IFERROR(Y479*1,"0")+IFERROR(Y480*1,"0")+IFERROR(Y481*1,"0")+IFERROR(Y485*1,"0")+IFERROR(Y489*1,"0")+IFERROR(Y493*1,"0")+IFERROR(Y497*1,"0")+IFERROR(Y498*1,"0")</f>
        <v>504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200,00"/>
        <filter val="1 500,00"/>
        <filter val="1 650,00"/>
        <filter val="1 738,59"/>
        <filter val="1 800,00"/>
        <filter val="100,00"/>
        <filter val="11,36"/>
        <filter val="120,37"/>
        <filter val="15"/>
        <filter val="150,00"/>
        <filter val="200,00"/>
        <filter val="22,22"/>
        <filter val="229,17"/>
        <filter val="23,81"/>
        <filter val="231,06"/>
        <filter val="25,00"/>
        <filter val="250,00"/>
        <filter val="30,00"/>
        <filter val="300,00"/>
        <filter val="35,95"/>
        <filter val="4,63"/>
        <filter val="50,00"/>
        <filter val="500,00"/>
        <filter val="55,56"/>
        <filter val="557,29"/>
        <filter val="56,82"/>
        <filter val="650,00"/>
        <filter val="75,00"/>
        <filter val="8 080,00"/>
        <filter val="8 702,83"/>
        <filter val="80,81"/>
        <filter val="86,42"/>
        <filter val="9 077,83"/>
        <filter val="94,7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/>
</ds:datastoreItem>
</file>

<file path=customXml/itemProps2.xml><?xml version="1.0" encoding="utf-8"?>
<ds:datastoreItem xmlns:ds="http://schemas.openxmlformats.org/officeDocument/2006/customXml" ds:itemID="{36407DDB-7AD7-47BE-9510-621E920C3D44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2026-08-26T13:43:18Z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