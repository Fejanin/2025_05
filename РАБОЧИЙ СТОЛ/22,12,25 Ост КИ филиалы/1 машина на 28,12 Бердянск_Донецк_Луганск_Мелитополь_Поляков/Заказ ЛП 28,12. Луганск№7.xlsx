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1 машина на 28,12 Бердянск_Донецк_Луганск_Мелитополь_Поляков\"/>
    </mc:Choice>
  </mc:AlternateContent>
  <xr:revisionPtr revIDLastSave="0" documentId="13_ncr:1_{E241EB85-2A51-4847-A568-F3E1123F5D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<sst xmlns="http://schemas.openxmlformats.org/spreadsheetml/2006/main" count="256" uniqueCount="146">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</sst>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46019</v>
      </c>
      <c r="E3" s="7" t="s">
        <v>3</v>
      </c>
      <c r="F3" s="83">
        <v>46021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54</v>
      </c>
      <c r="F12" s="23">
        <v>1.3340000000000001</v>
      </c>
      <c r="G12" s="23">
        <f>E12</f>
        <v>54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213</v>
      </c>
      <c r="F13" s="23">
        <v>0.4</v>
      </c>
      <c r="G13" s="23">
        <f>E13*F13</f>
        <v>85.2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182</v>
      </c>
      <c r="F15" s="23">
        <v>1.35</v>
      </c>
      <c r="G15" s="23">
        <f>E15</f>
        <v>182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186</v>
      </c>
      <c r="F22" s="23">
        <v>1.35</v>
      </c>
      <c r="G22" s="23">
        <f>E22</f>
        <v>186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162</v>
      </c>
      <c r="F23" s="23">
        <v>0.4</v>
      </c>
      <c r="G23" s="23">
        <f>E23*F23</f>
        <v>64.8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53</v>
      </c>
      <c r="F24" s="23">
        <v>1.3540000000000001</v>
      </c>
      <c r="G24" s="23">
        <f>E24</f>
        <v>53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111</v>
      </c>
      <c r="F25" s="23">
        <v>0.4</v>
      </c>
      <c r="G25" s="23">
        <f>E25*F25</f>
        <v>44.400000000000006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>
        <v>30</v>
      </c>
      <c r="F26" s="23">
        <v>0.4</v>
      </c>
      <c r="G26" s="23">
        <f>E26*F26</f>
        <v>12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95</v>
      </c>
      <c r="F27" s="23">
        <v>0.4</v>
      </c>
      <c r="G27" s="23">
        <f>E27*F27</f>
        <v>38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19</v>
      </c>
      <c r="F28" s="23">
        <v>0.3</v>
      </c>
      <c r="G28" s="23">
        <f>E28*F28</f>
        <v>5.7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52</v>
      </c>
      <c r="F29" s="23">
        <v>0.4</v>
      </c>
      <c r="G29" s="23">
        <f>E29*F29</f>
        <v>20.8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120</v>
      </c>
      <c r="F30" s="23">
        <v>1</v>
      </c>
      <c r="G30" s="23">
        <f>E30</f>
        <v>120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>
        <v>90</v>
      </c>
      <c r="F36" s="67">
        <v>0.4</v>
      </c>
      <c r="G36" s="23">
        <f>E36*F36</f>
        <v>36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>
        <v>16</v>
      </c>
      <c r="F37" s="23">
        <v>0.35</v>
      </c>
      <c r="G37" s="23">
        <f>E37*F37</f>
        <v>5.6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21</v>
      </c>
      <c r="F38" s="23">
        <v>1.05</v>
      </c>
      <c r="G38" s="23">
        <f>E38</f>
        <v>21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22</v>
      </c>
      <c r="F43" s="23">
        <v>0.3</v>
      </c>
      <c r="G43" s="23">
        <f>E43*F43</f>
        <v>6.6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14</v>
      </c>
      <c r="F44" s="23">
        <v>2.125</v>
      </c>
      <c r="G44" s="23">
        <f>E44</f>
        <v>14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132</v>
      </c>
      <c r="F48" s="23">
        <v>0.4</v>
      </c>
      <c r="G48" s="23">
        <f>E48*F48</f>
        <v>52.800000000000004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301</v>
      </c>
      <c r="F49" s="23">
        <v>0.41</v>
      </c>
      <c r="G49" s="23">
        <f>E49*F49</f>
        <v>123.41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62</v>
      </c>
      <c r="F50" s="23">
        <v>0.4</v>
      </c>
      <c r="G50" s="23">
        <f>E50*F50</f>
        <v>24.8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218</v>
      </c>
      <c r="F53" s="23">
        <v>1.0249999999999999</v>
      </c>
      <c r="G53" s="23">
        <f>E53</f>
        <v>218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>
        <v>129</v>
      </c>
      <c r="F56" s="23">
        <v>0.41</v>
      </c>
      <c r="G56" s="23">
        <f>F56*E56</f>
        <v>52.889999999999993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49</v>
      </c>
      <c r="F58" s="23">
        <v>0.41</v>
      </c>
      <c r="G58" s="23">
        <f>E58*F58</f>
        <v>20.09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19</v>
      </c>
      <c r="F60" s="23">
        <v>0.41</v>
      </c>
      <c r="G60" s="23">
        <f>E60*F60</f>
        <v>7.7899999999999991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58</v>
      </c>
      <c r="F62" s="75">
        <v>0.98699999999999999</v>
      </c>
      <c r="G62" s="23">
        <f>E62</f>
        <v>58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33</v>
      </c>
      <c r="F63" s="23">
        <v>1</v>
      </c>
      <c r="G63" s="23">
        <f>E63</f>
        <v>33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8</v>
      </c>
      <c r="F64" s="23">
        <v>1</v>
      </c>
      <c r="G64" s="23">
        <f>E64</f>
        <v>8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>
        <v>121</v>
      </c>
      <c r="F65" s="23">
        <v>0.99</v>
      </c>
      <c r="G65" s="23">
        <f>E65</f>
        <v>121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80</v>
      </c>
      <c r="F68" s="23">
        <v>0.1</v>
      </c>
      <c r="G68" s="23">
        <f t="shared" si="3"/>
        <v>8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88</v>
      </c>
      <c r="F69" s="23">
        <v>0.28000000000000003</v>
      </c>
      <c r="G69" s="23">
        <f t="shared" si="3"/>
        <v>24.64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253</v>
      </c>
      <c r="F71" s="23">
        <v>0.28000000000000003</v>
      </c>
      <c r="G71" s="23">
        <f t="shared" si="3"/>
        <v>70.84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148</v>
      </c>
      <c r="F72" s="23">
        <v>0.35</v>
      </c>
      <c r="G72" s="23">
        <f t="shared" si="3"/>
        <v>51.8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72</v>
      </c>
      <c r="F73" s="75">
        <v>0.33</v>
      </c>
      <c r="G73" s="23">
        <f t="shared" si="3"/>
        <v>23.76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80</v>
      </c>
      <c r="F74" s="23">
        <v>0.35</v>
      </c>
      <c r="G74" s="23">
        <f t="shared" si="3"/>
        <v>28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42</v>
      </c>
      <c r="F75" s="23">
        <v>0.28000000000000003</v>
      </c>
      <c r="G75" s="23">
        <f t="shared" si="3"/>
        <v>11.760000000000002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3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246</v>
      </c>
      <c r="F78" s="23">
        <v>0.35</v>
      </c>
      <c r="G78" s="23">
        <f t="shared" si="3"/>
        <v>86.1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213</v>
      </c>
      <c r="F79" s="23">
        <v>1</v>
      </c>
      <c r="G79" s="23">
        <f>E79</f>
        <v>213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84</v>
      </c>
      <c r="F80" s="23">
        <v>0.83399999999999996</v>
      </c>
      <c r="G80" s="23">
        <f>E80</f>
        <v>84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>
        <v>80</v>
      </c>
      <c r="F85" s="23">
        <v>0.33</v>
      </c>
      <c r="G85" s="23">
        <f>E85*F85</f>
        <v>26.400000000000002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>
        <v>40</v>
      </c>
      <c r="F91" s="23">
        <v>0.33</v>
      </c>
      <c r="G91" s="23">
        <f>E91*F91</f>
        <v>13.200000000000001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122</v>
      </c>
      <c r="F93" s="67">
        <v>0.22</v>
      </c>
      <c r="G93" s="23">
        <f>E93*F93</f>
        <v>26.84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423</v>
      </c>
      <c r="F96" s="23">
        <v>0.1</v>
      </c>
      <c r="G96" s="23">
        <f>E96*F96</f>
        <v>42.300000000000004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43</v>
      </c>
      <c r="F97" s="23">
        <v>0.25</v>
      </c>
      <c r="G97" s="23">
        <f>E97*F97</f>
        <v>10.75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>
        <v>81</v>
      </c>
      <c r="F101" s="23">
        <v>0.25</v>
      </c>
      <c r="G101" s="23">
        <f t="shared" ref="G101:G110" si="5">E101*F101</f>
        <v>20.25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7382</v>
      </c>
      <c r="B103" s="80" t="s">
        <v>117</v>
      </c>
      <c r="C103" s="73" t="s">
        <v>22</v>
      </c>
      <c r="D103" s="74">
        <v>1001203117382</v>
      </c>
      <c r="E103" s="24">
        <v>13</v>
      </c>
      <c r="F103" s="23">
        <v>0.12</v>
      </c>
      <c r="G103" s="23">
        <f t="shared" si="5"/>
        <v>1.56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/>
      <c r="F110" s="23">
        <v>0.09</v>
      </c>
      <c r="G110" s="23">
        <f t="shared" si="5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>
        <v>68</v>
      </c>
      <c r="F112" s="23">
        <v>0.25</v>
      </c>
      <c r="G112" s="23">
        <f>E112*F112</f>
        <v>17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>
        <v>303</v>
      </c>
      <c r="F113" s="23">
        <v>0.1</v>
      </c>
      <c r="G113" s="23">
        <f>E113*F113</f>
        <v>30.3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>
        <v>134</v>
      </c>
      <c r="F114" s="23">
        <v>0.09</v>
      </c>
      <c r="G114" s="23">
        <f>E114*F114</f>
        <v>12.059999999999999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>
        <v>4</v>
      </c>
      <c r="F115" s="23">
        <v>0.51300000000000001</v>
      </c>
      <c r="G115" s="23">
        <f>E115</f>
        <v>4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>
        <v>9</v>
      </c>
      <c r="F117" s="23"/>
      <c r="G117" s="23">
        <f>E117</f>
        <v>9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77</v>
      </c>
      <c r="F118" s="23">
        <v>0.4</v>
      </c>
      <c r="G118" s="23">
        <f>E118*F118</f>
        <v>30.8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>
        <v>92</v>
      </c>
      <c r="F119" s="23">
        <v>1.367</v>
      </c>
      <c r="G119" s="23">
        <f>E119</f>
        <v>92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>
        <v>139</v>
      </c>
      <c r="F120" s="23">
        <v>0.4</v>
      </c>
      <c r="G120" s="23">
        <f>E120*F120</f>
        <v>55.6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>
        <v>14</v>
      </c>
      <c r="F125" s="23">
        <v>0.15</v>
      </c>
      <c r="G125" s="23">
        <f>F125*E125</f>
        <v>2.1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>
        <v>60</v>
      </c>
      <c r="F127" s="23">
        <v>0.3</v>
      </c>
      <c r="G127" s="23">
        <f>E127*F127</f>
        <v>18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>
        <v>43</v>
      </c>
      <c r="F128" s="23">
        <v>0.3</v>
      </c>
      <c r="G128" s="23">
        <f>E128*F128</f>
        <v>12.9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>
        <v>154</v>
      </c>
      <c r="F129" s="75">
        <v>0.18</v>
      </c>
      <c r="G129" s="23">
        <f>E129*F129</f>
        <v>27.72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5775</v>
      </c>
      <c r="F131" s="17"/>
      <c r="G131" s="17">
        <f>SUM(G11:G130)</f>
        <v>2723.56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2025-12-23T11:27:07Z</dcterms:modified>
</cp:coreProperties>
</file>