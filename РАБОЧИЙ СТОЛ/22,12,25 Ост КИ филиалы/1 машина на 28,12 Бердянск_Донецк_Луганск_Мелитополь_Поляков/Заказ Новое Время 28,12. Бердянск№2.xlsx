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КИ филиалы\1 машина на 28,12 Бердянск_Донецк_Луганск_Мелитополь_Поляков\"/>
    </mc:Choice>
  </mc:AlternateContent>
  <xr:revisionPtr revIDLastSave="0" documentId="13_ncr:1_{3C626179-5AEE-4ED9-A7EB-AA30D60F15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2" i="1" s="1"/>
  <c r="A11" i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<sst xmlns="http://schemas.openxmlformats.org/spreadsheetml/2006/main" count="257" uniqueCount="146">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</sst>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F4" sqref="F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46019</v>
      </c>
      <c r="E3" s="7" t="s">
        <v>3</v>
      </c>
      <c r="F3" s="84">
        <v>46021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111</v>
      </c>
      <c r="F12" s="23">
        <v>1.3340000000000001</v>
      </c>
      <c r="G12" s="23">
        <f>E12</f>
        <v>111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53</v>
      </c>
      <c r="F22" s="23">
        <v>1.35</v>
      </c>
      <c r="G22" s="23">
        <f>E22</f>
        <v>53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350</v>
      </c>
      <c r="F23" s="23">
        <v>0.4</v>
      </c>
      <c r="G23" s="23">
        <f>E23*F23</f>
        <v>140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28</v>
      </c>
      <c r="F24" s="23">
        <v>1.3540000000000001</v>
      </c>
      <c r="G24" s="23">
        <f>E24</f>
        <v>28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100</v>
      </c>
      <c r="F25" s="23">
        <v>0.4</v>
      </c>
      <c r="G25" s="23">
        <f>E25*F25</f>
        <v>40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83">
        <v>1001016747343</v>
      </c>
      <c r="E26" s="24">
        <v>16</v>
      </c>
      <c r="F26" s="23">
        <v>0.4</v>
      </c>
      <c r="G26" s="23">
        <f>E26*F26</f>
        <v>6.4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151</v>
      </c>
      <c r="F30" s="23">
        <v>1</v>
      </c>
      <c r="G30" s="23">
        <f>E30</f>
        <v>151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49</v>
      </c>
      <c r="C36" s="65" t="s">
        <v>32</v>
      </c>
      <c r="D36" s="66">
        <v>1001025507255</v>
      </c>
      <c r="E36" s="24">
        <v>50</v>
      </c>
      <c r="F36" s="67">
        <v>0.4</v>
      </c>
      <c r="G36" s="23">
        <f>E36*F36</f>
        <v>20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68" si="2">RIGHT(D37,4)</f>
        <v>6602</v>
      </c>
      <c r="B37" s="80" t="s">
        <v>50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>
        <v>100</v>
      </c>
      <c r="F39" s="23">
        <v>0.4</v>
      </c>
      <c r="G39" s="23">
        <f t="shared" ref="G39:G44" si="3">E39*F39</f>
        <v>40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6837</v>
      </c>
      <c r="B40" s="36" t="s">
        <v>53</v>
      </c>
      <c r="C40" s="73" t="s">
        <v>21</v>
      </c>
      <c r="D40" s="74">
        <v>1001022556837</v>
      </c>
      <c r="E40" s="24"/>
      <c r="F40" s="23">
        <v>0.4</v>
      </c>
      <c r="G40" s="23">
        <f t="shared" si="3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6762</v>
      </c>
      <c r="B41" s="36" t="s">
        <v>54</v>
      </c>
      <c r="C41" s="73" t="s">
        <v>21</v>
      </c>
      <c r="D41" s="74">
        <v>1001020846762</v>
      </c>
      <c r="E41" s="24"/>
      <c r="F41" s="23">
        <v>0.41</v>
      </c>
      <c r="G41" s="23">
        <f t="shared" si="3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6765</v>
      </c>
      <c r="B42" s="36" t="s">
        <v>55</v>
      </c>
      <c r="C42" s="73" t="s">
        <v>21</v>
      </c>
      <c r="D42" s="74">
        <v>1001023696765</v>
      </c>
      <c r="E42" s="24"/>
      <c r="F42" s="23">
        <v>0.36</v>
      </c>
      <c r="G42" s="23">
        <f t="shared" si="3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6759</v>
      </c>
      <c r="B43" s="36" t="s">
        <v>56</v>
      </c>
      <c r="C43" s="73" t="s">
        <v>21</v>
      </c>
      <c r="D43" s="74">
        <v>1001020836759</v>
      </c>
      <c r="E43" s="24"/>
      <c r="F43" s="23">
        <v>0.4</v>
      </c>
      <c r="G43" s="23">
        <f t="shared" si="3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2"/>
        <v>6616</v>
      </c>
      <c r="B44" s="36" t="s">
        <v>57</v>
      </c>
      <c r="C44" s="73" t="s">
        <v>21</v>
      </c>
      <c r="D44" s="74">
        <v>1001024976616</v>
      </c>
      <c r="E44" s="24">
        <v>181</v>
      </c>
      <c r="F44" s="23">
        <v>0.3</v>
      </c>
      <c r="G44" s="23">
        <f t="shared" si="3"/>
        <v>54.3</v>
      </c>
      <c r="H44" s="14"/>
      <c r="I44" s="14"/>
      <c r="J44" s="29"/>
      <c r="K44" s="27"/>
    </row>
    <row r="45" spans="1:11" ht="16.5" customHeight="1" x14ac:dyDescent="0.25">
      <c r="A45" s="60" t="str">
        <f t="shared" si="2"/>
        <v>7082</v>
      </c>
      <c r="B45" s="35" t="s">
        <v>58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2"/>
        <v>6767</v>
      </c>
      <c r="B46" s="35" t="s">
        <v>59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2"/>
        <v>7070</v>
      </c>
      <c r="B47" s="35" t="s">
        <v>60</v>
      </c>
      <c r="C47" s="73" t="s">
        <v>23</v>
      </c>
      <c r="D47" s="74">
        <v>1001022377070</v>
      </c>
      <c r="E47" s="24">
        <v>115</v>
      </c>
      <c r="F47" s="23"/>
      <c r="G47" s="23">
        <f>E47</f>
        <v>115</v>
      </c>
      <c r="H47" s="14"/>
      <c r="I47" s="14"/>
      <c r="J47" s="29"/>
    </row>
    <row r="48" spans="1:11" s="15" customFormat="1" ht="16.5" customHeight="1" x14ac:dyDescent="0.25">
      <c r="A48" s="60" t="str">
        <f t="shared" si="2"/>
        <v>6661</v>
      </c>
      <c r="B48" s="53" t="s">
        <v>61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2"/>
        <v>6475</v>
      </c>
      <c r="B49" s="80" t="s">
        <v>62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2"/>
        <v>6713</v>
      </c>
      <c r="B50" s="57" t="s">
        <v>63</v>
      </c>
      <c r="C50" s="54" t="s">
        <v>21</v>
      </c>
      <c r="D50" s="55">
        <v>1001022246713</v>
      </c>
      <c r="E50" s="24">
        <v>241</v>
      </c>
      <c r="F50" s="23">
        <v>0.41</v>
      </c>
      <c r="G50" s="23">
        <f>E50*F50</f>
        <v>98.809999999999988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2"/>
        <v>7257</v>
      </c>
      <c r="B51" s="52" t="s">
        <v>64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2"/>
        <v>7284</v>
      </c>
      <c r="B52" s="82" t="s">
        <v>65</v>
      </c>
      <c r="C52" s="73" t="s">
        <v>21</v>
      </c>
      <c r="D52" s="74">
        <v>1001025767284</v>
      </c>
      <c r="E52" s="24">
        <v>6</v>
      </c>
      <c r="F52" s="23">
        <v>0.33</v>
      </c>
      <c r="G52" s="23">
        <f>E52*F52</f>
        <v>1.98</v>
      </c>
      <c r="H52" s="14"/>
      <c r="I52" s="14"/>
      <c r="J52" s="29"/>
    </row>
    <row r="53" spans="1:11" ht="16.5" customHeight="1" x14ac:dyDescent="0.25">
      <c r="A53" s="60" t="str">
        <f t="shared" si="2"/>
        <v>6764</v>
      </c>
      <c r="B53" s="52" t="s">
        <v>66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2"/>
        <v>6829</v>
      </c>
      <c r="B54" s="57" t="s">
        <v>67</v>
      </c>
      <c r="C54" s="54" t="s">
        <v>23</v>
      </c>
      <c r="D54" s="55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2"/>
        <v>7075</v>
      </c>
      <c r="B55" s="82" t="s">
        <v>68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2"/>
        <v>7073</v>
      </c>
      <c r="B56" s="82" t="s">
        <v>69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2"/>
        <v>6724</v>
      </c>
      <c r="B57" s="82" t="s">
        <v>70</v>
      </c>
      <c r="C57" s="73" t="s">
        <v>21</v>
      </c>
      <c r="D57" s="74">
        <v>1001020836724</v>
      </c>
      <c r="E57" s="24">
        <v>142</v>
      </c>
      <c r="F57" s="23">
        <v>0.41</v>
      </c>
      <c r="G57" s="23">
        <f>F57*E57</f>
        <v>58.22</v>
      </c>
      <c r="H57" s="14"/>
      <c r="I57" s="14"/>
      <c r="J57" s="29"/>
    </row>
    <row r="58" spans="1:11" ht="16.5" customHeight="1" x14ac:dyDescent="0.25">
      <c r="A58" s="60" t="str">
        <f t="shared" si="2"/>
        <v>6761</v>
      </c>
      <c r="B58" s="52" t="s">
        <v>71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2"/>
        <v>7080</v>
      </c>
      <c r="B59" s="57" t="s">
        <v>72</v>
      </c>
      <c r="C59" s="54" t="s">
        <v>21</v>
      </c>
      <c r="D59" s="55">
        <v>1001022467080</v>
      </c>
      <c r="E59" s="24">
        <v>45</v>
      </c>
      <c r="F59" s="23">
        <v>0.41</v>
      </c>
      <c r="G59" s="23">
        <f>E59*F59</f>
        <v>18.45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2"/>
        <v>7276</v>
      </c>
      <c r="B60" s="57" t="s">
        <v>73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2"/>
        <v>7066</v>
      </c>
      <c r="B61" s="57" t="s">
        <v>74</v>
      </c>
      <c r="C61" s="54" t="s">
        <v>21</v>
      </c>
      <c r="D61" s="55">
        <v>1001022377066</v>
      </c>
      <c r="E61" s="24">
        <v>100</v>
      </c>
      <c r="F61" s="23">
        <v>0.41</v>
      </c>
      <c r="G61" s="23">
        <f>E61*F61</f>
        <v>41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2"/>
        <v/>
      </c>
      <c r="B62" s="47" t="s">
        <v>75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2"/>
        <v>7001</v>
      </c>
      <c r="B63" s="81" t="s">
        <v>76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2"/>
        <v>6527</v>
      </c>
      <c r="B64" s="82" t="s">
        <v>77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2"/>
        <v>6550</v>
      </c>
      <c r="B65" s="52" t="s">
        <v>78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2"/>
        <v>6608</v>
      </c>
      <c r="B66" s="52" t="s">
        <v>79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2"/>
        <v/>
      </c>
      <c r="B67" s="47" t="s">
        <v>80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2"/>
        <v>6586</v>
      </c>
      <c r="B68" s="80" t="s">
        <v>81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ref="A69:A100" si="5">RIGHT(D69,4)</f>
        <v>6459</v>
      </c>
      <c r="B69" s="80" t="s">
        <v>82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si="5"/>
        <v>7232</v>
      </c>
      <c r="B70" s="51" t="s">
        <v>83</v>
      </c>
      <c r="C70" s="73" t="s">
        <v>21</v>
      </c>
      <c r="D70" s="74">
        <v>1001302277232</v>
      </c>
      <c r="E70" s="24"/>
      <c r="F70" s="23">
        <v>0.28000000000000003</v>
      </c>
      <c r="G70" s="23">
        <f t="shared" si="4"/>
        <v>0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84</v>
      </c>
      <c r="C71" s="73" t="s">
        <v>21</v>
      </c>
      <c r="D71" s="74">
        <v>1001301777332</v>
      </c>
      <c r="E71" s="24">
        <v>39</v>
      </c>
      <c r="F71" s="23">
        <v>0.28000000000000003</v>
      </c>
      <c r="G71" s="23">
        <f t="shared" si="4"/>
        <v>10.920000000000002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85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86</v>
      </c>
      <c r="C73" s="73" t="s">
        <v>21</v>
      </c>
      <c r="D73" s="74">
        <v>1001300387154</v>
      </c>
      <c r="E73" s="24">
        <v>75</v>
      </c>
      <c r="F73" s="23">
        <v>0.35</v>
      </c>
      <c r="G73" s="23">
        <f t="shared" si="4"/>
        <v>26.25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87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88</v>
      </c>
      <c r="C75" s="73" t="s">
        <v>21</v>
      </c>
      <c r="D75" s="74">
        <v>1001301876697</v>
      </c>
      <c r="E75" s="24"/>
      <c r="F75" s="23">
        <v>0.35</v>
      </c>
      <c r="G75" s="23">
        <f t="shared" si="4"/>
        <v>0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89</v>
      </c>
      <c r="C76" s="73" t="s">
        <v>21</v>
      </c>
      <c r="D76" s="74">
        <v>1001304497237</v>
      </c>
      <c r="E76" s="24">
        <v>64</v>
      </c>
      <c r="F76" s="23">
        <v>0.28000000000000003</v>
      </c>
      <c r="G76" s="23">
        <f t="shared" si="4"/>
        <v>17.920000000000002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90</v>
      </c>
      <c r="C77" s="54" t="s">
        <v>21</v>
      </c>
      <c r="D77" s="55">
        <v>1001304507236</v>
      </c>
      <c r="E77" s="24"/>
      <c r="F77" s="23">
        <v>0.28000000000000003</v>
      </c>
      <c r="G77" s="23">
        <f t="shared" si="4"/>
        <v>0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91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92</v>
      </c>
      <c r="C79" s="54" t="s">
        <v>32</v>
      </c>
      <c r="D79" s="55">
        <v>1001303987169</v>
      </c>
      <c r="E79" s="24">
        <v>450</v>
      </c>
      <c r="F79" s="23">
        <v>0.35</v>
      </c>
      <c r="G79" s="23">
        <f t="shared" si="4"/>
        <v>157.5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93</v>
      </c>
      <c r="C80" s="73" t="s">
        <v>23</v>
      </c>
      <c r="D80" s="74">
        <v>1001303987166</v>
      </c>
      <c r="E80" s="24">
        <v>175</v>
      </c>
      <c r="F80" s="23">
        <v>1</v>
      </c>
      <c r="G80" s="23">
        <f>E80</f>
        <v>175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94</v>
      </c>
      <c r="C81" s="73" t="s">
        <v>23</v>
      </c>
      <c r="D81" s="74">
        <v>1001051875544</v>
      </c>
      <c r="E81" s="24"/>
      <c r="F81" s="23">
        <v>0.83399999999999996</v>
      </c>
      <c r="G81" s="23">
        <f>E81</f>
        <v>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95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96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97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98</v>
      </c>
      <c r="C85" s="73" t="s">
        <v>23</v>
      </c>
      <c r="D85" s="74">
        <v>1001300387157</v>
      </c>
      <c r="E85" s="24">
        <v>30</v>
      </c>
      <c r="F85" s="23">
        <v>1</v>
      </c>
      <c r="G85" s="23">
        <f>E85</f>
        <v>30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99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100</v>
      </c>
      <c r="C87" s="73" t="s">
        <v>23</v>
      </c>
      <c r="D87" s="74">
        <v>1001303637131</v>
      </c>
      <c r="E87" s="24">
        <v>21</v>
      </c>
      <c r="F87" s="23">
        <v>1</v>
      </c>
      <c r="G87" s="23">
        <f>E87</f>
        <v>21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101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102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103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104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105</v>
      </c>
      <c r="C92" s="73" t="s">
        <v>21</v>
      </c>
      <c r="D92" s="74">
        <v>1001300366807</v>
      </c>
      <c r="E92" s="24">
        <v>10</v>
      </c>
      <c r="F92" s="23">
        <v>0.33</v>
      </c>
      <c r="G92" s="23">
        <f>E92*F92</f>
        <v>3.3000000000000003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106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107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108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109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110</v>
      </c>
      <c r="C97" s="73" t="s">
        <v>32</v>
      </c>
      <c r="D97" s="74">
        <v>1001201976454</v>
      </c>
      <c r="E97" s="24">
        <v>86</v>
      </c>
      <c r="F97" s="23">
        <v>0.1</v>
      </c>
      <c r="G97" s="23">
        <f>E97*F97</f>
        <v>8.6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111</v>
      </c>
      <c r="C98" s="73" t="s">
        <v>32</v>
      </c>
      <c r="D98" s="74">
        <v>1001061973986</v>
      </c>
      <c r="E98" s="24"/>
      <c r="F98" s="23">
        <v>0.25</v>
      </c>
      <c r="G98" s="23">
        <f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112</v>
      </c>
      <c r="C99" s="73" t="s">
        <v>23</v>
      </c>
      <c r="D99" s="74">
        <v>1001063145708</v>
      </c>
      <c r="E99" s="24">
        <v>10</v>
      </c>
      <c r="F99" s="23">
        <v>0.52500000000000002</v>
      </c>
      <c r="G99" s="23">
        <f>E99</f>
        <v>10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113</v>
      </c>
      <c r="C100" s="73" t="s">
        <v>23</v>
      </c>
      <c r="D100" s="74">
        <v>1001065616832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ref="A101:A131" si="6">RIGHT(D101,4)</f>
        <v>7299</v>
      </c>
      <c r="B101" s="80" t="s">
        <v>114</v>
      </c>
      <c r="C101" s="73" t="s">
        <v>23</v>
      </c>
      <c r="D101" s="74">
        <v>1001060677299</v>
      </c>
      <c r="E101" s="24"/>
      <c r="F101" s="23"/>
      <c r="G101" s="23">
        <f>E101</f>
        <v>0</v>
      </c>
      <c r="H101" s="14"/>
      <c r="I101" s="14"/>
      <c r="J101" s="29"/>
    </row>
    <row r="102" spans="1:10" ht="16.5" customHeight="1" x14ac:dyDescent="0.25">
      <c r="A102" s="60" t="str">
        <f t="shared" si="6"/>
        <v>4993</v>
      </c>
      <c r="B102" s="80" t="s">
        <v>115</v>
      </c>
      <c r="C102" s="73" t="s">
        <v>32</v>
      </c>
      <c r="D102" s="74">
        <v>1001060764993</v>
      </c>
      <c r="E102" s="24"/>
      <c r="F102" s="23">
        <v>0.25</v>
      </c>
      <c r="G102" s="23">
        <f t="shared" ref="G102:G111" si="7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6"/>
        <v>6967</v>
      </c>
      <c r="B103" s="80" t="s">
        <v>116</v>
      </c>
      <c r="C103" s="73" t="s">
        <v>32</v>
      </c>
      <c r="D103" s="74">
        <v>1001063656967</v>
      </c>
      <c r="E103" s="24">
        <v>49</v>
      </c>
      <c r="F103" s="23">
        <v>0.25</v>
      </c>
      <c r="G103" s="23">
        <f t="shared" si="7"/>
        <v>12.25</v>
      </c>
      <c r="H103" s="14"/>
      <c r="I103" s="14"/>
      <c r="J103" s="29"/>
    </row>
    <row r="104" spans="1:10" ht="16.5" customHeight="1" x14ac:dyDescent="0.25">
      <c r="A104" s="60" t="str">
        <f t="shared" si="6"/>
        <v>7382</v>
      </c>
      <c r="B104" s="80" t="s">
        <v>117</v>
      </c>
      <c r="C104" s="73" t="s">
        <v>21</v>
      </c>
      <c r="D104" s="74">
        <v>1001203117382</v>
      </c>
      <c r="E104" s="24"/>
      <c r="F104" s="23">
        <v>0.12</v>
      </c>
      <c r="G104" s="23">
        <f t="shared" si="7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6"/>
        <v>7147</v>
      </c>
      <c r="B105" s="80" t="s">
        <v>118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6"/>
        <v>7229</v>
      </c>
      <c r="B106" s="80" t="s">
        <v>119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6"/>
        <v>7150</v>
      </c>
      <c r="B107" s="80" t="s">
        <v>120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6"/>
        <v>7227</v>
      </c>
      <c r="B108" s="80" t="s">
        <v>121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6"/>
        <v>7225</v>
      </c>
      <c r="B109" s="80" t="s">
        <v>122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6"/>
        <v>7228</v>
      </c>
      <c r="B110" s="80" t="s">
        <v>123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6"/>
        <v>6221</v>
      </c>
      <c r="B111" s="80" t="s">
        <v>124</v>
      </c>
      <c r="C111" s="73" t="s">
        <v>21</v>
      </c>
      <c r="D111" s="74">
        <v>1001205376221</v>
      </c>
      <c r="E111" s="24"/>
      <c r="F111" s="23">
        <v>0.09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6"/>
        <v>4117</v>
      </c>
      <c r="B112" s="80" t="s">
        <v>125</v>
      </c>
      <c r="C112" s="73" t="s">
        <v>23</v>
      </c>
      <c r="D112" s="74">
        <v>1001062504117</v>
      </c>
      <c r="E112" s="24">
        <v>10</v>
      </c>
      <c r="F112" s="23">
        <v>0.50700000000000001</v>
      </c>
      <c r="G112" s="23">
        <f>E112</f>
        <v>10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6"/>
        <v>5483</v>
      </c>
      <c r="B113" s="80" t="s">
        <v>126</v>
      </c>
      <c r="C113" s="73" t="s">
        <v>21</v>
      </c>
      <c r="D113" s="74">
        <v>1001062505483</v>
      </c>
      <c r="E113" s="24">
        <v>35</v>
      </c>
      <c r="F113" s="23">
        <v>0.25</v>
      </c>
      <c r="G113" s="23">
        <f>E113*F113</f>
        <v>8.75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6"/>
        <v>6453</v>
      </c>
      <c r="B114" s="80" t="s">
        <v>127</v>
      </c>
      <c r="C114" s="73" t="s">
        <v>32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6"/>
        <v>6228</v>
      </c>
      <c r="B115" s="80" t="s">
        <v>128</v>
      </c>
      <c r="C115" s="73" t="s">
        <v>32</v>
      </c>
      <c r="D115" s="74">
        <v>1001225416228</v>
      </c>
      <c r="E115" s="24">
        <v>10</v>
      </c>
      <c r="F115" s="23">
        <v>0.09</v>
      </c>
      <c r="G115" s="23">
        <f>E115*F115</f>
        <v>0.89999999999999991</v>
      </c>
      <c r="H115" s="14"/>
      <c r="I115" s="14"/>
      <c r="J115" s="29"/>
    </row>
    <row r="116" spans="1:10" ht="16.5" customHeight="1" thickBot="1" x14ac:dyDescent="0.3">
      <c r="A116" s="60" t="str">
        <f t="shared" si="6"/>
        <v>3287</v>
      </c>
      <c r="B116" s="80" t="s">
        <v>129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6"/>
        <v/>
      </c>
      <c r="B117" s="47" t="s">
        <v>130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6"/>
        <v>6866</v>
      </c>
      <c r="B118" s="77" t="s">
        <v>131</v>
      </c>
      <c r="C118" s="73" t="s">
        <v>37</v>
      </c>
      <c r="D118" s="79">
        <v>1001095716866</v>
      </c>
      <c r="E118" s="24">
        <v>20</v>
      </c>
      <c r="F118" s="23"/>
      <c r="G118" s="23">
        <f>E118</f>
        <v>20</v>
      </c>
      <c r="H118" s="14"/>
      <c r="I118" s="14"/>
      <c r="J118" s="29"/>
    </row>
    <row r="119" spans="1:10" ht="16.5" customHeight="1" x14ac:dyDescent="0.25">
      <c r="A119" s="60" t="str">
        <f t="shared" si="6"/>
        <v>3215</v>
      </c>
      <c r="B119" s="80" t="s">
        <v>132</v>
      </c>
      <c r="C119" s="73" t="s">
        <v>32</v>
      </c>
      <c r="D119" s="42">
        <v>1001094053215</v>
      </c>
      <c r="E119" s="24">
        <v>190</v>
      </c>
      <c r="F119" s="23">
        <v>0.4</v>
      </c>
      <c r="G119" s="23">
        <f>E119*F119</f>
        <v>76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6"/>
        <v>5452</v>
      </c>
      <c r="B120" s="51" t="s">
        <v>133</v>
      </c>
      <c r="C120" s="73" t="s">
        <v>23</v>
      </c>
      <c r="D120" s="42">
        <v>1001092485452</v>
      </c>
      <c r="E120" s="24">
        <v>90</v>
      </c>
      <c r="F120" s="23">
        <v>1.367</v>
      </c>
      <c r="G120" s="23">
        <f>E120</f>
        <v>90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6"/>
        <v>5495</v>
      </c>
      <c r="B121" s="51" t="s">
        <v>134</v>
      </c>
      <c r="C121" s="73" t="s">
        <v>21</v>
      </c>
      <c r="D121" s="42">
        <v>1001093345495</v>
      </c>
      <c r="E121" s="24">
        <v>57</v>
      </c>
      <c r="F121" s="23">
        <v>0.4</v>
      </c>
      <c r="G121" s="23">
        <f>E121*F121</f>
        <v>22.8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6"/>
        <v>6495</v>
      </c>
      <c r="B122" s="51" t="s">
        <v>135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6"/>
        <v/>
      </c>
      <c r="B123" s="47" t="s">
        <v>136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6"/>
        <v>6448</v>
      </c>
      <c r="B124" s="37" t="s">
        <v>137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6"/>
        <v>6620</v>
      </c>
      <c r="B125" s="37" t="s">
        <v>138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6"/>
        <v>6279</v>
      </c>
      <c r="B126" s="37" t="s">
        <v>139</v>
      </c>
      <c r="C126" s="73" t="s">
        <v>21</v>
      </c>
      <c r="D126" s="74">
        <v>1001220286279</v>
      </c>
      <c r="E126" s="24">
        <v>30</v>
      </c>
      <c r="F126" s="23">
        <v>0.15</v>
      </c>
      <c r="G126" s="23">
        <f>F126*E126</f>
        <v>4.5</v>
      </c>
      <c r="H126" s="14"/>
      <c r="I126" s="14"/>
      <c r="J126" s="29"/>
    </row>
    <row r="127" spans="1:10" ht="16.5" customHeight="1" x14ac:dyDescent="0.25">
      <c r="A127" s="60" t="str">
        <f t="shared" si="6"/>
        <v>6208</v>
      </c>
      <c r="B127" s="37" t="s">
        <v>140</v>
      </c>
      <c r="C127" s="73" t="s">
        <v>21</v>
      </c>
      <c r="D127" s="74">
        <v>1001220226208</v>
      </c>
      <c r="E127" s="24">
        <v>10</v>
      </c>
      <c r="F127" s="23">
        <v>0.15</v>
      </c>
      <c r="G127" s="23">
        <f>F127*E127</f>
        <v>1.5</v>
      </c>
      <c r="H127" s="14"/>
      <c r="I127" s="14"/>
      <c r="J127" s="29"/>
    </row>
    <row r="128" spans="1:10" ht="16.5" customHeight="1" x14ac:dyDescent="0.25">
      <c r="A128" s="60" t="str">
        <f t="shared" si="6"/>
        <v>7090</v>
      </c>
      <c r="B128" s="37" t="s">
        <v>141</v>
      </c>
      <c r="C128" s="73" t="s">
        <v>32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6"/>
        <v>7187</v>
      </c>
      <c r="B129" s="37" t="s">
        <v>142</v>
      </c>
      <c r="C129" s="73" t="s">
        <v>32</v>
      </c>
      <c r="D129" s="74">
        <v>1001085637187</v>
      </c>
      <c r="E129" s="24">
        <v>44</v>
      </c>
      <c r="F129" s="23">
        <v>0.3</v>
      </c>
      <c r="G129" s="23">
        <f>E129*F129</f>
        <v>13.2</v>
      </c>
      <c r="H129" s="14"/>
      <c r="I129" s="14"/>
      <c r="J129" s="29"/>
    </row>
    <row r="130" spans="1:11" s="71" customFormat="1" ht="16.5" customHeight="1" x14ac:dyDescent="0.25">
      <c r="A130" s="60" t="str">
        <f t="shared" si="6"/>
        <v>7103</v>
      </c>
      <c r="B130" s="59" t="s">
        <v>143</v>
      </c>
      <c r="C130" s="54" t="s">
        <v>32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6"/>
        <v>6872</v>
      </c>
      <c r="B131" s="37" t="s">
        <v>144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145</v>
      </c>
      <c r="C132" s="16"/>
      <c r="D132" s="38"/>
      <c r="E132" s="17">
        <f>SUM(E10:E131)</f>
        <v>3294</v>
      </c>
      <c r="F132" s="17"/>
      <c r="G132" s="17">
        <f>SUM(G11:G131)</f>
        <v>1697.55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2025-12-23T11:27:18Z</dcterms:modified>
</cp:coreProperties>
</file>