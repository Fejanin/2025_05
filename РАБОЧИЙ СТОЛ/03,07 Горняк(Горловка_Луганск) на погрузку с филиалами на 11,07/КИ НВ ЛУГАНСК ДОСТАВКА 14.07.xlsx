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1-14.07.26_Г+Л\"/>
    </mc:Choice>
  </mc:AlternateContent>
  <xr:revisionPtr revIDLastSave="0" documentId="8_{161F6B08-365D-4F70-BC34-023E72E53BF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<sst xmlns="http://schemas.openxmlformats.org/spreadsheetml/2006/main" count="3643" uniqueCount="787">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</sst>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46217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438.4</v>
      </c>
      <c r="Y60" s="41">
        <f>IFERROR(SUM(Y53:Y58),"0")</f>
        <v>438.40000000000003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86.4</v>
      </c>
      <c r="Y62" s="53">
        <f>IFERROR(IF(X62="",0,CEILING((X62/$H62),1)*$H62),"")</f>
        <v>86.4</v>
      </c>
      <c r="Z62" s="39">
        <f>IFERROR(IF(Y62=0,"",ROUNDUP(Y62/H62,0)*0.01898),"")</f>
        <v>0.15184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89.68</v>
      </c>
      <c r="BN62" s="75">
        <f>IFERROR(Y62*I62/H62,"0")</f>
        <v>89.68</v>
      </c>
      <c r="BO62" s="75">
        <f>IFERROR(1/J62*(X62/H62),"0")</f>
        <v>0.125</v>
      </c>
      <c r="BP62" s="75">
        <f>IFERROR(1/J62*(Y62/H62),"0")</f>
        <v>0.125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8</v>
      </c>
      <c r="Y66" s="41">
        <f>IFERROR(Y62/H62,"0")+IFERROR(Y63/H63,"0")+IFERROR(Y64/H64,"0")+IFERROR(Y65/H65,"0")</f>
        <v>8</v>
      </c>
      <c r="Z66" s="41">
        <f>IFERROR(IF(Z62="",0,Z62),"0")+IFERROR(IF(Z63="",0,Z63),"0")+IFERROR(IF(Z64="",0,Z64),"0")+IFERROR(IF(Z65="",0,Z65),"0")</f>
        <v>0.15184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86.4</v>
      </c>
      <c r="Y67" s="41">
        <f>IFERROR(SUM(Y62:Y65),"0")</f>
        <v>86.4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172.8</v>
      </c>
      <c r="Y86" s="53">
        <f>IFERROR(IF(X86="",0,CEILING((X86/$H86),1)*$H86),"")</f>
        <v>172.8</v>
      </c>
      <c r="Z86" s="39">
        <f>IFERROR(IF(Y86=0,"",ROUNDUP(Y86/H86,0)*0.01898),"")</f>
        <v>0.30368000000000001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179.36</v>
      </c>
      <c r="BN86" s="75">
        <f>IFERROR(Y86*I86/H86,"0")</f>
        <v>179.36</v>
      </c>
      <c r="BO86" s="75">
        <f>IFERROR(1/J86*(X86/H86),"0")</f>
        <v>0.25</v>
      </c>
      <c r="BP86" s="75">
        <f>IFERROR(1/J86*(Y86/H86),"0")</f>
        <v>0.25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16</v>
      </c>
      <c r="Y90" s="41">
        <f>IFERROR(Y86/H86,"0")+IFERROR(Y87/H87,"0")+IFERROR(Y88/H88,"0")+IFERROR(Y89/H89,"0")</f>
        <v>16</v>
      </c>
      <c r="Z90" s="41">
        <f>IFERROR(IF(Z86="",0,Z86),"0")+IFERROR(IF(Z87="",0,Z87),"0")+IFERROR(IF(Z88="",0,Z88),"0")+IFERROR(IF(Z89="",0,Z89),"0")</f>
        <v>0.30368000000000001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172.8</v>
      </c>
      <c r="Y91" s="41">
        <f>IFERROR(SUM(Y86:Y89),"0")</f>
        <v>172.8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518.4</v>
      </c>
      <c r="Y101" s="53">
        <f>IFERROR(IF(X101="",0,CEILING((X101/$H101),1)*$H101),"")</f>
        <v>518.40000000000009</v>
      </c>
      <c r="Z101" s="39">
        <f>IFERROR(IF(Y101=0,"",ROUNDUP(Y101/H101,0)*0.01898),"")</f>
        <v>0.91104000000000007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538.07999999999993</v>
      </c>
      <c r="BN101" s="75">
        <f>IFERROR(Y101*I101/H101,"0")</f>
        <v>538.08000000000004</v>
      </c>
      <c r="BO101" s="75">
        <f>IFERROR(1/J101*(X101/H101),"0")</f>
        <v>0.74999999999999989</v>
      </c>
      <c r="BP101" s="75">
        <f>IFERROR(1/J101*(Y101/H101),"0")</f>
        <v>0.75000000000000011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47.999999999999993</v>
      </c>
      <c r="Y106" s="41">
        <f>IFERROR(Y101/H101,"0")+IFERROR(Y102/H102,"0")+IFERROR(Y103/H103,"0")+IFERROR(Y104/H104,"0")+IFERROR(Y105/H105,"0")</f>
        <v>48.000000000000007</v>
      </c>
      <c r="Z106" s="41">
        <f>IFERROR(IF(Z101="",0,Z101),"0")+IFERROR(IF(Z102="",0,Z102),"0")+IFERROR(IF(Z103="",0,Z103),"0")+IFERROR(IF(Z104="",0,Z104),"0")+IFERROR(IF(Z105="",0,Z105),"0")</f>
        <v>0.91104000000000007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518.4</v>
      </c>
      <c r="Y107" s="41">
        <f>IFERROR(SUM(Y101:Y105),"0")</f>
        <v>518.40000000000009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64</v>
      </c>
      <c r="Y120" s="41">
        <f>IFERROR(Y116/H116,"0")+IFERROR(Y117/H117,"0")+IFERROR(Y118/H118,"0")+IFERROR(Y119/H119,"0")</f>
        <v>64</v>
      </c>
      <c r="Z120" s="41">
        <f>IFERROR(IF(Z116="",0,Z116),"0")+IFERROR(IF(Z117="",0,Z117),"0")+IFERROR(IF(Z118="",0,Z118),"0")+IFERROR(IF(Z119="",0,Z119),"0")</f>
        <v>0.91544000000000003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388.8</v>
      </c>
      <c r="Y121" s="41">
        <f>IFERROR(SUM(Y116:Y119),"0")</f>
        <v>388.8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50.4</v>
      </c>
      <c r="Y169" s="53">
        <f t="shared" si="11"/>
        <v>50.400000000000006</v>
      </c>
      <c r="Z169" s="39">
        <f>IFERROR(IF(Y169=0,"",ROUNDUP(Y169/H169,0)*0.00902),"")</f>
        <v>0.10824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52.679999999999993</v>
      </c>
      <c r="BN169" s="75">
        <f t="shared" si="13"/>
        <v>52.68</v>
      </c>
      <c r="BO169" s="75">
        <f t="shared" si="14"/>
        <v>9.0909090909090912E-2</v>
      </c>
      <c r="BP169" s="75">
        <f t="shared" si="15"/>
        <v>9.0909090909090912E-2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42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42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0.30684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138.6</v>
      </c>
      <c r="Y183" s="41">
        <f>IFERROR(SUM(Y167:Y181),"0")</f>
        <v>138.60000000000002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129.6</v>
      </c>
      <c r="Y206" s="53">
        <f t="shared" ref="Y206:Y213" si="16">IFERROR(IF(X206="",0,CEILING((X206/$H206),1)*$H206),"")</f>
        <v>129.60000000000002</v>
      </c>
      <c r="Z206" s="39">
        <f>IFERROR(IF(Y206=0,"",ROUNDUP(Y206/H206,0)*0.00902),"")</f>
        <v>0.21648000000000001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134.15999999999997</v>
      </c>
      <c r="BN206" s="75">
        <f t="shared" ref="BN206:BN213" si="18">IFERROR(Y206*I206/H206,"0")</f>
        <v>134.16</v>
      </c>
      <c r="BO206" s="75">
        <f t="shared" ref="BO206:BO213" si="19">IFERROR(1/J206*(X206/H206),"0")</f>
        <v>0.1818181818181818</v>
      </c>
      <c r="BP206" s="75">
        <f t="shared" ref="BP206:BP213" si="20">IFERROR(1/J206*(Y206/H206),"0")</f>
        <v>0.18181818181818185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6"/>
        <v>0</v>
      </c>
      <c r="Z208" s="39" t="str">
        <f>IFERROR(IF(Y208=0,"",ROUNDUP(Y208/H208,0)*0.00902),"")</f>
        <v/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0</v>
      </c>
      <c r="BN208" s="75">
        <f t="shared" si="18"/>
        <v>0</v>
      </c>
      <c r="BO208" s="75">
        <f t="shared" si="19"/>
        <v>0</v>
      </c>
      <c r="BP208" s="75">
        <f t="shared" si="20"/>
        <v>0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71.999999999999986</v>
      </c>
      <c r="Y214" s="41">
        <f>IFERROR(Y206/H206,"0")+IFERROR(Y207/H207,"0")+IFERROR(Y208/H208,"0")+IFERROR(Y209/H209,"0")+IFERROR(Y210/H210,"0")+IFERROR(Y211/H211,"0")+IFERROR(Y212/H212,"0")+IFERROR(Y213/H213,"0")</f>
        <v>72.000000000000014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0.64944000000000002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388.79999999999995</v>
      </c>
      <c r="Y215" s="41">
        <f>IFERROR(SUM(Y206:Y213),"0")</f>
        <v>388.80000000000007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57.6</v>
      </c>
      <c r="Y220" s="53">
        <f t="shared" si="21"/>
        <v>57.599999999999994</v>
      </c>
      <c r="Z220" s="39">
        <f t="shared" ref="Z220:Z225" si="26">IFERROR(IF(Y220=0,"",ROUNDUP(Y220/H220,0)*0.00651),"")</f>
        <v>0.15623999999999999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64.08</v>
      </c>
      <c r="BN220" s="75">
        <f t="shared" si="23"/>
        <v>64.079999999999984</v>
      </c>
      <c r="BO220" s="75">
        <f t="shared" si="24"/>
        <v>0.13186813186813187</v>
      </c>
      <c r="BP220" s="75">
        <f t="shared" si="25"/>
        <v>0.13186813186813187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168</v>
      </c>
      <c r="Y226" s="41">
        <f>IFERROR(Y217/H217,"0")+IFERROR(Y218/H218,"0")+IFERROR(Y219/H219,"0")+IFERROR(Y220/H220,"0")+IFERROR(Y221/H221,"0")+IFERROR(Y222/H222,"0")+IFERROR(Y223/H223,"0")+IFERROR(Y224/H224,"0")+IFERROR(Y225/H225,"0")</f>
        <v>168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1.69224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705.6</v>
      </c>
      <c r="Y227" s="41">
        <f>IFERROR(SUM(Y217:Y225),"0")</f>
        <v>705.59999999999991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134.4</v>
      </c>
      <c r="Y322" s="53">
        <f>IFERROR(IF(X322="",0,CEILING((X322/$H322),1)*$H322),"")</f>
        <v>134.4</v>
      </c>
      <c r="Z322" s="39">
        <f>IFERROR(IF(Y322=0,"",ROUNDUP(Y322/H322,0)*0.01898),"")</f>
        <v>0.30368000000000001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142.304</v>
      </c>
      <c r="BN322" s="75">
        <f>IFERROR(Y322*I322/H322,"0")</f>
        <v>142.304</v>
      </c>
      <c r="BO322" s="75">
        <f>IFERROR(1/J322*(X322/H322),"0")</f>
        <v>0.25</v>
      </c>
      <c r="BP322" s="75">
        <f>IFERROR(1/J322*(Y322/H322),"0")</f>
        <v>0.25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576</v>
      </c>
      <c r="Y326" s="41">
        <f>IFERROR(SUM(Y322:Y324),"0")</f>
        <v>576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480</v>
      </c>
      <c r="Y350" s="53">
        <f t="shared" ref="Y350:Y356" si="37">IFERROR(IF(X350="",0,CEILING((X350/$H350),1)*$H350),"")</f>
        <v>480</v>
      </c>
      <c r="Z350" s="39">
        <f>IFERROR(IF(Y350=0,"",ROUNDUP(Y350/H350,0)*0.02175),"")</f>
        <v>0.69599999999999995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495.04</v>
      </c>
      <c r="BN350" s="75">
        <f t="shared" ref="BN350:BN356" si="39">IFERROR(Y350*I350/H350,"0")</f>
        <v>495.04</v>
      </c>
      <c r="BO350" s="75">
        <f t="shared" ref="BO350:BO356" si="40">IFERROR(1/J350*(X350/H350),"0")</f>
        <v>0.66666666666666663</v>
      </c>
      <c r="BP350" s="75">
        <f t="shared" ref="BP350:BP356" si="41">IFERROR(1/J350*(Y350/H350),"0")</f>
        <v>0.66666666666666663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84</v>
      </c>
      <c r="Y357" s="41">
        <f>IFERROR(Y350/H350,"0")+IFERROR(Y351/H351,"0")+IFERROR(Y352/H352,"0")+IFERROR(Y353/H353,"0")+IFERROR(Y354/H354,"0")+IFERROR(Y355/H355,"0")+IFERROR(Y356/H356,"0")</f>
        <v>84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1.827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1260</v>
      </c>
      <c r="Y358" s="41">
        <f>IFERROR(SUM(Y350:Y356),"0")</f>
        <v>1260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120</v>
      </c>
      <c r="Y360" s="53">
        <f>IFERROR(IF(X360="",0,CEILING((X360/$H360),1)*$H360),"")</f>
        <v>120</v>
      </c>
      <c r="Z360" s="39">
        <f>IFERROR(IF(Y360=0,"",ROUNDUP(Y360/H360,0)*0.02175),"")</f>
        <v>0.17399999999999999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123.76</v>
      </c>
      <c r="BN360" s="75">
        <f>IFERROR(Y360*I360/H360,"0")</f>
        <v>123.76</v>
      </c>
      <c r="BO360" s="75">
        <f>IFERROR(1/J360*(X360/H360),"0")</f>
        <v>0.16666666666666666</v>
      </c>
      <c r="BP360" s="75">
        <f>IFERROR(1/J360*(Y360/H360),"0")</f>
        <v>0.16666666666666666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8</v>
      </c>
      <c r="Y362" s="41">
        <f>IFERROR(Y360/H360,"0")+IFERROR(Y361/H361,"0")</f>
        <v>8</v>
      </c>
      <c r="Z362" s="41">
        <f>IFERROR(IF(Z360="",0,Z360),"0")+IFERROR(IF(Z361="",0,Z361),"0")</f>
        <v>0.17399999999999999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120</v>
      </c>
      <c r="Y363" s="41">
        <f>IFERROR(SUM(Y360:Y361),"0")</f>
        <v>120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360</v>
      </c>
      <c r="Y384" s="53">
        <f>IFERROR(IF(X384="",0,CEILING((X384/$H384),1)*$H384),"")</f>
        <v>360</v>
      </c>
      <c r="Z384" s="39">
        <f>IFERROR(IF(Y384=0,"",ROUNDUP(Y384/H384,0)*0.01898),"")</f>
        <v>0.75919999999999999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379.76</v>
      </c>
      <c r="BN384" s="75">
        <f>IFERROR(Y384*I384/H384,"0")</f>
        <v>379.76</v>
      </c>
      <c r="BO384" s="75">
        <f>IFERROR(1/J384*(X384/H384),"0")</f>
        <v>0.625</v>
      </c>
      <c r="BP384" s="75">
        <f>IFERROR(1/J384*(Y384/H384),"0")</f>
        <v>0.625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64</v>
      </c>
      <c r="Y387" s="41">
        <f>IFERROR(Y384/H384,"0")+IFERROR(Y385/H385,"0")+IFERROR(Y386/H386,"0")</f>
        <v>64</v>
      </c>
      <c r="Z387" s="41">
        <f>IFERROR(IF(Z384="",0,Z384),"0")+IFERROR(IF(Z385="",0,Z385),"0")+IFERROR(IF(Z386="",0,Z386),"0")</f>
        <v>0.91544000000000003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417.6</v>
      </c>
      <c r="Y388" s="41">
        <f>IFERROR(SUM(Y384:Y386),"0")</f>
        <v>417.6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168.96</v>
      </c>
      <c r="Y431" s="53">
        <f t="shared" si="48"/>
        <v>168.96</v>
      </c>
      <c r="Z431" s="39">
        <f t="shared" si="49"/>
        <v>0.38272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180.16</v>
      </c>
      <c r="BN431" s="75">
        <f t="shared" si="51"/>
        <v>180.16</v>
      </c>
      <c r="BO431" s="75">
        <f t="shared" si="52"/>
        <v>0.30769230769230771</v>
      </c>
      <c r="BP431" s="75">
        <f t="shared" si="53"/>
        <v>0.30769230769230771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0.47839999999999999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211.20000000000002</v>
      </c>
      <c r="Y456" s="41">
        <f>IFERROR(SUM(Y448:Y454),"0")</f>
        <v>211.20000000000002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7114.84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7114.8400000000011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7473.5120000000006</v>
      </c>
      <c r="Y489" s="41">
        <f>IFERROR(SUM(BN22:BN485),"0")</f>
        <v>7473.5120000000006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12</v>
      </c>
      <c r="Y490" s="42">
        <f>ROUNDUP(SUM(BP22:BP485),0)</f>
        <v>12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7773.5120000000006</v>
      </c>
      <c r="Y491" s="41">
        <f>GrossWeightTotalR+PalletQtyTotalR*25</f>
        <v>7773.5120000000006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978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978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13.967880000000001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524.80000000000007</v>
      </c>
      <c r="E498" s="50">
        <f>IFERROR(Y86*1,"0")+IFERROR(Y87*1,"0")+IFERROR(Y88*1,"0")+IFERROR(Y89*1,"0")+IFERROR(Y93*1,"0")+IFERROR(Y94*1,"0")+IFERROR(Y95*1,"0")+IFERROR(Y96*1,"0")</f>
        <v>442.8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907.2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138.60000000000002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1094.4000000000001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576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1524</v>
      </c>
      <c r="T498" s="50">
        <f>IFERROR(Y375*1,"0")+IFERROR(Y376*1,"0")+IFERROR(Y380*1,"0")+IFERROR(Y384*1,"0")+IFERROR(Y385*1,"0")+IFERROR(Y386*1,"0")</f>
        <v>417.6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675.84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cp:lastPrinted>2026-05-07T10:03:18Z</cp:lastPrinted>
  <dcterms:created xsi:type="dcterms:W3CDTF">2021-11-12T12:13:19Z</dcterms:created>
  <dcterms:modified xsi:type="dcterms:W3CDTF">2026-07-03T08:51:56Z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