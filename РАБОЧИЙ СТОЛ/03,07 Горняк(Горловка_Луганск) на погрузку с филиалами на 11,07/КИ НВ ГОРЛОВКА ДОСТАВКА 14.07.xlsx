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1-14.07.26_Г+Л\"/>
    </mc:Choice>
  </mc:AlternateContent>
  <xr:revisionPtr revIDLastSave="0" documentId="8_{6978ECCA-D6FC-4E62-9394-CF7A537B28C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<sst xmlns="http://schemas.openxmlformats.org/spreadsheetml/2006/main" count="3643" uniqueCount="787">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</sst>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C1" zoomScale="80" zoomScaleNormal="8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4" t="s">
        <v>26</v>
      </c>
      <c r="E1" s="864"/>
      <c r="F1" s="864"/>
      <c r="G1" s="14" t="s">
        <v>66</v>
      </c>
      <c r="H1" s="864" t="s">
        <v>46</v>
      </c>
      <c r="I1" s="864"/>
      <c r="J1" s="864"/>
      <c r="K1" s="864"/>
      <c r="L1" s="864"/>
      <c r="M1" s="864"/>
      <c r="N1" s="864"/>
      <c r="O1" s="864"/>
      <c r="P1" s="864"/>
      <c r="Q1" s="864"/>
      <c r="R1" s="865" t="s">
        <v>67</v>
      </c>
      <c r="S1" s="866"/>
      <c r="T1" s="8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7"/>
      <c r="R2" s="867"/>
      <c r="S2" s="867"/>
      <c r="T2" s="867"/>
      <c r="U2" s="867"/>
      <c r="V2" s="867"/>
      <c r="W2" s="8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7"/>
      <c r="Q3" s="867"/>
      <c r="R3" s="867"/>
      <c r="S3" s="867"/>
      <c r="T3" s="867"/>
      <c r="U3" s="867"/>
      <c r="V3" s="867"/>
      <c r="W3" s="8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8"/>
      <c r="E5" s="868"/>
      <c r="F5" s="869" t="s">
        <v>14</v>
      </c>
      <c r="G5" s="869"/>
      <c r="H5" s="868"/>
      <c r="I5" s="868"/>
      <c r="J5" s="868"/>
      <c r="K5" s="868"/>
      <c r="L5" s="868"/>
      <c r="M5" s="868"/>
      <c r="N5" s="72"/>
      <c r="P5" s="27" t="s">
        <v>4</v>
      </c>
      <c r="Q5" s="870"/>
      <c r="R5" s="870"/>
      <c r="T5" s="871" t="s">
        <v>3</v>
      </c>
      <c r="U5" s="872"/>
      <c r="V5" s="873" t="s">
        <v>750</v>
      </c>
      <c r="W5" s="874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 xml:space="preserve"> 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>
        <f>IFERROR(VLOOKUP(DeliveryAddress,Table,3,0),1)</f>
        <v>1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/>
      <c r="R8" s="844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862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2"/>
      <c r="L9" s="862"/>
      <c r="M9" s="862"/>
      <c r="N9" s="70"/>
      <c r="P9" s="31" t="s">
        <v>15</v>
      </c>
      <c r="Q9" s="863">
        <v>46217</v>
      </c>
      <c r="R9" s="863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>
        <v>0.54166666666666663</v>
      </c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/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62.4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65.680000000000007</v>
      </c>
      <c r="BN80" s="78">
        <f>IFERROR(Y80*I80/H80,"0")</f>
        <v>65.680000000000007</v>
      </c>
      <c r="BO80" s="78">
        <f>IFERROR(1/J80*(X80/H80),"0")</f>
        <v>0.125</v>
      </c>
      <c r="BP80" s="78">
        <f>IFERROR(1/J80*(Y80/H80),"0")</f>
        <v>0.125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8</v>
      </c>
      <c r="Y82" s="43">
        <f>IFERROR(Y80/H80,"0")+IFERROR(Y81/H81,"0")</f>
        <v>8</v>
      </c>
      <c r="Z82" s="43">
        <f>IFERROR(IF(Z80="",0,Z80),"0")+IFERROR(IF(Z81="",0,Z81),"0")</f>
        <v>0.15184</v>
      </c>
      <c r="AA82" s="67"/>
      <c r="AB82" s="67"/>
      <c r="AC82" s="67"/>
    </row>
    <row r="83" spans="1:68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62.4</v>
      </c>
      <c r="Y83" s="43">
        <f>IFERROR(SUM(Y80:Y81),"0")</f>
        <v>62.4</v>
      </c>
      <c r="Z83" s="42"/>
      <c r="AA83" s="67"/>
      <c r="AB83" s="67"/>
      <c r="AC83" s="67"/>
    </row>
    <row r="84" spans="1:68" ht="16.5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/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64.8</v>
      </c>
      <c r="Y116" s="55">
        <f>IFERROR(IF(X116="",0,CEILING((X116/$H116),1)*$H116),"")</f>
        <v>64.8</v>
      </c>
      <c r="Z116" s="41">
        <f>IFERROR(IF(Y116=0,"",ROUNDUP(Y116/H116,0)*0.01898),"")</f>
        <v>0.15184</v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68.703999999999994</v>
      </c>
      <c r="BN116" s="78">
        <f>IFERROR(Y116*I116/H116,"0")</f>
        <v>68.703999999999994</v>
      </c>
      <c r="BO116" s="78">
        <f>IFERROR(1/J116*(X116/H116),"0")</f>
        <v>0.125</v>
      </c>
      <c r="BP116" s="78">
        <f>IFERROR(1/J116*(Y116/H116),"0")</f>
        <v>0.125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8</v>
      </c>
      <c r="Y120" s="43">
        <f>IFERROR(Y116/H116,"0")+IFERROR(Y117/H117,"0")+IFERROR(Y118/H118,"0")+IFERROR(Y119/H119,"0")</f>
        <v>8</v>
      </c>
      <c r="Z120" s="43">
        <f>IFERROR(IF(Z116="",0,Z116),"0")+IFERROR(IF(Z117="",0,Z117),"0")+IFERROR(IF(Z118="",0,Z118),"0")+IFERROR(IF(Z119="",0,Z119),"0")</f>
        <v>0.15184</v>
      </c>
      <c r="AA120" s="67"/>
      <c r="AB120" s="67"/>
      <c r="AC120" s="67"/>
    </row>
    <row r="121" spans="1:68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64.8</v>
      </c>
      <c r="Y121" s="43">
        <f>IFERROR(SUM(Y116:Y119),"0")</f>
        <v>64.8</v>
      </c>
      <c r="Z121" s="42"/>
      <c r="AA121" s="67"/>
      <c r="AB121" s="67"/>
      <c r="AC121" s="67"/>
    </row>
    <row r="122" spans="1:68" ht="14.25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67.2</v>
      </c>
      <c r="Y322" s="55">
        <f>IFERROR(IF(X322="",0,CEILING((X322/$H322),1)*$H322),"")</f>
        <v>67.2</v>
      </c>
      <c r="Z322" s="41">
        <f>IFERROR(IF(Y322=0,"",ROUNDUP(Y322/H322,0)*0.01898),"")</f>
        <v>0.15184</v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71.152000000000001</v>
      </c>
      <c r="BN322" s="78">
        <f>IFERROR(Y322*I322/H322,"0")</f>
        <v>71.152000000000001</v>
      </c>
      <c r="BO322" s="78">
        <f>IFERROR(1/J322*(X322/H322),"0")</f>
        <v>0.125</v>
      </c>
      <c r="BP322" s="78">
        <f>IFERROR(1/J322*(Y322/H322),"0")</f>
        <v>0.125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24</v>
      </c>
      <c r="Y325" s="43">
        <f>IFERROR(Y322/H322,"0")+IFERROR(Y323/H323,"0")+IFERROR(Y324/H324,"0")</f>
        <v>24</v>
      </c>
      <c r="Z325" s="43">
        <f>IFERROR(IF(Z322="",0,Z322),"0")+IFERROR(IF(Z323="",0,Z323),"0")+IFERROR(IF(Z324="",0,Z324),"0")</f>
        <v>0.45552000000000004</v>
      </c>
      <c r="AA325" s="67"/>
      <c r="AB325" s="67"/>
      <c r="AC325" s="67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192</v>
      </c>
      <c r="Y326" s="43">
        <f>IFERROR(SUM(Y322:Y324),"0")</f>
        <v>192</v>
      </c>
      <c r="Z326" s="42"/>
      <c r="AA326" s="67"/>
      <c r="AB326" s="67"/>
      <c r="AC326" s="67"/>
    </row>
    <row r="327" spans="1:68" ht="14.25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64.8</v>
      </c>
      <c r="Y342" s="55">
        <f>IFERROR(IF(X342="",0,CEILING((X342/$H342),1)*$H342),"")</f>
        <v>64.8</v>
      </c>
      <c r="Z342" s="41">
        <f>IFERROR(IF(Y342=0,"",ROUNDUP(Y342/H342,0)*0.01898),"")</f>
        <v>0.15184</v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68.751999999999995</v>
      </c>
      <c r="BN342" s="78">
        <f>IFERROR(Y342*I342/H342,"0")</f>
        <v>68.751999999999995</v>
      </c>
      <c r="BO342" s="78">
        <f>IFERROR(1/J342*(X342/H342),"0")</f>
        <v>0.125</v>
      </c>
      <c r="BP342" s="78">
        <f>IFERROR(1/J342*(Y342/H342),"0")</f>
        <v>0.125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8</v>
      </c>
      <c r="Y345" s="43">
        <f>IFERROR(Y342/H342,"0")+IFERROR(Y343/H343,"0")+IFERROR(Y344/H344,"0")</f>
        <v>8</v>
      </c>
      <c r="Z345" s="43">
        <f>IFERROR(IF(Z342="",0,Z342),"0")+IFERROR(IF(Z343="",0,Z343),"0")+IFERROR(IF(Z344="",0,Z344),"0")</f>
        <v>0.15184</v>
      </c>
      <c r="AA345" s="67"/>
      <c r="AB345" s="67"/>
      <c r="AC345" s="67"/>
    </row>
    <row r="346" spans="1:68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64.8</v>
      </c>
      <c r="Y346" s="43">
        <f>IFERROR(SUM(Y342:Y344),"0")</f>
        <v>64.8</v>
      </c>
      <c r="Z346" s="42"/>
      <c r="AA346" s="67"/>
      <c r="AB346" s="67"/>
      <c r="AC346" s="67"/>
    </row>
    <row r="347" spans="1:68" ht="27.75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240</v>
      </c>
      <c r="Y350" s="55">
        <f t="shared" ref="Y350:Y356" si="37">IFERROR(IF(X350="",0,CEILING((X350/$H350),1)*$H350),"")</f>
        <v>240</v>
      </c>
      <c r="Z350" s="41">
        <f>IFERROR(IF(Y350=0,"",ROUNDUP(Y350/H350,0)*0.02175),"")</f>
        <v>0.34799999999999998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247.52</v>
      </c>
      <c r="BN350" s="78">
        <f t="shared" ref="BN350:BN356" si="39">IFERROR(Y350*I350/H350,"0")</f>
        <v>247.52</v>
      </c>
      <c r="BO350" s="78">
        <f t="shared" ref="BO350:BO356" si="40">IFERROR(1/J350*(X350/H350),"0")</f>
        <v>0.33333333333333331</v>
      </c>
      <c r="BP350" s="78">
        <f t="shared" ref="BP350:BP356" si="41">IFERROR(1/J350*(Y350/H350),"0")</f>
        <v>0.33333333333333331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240</v>
      </c>
      <c r="Y352" s="55">
        <f t="shared" si="37"/>
        <v>240</v>
      </c>
      <c r="Z352" s="41">
        <f>IFERROR(IF(Y352=0,"",ROUNDUP(Y352/H352,0)*0.02175),"")</f>
        <v>0.34799999999999998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247.52</v>
      </c>
      <c r="BN352" s="78">
        <f t="shared" si="39"/>
        <v>247.52</v>
      </c>
      <c r="BO352" s="78">
        <f t="shared" si="40"/>
        <v>0.33333333333333331</v>
      </c>
      <c r="BP352" s="78">
        <f t="shared" si="41"/>
        <v>0.33333333333333331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32</v>
      </c>
      <c r="Y357" s="43">
        <f>IFERROR(Y350/H350,"0")+IFERROR(Y351/H351,"0")+IFERROR(Y352/H352,"0")+IFERROR(Y353/H353,"0")+IFERROR(Y354/H354,"0")+IFERROR(Y355/H355,"0")+IFERROR(Y356/H356,"0")</f>
        <v>32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0.69599999999999995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480</v>
      </c>
      <c r="Y358" s="43">
        <f>IFERROR(SUM(Y350:Y356),"0")</f>
        <v>480</v>
      </c>
      <c r="Z358" s="42"/>
      <c r="AA358" s="67"/>
      <c r="AB358" s="67"/>
      <c r="AC358" s="67"/>
    </row>
    <row r="359" spans="1:68" ht="14.25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/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72</v>
      </c>
      <c r="Y370" s="55">
        <f>IFERROR(IF(X370="",0,CEILING((X370/$H370),1)*$H370),"")</f>
        <v>72</v>
      </c>
      <c r="Z370" s="41">
        <f>IFERROR(IF(Y370=0,"",ROUNDUP(Y370/H370,0)*0.01898),"")</f>
        <v>0.15184</v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75.951999999999998</v>
      </c>
      <c r="BN370" s="78">
        <f>IFERROR(Y370*I370/H370,"0")</f>
        <v>75.951999999999998</v>
      </c>
      <c r="BO370" s="78">
        <f>IFERROR(1/J370*(X370/H370),"0")</f>
        <v>0.125</v>
      </c>
      <c r="BP370" s="78">
        <f>IFERROR(1/J370*(Y370/H370),"0")</f>
        <v>0.125</v>
      </c>
    </row>
    <row r="371" spans="1:68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8</v>
      </c>
      <c r="Y371" s="43">
        <f>IFERROR(Y370/H370,"0")</f>
        <v>8</v>
      </c>
      <c r="Z371" s="43">
        <f>IFERROR(IF(Z370="",0,Z370),"0")</f>
        <v>0.15184</v>
      </c>
      <c r="AA371" s="67"/>
      <c r="AB371" s="67"/>
      <c r="AC371" s="67"/>
    </row>
    <row r="372" spans="1:68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72</v>
      </c>
      <c r="Y372" s="43">
        <f>IFERROR(SUM(Y370:Y370),"0")</f>
        <v>72</v>
      </c>
      <c r="Z372" s="42"/>
      <c r="AA372" s="67"/>
      <c r="AB372" s="67"/>
      <c r="AC372" s="67"/>
    </row>
    <row r="373" spans="1:68" ht="16.5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72</v>
      </c>
      <c r="Y384" s="55">
        <f>IFERROR(IF(X384="",0,CEILING((X384/$H384),1)*$H384),"")</f>
        <v>72</v>
      </c>
      <c r="Z384" s="41">
        <f>IFERROR(IF(Y384=0,"",ROUNDUP(Y384/H384,0)*0.01898),"")</f>
        <v>0.15184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75.951999999999998</v>
      </c>
      <c r="BN384" s="78">
        <f>IFERROR(Y384*I384/H384,"0")</f>
        <v>75.951999999999998</v>
      </c>
      <c r="BO384" s="78">
        <f>IFERROR(1/J384*(X384/H384),"0")</f>
        <v>0.125</v>
      </c>
      <c r="BP384" s="78">
        <f>IFERROR(1/J384*(Y384/H384),"0")</f>
        <v>0.125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22</v>
      </c>
      <c r="Y387" s="43">
        <f>IFERROR(Y384/H384,"0")+IFERROR(Y385/H385,"0")+IFERROR(Y386/H386,"0")</f>
        <v>22</v>
      </c>
      <c r="Z387" s="43">
        <f>IFERROR(IF(Z384="",0,Z384),"0")+IFERROR(IF(Z385="",0,Z385),"0")+IFERROR(IF(Z386="",0,Z386),"0")</f>
        <v>0.24298</v>
      </c>
      <c r="AA387" s="67"/>
      <c r="AB387" s="67"/>
      <c r="AC387" s="67"/>
    </row>
    <row r="388" spans="1:68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105.6</v>
      </c>
      <c r="Y388" s="43">
        <f>IFERROR(SUM(Y384:Y386),"0")</f>
        <v>105.6</v>
      </c>
      <c r="Z388" s="42"/>
      <c r="AA388" s="67"/>
      <c r="AB388" s="67"/>
      <c r="AC388" s="67"/>
    </row>
    <row r="389" spans="1:68" ht="27.75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84.48</v>
      </c>
      <c r="Y431" s="55">
        <f t="shared" si="48"/>
        <v>84.48</v>
      </c>
      <c r="Z431" s="41">
        <f t="shared" si="49"/>
        <v>0.19136</v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90.08</v>
      </c>
      <c r="BN431" s="78">
        <f t="shared" si="51"/>
        <v>90.08</v>
      </c>
      <c r="BO431" s="78">
        <f t="shared" si="52"/>
        <v>0.15384615384615385</v>
      </c>
      <c r="BP431" s="78">
        <f t="shared" si="53"/>
        <v>0.15384615384615385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>
        <v>126.72</v>
      </c>
      <c r="Y433" s="55">
        <f t="shared" si="48"/>
        <v>126.72</v>
      </c>
      <c r="Z433" s="41">
        <f t="shared" si="49"/>
        <v>0.28704000000000002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135.11999999999998</v>
      </c>
      <c r="BN433" s="78">
        <f t="shared" si="51"/>
        <v>135.11999999999998</v>
      </c>
      <c r="BO433" s="78">
        <f t="shared" si="52"/>
        <v>0.23076923076923078</v>
      </c>
      <c r="BP433" s="78">
        <f t="shared" si="53"/>
        <v>0.23076923076923078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211.2</v>
      </c>
      <c r="Y440" s="43">
        <f>IFERROR(SUM(Y427:Y438),"0")</f>
        <v>211.2</v>
      </c>
      <c r="Z440" s="42"/>
      <c r="AA440" s="67"/>
      <c r="AB440" s="67"/>
      <c r="AC440" s="67"/>
    </row>
    <row r="441" spans="1:68" ht="14.25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42.24</v>
      </c>
      <c r="Y448" s="55">
        <f t="shared" ref="Y448:Y454" si="54">IFERROR(IF(X448="",0,CEILING((X448/$H448),1)*$H448),"")</f>
        <v>42.24</v>
      </c>
      <c r="Z448" s="41">
        <f>IFERROR(IF(Y448=0,"",ROUNDUP(Y448/H448,0)*0.01196),"")</f>
        <v>9.5680000000000001E-2</v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45.04</v>
      </c>
      <c r="BN448" s="78">
        <f t="shared" ref="BN448:BN454" si="56">IFERROR(Y448*I448/H448,"0")</f>
        <v>45.04</v>
      </c>
      <c r="BO448" s="78">
        <f t="shared" ref="BO448:BO454" si="57">IFERROR(1/J448*(X448/H448),"0")</f>
        <v>7.6923076923076927E-2</v>
      </c>
      <c r="BP448" s="78">
        <f t="shared" ref="BP448:BP454" si="58">IFERROR(1/J448*(Y448/H448),"0")</f>
        <v>7.6923076923076927E-2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24</v>
      </c>
      <c r="Y455" s="43">
        <f>IFERROR(Y448/H448,"0")+IFERROR(Y449/H449,"0")+IFERROR(Y450/H450,"0")+IFERROR(Y451/H451,"0")+IFERROR(Y452/H452,"0")+IFERROR(Y453/H453,"0")+IFERROR(Y454/H454,"0")</f>
        <v>24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0.28704000000000002</v>
      </c>
      <c r="AA455" s="67"/>
      <c r="AB455" s="67"/>
      <c r="AC455" s="67"/>
    </row>
    <row r="456" spans="1:68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126.72</v>
      </c>
      <c r="Y456" s="43">
        <f>IFERROR(SUM(Y448:Y454),"0")</f>
        <v>126.72</v>
      </c>
      <c r="Z456" s="42"/>
      <c r="AA456" s="67"/>
      <c r="AB456" s="67"/>
      <c r="AC456" s="67"/>
    </row>
    <row r="457" spans="1:68" ht="27.75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1465.92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1465.92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1541.2319999999997</v>
      </c>
      <c r="Y489" s="43">
        <f>IFERROR(SUM(BN22:BN485),"0")</f>
        <v>1541.2319999999997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3</v>
      </c>
      <c r="Y490" s="44">
        <f>ROUNDUP(SUM(BP22:BP485),0)</f>
        <v>3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1616.2319999999997</v>
      </c>
      <c r="Y491" s="43">
        <f>GrossWeightTotalR+PalletQtyTotalR*25</f>
        <v>1616.2319999999997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182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182</v>
      </c>
      <c r="Z492" s="42"/>
      <c r="AA492" s="67"/>
      <c r="AB492" s="67"/>
      <c r="AC492" s="67"/>
    </row>
    <row r="493" spans="1:68" ht="14.25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2.9191400000000005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62.4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151.19999999999999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192</v>
      </c>
      <c r="R498" s="52">
        <f>IFERROR(Y342*1,"0")+IFERROR(Y343*1,"0")+IFERROR(Y344*1,"0")</f>
        <v>64.8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552</v>
      </c>
      <c r="T498" s="52">
        <f>IFERROR(Y375*1,"0")+IFERROR(Y376*1,"0")+IFERROR(Y380*1,"0")+IFERROR(Y384*1,"0")+IFERROR(Y385*1,"0")+IFERROR(Y386*1,"0")</f>
        <v>105.6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337.92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2026-07-03T08:52:42Z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