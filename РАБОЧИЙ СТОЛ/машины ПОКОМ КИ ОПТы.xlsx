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"/>
    </mc:Choice>
  </mc:AlternateContent>
  <xr:revisionPtr revIDLastSave="0" documentId="13_ncr:1_{156CCBA2-4F23-4106-A6AE-928BE13A97A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13" i="1" l="1"/>
  <c r="Q14" i="1"/>
  <c r="Q18" i="1" l="1"/>
  <c r="Q19" i="1"/>
  <c r="C21" i="1" l="1"/>
  <c r="D21" i="1"/>
  <c r="Q11" i="1"/>
  <c r="Q15" i="1" l="1"/>
  <c r="Q16" i="1"/>
  <c r="Q17" i="1" l="1"/>
  <c r="E21" i="1" l="1"/>
  <c r="Q4" i="1" l="1"/>
  <c r="Q5" i="1"/>
  <c r="Q6" i="1"/>
  <c r="Q8" i="1"/>
  <c r="Q9" i="1"/>
  <c r="Q10" i="1"/>
  <c r="Q12" i="1"/>
  <c r="Q20" i="1"/>
  <c r="Q3" i="1"/>
  <c r="P21" i="1"/>
  <c r="O21" i="1"/>
  <c r="N21" i="1"/>
  <c r="F21" i="1" l="1"/>
  <c r="G21" i="1"/>
  <c r="H21" i="1"/>
  <c r="I21" i="1"/>
  <c r="J21" i="1"/>
  <c r="K21" i="1"/>
  <c r="L21" i="1"/>
  <c r="M21" i="1"/>
  <c r="B21" i="1" l="1"/>
  <c r="Q21" i="1" l="1"/>
</calcChain>
</file>

<file path=xl/sharedStrings.xml><?xml version="1.0" encoding="utf-8"?>
<sst xmlns="http://schemas.openxmlformats.org/spreadsheetml/2006/main" count="42" uniqueCount="33">
  <si>
    <t>Бердянск</t>
  </si>
  <si>
    <t>Донецк</t>
  </si>
  <si>
    <t>Луганск</t>
  </si>
  <si>
    <t>Мелитополь</t>
  </si>
  <si>
    <t>Поляков</t>
  </si>
  <si>
    <t>ПОЛУЧАТЕЛЬ</t>
  </si>
  <si>
    <t>3 машина</t>
  </si>
  <si>
    <t>Остаток</t>
  </si>
  <si>
    <t>ИТОГОВЫЕ ДАННЫЕ</t>
  </si>
  <si>
    <t>нетто</t>
  </si>
  <si>
    <t>брутто</t>
  </si>
  <si>
    <t>паллеты</t>
  </si>
  <si>
    <t>4 машина</t>
  </si>
  <si>
    <t>НПК ЛП</t>
  </si>
  <si>
    <t>Горняк Луганск</t>
  </si>
  <si>
    <t>ВЕС НЕТТО</t>
  </si>
  <si>
    <t>ВЕС БРУТТО</t>
  </si>
  <si>
    <t>ПАЛЛЕТЫ</t>
  </si>
  <si>
    <t>Коныгин</t>
  </si>
  <si>
    <t>Обрыньба</t>
  </si>
  <si>
    <t>1 машина на 27,06</t>
  </si>
  <si>
    <t>1 машина на 26,06</t>
  </si>
  <si>
    <t>Мариуполь</t>
  </si>
  <si>
    <t>Колесник КСК</t>
  </si>
  <si>
    <t>Пушкарный(ВВ) ЛП</t>
  </si>
  <si>
    <t>Бутырин НВ</t>
  </si>
  <si>
    <t>Патяка КСК</t>
  </si>
  <si>
    <t>Патяка НВ</t>
  </si>
  <si>
    <t>ЮгОпт КСК</t>
  </si>
  <si>
    <t>Поляков КСК</t>
  </si>
  <si>
    <t>Убийконь НВ</t>
  </si>
  <si>
    <t>на доставку 30,10,26</t>
  </si>
  <si>
    <t>на доставку 28,10,26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</si>
</sst>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0" fillId="0" borderId="27" xfId="0" applyBorder="1"/>
    <xf numFmtId="0" fontId="0" fillId="0" borderId="28" xfId="0" applyBorder="1"/>
    <xf numFmtId="0" fontId="1" fillId="0" borderId="29" xfId="0" applyFont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3" borderId="27" xfId="0" applyFill="1" applyBorder="1"/>
    <xf numFmtId="0" fontId="0" fillId="3" borderId="6" xfId="0" applyFill="1" applyBorder="1"/>
    <xf numFmtId="0" fontId="0" fillId="3" borderId="1" xfId="0" applyFill="1" applyBorder="1"/>
    <xf numFmtId="0" fontId="0" fillId="3" borderId="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3" borderId="17" xfId="0" applyFill="1" applyBorder="1"/>
    <xf numFmtId="0" fontId="0" fillId="3" borderId="26" xfId="0" applyFill="1" applyBorder="1" applyAlignment="1">
      <alignment horizontal="left" vertical="center"/>
    </xf>
    <xf numFmtId="0" fontId="0" fillId="4" borderId="28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17" xfId="0" applyFill="1" applyBorder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zoomScale="115" zoomScaleNormal="115" workbookViewId="0">
      <selection activeCell="Z30" sqref="Z30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hidden="1" customWidth="1"/>
    <col min="7" max="7" width="6" hidden="1" customWidth="1"/>
    <col min="8" max="9" width="7.28515625" hidden="1" customWidth="1"/>
    <col min="10" max="10" width="6" hidden="1" customWidth="1"/>
    <col min="11" max="12" width="7.28515625" hidden="1" customWidth="1"/>
    <col min="13" max="13" width="6" hidden="1" customWidth="1"/>
    <col min="14" max="15" width="7.28515625" hidden="1" customWidth="1"/>
    <col min="16" max="16" width="6" hidden="1" customWidth="1"/>
    <col min="17" max="17" width="8.140625" hidden="1" customWidth="1"/>
    <col min="18" max="18" width="21.42578125" customWidth="1"/>
  </cols>
  <sheetData>
    <row r="1" spans="1:18" x14ac:dyDescent="0.25">
      <c r="A1" s="31" t="s">
        <v>5</v>
      </c>
      <c r="B1" s="33" t="s">
        <v>15</v>
      </c>
      <c r="C1" s="33" t="s">
        <v>16</v>
      </c>
      <c r="D1" s="33" t="s">
        <v>17</v>
      </c>
      <c r="E1" s="31" t="s">
        <v>21</v>
      </c>
      <c r="F1" s="35"/>
      <c r="G1" s="36"/>
      <c r="H1" s="31" t="s">
        <v>20</v>
      </c>
      <c r="I1" s="35"/>
      <c r="J1" s="36"/>
      <c r="K1" s="31" t="s">
        <v>6</v>
      </c>
      <c r="L1" s="35"/>
      <c r="M1" s="36"/>
      <c r="N1" s="31" t="s">
        <v>12</v>
      </c>
      <c r="O1" s="35"/>
      <c r="P1" s="36"/>
      <c r="Q1" s="29" t="s">
        <v>7</v>
      </c>
    </row>
    <row r="2" spans="1:18" ht="30.75" thickBot="1" x14ac:dyDescent="0.3">
      <c r="A2" s="32"/>
      <c r="B2" s="34"/>
      <c r="C2" s="34"/>
      <c r="D2" s="34"/>
      <c r="E2" s="17" t="s">
        <v>9</v>
      </c>
      <c r="F2" s="18" t="s">
        <v>10</v>
      </c>
      <c r="G2" s="19" t="s">
        <v>11</v>
      </c>
      <c r="H2" s="17" t="s">
        <v>9</v>
      </c>
      <c r="I2" s="18" t="s">
        <v>10</v>
      </c>
      <c r="J2" s="19" t="s">
        <v>11</v>
      </c>
      <c r="K2" s="17" t="s">
        <v>9</v>
      </c>
      <c r="L2" s="18" t="s">
        <v>10</v>
      </c>
      <c r="M2" s="19" t="s">
        <v>11</v>
      </c>
      <c r="N2" s="17" t="s">
        <v>9</v>
      </c>
      <c r="O2" s="18" t="s">
        <v>10</v>
      </c>
      <c r="P2" s="19" t="s">
        <v>11</v>
      </c>
      <c r="Q2" s="30"/>
    </row>
    <row r="3" spans="1:18" hidden="1" x14ac:dyDescent="0.25">
      <c r="A3" s="6" t="s">
        <v>0</v>
      </c>
      <c r="B3" s="20"/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6"/>
      <c r="O3" s="3"/>
      <c r="P3" s="7"/>
      <c r="Q3" s="8">
        <f>B3-E3-H3-K3-N3</f>
        <v>0</v>
      </c>
    </row>
    <row r="4" spans="1:18" hidden="1" x14ac:dyDescent="0.25">
      <c r="A4" s="4" t="s">
        <v>1</v>
      </c>
      <c r="B4" s="23"/>
      <c r="C4" s="24"/>
      <c r="D4" s="25"/>
      <c r="E4" s="23"/>
      <c r="F4" s="24"/>
      <c r="G4" s="25"/>
      <c r="H4" s="4"/>
      <c r="I4" s="2"/>
      <c r="J4" s="5"/>
      <c r="K4" s="4"/>
      <c r="L4" s="2"/>
      <c r="M4" s="5"/>
      <c r="N4" s="4"/>
      <c r="O4" s="2"/>
      <c r="P4" s="5"/>
      <c r="Q4" s="8">
        <f t="shared" ref="Q4:Q20" si="0">B4-E4-H4-K4-N4</f>
        <v>0</v>
      </c>
    </row>
    <row r="5" spans="1:18" hidden="1" x14ac:dyDescent="0.25">
      <c r="A5" s="4" t="s">
        <v>2</v>
      </c>
      <c r="B5" s="23"/>
      <c r="C5" s="24"/>
      <c r="D5" s="25"/>
      <c r="E5" s="23"/>
      <c r="F5" s="24"/>
      <c r="G5" s="25"/>
      <c r="H5" s="4"/>
      <c r="I5" s="2"/>
      <c r="J5" s="5"/>
      <c r="K5" s="4"/>
      <c r="L5" s="2"/>
      <c r="M5" s="5"/>
      <c r="N5" s="4"/>
      <c r="O5" s="2"/>
      <c r="P5" s="5"/>
      <c r="Q5" s="8">
        <f t="shared" si="0"/>
        <v>0</v>
      </c>
    </row>
    <row r="6" spans="1:18" hidden="1" x14ac:dyDescent="0.25">
      <c r="A6" s="4" t="s">
        <v>3</v>
      </c>
      <c r="B6" s="23"/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4"/>
      <c r="O6" s="2"/>
      <c r="P6" s="5"/>
      <c r="Q6" s="8">
        <f t="shared" si="0"/>
        <v>0</v>
      </c>
    </row>
    <row r="7" spans="1:18" hidden="1" x14ac:dyDescent="0.25">
      <c r="A7" s="4" t="s">
        <v>22</v>
      </c>
      <c r="B7" s="26"/>
      <c r="C7" s="27"/>
      <c r="D7" s="28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8" x14ac:dyDescent="0.25">
      <c r="A8" s="37" t="s">
        <v>26</v>
      </c>
      <c r="B8" s="40">
        <v>4320</v>
      </c>
      <c r="C8" s="41">
        <v>4654</v>
      </c>
      <c r="D8" s="42">
        <v>7</v>
      </c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4320</v>
      </c>
    </row>
    <row r="9" spans="1:18" x14ac:dyDescent="0.25">
      <c r="A9" s="37" t="s">
        <v>27</v>
      </c>
      <c r="B9" s="23">
        <v>3725</v>
      </c>
      <c r="C9" s="24">
        <v>4035</v>
      </c>
      <c r="D9" s="25">
        <v>6</v>
      </c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3725</v>
      </c>
    </row>
    <row r="10" spans="1:18" hidden="1" x14ac:dyDescent="0.25">
      <c r="A10" s="37" t="s">
        <v>4</v>
      </c>
      <c r="B10" s="23"/>
      <c r="C10" s="24"/>
      <c r="D10" s="25"/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8">
        <f t="shared" si="0"/>
        <v>0</v>
      </c>
    </row>
    <row r="11" spans="1:18" x14ac:dyDescent="0.25">
      <c r="A11" s="38" t="s">
        <v>28</v>
      </c>
      <c r="B11" s="26">
        <v>7079</v>
      </c>
      <c r="C11" s="27">
        <v>7705</v>
      </c>
      <c r="D11" s="28">
        <v>12</v>
      </c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7079</v>
      </c>
    </row>
    <row r="12" spans="1:18" x14ac:dyDescent="0.25">
      <c r="A12" s="38" t="s">
        <v>25</v>
      </c>
      <c r="B12" s="26">
        <v>5020</v>
      </c>
      <c r="C12" s="27">
        <v>5502</v>
      </c>
      <c r="D12" s="28">
        <v>9</v>
      </c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5020</v>
      </c>
    </row>
    <row r="13" spans="1:18" x14ac:dyDescent="0.25">
      <c r="A13" s="38" t="s">
        <v>24</v>
      </c>
      <c r="B13" s="26">
        <v>5420</v>
      </c>
      <c r="C13" s="27">
        <v>6865</v>
      </c>
      <c r="D13" s="28">
        <v>9</v>
      </c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5420</v>
      </c>
    </row>
    <row r="14" spans="1:18" x14ac:dyDescent="0.25">
      <c r="A14" s="38" t="s">
        <v>13</v>
      </c>
      <c r="B14" s="26">
        <v>6391</v>
      </c>
      <c r="C14" s="27">
        <v>7260</v>
      </c>
      <c r="D14" s="28">
        <v>12</v>
      </c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6391</v>
      </c>
    </row>
    <row r="15" spans="1:18" x14ac:dyDescent="0.25">
      <c r="A15" s="38" t="s">
        <v>23</v>
      </c>
      <c r="B15" s="26">
        <v>15278</v>
      </c>
      <c r="C15" s="27">
        <v>16409</v>
      </c>
      <c r="D15" s="28">
        <v>23</v>
      </c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8">
        <f t="shared" si="0"/>
        <v>15278</v>
      </c>
    </row>
    <row r="16" spans="1:18" x14ac:dyDescent="0.25">
      <c r="A16" s="43" t="s">
        <v>29</v>
      </c>
      <c r="B16" s="44">
        <v>12486</v>
      </c>
      <c r="C16" s="45">
        <v>13449</v>
      </c>
      <c r="D16" s="46">
        <v>19</v>
      </c>
      <c r="E16" s="44"/>
      <c r="F16" s="45"/>
      <c r="G16" s="46"/>
      <c r="H16" s="44"/>
      <c r="I16" s="45"/>
      <c r="J16" s="46"/>
      <c r="K16" s="47"/>
      <c r="L16" s="48"/>
      <c r="M16" s="49"/>
      <c r="N16" s="47"/>
      <c r="O16" s="48"/>
      <c r="P16" s="49"/>
      <c r="Q16" s="50">
        <f t="shared" si="0"/>
        <v>12486</v>
      </c>
      <c r="R16" s="51" t="s">
        <v>31</v>
      </c>
    </row>
    <row r="17" spans="1:18" x14ac:dyDescent="0.25">
      <c r="A17" s="43" t="s">
        <v>30</v>
      </c>
      <c r="B17" s="47">
        <v>4495</v>
      </c>
      <c r="C17" s="48">
        <v>4890</v>
      </c>
      <c r="D17" s="49">
        <v>8</v>
      </c>
      <c r="E17" s="47"/>
      <c r="F17" s="48"/>
      <c r="G17" s="49"/>
      <c r="H17" s="47"/>
      <c r="I17" s="48"/>
      <c r="J17" s="49"/>
      <c r="K17" s="47"/>
      <c r="L17" s="48"/>
      <c r="M17" s="49"/>
      <c r="N17" s="47"/>
      <c r="O17" s="48"/>
      <c r="P17" s="49"/>
      <c r="Q17" s="50">
        <f t="shared" ref="Q17:Q19" si="1">B17-E17-H17-K17-N17</f>
        <v>4495</v>
      </c>
      <c r="R17" s="51"/>
    </row>
    <row r="18" spans="1:18" ht="15.75" thickBot="1" x14ac:dyDescent="0.3">
      <c r="A18" s="52" t="s">
        <v>14</v>
      </c>
      <c r="B18" s="53">
        <v>5063</v>
      </c>
      <c r="C18" s="54">
        <v>5518</v>
      </c>
      <c r="D18" s="55">
        <v>9</v>
      </c>
      <c r="E18" s="53"/>
      <c r="F18" s="54"/>
      <c r="G18" s="55"/>
      <c r="H18" s="53"/>
      <c r="I18" s="54"/>
      <c r="J18" s="55"/>
      <c r="K18" s="53"/>
      <c r="L18" s="54"/>
      <c r="M18" s="55"/>
      <c r="N18" s="53"/>
      <c r="O18" s="54"/>
      <c r="P18" s="55"/>
      <c r="Q18" s="56">
        <f t="shared" si="1"/>
        <v>5063</v>
      </c>
      <c r="R18" s="57" t="s">
        <v>32</v>
      </c>
    </row>
    <row r="19" spans="1:18" hidden="1" x14ac:dyDescent="0.25">
      <c r="A19" s="38" t="s">
        <v>19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1"/>
        <v>0</v>
      </c>
    </row>
    <row r="20" spans="1:18" ht="15.75" hidden="1" thickBot="1" x14ac:dyDescent="0.3">
      <c r="A20" s="38" t="s">
        <v>18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8">
        <f t="shared" si="0"/>
        <v>0</v>
      </c>
    </row>
    <row r="21" spans="1:18" s="1" customFormat="1" ht="15.75" thickBot="1" x14ac:dyDescent="0.3">
      <c r="A21" s="39" t="s">
        <v>8</v>
      </c>
      <c r="B21" s="39">
        <f t="shared" ref="B21:M21" si="2">SUM(B3:B20)</f>
        <v>69277</v>
      </c>
      <c r="C21" s="13">
        <f t="shared" si="2"/>
        <v>76287</v>
      </c>
      <c r="D21" s="15">
        <f t="shared" si="2"/>
        <v>114</v>
      </c>
      <c r="E21" s="12">
        <f t="shared" si="2"/>
        <v>0</v>
      </c>
      <c r="F21" s="14">
        <f t="shared" si="2"/>
        <v>0</v>
      </c>
      <c r="G21" s="15">
        <f t="shared" si="2"/>
        <v>0</v>
      </c>
      <c r="H21" s="12">
        <f t="shared" si="2"/>
        <v>0</v>
      </c>
      <c r="I21" s="14">
        <f t="shared" si="2"/>
        <v>0</v>
      </c>
      <c r="J21" s="15">
        <f t="shared" si="2"/>
        <v>0</v>
      </c>
      <c r="K21" s="12">
        <f t="shared" si="2"/>
        <v>0</v>
      </c>
      <c r="L21" s="14">
        <f t="shared" si="2"/>
        <v>0</v>
      </c>
      <c r="M21" s="15">
        <f t="shared" si="2"/>
        <v>0</v>
      </c>
      <c r="N21" s="12">
        <f t="shared" ref="N21:P21" si="3">SUM(N3:N20)</f>
        <v>0</v>
      </c>
      <c r="O21" s="14">
        <f t="shared" si="3"/>
        <v>0</v>
      </c>
      <c r="P21" s="15">
        <f t="shared" si="3"/>
        <v>0</v>
      </c>
      <c r="Q21" s="16">
        <f>SUM(Q3:Q20)</f>
        <v>69277</v>
      </c>
    </row>
  </sheetData>
  <mergeCells count="10">
    <mergeCell ref="R16:R17"/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2026-10-21T07:29:12Z</dcterms:modified>
</cp:coreProperties>
</file>