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"/>
    </mc:Choice>
  </mc:AlternateContent>
  <xr:revisionPtr revIDLastSave="0" documentId="13_ncr:1_{3F3F264D-FCCA-4A62-B905-7E1353A1CB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2" i="1" l="1"/>
  <c r="Q46" i="1" l="1"/>
  <c r="Q33" i="1"/>
  <c r="AE33" i="1" s="1"/>
  <c r="Q26" i="1"/>
  <c r="AE26" i="1" s="1"/>
  <c r="Q37" i="1"/>
  <c r="Q42" i="1"/>
  <c r="Q24" i="1"/>
  <c r="Q17" i="1"/>
  <c r="AE17" i="1" s="1"/>
  <c r="AE47" i="1"/>
  <c r="AE45" i="1"/>
  <c r="AE22" i="1"/>
  <c r="Q21" i="1"/>
  <c r="AE20" i="1"/>
  <c r="AE18" i="1"/>
  <c r="Q16" i="1"/>
  <c r="AE16" i="1" s="1"/>
  <c r="Q14" i="1"/>
  <c r="AE14" i="1" s="1"/>
  <c r="Q13" i="1"/>
  <c r="AE12" i="1"/>
  <c r="Q10" i="1"/>
  <c r="AE10" i="1" s="1"/>
  <c r="AE8" i="1"/>
  <c r="AE6" i="1"/>
  <c r="P48" i="1"/>
  <c r="T48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45" i="1"/>
  <c r="P46" i="1"/>
  <c r="T46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P25" i="1"/>
  <c r="T25" i="1" s="1"/>
  <c r="P26" i="1"/>
  <c r="P27" i="1"/>
  <c r="T27" i="1" s="1"/>
  <c r="P28" i="1"/>
  <c r="T28" i="1" s="1"/>
  <c r="P29" i="1"/>
  <c r="T29" i="1" s="1"/>
  <c r="P30" i="1"/>
  <c r="T30" i="1" s="1"/>
  <c r="P31" i="1"/>
  <c r="T31" i="1" s="1"/>
  <c r="T32" i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7" i="1"/>
  <c r="L43" i="1"/>
  <c r="AE42" i="1"/>
  <c r="L42" i="1"/>
  <c r="L41" i="1"/>
  <c r="AE40" i="1"/>
  <c r="L40" i="1"/>
  <c r="AE39" i="1"/>
  <c r="L39" i="1"/>
  <c r="L38" i="1"/>
  <c r="AE37" i="1"/>
  <c r="L37" i="1"/>
  <c r="AE36" i="1"/>
  <c r="L36" i="1"/>
  <c r="L35" i="1"/>
  <c r="AE34" i="1"/>
  <c r="L34" i="1"/>
  <c r="L33" i="1"/>
  <c r="AE32" i="1"/>
  <c r="L32" i="1"/>
  <c r="AE31" i="1"/>
  <c r="L31" i="1"/>
  <c r="AE30" i="1"/>
  <c r="L30" i="1"/>
  <c r="L29" i="1"/>
  <c r="L28" i="1"/>
  <c r="L27" i="1"/>
  <c r="L26" i="1"/>
  <c r="L25" i="1"/>
  <c r="AE24" i="1"/>
  <c r="L24" i="1"/>
  <c r="AE23" i="1"/>
  <c r="L23" i="1"/>
  <c r="L22" i="1"/>
  <c r="AE21" i="1"/>
  <c r="L21" i="1"/>
  <c r="L20" i="1"/>
  <c r="AE19" i="1"/>
  <c r="L19" i="1"/>
  <c r="L18" i="1"/>
  <c r="L17" i="1"/>
  <c r="L16" i="1"/>
  <c r="AE15" i="1"/>
  <c r="L15" i="1"/>
  <c r="L14" i="1"/>
  <c r="AE46" i="1"/>
  <c r="L46" i="1"/>
  <c r="L45" i="1"/>
  <c r="AE13" i="1"/>
  <c r="L13" i="1"/>
  <c r="L12" i="1"/>
  <c r="AE11" i="1"/>
  <c r="L11" i="1"/>
  <c r="L10" i="1"/>
  <c r="AE9" i="1"/>
  <c r="L9" i="1"/>
  <c r="L8" i="1"/>
  <c r="AE7" i="1"/>
  <c r="L7" i="1"/>
  <c r="L6" i="1"/>
  <c r="AE48" i="1"/>
  <c r="L48" i="1"/>
  <c r="L47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3" i="1" l="1"/>
  <c r="T26" i="1"/>
  <c r="T24" i="1"/>
  <c r="T45" i="1"/>
  <c r="Q5" i="1"/>
  <c r="L5" i="1"/>
  <c r="U41" i="1"/>
  <c r="U37" i="1"/>
  <c r="U33" i="1"/>
  <c r="U29" i="1"/>
  <c r="U25" i="1"/>
  <c r="U21" i="1"/>
  <c r="U17" i="1"/>
  <c r="U46" i="1"/>
  <c r="U11" i="1"/>
  <c r="U7" i="1"/>
  <c r="AE5" i="1"/>
  <c r="P5" i="1"/>
  <c r="U43" i="1"/>
  <c r="U39" i="1"/>
  <c r="U35" i="1"/>
  <c r="U31" i="1"/>
  <c r="U27" i="1"/>
  <c r="U23" i="1"/>
  <c r="U19" i="1"/>
  <c r="U15" i="1"/>
  <c r="U13" i="1"/>
  <c r="U9" i="1"/>
  <c r="U48" i="1"/>
  <c r="T47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5" i="1"/>
  <c r="U12" i="1"/>
  <c r="U10" i="1"/>
  <c r="U8" i="1"/>
  <c r="U6" i="1"/>
  <c r="U47" i="1"/>
</calcChain>
</file>

<file path=xl/sharedStrings.xml><?xml version="1.0" encoding="utf-8"?>
<sst xmlns="http://schemas.openxmlformats.org/spreadsheetml/2006/main" count="158" uniqueCount="95">
  <si>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</si>
  <si>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</si>
  <si>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</si>
  <si>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</si>
  <si>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</si>
  <si>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</si>
  <si>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</si>
  <si>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</si>
  <si>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</si>
  <si>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</si>
  <si>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</si>
  <si>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</si>
  <si>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</si>
  <si>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</si>
  <si>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</si>
  <si>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</si>
  <si>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</si>
  <si>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</si>
  <si>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</si>
  <si>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</si>
  <si>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</si>
  <si>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</si>
  <si>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</si>
  <si>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</si>
  <si>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</si>
  <si>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</si>
  <si>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</si>
  <si>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</si>
  <si>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</si>
  <si>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</si>
  <si>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</si>
  <si>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</si>
  <si>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</si>
  <si>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</si>
  <si>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</si>
  <si>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нужно увеличить продажи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</si>
  <si>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</si>
  <si>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</si>
  <si>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</si>
  <si>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</si>
  <si>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</si>
  <si>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</si>
  <si>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</si>
  <si>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</si>
  <si>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</si>
  <si>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</si>
  <si>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</si>
  <si>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</si>
  <si>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</si>
  <si>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</si>
  <si>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</si>
  <si>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нужно увеличить продажи!!! / 29,09,25 завод не отгрузил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</si>
  <si>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</si>
  <si>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</si>
  <si>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</si>
  <si>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</si>
  <si>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</si>
  <si>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</si>
  <si>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</si>
  <si>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</si>
  <si>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</si>
  <si>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</si>
  <si>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</si>
  <si>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</si>
  <si>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</si>
  <si>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</si>
  <si>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</si>
  <si>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</si>
  <si>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</si>
  <si>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</si>
  <si>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</si>
  <si>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</si>
  <si>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</si>
  <si>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</si>
  <si>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</si>
  <si>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</si>
  <si>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</si>
  <si>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</si>
  <si>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</si>
  <si>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</si>
  <si>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</si>
  <si>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</si>
  <si>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</si>
  <si>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</si>
  <si>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</si>
  <si>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</si>
  <si>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</si>
  <si>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</si>
  <si>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</si>
  <si>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</si>
  <si>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</si>
  <si>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</si>
  <si>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</si>
  <si>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</si>
  <si>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t>19,01,26 завод не отгрузил 360кг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</si>
</sst>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0.5703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4918.9260000000004</v>
      </c>
      <c r="F5" s="4">
        <f>SUM(F6:F496)</f>
        <v>17288.349999999999</v>
      </c>
      <c r="G5" s="7"/>
      <c r="H5" s="1"/>
      <c r="I5" s="1"/>
      <c r="J5" s="1"/>
      <c r="K5" s="4">
        <f t="shared" ref="K5:R5" si="0">SUM(K6:K496)</f>
        <v>3870.4080000000004</v>
      </c>
      <c r="L5" s="4">
        <f t="shared" si="0"/>
        <v>1048.518</v>
      </c>
      <c r="M5" s="4">
        <f t="shared" si="0"/>
        <v>0</v>
      </c>
      <c r="N5" s="4">
        <f t="shared" si="0"/>
        <v>0</v>
      </c>
      <c r="O5" s="4">
        <f t="shared" si="0"/>
        <v>6353</v>
      </c>
      <c r="P5" s="4">
        <f t="shared" si="0"/>
        <v>983.78520000000037</v>
      </c>
      <c r="Q5" s="4">
        <f t="shared" si="0"/>
        <v>4012.3969999999999</v>
      </c>
      <c r="R5" s="4">
        <f t="shared" si="0"/>
        <v>0</v>
      </c>
      <c r="S5" s="1"/>
      <c r="T5" s="1"/>
      <c r="U5" s="1"/>
      <c r="V5" s="4">
        <f t="shared" ref="V5:AC5" si="1">SUM(V6:V496)</f>
        <v>1026.069</v>
      </c>
      <c r="W5" s="4">
        <f t="shared" si="1"/>
        <v>1604.2801666666669</v>
      </c>
      <c r="X5" s="4">
        <f t="shared" si="1"/>
        <v>1223.433</v>
      </c>
      <c r="Y5" s="4">
        <f t="shared" si="1"/>
        <v>1069.5562</v>
      </c>
      <c r="Z5" s="4">
        <f t="shared" si="1"/>
        <v>919.27320000000009</v>
      </c>
      <c r="AA5" s="4">
        <f t="shared" si="1"/>
        <v>826.11059999999986</v>
      </c>
      <c r="AB5" s="4">
        <f t="shared" si="1"/>
        <v>837.7793999999999</v>
      </c>
      <c r="AC5" s="4">
        <f t="shared" si="1"/>
        <v>962.65740000000017</v>
      </c>
      <c r="AD5" s="1"/>
      <c r="AE5" s="4">
        <f>SUM(AE6:AE496)</f>
        <v>2064.2330000000002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34</v>
      </c>
      <c r="C6" s="1"/>
      <c r="D6" s="1">
        <v>96</v>
      </c>
      <c r="E6" s="1">
        <v>15</v>
      </c>
      <c r="F6" s="1">
        <v>81</v>
      </c>
      <c r="G6" s="7">
        <v>0.82450000000000001</v>
      </c>
      <c r="H6" s="1">
        <v>180</v>
      </c>
      <c r="I6" s="1">
        <v>6948249</v>
      </c>
      <c r="J6" s="1"/>
      <c r="K6" s="1">
        <v>15</v>
      </c>
      <c r="L6" s="1">
        <f t="shared" ref="L6:L43" si="2">E6-K6</f>
        <v>0</v>
      </c>
      <c r="M6" s="1"/>
      <c r="N6" s="1"/>
      <c r="O6" s="1">
        <v>0</v>
      </c>
      <c r="P6" s="1">
        <f t="shared" ref="P6:P43" si="3">E6/5</f>
        <v>3</v>
      </c>
      <c r="Q6" s="9"/>
      <c r="R6" s="9"/>
      <c r="S6" s="1"/>
      <c r="T6" s="1">
        <f t="shared" ref="T6:T43" si="4">(F6+O6+Q6)/P6</f>
        <v>27</v>
      </c>
      <c r="U6" s="1">
        <f t="shared" ref="U6:U43" si="5">(F6+O6)/P6</f>
        <v>27</v>
      </c>
      <c r="V6" s="1">
        <v>0</v>
      </c>
      <c r="W6" s="1">
        <v>1.166666666666667</v>
      </c>
      <c r="X6" s="1">
        <v>9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f t="shared" ref="AE6:AE24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48</v>
      </c>
      <c r="D7" s="1">
        <v>1176</v>
      </c>
      <c r="E7" s="1">
        <v>100</v>
      </c>
      <c r="F7" s="1">
        <v>1112</v>
      </c>
      <c r="G7" s="7">
        <v>0.372</v>
      </c>
      <c r="H7" s="1">
        <v>180</v>
      </c>
      <c r="I7" s="1">
        <v>6948256</v>
      </c>
      <c r="J7" s="1"/>
      <c r="K7" s="1">
        <v>112</v>
      </c>
      <c r="L7" s="1">
        <f t="shared" si="2"/>
        <v>-12</v>
      </c>
      <c r="M7" s="1"/>
      <c r="N7" s="1"/>
      <c r="O7" s="1">
        <v>504</v>
      </c>
      <c r="P7" s="1">
        <f t="shared" si="3"/>
        <v>20</v>
      </c>
      <c r="Q7" s="9"/>
      <c r="R7" s="9"/>
      <c r="S7" s="1"/>
      <c r="T7" s="1">
        <f t="shared" si="4"/>
        <v>80.8</v>
      </c>
      <c r="U7" s="1">
        <f t="shared" si="5"/>
        <v>80.8</v>
      </c>
      <c r="V7" s="1">
        <v>3.6</v>
      </c>
      <c r="W7" s="1">
        <v>67.833333333333329</v>
      </c>
      <c r="X7" s="1">
        <v>44.2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/>
      <c r="D8" s="1">
        <v>888</v>
      </c>
      <c r="E8" s="1">
        <v>58</v>
      </c>
      <c r="F8" s="1">
        <v>818</v>
      </c>
      <c r="G8" s="7">
        <v>0.74399999999999999</v>
      </c>
      <c r="H8" s="1">
        <v>180</v>
      </c>
      <c r="I8" s="1">
        <v>6948263</v>
      </c>
      <c r="J8" s="1"/>
      <c r="K8" s="1">
        <v>70</v>
      </c>
      <c r="L8" s="1">
        <f t="shared" si="2"/>
        <v>-12</v>
      </c>
      <c r="M8" s="1"/>
      <c r="N8" s="1"/>
      <c r="O8" s="1">
        <v>300</v>
      </c>
      <c r="P8" s="1">
        <f t="shared" si="3"/>
        <v>11.6</v>
      </c>
      <c r="Q8" s="9"/>
      <c r="R8" s="9"/>
      <c r="S8" s="1"/>
      <c r="T8" s="1">
        <f t="shared" si="4"/>
        <v>96.379310344827587</v>
      </c>
      <c r="U8" s="1">
        <f t="shared" si="5"/>
        <v>96.379310344827587</v>
      </c>
      <c r="V8" s="1">
        <v>0</v>
      </c>
      <c r="W8" s="1">
        <v>48</v>
      </c>
      <c r="X8" s="1">
        <v>34.799999999999997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/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/>
      <c r="D9" s="1">
        <v>1212</v>
      </c>
      <c r="E9" s="1">
        <v>209</v>
      </c>
      <c r="F9" s="1">
        <v>991</v>
      </c>
      <c r="G9" s="7">
        <v>0.372</v>
      </c>
      <c r="H9" s="1">
        <v>180</v>
      </c>
      <c r="I9" s="1">
        <v>6948270</v>
      </c>
      <c r="J9" s="1"/>
      <c r="K9" s="1">
        <v>219</v>
      </c>
      <c r="L9" s="1">
        <f t="shared" si="2"/>
        <v>-10</v>
      </c>
      <c r="M9" s="1"/>
      <c r="N9" s="1"/>
      <c r="O9" s="1">
        <v>300</v>
      </c>
      <c r="P9" s="1">
        <f t="shared" si="3"/>
        <v>41.8</v>
      </c>
      <c r="Q9" s="9"/>
      <c r="R9" s="9"/>
      <c r="S9" s="1"/>
      <c r="T9" s="1">
        <f t="shared" si="4"/>
        <v>30.885167464114836</v>
      </c>
      <c r="U9" s="1">
        <f t="shared" si="5"/>
        <v>30.885167464114836</v>
      </c>
      <c r="V9" s="1">
        <v>0</v>
      </c>
      <c r="W9" s="1">
        <v>61.666666666666657</v>
      </c>
      <c r="X9" s="1">
        <v>78.8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/>
      <c r="D10" s="1">
        <v>720</v>
      </c>
      <c r="E10" s="1">
        <v>230</v>
      </c>
      <c r="F10" s="1">
        <v>478</v>
      </c>
      <c r="G10" s="7">
        <v>0.74399999999999999</v>
      </c>
      <c r="H10" s="1">
        <v>180</v>
      </c>
      <c r="I10" s="1">
        <v>6948287</v>
      </c>
      <c r="J10" s="1"/>
      <c r="K10" s="1">
        <v>230</v>
      </c>
      <c r="L10" s="1">
        <f t="shared" si="2"/>
        <v>0</v>
      </c>
      <c r="M10" s="1"/>
      <c r="N10" s="1"/>
      <c r="O10" s="1">
        <v>0</v>
      </c>
      <c r="P10" s="1">
        <f t="shared" si="3"/>
        <v>46</v>
      </c>
      <c r="Q10" s="9">
        <f t="shared" ref="Q10:Q21" si="7">20*P10-O10-F10</f>
        <v>442</v>
      </c>
      <c r="R10" s="9"/>
      <c r="S10" s="1"/>
      <c r="T10" s="1">
        <f t="shared" si="4"/>
        <v>20</v>
      </c>
      <c r="U10" s="1">
        <f t="shared" si="5"/>
        <v>10.391304347826088</v>
      </c>
      <c r="V10" s="1">
        <v>0</v>
      </c>
      <c r="W10" s="1">
        <v>38</v>
      </c>
      <c r="X10" s="1">
        <v>58.2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/>
      <c r="AE10" s="1">
        <f t="shared" si="6"/>
        <v>328.84800000000001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/>
      <c r="D11" s="1">
        <v>48</v>
      </c>
      <c r="E11" s="1">
        <v>3</v>
      </c>
      <c r="F11" s="1">
        <v>45</v>
      </c>
      <c r="G11" s="7">
        <v>0.14000000000000001</v>
      </c>
      <c r="H11" s="1">
        <v>180</v>
      </c>
      <c r="I11" s="1">
        <v>9988421</v>
      </c>
      <c r="J11" s="1"/>
      <c r="K11" s="1">
        <v>6</v>
      </c>
      <c r="L11" s="1">
        <f t="shared" si="2"/>
        <v>-3</v>
      </c>
      <c r="M11" s="1"/>
      <c r="N11" s="1"/>
      <c r="O11" s="1">
        <v>16</v>
      </c>
      <c r="P11" s="1">
        <f t="shared" si="3"/>
        <v>0.6</v>
      </c>
      <c r="Q11" s="9"/>
      <c r="R11" s="9"/>
      <c r="S11" s="1"/>
      <c r="T11" s="1">
        <f t="shared" si="4"/>
        <v>101.66666666666667</v>
      </c>
      <c r="U11" s="1">
        <f t="shared" si="5"/>
        <v>101.66666666666667</v>
      </c>
      <c r="V11" s="1">
        <v>0</v>
      </c>
      <c r="W11" s="1">
        <v>3.166666666666667</v>
      </c>
      <c r="X11" s="1">
        <v>3.8</v>
      </c>
      <c r="Y11" s="1">
        <v>6</v>
      </c>
      <c r="Z11" s="1">
        <v>3.6</v>
      </c>
      <c r="AA11" s="1">
        <v>4.2</v>
      </c>
      <c r="AB11" s="1">
        <v>0</v>
      </c>
      <c r="AC11" s="1">
        <v>1</v>
      </c>
      <c r="AD11" s="1" t="s">
        <v>44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179</v>
      </c>
      <c r="D12" s="1">
        <v>32</v>
      </c>
      <c r="E12" s="1">
        <v>55</v>
      </c>
      <c r="F12" s="1">
        <v>156</v>
      </c>
      <c r="G12" s="7">
        <v>0.18</v>
      </c>
      <c r="H12" s="1">
        <v>270</v>
      </c>
      <c r="I12" s="1">
        <v>9988438</v>
      </c>
      <c r="J12" s="1"/>
      <c r="K12" s="1">
        <v>55</v>
      </c>
      <c r="L12" s="1">
        <f t="shared" si="2"/>
        <v>0</v>
      </c>
      <c r="M12" s="1"/>
      <c r="N12" s="1"/>
      <c r="O12" s="1">
        <v>176</v>
      </c>
      <c r="P12" s="1">
        <f t="shared" si="3"/>
        <v>11</v>
      </c>
      <c r="Q12" s="9"/>
      <c r="R12" s="9"/>
      <c r="S12" s="1"/>
      <c r="T12" s="1">
        <f t="shared" si="4"/>
        <v>30.181818181818183</v>
      </c>
      <c r="U12" s="1">
        <f t="shared" si="5"/>
        <v>30.181818181818183</v>
      </c>
      <c r="V12" s="1">
        <v>19.2</v>
      </c>
      <c r="W12" s="1">
        <v>16.5</v>
      </c>
      <c r="X12" s="1">
        <v>18.399999999999999</v>
      </c>
      <c r="Y12" s="1">
        <v>18.399999999999999</v>
      </c>
      <c r="Z12" s="1">
        <v>15.4</v>
      </c>
      <c r="AA12" s="1">
        <v>16</v>
      </c>
      <c r="AB12" s="1">
        <v>14.6</v>
      </c>
      <c r="AC12" s="1">
        <v>12.8</v>
      </c>
      <c r="AD12" s="27" t="s">
        <v>35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47</v>
      </c>
      <c r="D13" s="1">
        <v>144</v>
      </c>
      <c r="E13" s="1">
        <v>86</v>
      </c>
      <c r="F13" s="1">
        <v>105</v>
      </c>
      <c r="G13" s="7">
        <v>0.18</v>
      </c>
      <c r="H13" s="1">
        <v>270</v>
      </c>
      <c r="I13" s="1">
        <v>9988445</v>
      </c>
      <c r="J13" s="1"/>
      <c r="K13" s="1">
        <v>86</v>
      </c>
      <c r="L13" s="1">
        <f t="shared" si="2"/>
        <v>0</v>
      </c>
      <c r="M13" s="1"/>
      <c r="N13" s="1"/>
      <c r="O13" s="1">
        <v>176</v>
      </c>
      <c r="P13" s="1">
        <f t="shared" si="3"/>
        <v>17.2</v>
      </c>
      <c r="Q13" s="9">
        <f t="shared" si="7"/>
        <v>63</v>
      </c>
      <c r="R13" s="9"/>
      <c r="S13" s="1"/>
      <c r="T13" s="1">
        <f t="shared" si="4"/>
        <v>20</v>
      </c>
      <c r="U13" s="1">
        <f t="shared" si="5"/>
        <v>16.337209302325583</v>
      </c>
      <c r="V13" s="1">
        <v>18.2</v>
      </c>
      <c r="W13" s="1">
        <v>15.66666666666667</v>
      </c>
      <c r="X13" s="1">
        <v>16.8</v>
      </c>
      <c r="Y13" s="1">
        <v>12.6</v>
      </c>
      <c r="Z13" s="1">
        <v>15.4</v>
      </c>
      <c r="AA13" s="1">
        <v>15.4</v>
      </c>
      <c r="AB13" s="1">
        <v>13.2</v>
      </c>
      <c r="AC13" s="1">
        <v>10.4</v>
      </c>
      <c r="AD13" s="1"/>
      <c r="AE13" s="1">
        <f t="shared" si="6"/>
        <v>11.34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125</v>
      </c>
      <c r="D14" s="1"/>
      <c r="E14" s="1">
        <v>44</v>
      </c>
      <c r="F14" s="1">
        <v>81</v>
      </c>
      <c r="G14" s="7">
        <v>0.4</v>
      </c>
      <c r="H14" s="1">
        <v>270</v>
      </c>
      <c r="I14" s="1">
        <v>9988452</v>
      </c>
      <c r="J14" s="1"/>
      <c r="K14" s="1">
        <v>44</v>
      </c>
      <c r="L14" s="1">
        <f t="shared" si="2"/>
        <v>0</v>
      </c>
      <c r="M14" s="1"/>
      <c r="N14" s="1"/>
      <c r="O14" s="1">
        <v>0</v>
      </c>
      <c r="P14" s="1">
        <f t="shared" si="3"/>
        <v>8.8000000000000007</v>
      </c>
      <c r="Q14" s="9">
        <f t="shared" si="7"/>
        <v>95</v>
      </c>
      <c r="R14" s="9"/>
      <c r="S14" s="1"/>
      <c r="T14" s="1">
        <f t="shared" si="4"/>
        <v>20</v>
      </c>
      <c r="U14" s="1">
        <f t="shared" si="5"/>
        <v>9.2045454545454533</v>
      </c>
      <c r="V14" s="1">
        <v>3.8</v>
      </c>
      <c r="W14" s="1">
        <v>6</v>
      </c>
      <c r="X14" s="1">
        <v>4.2</v>
      </c>
      <c r="Y14" s="1">
        <v>7.8</v>
      </c>
      <c r="Z14" s="1">
        <v>5.8</v>
      </c>
      <c r="AA14" s="1">
        <v>9.6</v>
      </c>
      <c r="AB14" s="1">
        <v>6.4</v>
      </c>
      <c r="AC14" s="1">
        <v>6.2</v>
      </c>
      <c r="AD14" s="1" t="s">
        <v>51</v>
      </c>
      <c r="AE14" s="1">
        <f t="shared" si="6"/>
        <v>38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34</v>
      </c>
      <c r="C15" s="1">
        <v>39</v>
      </c>
      <c r="D15" s="1">
        <v>56</v>
      </c>
      <c r="E15" s="1">
        <v>12</v>
      </c>
      <c r="F15" s="1">
        <v>83</v>
      </c>
      <c r="G15" s="7">
        <v>0.4</v>
      </c>
      <c r="H15" s="1">
        <v>270</v>
      </c>
      <c r="I15" s="1">
        <v>9988476</v>
      </c>
      <c r="J15" s="1"/>
      <c r="K15" s="1">
        <v>12</v>
      </c>
      <c r="L15" s="1">
        <f t="shared" si="2"/>
        <v>0</v>
      </c>
      <c r="M15" s="1"/>
      <c r="N15" s="1"/>
      <c r="O15" s="1">
        <v>0</v>
      </c>
      <c r="P15" s="1">
        <f t="shared" si="3"/>
        <v>2.4</v>
      </c>
      <c r="Q15" s="9"/>
      <c r="R15" s="9"/>
      <c r="S15" s="1"/>
      <c r="T15" s="1">
        <f t="shared" si="4"/>
        <v>34.583333333333336</v>
      </c>
      <c r="U15" s="1">
        <f t="shared" si="5"/>
        <v>34.583333333333336</v>
      </c>
      <c r="V15" s="1">
        <v>1</v>
      </c>
      <c r="W15" s="1">
        <v>4.333333333333333</v>
      </c>
      <c r="X15" s="1">
        <v>3.8</v>
      </c>
      <c r="Y15" s="1">
        <v>3.6</v>
      </c>
      <c r="Z15" s="1">
        <v>4.2</v>
      </c>
      <c r="AA15" s="1">
        <v>7.2</v>
      </c>
      <c r="AB15" s="1">
        <v>2.6</v>
      </c>
      <c r="AC15" s="1">
        <v>5</v>
      </c>
      <c r="AD15" s="28" t="s">
        <v>37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34</v>
      </c>
      <c r="C16" s="1">
        <v>312</v>
      </c>
      <c r="D16" s="1">
        <v>108</v>
      </c>
      <c r="E16" s="1">
        <v>195</v>
      </c>
      <c r="F16" s="1">
        <v>222</v>
      </c>
      <c r="G16" s="7">
        <v>0.18</v>
      </c>
      <c r="H16" s="1">
        <v>150</v>
      </c>
      <c r="I16" s="1">
        <v>5034819</v>
      </c>
      <c r="J16" s="1"/>
      <c r="K16" s="1">
        <v>195</v>
      </c>
      <c r="L16" s="1">
        <f t="shared" si="2"/>
        <v>0</v>
      </c>
      <c r="M16" s="1"/>
      <c r="N16" s="1"/>
      <c r="O16" s="1">
        <v>348</v>
      </c>
      <c r="P16" s="1">
        <f t="shared" si="3"/>
        <v>39</v>
      </c>
      <c r="Q16" s="9">
        <f t="shared" si="7"/>
        <v>210</v>
      </c>
      <c r="R16" s="9"/>
      <c r="S16" s="1"/>
      <c r="T16" s="1">
        <f t="shared" si="4"/>
        <v>20</v>
      </c>
      <c r="U16" s="1">
        <f t="shared" si="5"/>
        <v>14.615384615384615</v>
      </c>
      <c r="V16" s="1">
        <v>38</v>
      </c>
      <c r="W16" s="1">
        <v>15.33333333333333</v>
      </c>
      <c r="X16" s="1">
        <v>31.6</v>
      </c>
      <c r="Y16" s="1">
        <v>37</v>
      </c>
      <c r="Z16" s="1">
        <v>12.2</v>
      </c>
      <c r="AA16" s="1">
        <v>22.8</v>
      </c>
      <c r="AB16" s="1">
        <v>21.2</v>
      </c>
      <c r="AC16" s="1">
        <v>32.799999999999997</v>
      </c>
      <c r="AD16" s="1" t="s">
        <v>54</v>
      </c>
      <c r="AE16" s="1">
        <f t="shared" si="6"/>
        <v>37.799999999999997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34</v>
      </c>
      <c r="C17" s="1">
        <v>28</v>
      </c>
      <c r="D17" s="1">
        <v>80</v>
      </c>
      <c r="E17" s="1">
        <v>34</v>
      </c>
      <c r="F17" s="1">
        <v>74</v>
      </c>
      <c r="G17" s="7">
        <v>0.1</v>
      </c>
      <c r="H17" s="1">
        <v>90</v>
      </c>
      <c r="I17" s="1">
        <v>8444163</v>
      </c>
      <c r="J17" s="1"/>
      <c r="K17" s="1">
        <v>34</v>
      </c>
      <c r="L17" s="1">
        <f t="shared" si="2"/>
        <v>0</v>
      </c>
      <c r="M17" s="1"/>
      <c r="N17" s="1"/>
      <c r="O17" s="1">
        <v>0</v>
      </c>
      <c r="P17" s="1">
        <f t="shared" si="3"/>
        <v>6.8</v>
      </c>
      <c r="Q17" s="9">
        <f>18*P17-O17-F17</f>
        <v>48.399999999999991</v>
      </c>
      <c r="R17" s="9"/>
      <c r="S17" s="1"/>
      <c r="T17" s="1">
        <f t="shared" si="4"/>
        <v>18</v>
      </c>
      <c r="U17" s="1">
        <f t="shared" si="5"/>
        <v>10.882352941176471</v>
      </c>
      <c r="V17" s="1">
        <v>4.5999999999999996</v>
      </c>
      <c r="W17" s="1">
        <v>8.1666666666666661</v>
      </c>
      <c r="X17" s="1">
        <v>3.4</v>
      </c>
      <c r="Y17" s="1">
        <v>4.8</v>
      </c>
      <c r="Z17" s="1">
        <v>9.1999999999999993</v>
      </c>
      <c r="AA17" s="1">
        <v>6.8</v>
      </c>
      <c r="AB17" s="1">
        <v>2.8</v>
      </c>
      <c r="AC17" s="1">
        <v>4.4000000000000004</v>
      </c>
      <c r="AD17" s="1"/>
      <c r="AE17" s="1">
        <f t="shared" si="6"/>
        <v>4.84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34</v>
      </c>
      <c r="C18" s="1">
        <v>496</v>
      </c>
      <c r="D18" s="1">
        <v>204</v>
      </c>
      <c r="E18" s="1">
        <v>277</v>
      </c>
      <c r="F18" s="1">
        <v>418</v>
      </c>
      <c r="G18" s="7">
        <v>0.18</v>
      </c>
      <c r="H18" s="1">
        <v>150</v>
      </c>
      <c r="I18" s="1">
        <v>5038411</v>
      </c>
      <c r="J18" s="1"/>
      <c r="K18" s="1">
        <v>278</v>
      </c>
      <c r="L18" s="1">
        <f t="shared" si="2"/>
        <v>-1</v>
      </c>
      <c r="M18" s="1"/>
      <c r="N18" s="1"/>
      <c r="O18" s="1">
        <v>910</v>
      </c>
      <c r="P18" s="1">
        <f t="shared" si="3"/>
        <v>55.4</v>
      </c>
      <c r="Q18" s="9"/>
      <c r="R18" s="9"/>
      <c r="S18" s="1"/>
      <c r="T18" s="1">
        <f t="shared" si="4"/>
        <v>23.971119133574007</v>
      </c>
      <c r="U18" s="1">
        <f t="shared" si="5"/>
        <v>23.971119133574007</v>
      </c>
      <c r="V18" s="1">
        <v>80.2</v>
      </c>
      <c r="W18" s="1">
        <v>41.666666666666657</v>
      </c>
      <c r="X18" s="1">
        <v>62</v>
      </c>
      <c r="Y18" s="1">
        <v>72.400000000000006</v>
      </c>
      <c r="Z18" s="1">
        <v>45.6</v>
      </c>
      <c r="AA18" s="1">
        <v>33.799999999999997</v>
      </c>
      <c r="AB18" s="1">
        <v>50.8</v>
      </c>
      <c r="AC18" s="1">
        <v>48.6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34</v>
      </c>
      <c r="C19" s="1">
        <v>244</v>
      </c>
      <c r="D19" s="1">
        <v>1171</v>
      </c>
      <c r="E19" s="1">
        <v>278</v>
      </c>
      <c r="F19" s="1">
        <v>1134</v>
      </c>
      <c r="G19" s="7">
        <v>0.18</v>
      </c>
      <c r="H19" s="1">
        <v>150</v>
      </c>
      <c r="I19" s="1">
        <v>5038459</v>
      </c>
      <c r="J19" s="1"/>
      <c r="K19" s="1">
        <v>277</v>
      </c>
      <c r="L19" s="1">
        <f t="shared" si="2"/>
        <v>1</v>
      </c>
      <c r="M19" s="1"/>
      <c r="N19" s="1"/>
      <c r="O19" s="1">
        <v>120</v>
      </c>
      <c r="P19" s="1">
        <f t="shared" si="3"/>
        <v>55.6</v>
      </c>
      <c r="Q19" s="9"/>
      <c r="R19" s="9"/>
      <c r="S19" s="1"/>
      <c r="T19" s="1">
        <f t="shared" si="4"/>
        <v>22.553956834532375</v>
      </c>
      <c r="U19" s="1">
        <f t="shared" si="5"/>
        <v>22.553956834532375</v>
      </c>
      <c r="V19" s="1">
        <v>76</v>
      </c>
      <c r="W19" s="1">
        <v>118.8333333333333</v>
      </c>
      <c r="X19" s="1">
        <v>89.6</v>
      </c>
      <c r="Y19" s="1">
        <v>86.4</v>
      </c>
      <c r="Z19" s="1">
        <v>63.6</v>
      </c>
      <c r="AA19" s="1">
        <v>61.6</v>
      </c>
      <c r="AB19" s="1">
        <v>63.8</v>
      </c>
      <c r="AC19" s="1">
        <v>51.6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34</v>
      </c>
      <c r="C20" s="1">
        <v>1</v>
      </c>
      <c r="D20" s="1">
        <v>790</v>
      </c>
      <c r="E20" s="1">
        <v>37</v>
      </c>
      <c r="F20" s="1">
        <v>754</v>
      </c>
      <c r="G20" s="7">
        <v>0.18</v>
      </c>
      <c r="H20" s="1">
        <v>150</v>
      </c>
      <c r="I20" s="1">
        <v>5038831</v>
      </c>
      <c r="J20" s="1"/>
      <c r="K20" s="1">
        <v>41</v>
      </c>
      <c r="L20" s="1">
        <f t="shared" si="2"/>
        <v>-4</v>
      </c>
      <c r="M20" s="1"/>
      <c r="N20" s="1"/>
      <c r="O20" s="1">
        <v>0</v>
      </c>
      <c r="P20" s="1">
        <f t="shared" si="3"/>
        <v>7.4</v>
      </c>
      <c r="Q20" s="9"/>
      <c r="R20" s="9"/>
      <c r="S20" s="1"/>
      <c r="T20" s="1">
        <f t="shared" si="4"/>
        <v>101.89189189189189</v>
      </c>
      <c r="U20" s="1">
        <f t="shared" si="5"/>
        <v>101.89189189189189</v>
      </c>
      <c r="V20" s="1">
        <v>27.8</v>
      </c>
      <c r="W20" s="1">
        <v>77.166666666666671</v>
      </c>
      <c r="X20" s="1">
        <v>26.6</v>
      </c>
      <c r="Y20" s="1">
        <v>30</v>
      </c>
      <c r="Z20" s="1">
        <v>31</v>
      </c>
      <c r="AA20" s="1">
        <v>22.6</v>
      </c>
      <c r="AB20" s="1">
        <v>26.4</v>
      </c>
      <c r="AC20" s="1">
        <v>33.6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34</v>
      </c>
      <c r="C21" s="1">
        <v>-20</v>
      </c>
      <c r="D21" s="1">
        <v>350</v>
      </c>
      <c r="E21" s="1">
        <v>90</v>
      </c>
      <c r="F21" s="1">
        <v>240</v>
      </c>
      <c r="G21" s="7">
        <v>0.18</v>
      </c>
      <c r="H21" s="1">
        <v>120</v>
      </c>
      <c r="I21" s="1">
        <v>5038855</v>
      </c>
      <c r="J21" s="1"/>
      <c r="K21" s="1">
        <v>116</v>
      </c>
      <c r="L21" s="1">
        <f t="shared" si="2"/>
        <v>-26</v>
      </c>
      <c r="M21" s="1"/>
      <c r="N21" s="1"/>
      <c r="O21" s="1">
        <v>0</v>
      </c>
      <c r="P21" s="1">
        <f t="shared" si="3"/>
        <v>18</v>
      </c>
      <c r="Q21" s="9">
        <f t="shared" si="7"/>
        <v>120</v>
      </c>
      <c r="R21" s="9"/>
      <c r="S21" s="1"/>
      <c r="T21" s="1">
        <f t="shared" si="4"/>
        <v>20</v>
      </c>
      <c r="U21" s="1">
        <f t="shared" si="5"/>
        <v>13.333333333333334</v>
      </c>
      <c r="V21" s="1">
        <v>0</v>
      </c>
      <c r="W21" s="1">
        <v>63.166666666666657</v>
      </c>
      <c r="X21" s="1">
        <v>17.8</v>
      </c>
      <c r="Y21" s="1">
        <v>6.6</v>
      </c>
      <c r="Z21" s="1">
        <v>32.4</v>
      </c>
      <c r="AA21" s="1">
        <v>7.2</v>
      </c>
      <c r="AB21" s="1">
        <v>-0.8</v>
      </c>
      <c r="AC21" s="1">
        <v>-0.2</v>
      </c>
      <c r="AD21" s="1" t="s">
        <v>60</v>
      </c>
      <c r="AE21" s="1">
        <f t="shared" si="6"/>
        <v>21.599999999999998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34</v>
      </c>
      <c r="C22" s="1">
        <v>472</v>
      </c>
      <c r="D22" s="1">
        <v>1626</v>
      </c>
      <c r="E22" s="1">
        <v>376</v>
      </c>
      <c r="F22" s="1">
        <v>1721</v>
      </c>
      <c r="G22" s="7">
        <v>0.18</v>
      </c>
      <c r="H22" s="1">
        <v>150</v>
      </c>
      <c r="I22" s="1">
        <v>5038435</v>
      </c>
      <c r="J22" s="1"/>
      <c r="K22" s="1">
        <v>377</v>
      </c>
      <c r="L22" s="1">
        <f t="shared" si="2"/>
        <v>-1</v>
      </c>
      <c r="M22" s="1"/>
      <c r="N22" s="1"/>
      <c r="O22" s="1">
        <v>290</v>
      </c>
      <c r="P22" s="1">
        <f t="shared" si="3"/>
        <v>75.2</v>
      </c>
      <c r="Q22" s="9"/>
      <c r="R22" s="9"/>
      <c r="S22" s="1"/>
      <c r="T22" s="1">
        <f t="shared" si="4"/>
        <v>26.742021276595743</v>
      </c>
      <c r="U22" s="1">
        <f t="shared" si="5"/>
        <v>26.742021276595743</v>
      </c>
      <c r="V22" s="1">
        <v>118.6</v>
      </c>
      <c r="W22" s="1">
        <v>207.16666666666671</v>
      </c>
      <c r="X22" s="1">
        <v>65</v>
      </c>
      <c r="Y22" s="1">
        <v>136.80000000000001</v>
      </c>
      <c r="Z22" s="1">
        <v>94.2</v>
      </c>
      <c r="AA22" s="1">
        <v>76.400000000000006</v>
      </c>
      <c r="AB22" s="1">
        <v>94.6</v>
      </c>
      <c r="AC22" s="1">
        <v>112.4</v>
      </c>
      <c r="AD22" s="27" t="s">
        <v>35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" t="s">
        <v>62</v>
      </c>
      <c r="B23" s="1" t="s">
        <v>34</v>
      </c>
      <c r="C23" s="1">
        <v>322</v>
      </c>
      <c r="D23" s="1">
        <v>312</v>
      </c>
      <c r="E23" s="1">
        <v>214</v>
      </c>
      <c r="F23" s="1">
        <v>419</v>
      </c>
      <c r="G23" s="7">
        <v>0.18</v>
      </c>
      <c r="H23" s="1">
        <v>120</v>
      </c>
      <c r="I23" s="1">
        <v>5038398</v>
      </c>
      <c r="J23" s="1"/>
      <c r="K23" s="1">
        <v>215</v>
      </c>
      <c r="L23" s="1">
        <f t="shared" si="2"/>
        <v>-1</v>
      </c>
      <c r="M23" s="1"/>
      <c r="N23" s="1"/>
      <c r="O23" s="1">
        <v>750</v>
      </c>
      <c r="P23" s="1">
        <f t="shared" si="3"/>
        <v>42.8</v>
      </c>
      <c r="Q23" s="9"/>
      <c r="R23" s="9"/>
      <c r="S23" s="1"/>
      <c r="T23" s="1">
        <f t="shared" si="4"/>
        <v>27.313084112149536</v>
      </c>
      <c r="U23" s="1">
        <f t="shared" si="5"/>
        <v>27.313084112149536</v>
      </c>
      <c r="V23" s="1">
        <v>68.8</v>
      </c>
      <c r="W23" s="1">
        <v>54.166666666666657</v>
      </c>
      <c r="X23" s="1">
        <v>31.4</v>
      </c>
      <c r="Y23" s="1">
        <v>54.4</v>
      </c>
      <c r="Z23" s="1">
        <v>34.200000000000003</v>
      </c>
      <c r="AA23" s="1">
        <v>26.8</v>
      </c>
      <c r="AB23" s="1">
        <v>31</v>
      </c>
      <c r="AC23" s="1">
        <v>37</v>
      </c>
      <c r="AD23" s="27" t="s">
        <v>35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0" t="s">
        <v>63</v>
      </c>
      <c r="B24" s="11" t="s">
        <v>64</v>
      </c>
      <c r="C24" s="11"/>
      <c r="D24" s="11"/>
      <c r="E24" s="11"/>
      <c r="F24" s="12"/>
      <c r="G24" s="7">
        <v>1</v>
      </c>
      <c r="H24" s="1">
        <v>150</v>
      </c>
      <c r="I24" s="1">
        <v>8785242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>
        <f>20*(P24+P25)-O24-O25-F24-F25</f>
        <v>203.40399999999997</v>
      </c>
      <c r="R24" s="9"/>
      <c r="S24" s="1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/>
      <c r="AE24" s="1">
        <f t="shared" si="6"/>
        <v>203.40399999999997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5" t="s">
        <v>65</v>
      </c>
      <c r="B25" s="16" t="s">
        <v>64</v>
      </c>
      <c r="C25" s="16">
        <v>46.701999999999998</v>
      </c>
      <c r="D25" s="16">
        <v>239.97800000000001</v>
      </c>
      <c r="E25" s="16">
        <v>96.813999999999993</v>
      </c>
      <c r="F25" s="17">
        <v>183.852</v>
      </c>
      <c r="G25" s="18">
        <v>0</v>
      </c>
      <c r="H25" s="19" t="e">
        <v>#N/A</v>
      </c>
      <c r="I25" s="19" t="s">
        <v>66</v>
      </c>
      <c r="J25" s="19" t="s">
        <v>63</v>
      </c>
      <c r="K25" s="19">
        <v>97.5</v>
      </c>
      <c r="L25" s="19">
        <f t="shared" si="2"/>
        <v>-0.68600000000000705</v>
      </c>
      <c r="M25" s="19"/>
      <c r="N25" s="19"/>
      <c r="O25" s="19">
        <v>0</v>
      </c>
      <c r="P25" s="19">
        <f t="shared" si="3"/>
        <v>19.3628</v>
      </c>
      <c r="Q25" s="20"/>
      <c r="R25" s="20"/>
      <c r="S25" s="19"/>
      <c r="T25" s="19">
        <f t="shared" si="4"/>
        <v>9.4951143429669269</v>
      </c>
      <c r="U25" s="19">
        <f t="shared" si="5"/>
        <v>9.4951143429669269</v>
      </c>
      <c r="V25" s="19">
        <v>8.0716000000000001</v>
      </c>
      <c r="W25" s="19">
        <v>17.586166666666671</v>
      </c>
      <c r="X25" s="19">
        <v>12.811199999999999</v>
      </c>
      <c r="Y25" s="19">
        <v>3.19</v>
      </c>
      <c r="Z25" s="19">
        <v>14.999000000000001</v>
      </c>
      <c r="AA25" s="19">
        <v>8.9885999999999999</v>
      </c>
      <c r="AB25" s="19">
        <v>8.9421999999999997</v>
      </c>
      <c r="AC25" s="19">
        <v>10.83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0" t="s">
        <v>67</v>
      </c>
      <c r="B26" s="11" t="s">
        <v>64</v>
      </c>
      <c r="C26" s="11"/>
      <c r="D26" s="11"/>
      <c r="E26" s="11"/>
      <c r="F26" s="12"/>
      <c r="G26" s="7">
        <v>1</v>
      </c>
      <c r="H26" s="1">
        <v>120</v>
      </c>
      <c r="I26" s="1">
        <v>8785204</v>
      </c>
      <c r="J26" s="1"/>
      <c r="K26" s="1"/>
      <c r="L26" s="1">
        <f t="shared" si="2"/>
        <v>0</v>
      </c>
      <c r="M26" s="1"/>
      <c r="N26" s="1"/>
      <c r="O26" s="1">
        <v>116</v>
      </c>
      <c r="P26" s="1">
        <f t="shared" si="3"/>
        <v>0</v>
      </c>
      <c r="Q26" s="9">
        <f>20*(P26+P27+P28)-O26-O27-F26-F27-O28-F28</f>
        <v>466.95699999999994</v>
      </c>
      <c r="R26" s="9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/>
      <c r="AE26" s="1">
        <f>G26*Q26</f>
        <v>466.95699999999994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1" t="s">
        <v>68</v>
      </c>
      <c r="B27" s="22" t="s">
        <v>64</v>
      </c>
      <c r="C27" s="22">
        <v>-25</v>
      </c>
      <c r="D27" s="22"/>
      <c r="E27" s="22"/>
      <c r="F27" s="23">
        <v>-25</v>
      </c>
      <c r="G27" s="18">
        <v>0</v>
      </c>
      <c r="H27" s="19" t="e">
        <v>#N/A</v>
      </c>
      <c r="I27" s="19" t="s">
        <v>66</v>
      </c>
      <c r="J27" s="19" t="s">
        <v>67</v>
      </c>
      <c r="K27" s="19"/>
      <c r="L27" s="19">
        <f t="shared" si="2"/>
        <v>0</v>
      </c>
      <c r="M27" s="19"/>
      <c r="N27" s="19"/>
      <c r="O27" s="19">
        <v>0</v>
      </c>
      <c r="P27" s="19">
        <f t="shared" si="3"/>
        <v>0</v>
      </c>
      <c r="Q27" s="20"/>
      <c r="R27" s="20"/>
      <c r="S27" s="19"/>
      <c r="T27" s="19" t="e">
        <f t="shared" si="4"/>
        <v>#DIV/0!</v>
      </c>
      <c r="U27" s="19" t="e">
        <f t="shared" si="5"/>
        <v>#DIV/0!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thickBot="1" x14ac:dyDescent="0.3">
      <c r="A28" s="15" t="s">
        <v>69</v>
      </c>
      <c r="B28" s="16" t="s">
        <v>64</v>
      </c>
      <c r="C28" s="16">
        <v>22.861000000000001</v>
      </c>
      <c r="D28" s="16">
        <v>643.53200000000004</v>
      </c>
      <c r="E28" s="16">
        <v>244.27</v>
      </c>
      <c r="F28" s="17">
        <v>419.12299999999999</v>
      </c>
      <c r="G28" s="18">
        <v>0</v>
      </c>
      <c r="H28" s="19" t="e">
        <v>#N/A</v>
      </c>
      <c r="I28" s="19" t="s">
        <v>66</v>
      </c>
      <c r="J28" s="19" t="s">
        <v>67</v>
      </c>
      <c r="K28" s="19">
        <v>232.3</v>
      </c>
      <c r="L28" s="19">
        <f t="shared" si="2"/>
        <v>11.969999999999999</v>
      </c>
      <c r="M28" s="19"/>
      <c r="N28" s="19"/>
      <c r="O28" s="19">
        <v>0</v>
      </c>
      <c r="P28" s="19">
        <f t="shared" si="3"/>
        <v>48.853999999999999</v>
      </c>
      <c r="Q28" s="20"/>
      <c r="R28" s="20"/>
      <c r="S28" s="19"/>
      <c r="T28" s="19">
        <f t="shared" si="4"/>
        <v>8.5790928071396397</v>
      </c>
      <c r="U28" s="19">
        <f t="shared" si="5"/>
        <v>8.5790928071396397</v>
      </c>
      <c r="V28" s="19">
        <v>37.299799999999998</v>
      </c>
      <c r="W28" s="19">
        <v>48.389999999999993</v>
      </c>
      <c r="X28" s="19">
        <v>32.822800000000001</v>
      </c>
      <c r="Y28" s="19">
        <v>30.130400000000002</v>
      </c>
      <c r="Z28" s="19">
        <v>27.1464</v>
      </c>
      <c r="AA28" s="19">
        <v>24.015599999999999</v>
      </c>
      <c r="AB28" s="19">
        <v>22.155000000000001</v>
      </c>
      <c r="AC28" s="19">
        <v>21.588200000000001</v>
      </c>
      <c r="AD28" s="19"/>
      <c r="AE28" s="1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9" t="s">
        <v>70</v>
      </c>
      <c r="B29" s="19" t="s">
        <v>64</v>
      </c>
      <c r="C29" s="19">
        <v>-20</v>
      </c>
      <c r="D29" s="19"/>
      <c r="E29" s="19"/>
      <c r="F29" s="19">
        <v>-20</v>
      </c>
      <c r="G29" s="18">
        <v>0</v>
      </c>
      <c r="H29" s="19" t="e">
        <v>#N/A</v>
      </c>
      <c r="I29" s="19" t="s">
        <v>71</v>
      </c>
      <c r="J29" s="19"/>
      <c r="K29" s="19"/>
      <c r="L29" s="19">
        <f t="shared" si="2"/>
        <v>0</v>
      </c>
      <c r="M29" s="19"/>
      <c r="N29" s="19"/>
      <c r="O29" s="19">
        <v>0</v>
      </c>
      <c r="P29" s="19">
        <f t="shared" si="3"/>
        <v>0</v>
      </c>
      <c r="Q29" s="20"/>
      <c r="R29" s="20"/>
      <c r="S29" s="19"/>
      <c r="T29" s="19" t="e">
        <f t="shared" si="4"/>
        <v>#DIV/0!</v>
      </c>
      <c r="U29" s="19" t="e">
        <f t="shared" si="5"/>
        <v>#DIV/0!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/>
      <c r="AE29" s="19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34</v>
      </c>
      <c r="C30" s="1"/>
      <c r="D30" s="1">
        <v>96</v>
      </c>
      <c r="E30" s="1">
        <v>6</v>
      </c>
      <c r="F30" s="1">
        <v>90</v>
      </c>
      <c r="G30" s="7">
        <v>0.14000000000000001</v>
      </c>
      <c r="H30" s="1">
        <v>180</v>
      </c>
      <c r="I30" s="1">
        <v>9988391</v>
      </c>
      <c r="J30" s="1"/>
      <c r="K30" s="1">
        <v>6</v>
      </c>
      <c r="L30" s="1">
        <f t="shared" si="2"/>
        <v>0</v>
      </c>
      <c r="M30" s="1"/>
      <c r="N30" s="1"/>
      <c r="O30" s="1">
        <v>224</v>
      </c>
      <c r="P30" s="1">
        <f t="shared" si="3"/>
        <v>1.2</v>
      </c>
      <c r="Q30" s="9"/>
      <c r="R30" s="9"/>
      <c r="S30" s="1"/>
      <c r="T30" s="1">
        <f t="shared" si="4"/>
        <v>261.66666666666669</v>
      </c>
      <c r="U30" s="1">
        <f t="shared" si="5"/>
        <v>261.66666666666669</v>
      </c>
      <c r="V30" s="1">
        <v>18</v>
      </c>
      <c r="W30" s="1">
        <v>9</v>
      </c>
      <c r="X30" s="1">
        <v>6.6</v>
      </c>
      <c r="Y30" s="1">
        <v>7.4</v>
      </c>
      <c r="Z30" s="1">
        <v>5.8</v>
      </c>
      <c r="AA30" s="1">
        <v>8</v>
      </c>
      <c r="AB30" s="1">
        <v>4</v>
      </c>
      <c r="AC30" s="1">
        <v>4.5999999999999996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34</v>
      </c>
      <c r="C31" s="1">
        <v>5</v>
      </c>
      <c r="D31" s="1">
        <v>496</v>
      </c>
      <c r="E31" s="1">
        <v>55</v>
      </c>
      <c r="F31" s="1">
        <v>446</v>
      </c>
      <c r="G31" s="7">
        <v>0.18</v>
      </c>
      <c r="H31" s="1">
        <v>270</v>
      </c>
      <c r="I31" s="1">
        <v>9988681</v>
      </c>
      <c r="J31" s="1"/>
      <c r="K31" s="1">
        <v>55</v>
      </c>
      <c r="L31" s="1">
        <f t="shared" si="2"/>
        <v>0</v>
      </c>
      <c r="M31" s="1"/>
      <c r="N31" s="1"/>
      <c r="O31" s="1">
        <v>352</v>
      </c>
      <c r="P31" s="1">
        <f t="shared" si="3"/>
        <v>11</v>
      </c>
      <c r="Q31" s="9"/>
      <c r="R31" s="9"/>
      <c r="S31" s="1"/>
      <c r="T31" s="1">
        <f t="shared" si="4"/>
        <v>72.545454545454547</v>
      </c>
      <c r="U31" s="1">
        <f t="shared" si="5"/>
        <v>72.545454545454547</v>
      </c>
      <c r="V31" s="1">
        <v>42.6</v>
      </c>
      <c r="W31" s="1">
        <v>39.833333333333343</v>
      </c>
      <c r="X31" s="1">
        <v>35.799999999999997</v>
      </c>
      <c r="Y31" s="1">
        <v>29.4</v>
      </c>
      <c r="Z31" s="1">
        <v>34.6</v>
      </c>
      <c r="AA31" s="1">
        <v>24.2</v>
      </c>
      <c r="AB31" s="1">
        <v>28.2</v>
      </c>
      <c r="AC31" s="1">
        <v>26.4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64</v>
      </c>
      <c r="C32" s="1">
        <v>58.887</v>
      </c>
      <c r="D32" s="1">
        <v>396</v>
      </c>
      <c r="E32" s="1">
        <v>65.072000000000003</v>
      </c>
      <c r="F32" s="1">
        <v>389.815</v>
      </c>
      <c r="G32" s="7">
        <v>1</v>
      </c>
      <c r="H32" s="1">
        <v>120</v>
      </c>
      <c r="I32" s="1">
        <v>8785198</v>
      </c>
      <c r="J32" s="1"/>
      <c r="K32" s="1">
        <v>61.107999999999997</v>
      </c>
      <c r="L32" s="1">
        <f t="shared" si="2"/>
        <v>3.9640000000000057</v>
      </c>
      <c r="M32" s="1"/>
      <c r="N32" s="1"/>
      <c r="O32" s="29"/>
      <c r="P32" s="1">
        <f t="shared" si="3"/>
        <v>13.0144</v>
      </c>
      <c r="Q32" s="9">
        <v>200</v>
      </c>
      <c r="R32" s="9"/>
      <c r="S32" s="1"/>
      <c r="T32" s="1">
        <f t="shared" si="4"/>
        <v>45.320183796410134</v>
      </c>
      <c r="U32" s="1">
        <f t="shared" si="5"/>
        <v>29.952590976149494</v>
      </c>
      <c r="V32" s="1">
        <v>40.668599999999998</v>
      </c>
      <c r="W32" s="1">
        <v>63.356666666666662</v>
      </c>
      <c r="X32" s="1">
        <v>29.614000000000001</v>
      </c>
      <c r="Y32" s="1">
        <v>36.369399999999999</v>
      </c>
      <c r="Z32" s="1">
        <v>34.729399999999998</v>
      </c>
      <c r="AA32" s="1">
        <v>25.0214</v>
      </c>
      <c r="AB32" s="1">
        <v>33.119600000000013</v>
      </c>
      <c r="AC32" s="1">
        <v>32.2744</v>
      </c>
      <c r="AD32" s="29" t="s">
        <v>94</v>
      </c>
      <c r="AE32" s="1">
        <f>G32*Q32</f>
        <v>200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75</v>
      </c>
      <c r="B33" s="1" t="s">
        <v>34</v>
      </c>
      <c r="C33" s="1">
        <v>7</v>
      </c>
      <c r="D33" s="1">
        <v>216</v>
      </c>
      <c r="E33" s="1">
        <v>73</v>
      </c>
      <c r="F33" s="1">
        <v>150</v>
      </c>
      <c r="G33" s="7">
        <v>0.1</v>
      </c>
      <c r="H33" s="1">
        <v>60</v>
      </c>
      <c r="I33" s="1">
        <v>8444187</v>
      </c>
      <c r="J33" s="1"/>
      <c r="K33" s="1">
        <v>73</v>
      </c>
      <c r="L33" s="1">
        <f t="shared" si="2"/>
        <v>0</v>
      </c>
      <c r="M33" s="1"/>
      <c r="N33" s="1"/>
      <c r="O33" s="1">
        <v>0</v>
      </c>
      <c r="P33" s="1">
        <f t="shared" si="3"/>
        <v>14.6</v>
      </c>
      <c r="Q33" s="9">
        <f>16*P33-O33-F33</f>
        <v>83.6</v>
      </c>
      <c r="R33" s="9"/>
      <c r="S33" s="1"/>
      <c r="T33" s="1">
        <f t="shared" si="4"/>
        <v>16</v>
      </c>
      <c r="U33" s="1">
        <f t="shared" si="5"/>
        <v>10.273972602739727</v>
      </c>
      <c r="V33" s="1">
        <v>13</v>
      </c>
      <c r="W33" s="1">
        <v>9.5</v>
      </c>
      <c r="X33" s="1">
        <v>18</v>
      </c>
      <c r="Y33" s="1">
        <v>13</v>
      </c>
      <c r="Z33" s="1">
        <v>7.2</v>
      </c>
      <c r="AA33" s="1">
        <v>13.8</v>
      </c>
      <c r="AB33" s="1">
        <v>17.399999999999999</v>
      </c>
      <c r="AC33" s="1">
        <v>7.2</v>
      </c>
      <c r="AD33" s="1"/>
      <c r="AE33" s="1">
        <f>G33*Q33</f>
        <v>8.36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34</v>
      </c>
      <c r="C34" s="1"/>
      <c r="D34" s="1">
        <v>348</v>
      </c>
      <c r="E34" s="1">
        <v>63</v>
      </c>
      <c r="F34" s="1">
        <v>285</v>
      </c>
      <c r="G34" s="7">
        <v>0.1</v>
      </c>
      <c r="H34" s="1">
        <v>90</v>
      </c>
      <c r="I34" s="1">
        <v>8444194</v>
      </c>
      <c r="J34" s="1"/>
      <c r="K34" s="1">
        <v>63</v>
      </c>
      <c r="L34" s="1">
        <f t="shared" si="2"/>
        <v>0</v>
      </c>
      <c r="M34" s="1"/>
      <c r="N34" s="1"/>
      <c r="O34" s="1">
        <v>0</v>
      </c>
      <c r="P34" s="1">
        <f t="shared" si="3"/>
        <v>12.6</v>
      </c>
      <c r="Q34" s="9"/>
      <c r="R34" s="9"/>
      <c r="S34" s="1"/>
      <c r="T34" s="1">
        <f t="shared" si="4"/>
        <v>22.61904761904762</v>
      </c>
      <c r="U34" s="1">
        <f t="shared" si="5"/>
        <v>22.61904761904762</v>
      </c>
      <c r="V34" s="1">
        <v>0</v>
      </c>
      <c r="W34" s="1">
        <v>11</v>
      </c>
      <c r="X34" s="1">
        <v>23.6</v>
      </c>
      <c r="Y34" s="1">
        <v>2.4</v>
      </c>
      <c r="Z34" s="1">
        <v>9.1999999999999993</v>
      </c>
      <c r="AA34" s="1">
        <v>19</v>
      </c>
      <c r="AB34" s="1">
        <v>4.4000000000000004</v>
      </c>
      <c r="AC34" s="1">
        <v>4</v>
      </c>
      <c r="AD34" s="1"/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24" t="s">
        <v>77</v>
      </c>
      <c r="B35" s="24" t="s">
        <v>64</v>
      </c>
      <c r="C35" s="24"/>
      <c r="D35" s="24"/>
      <c r="E35" s="24"/>
      <c r="F35" s="24"/>
      <c r="G35" s="25">
        <v>0</v>
      </c>
      <c r="H35" s="24">
        <v>150</v>
      </c>
      <c r="I35" s="24">
        <v>8786928</v>
      </c>
      <c r="J35" s="24"/>
      <c r="K35" s="24"/>
      <c r="L35" s="24">
        <f t="shared" si="2"/>
        <v>0</v>
      </c>
      <c r="M35" s="24"/>
      <c r="N35" s="24"/>
      <c r="O35" s="24">
        <v>0</v>
      </c>
      <c r="P35" s="24">
        <f t="shared" si="3"/>
        <v>0</v>
      </c>
      <c r="Q35" s="26"/>
      <c r="R35" s="26"/>
      <c r="S35" s="24"/>
      <c r="T35" s="24" t="e">
        <f t="shared" si="4"/>
        <v>#DIV/0!</v>
      </c>
      <c r="U35" s="24" t="e">
        <f t="shared" si="5"/>
        <v>#DIV/0!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 t="s">
        <v>78</v>
      </c>
      <c r="AE35" s="24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" t="s">
        <v>79</v>
      </c>
      <c r="B36" s="1" t="s">
        <v>34</v>
      </c>
      <c r="C36" s="1">
        <v>259</v>
      </c>
      <c r="D36" s="1"/>
      <c r="E36" s="1">
        <v>61</v>
      </c>
      <c r="F36" s="1">
        <v>198</v>
      </c>
      <c r="G36" s="7">
        <v>0.14000000000000001</v>
      </c>
      <c r="H36" s="1">
        <v>180</v>
      </c>
      <c r="I36" s="1">
        <v>9988377</v>
      </c>
      <c r="J36" s="1"/>
      <c r="K36" s="1">
        <v>61</v>
      </c>
      <c r="L36" s="1">
        <f t="shared" si="2"/>
        <v>0</v>
      </c>
      <c r="M36" s="1"/>
      <c r="N36" s="1"/>
      <c r="O36" s="1">
        <v>96</v>
      </c>
      <c r="P36" s="1">
        <f t="shared" si="3"/>
        <v>12.2</v>
      </c>
      <c r="Q36" s="9"/>
      <c r="R36" s="9"/>
      <c r="S36" s="1"/>
      <c r="T36" s="1">
        <f t="shared" si="4"/>
        <v>24.098360655737707</v>
      </c>
      <c r="U36" s="1">
        <f t="shared" si="5"/>
        <v>24.098360655737707</v>
      </c>
      <c r="V36" s="1">
        <v>17.600000000000001</v>
      </c>
      <c r="W36" s="1">
        <v>15.5</v>
      </c>
      <c r="X36" s="1">
        <v>9.8000000000000007</v>
      </c>
      <c r="Y36" s="1">
        <v>8.4</v>
      </c>
      <c r="Z36" s="1">
        <v>0</v>
      </c>
      <c r="AA36" s="1">
        <v>0</v>
      </c>
      <c r="AB36" s="1">
        <v>0</v>
      </c>
      <c r="AC36" s="1">
        <v>0</v>
      </c>
      <c r="AD36" s="27" t="s">
        <v>80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81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180</v>
      </c>
      <c r="P37" s="1">
        <f t="shared" si="3"/>
        <v>0</v>
      </c>
      <c r="Q37" s="9">
        <f>20*(P37+P38)-O37-O38-F37-F38</f>
        <v>294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83</v>
      </c>
      <c r="AE37" s="1">
        <f>G37*Q37</f>
        <v>58.800000000000004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84</v>
      </c>
      <c r="B38" s="16" t="s">
        <v>34</v>
      </c>
      <c r="C38" s="16">
        <v>191</v>
      </c>
      <c r="D38" s="16">
        <v>300</v>
      </c>
      <c r="E38" s="16">
        <v>193</v>
      </c>
      <c r="F38" s="17">
        <v>298</v>
      </c>
      <c r="G38" s="18">
        <v>0</v>
      </c>
      <c r="H38" s="19" t="e">
        <v>#N/A</v>
      </c>
      <c r="I38" s="19" t="s">
        <v>66</v>
      </c>
      <c r="J38" s="19" t="s">
        <v>81</v>
      </c>
      <c r="K38" s="19">
        <v>193</v>
      </c>
      <c r="L38" s="19">
        <f t="shared" si="2"/>
        <v>0</v>
      </c>
      <c r="M38" s="19"/>
      <c r="N38" s="19"/>
      <c r="O38" s="19">
        <v>0</v>
      </c>
      <c r="P38" s="19">
        <f t="shared" si="3"/>
        <v>38.6</v>
      </c>
      <c r="Q38" s="20"/>
      <c r="R38" s="20"/>
      <c r="S38" s="19"/>
      <c r="T38" s="19">
        <f t="shared" si="4"/>
        <v>7.7202072538860103</v>
      </c>
      <c r="U38" s="19">
        <f t="shared" si="5"/>
        <v>7.7202072538860103</v>
      </c>
      <c r="V38" s="19">
        <v>31.6</v>
      </c>
      <c r="W38" s="19">
        <v>23</v>
      </c>
      <c r="X38" s="19">
        <v>16.600000000000001</v>
      </c>
      <c r="Y38" s="19">
        <v>48.8</v>
      </c>
      <c r="Z38" s="19">
        <v>37.799999999999997</v>
      </c>
      <c r="AA38" s="19">
        <v>32</v>
      </c>
      <c r="AB38" s="19">
        <v>35.200000000000003</v>
      </c>
      <c r="AC38" s="19">
        <v>39.4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" t="s">
        <v>85</v>
      </c>
      <c r="B39" s="1" t="s">
        <v>64</v>
      </c>
      <c r="C39" s="1">
        <v>77.537999999999997</v>
      </c>
      <c r="D39" s="1">
        <v>474.83800000000002</v>
      </c>
      <c r="E39" s="1">
        <v>49.491999999999997</v>
      </c>
      <c r="F39" s="1">
        <v>502.88400000000001</v>
      </c>
      <c r="G39" s="7">
        <v>1</v>
      </c>
      <c r="H39" s="1">
        <v>120</v>
      </c>
      <c r="I39" s="1" t="s">
        <v>86</v>
      </c>
      <c r="J39" s="1"/>
      <c r="K39" s="1">
        <v>51</v>
      </c>
      <c r="L39" s="1">
        <f t="shared" si="2"/>
        <v>-1.5080000000000027</v>
      </c>
      <c r="M39" s="1"/>
      <c r="N39" s="1"/>
      <c r="O39" s="1">
        <v>0</v>
      </c>
      <c r="P39" s="1">
        <f t="shared" si="3"/>
        <v>9.8983999999999988</v>
      </c>
      <c r="Q39" s="9"/>
      <c r="R39" s="9"/>
      <c r="S39" s="1"/>
      <c r="T39" s="1">
        <f t="shared" si="4"/>
        <v>50.804574476683108</v>
      </c>
      <c r="U39" s="1">
        <f t="shared" si="5"/>
        <v>50.804574476683108</v>
      </c>
      <c r="V39" s="1">
        <v>13.741199999999999</v>
      </c>
      <c r="W39" s="1">
        <v>11.397666666666669</v>
      </c>
      <c r="X39" s="1">
        <v>34.1584</v>
      </c>
      <c r="Y39" s="1">
        <v>23.210599999999999</v>
      </c>
      <c r="Z39" s="1">
        <v>10.447800000000001</v>
      </c>
      <c r="AA39" s="1">
        <v>9.5518000000000001</v>
      </c>
      <c r="AB39" s="1">
        <v>7.8756000000000004</v>
      </c>
      <c r="AC39" s="1">
        <v>20.768000000000001</v>
      </c>
      <c r="AD39" s="28" t="s">
        <v>37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 t="s">
        <v>87</v>
      </c>
      <c r="B40" s="11" t="s">
        <v>34</v>
      </c>
      <c r="C40" s="11">
        <v>-10</v>
      </c>
      <c r="D40" s="11"/>
      <c r="E40" s="11"/>
      <c r="F40" s="12">
        <v>-10</v>
      </c>
      <c r="G40" s="7">
        <v>0.2</v>
      </c>
      <c r="H40" s="1">
        <v>120</v>
      </c>
      <c r="I40" s="1" t="s">
        <v>88</v>
      </c>
      <c r="J40" s="1"/>
      <c r="K40" s="1"/>
      <c r="L40" s="1">
        <f t="shared" si="2"/>
        <v>0</v>
      </c>
      <c r="M40" s="1"/>
      <c r="N40" s="1"/>
      <c r="O40" s="1">
        <v>0</v>
      </c>
      <c r="P40" s="1">
        <f t="shared" si="3"/>
        <v>0</v>
      </c>
      <c r="Q40" s="9"/>
      <c r="R40" s="9"/>
      <c r="S40" s="1"/>
      <c r="T40" s="1" t="e">
        <f t="shared" si="4"/>
        <v>#DIV/0!</v>
      </c>
      <c r="U40" s="1" t="e">
        <f t="shared" si="5"/>
        <v>#DIV/0!</v>
      </c>
      <c r="V40" s="1">
        <v>2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thickBot="1" x14ac:dyDescent="0.3">
      <c r="A41" s="15" t="s">
        <v>89</v>
      </c>
      <c r="B41" s="16" t="s">
        <v>34</v>
      </c>
      <c r="C41" s="16">
        <v>268</v>
      </c>
      <c r="D41" s="16">
        <v>400</v>
      </c>
      <c r="E41" s="16">
        <v>118</v>
      </c>
      <c r="F41" s="17">
        <v>550</v>
      </c>
      <c r="G41" s="18">
        <v>0</v>
      </c>
      <c r="H41" s="19" t="e">
        <v>#N/A</v>
      </c>
      <c r="I41" s="19" t="s">
        <v>66</v>
      </c>
      <c r="J41" s="19" t="s">
        <v>87</v>
      </c>
      <c r="K41" s="19">
        <v>118</v>
      </c>
      <c r="L41" s="19">
        <f t="shared" si="2"/>
        <v>0</v>
      </c>
      <c r="M41" s="19"/>
      <c r="N41" s="19"/>
      <c r="O41" s="19">
        <v>0</v>
      </c>
      <c r="P41" s="19">
        <f t="shared" si="3"/>
        <v>23.6</v>
      </c>
      <c r="Q41" s="20"/>
      <c r="R41" s="20"/>
      <c r="S41" s="19"/>
      <c r="T41" s="19">
        <f t="shared" si="4"/>
        <v>23.305084745762709</v>
      </c>
      <c r="U41" s="19">
        <f t="shared" si="5"/>
        <v>23.305084745762709</v>
      </c>
      <c r="V41" s="19">
        <v>28</v>
      </c>
      <c r="W41" s="19">
        <v>36.666666666666657</v>
      </c>
      <c r="X41" s="19">
        <v>46.8</v>
      </c>
      <c r="Y41" s="19">
        <v>36.200000000000003</v>
      </c>
      <c r="Z41" s="19">
        <v>25.2</v>
      </c>
      <c r="AA41" s="19">
        <v>25.4</v>
      </c>
      <c r="AB41" s="19">
        <v>19.399999999999999</v>
      </c>
      <c r="AC41" s="19">
        <v>31</v>
      </c>
      <c r="AD41" s="19"/>
      <c r="AE41" s="1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 t="s">
        <v>90</v>
      </c>
      <c r="B42" s="11" t="s">
        <v>64</v>
      </c>
      <c r="C42" s="11">
        <v>483.93900000000002</v>
      </c>
      <c r="D42" s="11">
        <v>406.935</v>
      </c>
      <c r="E42" s="11">
        <v>304.27800000000002</v>
      </c>
      <c r="F42" s="12">
        <v>586.596</v>
      </c>
      <c r="G42" s="7">
        <v>1</v>
      </c>
      <c r="H42" s="1">
        <v>120</v>
      </c>
      <c r="I42" s="1" t="s">
        <v>91</v>
      </c>
      <c r="J42" s="1"/>
      <c r="K42" s="1">
        <v>304.5</v>
      </c>
      <c r="L42" s="1">
        <f t="shared" si="2"/>
        <v>-0.22199999999997999</v>
      </c>
      <c r="M42" s="1"/>
      <c r="N42" s="1"/>
      <c r="O42" s="1">
        <v>195</v>
      </c>
      <c r="P42" s="1">
        <f t="shared" si="3"/>
        <v>60.855600000000003</v>
      </c>
      <c r="Q42" s="9">
        <f>20*(P42+P43)-O42-O43-F42-F43</f>
        <v>442.43600000000009</v>
      </c>
      <c r="R42" s="9"/>
      <c r="S42" s="1"/>
      <c r="T42" s="1">
        <f t="shared" si="4"/>
        <v>20.113711803022237</v>
      </c>
      <c r="U42" s="1">
        <f t="shared" si="5"/>
        <v>12.843452369214994</v>
      </c>
      <c r="V42" s="1">
        <v>51.903799999999997</v>
      </c>
      <c r="W42" s="1">
        <v>98.382999999999996</v>
      </c>
      <c r="X42" s="1">
        <v>40.226599999999998</v>
      </c>
      <c r="Y42" s="1">
        <v>68.255799999999994</v>
      </c>
      <c r="Z42" s="1">
        <v>62.150599999999997</v>
      </c>
      <c r="AA42" s="1">
        <v>58.933199999999999</v>
      </c>
      <c r="AB42" s="1">
        <v>50.286999999999999</v>
      </c>
      <c r="AC42" s="1">
        <v>61.196800000000003</v>
      </c>
      <c r="AD42" s="1" t="s">
        <v>92</v>
      </c>
      <c r="AE42" s="1">
        <f>G42*Q42</f>
        <v>442.43600000000009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5.75" thickBot="1" x14ac:dyDescent="0.3">
      <c r="A43" s="15" t="s">
        <v>93</v>
      </c>
      <c r="B43" s="16" t="s">
        <v>64</v>
      </c>
      <c r="C43" s="16">
        <v>-6.92</v>
      </c>
      <c r="D43" s="16"/>
      <c r="E43" s="16"/>
      <c r="F43" s="17">
        <v>-6.92</v>
      </c>
      <c r="G43" s="18">
        <v>0</v>
      </c>
      <c r="H43" s="19" t="e">
        <v>#N/A</v>
      </c>
      <c r="I43" s="19" t="s">
        <v>66</v>
      </c>
      <c r="J43" s="19" t="s">
        <v>90</v>
      </c>
      <c r="K43" s="19"/>
      <c r="L43" s="19">
        <f t="shared" si="2"/>
        <v>0</v>
      </c>
      <c r="M43" s="19"/>
      <c r="N43" s="19"/>
      <c r="O43" s="19">
        <v>0</v>
      </c>
      <c r="P43" s="19">
        <f t="shared" si="3"/>
        <v>0</v>
      </c>
      <c r="Q43" s="20"/>
      <c r="R43" s="20"/>
      <c r="S43" s="19"/>
      <c r="T43" s="19" t="e">
        <f t="shared" si="4"/>
        <v>#DIV/0!</v>
      </c>
      <c r="U43" s="19" t="e">
        <f t="shared" si="5"/>
        <v>#DIV/0!</v>
      </c>
      <c r="V43" s="19">
        <v>1.3839999999999999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/>
      <c r="AE43" s="1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3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47</v>
      </c>
      <c r="B45" s="1" t="s">
        <v>34</v>
      </c>
      <c r="C45" s="1">
        <v>-4</v>
      </c>
      <c r="D45" s="1">
        <v>2500</v>
      </c>
      <c r="E45" s="1">
        <v>93</v>
      </c>
      <c r="F45" s="1">
        <v>2376</v>
      </c>
      <c r="G45" s="7">
        <v>0.18</v>
      </c>
      <c r="H45" s="1">
        <v>120</v>
      </c>
      <c r="I45" s="1"/>
      <c r="J45" s="1"/>
      <c r="K45" s="1">
        <v>20</v>
      </c>
      <c r="L45" s="1">
        <f>E45-K45</f>
        <v>73</v>
      </c>
      <c r="M45" s="1"/>
      <c r="N45" s="1"/>
      <c r="O45" s="1"/>
      <c r="P45" s="1">
        <f>E45/5</f>
        <v>18.600000000000001</v>
      </c>
      <c r="Q45" s="9"/>
      <c r="R45" s="9"/>
      <c r="S45" s="1"/>
      <c r="T45" s="1">
        <f>(F45+O45+Q45)/P45</f>
        <v>127.74193548387096</v>
      </c>
      <c r="U45" s="1">
        <f>(F45+O45)/P45</f>
        <v>127.74193548387096</v>
      </c>
      <c r="V45" s="1">
        <v>60.8</v>
      </c>
      <c r="W45" s="1">
        <v>172.66666666666671</v>
      </c>
      <c r="X45" s="1">
        <v>148.4</v>
      </c>
      <c r="Y45" s="1">
        <v>114</v>
      </c>
      <c r="Z45" s="1">
        <v>129.19999999999999</v>
      </c>
      <c r="AA45" s="1">
        <v>139.80000000000001</v>
      </c>
      <c r="AB45" s="1">
        <v>135</v>
      </c>
      <c r="AC45" s="1">
        <v>109.2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48</v>
      </c>
      <c r="B46" s="1" t="s">
        <v>34</v>
      </c>
      <c r="C46" s="1">
        <v>1079</v>
      </c>
      <c r="D46" s="1">
        <v>1500</v>
      </c>
      <c r="E46" s="1">
        <v>1126</v>
      </c>
      <c r="F46" s="1">
        <v>1410</v>
      </c>
      <c r="G46" s="7">
        <v>0.18</v>
      </c>
      <c r="H46" s="1">
        <v>120</v>
      </c>
      <c r="I46" s="1"/>
      <c r="J46" s="1"/>
      <c r="K46" s="1">
        <v>95</v>
      </c>
      <c r="L46" s="1">
        <f>E46-K46</f>
        <v>1031</v>
      </c>
      <c r="M46" s="1"/>
      <c r="N46" s="1"/>
      <c r="O46" s="1">
        <v>1300</v>
      </c>
      <c r="P46" s="1">
        <f>E46/5</f>
        <v>225.2</v>
      </c>
      <c r="Q46" s="9">
        <f>18*P46-O46-F46</f>
        <v>1343.6</v>
      </c>
      <c r="R46" s="9"/>
      <c r="S46" s="1"/>
      <c r="T46" s="1">
        <f>(F46+O46+Q46)/P46</f>
        <v>18</v>
      </c>
      <c r="U46" s="1">
        <f>(F46+O46)/P46</f>
        <v>12.033747779751332</v>
      </c>
      <c r="V46" s="1">
        <v>185</v>
      </c>
      <c r="W46" s="1">
        <v>180</v>
      </c>
      <c r="X46" s="1">
        <v>130</v>
      </c>
      <c r="Y46" s="1">
        <v>148.19999999999999</v>
      </c>
      <c r="Z46" s="1">
        <v>133</v>
      </c>
      <c r="AA46" s="1">
        <v>110.8</v>
      </c>
      <c r="AB46" s="1">
        <v>117.2</v>
      </c>
      <c r="AC46" s="1">
        <v>217.8</v>
      </c>
      <c r="AD46" s="1" t="s">
        <v>49</v>
      </c>
      <c r="AE46" s="1">
        <f>G46*Q46</f>
        <v>241.84799999999998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33</v>
      </c>
      <c r="B47" s="1" t="s">
        <v>34</v>
      </c>
      <c r="C47" s="1"/>
      <c r="D47" s="1">
        <v>204</v>
      </c>
      <c r="E47" s="1"/>
      <c r="F47" s="1">
        <v>204</v>
      </c>
      <c r="G47" s="7">
        <v>0.18</v>
      </c>
      <c r="H47" s="1"/>
      <c r="I47" s="1">
        <v>4421577</v>
      </c>
      <c r="J47" s="1"/>
      <c r="K47" s="1"/>
      <c r="L47" s="1">
        <f>E47-K47</f>
        <v>0</v>
      </c>
      <c r="M47" s="1"/>
      <c r="N47" s="1"/>
      <c r="O47" s="1"/>
      <c r="P47" s="1">
        <f>E47/5</f>
        <v>0</v>
      </c>
      <c r="Q47" s="9"/>
      <c r="R47" s="9"/>
      <c r="S47" s="1"/>
      <c r="T47" s="1" t="e">
        <f>(F47+O47+Q47)/P47</f>
        <v>#DIV/0!</v>
      </c>
      <c r="U47" s="1" t="e">
        <f>(F47+O47)/P47</f>
        <v>#DIV/0!</v>
      </c>
      <c r="V47" s="1">
        <v>2.4</v>
      </c>
      <c r="W47" s="1">
        <v>9.3333333333333339</v>
      </c>
      <c r="X47" s="1">
        <v>14.6</v>
      </c>
      <c r="Y47" s="1">
        <v>4</v>
      </c>
      <c r="Z47" s="1">
        <v>7.4</v>
      </c>
      <c r="AA47" s="1">
        <v>7.4</v>
      </c>
      <c r="AB47" s="1">
        <v>10.4</v>
      </c>
      <c r="AC47" s="1">
        <v>9.6</v>
      </c>
      <c r="AD47" s="1"/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36</v>
      </c>
      <c r="B48" s="1" t="s">
        <v>34</v>
      </c>
      <c r="C48" s="1">
        <v>185</v>
      </c>
      <c r="D48" s="1">
        <v>204</v>
      </c>
      <c r="E48" s="1">
        <v>58</v>
      </c>
      <c r="F48" s="1">
        <v>329</v>
      </c>
      <c r="G48" s="7">
        <v>0.18</v>
      </c>
      <c r="H48" s="1"/>
      <c r="I48" s="1">
        <v>4421584</v>
      </c>
      <c r="J48" s="1"/>
      <c r="K48" s="1">
        <v>58</v>
      </c>
      <c r="L48" s="1">
        <f>E48-K48</f>
        <v>0</v>
      </c>
      <c r="M48" s="1"/>
      <c r="N48" s="1"/>
      <c r="O48" s="1"/>
      <c r="P48" s="1">
        <f>E48/5</f>
        <v>11.6</v>
      </c>
      <c r="Q48" s="9"/>
      <c r="R48" s="9"/>
      <c r="S48" s="1"/>
      <c r="T48" s="1">
        <f>(F48+O48+Q48)/P48</f>
        <v>28.362068965517242</v>
      </c>
      <c r="U48" s="1">
        <f>(F48+O48)/P48</f>
        <v>28.362068965517242</v>
      </c>
      <c r="V48" s="1">
        <v>12.2</v>
      </c>
      <c r="W48" s="1">
        <v>10.66666666666667</v>
      </c>
      <c r="X48" s="1">
        <v>24.2</v>
      </c>
      <c r="Y48" s="1">
        <v>19.8</v>
      </c>
      <c r="Z48" s="1">
        <v>13.6</v>
      </c>
      <c r="AA48" s="1">
        <v>8.8000000000000007</v>
      </c>
      <c r="AB48" s="1">
        <v>17.600000000000001</v>
      </c>
      <c r="AC48" s="1">
        <v>11.2</v>
      </c>
      <c r="AD48" s="28" t="s">
        <v>37</v>
      </c>
      <c r="AE48" s="1">
        <f>G48*Q48</f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</sheetData>
  <autoFilter ref="A3:AE43" xr:uid="{9FBD6954-4492-4179-A2F8-55F2E537D81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2026-01-19T10:19:17Z</dcterms:created>
  <dcterms:modified xsi:type="dcterms:W3CDTF">2026-01-19T10:38:09Z</dcterms:modified>
</cp:coreProperties>
</file>