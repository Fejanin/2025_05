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48802478-AC5B-461B-9284-F2B2BFD577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45" i="1" l="1"/>
  <c r="R44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6" i="1"/>
  <c r="R5" i="1" l="1"/>
  <c r="Q39" i="1"/>
  <c r="Q35" i="1"/>
  <c r="Q37" i="1"/>
  <c r="AF41" i="1"/>
  <c r="AF44" i="1"/>
  <c r="Q21" i="1"/>
  <c r="AF6" i="1"/>
  <c r="P47" i="1"/>
  <c r="U47" i="1" s="1"/>
  <c r="P6" i="1"/>
  <c r="U6" i="1" s="1"/>
  <c r="P7" i="1"/>
  <c r="U7" i="1" s="1"/>
  <c r="P8" i="1"/>
  <c r="U8" i="1" s="1"/>
  <c r="P9" i="1"/>
  <c r="U9" i="1" s="1"/>
  <c r="P10" i="1"/>
  <c r="U10" i="1" s="1"/>
  <c r="P11" i="1"/>
  <c r="U11" i="1" s="1"/>
  <c r="P12" i="1"/>
  <c r="U12" i="1" s="1"/>
  <c r="P44" i="1"/>
  <c r="P45" i="1"/>
  <c r="P13" i="1"/>
  <c r="U13" i="1" s="1"/>
  <c r="P14" i="1"/>
  <c r="U14" i="1" s="1"/>
  <c r="P15" i="1"/>
  <c r="U15" i="1" s="1"/>
  <c r="P16" i="1"/>
  <c r="U16" i="1" s="1"/>
  <c r="P17" i="1"/>
  <c r="P18" i="1"/>
  <c r="U18" i="1" s="1"/>
  <c r="P19" i="1"/>
  <c r="U19" i="1" s="1"/>
  <c r="P20" i="1"/>
  <c r="U20" i="1" s="1"/>
  <c r="P21" i="1"/>
  <c r="P22" i="1"/>
  <c r="U22" i="1" s="1"/>
  <c r="P23" i="1"/>
  <c r="U23" i="1" s="1"/>
  <c r="P24" i="1"/>
  <c r="U24" i="1" s="1"/>
  <c r="P25" i="1"/>
  <c r="U25" i="1" s="1"/>
  <c r="P26" i="1"/>
  <c r="U26" i="1" s="1"/>
  <c r="P27" i="1"/>
  <c r="U27" i="1" s="1"/>
  <c r="P28" i="1"/>
  <c r="U28" i="1" s="1"/>
  <c r="P29" i="1"/>
  <c r="U29" i="1" s="1"/>
  <c r="P30" i="1"/>
  <c r="U30" i="1" s="1"/>
  <c r="P31" i="1"/>
  <c r="U31" i="1" s="1"/>
  <c r="P32" i="1"/>
  <c r="U32" i="1" s="1"/>
  <c r="P33" i="1"/>
  <c r="U33" i="1" s="1"/>
  <c r="P34" i="1"/>
  <c r="U34" i="1" s="1"/>
  <c r="P35" i="1"/>
  <c r="U35" i="1" s="1"/>
  <c r="P36" i="1"/>
  <c r="U36" i="1" s="1"/>
  <c r="P37" i="1"/>
  <c r="U37" i="1" s="1"/>
  <c r="P38" i="1"/>
  <c r="U38" i="1" s="1"/>
  <c r="P39" i="1"/>
  <c r="P40" i="1"/>
  <c r="U40" i="1" s="1"/>
  <c r="P41" i="1"/>
  <c r="P42" i="1"/>
  <c r="U42" i="1" s="1"/>
  <c r="P46" i="1"/>
  <c r="V46" i="1" s="1"/>
  <c r="L42" i="1"/>
  <c r="L41" i="1"/>
  <c r="L40" i="1"/>
  <c r="L39" i="1"/>
  <c r="L38" i="1"/>
  <c r="AF37" i="1"/>
  <c r="L37" i="1"/>
  <c r="L36" i="1"/>
  <c r="AF35" i="1"/>
  <c r="L35" i="1"/>
  <c r="L34" i="1"/>
  <c r="L33" i="1"/>
  <c r="L32" i="1"/>
  <c r="L31" i="1"/>
  <c r="L30" i="1"/>
  <c r="L29" i="1"/>
  <c r="L28" i="1"/>
  <c r="L27" i="1"/>
  <c r="L26" i="1"/>
  <c r="AF25" i="1"/>
  <c r="L25" i="1"/>
  <c r="L24" i="1"/>
  <c r="AF23" i="1"/>
  <c r="L23" i="1"/>
  <c r="AF22" i="1"/>
  <c r="L22" i="1"/>
  <c r="AF21" i="1"/>
  <c r="L21" i="1"/>
  <c r="L20" i="1"/>
  <c r="L19" i="1"/>
  <c r="AF18" i="1"/>
  <c r="L18" i="1"/>
  <c r="AF17" i="1"/>
  <c r="L17" i="1"/>
  <c r="L16" i="1"/>
  <c r="L15" i="1"/>
  <c r="AF14" i="1"/>
  <c r="L14" i="1"/>
  <c r="L13" i="1"/>
  <c r="AF45" i="1"/>
  <c r="L45" i="1"/>
  <c r="L44" i="1"/>
  <c r="AF12" i="1"/>
  <c r="L12" i="1"/>
  <c r="AF11" i="1"/>
  <c r="L11" i="1"/>
  <c r="AF10" i="1"/>
  <c r="L10" i="1"/>
  <c r="AF9" i="1"/>
  <c r="L9" i="1"/>
  <c r="AF8" i="1"/>
  <c r="L8" i="1"/>
  <c r="AF7" i="1"/>
  <c r="L7" i="1"/>
  <c r="L6" i="1"/>
  <c r="L47" i="1"/>
  <c r="L4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F5" i="1"/>
  <c r="E5" i="1"/>
  <c r="U45" i="1" l="1"/>
  <c r="Q5" i="1"/>
  <c r="AF39" i="1"/>
  <c r="U39" i="1"/>
  <c r="U41" i="1"/>
  <c r="U44" i="1"/>
  <c r="U21" i="1"/>
  <c r="U17" i="1"/>
  <c r="V41" i="1"/>
  <c r="V37" i="1"/>
  <c r="V33" i="1"/>
  <c r="V29" i="1"/>
  <c r="V25" i="1"/>
  <c r="V21" i="1"/>
  <c r="V17" i="1"/>
  <c r="V13" i="1"/>
  <c r="V11" i="1"/>
  <c r="V7" i="1"/>
  <c r="AF5" i="1"/>
  <c r="U46" i="1"/>
  <c r="V39" i="1"/>
  <c r="V35" i="1"/>
  <c r="V31" i="1"/>
  <c r="V27" i="1"/>
  <c r="V23" i="1"/>
  <c r="V19" i="1"/>
  <c r="V15" i="1"/>
  <c r="V44" i="1"/>
  <c r="V9" i="1"/>
  <c r="V47" i="1"/>
  <c r="V42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45" i="1"/>
  <c r="V12" i="1"/>
  <c r="V10" i="1"/>
  <c r="V8" i="1"/>
  <c r="V6" i="1"/>
  <c r="L5" i="1"/>
  <c r="P5" i="1"/>
</calcChain>
</file>

<file path=xl/sharedStrings.xml><?xml version="1.0" encoding="utf-8"?>
<sst xmlns="http://schemas.openxmlformats.org/spreadsheetml/2006/main" count="175" uniqueCount="94">
  <si>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</si>
  <si>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</si>
  <si>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</si>
  <si>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</si>
  <si>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</si>
  <si>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</si>
  <si>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</si>
  <si>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</si>
  <si>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</si>
  <si>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</si>
  <si>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</si>
  <si>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</si>
  <si>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</si>
  <si>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</si>
  <si>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</si>
  <si>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</si>
  <si>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</si>
  <si>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</si>
  <si>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</si>
  <si>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</si>
  <si>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</si>
  <si>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</si>
  <si>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</si>
  <si>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05,01,</t>
  </si>
  <si>
    <t>12,01,</t>
  </si>
  <si>
    <t>23,12,</t>
  </si>
  <si>
    <t>16,12,</t>
  </si>
  <si>
    <t>08,12,</t>
  </si>
  <si>
    <t>01,12,</t>
  </si>
  <si>
    <t>24,11,</t>
  </si>
  <si>
    <t>17,11,</t>
  </si>
  <si>
    <t>10,11,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</si>
  <si>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</si>
  <si>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</si>
  <si>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</si>
  <si>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</si>
  <si>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</si>
  <si>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</si>
  <si>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нужно увеличить продажи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</si>
  <si>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</si>
  <si>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</si>
  <si>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</si>
  <si>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</si>
  <si>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</si>
  <si>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нужно увеличить продажи!!!</t>
  </si>
  <si>
    <t>Масло "Папа может" 82,5% 180гр  Останкино</t>
  </si>
  <si>
    <t>заказываем для ОП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</si>
  <si>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</si>
  <si>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</si>
  <si>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</si>
  <si>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</si>
  <si>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</si>
  <si>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</si>
  <si>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</si>
  <si>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</si>
  <si>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</si>
  <si>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</si>
  <si>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</si>
  <si>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</si>
  <si>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</si>
  <si>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</si>
  <si>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</si>
  <si>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</si>
  <si>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</si>
  <si>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</si>
  <si>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</si>
  <si>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</si>
  <si>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</si>
  <si>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дубль / вывод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</si>
  <si>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</si>
  <si>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</si>
  <si>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</si>
  <si>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</si>
  <si>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</si>
  <si>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</si>
  <si>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</si>
  <si>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</si>
  <si>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</si>
  <si>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</si>
  <si>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</si>
  <si>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</si>
  <si>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</si>
  <si>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</si>
  <si>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</si>
  <si>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</si>
  <si>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</si>
  <si>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</si>
  <si>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</t>
  </si>
  <si>
    <t>Сыч/Прод Коровино Тильзитер Оригин 50% ВЕС НОВАЯ (5 кг брус) СЗМЖ  ОСТАНКИНО</t>
  </si>
  <si>
    <t>05,01,26 завод не отгрузил</t>
  </si>
  <si>
    <t>нужно увеличить продажи / мин - 28шт / с 13,08,25 заказываем для ОП</t>
  </si>
  <si>
    <t>итого</t>
  </si>
  <si>
    <t>заказ</t>
  </si>
  <si>
    <t>19,01,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</si>
</sst>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7" borderId="6" xfId="1" applyNumberFormat="1" applyFill="1" applyBorder="1"/>
    <xf numFmtId="164" fontId="1" fillId="7" borderId="7" xfId="1" applyNumberFormat="1" applyFill="1" applyBorder="1"/>
    <xf numFmtId="164" fontId="1" fillId="7" borderId="8" xfId="1" applyNumberFormat="1" applyFill="1" applyBorder="1"/>
    <xf numFmtId="2" fontId="1" fillId="7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4" fillId="9" borderId="1" xfId="1" applyNumberFormat="1" applyFont="1" applyFill="1"/>
    <xf numFmtId="164" fontId="5" fillId="9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5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27" customWidth="1"/>
    <col min="19" max="19" width="7" customWidth="1"/>
    <col min="20" max="20" width="21" customWidth="1"/>
    <col min="21" max="22" width="5" customWidth="1"/>
    <col min="23" max="30" width="6" customWidth="1"/>
    <col min="31" max="31" width="53.7109375" customWidth="1"/>
    <col min="32" max="32" width="7" customWidth="1"/>
    <col min="33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91</v>
      </c>
      <c r="R3" s="3" t="s">
        <v>92</v>
      </c>
      <c r="S3" s="6" t="s">
        <v>16</v>
      </c>
      <c r="T3" s="6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 t="s">
        <v>93</v>
      </c>
      <c r="S4" s="1"/>
      <c r="T4" s="1"/>
      <c r="U4" s="1"/>
      <c r="V4" s="1"/>
      <c r="W4" s="1" t="s">
        <v>23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SUM(E6:E496)</f>
        <v>712.02800000000002</v>
      </c>
      <c r="F5" s="4">
        <f>SUM(F6:F496)</f>
        <v>2688.0419999999999</v>
      </c>
      <c r="G5" s="7"/>
      <c r="H5" s="1"/>
      <c r="I5" s="1"/>
      <c r="J5" s="1"/>
      <c r="K5" s="4">
        <f t="shared" ref="K5:S5" si="0">SUM(K6:K496)</f>
        <v>798.2</v>
      </c>
      <c r="L5" s="4">
        <f t="shared" si="0"/>
        <v>-86.172000000000011</v>
      </c>
      <c r="M5" s="4">
        <f t="shared" si="0"/>
        <v>0</v>
      </c>
      <c r="N5" s="4">
        <f t="shared" si="0"/>
        <v>0</v>
      </c>
      <c r="O5" s="4">
        <f t="shared" si="0"/>
        <v>1867</v>
      </c>
      <c r="P5" s="4">
        <f t="shared" si="0"/>
        <v>142.40559999999996</v>
      </c>
      <c r="Q5" s="4">
        <f t="shared" si="0"/>
        <v>575.70000000000005</v>
      </c>
      <c r="R5" s="4">
        <f t="shared" si="0"/>
        <v>580</v>
      </c>
      <c r="S5" s="4">
        <f t="shared" si="0"/>
        <v>0</v>
      </c>
      <c r="T5" s="1"/>
      <c r="U5" s="1"/>
      <c r="V5" s="1"/>
      <c r="W5" s="4">
        <f t="shared" ref="W5:AD5" si="1">SUM(W6:W496)</f>
        <v>326.4058</v>
      </c>
      <c r="X5" s="4">
        <f t="shared" si="1"/>
        <v>243.97899999999998</v>
      </c>
      <c r="Y5" s="4">
        <f t="shared" si="1"/>
        <v>84.865200000000002</v>
      </c>
      <c r="Z5" s="4">
        <f t="shared" si="1"/>
        <v>103.30040000000001</v>
      </c>
      <c r="AA5" s="4">
        <f t="shared" si="1"/>
        <v>116.2834</v>
      </c>
      <c r="AB5" s="4">
        <f t="shared" si="1"/>
        <v>156.83520000000001</v>
      </c>
      <c r="AC5" s="4">
        <f t="shared" si="1"/>
        <v>148.61800000000002</v>
      </c>
      <c r="AD5" s="4">
        <f t="shared" si="1"/>
        <v>100.97140000000002</v>
      </c>
      <c r="AE5" s="1"/>
      <c r="AF5" s="4">
        <f>SUM(AF6:AF496)</f>
        <v>135.27999999999997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33</v>
      </c>
      <c r="C6" s="1">
        <v>8</v>
      </c>
      <c r="D6" s="1">
        <v>108</v>
      </c>
      <c r="E6" s="1">
        <v>7</v>
      </c>
      <c r="F6" s="1">
        <v>109</v>
      </c>
      <c r="G6" s="7">
        <v>0.82450000000000001</v>
      </c>
      <c r="H6" s="1">
        <v>180</v>
      </c>
      <c r="I6" s="1">
        <v>6948249</v>
      </c>
      <c r="J6" s="1"/>
      <c r="K6" s="1">
        <v>7</v>
      </c>
      <c r="L6" s="1">
        <f t="shared" ref="L6:L42" si="2">E6-K6</f>
        <v>0</v>
      </c>
      <c r="M6" s="1"/>
      <c r="N6" s="1"/>
      <c r="O6" s="1">
        <v>0</v>
      </c>
      <c r="P6" s="1">
        <f t="shared" ref="P6:P42" si="3">E6/5</f>
        <v>1.4</v>
      </c>
      <c r="Q6" s="9"/>
      <c r="R6" s="9">
        <f>IFERROR(VLOOKUP(A6,заказ!A:B,2,0),0)</f>
        <v>0</v>
      </c>
      <c r="S6" s="9"/>
      <c r="T6" s="1"/>
      <c r="U6" s="1">
        <f t="shared" ref="U6:U42" si="4">(F6+O6+Q6)/P6</f>
        <v>77.857142857142861</v>
      </c>
      <c r="V6" s="1">
        <f t="shared" ref="V6:V42" si="5">(F6+O6)/P6</f>
        <v>77.857142857142861</v>
      </c>
      <c r="W6" s="1">
        <v>1</v>
      </c>
      <c r="X6" s="1">
        <v>7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/>
      <c r="AF6" s="1">
        <f t="shared" ref="AF6:AF12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33</v>
      </c>
      <c r="C7" s="1">
        <v>166</v>
      </c>
      <c r="D7" s="1">
        <v>456</v>
      </c>
      <c r="E7" s="1">
        <v>55</v>
      </c>
      <c r="F7" s="1">
        <v>564</v>
      </c>
      <c r="G7" s="7">
        <v>0.372</v>
      </c>
      <c r="H7" s="1">
        <v>180</v>
      </c>
      <c r="I7" s="1">
        <v>6948256</v>
      </c>
      <c r="J7" s="1"/>
      <c r="K7" s="1">
        <v>55</v>
      </c>
      <c r="L7" s="1">
        <f t="shared" si="2"/>
        <v>0</v>
      </c>
      <c r="M7" s="1"/>
      <c r="N7" s="1"/>
      <c r="O7" s="1">
        <v>0</v>
      </c>
      <c r="P7" s="1">
        <f t="shared" si="3"/>
        <v>11</v>
      </c>
      <c r="Q7" s="9"/>
      <c r="R7" s="9">
        <f>IFERROR(VLOOKUP(A7,заказ!A:B,2,0),0)</f>
        <v>0</v>
      </c>
      <c r="S7" s="9"/>
      <c r="T7" s="1"/>
      <c r="U7" s="1">
        <f t="shared" si="4"/>
        <v>51.272727272727273</v>
      </c>
      <c r="V7" s="1">
        <f t="shared" si="5"/>
        <v>51.272727272727273</v>
      </c>
      <c r="W7" s="1">
        <v>24.2</v>
      </c>
      <c r="X7" s="1">
        <v>34.799999999999997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25" t="s">
        <v>44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33</v>
      </c>
      <c r="C8" s="1">
        <v>145</v>
      </c>
      <c r="D8" s="1">
        <v>48</v>
      </c>
      <c r="E8" s="1">
        <v>29</v>
      </c>
      <c r="F8" s="1">
        <v>152</v>
      </c>
      <c r="G8" s="7">
        <v>0.74399999999999999</v>
      </c>
      <c r="H8" s="1">
        <v>180</v>
      </c>
      <c r="I8" s="1">
        <v>6948263</v>
      </c>
      <c r="J8" s="1"/>
      <c r="K8" s="1">
        <v>29</v>
      </c>
      <c r="L8" s="1">
        <f t="shared" si="2"/>
        <v>0</v>
      </c>
      <c r="M8" s="1"/>
      <c r="N8" s="1"/>
      <c r="O8" s="1">
        <v>180</v>
      </c>
      <c r="P8" s="1">
        <f t="shared" si="3"/>
        <v>5.8</v>
      </c>
      <c r="Q8" s="9"/>
      <c r="R8" s="9">
        <f>IFERROR(VLOOKUP(A8,заказ!A:B,2,0),0)</f>
        <v>0</v>
      </c>
      <c r="S8" s="9"/>
      <c r="T8" s="1"/>
      <c r="U8" s="1">
        <f t="shared" si="4"/>
        <v>57.241379310344833</v>
      </c>
      <c r="V8" s="1">
        <f t="shared" si="5"/>
        <v>57.241379310344833</v>
      </c>
      <c r="W8" s="1">
        <v>20.8</v>
      </c>
      <c r="X8" s="1">
        <v>14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25" t="s">
        <v>44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40</v>
      </c>
      <c r="B9" s="1" t="s">
        <v>33</v>
      </c>
      <c r="C9" s="1">
        <v>21</v>
      </c>
      <c r="D9" s="1">
        <v>744</v>
      </c>
      <c r="E9" s="1">
        <v>50</v>
      </c>
      <c r="F9" s="1">
        <v>712</v>
      </c>
      <c r="G9" s="7">
        <v>0.372</v>
      </c>
      <c r="H9" s="1">
        <v>180</v>
      </c>
      <c r="I9" s="1">
        <v>6948270</v>
      </c>
      <c r="J9" s="1"/>
      <c r="K9" s="1">
        <v>66</v>
      </c>
      <c r="L9" s="1">
        <f t="shared" si="2"/>
        <v>-16</v>
      </c>
      <c r="M9" s="1"/>
      <c r="N9" s="1"/>
      <c r="O9" s="1">
        <v>96</v>
      </c>
      <c r="P9" s="1">
        <f t="shared" si="3"/>
        <v>10</v>
      </c>
      <c r="Q9" s="9"/>
      <c r="R9" s="9">
        <f>IFERROR(VLOOKUP(A9,заказ!A:B,2,0),0)</f>
        <v>0</v>
      </c>
      <c r="S9" s="9"/>
      <c r="T9" s="1"/>
      <c r="U9" s="1">
        <f t="shared" si="4"/>
        <v>80.8</v>
      </c>
      <c r="V9" s="1">
        <f t="shared" si="5"/>
        <v>80.8</v>
      </c>
      <c r="W9" s="1">
        <v>47.6</v>
      </c>
      <c r="X9" s="1">
        <v>48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26" t="s">
        <v>38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41</v>
      </c>
      <c r="B10" s="1" t="s">
        <v>33</v>
      </c>
      <c r="C10" s="1">
        <v>121</v>
      </c>
      <c r="D10" s="1">
        <v>240</v>
      </c>
      <c r="E10" s="1">
        <v>57</v>
      </c>
      <c r="F10" s="1">
        <v>288</v>
      </c>
      <c r="G10" s="7">
        <v>0.74399999999999999</v>
      </c>
      <c r="H10" s="1">
        <v>180</v>
      </c>
      <c r="I10" s="1">
        <v>6948287</v>
      </c>
      <c r="J10" s="1"/>
      <c r="K10" s="1">
        <v>57</v>
      </c>
      <c r="L10" s="1">
        <f t="shared" si="2"/>
        <v>0</v>
      </c>
      <c r="M10" s="1"/>
      <c r="N10" s="1"/>
      <c r="O10" s="1">
        <v>48</v>
      </c>
      <c r="P10" s="1">
        <f t="shared" si="3"/>
        <v>11.4</v>
      </c>
      <c r="Q10" s="9"/>
      <c r="R10" s="9">
        <f>IFERROR(VLOOKUP(A10,заказ!A:B,2,0),0)</f>
        <v>0</v>
      </c>
      <c r="S10" s="9"/>
      <c r="T10" s="1"/>
      <c r="U10" s="1">
        <f t="shared" si="4"/>
        <v>29.473684210526315</v>
      </c>
      <c r="V10" s="1">
        <f t="shared" si="5"/>
        <v>29.473684210526315</v>
      </c>
      <c r="W10" s="1">
        <v>22.2</v>
      </c>
      <c r="X10" s="1">
        <v>21.6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26" t="s">
        <v>38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42</v>
      </c>
      <c r="B11" s="1" t="s">
        <v>33</v>
      </c>
      <c r="C11" s="1">
        <v>75</v>
      </c>
      <c r="D11" s="1"/>
      <c r="E11" s="1">
        <v>16</v>
      </c>
      <c r="F11" s="1">
        <v>59</v>
      </c>
      <c r="G11" s="7">
        <v>0.18</v>
      </c>
      <c r="H11" s="1">
        <v>270</v>
      </c>
      <c r="I11" s="1">
        <v>9988438</v>
      </c>
      <c r="J11" s="1"/>
      <c r="K11" s="1">
        <v>16</v>
      </c>
      <c r="L11" s="1">
        <f t="shared" si="2"/>
        <v>0</v>
      </c>
      <c r="M11" s="1"/>
      <c r="N11" s="1"/>
      <c r="O11" s="1">
        <v>16</v>
      </c>
      <c r="P11" s="1">
        <f t="shared" si="3"/>
        <v>3.2</v>
      </c>
      <c r="Q11" s="9"/>
      <c r="R11" s="9">
        <f>IFERROR(VLOOKUP(A11,заказ!A:B,2,0),0)</f>
        <v>0</v>
      </c>
      <c r="S11" s="9"/>
      <c r="T11" s="1"/>
      <c r="U11" s="1">
        <f t="shared" si="4"/>
        <v>23.4375</v>
      </c>
      <c r="V11" s="1">
        <f t="shared" si="5"/>
        <v>23.4375</v>
      </c>
      <c r="W11" s="1">
        <v>5.2</v>
      </c>
      <c r="X11" s="1">
        <v>4.2</v>
      </c>
      <c r="Y11" s="1">
        <v>2</v>
      </c>
      <c r="Z11" s="1">
        <v>3</v>
      </c>
      <c r="AA11" s="1">
        <v>3</v>
      </c>
      <c r="AB11" s="1">
        <v>4.2</v>
      </c>
      <c r="AC11" s="1">
        <v>1.4</v>
      </c>
      <c r="AD11" s="1">
        <v>2.2000000000000002</v>
      </c>
      <c r="AE11" s="1"/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43</v>
      </c>
      <c r="B12" s="1" t="s">
        <v>33</v>
      </c>
      <c r="C12" s="1">
        <v>119</v>
      </c>
      <c r="D12" s="1"/>
      <c r="E12" s="1">
        <v>19</v>
      </c>
      <c r="F12" s="1">
        <v>100</v>
      </c>
      <c r="G12" s="7">
        <v>0.18</v>
      </c>
      <c r="H12" s="1">
        <v>270</v>
      </c>
      <c r="I12" s="1">
        <v>9988445</v>
      </c>
      <c r="J12" s="1"/>
      <c r="K12" s="1">
        <v>19</v>
      </c>
      <c r="L12" s="1">
        <f t="shared" si="2"/>
        <v>0</v>
      </c>
      <c r="M12" s="1"/>
      <c r="N12" s="1"/>
      <c r="O12" s="1">
        <v>0</v>
      </c>
      <c r="P12" s="1">
        <f t="shared" si="3"/>
        <v>3.8</v>
      </c>
      <c r="Q12" s="9"/>
      <c r="R12" s="9">
        <f>IFERROR(VLOOKUP(A12,заказ!A:B,2,0),0)</f>
        <v>0</v>
      </c>
      <c r="S12" s="9"/>
      <c r="T12" s="1"/>
      <c r="U12" s="1">
        <f t="shared" si="4"/>
        <v>26.315789473684212</v>
      </c>
      <c r="V12" s="1">
        <f t="shared" si="5"/>
        <v>26.315789473684212</v>
      </c>
      <c r="W12" s="1">
        <v>3.2</v>
      </c>
      <c r="X12" s="1">
        <v>4.5999999999999996</v>
      </c>
      <c r="Y12" s="1">
        <v>2.4</v>
      </c>
      <c r="Z12" s="1">
        <v>2.6</v>
      </c>
      <c r="AA12" s="1">
        <v>2.8</v>
      </c>
      <c r="AB12" s="1">
        <v>3.8</v>
      </c>
      <c r="AC12" s="1">
        <v>1.4</v>
      </c>
      <c r="AD12" s="1">
        <v>2.2000000000000002</v>
      </c>
      <c r="AE12" s="25" t="s">
        <v>44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22" t="s">
        <v>48</v>
      </c>
      <c r="B13" s="22" t="s">
        <v>33</v>
      </c>
      <c r="C13" s="22"/>
      <c r="D13" s="22"/>
      <c r="E13" s="22"/>
      <c r="F13" s="22"/>
      <c r="G13" s="23">
        <v>0</v>
      </c>
      <c r="H13" s="22">
        <v>270</v>
      </c>
      <c r="I13" s="22">
        <v>9988452</v>
      </c>
      <c r="J13" s="22"/>
      <c r="K13" s="22"/>
      <c r="L13" s="22">
        <f t="shared" si="2"/>
        <v>0</v>
      </c>
      <c r="M13" s="22"/>
      <c r="N13" s="22"/>
      <c r="O13" s="22">
        <v>0</v>
      </c>
      <c r="P13" s="22">
        <f t="shared" si="3"/>
        <v>0</v>
      </c>
      <c r="Q13" s="24"/>
      <c r="R13" s="9">
        <f>IFERROR(VLOOKUP(A13,заказ!A:B,2,0),0)</f>
        <v>0</v>
      </c>
      <c r="S13" s="24"/>
      <c r="T13" s="22"/>
      <c r="U13" s="22" t="e">
        <f t="shared" si="4"/>
        <v>#DIV/0!</v>
      </c>
      <c r="V13" s="22" t="e">
        <f t="shared" si="5"/>
        <v>#DIV/0!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 t="s">
        <v>49</v>
      </c>
      <c r="AF13" s="22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33</v>
      </c>
      <c r="C14" s="1">
        <v>25</v>
      </c>
      <c r="D14" s="1">
        <v>28</v>
      </c>
      <c r="E14" s="1">
        <v>5</v>
      </c>
      <c r="F14" s="1">
        <v>48</v>
      </c>
      <c r="G14" s="7">
        <v>0.4</v>
      </c>
      <c r="H14" s="1">
        <v>270</v>
      </c>
      <c r="I14" s="1">
        <v>9988476</v>
      </c>
      <c r="J14" s="1"/>
      <c r="K14" s="1">
        <v>5</v>
      </c>
      <c r="L14" s="1">
        <f t="shared" si="2"/>
        <v>0</v>
      </c>
      <c r="M14" s="1"/>
      <c r="N14" s="1"/>
      <c r="O14" s="1">
        <v>0</v>
      </c>
      <c r="P14" s="1">
        <f t="shared" si="3"/>
        <v>1</v>
      </c>
      <c r="Q14" s="9"/>
      <c r="R14" s="9">
        <f>IFERROR(VLOOKUP(A14,заказ!A:B,2,0),0)</f>
        <v>0</v>
      </c>
      <c r="S14" s="9"/>
      <c r="T14" s="1"/>
      <c r="U14" s="1">
        <f t="shared" si="4"/>
        <v>48</v>
      </c>
      <c r="V14" s="1">
        <f t="shared" si="5"/>
        <v>48</v>
      </c>
      <c r="W14" s="1">
        <v>1.6</v>
      </c>
      <c r="X14" s="1">
        <v>2.8</v>
      </c>
      <c r="Y14" s="1">
        <v>1</v>
      </c>
      <c r="Z14" s="1">
        <v>4</v>
      </c>
      <c r="AA14" s="1">
        <v>2.6</v>
      </c>
      <c r="AB14" s="1">
        <v>1.8</v>
      </c>
      <c r="AC14" s="1">
        <v>5</v>
      </c>
      <c r="AD14" s="1">
        <v>2</v>
      </c>
      <c r="AE14" s="26" t="s">
        <v>90</v>
      </c>
      <c r="AF14" s="1">
        <f>G14*Q14</f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22" t="s">
        <v>51</v>
      </c>
      <c r="B15" s="22" t="s">
        <v>33</v>
      </c>
      <c r="C15" s="22"/>
      <c r="D15" s="22"/>
      <c r="E15" s="22"/>
      <c r="F15" s="22"/>
      <c r="G15" s="23">
        <v>0</v>
      </c>
      <c r="H15" s="22">
        <v>150</v>
      </c>
      <c r="I15" s="22">
        <v>5034819</v>
      </c>
      <c r="J15" s="22"/>
      <c r="K15" s="22"/>
      <c r="L15" s="22">
        <f t="shared" si="2"/>
        <v>0</v>
      </c>
      <c r="M15" s="22"/>
      <c r="N15" s="22"/>
      <c r="O15" s="22">
        <v>0</v>
      </c>
      <c r="P15" s="22">
        <f t="shared" si="3"/>
        <v>0</v>
      </c>
      <c r="Q15" s="24"/>
      <c r="R15" s="9">
        <f>IFERROR(VLOOKUP(A15,заказ!A:B,2,0),0)</f>
        <v>0</v>
      </c>
      <c r="S15" s="24"/>
      <c r="T15" s="22"/>
      <c r="U15" s="22" t="e">
        <f t="shared" si="4"/>
        <v>#DIV/0!</v>
      </c>
      <c r="V15" s="22" t="e">
        <f t="shared" si="5"/>
        <v>#DIV/0!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 t="s">
        <v>34</v>
      </c>
      <c r="AF15" s="2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22" t="s">
        <v>52</v>
      </c>
      <c r="B16" s="22" t="s">
        <v>33</v>
      </c>
      <c r="C16" s="22"/>
      <c r="D16" s="22"/>
      <c r="E16" s="22"/>
      <c r="F16" s="22"/>
      <c r="G16" s="23">
        <v>0</v>
      </c>
      <c r="H16" s="22">
        <v>90</v>
      </c>
      <c r="I16" s="22">
        <v>8444163</v>
      </c>
      <c r="J16" s="22"/>
      <c r="K16" s="22"/>
      <c r="L16" s="22">
        <f t="shared" si="2"/>
        <v>0</v>
      </c>
      <c r="M16" s="22"/>
      <c r="N16" s="22"/>
      <c r="O16" s="22">
        <v>0</v>
      </c>
      <c r="P16" s="22">
        <f t="shared" si="3"/>
        <v>0</v>
      </c>
      <c r="Q16" s="24"/>
      <c r="R16" s="9">
        <f>IFERROR(VLOOKUP(A16,заказ!A:B,2,0),0)</f>
        <v>0</v>
      </c>
      <c r="S16" s="24"/>
      <c r="T16" s="22"/>
      <c r="U16" s="22" t="e">
        <f t="shared" si="4"/>
        <v>#DIV/0!</v>
      </c>
      <c r="V16" s="22" t="e">
        <f t="shared" si="5"/>
        <v>#DIV/0!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 t="s">
        <v>34</v>
      </c>
      <c r="AF16" s="2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33</v>
      </c>
      <c r="C17" s="1">
        <v>28</v>
      </c>
      <c r="D17" s="1">
        <v>120</v>
      </c>
      <c r="E17" s="1">
        <v>74</v>
      </c>
      <c r="F17" s="1">
        <v>70</v>
      </c>
      <c r="G17" s="7">
        <v>0.18</v>
      </c>
      <c r="H17" s="1">
        <v>150</v>
      </c>
      <c r="I17" s="1">
        <v>5038411</v>
      </c>
      <c r="J17" s="1"/>
      <c r="K17" s="1">
        <v>101</v>
      </c>
      <c r="L17" s="1">
        <f t="shared" si="2"/>
        <v>-27</v>
      </c>
      <c r="M17" s="1"/>
      <c r="N17" s="1"/>
      <c r="O17" s="1">
        <v>460</v>
      </c>
      <c r="P17" s="1">
        <f t="shared" si="3"/>
        <v>14.8</v>
      </c>
      <c r="Q17" s="9"/>
      <c r="R17" s="9">
        <f>IFERROR(VLOOKUP(A17,заказ!A:B,2,0),0)</f>
        <v>0</v>
      </c>
      <c r="S17" s="9"/>
      <c r="T17" s="1"/>
      <c r="U17" s="1">
        <f t="shared" si="4"/>
        <v>35.810810810810807</v>
      </c>
      <c r="V17" s="1">
        <f t="shared" si="5"/>
        <v>35.810810810810807</v>
      </c>
      <c r="W17" s="1">
        <v>34.799999999999997</v>
      </c>
      <c r="X17" s="1">
        <v>15.2</v>
      </c>
      <c r="Y17" s="1">
        <v>9</v>
      </c>
      <c r="Z17" s="1">
        <v>15</v>
      </c>
      <c r="AA17" s="1">
        <v>14.2</v>
      </c>
      <c r="AB17" s="1">
        <v>24</v>
      </c>
      <c r="AC17" s="1">
        <v>16.399999999999999</v>
      </c>
      <c r="AD17" s="1">
        <v>10.8</v>
      </c>
      <c r="AE17" s="1"/>
      <c r="AF17" s="1">
        <f>G17*Q17</f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33</v>
      </c>
      <c r="C18" s="1"/>
      <c r="D18" s="1"/>
      <c r="E18" s="1"/>
      <c r="F18" s="1"/>
      <c r="G18" s="7">
        <v>0.18</v>
      </c>
      <c r="H18" s="1">
        <v>150</v>
      </c>
      <c r="I18" s="1">
        <v>5038459</v>
      </c>
      <c r="J18" s="1"/>
      <c r="K18" s="1"/>
      <c r="L18" s="1">
        <f t="shared" si="2"/>
        <v>0</v>
      </c>
      <c r="M18" s="1"/>
      <c r="N18" s="1"/>
      <c r="O18" s="1">
        <v>290</v>
      </c>
      <c r="P18" s="1">
        <f t="shared" si="3"/>
        <v>0</v>
      </c>
      <c r="Q18" s="9">
        <v>50</v>
      </c>
      <c r="R18" s="9">
        <f>IFERROR(VLOOKUP(A18,заказ!A:B,2,0),0)</f>
        <v>50</v>
      </c>
      <c r="S18" s="9"/>
      <c r="T18" s="1"/>
      <c r="U18" s="1" t="e">
        <f t="shared" si="4"/>
        <v>#DIV/0!</v>
      </c>
      <c r="V18" s="1" t="e">
        <f t="shared" si="5"/>
        <v>#DIV/0!</v>
      </c>
      <c r="W18" s="1">
        <v>29</v>
      </c>
      <c r="X18" s="1">
        <v>18.399999999999999</v>
      </c>
      <c r="Y18" s="1">
        <v>8.8000000000000007</v>
      </c>
      <c r="Z18" s="1">
        <v>16.2</v>
      </c>
      <c r="AA18" s="1">
        <v>15.8</v>
      </c>
      <c r="AB18" s="1">
        <v>21.8</v>
      </c>
      <c r="AC18" s="1">
        <v>18</v>
      </c>
      <c r="AD18" s="1">
        <v>12.6</v>
      </c>
      <c r="AE18" s="13" t="s">
        <v>89</v>
      </c>
      <c r="AF18" s="1">
        <f>G18*Q18</f>
        <v>9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22" t="s">
        <v>55</v>
      </c>
      <c r="B19" s="22" t="s">
        <v>33</v>
      </c>
      <c r="C19" s="22"/>
      <c r="D19" s="22"/>
      <c r="E19" s="22"/>
      <c r="F19" s="22"/>
      <c r="G19" s="23">
        <v>0</v>
      </c>
      <c r="H19" s="22">
        <v>150</v>
      </c>
      <c r="I19" s="22">
        <v>5038831</v>
      </c>
      <c r="J19" s="22"/>
      <c r="K19" s="22"/>
      <c r="L19" s="22">
        <f t="shared" si="2"/>
        <v>0</v>
      </c>
      <c r="M19" s="22"/>
      <c r="N19" s="22"/>
      <c r="O19" s="22">
        <v>0</v>
      </c>
      <c r="P19" s="22">
        <f t="shared" si="3"/>
        <v>0</v>
      </c>
      <c r="Q19" s="24"/>
      <c r="R19" s="9">
        <f>IFERROR(VLOOKUP(A19,заказ!A:B,2,0),0)</f>
        <v>0</v>
      </c>
      <c r="S19" s="24"/>
      <c r="T19" s="22"/>
      <c r="U19" s="22" t="e">
        <f t="shared" si="4"/>
        <v>#DIV/0!</v>
      </c>
      <c r="V19" s="22" t="e">
        <f t="shared" si="5"/>
        <v>#DIV/0!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 t="s">
        <v>34</v>
      </c>
      <c r="AF19" s="22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22" t="s">
        <v>56</v>
      </c>
      <c r="B20" s="22" t="s">
        <v>33</v>
      </c>
      <c r="C20" s="22"/>
      <c r="D20" s="22"/>
      <c r="E20" s="22"/>
      <c r="F20" s="22"/>
      <c r="G20" s="23">
        <v>0</v>
      </c>
      <c r="H20" s="22">
        <v>120</v>
      </c>
      <c r="I20" s="22">
        <v>5038855</v>
      </c>
      <c r="J20" s="22"/>
      <c r="K20" s="22"/>
      <c r="L20" s="22">
        <f t="shared" si="2"/>
        <v>0</v>
      </c>
      <c r="M20" s="22"/>
      <c r="N20" s="22"/>
      <c r="O20" s="22">
        <v>0</v>
      </c>
      <c r="P20" s="22">
        <f t="shared" si="3"/>
        <v>0</v>
      </c>
      <c r="Q20" s="24"/>
      <c r="R20" s="9">
        <f>IFERROR(VLOOKUP(A20,заказ!A:B,2,0),0)</f>
        <v>0</v>
      </c>
      <c r="S20" s="24"/>
      <c r="T20" s="22"/>
      <c r="U20" s="22" t="e">
        <f t="shared" si="4"/>
        <v>#DIV/0!</v>
      </c>
      <c r="V20" s="22" t="e">
        <f t="shared" si="5"/>
        <v>#DIV/0!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 t="s">
        <v>34</v>
      </c>
      <c r="AF20" s="22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33</v>
      </c>
      <c r="C21" s="1">
        <v>71</v>
      </c>
      <c r="D21" s="1">
        <v>60</v>
      </c>
      <c r="E21" s="1">
        <v>118</v>
      </c>
      <c r="F21" s="1">
        <v>11</v>
      </c>
      <c r="G21" s="7">
        <v>0.18</v>
      </c>
      <c r="H21" s="1">
        <v>150</v>
      </c>
      <c r="I21" s="1">
        <v>5038435</v>
      </c>
      <c r="J21" s="1"/>
      <c r="K21" s="1">
        <v>128</v>
      </c>
      <c r="L21" s="1">
        <f t="shared" si="2"/>
        <v>-10</v>
      </c>
      <c r="M21" s="1"/>
      <c r="N21" s="1"/>
      <c r="O21" s="1">
        <v>400</v>
      </c>
      <c r="P21" s="1">
        <f t="shared" si="3"/>
        <v>23.6</v>
      </c>
      <c r="Q21" s="9">
        <f t="shared" ref="Q21" si="7">20*P21-O21-F21</f>
        <v>61</v>
      </c>
      <c r="R21" s="9">
        <f>IFERROR(VLOOKUP(A21,заказ!A:B,2,0),0)</f>
        <v>60</v>
      </c>
      <c r="S21" s="9"/>
      <c r="T21" s="1"/>
      <c r="U21" s="1">
        <f t="shared" si="4"/>
        <v>20</v>
      </c>
      <c r="V21" s="1">
        <f t="shared" si="5"/>
        <v>17.415254237288135</v>
      </c>
      <c r="W21" s="1">
        <v>60</v>
      </c>
      <c r="X21" s="1">
        <v>20.8</v>
      </c>
      <c r="Y21" s="1">
        <v>10.6</v>
      </c>
      <c r="Z21" s="1">
        <v>23.2</v>
      </c>
      <c r="AA21" s="1">
        <v>13.4</v>
      </c>
      <c r="AB21" s="1">
        <v>36.200000000000003</v>
      </c>
      <c r="AC21" s="1">
        <v>25.4</v>
      </c>
      <c r="AD21" s="1">
        <v>15.6</v>
      </c>
      <c r="AE21" s="1"/>
      <c r="AF21" s="1">
        <f>G21*Q21</f>
        <v>10.98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15.75" thickBot="1" x14ac:dyDescent="0.3">
      <c r="A22" s="1" t="s">
        <v>58</v>
      </c>
      <c r="B22" s="1" t="s">
        <v>33</v>
      </c>
      <c r="C22" s="1"/>
      <c r="D22" s="1">
        <v>250</v>
      </c>
      <c r="E22" s="1">
        <v>18</v>
      </c>
      <c r="F22" s="1">
        <v>231</v>
      </c>
      <c r="G22" s="7">
        <v>0.18</v>
      </c>
      <c r="H22" s="1">
        <v>120</v>
      </c>
      <c r="I22" s="1">
        <v>5038398</v>
      </c>
      <c r="J22" s="1"/>
      <c r="K22" s="1">
        <v>18</v>
      </c>
      <c r="L22" s="1">
        <f t="shared" si="2"/>
        <v>0</v>
      </c>
      <c r="M22" s="1"/>
      <c r="N22" s="1"/>
      <c r="O22" s="1">
        <v>90</v>
      </c>
      <c r="P22" s="1">
        <f t="shared" si="3"/>
        <v>3.6</v>
      </c>
      <c r="Q22" s="9"/>
      <c r="R22" s="9">
        <f>IFERROR(VLOOKUP(A22,заказ!A:B,2,0),0)</f>
        <v>0</v>
      </c>
      <c r="S22" s="9"/>
      <c r="T22" s="1"/>
      <c r="U22" s="1">
        <f t="shared" si="4"/>
        <v>89.166666666666671</v>
      </c>
      <c r="V22" s="1">
        <f t="shared" si="5"/>
        <v>89.166666666666671</v>
      </c>
      <c r="W22" s="1">
        <v>19</v>
      </c>
      <c r="X22" s="1">
        <v>17.2</v>
      </c>
      <c r="Y22" s="1">
        <v>5.8</v>
      </c>
      <c r="Z22" s="1">
        <v>11.4</v>
      </c>
      <c r="AA22" s="1">
        <v>10.199999999999999</v>
      </c>
      <c r="AB22" s="1">
        <v>16.399999999999999</v>
      </c>
      <c r="AC22" s="1">
        <v>19.8</v>
      </c>
      <c r="AD22" s="1">
        <v>14.2</v>
      </c>
      <c r="AE22" s="1"/>
      <c r="AF22" s="1">
        <f>G22*Q22</f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0" t="s">
        <v>59</v>
      </c>
      <c r="B23" s="11" t="s">
        <v>60</v>
      </c>
      <c r="C23" s="11"/>
      <c r="D23" s="11"/>
      <c r="E23" s="11"/>
      <c r="F23" s="12"/>
      <c r="G23" s="7">
        <v>1</v>
      </c>
      <c r="H23" s="1">
        <v>150</v>
      </c>
      <c r="I23" s="1">
        <v>8785242</v>
      </c>
      <c r="J23" s="1"/>
      <c r="K23" s="1"/>
      <c r="L23" s="1">
        <f t="shared" si="2"/>
        <v>0</v>
      </c>
      <c r="M23" s="1"/>
      <c r="N23" s="1"/>
      <c r="O23" s="1">
        <v>16</v>
      </c>
      <c r="P23" s="1">
        <f t="shared" si="3"/>
        <v>0</v>
      </c>
      <c r="Q23" s="9"/>
      <c r="R23" s="9">
        <f>IFERROR(VLOOKUP(A23,заказ!A:B,2,0),0)</f>
        <v>0</v>
      </c>
      <c r="S23" s="9"/>
      <c r="T23" s="1"/>
      <c r="U23" s="1" t="e">
        <f t="shared" si="4"/>
        <v>#DIV/0!</v>
      </c>
      <c r="V23" s="1" t="e">
        <f t="shared" si="5"/>
        <v>#DIV/0!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/>
      <c r="AF23" s="1">
        <f>G23*Q23</f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15.75" thickBot="1" x14ac:dyDescent="0.3">
      <c r="A24" s="16" t="s">
        <v>61</v>
      </c>
      <c r="B24" s="17" t="s">
        <v>60</v>
      </c>
      <c r="C24" s="17"/>
      <c r="D24" s="17">
        <v>15.868</v>
      </c>
      <c r="E24" s="17"/>
      <c r="F24" s="18">
        <v>15.868</v>
      </c>
      <c r="G24" s="19">
        <v>0</v>
      </c>
      <c r="H24" s="20" t="e">
        <v>#N/A</v>
      </c>
      <c r="I24" s="20" t="s">
        <v>62</v>
      </c>
      <c r="J24" s="20" t="s">
        <v>59</v>
      </c>
      <c r="K24" s="20"/>
      <c r="L24" s="20">
        <f t="shared" si="2"/>
        <v>0</v>
      </c>
      <c r="M24" s="20"/>
      <c r="N24" s="20"/>
      <c r="O24" s="20">
        <v>0</v>
      </c>
      <c r="P24" s="20">
        <f t="shared" si="3"/>
        <v>0</v>
      </c>
      <c r="Q24" s="21"/>
      <c r="R24" s="9">
        <f>IFERROR(VLOOKUP(A24,заказ!A:B,2,0),0)</f>
        <v>0</v>
      </c>
      <c r="S24" s="21"/>
      <c r="T24" s="20"/>
      <c r="U24" s="20" t="e">
        <f t="shared" si="4"/>
        <v>#DIV/0!</v>
      </c>
      <c r="V24" s="20" t="e">
        <f t="shared" si="5"/>
        <v>#DIV/0!</v>
      </c>
      <c r="W24" s="20">
        <v>4.7723999999999993</v>
      </c>
      <c r="X24" s="20">
        <v>1.2756000000000001</v>
      </c>
      <c r="Y24" s="20">
        <v>0.60319999999999996</v>
      </c>
      <c r="Z24" s="20">
        <v>0.62880000000000003</v>
      </c>
      <c r="AA24" s="20">
        <v>0</v>
      </c>
      <c r="AB24" s="20">
        <v>0</v>
      </c>
      <c r="AC24" s="20">
        <v>1.3512</v>
      </c>
      <c r="AD24" s="20">
        <v>0.67720000000000002</v>
      </c>
      <c r="AE24" s="20"/>
      <c r="AF24" s="20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0" t="s">
        <v>63</v>
      </c>
      <c r="B25" s="11" t="s">
        <v>60</v>
      </c>
      <c r="C25" s="11"/>
      <c r="D25" s="11"/>
      <c r="E25" s="11"/>
      <c r="F25" s="12"/>
      <c r="G25" s="7">
        <v>1</v>
      </c>
      <c r="H25" s="1">
        <v>120</v>
      </c>
      <c r="I25" s="1">
        <v>8785204</v>
      </c>
      <c r="J25" s="1"/>
      <c r="K25" s="1"/>
      <c r="L25" s="1">
        <f t="shared" si="2"/>
        <v>0</v>
      </c>
      <c r="M25" s="1"/>
      <c r="N25" s="1"/>
      <c r="O25" s="1">
        <v>66</v>
      </c>
      <c r="P25" s="1">
        <f t="shared" si="3"/>
        <v>0</v>
      </c>
      <c r="Q25" s="9"/>
      <c r="R25" s="9">
        <f>IFERROR(VLOOKUP(A25,заказ!A:B,2,0),0)</f>
        <v>0</v>
      </c>
      <c r="S25" s="9"/>
      <c r="T25" s="1"/>
      <c r="U25" s="1" t="e">
        <f t="shared" si="4"/>
        <v>#DIV/0!</v>
      </c>
      <c r="V25" s="1" t="e">
        <f t="shared" si="5"/>
        <v>#DIV/0!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/>
      <c r="AF25" s="1">
        <f>G25*Q25</f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15.75" thickBot="1" x14ac:dyDescent="0.3">
      <c r="A26" s="16" t="s">
        <v>64</v>
      </c>
      <c r="B26" s="17" t="s">
        <v>60</v>
      </c>
      <c r="C26" s="17">
        <v>14.016</v>
      </c>
      <c r="D26" s="17">
        <v>16.692</v>
      </c>
      <c r="E26" s="17">
        <v>17.100000000000001</v>
      </c>
      <c r="F26" s="18">
        <v>6.9480000000000004</v>
      </c>
      <c r="G26" s="19">
        <v>0</v>
      </c>
      <c r="H26" s="20" t="e">
        <v>#N/A</v>
      </c>
      <c r="I26" s="20" t="s">
        <v>62</v>
      </c>
      <c r="J26" s="20" t="s">
        <v>63</v>
      </c>
      <c r="K26" s="20">
        <v>29.5</v>
      </c>
      <c r="L26" s="20">
        <f t="shared" si="2"/>
        <v>-12.399999999999999</v>
      </c>
      <c r="M26" s="20"/>
      <c r="N26" s="20"/>
      <c r="O26" s="20">
        <v>0</v>
      </c>
      <c r="P26" s="20">
        <f t="shared" si="3"/>
        <v>3.4200000000000004</v>
      </c>
      <c r="Q26" s="21"/>
      <c r="R26" s="9">
        <f>IFERROR(VLOOKUP(A26,заказ!A:B,2,0),0)</f>
        <v>0</v>
      </c>
      <c r="S26" s="21"/>
      <c r="T26" s="20"/>
      <c r="U26" s="20">
        <f t="shared" si="4"/>
        <v>2.0315789473684212</v>
      </c>
      <c r="V26" s="20">
        <f t="shared" si="5"/>
        <v>2.0315789473684212</v>
      </c>
      <c r="W26" s="20">
        <v>8.541599999999999</v>
      </c>
      <c r="X26" s="20">
        <v>3.3140000000000001</v>
      </c>
      <c r="Y26" s="20">
        <v>3.448</v>
      </c>
      <c r="Z26" s="20">
        <v>2.5415999999999999</v>
      </c>
      <c r="AA26" s="20">
        <v>3.1417999999999999</v>
      </c>
      <c r="AB26" s="20">
        <v>1.2856000000000001</v>
      </c>
      <c r="AC26" s="20">
        <v>2.0367999999999999</v>
      </c>
      <c r="AD26" s="20">
        <v>1.3335999999999999</v>
      </c>
      <c r="AE26" s="20"/>
      <c r="AF26" s="20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22" t="s">
        <v>65</v>
      </c>
      <c r="B27" s="22" t="s">
        <v>33</v>
      </c>
      <c r="C27" s="22"/>
      <c r="D27" s="22"/>
      <c r="E27" s="22"/>
      <c r="F27" s="22"/>
      <c r="G27" s="23">
        <v>0</v>
      </c>
      <c r="H27" s="22">
        <v>180</v>
      </c>
      <c r="I27" s="22">
        <v>9988391</v>
      </c>
      <c r="J27" s="22"/>
      <c r="K27" s="22"/>
      <c r="L27" s="22">
        <f t="shared" si="2"/>
        <v>0</v>
      </c>
      <c r="M27" s="22"/>
      <c r="N27" s="22"/>
      <c r="O27" s="22">
        <v>0</v>
      </c>
      <c r="P27" s="22">
        <f t="shared" si="3"/>
        <v>0</v>
      </c>
      <c r="Q27" s="24"/>
      <c r="R27" s="9">
        <f>IFERROR(VLOOKUP(A27,заказ!A:B,2,0),0)</f>
        <v>0</v>
      </c>
      <c r="S27" s="24"/>
      <c r="T27" s="22"/>
      <c r="U27" s="22" t="e">
        <f t="shared" si="4"/>
        <v>#DIV/0!</v>
      </c>
      <c r="V27" s="22" t="e">
        <f t="shared" si="5"/>
        <v>#DIV/0!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 t="s">
        <v>34</v>
      </c>
      <c r="AF27" s="22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22" t="s">
        <v>66</v>
      </c>
      <c r="B28" s="22" t="s">
        <v>33</v>
      </c>
      <c r="C28" s="22"/>
      <c r="D28" s="22"/>
      <c r="E28" s="22"/>
      <c r="F28" s="22"/>
      <c r="G28" s="23">
        <v>0</v>
      </c>
      <c r="H28" s="22">
        <v>270</v>
      </c>
      <c r="I28" s="22">
        <v>9988681</v>
      </c>
      <c r="J28" s="22"/>
      <c r="K28" s="22"/>
      <c r="L28" s="22">
        <f t="shared" si="2"/>
        <v>0</v>
      </c>
      <c r="M28" s="22"/>
      <c r="N28" s="22"/>
      <c r="O28" s="22">
        <v>0</v>
      </c>
      <c r="P28" s="22">
        <f t="shared" si="3"/>
        <v>0</v>
      </c>
      <c r="Q28" s="24"/>
      <c r="R28" s="9">
        <f>IFERROR(VLOOKUP(A28,заказ!A:B,2,0),0)</f>
        <v>0</v>
      </c>
      <c r="S28" s="24"/>
      <c r="T28" s="22"/>
      <c r="U28" s="22" t="e">
        <f t="shared" si="4"/>
        <v>#DIV/0!</v>
      </c>
      <c r="V28" s="22" t="e">
        <f t="shared" si="5"/>
        <v>#DIV/0!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 t="s">
        <v>34</v>
      </c>
      <c r="AF28" s="2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20" t="s">
        <v>67</v>
      </c>
      <c r="B29" s="20" t="s">
        <v>60</v>
      </c>
      <c r="C29" s="20">
        <v>13.85</v>
      </c>
      <c r="D29" s="20"/>
      <c r="E29" s="20"/>
      <c r="F29" s="20"/>
      <c r="G29" s="19">
        <v>0</v>
      </c>
      <c r="H29" s="20" t="e">
        <v>#N/A</v>
      </c>
      <c r="I29" s="20" t="s">
        <v>68</v>
      </c>
      <c r="J29" s="20"/>
      <c r="K29" s="20">
        <v>7</v>
      </c>
      <c r="L29" s="20">
        <f t="shared" si="2"/>
        <v>-7</v>
      </c>
      <c r="M29" s="20"/>
      <c r="N29" s="20"/>
      <c r="O29" s="20">
        <v>0</v>
      </c>
      <c r="P29" s="20">
        <f t="shared" si="3"/>
        <v>0</v>
      </c>
      <c r="Q29" s="21"/>
      <c r="R29" s="9">
        <f>IFERROR(VLOOKUP(A29,заказ!A:B,2,0),0)</f>
        <v>0</v>
      </c>
      <c r="S29" s="21"/>
      <c r="T29" s="20"/>
      <c r="U29" s="20" t="e">
        <f t="shared" si="4"/>
        <v>#DIV/0!</v>
      </c>
      <c r="V29" s="20" t="e">
        <f t="shared" si="5"/>
        <v>#DIV/0!</v>
      </c>
      <c r="W29" s="20">
        <v>1.9530000000000001</v>
      </c>
      <c r="X29" s="20">
        <v>1.2749999999999999</v>
      </c>
      <c r="Y29" s="20">
        <v>2.0699999999999998</v>
      </c>
      <c r="Z29" s="20">
        <v>-4.48E-2</v>
      </c>
      <c r="AA29" s="20">
        <v>0</v>
      </c>
      <c r="AB29" s="20">
        <v>0</v>
      </c>
      <c r="AC29" s="20">
        <v>1.3939999999999999</v>
      </c>
      <c r="AD29" s="20">
        <v>0.68899999999999995</v>
      </c>
      <c r="AE29" s="20"/>
      <c r="AF29" s="20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22" t="s">
        <v>69</v>
      </c>
      <c r="B30" s="22" t="s">
        <v>60</v>
      </c>
      <c r="C30" s="22"/>
      <c r="D30" s="22"/>
      <c r="E30" s="22"/>
      <c r="F30" s="22"/>
      <c r="G30" s="23">
        <v>0</v>
      </c>
      <c r="H30" s="22">
        <v>120</v>
      </c>
      <c r="I30" s="22">
        <v>8785198</v>
      </c>
      <c r="J30" s="22"/>
      <c r="K30" s="22"/>
      <c r="L30" s="22">
        <f t="shared" si="2"/>
        <v>0</v>
      </c>
      <c r="M30" s="22"/>
      <c r="N30" s="22"/>
      <c r="O30" s="22">
        <v>0</v>
      </c>
      <c r="P30" s="22">
        <f t="shared" si="3"/>
        <v>0</v>
      </c>
      <c r="Q30" s="24"/>
      <c r="R30" s="9">
        <f>IFERROR(VLOOKUP(A30,заказ!A:B,2,0),0)</f>
        <v>0</v>
      </c>
      <c r="S30" s="24"/>
      <c r="T30" s="22"/>
      <c r="U30" s="22" t="e">
        <f t="shared" si="4"/>
        <v>#DIV/0!</v>
      </c>
      <c r="V30" s="22" t="e">
        <f t="shared" si="5"/>
        <v>#DIV/0!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 t="s">
        <v>34</v>
      </c>
      <c r="AF30" s="22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22" t="s">
        <v>70</v>
      </c>
      <c r="B31" s="22" t="s">
        <v>33</v>
      </c>
      <c r="C31" s="22"/>
      <c r="D31" s="22"/>
      <c r="E31" s="22"/>
      <c r="F31" s="22"/>
      <c r="G31" s="23">
        <v>0</v>
      </c>
      <c r="H31" s="22">
        <v>60</v>
      </c>
      <c r="I31" s="22">
        <v>8444187</v>
      </c>
      <c r="J31" s="22"/>
      <c r="K31" s="22"/>
      <c r="L31" s="22">
        <f t="shared" si="2"/>
        <v>0</v>
      </c>
      <c r="M31" s="22"/>
      <c r="N31" s="22"/>
      <c r="O31" s="22">
        <v>0</v>
      </c>
      <c r="P31" s="22">
        <f t="shared" si="3"/>
        <v>0</v>
      </c>
      <c r="Q31" s="24"/>
      <c r="R31" s="9">
        <f>IFERROR(VLOOKUP(A31,заказ!A:B,2,0),0)</f>
        <v>0</v>
      </c>
      <c r="S31" s="24"/>
      <c r="T31" s="22"/>
      <c r="U31" s="22" t="e">
        <f t="shared" si="4"/>
        <v>#DIV/0!</v>
      </c>
      <c r="V31" s="22" t="e">
        <f t="shared" si="5"/>
        <v>#DIV/0!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 t="s">
        <v>34</v>
      </c>
      <c r="AF31" s="22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22" t="s">
        <v>71</v>
      </c>
      <c r="B32" s="22" t="s">
        <v>33</v>
      </c>
      <c r="C32" s="22"/>
      <c r="D32" s="22"/>
      <c r="E32" s="22"/>
      <c r="F32" s="22"/>
      <c r="G32" s="23">
        <v>0</v>
      </c>
      <c r="H32" s="22">
        <v>90</v>
      </c>
      <c r="I32" s="22">
        <v>8444194</v>
      </c>
      <c r="J32" s="22"/>
      <c r="K32" s="22"/>
      <c r="L32" s="22">
        <f t="shared" si="2"/>
        <v>0</v>
      </c>
      <c r="M32" s="22"/>
      <c r="N32" s="22"/>
      <c r="O32" s="22">
        <v>0</v>
      </c>
      <c r="P32" s="22">
        <f t="shared" si="3"/>
        <v>0</v>
      </c>
      <c r="Q32" s="24"/>
      <c r="R32" s="9">
        <f>IFERROR(VLOOKUP(A32,заказ!A:B,2,0),0)</f>
        <v>0</v>
      </c>
      <c r="S32" s="24"/>
      <c r="T32" s="22"/>
      <c r="U32" s="22" t="e">
        <f t="shared" si="4"/>
        <v>#DIV/0!</v>
      </c>
      <c r="V32" s="22" t="e">
        <f t="shared" si="5"/>
        <v>#DIV/0!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 t="s">
        <v>34</v>
      </c>
      <c r="AF32" s="22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22" t="s">
        <v>72</v>
      </c>
      <c r="B33" s="22" t="s">
        <v>60</v>
      </c>
      <c r="C33" s="22"/>
      <c r="D33" s="22"/>
      <c r="E33" s="22"/>
      <c r="F33" s="22"/>
      <c r="G33" s="23">
        <v>0</v>
      </c>
      <c r="H33" s="22">
        <v>150</v>
      </c>
      <c r="I33" s="22">
        <v>8786928</v>
      </c>
      <c r="J33" s="22"/>
      <c r="K33" s="22"/>
      <c r="L33" s="22">
        <f t="shared" si="2"/>
        <v>0</v>
      </c>
      <c r="M33" s="22"/>
      <c r="N33" s="22"/>
      <c r="O33" s="22">
        <v>0</v>
      </c>
      <c r="P33" s="22">
        <f t="shared" si="3"/>
        <v>0</v>
      </c>
      <c r="Q33" s="24"/>
      <c r="R33" s="9">
        <f>IFERROR(VLOOKUP(A33,заказ!A:B,2,0),0)</f>
        <v>0</v>
      </c>
      <c r="S33" s="24"/>
      <c r="T33" s="22"/>
      <c r="U33" s="22" t="e">
        <f t="shared" si="4"/>
        <v>#DIV/0!</v>
      </c>
      <c r="V33" s="22" t="e">
        <f t="shared" si="5"/>
        <v>#DIV/0!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 t="s">
        <v>34</v>
      </c>
      <c r="AF33" s="22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t="15.75" thickBot="1" x14ac:dyDescent="0.3">
      <c r="A34" s="22" t="s">
        <v>73</v>
      </c>
      <c r="B34" s="22" t="s">
        <v>33</v>
      </c>
      <c r="C34" s="22"/>
      <c r="D34" s="22"/>
      <c r="E34" s="22"/>
      <c r="F34" s="22"/>
      <c r="G34" s="23">
        <v>0</v>
      </c>
      <c r="H34" s="22">
        <v>180</v>
      </c>
      <c r="I34" s="22">
        <v>9988377</v>
      </c>
      <c r="J34" s="22"/>
      <c r="K34" s="22"/>
      <c r="L34" s="22">
        <f t="shared" si="2"/>
        <v>0</v>
      </c>
      <c r="M34" s="22"/>
      <c r="N34" s="22"/>
      <c r="O34" s="22">
        <v>0</v>
      </c>
      <c r="P34" s="22">
        <f t="shared" si="3"/>
        <v>0</v>
      </c>
      <c r="Q34" s="24"/>
      <c r="R34" s="9">
        <f>IFERROR(VLOOKUP(A34,заказ!A:B,2,0),0)</f>
        <v>0</v>
      </c>
      <c r="S34" s="24"/>
      <c r="T34" s="22"/>
      <c r="U34" s="22" t="e">
        <f t="shared" si="4"/>
        <v>#DIV/0!</v>
      </c>
      <c r="V34" s="22" t="e">
        <f t="shared" si="5"/>
        <v>#DIV/0!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 t="s">
        <v>34</v>
      </c>
      <c r="AF34" s="22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0" t="s">
        <v>74</v>
      </c>
      <c r="B35" s="11" t="s">
        <v>33</v>
      </c>
      <c r="C35" s="11"/>
      <c r="D35" s="11"/>
      <c r="E35" s="11"/>
      <c r="F35" s="12"/>
      <c r="G35" s="7">
        <v>0.2</v>
      </c>
      <c r="H35" s="1">
        <v>120</v>
      </c>
      <c r="I35" s="1" t="s">
        <v>75</v>
      </c>
      <c r="J35" s="1"/>
      <c r="K35" s="1"/>
      <c r="L35" s="1">
        <f t="shared" si="2"/>
        <v>0</v>
      </c>
      <c r="M35" s="1"/>
      <c r="N35" s="1"/>
      <c r="O35" s="1">
        <v>40</v>
      </c>
      <c r="P35" s="1">
        <f t="shared" si="3"/>
        <v>0</v>
      </c>
      <c r="Q35" s="9">
        <f>20*(P35+P36)-O35-O36-F35-F36</f>
        <v>207</v>
      </c>
      <c r="R35" s="9">
        <f>IFERROR(VLOOKUP(A35,заказ!A:B,2,0),0)</f>
        <v>210</v>
      </c>
      <c r="S35" s="9"/>
      <c r="T35" s="1"/>
      <c r="U35" s="1" t="e">
        <f t="shared" si="4"/>
        <v>#DIV/0!</v>
      </c>
      <c r="V35" s="1" t="e">
        <f t="shared" si="5"/>
        <v>#DIV/0!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 t="s">
        <v>76</v>
      </c>
      <c r="AF35" s="1">
        <f>G35*Q35</f>
        <v>41.400000000000006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15.75" thickBot="1" x14ac:dyDescent="0.3">
      <c r="A36" s="16" t="s">
        <v>77</v>
      </c>
      <c r="B36" s="17" t="s">
        <v>33</v>
      </c>
      <c r="C36" s="17">
        <v>191</v>
      </c>
      <c r="D36" s="17">
        <v>44</v>
      </c>
      <c r="E36" s="17">
        <v>94</v>
      </c>
      <c r="F36" s="18">
        <v>129</v>
      </c>
      <c r="G36" s="19">
        <v>0</v>
      </c>
      <c r="H36" s="20" t="e">
        <v>#N/A</v>
      </c>
      <c r="I36" s="20" t="s">
        <v>62</v>
      </c>
      <c r="J36" s="20" t="s">
        <v>74</v>
      </c>
      <c r="K36" s="20">
        <v>98</v>
      </c>
      <c r="L36" s="20">
        <f t="shared" si="2"/>
        <v>-4</v>
      </c>
      <c r="M36" s="20"/>
      <c r="N36" s="20"/>
      <c r="O36" s="20">
        <v>0</v>
      </c>
      <c r="P36" s="20">
        <f t="shared" si="3"/>
        <v>18.8</v>
      </c>
      <c r="Q36" s="21"/>
      <c r="R36" s="9">
        <f>IFERROR(VLOOKUP(A36,заказ!A:B,2,0),0)</f>
        <v>0</v>
      </c>
      <c r="S36" s="21"/>
      <c r="T36" s="20"/>
      <c r="U36" s="20">
        <f t="shared" si="4"/>
        <v>6.8617021276595738</v>
      </c>
      <c r="V36" s="20">
        <f t="shared" si="5"/>
        <v>6.8617021276595738</v>
      </c>
      <c r="W36" s="20">
        <v>15</v>
      </c>
      <c r="X36" s="20">
        <v>14</v>
      </c>
      <c r="Y36" s="20">
        <v>15.2</v>
      </c>
      <c r="Z36" s="20">
        <v>8.6</v>
      </c>
      <c r="AA36" s="20">
        <v>23.8</v>
      </c>
      <c r="AB36" s="20">
        <v>20.2</v>
      </c>
      <c r="AC36" s="20">
        <v>24.6</v>
      </c>
      <c r="AD36" s="20">
        <v>13.2</v>
      </c>
      <c r="AE36" s="20"/>
      <c r="AF36" s="20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0" t="s">
        <v>78</v>
      </c>
      <c r="B37" s="11" t="s">
        <v>60</v>
      </c>
      <c r="C37" s="11">
        <v>-7</v>
      </c>
      <c r="D37" s="11">
        <v>7</v>
      </c>
      <c r="E37" s="11"/>
      <c r="F37" s="12"/>
      <c r="G37" s="7">
        <v>1</v>
      </c>
      <c r="H37" s="1">
        <v>120</v>
      </c>
      <c r="I37" s="1" t="s">
        <v>79</v>
      </c>
      <c r="J37" s="1"/>
      <c r="K37" s="1"/>
      <c r="L37" s="1">
        <f t="shared" si="2"/>
        <v>0</v>
      </c>
      <c r="M37" s="1"/>
      <c r="N37" s="1"/>
      <c r="O37" s="1">
        <v>45</v>
      </c>
      <c r="P37" s="1">
        <f t="shared" si="3"/>
        <v>0</v>
      </c>
      <c r="Q37" s="9">
        <f>20*(P37+P38)-O37-O38-F37-F38</f>
        <v>29.699999999999978</v>
      </c>
      <c r="R37" s="9">
        <f>IFERROR(VLOOKUP(A37,заказ!A:B,2,0),0)</f>
        <v>30</v>
      </c>
      <c r="S37" s="9"/>
      <c r="T37" s="1"/>
      <c r="U37" s="1" t="e">
        <f t="shared" si="4"/>
        <v>#DIV/0!</v>
      </c>
      <c r="V37" s="1" t="e">
        <f t="shared" si="5"/>
        <v>#DIV/0!</v>
      </c>
      <c r="W37" s="1">
        <v>1.4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/>
      <c r="AF37" s="1">
        <f>G37*Q37</f>
        <v>29.699999999999978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5.75" thickBot="1" x14ac:dyDescent="0.3">
      <c r="A38" s="16" t="s">
        <v>80</v>
      </c>
      <c r="B38" s="17" t="s">
        <v>60</v>
      </c>
      <c r="C38" s="17">
        <v>60.43</v>
      </c>
      <c r="D38" s="17"/>
      <c r="E38" s="17">
        <v>24.99</v>
      </c>
      <c r="F38" s="18">
        <v>25.26</v>
      </c>
      <c r="G38" s="19">
        <v>0</v>
      </c>
      <c r="H38" s="20" t="e">
        <v>#N/A</v>
      </c>
      <c r="I38" s="20" t="s">
        <v>62</v>
      </c>
      <c r="J38" s="20" t="s">
        <v>78</v>
      </c>
      <c r="K38" s="20">
        <v>29.7</v>
      </c>
      <c r="L38" s="20">
        <f t="shared" si="2"/>
        <v>-4.7100000000000009</v>
      </c>
      <c r="M38" s="20"/>
      <c r="N38" s="20"/>
      <c r="O38" s="20">
        <v>0</v>
      </c>
      <c r="P38" s="20">
        <f t="shared" si="3"/>
        <v>4.9979999999999993</v>
      </c>
      <c r="Q38" s="21"/>
      <c r="R38" s="9">
        <f>IFERROR(VLOOKUP(A38,заказ!A:B,2,0),0)</f>
        <v>0</v>
      </c>
      <c r="S38" s="21"/>
      <c r="T38" s="20"/>
      <c r="U38" s="20">
        <f t="shared" si="4"/>
        <v>5.054021608643458</v>
      </c>
      <c r="V38" s="20">
        <f t="shared" si="5"/>
        <v>5.054021608643458</v>
      </c>
      <c r="W38" s="20">
        <v>5.1112000000000002</v>
      </c>
      <c r="X38" s="20">
        <v>1.9144000000000001</v>
      </c>
      <c r="Y38" s="20">
        <v>1.8688</v>
      </c>
      <c r="Z38" s="20">
        <v>3.9748000000000001</v>
      </c>
      <c r="AA38" s="20">
        <v>6.4563999999999986</v>
      </c>
      <c r="AB38" s="20">
        <v>3.8504</v>
      </c>
      <c r="AC38" s="20">
        <v>2.6360000000000001</v>
      </c>
      <c r="AD38" s="20">
        <v>5.1280000000000001</v>
      </c>
      <c r="AE38" s="20"/>
      <c r="AF38" s="20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0" t="s">
        <v>81</v>
      </c>
      <c r="B39" s="11" t="s">
        <v>33</v>
      </c>
      <c r="C39" s="11"/>
      <c r="D39" s="11"/>
      <c r="E39" s="11"/>
      <c r="F39" s="12"/>
      <c r="G39" s="7">
        <v>0.2</v>
      </c>
      <c r="H39" s="1">
        <v>120</v>
      </c>
      <c r="I39" s="1" t="s">
        <v>82</v>
      </c>
      <c r="J39" s="1"/>
      <c r="K39" s="1"/>
      <c r="L39" s="1">
        <f t="shared" si="2"/>
        <v>0</v>
      </c>
      <c r="M39" s="1"/>
      <c r="N39" s="1"/>
      <c r="O39" s="1">
        <v>100</v>
      </c>
      <c r="P39" s="1">
        <f t="shared" si="3"/>
        <v>0</v>
      </c>
      <c r="Q39" s="9">
        <f>19*(P39+P40)-O39-O40-F39-F40</f>
        <v>158</v>
      </c>
      <c r="R39" s="9">
        <f>IFERROR(VLOOKUP(A39,заказ!A:B,2,0),0)</f>
        <v>160</v>
      </c>
      <c r="S39" s="9"/>
      <c r="T39" s="1"/>
      <c r="U39" s="1" t="e">
        <f t="shared" si="4"/>
        <v>#DIV/0!</v>
      </c>
      <c r="V39" s="1" t="e">
        <f t="shared" si="5"/>
        <v>#DIV/0!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 t="s">
        <v>83</v>
      </c>
      <c r="AF39" s="1">
        <f>G39*Q39</f>
        <v>31.6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15.75" thickBot="1" x14ac:dyDescent="0.3">
      <c r="A40" s="16" t="s">
        <v>84</v>
      </c>
      <c r="B40" s="17" t="s">
        <v>33</v>
      </c>
      <c r="C40" s="17">
        <v>158</v>
      </c>
      <c r="D40" s="17">
        <v>4</v>
      </c>
      <c r="E40" s="17">
        <v>85</v>
      </c>
      <c r="F40" s="18">
        <v>65</v>
      </c>
      <c r="G40" s="19">
        <v>0</v>
      </c>
      <c r="H40" s="20" t="e">
        <v>#N/A</v>
      </c>
      <c r="I40" s="20" t="s">
        <v>62</v>
      </c>
      <c r="J40" s="20" t="s">
        <v>81</v>
      </c>
      <c r="K40" s="20">
        <v>89</v>
      </c>
      <c r="L40" s="20">
        <f t="shared" si="2"/>
        <v>-4</v>
      </c>
      <c r="M40" s="20"/>
      <c r="N40" s="20"/>
      <c r="O40" s="20">
        <v>0</v>
      </c>
      <c r="P40" s="20">
        <f t="shared" si="3"/>
        <v>17</v>
      </c>
      <c r="Q40" s="21"/>
      <c r="R40" s="9">
        <f>IFERROR(VLOOKUP(A40,заказ!A:B,2,0),0)</f>
        <v>0</v>
      </c>
      <c r="S40" s="21"/>
      <c r="T40" s="20"/>
      <c r="U40" s="20">
        <f t="shared" si="4"/>
        <v>3.8235294117647061</v>
      </c>
      <c r="V40" s="20">
        <f t="shared" si="5"/>
        <v>3.8235294117647061</v>
      </c>
      <c r="W40" s="20">
        <v>14.6</v>
      </c>
      <c r="X40" s="20">
        <v>10.199999999999999</v>
      </c>
      <c r="Y40" s="20">
        <v>11.4</v>
      </c>
      <c r="Z40" s="20">
        <v>6.2</v>
      </c>
      <c r="AA40" s="20">
        <v>15.8</v>
      </c>
      <c r="AB40" s="20">
        <v>14.8</v>
      </c>
      <c r="AC40" s="20">
        <v>17</v>
      </c>
      <c r="AD40" s="20">
        <v>14</v>
      </c>
      <c r="AE40" s="20" t="s">
        <v>38</v>
      </c>
      <c r="AF40" s="20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0" t="s">
        <v>85</v>
      </c>
      <c r="B41" s="11" t="s">
        <v>60</v>
      </c>
      <c r="C41" s="11"/>
      <c r="D41" s="11"/>
      <c r="E41" s="11"/>
      <c r="F41" s="12"/>
      <c r="G41" s="7">
        <v>1</v>
      </c>
      <c r="H41" s="1">
        <v>120</v>
      </c>
      <c r="I41" s="1" t="s">
        <v>86</v>
      </c>
      <c r="J41" s="1"/>
      <c r="K41" s="1"/>
      <c r="L41" s="1">
        <f t="shared" si="2"/>
        <v>0</v>
      </c>
      <c r="M41" s="1"/>
      <c r="N41" s="1"/>
      <c r="O41" s="1">
        <v>0</v>
      </c>
      <c r="P41" s="1">
        <f t="shared" si="3"/>
        <v>0</v>
      </c>
      <c r="Q41" s="9"/>
      <c r="R41" s="9">
        <f>IFERROR(VLOOKUP(A41,заказ!A:B,2,0),0)</f>
        <v>0</v>
      </c>
      <c r="S41" s="9"/>
      <c r="T41" s="1"/>
      <c r="U41" s="1" t="e">
        <f t="shared" si="4"/>
        <v>#DIV/0!</v>
      </c>
      <c r="V41" s="1" t="e">
        <f t="shared" si="5"/>
        <v>#DIV/0!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 t="s">
        <v>87</v>
      </c>
      <c r="AF41" s="1">
        <f>G41*Q41</f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ht="15.75" thickBot="1" x14ac:dyDescent="0.3">
      <c r="A42" s="16" t="s">
        <v>88</v>
      </c>
      <c r="B42" s="17" t="s">
        <v>60</v>
      </c>
      <c r="C42" s="17">
        <v>63.904000000000003</v>
      </c>
      <c r="D42" s="17"/>
      <c r="E42" s="17">
        <v>6.9379999999999997</v>
      </c>
      <c r="F42" s="18">
        <v>56.966000000000001</v>
      </c>
      <c r="G42" s="19">
        <v>0</v>
      </c>
      <c r="H42" s="20" t="e">
        <v>#N/A</v>
      </c>
      <c r="I42" s="20" t="s">
        <v>62</v>
      </c>
      <c r="J42" s="20" t="s">
        <v>85</v>
      </c>
      <c r="K42" s="20">
        <v>8</v>
      </c>
      <c r="L42" s="20">
        <f t="shared" si="2"/>
        <v>-1.0620000000000003</v>
      </c>
      <c r="M42" s="20"/>
      <c r="N42" s="20"/>
      <c r="O42" s="20">
        <v>0</v>
      </c>
      <c r="P42" s="20">
        <f t="shared" si="3"/>
        <v>1.3875999999999999</v>
      </c>
      <c r="Q42" s="21"/>
      <c r="R42" s="9">
        <f>IFERROR(VLOOKUP(A42,заказ!A:B,2,0),0)</f>
        <v>0</v>
      </c>
      <c r="S42" s="21"/>
      <c r="T42" s="20"/>
      <c r="U42" s="20">
        <f t="shared" si="4"/>
        <v>41.053617757278758</v>
      </c>
      <c r="V42" s="20">
        <f t="shared" si="5"/>
        <v>41.053617757278758</v>
      </c>
      <c r="W42" s="20">
        <v>1.4276</v>
      </c>
      <c r="X42" s="20">
        <v>0</v>
      </c>
      <c r="Y42" s="20">
        <v>5.6752000000000002</v>
      </c>
      <c r="Z42" s="20">
        <v>0</v>
      </c>
      <c r="AA42" s="20">
        <v>2.0851999999999999</v>
      </c>
      <c r="AB42" s="20">
        <v>2.0992000000000002</v>
      </c>
      <c r="AC42" s="20">
        <v>0</v>
      </c>
      <c r="AD42" s="20">
        <v>4.1436000000000002</v>
      </c>
      <c r="AE42" s="25" t="s">
        <v>44</v>
      </c>
      <c r="AF42" s="20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4"/>
      <c r="B43" s="14"/>
      <c r="C43" s="14"/>
      <c r="D43" s="14"/>
      <c r="E43" s="14"/>
      <c r="F43" s="14"/>
      <c r="G43" s="15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45</v>
      </c>
      <c r="B44" s="1" t="s">
        <v>33</v>
      </c>
      <c r="C44" s="1">
        <v>46</v>
      </c>
      <c r="D44" s="1"/>
      <c r="E44" s="1">
        <v>18</v>
      </c>
      <c r="F44" s="1">
        <v>28</v>
      </c>
      <c r="G44" s="7">
        <v>0.18</v>
      </c>
      <c r="H44" s="1">
        <v>120</v>
      </c>
      <c r="I44" s="1"/>
      <c r="J44" s="1"/>
      <c r="K44" s="1">
        <v>18</v>
      </c>
      <c r="L44" s="1">
        <f>E44-K44</f>
        <v>0</v>
      </c>
      <c r="M44" s="1"/>
      <c r="N44" s="1"/>
      <c r="O44" s="1">
        <v>20</v>
      </c>
      <c r="P44" s="1">
        <f>E44/5</f>
        <v>3.6</v>
      </c>
      <c r="Q44" s="9">
        <v>20</v>
      </c>
      <c r="R44" s="9">
        <f>Q44</f>
        <v>20</v>
      </c>
      <c r="S44" s="9"/>
      <c r="T44" s="1"/>
      <c r="U44" s="1">
        <f>(F44+O44+Q44)/P44</f>
        <v>18.888888888888889</v>
      </c>
      <c r="V44" s="1">
        <f>(F44+O44)/P44</f>
        <v>13.333333333333332</v>
      </c>
      <c r="W44" s="1">
        <v>3.2</v>
      </c>
      <c r="X44" s="1">
        <v>2</v>
      </c>
      <c r="Y44" s="1">
        <v>2.8</v>
      </c>
      <c r="Z44" s="1">
        <v>2.4</v>
      </c>
      <c r="AA44" s="1">
        <v>1.6</v>
      </c>
      <c r="AB44" s="1">
        <v>2.8</v>
      </c>
      <c r="AC44" s="1">
        <v>7.8</v>
      </c>
      <c r="AD44" s="1">
        <v>1.4</v>
      </c>
      <c r="AE44" s="1" t="s">
        <v>46</v>
      </c>
      <c r="AF44" s="1">
        <f>G44*Q44</f>
        <v>3.5999999999999996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47</v>
      </c>
      <c r="B45" s="1" t="s">
        <v>33</v>
      </c>
      <c r="C45" s="1">
        <v>35</v>
      </c>
      <c r="D45" s="1"/>
      <c r="E45" s="1">
        <v>18</v>
      </c>
      <c r="F45" s="1">
        <v>17</v>
      </c>
      <c r="G45" s="7">
        <v>0.18</v>
      </c>
      <c r="H45" s="1">
        <v>120</v>
      </c>
      <c r="I45" s="1"/>
      <c r="J45" s="1"/>
      <c r="K45" s="1">
        <v>18</v>
      </c>
      <c r="L45" s="1">
        <f>E45-K45</f>
        <v>0</v>
      </c>
      <c r="M45" s="1"/>
      <c r="N45" s="1"/>
      <c r="O45" s="1"/>
      <c r="P45" s="1">
        <f>E45/5</f>
        <v>3.6</v>
      </c>
      <c r="Q45" s="9">
        <v>50</v>
      </c>
      <c r="R45" s="9">
        <f>Q45</f>
        <v>50</v>
      </c>
      <c r="S45" s="9"/>
      <c r="T45" s="1"/>
      <c r="U45" s="1">
        <f>(F45+O45+Q45)/P45</f>
        <v>18.611111111111111</v>
      </c>
      <c r="V45" s="1">
        <f>(F45+O45)/P45</f>
        <v>4.7222222222222223</v>
      </c>
      <c r="W45" s="1">
        <v>1.8</v>
      </c>
      <c r="X45" s="1">
        <v>1.4</v>
      </c>
      <c r="Y45" s="1">
        <v>2.2000000000000002</v>
      </c>
      <c r="Z45" s="1">
        <v>3.6</v>
      </c>
      <c r="AA45" s="1">
        <v>1.4</v>
      </c>
      <c r="AB45" s="1">
        <v>3.6</v>
      </c>
      <c r="AC45" s="1">
        <v>4.4000000000000004</v>
      </c>
      <c r="AD45" s="1">
        <v>0.8</v>
      </c>
      <c r="AE45" s="1" t="s">
        <v>46</v>
      </c>
      <c r="AF45" s="1">
        <f>G45*Q45</f>
        <v>9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22" t="s">
        <v>32</v>
      </c>
      <c r="B46" s="22" t="s">
        <v>33</v>
      </c>
      <c r="C46" s="22"/>
      <c r="D46" s="22"/>
      <c r="E46" s="22"/>
      <c r="F46" s="22"/>
      <c r="G46" s="23">
        <v>0</v>
      </c>
      <c r="H46" s="22"/>
      <c r="I46" s="22">
        <v>4421577</v>
      </c>
      <c r="J46" s="22"/>
      <c r="K46" s="22"/>
      <c r="L46" s="22">
        <f>E46-K46</f>
        <v>0</v>
      </c>
      <c r="M46" s="22"/>
      <c r="N46" s="22"/>
      <c r="O46" s="22"/>
      <c r="P46" s="22">
        <f>E46/5</f>
        <v>0</v>
      </c>
      <c r="Q46" s="24"/>
      <c r="R46" s="24"/>
      <c r="S46" s="24"/>
      <c r="T46" s="22"/>
      <c r="U46" s="22" t="e">
        <f>(F46+O46+Q46)/P46</f>
        <v>#DIV/0!</v>
      </c>
      <c r="V46" s="22" t="e">
        <f>(F46+O46)/P46</f>
        <v>#DIV/0!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 t="s">
        <v>34</v>
      </c>
      <c r="AF46" s="22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22" t="s">
        <v>35</v>
      </c>
      <c r="B47" s="22" t="s">
        <v>33</v>
      </c>
      <c r="C47" s="22"/>
      <c r="D47" s="22"/>
      <c r="E47" s="22"/>
      <c r="F47" s="22"/>
      <c r="G47" s="23">
        <v>0</v>
      </c>
      <c r="H47" s="22"/>
      <c r="I47" s="22">
        <v>4421584</v>
      </c>
      <c r="J47" s="22"/>
      <c r="K47" s="22"/>
      <c r="L47" s="22">
        <f>E47-K47</f>
        <v>0</v>
      </c>
      <c r="M47" s="22"/>
      <c r="N47" s="22"/>
      <c r="O47" s="22"/>
      <c r="P47" s="22">
        <f>E47/5</f>
        <v>0</v>
      </c>
      <c r="Q47" s="24"/>
      <c r="R47" s="24"/>
      <c r="S47" s="24"/>
      <c r="T47" s="22"/>
      <c r="U47" s="22" t="e">
        <f>(F47+O47+Q47)/P47</f>
        <v>#DIV/0!</v>
      </c>
      <c r="V47" s="22" t="e">
        <f>(F47+O47)/P47</f>
        <v>#DIV/0!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 t="s">
        <v>34</v>
      </c>
      <c r="AF47" s="22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</sheetData>
  <autoFilter ref="A3:AF42" xr:uid="{4A6F3F29-F4A0-4A21-BBBD-6373B3000117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8587-F1FB-4DE5-9938-1884D666D02F}">
  <dimension ref="A1:B5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54</v>
      </c>
      <c r="B1">
        <v>50</v>
      </c>
    </row>
    <row r="2" spans="1:2" x14ac:dyDescent="0.25">
      <c r="A2" t="s">
        <v>57</v>
      </c>
      <c r="B2">
        <v>60</v>
      </c>
    </row>
    <row r="3" spans="1:2" x14ac:dyDescent="0.25">
      <c r="A3" t="s">
        <v>74</v>
      </c>
      <c r="B3">
        <v>210</v>
      </c>
    </row>
    <row r="4" spans="1:2" x14ac:dyDescent="0.25">
      <c r="A4" t="s">
        <v>78</v>
      </c>
      <c r="B4">
        <v>30</v>
      </c>
    </row>
    <row r="5" spans="1:2" x14ac:dyDescent="0.25">
      <c r="A5" t="s">
        <v>81</v>
      </c>
      <c r="B5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2026-01-12T12:09:20Z</dcterms:created>
  <dcterms:modified xsi:type="dcterms:W3CDTF">2026-01-14T11:35:38Z</dcterms:modified>
</cp:coreProperties>
</file>