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F74DAD2-4A51-4BB7-9CB4-430BF7C24C1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заказа'!$A$18:$AF$511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заказа'!$X$507:$X$507</definedName>
    <definedName name="GrossWeightTotalR">'Бланк заказа'!$Y$507:$Y$507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заказа'!$X$508:$X$508</definedName>
    <definedName name="PalletQtyTotalR">'Бланк заказа'!$Y$508:$Y$508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заказа'!$B$37:$B$37</definedName>
    <definedName name="ProductId100">'Бланк заказа'!$B$223:$B$223</definedName>
    <definedName name="ProductId101">'Бланк заказа'!$B$224:$B$224</definedName>
    <definedName name="ProductId102">'Бланк заказа'!$B$225:$B$225</definedName>
    <definedName name="ProductId103">'Бланк заказа'!$B$226:$B$226</definedName>
    <definedName name="ProductId104">'Бланк заказа'!$B$227:$B$227</definedName>
    <definedName name="ProductId105">'Бланк заказа'!$B$228:$B$228</definedName>
    <definedName name="ProductId106">'Бланк заказа'!$B$232:$B$232</definedName>
    <definedName name="ProductId107">'Бланк заказа'!$B$233:$B$233</definedName>
    <definedName name="ProductId108">'Бланк заказа'!$B$234:$B$234</definedName>
    <definedName name="ProductId109">'Бланк заказа'!$B$235:$B$235</definedName>
    <definedName name="ProductId11">'Бланк заказа'!$B$43:$B$43</definedName>
    <definedName name="ProductId110">'Бланк заказа'!$B$236:$B$236</definedName>
    <definedName name="ProductId111">'Бланк заказа'!$B$237:$B$237</definedName>
    <definedName name="ProductId112">'Бланк заказа'!$B$238:$B$238</definedName>
    <definedName name="ProductId113">'Бланк заказа'!$B$239:$B$239</definedName>
    <definedName name="ProductId114">'Бланк заказа'!$B$240:$B$240</definedName>
    <definedName name="ProductId115">'Бланк заказа'!$B$244:$B$244</definedName>
    <definedName name="ProductId116">'Бланк заказа'!$B$245:$B$245</definedName>
    <definedName name="ProductId117">'Бланк заказа'!$B$250:$B$250</definedName>
    <definedName name="ProductId118">'Бланк заказа'!$B$251:$B$251</definedName>
    <definedName name="ProductId119">'Бланк заказа'!$B$252:$B$252</definedName>
    <definedName name="ProductId12">'Бланк заказа'!$B$49:$B$49</definedName>
    <definedName name="ProductId120">'Бланк заказа'!$B$253:$B$253</definedName>
    <definedName name="ProductId121">'Бланк заказа'!$B$254:$B$254</definedName>
    <definedName name="ProductId122">'Бланк заказа'!$B$255:$B$255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заказа'!$B$50:$B$50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заказа'!$B$288:$B$288</definedName>
    <definedName name="ProductId139">'Бланк заказа'!$B$289:$B$289</definedName>
    <definedName name="ProductId14">'Бланк заказа'!$B$51:$B$51</definedName>
    <definedName name="ProductId140">'Бланк заказа'!$B$294:$B$294</definedName>
    <definedName name="ProductId141">'Бланк заказа'!$B$295:$B$295</definedName>
    <definedName name="ProductId142">'Бланк заказа'!$B$296:$B$296</definedName>
    <definedName name="ProductId143">'Бланк заказа'!$B$301:$B$301</definedName>
    <definedName name="ProductId144">'Бланк заказа'!$B$302:$B$302</definedName>
    <definedName name="ProductId145">'Бланк заказа'!$B$303:$B$303</definedName>
    <definedName name="ProductId146">'Бланк заказа'!$B$307:$B$307</definedName>
    <definedName name="ProductId147">'Бланк заказа'!$B$308:$B$308</definedName>
    <definedName name="ProductId148">'Бланк заказа'!$B$313:$B$313</definedName>
    <definedName name="ProductId149">'Бланк заказа'!$B$314:$B$314</definedName>
    <definedName name="ProductId15">'Бланк заказа'!$B$52:$B$52</definedName>
    <definedName name="ProductId150">'Бланк заказа'!$B$315:$B$315</definedName>
    <definedName name="ProductId151">'Бланк заказа'!$B$316:$B$316</definedName>
    <definedName name="ProductId152">'Бланк заказа'!$B$317:$B$317</definedName>
    <definedName name="ProductId153">'Бланк заказа'!$B$318:$B$318</definedName>
    <definedName name="ProductId154">'Бланк заказа'!$B$319:$B$319</definedName>
    <definedName name="ProductId155">'Бланк заказа'!$B$320:$B$320</definedName>
    <definedName name="ProductId156">'Бланк заказа'!$B$324:$B$324</definedName>
    <definedName name="ProductId157">'Бланк заказа'!$B$325:$B$325</definedName>
    <definedName name="ProductId158">'Бланк заказа'!$B$326:$B$326</definedName>
    <definedName name="ProductId159">'Бланк заказа'!$B$327:$B$327</definedName>
    <definedName name="ProductId16">'Бланк заказа'!$B$56:$B$56</definedName>
    <definedName name="ProductId160">'Бланк заказа'!$B$328:$B$328</definedName>
    <definedName name="ProductId161">'Бланк заказа'!$B$329:$B$329</definedName>
    <definedName name="ProductId162">'Бланк заказа'!$B$330:$B$330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заказа'!$B$341:$B$341</definedName>
    <definedName name="ProductId168">'Бланк заказа'!$B$342:$B$342</definedName>
    <definedName name="ProductId169">'Бланк заказа'!$B$343:$B$343</definedName>
    <definedName name="ProductId17">'Бланк заказа'!$B$61:$B$61</definedName>
    <definedName name="ProductId170">'Бланк заказа'!$B$347:$B$347</definedName>
    <definedName name="ProductId171">'Бланк заказа'!$B$348:$B$348</definedName>
    <definedName name="ProductId172">'Бланк заказа'!$B$349:$B$349</definedName>
    <definedName name="ProductId173">'Бланк заказа'!$B$350:$B$350</definedName>
    <definedName name="ProductId174">'Бланк заказа'!$B$354:$B$354</definedName>
    <definedName name="ProductId175">'Бланк заказа'!$B$355:$B$355</definedName>
    <definedName name="ProductId176">'Бланк заказа'!$B$356:$B$356</definedName>
    <definedName name="ProductId177">'Бланк заказа'!$B$361:$B$361</definedName>
    <definedName name="ProductId178">'Бланк заказа'!$B$362:$B$362</definedName>
    <definedName name="ProductId179">'Бланк заказа'!$B$363:$B$363</definedName>
    <definedName name="ProductId18">'Бланк заказа'!$B$62:$B$62</definedName>
    <definedName name="ProductId180">'Бланк заказа'!$B$369:$B$369</definedName>
    <definedName name="ProductId181">'Бланк заказа'!$B$370:$B$370</definedName>
    <definedName name="ProductId182">'Бланк заказа'!$B$371:$B$371</definedName>
    <definedName name="ProductId183">'Бланк заказа'!$B$372:$B$372</definedName>
    <definedName name="ProductId184">'Бланк заказа'!$B$373:$B$373</definedName>
    <definedName name="ProductId185">'Бланк заказа'!$B$374:$B$374</definedName>
    <definedName name="ProductId186">'Бланк заказа'!$B$375:$B$375</definedName>
    <definedName name="ProductId187">'Бланк заказа'!$B$379:$B$379</definedName>
    <definedName name="ProductId188">'Бланк заказа'!$B$380:$B$380</definedName>
    <definedName name="ProductId189">'Бланк заказа'!$B$384:$B$384</definedName>
    <definedName name="ProductId19">'Бланк заказа'!$B$63:$B$63</definedName>
    <definedName name="ProductId190">'Бланк заказа'!$B$385:$B$385</definedName>
    <definedName name="ProductId191">'Бланк заказа'!$B$389:$B$389</definedName>
    <definedName name="ProductId192">'Бланк заказа'!$B$394:$B$394</definedName>
    <definedName name="ProductId193">'Бланк заказа'!$B$395:$B$395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заказа'!$B$405:$B$405</definedName>
    <definedName name="ProductId198">'Бланк заказа'!$B$411:$B$411</definedName>
    <definedName name="ProductId199">'Бланк заказа'!$B$412:$B$412</definedName>
    <definedName name="ProductId2">'Бланк заказа'!$B$23:$B$23</definedName>
    <definedName name="ProductId20">'Бланк заказа'!$B$64:$B$64</definedName>
    <definedName name="ProductId200">'Бланк заказа'!$B$413:$B$413</definedName>
    <definedName name="ProductId201">'Бланк заказа'!$B$414:$B$414</definedName>
    <definedName name="ProductId202">'Бланк заказа'!$B$415:$B$415</definedName>
    <definedName name="ProductId203">'Бланк заказа'!$B$416:$B$416</definedName>
    <definedName name="ProductId204">'Бланк заказа'!$B$417:$B$417</definedName>
    <definedName name="ProductId205">'Бланк заказа'!$B$418:$B$418</definedName>
    <definedName name="ProductId206">'Бланк заказа'!$B$419:$B$419</definedName>
    <definedName name="ProductId207">'Бланк заказа'!$B$423:$B$423</definedName>
    <definedName name="ProductId208">'Бланк заказа'!$B$424:$B$424</definedName>
    <definedName name="ProductId209">'Бланк заказа'!$B$429:$B$429</definedName>
    <definedName name="ProductId21">'Бланк заказа'!$B$65:$B$65</definedName>
    <definedName name="ProductId210">'Бланк заказа'!$B$433:$B$433</definedName>
    <definedName name="ProductId211">'Бланк заказа'!$B$434:$B$434</definedName>
    <definedName name="ProductId212">'Бланк заказа'!$B$435:$B$435</definedName>
    <definedName name="ProductId213">'Бланк заказа'!$B$440:$B$440</definedName>
    <definedName name="ProductId214">'Бланк заказа'!$B$446:$B$446</definedName>
    <definedName name="ProductId215">'Бланк заказа'!$B$447:$B$447</definedName>
    <definedName name="ProductId216">'Бланк заказа'!$B$448:$B$448</definedName>
    <definedName name="ProductId217">'Бланк заказа'!$B$449:$B$449</definedName>
    <definedName name="ProductId218">'Бланк заказа'!$B$450:$B$450</definedName>
    <definedName name="ProductId219">'Бланк заказа'!$B$451:$B$451</definedName>
    <definedName name="ProductId22">'Бланк заказа'!$B$66:$B$66</definedName>
    <definedName name="ProductId220">'Бланк заказа'!$B$452:$B$452</definedName>
    <definedName name="ProductId221">'Бланк заказа'!$B$453:$B$453</definedName>
    <definedName name="ProductId222">'Бланк заказа'!$B$454:$B$454</definedName>
    <definedName name="ProductId223">'Бланк заказа'!$B$455:$B$455</definedName>
    <definedName name="ProductId224">'Бланк заказа'!$B$456:$B$456</definedName>
    <definedName name="ProductId225">'Бланк заказа'!$B$457:$B$457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заказа'!$B$70:$B$70</definedName>
    <definedName name="ProductId230">'Бланк заказа'!$B$468:$B$468</definedName>
    <definedName name="ProductId231">'Бланк заказа'!$B$469:$B$469</definedName>
    <definedName name="ProductId232">'Бланк заказа'!$B$470:$B$470</definedName>
    <definedName name="ProductId233">'Бланк заказа'!$B$471:$B$471</definedName>
    <definedName name="ProductId234">'Бланк заказа'!$B$472:$B$472</definedName>
    <definedName name="ProductId235">'Бланк заказа'!$B$473:$B$473</definedName>
    <definedName name="ProductId236">'Бланк заказа'!$B$479:$B$479</definedName>
    <definedName name="ProductId237">'Бланк заказа'!$B$480:$B$480</definedName>
    <definedName name="ProductId238">'Бланк заказа'!$B$481:$B$481</definedName>
    <definedName name="ProductId239">'Бланк заказа'!$B$485:$B$485</definedName>
    <definedName name="ProductId24">'Бланк заказа'!$B$71:$B$71</definedName>
    <definedName name="ProductId240">'Бланк заказа'!$B$489:$B$489</definedName>
    <definedName name="ProductId241">'Бланк заказа'!$B$493:$B$493</definedName>
    <definedName name="ProductId242">'Бланк заказа'!$B$497:$B$497</definedName>
    <definedName name="ProductId243">'Бланк заказа'!$B$498:$B$498</definedName>
    <definedName name="ProductId244">'Бланк заказа'!$B$503:$B$503</definedName>
    <definedName name="ProductId25">'Бланк заказа'!$B$72:$B$72</definedName>
    <definedName name="ProductId26">'Бланк заказа'!$B$73:$B$73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заказа'!$B$84:$B$84</definedName>
    <definedName name="ProductId32">'Бланк заказа'!$B$88:$B$88</definedName>
    <definedName name="ProductId33">'Бланк заказа'!$B$89:$B$89</definedName>
    <definedName name="ProductId34">'Бланк заказа'!$B$94:$B$94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заказа'!$B$101:$B$101</definedName>
    <definedName name="ProductId39">'Бланк заказа'!$B$102:$B$102</definedName>
    <definedName name="ProductId4">'Бланк заказа'!$B$28:$B$28</definedName>
    <definedName name="ProductId40">'Бланк заказа'!$B$103:$B$103</definedName>
    <definedName name="ProductId41">'Бланк заказа'!$B$104:$B$104</definedName>
    <definedName name="ProductId42">'Бланк заказа'!$B$109:$B$109</definedName>
    <definedName name="ProductId43">'Бланк заказа'!$B$110:$B$110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заказа'!$B$117:$B$117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заказа'!$B$124:$B$124</definedName>
    <definedName name="ProductId52">'Бланк заказа'!$B$125:$B$125</definedName>
    <definedName name="ProductId53">'Бланк заказа'!$B$126:$B$126</definedName>
    <definedName name="ProductId54">'Бланк заказа'!$B$127:$B$127</definedName>
    <definedName name="ProductId55">'Бланк заказа'!$B$131:$B$131</definedName>
    <definedName name="ProductId56">'Бланк заказа'!$B$136:$B$136</definedName>
    <definedName name="ProductId57">'Бланк заказа'!$B$137:$B$137</definedName>
    <definedName name="ProductId58">'Бланк заказа'!$B$141:$B$141</definedName>
    <definedName name="ProductId59">'Бланк заказа'!$B$142:$B$142</definedName>
    <definedName name="ProductId6">'Бланк заказа'!$B$30:$B$30</definedName>
    <definedName name="ProductId60">'Бланк заказа'!$B$146:$B$146</definedName>
    <definedName name="ProductId61">'Бланк заказа'!$B$147:$B$147</definedName>
    <definedName name="ProductId62">'Бланк заказа'!$B$152:$B$152</definedName>
    <definedName name="ProductId63">'Бланк заказа'!$B$153:$B$153</definedName>
    <definedName name="ProductId64">'Бланк заказа'!$B$157:$B$157</definedName>
    <definedName name="ProductId65">'Бланк заказа'!$B$161:$B$161</definedName>
    <definedName name="ProductId66">'Бланк заказа'!$B$162:$B$162</definedName>
    <definedName name="ProductId67">'Бланк заказа'!$B$163:$B$163</definedName>
    <definedName name="ProductId68">'Бланк заказа'!$B$164:$B$164</definedName>
    <definedName name="ProductId69">'Бланк заказа'!$B$165:$B$165</definedName>
    <definedName name="ProductId7">'Бланк заказа'!$B$31:$B$31</definedName>
    <definedName name="ProductId70">'Бланк заказа'!$B$166:$B$166</definedName>
    <definedName name="ProductId71">'Бланк заказа'!$B$167:$B$167</definedName>
    <definedName name="ProductId72">'Бланк заказа'!$B$168:$B$168</definedName>
    <definedName name="ProductId73">'Бланк заказа'!$B$169:$B$169</definedName>
    <definedName name="ProductId74">'Бланк заказа'!$B$170:$B$170</definedName>
    <definedName name="ProductId75">'Бланк заказа'!$B$174:$B$174</definedName>
    <definedName name="ProductId76">'Бланк заказа'!$B$180:$B$180</definedName>
    <definedName name="ProductId77">'Бланк заказа'!$B$184:$B$184</definedName>
    <definedName name="ProductId78">'Бланк заказа'!$B$185:$B$185</definedName>
    <definedName name="ProductId79">'Бланк заказа'!$B$186:$B$186</definedName>
    <definedName name="ProductId8">'Бланк заказа'!$B$32:$B$32</definedName>
    <definedName name="ProductId80">'Бланк заказа'!$B$187:$B$187</definedName>
    <definedName name="ProductId81">'Бланк заказа'!$B$188:$B$188</definedName>
    <definedName name="ProductId82">'Бланк заказа'!$B$189:$B$189</definedName>
    <definedName name="ProductId83">'Бланк заказа'!$B$190:$B$190</definedName>
    <definedName name="ProductId84">'Бланк заказа'!$B$191:$B$191</definedName>
    <definedName name="ProductId85">'Бланк заказа'!$B$192:$B$192</definedName>
    <definedName name="ProductId86">'Бланк заказа'!$B$193:$B$193</definedName>
    <definedName name="ProductId87">'Бланк заказа'!$B$194:$B$194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заказа'!$B$200:$B$200</definedName>
    <definedName name="ProductId91">'Бланк заказа'!$B$201:$B$201</definedName>
    <definedName name="ProductId92">'Бланк заказа'!$B$202:$B$202</definedName>
    <definedName name="ProductId93">'Бланк заказа'!$B$206:$B$206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заказа'!$B$221:$B$221</definedName>
    <definedName name="ProductId99">'Бланк заказа'!$B$222:$B$222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заказа'!$X$223:$X$223</definedName>
    <definedName name="SalesQty101">'Бланк заказа'!$X$224:$X$224</definedName>
    <definedName name="SalesQty102">'Бланк заказа'!$X$225:$X$225</definedName>
    <definedName name="SalesQty103">'Бланк заказа'!$X$226:$X$226</definedName>
    <definedName name="SalesQty104">'Бланк заказа'!$X$227:$X$227</definedName>
    <definedName name="SalesQty105">'Бланк заказа'!$X$228:$X$228</definedName>
    <definedName name="SalesQty106">'Бланк заказа'!$X$232:$X$232</definedName>
    <definedName name="SalesQty107">'Бланк заказа'!$X$233:$X$233</definedName>
    <definedName name="SalesQty108">'Бланк заказа'!$X$234:$X$234</definedName>
    <definedName name="SalesQty109">'Бланк заказа'!$X$235:$X$235</definedName>
    <definedName name="SalesQty11">'Бланк заказа'!$X$43:$X$43</definedName>
    <definedName name="SalesQty110">'Бланк заказа'!$X$236:$X$236</definedName>
    <definedName name="SalesQty111">'Бланк заказа'!$X$237:$X$237</definedName>
    <definedName name="SalesQty112">'Бланк заказа'!$X$238:$X$238</definedName>
    <definedName name="SalesQty113">'Бланк заказа'!$X$239:$X$239</definedName>
    <definedName name="SalesQty114">'Бланк заказа'!$X$240:$X$240</definedName>
    <definedName name="SalesQty115">'Бланк заказа'!$X$244:$X$244</definedName>
    <definedName name="SalesQty116">'Бланк заказа'!$X$245:$X$245</definedName>
    <definedName name="SalesQty117">'Бланк заказа'!$X$250:$X$250</definedName>
    <definedName name="SalesQty118">'Бланк заказа'!$X$251:$X$251</definedName>
    <definedName name="SalesQty119">'Бланк заказа'!$X$252:$X$252</definedName>
    <definedName name="SalesQty12">'Бланк заказа'!$X$49:$X$49</definedName>
    <definedName name="SalesQty120">'Бланк заказа'!$X$253:$X$253</definedName>
    <definedName name="SalesQty121">'Бланк заказа'!$X$254:$X$254</definedName>
    <definedName name="SalesQty122">'Бланк заказа'!$X$255:$X$255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заказа'!$X$50:$X$50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заказа'!$X$288:$X$288</definedName>
    <definedName name="SalesQty139">'Бланк заказа'!$X$289:$X$289</definedName>
    <definedName name="SalesQty14">'Бланк заказа'!$X$51:$X$51</definedName>
    <definedName name="SalesQty140">'Бланк заказа'!$X$294:$X$294</definedName>
    <definedName name="SalesQty141">'Бланк заказа'!$X$295:$X$295</definedName>
    <definedName name="SalesQty142">'Бланк заказа'!$X$296:$X$296</definedName>
    <definedName name="SalesQty143">'Бланк заказа'!$X$301:$X$301</definedName>
    <definedName name="SalesQty144">'Бланк заказа'!$X$302:$X$302</definedName>
    <definedName name="SalesQty145">'Бланк заказа'!$X$303:$X$303</definedName>
    <definedName name="SalesQty146">'Бланк заказа'!$X$307:$X$307</definedName>
    <definedName name="SalesQty147">'Бланк заказа'!$X$308:$X$308</definedName>
    <definedName name="SalesQty148">'Бланк заказа'!$X$313:$X$313</definedName>
    <definedName name="SalesQty149">'Бланк заказа'!$X$314:$X$314</definedName>
    <definedName name="SalesQty15">'Бланк заказа'!$X$52:$X$52</definedName>
    <definedName name="SalesQty150">'Бланк заказа'!$X$315:$X$315</definedName>
    <definedName name="SalesQty151">'Бланк заказа'!$X$316:$X$316</definedName>
    <definedName name="SalesQty152">'Бланк заказа'!$X$317:$X$317</definedName>
    <definedName name="SalesQty153">'Бланк заказа'!$X$318:$X$318</definedName>
    <definedName name="SalesQty154">'Бланк заказа'!$X$319:$X$319</definedName>
    <definedName name="SalesQty155">'Бланк заказа'!$X$320:$X$320</definedName>
    <definedName name="SalesQty156">'Бланк заказа'!$X$324:$X$324</definedName>
    <definedName name="SalesQty157">'Бланк заказа'!$X$325:$X$325</definedName>
    <definedName name="SalesQty158">'Бланк заказа'!$X$326:$X$326</definedName>
    <definedName name="SalesQty159">'Бланк заказа'!$X$327:$X$327</definedName>
    <definedName name="SalesQty16">'Бланк заказа'!$X$56:$X$56</definedName>
    <definedName name="SalesQty160">'Бланк заказа'!$X$328:$X$328</definedName>
    <definedName name="SalesQty161">'Бланк заказа'!$X$329:$X$329</definedName>
    <definedName name="SalesQty162">'Бланк заказа'!$X$330:$X$330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заказа'!$X$341:$X$341</definedName>
    <definedName name="SalesQty168">'Бланк заказа'!$X$342:$X$342</definedName>
    <definedName name="SalesQty169">'Бланк заказа'!$X$343:$X$343</definedName>
    <definedName name="SalesQty17">'Бланк заказа'!$X$61:$X$61</definedName>
    <definedName name="SalesQty170">'Бланк заказа'!$X$347:$X$347</definedName>
    <definedName name="SalesQty171">'Бланк заказа'!$X$348:$X$348</definedName>
    <definedName name="SalesQty172">'Бланк заказа'!$X$349:$X$349</definedName>
    <definedName name="SalesQty173">'Бланк заказа'!$X$350:$X$350</definedName>
    <definedName name="SalesQty174">'Бланк заказа'!$X$354:$X$354</definedName>
    <definedName name="SalesQty175">'Бланк заказа'!$X$355:$X$355</definedName>
    <definedName name="SalesQty176">'Бланк заказа'!$X$356:$X$356</definedName>
    <definedName name="SalesQty177">'Бланк заказа'!$X$361:$X$361</definedName>
    <definedName name="SalesQty178">'Бланк заказа'!$X$362:$X$362</definedName>
    <definedName name="SalesQty179">'Бланк заказа'!$X$363:$X$363</definedName>
    <definedName name="SalesQty18">'Бланк заказа'!$X$62:$X$62</definedName>
    <definedName name="SalesQty180">'Бланк заказа'!$X$369:$X$369</definedName>
    <definedName name="SalesQty181">'Бланк заказа'!$X$370:$X$370</definedName>
    <definedName name="SalesQty182">'Бланк заказа'!$X$371:$X$371</definedName>
    <definedName name="SalesQty183">'Бланк заказа'!$X$372:$X$372</definedName>
    <definedName name="SalesQty184">'Бланк заказа'!$X$373:$X$373</definedName>
    <definedName name="SalesQty185">'Бланк заказа'!$X$374:$X$374</definedName>
    <definedName name="SalesQty186">'Бланк заказа'!$X$375:$X$375</definedName>
    <definedName name="SalesQty187">'Бланк заказа'!$X$379:$X$379</definedName>
    <definedName name="SalesQty188">'Бланк заказа'!$X$380:$X$380</definedName>
    <definedName name="SalesQty189">'Бланк заказа'!$X$384:$X$384</definedName>
    <definedName name="SalesQty19">'Бланк заказа'!$X$63:$X$63</definedName>
    <definedName name="SalesQty190">'Бланк заказа'!$X$385:$X$385</definedName>
    <definedName name="SalesQty191">'Бланк заказа'!$X$389:$X$389</definedName>
    <definedName name="SalesQty192">'Бланк заказа'!$X$394:$X$394</definedName>
    <definedName name="SalesQty193">'Бланк заказа'!$X$395:$X$395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заказа'!$X$405:$X$405</definedName>
    <definedName name="SalesQty198">'Бланк заказа'!$X$411:$X$411</definedName>
    <definedName name="SalesQty199">'Бланк заказа'!$X$412:$X$412</definedName>
    <definedName name="SalesQty2">'Бланк заказа'!$X$23:$X$23</definedName>
    <definedName name="SalesQty20">'Бланк заказа'!$X$64:$X$64</definedName>
    <definedName name="SalesQty200">'Бланк заказа'!$X$413:$X$413</definedName>
    <definedName name="SalesQty201">'Бланк заказа'!$X$414:$X$414</definedName>
    <definedName name="SalesQty202">'Бланк заказа'!$X$415:$X$415</definedName>
    <definedName name="SalesQty203">'Бланк заказа'!$X$416:$X$416</definedName>
    <definedName name="SalesQty204">'Бланк заказа'!$X$417:$X$417</definedName>
    <definedName name="SalesQty205">'Бланк заказа'!$X$418:$X$418</definedName>
    <definedName name="SalesQty206">'Бланк заказа'!$X$419:$X$419</definedName>
    <definedName name="SalesQty207">'Бланк заказа'!$X$423:$X$423</definedName>
    <definedName name="SalesQty208">'Бланк заказа'!$X$424:$X$424</definedName>
    <definedName name="SalesQty209">'Бланк заказа'!$X$429:$X$429</definedName>
    <definedName name="SalesQty21">'Бланк заказа'!$X$65:$X$65</definedName>
    <definedName name="SalesQty210">'Бланк заказа'!$X$433:$X$433</definedName>
    <definedName name="SalesQty211">'Бланк заказа'!$X$434:$X$434</definedName>
    <definedName name="SalesQty212">'Бланк заказа'!$X$435:$X$435</definedName>
    <definedName name="SalesQty213">'Бланк заказа'!$X$440:$X$440</definedName>
    <definedName name="SalesQty214">'Бланк заказа'!$X$446:$X$446</definedName>
    <definedName name="SalesQty215">'Бланк заказа'!$X$447:$X$447</definedName>
    <definedName name="SalesQty216">'Бланк заказа'!$X$448:$X$448</definedName>
    <definedName name="SalesQty217">'Бланк заказа'!$X$449:$X$449</definedName>
    <definedName name="SalesQty218">'Бланк заказа'!$X$450:$X$450</definedName>
    <definedName name="SalesQty219">'Бланк заказа'!$X$451:$X$451</definedName>
    <definedName name="SalesQty22">'Бланк заказа'!$X$66:$X$66</definedName>
    <definedName name="SalesQty220">'Бланк заказа'!$X$452:$X$452</definedName>
    <definedName name="SalesQty221">'Бланк заказа'!$X$453:$X$453</definedName>
    <definedName name="SalesQty222">'Бланк заказа'!$X$454:$X$454</definedName>
    <definedName name="SalesQty223">'Бланк заказа'!$X$455:$X$455</definedName>
    <definedName name="SalesQty224">'Бланк заказа'!$X$456:$X$456</definedName>
    <definedName name="SalesQty225">'Бланк заказа'!$X$457:$X$457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заказа'!$X$70:$X$70</definedName>
    <definedName name="SalesQty230">'Бланк заказа'!$X$468:$X$468</definedName>
    <definedName name="SalesQty231">'Бланк заказа'!$X$469:$X$469</definedName>
    <definedName name="SalesQty232">'Бланк заказа'!$X$470:$X$470</definedName>
    <definedName name="SalesQty233">'Бланк заказа'!$X$471:$X$471</definedName>
    <definedName name="SalesQty234">'Бланк заказа'!$X$472:$X$472</definedName>
    <definedName name="SalesQty235">'Бланк заказа'!$X$473:$X$473</definedName>
    <definedName name="SalesQty236">'Бланк заказа'!$X$479:$X$479</definedName>
    <definedName name="SalesQty237">'Бланк заказа'!$X$480:$X$480</definedName>
    <definedName name="SalesQty238">'Бланк заказа'!$X$481:$X$481</definedName>
    <definedName name="SalesQty239">'Бланк заказа'!$X$485:$X$485</definedName>
    <definedName name="SalesQty24">'Бланк заказа'!$X$71:$X$71</definedName>
    <definedName name="SalesQty240">'Бланк заказа'!$X$489:$X$489</definedName>
    <definedName name="SalesQty241">'Бланк заказа'!$X$493:$X$493</definedName>
    <definedName name="SalesQty242">'Бланк заказа'!$X$497:$X$497</definedName>
    <definedName name="SalesQty243">'Бланк заказа'!$X$498:$X$498</definedName>
    <definedName name="SalesQty244">'Бланк заказа'!$X$503:$X$503</definedName>
    <definedName name="SalesQty25">'Бланк заказа'!$X$72:$X$72</definedName>
    <definedName name="SalesQty26">'Бланк заказа'!$X$73:$X$73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заказа'!$X$84:$X$84</definedName>
    <definedName name="SalesQty32">'Бланк заказа'!$X$88:$X$88</definedName>
    <definedName name="SalesQty33">'Бланк заказа'!$X$89:$X$89</definedName>
    <definedName name="SalesQty34">'Бланк заказа'!$X$94:$X$94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заказа'!$X$101:$X$101</definedName>
    <definedName name="SalesQty39">'Бланк заказа'!$X$102:$X$102</definedName>
    <definedName name="SalesQty4">'Бланк заказа'!$X$28:$X$28</definedName>
    <definedName name="SalesQty40">'Бланк заказа'!$X$103:$X$103</definedName>
    <definedName name="SalesQty41">'Бланк заказа'!$X$104:$X$104</definedName>
    <definedName name="SalesQty42">'Бланк заказа'!$X$109:$X$109</definedName>
    <definedName name="SalesQty43">'Бланк заказа'!$X$110:$X$110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заказа'!$X$117:$X$117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заказа'!$X$124:$X$124</definedName>
    <definedName name="SalesQty52">'Бланк заказа'!$X$125:$X$125</definedName>
    <definedName name="SalesQty53">'Бланк заказа'!$X$126:$X$126</definedName>
    <definedName name="SalesQty54">'Бланк заказа'!$X$127:$X$127</definedName>
    <definedName name="SalesQty55">'Бланк заказа'!$X$131:$X$131</definedName>
    <definedName name="SalesQty56">'Бланк заказа'!$X$136:$X$136</definedName>
    <definedName name="SalesQty57">'Бланк заказа'!$X$137:$X$137</definedName>
    <definedName name="SalesQty58">'Бланк заказа'!$X$141:$X$141</definedName>
    <definedName name="SalesQty59">'Бланк заказа'!$X$142:$X$142</definedName>
    <definedName name="SalesQty6">'Бланк заказа'!$X$30:$X$30</definedName>
    <definedName name="SalesQty60">'Бланк заказа'!$X$146:$X$146</definedName>
    <definedName name="SalesQty61">'Бланк заказа'!$X$147:$X$147</definedName>
    <definedName name="SalesQty62">'Бланк заказа'!$X$152:$X$152</definedName>
    <definedName name="SalesQty63">'Бланк заказа'!$X$153:$X$153</definedName>
    <definedName name="SalesQty64">'Бланк заказа'!$X$157:$X$157</definedName>
    <definedName name="SalesQty65">'Бланк заказа'!$X$161:$X$161</definedName>
    <definedName name="SalesQty66">'Бланк заказа'!$X$162:$X$162</definedName>
    <definedName name="SalesQty67">'Бланк заказа'!$X$163:$X$163</definedName>
    <definedName name="SalesQty68">'Бланк заказа'!$X$164:$X$164</definedName>
    <definedName name="SalesQty69">'Бланк заказа'!$X$165:$X$165</definedName>
    <definedName name="SalesQty7">'Бланк заказа'!$X$31:$X$31</definedName>
    <definedName name="SalesQty70">'Бланк заказа'!$X$166:$X$166</definedName>
    <definedName name="SalesQty71">'Бланк заказа'!$X$167:$X$167</definedName>
    <definedName name="SalesQty72">'Бланк заказа'!$X$168:$X$168</definedName>
    <definedName name="SalesQty73">'Бланк заказа'!$X$169:$X$169</definedName>
    <definedName name="SalesQty74">'Бланк заказа'!$X$170:$X$170</definedName>
    <definedName name="SalesQty75">'Бланк заказа'!$X$174:$X$174</definedName>
    <definedName name="SalesQty76">'Бланк заказа'!$X$180:$X$180</definedName>
    <definedName name="SalesQty77">'Бланк заказа'!$X$184:$X$184</definedName>
    <definedName name="SalesQty78">'Бланк заказа'!$X$185:$X$185</definedName>
    <definedName name="SalesQty79">'Бланк заказа'!$X$186:$X$186</definedName>
    <definedName name="SalesQty8">'Бланк заказа'!$X$32:$X$32</definedName>
    <definedName name="SalesQty80">'Бланк заказа'!$X$187:$X$187</definedName>
    <definedName name="SalesQty81">'Бланк заказа'!$X$188:$X$188</definedName>
    <definedName name="SalesQty82">'Бланк заказа'!$X$189:$X$189</definedName>
    <definedName name="SalesQty83">'Бланк заказа'!$X$190:$X$190</definedName>
    <definedName name="SalesQty84">'Бланк заказа'!$X$191:$X$191</definedName>
    <definedName name="SalesQty85">'Бланк заказа'!$X$192:$X$192</definedName>
    <definedName name="SalesQty86">'Бланк заказа'!$X$193:$X$193</definedName>
    <definedName name="SalesQty87">'Бланк заказа'!$X$194:$X$194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заказа'!$X$200:$X$200</definedName>
    <definedName name="SalesQty91">'Бланк заказа'!$X$201:$X$201</definedName>
    <definedName name="SalesQty92">'Бланк заказа'!$X$202:$X$202</definedName>
    <definedName name="SalesQty93">'Бланк заказа'!$X$206:$X$206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заказа'!$X$221:$X$221</definedName>
    <definedName name="SalesQty99">'Бланк заказа'!$X$222:$X$222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заказа'!$Y$223:$Y$223</definedName>
    <definedName name="SalesRoundBox101">'Бланк заказа'!$Y$224:$Y$224</definedName>
    <definedName name="SalesRoundBox102">'Бланк заказа'!$Y$225:$Y$225</definedName>
    <definedName name="SalesRoundBox103">'Бланк заказа'!$Y$226:$Y$226</definedName>
    <definedName name="SalesRoundBox104">'Бланк заказа'!$Y$227:$Y$227</definedName>
    <definedName name="SalesRoundBox105">'Бланк заказа'!$Y$228:$Y$228</definedName>
    <definedName name="SalesRoundBox106">'Бланк заказа'!$Y$232:$Y$232</definedName>
    <definedName name="SalesRoundBox107">'Бланк заказа'!$Y$233:$Y$233</definedName>
    <definedName name="SalesRoundBox108">'Бланк заказа'!$Y$234:$Y$234</definedName>
    <definedName name="SalesRoundBox109">'Бланк заказа'!$Y$235:$Y$235</definedName>
    <definedName name="SalesRoundBox11">'Бланк заказа'!$Y$43:$Y$43</definedName>
    <definedName name="SalesRoundBox110">'Бланк заказа'!$Y$236:$Y$236</definedName>
    <definedName name="SalesRoundBox111">'Бланк заказа'!$Y$237:$Y$237</definedName>
    <definedName name="SalesRoundBox112">'Бланк заказа'!$Y$238:$Y$238</definedName>
    <definedName name="SalesRoundBox113">'Бланк заказа'!$Y$239:$Y$239</definedName>
    <definedName name="SalesRoundBox114">'Бланк заказа'!$Y$240:$Y$240</definedName>
    <definedName name="SalesRoundBox115">'Бланк заказа'!$Y$244:$Y$244</definedName>
    <definedName name="SalesRoundBox116">'Бланк заказа'!$Y$245:$Y$245</definedName>
    <definedName name="SalesRoundBox117">'Бланк заказа'!$Y$250:$Y$250</definedName>
    <definedName name="SalesRoundBox118">'Бланк заказа'!$Y$251:$Y$251</definedName>
    <definedName name="SalesRoundBox119">'Бланк заказа'!$Y$252:$Y$252</definedName>
    <definedName name="SalesRoundBox12">'Бланк заказа'!$Y$49:$Y$49</definedName>
    <definedName name="SalesRoundBox120">'Бланк заказа'!$Y$253:$Y$253</definedName>
    <definedName name="SalesRoundBox121">'Бланк заказа'!$Y$254:$Y$254</definedName>
    <definedName name="SalesRoundBox122">'Бланк заказа'!$Y$255:$Y$255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заказа'!$Y$50:$Y$50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заказа'!$Y$288:$Y$288</definedName>
    <definedName name="SalesRoundBox139">'Бланк заказа'!$Y$289:$Y$289</definedName>
    <definedName name="SalesRoundBox14">'Бланк заказа'!$Y$51:$Y$51</definedName>
    <definedName name="SalesRoundBox140">'Бланк заказа'!$Y$294:$Y$294</definedName>
    <definedName name="SalesRoundBox141">'Бланк заказа'!$Y$295:$Y$295</definedName>
    <definedName name="SalesRoundBox142">'Бланк заказа'!$Y$296:$Y$296</definedName>
    <definedName name="SalesRoundBox143">'Бланк заказа'!$Y$301:$Y$301</definedName>
    <definedName name="SalesRoundBox144">'Бланк заказа'!$Y$302:$Y$302</definedName>
    <definedName name="SalesRoundBox145">'Бланк заказа'!$Y$303:$Y$303</definedName>
    <definedName name="SalesRoundBox146">'Бланк заказа'!$Y$307:$Y$307</definedName>
    <definedName name="SalesRoundBox147">'Бланк заказа'!$Y$308:$Y$308</definedName>
    <definedName name="SalesRoundBox148">'Бланк заказа'!$Y$313:$Y$313</definedName>
    <definedName name="SalesRoundBox149">'Бланк заказа'!$Y$314:$Y$314</definedName>
    <definedName name="SalesRoundBox15">'Бланк заказа'!$Y$52:$Y$52</definedName>
    <definedName name="SalesRoundBox150">'Бланк заказа'!$Y$315:$Y$315</definedName>
    <definedName name="SalesRoundBox151">'Бланк заказа'!$Y$316:$Y$316</definedName>
    <definedName name="SalesRoundBox152">'Бланк заказа'!$Y$317:$Y$317</definedName>
    <definedName name="SalesRoundBox153">'Бланк заказа'!$Y$318:$Y$318</definedName>
    <definedName name="SalesRoundBox154">'Бланк заказа'!$Y$319:$Y$319</definedName>
    <definedName name="SalesRoundBox155">'Бланк заказа'!$Y$320:$Y$320</definedName>
    <definedName name="SalesRoundBox156">'Бланк заказа'!$Y$324:$Y$324</definedName>
    <definedName name="SalesRoundBox157">'Бланк заказа'!$Y$325:$Y$325</definedName>
    <definedName name="SalesRoundBox158">'Бланк заказа'!$Y$326:$Y$326</definedName>
    <definedName name="SalesRoundBox159">'Бланк заказа'!$Y$327:$Y$327</definedName>
    <definedName name="SalesRoundBox16">'Бланк заказа'!$Y$56:$Y$56</definedName>
    <definedName name="SalesRoundBox160">'Бланк заказа'!$Y$328:$Y$328</definedName>
    <definedName name="SalesRoundBox161">'Бланк заказа'!$Y$329:$Y$329</definedName>
    <definedName name="SalesRoundBox162">'Бланк заказа'!$Y$330:$Y$330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заказа'!$Y$341:$Y$341</definedName>
    <definedName name="SalesRoundBox168">'Бланк заказа'!$Y$342:$Y$342</definedName>
    <definedName name="SalesRoundBox169">'Бланк заказа'!$Y$343:$Y$343</definedName>
    <definedName name="SalesRoundBox17">'Бланк заказа'!$Y$61:$Y$61</definedName>
    <definedName name="SalesRoundBox170">'Бланк заказа'!$Y$347:$Y$347</definedName>
    <definedName name="SalesRoundBox171">'Бланк заказа'!$Y$348:$Y$348</definedName>
    <definedName name="SalesRoundBox172">'Бланк заказа'!$Y$349:$Y$349</definedName>
    <definedName name="SalesRoundBox173">'Бланк заказа'!$Y$350:$Y$350</definedName>
    <definedName name="SalesRoundBox174">'Бланк заказа'!$Y$354:$Y$354</definedName>
    <definedName name="SalesRoundBox175">'Бланк заказа'!$Y$355:$Y$355</definedName>
    <definedName name="SalesRoundBox176">'Бланк заказа'!$Y$356:$Y$356</definedName>
    <definedName name="SalesRoundBox177">'Бланк заказа'!$Y$361:$Y$361</definedName>
    <definedName name="SalesRoundBox178">'Бланк заказа'!$Y$362:$Y$362</definedName>
    <definedName name="SalesRoundBox179">'Бланк заказа'!$Y$363:$Y$363</definedName>
    <definedName name="SalesRoundBox18">'Бланк заказа'!$Y$62:$Y$62</definedName>
    <definedName name="SalesRoundBox180">'Бланк заказа'!$Y$369:$Y$369</definedName>
    <definedName name="SalesRoundBox181">'Бланк заказа'!$Y$370:$Y$370</definedName>
    <definedName name="SalesRoundBox182">'Бланк заказа'!$Y$371:$Y$371</definedName>
    <definedName name="SalesRoundBox183">'Бланк заказа'!$Y$372:$Y$372</definedName>
    <definedName name="SalesRoundBox184">'Бланк заказа'!$Y$373:$Y$373</definedName>
    <definedName name="SalesRoundBox185">'Бланк заказа'!$Y$374:$Y$374</definedName>
    <definedName name="SalesRoundBox186">'Бланк заказа'!$Y$375:$Y$375</definedName>
    <definedName name="SalesRoundBox187">'Бланк заказа'!$Y$379:$Y$379</definedName>
    <definedName name="SalesRoundBox188">'Бланк заказа'!$Y$380:$Y$380</definedName>
    <definedName name="SalesRoundBox189">'Бланк заказа'!$Y$384:$Y$384</definedName>
    <definedName name="SalesRoundBox19">'Бланк заказа'!$Y$63:$Y$63</definedName>
    <definedName name="SalesRoundBox190">'Бланк заказа'!$Y$385:$Y$385</definedName>
    <definedName name="SalesRoundBox191">'Бланк заказа'!$Y$389:$Y$389</definedName>
    <definedName name="SalesRoundBox192">'Бланк заказа'!$Y$394:$Y$394</definedName>
    <definedName name="SalesRoundBox193">'Бланк заказа'!$Y$395:$Y$395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заказа'!$Y$405:$Y$405</definedName>
    <definedName name="SalesRoundBox198">'Бланк заказа'!$Y$411:$Y$411</definedName>
    <definedName name="SalesRoundBox199">'Бланк заказа'!$Y$412:$Y$412</definedName>
    <definedName name="SalesRoundBox2">'Бланк заказа'!$Y$23:$Y$23</definedName>
    <definedName name="SalesRoundBox20">'Бланк заказа'!$Y$64:$Y$64</definedName>
    <definedName name="SalesRoundBox200">'Бланк заказа'!$Y$413:$Y$413</definedName>
    <definedName name="SalesRoundBox201">'Бланк заказа'!$Y$414:$Y$414</definedName>
    <definedName name="SalesRoundBox202">'Бланк заказа'!$Y$415:$Y$415</definedName>
    <definedName name="SalesRoundBox203">'Бланк заказа'!$Y$416:$Y$416</definedName>
    <definedName name="SalesRoundBox204">'Бланк заказа'!$Y$417:$Y$417</definedName>
    <definedName name="SalesRoundBox205">'Бланк заказа'!$Y$418:$Y$418</definedName>
    <definedName name="SalesRoundBox206">'Бланк заказа'!$Y$419:$Y$419</definedName>
    <definedName name="SalesRoundBox207">'Бланк заказа'!$Y$423:$Y$423</definedName>
    <definedName name="SalesRoundBox208">'Бланк заказа'!$Y$424:$Y$424</definedName>
    <definedName name="SalesRoundBox209">'Бланк заказа'!$Y$429:$Y$429</definedName>
    <definedName name="SalesRoundBox21">'Бланк заказа'!$Y$65:$Y$65</definedName>
    <definedName name="SalesRoundBox210">'Бланк заказа'!$Y$433:$Y$433</definedName>
    <definedName name="SalesRoundBox211">'Бланк заказа'!$Y$434:$Y$434</definedName>
    <definedName name="SalesRoundBox212">'Бланк заказа'!$Y$435:$Y$435</definedName>
    <definedName name="SalesRoundBox213">'Бланк заказа'!$Y$440:$Y$440</definedName>
    <definedName name="SalesRoundBox214">'Бланк заказа'!$Y$446:$Y$446</definedName>
    <definedName name="SalesRoundBox215">'Бланк заказа'!$Y$447:$Y$447</definedName>
    <definedName name="SalesRoundBox216">'Бланк заказа'!$Y$448:$Y$448</definedName>
    <definedName name="SalesRoundBox217">'Бланк заказа'!$Y$449:$Y$449</definedName>
    <definedName name="SalesRoundBox218">'Бланк заказа'!$Y$450:$Y$450</definedName>
    <definedName name="SalesRoundBox219">'Бланк заказа'!$Y$451:$Y$451</definedName>
    <definedName name="SalesRoundBox22">'Бланк заказа'!$Y$66:$Y$66</definedName>
    <definedName name="SalesRoundBox220">'Бланк заказа'!$Y$452:$Y$452</definedName>
    <definedName name="SalesRoundBox221">'Бланк заказа'!$Y$453:$Y$453</definedName>
    <definedName name="SalesRoundBox222">'Бланк заказа'!$Y$454:$Y$454</definedName>
    <definedName name="SalesRoundBox223">'Бланк заказа'!$Y$455:$Y$455</definedName>
    <definedName name="SalesRoundBox224">'Бланк заказа'!$Y$456:$Y$456</definedName>
    <definedName name="SalesRoundBox225">'Бланк заказа'!$Y$457:$Y$457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заказа'!$Y$70:$Y$70</definedName>
    <definedName name="SalesRoundBox230">'Бланк заказа'!$Y$468:$Y$468</definedName>
    <definedName name="SalesRoundBox231">'Бланк заказа'!$Y$469:$Y$469</definedName>
    <definedName name="SalesRoundBox232">'Бланк заказа'!$Y$470:$Y$470</definedName>
    <definedName name="SalesRoundBox233">'Бланк заказа'!$Y$471:$Y$471</definedName>
    <definedName name="SalesRoundBox234">'Бланк заказа'!$Y$472:$Y$472</definedName>
    <definedName name="SalesRoundBox235">'Бланк заказа'!$Y$473:$Y$473</definedName>
    <definedName name="SalesRoundBox236">'Бланк заказа'!$Y$479:$Y$479</definedName>
    <definedName name="SalesRoundBox237">'Бланк заказа'!$Y$480:$Y$480</definedName>
    <definedName name="SalesRoundBox238">'Бланк заказа'!$Y$481:$Y$481</definedName>
    <definedName name="SalesRoundBox239">'Бланк заказа'!$Y$485:$Y$485</definedName>
    <definedName name="SalesRoundBox24">'Бланк заказа'!$Y$71:$Y$71</definedName>
    <definedName name="SalesRoundBox240">'Бланк заказа'!$Y$489:$Y$489</definedName>
    <definedName name="SalesRoundBox241">'Бланк заказа'!$Y$493:$Y$493</definedName>
    <definedName name="SalesRoundBox242">'Бланк заказа'!$Y$497:$Y$497</definedName>
    <definedName name="SalesRoundBox243">'Бланк заказа'!$Y$498:$Y$498</definedName>
    <definedName name="SalesRoundBox244">'Бланк заказа'!$Y$503:$Y$503</definedName>
    <definedName name="SalesRoundBox25">'Бланк заказа'!$Y$72:$Y$72</definedName>
    <definedName name="SalesRoundBox26">'Бланк заказа'!$Y$73:$Y$73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заказа'!$Y$84:$Y$84</definedName>
    <definedName name="SalesRoundBox32">'Бланк заказа'!$Y$88:$Y$88</definedName>
    <definedName name="SalesRoundBox33">'Бланк заказа'!$Y$89:$Y$89</definedName>
    <definedName name="SalesRoundBox34">'Бланк заказа'!$Y$94:$Y$94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заказа'!$Y$101:$Y$101</definedName>
    <definedName name="SalesRoundBox39">'Бланк заказа'!$Y$102:$Y$102</definedName>
    <definedName name="SalesRoundBox4">'Бланк заказа'!$Y$28:$Y$28</definedName>
    <definedName name="SalesRoundBox40">'Бланк заказа'!$Y$103:$Y$103</definedName>
    <definedName name="SalesRoundBox41">'Бланк заказа'!$Y$104:$Y$104</definedName>
    <definedName name="SalesRoundBox42">'Бланк заказа'!$Y$109:$Y$109</definedName>
    <definedName name="SalesRoundBox43">'Бланк заказа'!$Y$110:$Y$110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заказа'!$Y$117:$Y$117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заказа'!$Y$124:$Y$124</definedName>
    <definedName name="SalesRoundBox52">'Бланк заказа'!$Y$125:$Y$125</definedName>
    <definedName name="SalesRoundBox53">'Бланк заказа'!$Y$126:$Y$126</definedName>
    <definedName name="SalesRoundBox54">'Бланк заказа'!$Y$127:$Y$127</definedName>
    <definedName name="SalesRoundBox55">'Бланк заказа'!$Y$131:$Y$131</definedName>
    <definedName name="SalesRoundBox56">'Бланк заказа'!$Y$136:$Y$136</definedName>
    <definedName name="SalesRoundBox57">'Бланк заказа'!$Y$137:$Y$137</definedName>
    <definedName name="SalesRoundBox58">'Бланк заказа'!$Y$141:$Y$141</definedName>
    <definedName name="SalesRoundBox59">'Бланк заказа'!$Y$142:$Y$142</definedName>
    <definedName name="SalesRoundBox6">'Бланк заказа'!$Y$30:$Y$30</definedName>
    <definedName name="SalesRoundBox60">'Бланк заказа'!$Y$146:$Y$146</definedName>
    <definedName name="SalesRoundBox61">'Бланк заказа'!$Y$147:$Y$147</definedName>
    <definedName name="SalesRoundBox62">'Бланк заказа'!$Y$152:$Y$152</definedName>
    <definedName name="SalesRoundBox63">'Бланк заказа'!$Y$153:$Y$153</definedName>
    <definedName name="SalesRoundBox64">'Бланк заказа'!$Y$157:$Y$157</definedName>
    <definedName name="SalesRoundBox65">'Бланк заказа'!$Y$161:$Y$161</definedName>
    <definedName name="SalesRoundBox66">'Бланк заказа'!$Y$162:$Y$162</definedName>
    <definedName name="SalesRoundBox67">'Бланк заказа'!$Y$163:$Y$163</definedName>
    <definedName name="SalesRoundBox68">'Бланк заказа'!$Y$164:$Y$164</definedName>
    <definedName name="SalesRoundBox69">'Бланк заказа'!$Y$165:$Y$165</definedName>
    <definedName name="SalesRoundBox7">'Бланк заказа'!$Y$31:$Y$31</definedName>
    <definedName name="SalesRoundBox70">'Бланк заказа'!$Y$166:$Y$166</definedName>
    <definedName name="SalesRoundBox71">'Бланк заказа'!$Y$167:$Y$167</definedName>
    <definedName name="SalesRoundBox72">'Бланк заказа'!$Y$168:$Y$168</definedName>
    <definedName name="SalesRoundBox73">'Бланк заказа'!$Y$169:$Y$169</definedName>
    <definedName name="SalesRoundBox74">'Бланк заказа'!$Y$170:$Y$170</definedName>
    <definedName name="SalesRoundBox75">'Бланк заказа'!$Y$174:$Y$174</definedName>
    <definedName name="SalesRoundBox76">'Бланк заказа'!$Y$180:$Y$180</definedName>
    <definedName name="SalesRoundBox77">'Бланк заказа'!$Y$184:$Y$184</definedName>
    <definedName name="SalesRoundBox78">'Бланк заказа'!$Y$185:$Y$185</definedName>
    <definedName name="SalesRoundBox79">'Бланк заказа'!$Y$186:$Y$186</definedName>
    <definedName name="SalesRoundBox8">'Бланк заказа'!$Y$32:$Y$32</definedName>
    <definedName name="SalesRoundBox80">'Бланк заказа'!$Y$187:$Y$187</definedName>
    <definedName name="SalesRoundBox81">'Бланк заказа'!$Y$188:$Y$188</definedName>
    <definedName name="SalesRoundBox82">'Бланк заказа'!$Y$189:$Y$189</definedName>
    <definedName name="SalesRoundBox83">'Бланк заказа'!$Y$190:$Y$190</definedName>
    <definedName name="SalesRoundBox84">'Бланк заказа'!$Y$191:$Y$191</definedName>
    <definedName name="SalesRoundBox85">'Бланк заказа'!$Y$192:$Y$192</definedName>
    <definedName name="SalesRoundBox86">'Бланк заказа'!$Y$193:$Y$193</definedName>
    <definedName name="SalesRoundBox87">'Бланк заказа'!$Y$194:$Y$194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заказа'!$Y$200:$Y$200</definedName>
    <definedName name="SalesRoundBox91">'Бланк заказа'!$Y$201:$Y$201</definedName>
    <definedName name="SalesRoundBox92">'Бланк заказа'!$Y$202:$Y$202</definedName>
    <definedName name="SalesRoundBox93">'Бланк заказа'!$Y$206:$Y$206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заказа'!$Y$221:$Y$221</definedName>
    <definedName name="SalesRoundBox99">'Бланк заказа'!$Y$222:$Y$222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заказа'!$W$223:$W$223</definedName>
    <definedName name="UnitOfMeasure101">'Бланк заказа'!$W$224:$W$224</definedName>
    <definedName name="UnitOfMeasure102">'Бланк заказа'!$W$225:$W$225</definedName>
    <definedName name="UnitOfMeasure103">'Бланк заказа'!$W$226:$W$226</definedName>
    <definedName name="UnitOfMeasure104">'Бланк заказа'!$W$227:$W$227</definedName>
    <definedName name="UnitOfMeasure105">'Бланк заказа'!$W$228:$W$228</definedName>
    <definedName name="UnitOfMeasure106">'Бланк заказа'!$W$232:$W$232</definedName>
    <definedName name="UnitOfMeasure107">'Бланк заказа'!$W$233:$W$233</definedName>
    <definedName name="UnitOfMeasure108">'Бланк заказа'!$W$234:$W$234</definedName>
    <definedName name="UnitOfMeasure109">'Бланк заказа'!$W$235:$W$235</definedName>
    <definedName name="UnitOfMeasure11">'Бланк заказа'!$W$43:$W$43</definedName>
    <definedName name="UnitOfMeasure110">'Бланк заказа'!$W$236:$W$236</definedName>
    <definedName name="UnitOfMeasure111">'Бланк заказа'!$W$237:$W$237</definedName>
    <definedName name="UnitOfMeasure112">'Бланк заказа'!$W$238:$W$238</definedName>
    <definedName name="UnitOfMeasure113">'Бланк заказа'!$W$239:$W$239</definedName>
    <definedName name="UnitOfMeasure114">'Бланк заказа'!$W$240:$W$240</definedName>
    <definedName name="UnitOfMeasure115">'Бланк заказа'!$W$244:$W$244</definedName>
    <definedName name="UnitOfMeasure116">'Бланк заказа'!$W$245:$W$245</definedName>
    <definedName name="UnitOfMeasure117">'Бланк заказа'!$W$250:$W$250</definedName>
    <definedName name="UnitOfMeasure118">'Бланк заказа'!$W$251:$W$251</definedName>
    <definedName name="UnitOfMeasure119">'Бланк заказа'!$W$252:$W$252</definedName>
    <definedName name="UnitOfMeasure12">'Бланк заказа'!$W$49:$W$49</definedName>
    <definedName name="UnitOfMeasure120">'Бланк заказа'!$W$253:$W$253</definedName>
    <definedName name="UnitOfMeasure121">'Бланк заказа'!$W$254:$W$254</definedName>
    <definedName name="UnitOfMeasure122">'Бланк заказа'!$W$255:$W$255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заказа'!$W$50:$W$50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заказа'!$W$288:$W$288</definedName>
    <definedName name="UnitOfMeasure139">'Бланк заказа'!$W$289:$W$289</definedName>
    <definedName name="UnitOfMeasure14">'Бланк заказа'!$W$51:$W$51</definedName>
    <definedName name="UnitOfMeasure140">'Бланк заказа'!$W$294:$W$294</definedName>
    <definedName name="UnitOfMeasure141">'Бланк заказа'!$W$295:$W$295</definedName>
    <definedName name="UnitOfMeasure142">'Бланк заказа'!$W$296:$W$296</definedName>
    <definedName name="UnitOfMeasure143">'Бланк заказа'!$W$301:$W$301</definedName>
    <definedName name="UnitOfMeasure144">'Бланк заказа'!$W$302:$W$302</definedName>
    <definedName name="UnitOfMeasure145">'Бланк заказа'!$W$303:$W$303</definedName>
    <definedName name="UnitOfMeasure146">'Бланк заказа'!$W$307:$W$307</definedName>
    <definedName name="UnitOfMeasure147">'Бланк заказа'!$W$308:$W$308</definedName>
    <definedName name="UnitOfMeasure148">'Бланк заказа'!$W$313:$W$313</definedName>
    <definedName name="UnitOfMeasure149">'Бланк заказа'!$W$314:$W$314</definedName>
    <definedName name="UnitOfMeasure15">'Бланк заказа'!$W$52:$W$52</definedName>
    <definedName name="UnitOfMeasure150">'Бланк заказа'!$W$315:$W$315</definedName>
    <definedName name="UnitOfMeasure151">'Бланк заказа'!$W$316:$W$316</definedName>
    <definedName name="UnitOfMeasure152">'Бланк заказа'!$W$317:$W$317</definedName>
    <definedName name="UnitOfMeasure153">'Бланк заказа'!$W$318:$W$318</definedName>
    <definedName name="UnitOfMeasure154">'Бланк заказа'!$W$319:$W$319</definedName>
    <definedName name="UnitOfMeasure155">'Бланк заказа'!$W$320:$W$320</definedName>
    <definedName name="UnitOfMeasure156">'Бланк заказа'!$W$324:$W$324</definedName>
    <definedName name="UnitOfMeasure157">'Бланк заказа'!$W$325:$W$325</definedName>
    <definedName name="UnitOfMeasure158">'Бланк заказа'!$W$326:$W$326</definedName>
    <definedName name="UnitOfMeasure159">'Бланк заказа'!$W$327:$W$327</definedName>
    <definedName name="UnitOfMeasure16">'Бланк заказа'!$W$56:$W$56</definedName>
    <definedName name="UnitOfMeasure160">'Бланк заказа'!$W$328:$W$328</definedName>
    <definedName name="UnitOfMeasure161">'Бланк заказа'!$W$329:$W$329</definedName>
    <definedName name="UnitOfMeasure162">'Бланк заказа'!$W$330:$W$330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заказа'!$W$341:$W$341</definedName>
    <definedName name="UnitOfMeasure168">'Бланк заказа'!$W$342:$W$342</definedName>
    <definedName name="UnitOfMeasure169">'Бланк заказа'!$W$343:$W$343</definedName>
    <definedName name="UnitOfMeasure17">'Бланк заказа'!$W$61:$W$61</definedName>
    <definedName name="UnitOfMeasure170">'Бланк заказа'!$W$347:$W$347</definedName>
    <definedName name="UnitOfMeasure171">'Бланк заказа'!$W$348:$W$348</definedName>
    <definedName name="UnitOfMeasure172">'Бланк заказа'!$W$349:$W$349</definedName>
    <definedName name="UnitOfMeasure173">'Бланк заказа'!$W$350:$W$350</definedName>
    <definedName name="UnitOfMeasure174">'Бланк заказа'!$W$354:$W$354</definedName>
    <definedName name="UnitOfMeasure175">'Бланк заказа'!$W$355:$W$355</definedName>
    <definedName name="UnitOfMeasure176">'Бланк заказа'!$W$356:$W$356</definedName>
    <definedName name="UnitOfMeasure177">'Бланк заказа'!$W$361:$W$361</definedName>
    <definedName name="UnitOfMeasure178">'Бланк заказа'!$W$362:$W$362</definedName>
    <definedName name="UnitOfMeasure179">'Бланк заказа'!$W$363:$W$363</definedName>
    <definedName name="UnitOfMeasure18">'Бланк заказа'!$W$62:$W$62</definedName>
    <definedName name="UnitOfMeasure180">'Бланк заказа'!$W$369:$W$369</definedName>
    <definedName name="UnitOfMeasure181">'Бланк заказа'!$W$370:$W$370</definedName>
    <definedName name="UnitOfMeasure182">'Бланк заказа'!$W$371:$W$371</definedName>
    <definedName name="UnitOfMeasure183">'Бланк заказа'!$W$372:$W$372</definedName>
    <definedName name="UnitOfMeasure184">'Бланк заказа'!$W$373:$W$373</definedName>
    <definedName name="UnitOfMeasure185">'Бланк заказа'!$W$374:$W$374</definedName>
    <definedName name="UnitOfMeasure186">'Бланк заказа'!$W$375:$W$375</definedName>
    <definedName name="UnitOfMeasure187">'Бланк заказа'!$W$379:$W$379</definedName>
    <definedName name="UnitOfMeasure188">'Бланк заказа'!$W$380:$W$380</definedName>
    <definedName name="UnitOfMeasure189">'Бланк заказа'!$W$384:$W$384</definedName>
    <definedName name="UnitOfMeasure19">'Бланк заказа'!$W$63:$W$63</definedName>
    <definedName name="UnitOfMeasure190">'Бланк заказа'!$W$385:$W$385</definedName>
    <definedName name="UnitOfMeasure191">'Бланк заказа'!$W$389:$W$389</definedName>
    <definedName name="UnitOfMeasure192">'Бланк заказа'!$W$394:$W$394</definedName>
    <definedName name="UnitOfMeasure193">'Бланк заказа'!$W$395:$W$395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заказа'!$W$405:$W$405</definedName>
    <definedName name="UnitOfMeasure198">'Бланк заказа'!$W$411:$W$411</definedName>
    <definedName name="UnitOfMeasure199">'Бланк заказа'!$W$412:$W$412</definedName>
    <definedName name="UnitOfMeasure2">'Бланк заказа'!$W$23:$W$23</definedName>
    <definedName name="UnitOfMeasure20">'Бланк заказа'!$W$64:$W$64</definedName>
    <definedName name="UnitOfMeasure200">'Бланк заказа'!$W$413:$W$413</definedName>
    <definedName name="UnitOfMeasure201">'Бланк заказа'!$W$414:$W$414</definedName>
    <definedName name="UnitOfMeasure202">'Бланк заказа'!$W$415:$W$415</definedName>
    <definedName name="UnitOfMeasure203">'Бланк заказа'!$W$416:$W$416</definedName>
    <definedName name="UnitOfMeasure204">'Бланк заказа'!$W$417:$W$417</definedName>
    <definedName name="UnitOfMeasure205">'Бланк заказа'!$W$418:$W$418</definedName>
    <definedName name="UnitOfMeasure206">'Бланк заказа'!$W$419:$W$419</definedName>
    <definedName name="UnitOfMeasure207">'Бланк заказа'!$W$423:$W$423</definedName>
    <definedName name="UnitOfMeasure208">'Бланк заказа'!$W$424:$W$424</definedName>
    <definedName name="UnitOfMeasure209">'Бланк заказа'!$W$429:$W$429</definedName>
    <definedName name="UnitOfMeasure21">'Бланк заказа'!$W$65:$W$65</definedName>
    <definedName name="UnitOfMeasure210">'Бланк заказа'!$W$433:$W$433</definedName>
    <definedName name="UnitOfMeasure211">'Бланк заказа'!$W$434:$W$434</definedName>
    <definedName name="UnitOfMeasure212">'Бланк заказа'!$W$435:$W$435</definedName>
    <definedName name="UnitOfMeasure213">'Бланк заказа'!$W$440:$W$440</definedName>
    <definedName name="UnitOfMeasure214">'Бланк заказа'!$W$446:$W$446</definedName>
    <definedName name="UnitOfMeasure215">'Бланк заказа'!$W$447:$W$447</definedName>
    <definedName name="UnitOfMeasure216">'Бланк заказа'!$W$448:$W$448</definedName>
    <definedName name="UnitOfMeasure217">'Бланк заказа'!$W$449:$W$449</definedName>
    <definedName name="UnitOfMeasure218">'Бланк заказа'!$W$450:$W$450</definedName>
    <definedName name="UnitOfMeasure219">'Бланк заказа'!$W$451:$W$451</definedName>
    <definedName name="UnitOfMeasure22">'Бланк заказа'!$W$66:$W$66</definedName>
    <definedName name="UnitOfMeasure220">'Бланк заказа'!$W$452:$W$452</definedName>
    <definedName name="UnitOfMeasure221">'Бланк заказа'!$W$453:$W$453</definedName>
    <definedName name="UnitOfMeasure222">'Бланк заказа'!$W$454:$W$454</definedName>
    <definedName name="UnitOfMeasure223">'Бланк заказа'!$W$455:$W$455</definedName>
    <definedName name="UnitOfMeasure224">'Бланк заказа'!$W$456:$W$456</definedName>
    <definedName name="UnitOfMeasure225">'Бланк заказа'!$W$457:$W$457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заказа'!$W$70:$W$70</definedName>
    <definedName name="UnitOfMeasure230">'Бланк заказа'!$W$468:$W$468</definedName>
    <definedName name="UnitOfMeasure231">'Бланк заказа'!$W$469:$W$469</definedName>
    <definedName name="UnitOfMeasure232">'Бланк заказа'!$W$470:$W$470</definedName>
    <definedName name="UnitOfMeasure233">'Бланк заказа'!$W$471:$W$471</definedName>
    <definedName name="UnitOfMeasure234">'Бланк заказа'!$W$472:$W$472</definedName>
    <definedName name="UnitOfMeasure235">'Бланк заказа'!$W$473:$W$473</definedName>
    <definedName name="UnitOfMeasure236">'Бланк заказа'!$W$479:$W$479</definedName>
    <definedName name="UnitOfMeasure237">'Бланк заказа'!$W$480:$W$480</definedName>
    <definedName name="UnitOfMeasure238">'Бланк заказа'!$W$481:$W$481</definedName>
    <definedName name="UnitOfMeasure239">'Бланк заказа'!$W$485:$W$485</definedName>
    <definedName name="UnitOfMeasure24">'Бланк заказа'!$W$71:$W$71</definedName>
    <definedName name="UnitOfMeasure240">'Бланк заказа'!$W$489:$W$489</definedName>
    <definedName name="UnitOfMeasure241">'Бланк заказа'!$W$493:$W$493</definedName>
    <definedName name="UnitOfMeasure242">'Бланк заказа'!$W$497:$W$497</definedName>
    <definedName name="UnitOfMeasure243">'Бланк заказа'!$W$498:$W$498</definedName>
    <definedName name="UnitOfMeasure244">'Бланк заказа'!$W$503:$W$503</definedName>
    <definedName name="UnitOfMeasure25">'Бланк заказа'!$W$72:$W$72</definedName>
    <definedName name="UnitOfMeasure26">'Бланк заказа'!$W$73:$W$73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заказа'!$W$84:$W$84</definedName>
    <definedName name="UnitOfMeasure32">'Бланк заказа'!$W$88:$W$88</definedName>
    <definedName name="UnitOfMeasure33">'Бланк заказа'!$W$89:$W$89</definedName>
    <definedName name="UnitOfMeasure34">'Бланк заказа'!$W$94:$W$94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заказа'!$W$101:$W$101</definedName>
    <definedName name="UnitOfMeasure39">'Бланк заказа'!$W$102:$W$102</definedName>
    <definedName name="UnitOfMeasure4">'Бланк заказа'!$W$28:$W$28</definedName>
    <definedName name="UnitOfMeasure40">'Бланк заказа'!$W$103:$W$103</definedName>
    <definedName name="UnitOfMeasure41">'Бланк заказа'!$W$104:$W$104</definedName>
    <definedName name="UnitOfMeasure42">'Бланк заказа'!$W$109:$W$109</definedName>
    <definedName name="UnitOfMeasure43">'Бланк заказа'!$W$110:$W$110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заказа'!$W$117:$W$117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заказа'!$W$124:$W$124</definedName>
    <definedName name="UnitOfMeasure52">'Бланк заказа'!$W$125:$W$125</definedName>
    <definedName name="UnitOfMeasure53">'Бланк заказа'!$W$126:$W$126</definedName>
    <definedName name="UnitOfMeasure54">'Бланк заказа'!$W$127:$W$127</definedName>
    <definedName name="UnitOfMeasure55">'Бланк заказа'!$W$131:$W$131</definedName>
    <definedName name="UnitOfMeasure56">'Бланк заказа'!$W$136:$W$136</definedName>
    <definedName name="UnitOfMeasure57">'Бланк заказа'!$W$137:$W$137</definedName>
    <definedName name="UnitOfMeasure58">'Бланк заказа'!$W$141:$W$141</definedName>
    <definedName name="UnitOfMeasure59">'Бланк заказа'!$W$142:$W$142</definedName>
    <definedName name="UnitOfMeasure6">'Бланк заказа'!$W$30:$W$30</definedName>
    <definedName name="UnitOfMeasure60">'Бланк заказа'!$W$146:$W$146</definedName>
    <definedName name="UnitOfMeasure61">'Бланк заказа'!$W$147:$W$147</definedName>
    <definedName name="UnitOfMeasure62">'Бланк заказа'!$W$152:$W$152</definedName>
    <definedName name="UnitOfMeasure63">'Бланк заказа'!$W$153:$W$153</definedName>
    <definedName name="UnitOfMeasure64">'Бланк заказа'!$W$157:$W$157</definedName>
    <definedName name="UnitOfMeasure65">'Бланк заказа'!$W$161:$W$161</definedName>
    <definedName name="UnitOfMeasure66">'Бланк заказа'!$W$162:$W$162</definedName>
    <definedName name="UnitOfMeasure67">'Бланк заказа'!$W$163:$W$163</definedName>
    <definedName name="UnitOfMeasure68">'Бланк заказа'!$W$164:$W$164</definedName>
    <definedName name="UnitOfMeasure69">'Бланк заказа'!$W$165:$W$165</definedName>
    <definedName name="UnitOfMeasure7">'Бланк заказа'!$W$31:$W$31</definedName>
    <definedName name="UnitOfMeasure70">'Бланк заказа'!$W$166:$W$166</definedName>
    <definedName name="UnitOfMeasure71">'Бланк заказа'!$W$167:$W$167</definedName>
    <definedName name="UnitOfMeasure72">'Бланк заказа'!$W$168:$W$168</definedName>
    <definedName name="UnitOfMeasure73">'Бланк заказа'!$W$169:$W$169</definedName>
    <definedName name="UnitOfMeasure74">'Бланк заказа'!$W$170:$W$170</definedName>
    <definedName name="UnitOfMeasure75">'Бланк заказа'!$W$174:$W$174</definedName>
    <definedName name="UnitOfMeasure76">'Бланк заказа'!$W$180:$W$180</definedName>
    <definedName name="UnitOfMeasure77">'Бланк заказа'!$W$184:$W$184</definedName>
    <definedName name="UnitOfMeasure78">'Бланк заказа'!$W$185:$W$185</definedName>
    <definedName name="UnitOfMeasure79">'Бланк заказа'!$W$186:$W$186</definedName>
    <definedName name="UnitOfMeasure8">'Бланк заказа'!$W$32:$W$32</definedName>
    <definedName name="UnitOfMeasure80">'Бланк заказа'!$W$187:$W$187</definedName>
    <definedName name="UnitOfMeasure81">'Бланк заказа'!$W$188:$W$188</definedName>
    <definedName name="UnitOfMeasure82">'Бланк заказа'!$W$189:$W$189</definedName>
    <definedName name="UnitOfMeasure83">'Бланк заказа'!$W$190:$W$190</definedName>
    <definedName name="UnitOfMeasure84">'Бланк заказа'!$W$191:$W$191</definedName>
    <definedName name="UnitOfMeasure85">'Бланк заказа'!$W$192:$W$192</definedName>
    <definedName name="UnitOfMeasure86">'Бланк заказа'!$W$193:$W$193</definedName>
    <definedName name="UnitOfMeasure87">'Бланк заказа'!$W$194:$W$194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заказа'!$W$200:$W$200</definedName>
    <definedName name="UnitOfMeasure91">'Бланк заказа'!$W$201:$W$201</definedName>
    <definedName name="UnitOfMeasure92">'Бланк заказа'!$W$202:$W$202</definedName>
    <definedName name="UnitOfMeasure93">'Бланк заказа'!$W$206:$W$206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заказа'!$W$221:$W$221</definedName>
    <definedName name="UnitOfMeasure99">'Бланк заказа'!$W$222:$W$222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91029" refMode="R1C1"/>
</workbook>
</file>

<file path=xl/calcChain.xml><?xml version="1.0" encoding="utf-8"?>
<calcChain xmlns="http://schemas.openxmlformats.org/spreadsheetml/2006/main">
  <c r="X505" i="2" l="1"/>
  <c r="X504" i="2"/>
  <c r="BO503" i="2"/>
  <c r="BM503" i="2"/>
  <c r="Y503" i="2"/>
  <c r="AA516" i="2" s="1"/>
  <c r="P503" i="2"/>
  <c r="X500" i="2"/>
  <c r="X499" i="2"/>
  <c r="BO498" i="2"/>
  <c r="BM498" i="2"/>
  <c r="Y498" i="2"/>
  <c r="P498" i="2"/>
  <c r="BO497" i="2"/>
  <c r="BM497" i="2"/>
  <c r="Y497" i="2"/>
  <c r="P497" i="2"/>
  <c r="X495" i="2"/>
  <c r="X494" i="2"/>
  <c r="BO493" i="2"/>
  <c r="BM493" i="2"/>
  <c r="Y493" i="2"/>
  <c r="Y494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P485" i="2"/>
  <c r="X483" i="2"/>
  <c r="X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X475" i="2"/>
  <c r="X474" i="2"/>
  <c r="BO473" i="2"/>
  <c r="BM473" i="2"/>
  <c r="Y473" i="2"/>
  <c r="P473" i="2"/>
  <c r="BO472" i="2"/>
  <c r="BM472" i="2"/>
  <c r="Y472" i="2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X465" i="2"/>
  <c r="X464" i="2"/>
  <c r="BO463" i="2"/>
  <c r="BM463" i="2"/>
  <c r="Y463" i="2"/>
  <c r="P463" i="2"/>
  <c r="BO462" i="2"/>
  <c r="BM462" i="2"/>
  <c r="Y462" i="2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BO456" i="2"/>
  <c r="BM456" i="2"/>
  <c r="Y456" i="2"/>
  <c r="P456" i="2"/>
  <c r="BO455" i="2"/>
  <c r="BM455" i="2"/>
  <c r="Y455" i="2"/>
  <c r="BP455" i="2" s="1"/>
  <c r="P455" i="2"/>
  <c r="BO454" i="2"/>
  <c r="BM454" i="2"/>
  <c r="Y454" i="2"/>
  <c r="P454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BP447" i="2" s="1"/>
  <c r="P447" i="2"/>
  <c r="BO446" i="2"/>
  <c r="BM446" i="2"/>
  <c r="Y446" i="2"/>
  <c r="P446" i="2"/>
  <c r="X442" i="2"/>
  <c r="X441" i="2"/>
  <c r="BO440" i="2"/>
  <c r="BM440" i="2"/>
  <c r="Y440" i="2"/>
  <c r="P440" i="2"/>
  <c r="X437" i="2"/>
  <c r="X436" i="2"/>
  <c r="BO435" i="2"/>
  <c r="BM435" i="2"/>
  <c r="Y435" i="2"/>
  <c r="P435" i="2"/>
  <c r="BO434" i="2"/>
  <c r="BM434" i="2"/>
  <c r="Y434" i="2"/>
  <c r="P434" i="2"/>
  <c r="BO433" i="2"/>
  <c r="BM433" i="2"/>
  <c r="Y433" i="2"/>
  <c r="P433" i="2"/>
  <c r="X431" i="2"/>
  <c r="X430" i="2"/>
  <c r="BO429" i="2"/>
  <c r="BM429" i="2"/>
  <c r="Y429" i="2"/>
  <c r="P429" i="2"/>
  <c r="X426" i="2"/>
  <c r="X425" i="2"/>
  <c r="BO424" i="2"/>
  <c r="BM424" i="2"/>
  <c r="Y424" i="2"/>
  <c r="P424" i="2"/>
  <c r="BO423" i="2"/>
  <c r="BM423" i="2"/>
  <c r="Y423" i="2"/>
  <c r="BP423" i="2" s="1"/>
  <c r="P423" i="2"/>
  <c r="X421" i="2"/>
  <c r="X420" i="2"/>
  <c r="BO419" i="2"/>
  <c r="BM419" i="2"/>
  <c r="Y419" i="2"/>
  <c r="P419" i="2"/>
  <c r="BO418" i="2"/>
  <c r="BM418" i="2"/>
  <c r="Y418" i="2"/>
  <c r="P418" i="2"/>
  <c r="BO417" i="2"/>
  <c r="BM417" i="2"/>
  <c r="Y417" i="2"/>
  <c r="BP417" i="2" s="1"/>
  <c r="P417" i="2"/>
  <c r="BO416" i="2"/>
  <c r="BM416" i="2"/>
  <c r="Y416" i="2"/>
  <c r="P416" i="2"/>
  <c r="BO415" i="2"/>
  <c r="BM415" i="2"/>
  <c r="Y415" i="2"/>
  <c r="P415" i="2"/>
  <c r="BO414" i="2"/>
  <c r="BM414" i="2"/>
  <c r="Y414" i="2"/>
  <c r="P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P411" i="2"/>
  <c r="X407" i="2"/>
  <c r="X406" i="2"/>
  <c r="BO405" i="2"/>
  <c r="BM405" i="2"/>
  <c r="Y405" i="2"/>
  <c r="P405" i="2"/>
  <c r="BO404" i="2"/>
  <c r="BM404" i="2"/>
  <c r="Y404" i="2"/>
  <c r="BP404" i="2" s="1"/>
  <c r="P404" i="2"/>
  <c r="BO403" i="2"/>
  <c r="BM403" i="2"/>
  <c r="Y403" i="2"/>
  <c r="BP403" i="2" s="1"/>
  <c r="P403" i="2"/>
  <c r="X401" i="2"/>
  <c r="X400" i="2"/>
  <c r="BO399" i="2"/>
  <c r="BM399" i="2"/>
  <c r="Y399" i="2"/>
  <c r="P399" i="2"/>
  <c r="X397" i="2"/>
  <c r="X396" i="2"/>
  <c r="BO395" i="2"/>
  <c r="BN395" i="2"/>
  <c r="BM395" i="2"/>
  <c r="Y395" i="2"/>
  <c r="BP395" i="2" s="1"/>
  <c r="P395" i="2"/>
  <c r="BO394" i="2"/>
  <c r="BM394" i="2"/>
  <c r="Y394" i="2"/>
  <c r="P394" i="2"/>
  <c r="X391" i="2"/>
  <c r="X390" i="2"/>
  <c r="BO389" i="2"/>
  <c r="BM389" i="2"/>
  <c r="Y389" i="2"/>
  <c r="Y391" i="2" s="1"/>
  <c r="P389" i="2"/>
  <c r="X387" i="2"/>
  <c r="X386" i="2"/>
  <c r="BO385" i="2"/>
  <c r="BM385" i="2"/>
  <c r="Y385" i="2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5" i="2"/>
  <c r="X364" i="2"/>
  <c r="BO363" i="2"/>
  <c r="BM363" i="2"/>
  <c r="Y363" i="2"/>
  <c r="BP363" i="2" s="1"/>
  <c r="P363" i="2"/>
  <c r="BO362" i="2"/>
  <c r="BM362" i="2"/>
  <c r="Y362" i="2"/>
  <c r="P362" i="2"/>
  <c r="BO361" i="2"/>
  <c r="BM361" i="2"/>
  <c r="Y361" i="2"/>
  <c r="P361" i="2"/>
  <c r="X358" i="2"/>
  <c r="X357" i="2"/>
  <c r="BO356" i="2"/>
  <c r="BM356" i="2"/>
  <c r="Y356" i="2"/>
  <c r="BP356" i="2" s="1"/>
  <c r="P356" i="2"/>
  <c r="BO355" i="2"/>
  <c r="BM355" i="2"/>
  <c r="Y355" i="2"/>
  <c r="BP355" i="2" s="1"/>
  <c r="P355" i="2"/>
  <c r="BO354" i="2"/>
  <c r="BM354" i="2"/>
  <c r="Y354" i="2"/>
  <c r="Y358" i="2" s="1"/>
  <c r="P354" i="2"/>
  <c r="X352" i="2"/>
  <c r="X351" i="2"/>
  <c r="BO350" i="2"/>
  <c r="BM350" i="2"/>
  <c r="Y350" i="2"/>
  <c r="P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P347" i="2"/>
  <c r="X345" i="2"/>
  <c r="X344" i="2"/>
  <c r="BO343" i="2"/>
  <c r="BM343" i="2"/>
  <c r="Y343" i="2"/>
  <c r="P343" i="2"/>
  <c r="BO342" i="2"/>
  <c r="BM342" i="2"/>
  <c r="Y342" i="2"/>
  <c r="P342" i="2"/>
  <c r="BO341" i="2"/>
  <c r="BM341" i="2"/>
  <c r="Y341" i="2"/>
  <c r="BP341" i="2" s="1"/>
  <c r="P341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X332" i="2"/>
  <c r="X331" i="2"/>
  <c r="BO330" i="2"/>
  <c r="BM330" i="2"/>
  <c r="Y330" i="2"/>
  <c r="P330" i="2"/>
  <c r="BO329" i="2"/>
  <c r="BM329" i="2"/>
  <c r="Y329" i="2"/>
  <c r="P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BO317" i="2"/>
  <c r="BM317" i="2"/>
  <c r="Y317" i="2"/>
  <c r="P317" i="2"/>
  <c r="BO316" i="2"/>
  <c r="BM316" i="2"/>
  <c r="Y316" i="2"/>
  <c r="BP316" i="2" s="1"/>
  <c r="BO315" i="2"/>
  <c r="BM315" i="2"/>
  <c r="Y315" i="2"/>
  <c r="BP315" i="2" s="1"/>
  <c r="P315" i="2"/>
  <c r="BO314" i="2"/>
  <c r="BM314" i="2"/>
  <c r="Y314" i="2"/>
  <c r="BO313" i="2"/>
  <c r="BM313" i="2"/>
  <c r="Y313" i="2"/>
  <c r="P313" i="2"/>
  <c r="X310" i="2"/>
  <c r="X309" i="2"/>
  <c r="BO308" i="2"/>
  <c r="BM308" i="2"/>
  <c r="Y308" i="2"/>
  <c r="P308" i="2"/>
  <c r="BO307" i="2"/>
  <c r="BM307" i="2"/>
  <c r="Y307" i="2"/>
  <c r="BP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P295" i="2"/>
  <c r="BO294" i="2"/>
  <c r="BM294" i="2"/>
  <c r="Y294" i="2"/>
  <c r="P294" i="2"/>
  <c r="X291" i="2"/>
  <c r="X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O277" i="2"/>
  <c r="BM277" i="2"/>
  <c r="Y277" i="2"/>
  <c r="P277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X266" i="2"/>
  <c r="X265" i="2"/>
  <c r="BO264" i="2"/>
  <c r="BM264" i="2"/>
  <c r="Y264" i="2"/>
  <c r="Y266" i="2" s="1"/>
  <c r="P264" i="2"/>
  <c r="X262" i="2"/>
  <c r="X261" i="2"/>
  <c r="BO260" i="2"/>
  <c r="BM260" i="2"/>
  <c r="Y260" i="2"/>
  <c r="Y262" i="2" s="1"/>
  <c r="P260" i="2"/>
  <c r="X258" i="2"/>
  <c r="X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BP254" i="2" s="1"/>
  <c r="P254" i="2"/>
  <c r="BO253" i="2"/>
  <c r="BM253" i="2"/>
  <c r="Y253" i="2"/>
  <c r="BP253" i="2" s="1"/>
  <c r="P253" i="2"/>
  <c r="BO252" i="2"/>
  <c r="BM252" i="2"/>
  <c r="Y252" i="2"/>
  <c r="P252" i="2"/>
  <c r="BO251" i="2"/>
  <c r="BM251" i="2"/>
  <c r="Y251" i="2"/>
  <c r="BP251" i="2" s="1"/>
  <c r="P251" i="2"/>
  <c r="BO250" i="2"/>
  <c r="BM250" i="2"/>
  <c r="Y250" i="2"/>
  <c r="BP250" i="2" s="1"/>
  <c r="P250" i="2"/>
  <c r="X247" i="2"/>
  <c r="X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P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X230" i="2"/>
  <c r="X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P221" i="2" s="1"/>
  <c r="P221" i="2"/>
  <c r="X219" i="2"/>
  <c r="X218" i="2"/>
  <c r="BP217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Y212" i="2"/>
  <c r="BP212" i="2" s="1"/>
  <c r="P212" i="2"/>
  <c r="BO211" i="2"/>
  <c r="BM211" i="2"/>
  <c r="Y211" i="2"/>
  <c r="P211" i="2"/>
  <c r="X208" i="2"/>
  <c r="X207" i="2"/>
  <c r="BO206" i="2"/>
  <c r="BM206" i="2"/>
  <c r="Y206" i="2"/>
  <c r="Y208" i="2" s="1"/>
  <c r="P206" i="2"/>
  <c r="X204" i="2"/>
  <c r="X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Y204" i="2" s="1"/>
  <c r="P200" i="2"/>
  <c r="X198" i="2"/>
  <c r="X197" i="2"/>
  <c r="BO196" i="2"/>
  <c r="BM196" i="2"/>
  <c r="Y196" i="2"/>
  <c r="BP196" i="2" s="1"/>
  <c r="P196" i="2"/>
  <c r="BO195" i="2"/>
  <c r="BM195" i="2"/>
  <c r="Y195" i="2"/>
  <c r="BP195" i="2" s="1"/>
  <c r="P195" i="2"/>
  <c r="BO194" i="2"/>
  <c r="BM194" i="2"/>
  <c r="Y194" i="2"/>
  <c r="BP194" i="2" s="1"/>
  <c r="P194" i="2"/>
  <c r="BO193" i="2"/>
  <c r="BM193" i="2"/>
  <c r="Y193" i="2"/>
  <c r="BP193" i="2" s="1"/>
  <c r="P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X182" i="2"/>
  <c r="X181" i="2"/>
  <c r="BO180" i="2"/>
  <c r="BM180" i="2"/>
  <c r="Y180" i="2"/>
  <c r="Y181" i="2" s="1"/>
  <c r="P180" i="2"/>
  <c r="X176" i="2"/>
  <c r="X175" i="2"/>
  <c r="BO174" i="2"/>
  <c r="BM174" i="2"/>
  <c r="Y174" i="2"/>
  <c r="Y176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BP165" i="2" s="1"/>
  <c r="BO164" i="2"/>
  <c r="BM164" i="2"/>
  <c r="Y164" i="2"/>
  <c r="BP164" i="2" s="1"/>
  <c r="P164" i="2"/>
  <c r="BO163" i="2"/>
  <c r="BM163" i="2"/>
  <c r="Y163" i="2"/>
  <c r="BP163" i="2" s="1"/>
  <c r="P163" i="2"/>
  <c r="BO162" i="2"/>
  <c r="BM162" i="2"/>
  <c r="Y162" i="2"/>
  <c r="P162" i="2"/>
  <c r="BO161" i="2"/>
  <c r="BM161" i="2"/>
  <c r="Y161" i="2"/>
  <c r="BP161" i="2" s="1"/>
  <c r="P161" i="2"/>
  <c r="X159" i="2"/>
  <c r="X158" i="2"/>
  <c r="BO157" i="2"/>
  <c r="BM157" i="2"/>
  <c r="Y157" i="2"/>
  <c r="Y158" i="2" s="1"/>
  <c r="X155" i="2"/>
  <c r="X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BP147" i="2" s="1"/>
  <c r="P147" i="2"/>
  <c r="BO146" i="2"/>
  <c r="BM146" i="2"/>
  <c r="Y146" i="2"/>
  <c r="Y149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O136" i="2"/>
  <c r="BM136" i="2"/>
  <c r="Y136" i="2"/>
  <c r="P136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P125" i="2"/>
  <c r="BO124" i="2"/>
  <c r="BM124" i="2"/>
  <c r="Y124" i="2"/>
  <c r="P124" i="2"/>
  <c r="X122" i="2"/>
  <c r="X121" i="2"/>
  <c r="BO120" i="2"/>
  <c r="BM120" i="2"/>
  <c r="Y120" i="2"/>
  <c r="BP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BP113" i="2" s="1"/>
  <c r="P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X106" i="2"/>
  <c r="X105" i="2"/>
  <c r="BO104" i="2"/>
  <c r="BM104" i="2"/>
  <c r="Y104" i="2"/>
  <c r="BP104" i="2" s="1"/>
  <c r="BO103" i="2"/>
  <c r="BM103" i="2"/>
  <c r="Y103" i="2"/>
  <c r="BP103" i="2" s="1"/>
  <c r="P103" i="2"/>
  <c r="BO102" i="2"/>
  <c r="BM102" i="2"/>
  <c r="Y102" i="2"/>
  <c r="BP102" i="2" s="1"/>
  <c r="P102" i="2"/>
  <c r="BO101" i="2"/>
  <c r="BM101" i="2"/>
  <c r="Y101" i="2"/>
  <c r="P101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P94" i="2"/>
  <c r="X91" i="2"/>
  <c r="X90" i="2"/>
  <c r="BO89" i="2"/>
  <c r="BM89" i="2"/>
  <c r="Y89" i="2"/>
  <c r="P89" i="2"/>
  <c r="BO88" i="2"/>
  <c r="BM88" i="2"/>
  <c r="Y88" i="2"/>
  <c r="BP88" i="2" s="1"/>
  <c r="P88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BP82" i="2" s="1"/>
  <c r="P82" i="2"/>
  <c r="BO81" i="2"/>
  <c r="BM81" i="2"/>
  <c r="Y81" i="2"/>
  <c r="P81" i="2"/>
  <c r="X79" i="2"/>
  <c r="X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P61" i="2" s="1"/>
  <c r="P61" i="2"/>
  <c r="X58" i="2"/>
  <c r="X57" i="2"/>
  <c r="BO56" i="2"/>
  <c r="BM56" i="2"/>
  <c r="Y56" i="2"/>
  <c r="Y58" i="2" s="1"/>
  <c r="P56" i="2"/>
  <c r="X54" i="2"/>
  <c r="X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P50" i="2" s="1"/>
  <c r="BO49" i="2"/>
  <c r="BM49" i="2"/>
  <c r="Y49" i="2"/>
  <c r="P49" i="2"/>
  <c r="X45" i="2"/>
  <c r="X44" i="2"/>
  <c r="BO43" i="2"/>
  <c r="BM43" i="2"/>
  <c r="Y43" i="2"/>
  <c r="C516" i="2" s="1"/>
  <c r="P43" i="2"/>
  <c r="X39" i="2"/>
  <c r="X38" i="2"/>
  <c r="BO37" i="2"/>
  <c r="BM37" i="2"/>
  <c r="Y37" i="2"/>
  <c r="Y39" i="2" s="1"/>
  <c r="P37" i="2"/>
  <c r="X35" i="2"/>
  <c r="X34" i="2"/>
  <c r="BO33" i="2"/>
  <c r="BM33" i="2"/>
  <c r="Y33" i="2"/>
  <c r="BP33" i="2" s="1"/>
  <c r="P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A10" i="2" s="1"/>
  <c r="D7" i="2"/>
  <c r="Q6" i="2"/>
  <c r="P2" i="2"/>
  <c r="Y155" i="2" l="1"/>
  <c r="Z395" i="2"/>
  <c r="Y219" i="2"/>
  <c r="O516" i="2"/>
  <c r="Z217" i="2"/>
  <c r="Y381" i="2"/>
  <c r="Y304" i="2"/>
  <c r="Z82" i="2"/>
  <c r="BN82" i="2"/>
  <c r="Z127" i="2"/>
  <c r="BN127" i="2"/>
  <c r="Z188" i="2"/>
  <c r="BN188" i="2"/>
  <c r="Z260" i="2"/>
  <c r="Z261" i="2" s="1"/>
  <c r="BN260" i="2"/>
  <c r="BP260" i="2"/>
  <c r="Y261" i="2"/>
  <c r="Z264" i="2"/>
  <c r="Z265" i="2" s="1"/>
  <c r="BN264" i="2"/>
  <c r="BP264" i="2"/>
  <c r="Y265" i="2"/>
  <c r="Z268" i="2"/>
  <c r="BN268" i="2"/>
  <c r="Z289" i="2"/>
  <c r="BN289" i="2"/>
  <c r="Z335" i="2"/>
  <c r="BN335" i="2"/>
  <c r="Z447" i="2"/>
  <c r="BN447" i="2"/>
  <c r="B516" i="2"/>
  <c r="Z30" i="2"/>
  <c r="BN30" i="2"/>
  <c r="Z56" i="2"/>
  <c r="Z57" i="2" s="1"/>
  <c r="BN56" i="2"/>
  <c r="BP56" i="2"/>
  <c r="Y57" i="2"/>
  <c r="Z63" i="2"/>
  <c r="BN63" i="2"/>
  <c r="Z196" i="2"/>
  <c r="BN196" i="2"/>
  <c r="Z250" i="2"/>
  <c r="BN250" i="2"/>
  <c r="Z303" i="2"/>
  <c r="BN303" i="2"/>
  <c r="Z307" i="2"/>
  <c r="BN307" i="2"/>
  <c r="Z315" i="2"/>
  <c r="BN315" i="2"/>
  <c r="Z316" i="2"/>
  <c r="BN316" i="2"/>
  <c r="Z319" i="2"/>
  <c r="BN319" i="2"/>
  <c r="Z349" i="2"/>
  <c r="BN349" i="2"/>
  <c r="Z417" i="2"/>
  <c r="BN417" i="2"/>
  <c r="Z470" i="2"/>
  <c r="BN470" i="2"/>
  <c r="Y35" i="2"/>
  <c r="Z88" i="2"/>
  <c r="BN88" i="2"/>
  <c r="Z118" i="2"/>
  <c r="BN118" i="2"/>
  <c r="Z153" i="2"/>
  <c r="BN153" i="2"/>
  <c r="Z163" i="2"/>
  <c r="BN163" i="2"/>
  <c r="Z166" i="2"/>
  <c r="BN166" i="2"/>
  <c r="Z174" i="2"/>
  <c r="Z175" i="2" s="1"/>
  <c r="BN174" i="2"/>
  <c r="BP174" i="2"/>
  <c r="Y175" i="2"/>
  <c r="Z180" i="2"/>
  <c r="Z181" i="2" s="1"/>
  <c r="BN180" i="2"/>
  <c r="BP180" i="2"/>
  <c r="Z184" i="2"/>
  <c r="BN184" i="2"/>
  <c r="Z192" i="2"/>
  <c r="BN192" i="2"/>
  <c r="Z202" i="2"/>
  <c r="BN202" i="2"/>
  <c r="Z227" i="2"/>
  <c r="BN227" i="2"/>
  <c r="Z254" i="2"/>
  <c r="BN254" i="2"/>
  <c r="Z272" i="2"/>
  <c r="BN272" i="2"/>
  <c r="Z280" i="2"/>
  <c r="BN280" i="2"/>
  <c r="Z296" i="2"/>
  <c r="BN296" i="2"/>
  <c r="Z327" i="2"/>
  <c r="BN327" i="2"/>
  <c r="Z341" i="2"/>
  <c r="BN341" i="2"/>
  <c r="Y344" i="2"/>
  <c r="Z375" i="2"/>
  <c r="BN375" i="2"/>
  <c r="Z413" i="2"/>
  <c r="BN413" i="2"/>
  <c r="Z423" i="2"/>
  <c r="BN423" i="2"/>
  <c r="Z455" i="2"/>
  <c r="BN455" i="2"/>
  <c r="Z479" i="2"/>
  <c r="BN479" i="2"/>
  <c r="Y482" i="2"/>
  <c r="Y213" i="2"/>
  <c r="BP211" i="2"/>
  <c r="BN211" i="2"/>
  <c r="BP225" i="2"/>
  <c r="BN225" i="2"/>
  <c r="Z225" i="2"/>
  <c r="BP252" i="2"/>
  <c r="BN252" i="2"/>
  <c r="Z252" i="2"/>
  <c r="BP270" i="2"/>
  <c r="BN270" i="2"/>
  <c r="Z270" i="2"/>
  <c r="BP278" i="2"/>
  <c r="BN278" i="2"/>
  <c r="Z278" i="2"/>
  <c r="BP294" i="2"/>
  <c r="BN294" i="2"/>
  <c r="Z294" i="2"/>
  <c r="BP325" i="2"/>
  <c r="BN325" i="2"/>
  <c r="Z325" i="2"/>
  <c r="BP337" i="2"/>
  <c r="BN337" i="2"/>
  <c r="Z337" i="2"/>
  <c r="BP373" i="2"/>
  <c r="BN373" i="2"/>
  <c r="Z373" i="2"/>
  <c r="BP411" i="2"/>
  <c r="BN411" i="2"/>
  <c r="Z411" i="2"/>
  <c r="BP419" i="2"/>
  <c r="BN419" i="2"/>
  <c r="Z419" i="2"/>
  <c r="BP453" i="2"/>
  <c r="BN453" i="2"/>
  <c r="Z453" i="2"/>
  <c r="BP472" i="2"/>
  <c r="BN472" i="2"/>
  <c r="Z472" i="2"/>
  <c r="Z23" i="2"/>
  <c r="BN23" i="2"/>
  <c r="Z28" i="2"/>
  <c r="BN28" i="2"/>
  <c r="Z32" i="2"/>
  <c r="BN32" i="2"/>
  <c r="Z50" i="2"/>
  <c r="BN50" i="2"/>
  <c r="Z65" i="2"/>
  <c r="BN65" i="2"/>
  <c r="Y74" i="2"/>
  <c r="Z73" i="2"/>
  <c r="BN73" i="2"/>
  <c r="Z84" i="2"/>
  <c r="BN84" i="2"/>
  <c r="Y90" i="2"/>
  <c r="Z96" i="2"/>
  <c r="BN96" i="2"/>
  <c r="Z112" i="2"/>
  <c r="BN112" i="2"/>
  <c r="Z120" i="2"/>
  <c r="BN120" i="2"/>
  <c r="Z147" i="2"/>
  <c r="BN147" i="2"/>
  <c r="Z168" i="2"/>
  <c r="BN168" i="2"/>
  <c r="Z169" i="2"/>
  <c r="BN169" i="2"/>
  <c r="Y198" i="2"/>
  <c r="Z186" i="2"/>
  <c r="BN186" i="2"/>
  <c r="Z190" i="2"/>
  <c r="BN190" i="2"/>
  <c r="Z194" i="2"/>
  <c r="BN194" i="2"/>
  <c r="Z200" i="2"/>
  <c r="BN200" i="2"/>
  <c r="BP200" i="2"/>
  <c r="Z206" i="2"/>
  <c r="Z207" i="2" s="1"/>
  <c r="BN206" i="2"/>
  <c r="BP206" i="2"/>
  <c r="Y207" i="2"/>
  <c r="Z211" i="2"/>
  <c r="BP236" i="2"/>
  <c r="BN236" i="2"/>
  <c r="Z236" i="2"/>
  <c r="BP256" i="2"/>
  <c r="BN256" i="2"/>
  <c r="Z256" i="2"/>
  <c r="Y283" i="2"/>
  <c r="BP277" i="2"/>
  <c r="BN277" i="2"/>
  <c r="Z277" i="2"/>
  <c r="BP287" i="2"/>
  <c r="BN287" i="2"/>
  <c r="Z287" i="2"/>
  <c r="BP301" i="2"/>
  <c r="BN301" i="2"/>
  <c r="Z301" i="2"/>
  <c r="BP329" i="2"/>
  <c r="BN329" i="2"/>
  <c r="Z329" i="2"/>
  <c r="BP347" i="2"/>
  <c r="BN347" i="2"/>
  <c r="Z347" i="2"/>
  <c r="BP384" i="2"/>
  <c r="BN384" i="2"/>
  <c r="Z384" i="2"/>
  <c r="BP415" i="2"/>
  <c r="BN415" i="2"/>
  <c r="Z415" i="2"/>
  <c r="BP434" i="2"/>
  <c r="BN434" i="2"/>
  <c r="Z434" i="2"/>
  <c r="BP462" i="2"/>
  <c r="BN462" i="2"/>
  <c r="Z462" i="2"/>
  <c r="Y487" i="2"/>
  <c r="Y486" i="2"/>
  <c r="BP485" i="2"/>
  <c r="BN485" i="2"/>
  <c r="Z485" i="2"/>
  <c r="Z486" i="2" s="1"/>
  <c r="Y491" i="2"/>
  <c r="Y490" i="2"/>
  <c r="BP489" i="2"/>
  <c r="BN489" i="2"/>
  <c r="Z489" i="2"/>
  <c r="Z490" i="2" s="1"/>
  <c r="Y499" i="2"/>
  <c r="BP497" i="2"/>
  <c r="BN497" i="2"/>
  <c r="Z497" i="2"/>
  <c r="Y257" i="2"/>
  <c r="Y274" i="2"/>
  <c r="Y500" i="2"/>
  <c r="F9" i="2"/>
  <c r="J9" i="2"/>
  <c r="F10" i="2"/>
  <c r="Z22" i="2"/>
  <c r="BN22" i="2"/>
  <c r="BP22" i="2"/>
  <c r="Y25" i="2"/>
  <c r="Z27" i="2"/>
  <c r="BN27" i="2"/>
  <c r="BP27" i="2"/>
  <c r="Z29" i="2"/>
  <c r="BN29" i="2"/>
  <c r="Z31" i="2"/>
  <c r="BN31" i="2"/>
  <c r="Z33" i="2"/>
  <c r="BN33" i="2"/>
  <c r="Y34" i="2"/>
  <c r="Z37" i="2"/>
  <c r="Z38" i="2" s="1"/>
  <c r="BN37" i="2"/>
  <c r="BP37" i="2"/>
  <c r="Y38" i="2"/>
  <c r="Z43" i="2"/>
  <c r="Z44" i="2" s="1"/>
  <c r="BN43" i="2"/>
  <c r="BP43" i="2"/>
  <c r="Y44" i="2"/>
  <c r="Z52" i="2"/>
  <c r="BN52" i="2"/>
  <c r="Z64" i="2"/>
  <c r="BN64" i="2"/>
  <c r="Z71" i="2"/>
  <c r="BN71" i="2"/>
  <c r="BP72" i="2"/>
  <c r="BN72" i="2"/>
  <c r="Y78" i="2"/>
  <c r="BP77" i="2"/>
  <c r="BN77" i="2"/>
  <c r="Z77" i="2"/>
  <c r="Z78" i="2" s="1"/>
  <c r="Y79" i="2"/>
  <c r="Y86" i="2"/>
  <c r="BP81" i="2"/>
  <c r="BN81" i="2"/>
  <c r="Z81" i="2"/>
  <c r="Y85" i="2"/>
  <c r="BP89" i="2"/>
  <c r="BN89" i="2"/>
  <c r="Z89" i="2"/>
  <c r="Y91" i="2"/>
  <c r="H9" i="2"/>
  <c r="Y24" i="2"/>
  <c r="Y45" i="2"/>
  <c r="BP83" i="2"/>
  <c r="BN83" i="2"/>
  <c r="Z83" i="2"/>
  <c r="Y133" i="2"/>
  <c r="Y154" i="2"/>
  <c r="Y159" i="2"/>
  <c r="Y197" i="2"/>
  <c r="Y203" i="2"/>
  <c r="Y214" i="2"/>
  <c r="Y218" i="2"/>
  <c r="Y273" i="2"/>
  <c r="Y290" i="2"/>
  <c r="BP295" i="2"/>
  <c r="BN295" i="2"/>
  <c r="Z295" i="2"/>
  <c r="BP308" i="2"/>
  <c r="BN308" i="2"/>
  <c r="Z308" i="2"/>
  <c r="Z309" i="2" s="1"/>
  <c r="Y310" i="2"/>
  <c r="Y321" i="2"/>
  <c r="BP313" i="2"/>
  <c r="BN313" i="2"/>
  <c r="Z313" i="2"/>
  <c r="BP317" i="2"/>
  <c r="BN317" i="2"/>
  <c r="Z317" i="2"/>
  <c r="BP320" i="2"/>
  <c r="BN320" i="2"/>
  <c r="Z320" i="2"/>
  <c r="Y322" i="2"/>
  <c r="Y331" i="2"/>
  <c r="BP324" i="2"/>
  <c r="BN324" i="2"/>
  <c r="Z324" i="2"/>
  <c r="BP328" i="2"/>
  <c r="BN328" i="2"/>
  <c r="Z328" i="2"/>
  <c r="BP336" i="2"/>
  <c r="BN336" i="2"/>
  <c r="Z336" i="2"/>
  <c r="BP348" i="2"/>
  <c r="BN348" i="2"/>
  <c r="Z348" i="2"/>
  <c r="BP374" i="2"/>
  <c r="BN374" i="2"/>
  <c r="Z374" i="2"/>
  <c r="BP385" i="2"/>
  <c r="BN385" i="2"/>
  <c r="Z385" i="2"/>
  <c r="BP412" i="2"/>
  <c r="BN412" i="2"/>
  <c r="Z412" i="2"/>
  <c r="BP416" i="2"/>
  <c r="BN416" i="2"/>
  <c r="Z416" i="2"/>
  <c r="Y420" i="2"/>
  <c r="BP424" i="2"/>
  <c r="BN424" i="2"/>
  <c r="Z424" i="2"/>
  <c r="Y426" i="2"/>
  <c r="W516" i="2"/>
  <c r="Y430" i="2"/>
  <c r="BP429" i="2"/>
  <c r="BN429" i="2"/>
  <c r="Z429" i="2"/>
  <c r="Z430" i="2" s="1"/>
  <c r="Y431" i="2"/>
  <c r="Y436" i="2"/>
  <c r="BP433" i="2"/>
  <c r="BN433" i="2"/>
  <c r="Z433" i="2"/>
  <c r="Y437" i="2"/>
  <c r="BP451" i="2"/>
  <c r="BN451" i="2"/>
  <c r="Z451" i="2"/>
  <c r="BP456" i="2"/>
  <c r="BN456" i="2"/>
  <c r="Z456" i="2"/>
  <c r="BP471" i="2"/>
  <c r="BN471" i="2"/>
  <c r="Z471" i="2"/>
  <c r="BP481" i="2"/>
  <c r="BN481" i="2"/>
  <c r="Z481" i="2"/>
  <c r="Z95" i="2"/>
  <c r="BN95" i="2"/>
  <c r="Z102" i="2"/>
  <c r="BN102" i="2"/>
  <c r="Z110" i="2"/>
  <c r="BN110" i="2"/>
  <c r="Z113" i="2"/>
  <c r="BN113" i="2"/>
  <c r="Y121" i="2"/>
  <c r="Z119" i="2"/>
  <c r="BN119" i="2"/>
  <c r="Z125" i="2"/>
  <c r="BN125" i="2"/>
  <c r="Z131" i="2"/>
  <c r="Z132" i="2" s="1"/>
  <c r="BN131" i="2"/>
  <c r="BP131" i="2"/>
  <c r="Z137" i="2"/>
  <c r="BN137" i="2"/>
  <c r="Z152" i="2"/>
  <c r="BN152" i="2"/>
  <c r="BP152" i="2"/>
  <c r="Z157" i="2"/>
  <c r="Z158" i="2" s="1"/>
  <c r="BN157" i="2"/>
  <c r="BP157" i="2"/>
  <c r="Z161" i="2"/>
  <c r="BN161" i="2"/>
  <c r="Y171" i="2"/>
  <c r="Z164" i="2"/>
  <c r="BN164" i="2"/>
  <c r="Z165" i="2"/>
  <c r="BN165" i="2"/>
  <c r="Z167" i="2"/>
  <c r="BN167" i="2"/>
  <c r="Z170" i="2"/>
  <c r="BN170" i="2"/>
  <c r="J516" i="2"/>
  <c r="Y182" i="2"/>
  <c r="Z185" i="2"/>
  <c r="BN185" i="2"/>
  <c r="Z187" i="2"/>
  <c r="BN187" i="2"/>
  <c r="Z189" i="2"/>
  <c r="BN189" i="2"/>
  <c r="Z191" i="2"/>
  <c r="BN191" i="2"/>
  <c r="Z193" i="2"/>
  <c r="BN193" i="2"/>
  <c r="Z195" i="2"/>
  <c r="BN195" i="2"/>
  <c r="Z201" i="2"/>
  <c r="BN201" i="2"/>
  <c r="Z212" i="2"/>
  <c r="Z213" i="2" s="1"/>
  <c r="BN212" i="2"/>
  <c r="Z216" i="2"/>
  <c r="Z218" i="2" s="1"/>
  <c r="BN216" i="2"/>
  <c r="BP216" i="2"/>
  <c r="Z226" i="2"/>
  <c r="BN226" i="2"/>
  <c r="Z228" i="2"/>
  <c r="BN228" i="2"/>
  <c r="Z244" i="2"/>
  <c r="BN244" i="2"/>
  <c r="Y246" i="2"/>
  <c r="L516" i="2"/>
  <c r="Z251" i="2"/>
  <c r="BN251" i="2"/>
  <c r="Z253" i="2"/>
  <c r="BN253" i="2"/>
  <c r="Z255" i="2"/>
  <c r="BN255" i="2"/>
  <c r="Y258" i="2"/>
  <c r="Z269" i="2"/>
  <c r="BN269" i="2"/>
  <c r="Z271" i="2"/>
  <c r="BN271" i="2"/>
  <c r="M516" i="2"/>
  <c r="Z279" i="2"/>
  <c r="BN279" i="2"/>
  <c r="Z281" i="2"/>
  <c r="BN281" i="2"/>
  <c r="Y282" i="2"/>
  <c r="Z286" i="2"/>
  <c r="BN286" i="2"/>
  <c r="BP286" i="2"/>
  <c r="Z288" i="2"/>
  <c r="BN288" i="2"/>
  <c r="Y291" i="2"/>
  <c r="P516" i="2"/>
  <c r="Y298" i="2"/>
  <c r="Y297" i="2"/>
  <c r="BP302" i="2"/>
  <c r="BN302" i="2"/>
  <c r="Z302" i="2"/>
  <c r="Y309" i="2"/>
  <c r="BP314" i="2"/>
  <c r="BN314" i="2"/>
  <c r="Z314" i="2"/>
  <c r="BP318" i="2"/>
  <c r="BN318" i="2"/>
  <c r="Z318" i="2"/>
  <c r="BP326" i="2"/>
  <c r="BN326" i="2"/>
  <c r="Z326" i="2"/>
  <c r="BP330" i="2"/>
  <c r="BN330" i="2"/>
  <c r="Z330" i="2"/>
  <c r="Y332" i="2"/>
  <c r="Y339" i="2"/>
  <c r="BP334" i="2"/>
  <c r="BN334" i="2"/>
  <c r="Z334" i="2"/>
  <c r="Y338" i="2"/>
  <c r="BP343" i="2"/>
  <c r="BN343" i="2"/>
  <c r="Z343" i="2"/>
  <c r="Y352" i="2"/>
  <c r="BP361" i="2"/>
  <c r="BN361" i="2"/>
  <c r="Z361" i="2"/>
  <c r="BP380" i="2"/>
  <c r="BN380" i="2"/>
  <c r="Z380" i="2"/>
  <c r="Q516" i="2"/>
  <c r="Y305" i="2"/>
  <c r="S516" i="2"/>
  <c r="Y387" i="2"/>
  <c r="Y386" i="2"/>
  <c r="Y400" i="2"/>
  <c r="BP399" i="2"/>
  <c r="BN399" i="2"/>
  <c r="Z399" i="2"/>
  <c r="Z400" i="2" s="1"/>
  <c r="Y401" i="2"/>
  <c r="BP405" i="2"/>
  <c r="BN405" i="2"/>
  <c r="Z405" i="2"/>
  <c r="V516" i="2"/>
  <c r="BP414" i="2"/>
  <c r="BN414" i="2"/>
  <c r="Z414" i="2"/>
  <c r="BP418" i="2"/>
  <c r="BN418" i="2"/>
  <c r="Z418" i="2"/>
  <c r="Y425" i="2"/>
  <c r="BP435" i="2"/>
  <c r="BN435" i="2"/>
  <c r="Z435" i="2"/>
  <c r="X516" i="2"/>
  <c r="Y441" i="2"/>
  <c r="BP440" i="2"/>
  <c r="BN440" i="2"/>
  <c r="Z440" i="2"/>
  <c r="Z441" i="2" s="1"/>
  <c r="Y442" i="2"/>
  <c r="BP446" i="2"/>
  <c r="BN446" i="2"/>
  <c r="Z446" i="2"/>
  <c r="BP454" i="2"/>
  <c r="BN454" i="2"/>
  <c r="Z454" i="2"/>
  <c r="BP463" i="2"/>
  <c r="BN463" i="2"/>
  <c r="Z463" i="2"/>
  <c r="BP473" i="2"/>
  <c r="BN473" i="2"/>
  <c r="Z473" i="2"/>
  <c r="Y421" i="2"/>
  <c r="Y464" i="2"/>
  <c r="Z498" i="2"/>
  <c r="BN498" i="2"/>
  <c r="BP498" i="2"/>
  <c r="Z503" i="2"/>
  <c r="Z504" i="2" s="1"/>
  <c r="BN503" i="2"/>
  <c r="BP503" i="2"/>
  <c r="Y504" i="2"/>
  <c r="Y505" i="2"/>
  <c r="Z448" i="2"/>
  <c r="BN448" i="2"/>
  <c r="Y247" i="2"/>
  <c r="Z245" i="2"/>
  <c r="BN245" i="2"/>
  <c r="BP245" i="2"/>
  <c r="Z142" i="2"/>
  <c r="BN142" i="2"/>
  <c r="Z97" i="2"/>
  <c r="BN97" i="2"/>
  <c r="Z389" i="2"/>
  <c r="Z390" i="2" s="1"/>
  <c r="BN389" i="2"/>
  <c r="BP389" i="2"/>
  <c r="Y390" i="2"/>
  <c r="Z480" i="2"/>
  <c r="BN480" i="2"/>
  <c r="BP480" i="2"/>
  <c r="Y483" i="2"/>
  <c r="Y148" i="2"/>
  <c r="Z146" i="2"/>
  <c r="BN146" i="2"/>
  <c r="BP146" i="2"/>
  <c r="Z468" i="2"/>
  <c r="BN468" i="2"/>
  <c r="Z457" i="2"/>
  <c r="BN457" i="2"/>
  <c r="Z356" i="2"/>
  <c r="BN356" i="2"/>
  <c r="Z355" i="2"/>
  <c r="BN355" i="2"/>
  <c r="Z354" i="2"/>
  <c r="Z357" i="2" s="1"/>
  <c r="BN354" i="2"/>
  <c r="BP354" i="2"/>
  <c r="Y357" i="2"/>
  <c r="Z350" i="2"/>
  <c r="BN350" i="2"/>
  <c r="BP350" i="2"/>
  <c r="Y351" i="2"/>
  <c r="Z342" i="2"/>
  <c r="Z344" i="2" s="1"/>
  <c r="BN342" i="2"/>
  <c r="BP342" i="2"/>
  <c r="Y345" i="2"/>
  <c r="R516" i="2"/>
  <c r="Z221" i="2"/>
  <c r="BN221" i="2"/>
  <c r="Y230" i="2"/>
  <c r="H516" i="2"/>
  <c r="Z141" i="2"/>
  <c r="BN141" i="2"/>
  <c r="BP141" i="2"/>
  <c r="Y144" i="2"/>
  <c r="Z136" i="2"/>
  <c r="BN136" i="2"/>
  <c r="BP136" i="2"/>
  <c r="Y139" i="2"/>
  <c r="Y129" i="2"/>
  <c r="Z126" i="2"/>
  <c r="BN126" i="2"/>
  <c r="Z70" i="2"/>
  <c r="BN70" i="2"/>
  <c r="BP70" i="2"/>
  <c r="Y75" i="2"/>
  <c r="U516" i="2"/>
  <c r="Z403" i="2"/>
  <c r="BN403" i="2"/>
  <c r="Z394" i="2"/>
  <c r="Z396" i="2" s="1"/>
  <c r="BN394" i="2"/>
  <c r="BP394" i="2"/>
  <c r="Y397" i="2"/>
  <c r="Z371" i="2"/>
  <c r="BN371" i="2"/>
  <c r="Z363" i="2"/>
  <c r="BN363" i="2"/>
  <c r="Z232" i="2"/>
  <c r="BN232" i="2"/>
  <c r="Z224" i="2"/>
  <c r="BN224" i="2"/>
  <c r="Z223" i="2"/>
  <c r="BN223" i="2"/>
  <c r="Z117" i="2"/>
  <c r="BN117" i="2"/>
  <c r="BP117" i="2"/>
  <c r="Y122" i="2"/>
  <c r="Z103" i="2"/>
  <c r="BN103" i="2"/>
  <c r="Z61" i="2"/>
  <c r="BN61" i="2"/>
  <c r="D516" i="2"/>
  <c r="Z51" i="2"/>
  <c r="BN51" i="2"/>
  <c r="Y495" i="2"/>
  <c r="Z516" i="2"/>
  <c r="Z493" i="2"/>
  <c r="Z494" i="2" s="1"/>
  <c r="BN493" i="2"/>
  <c r="BP493" i="2"/>
  <c r="Y474" i="2"/>
  <c r="Z467" i="2"/>
  <c r="BN467" i="2"/>
  <c r="Y475" i="2"/>
  <c r="Z469" i="2"/>
  <c r="BN469" i="2"/>
  <c r="BP469" i="2"/>
  <c r="Y465" i="2"/>
  <c r="Z461" i="2"/>
  <c r="BN461" i="2"/>
  <c r="BP461" i="2"/>
  <c r="Y516" i="2"/>
  <c r="Z452" i="2"/>
  <c r="BN452" i="2"/>
  <c r="Z450" i="2"/>
  <c r="BN450" i="2"/>
  <c r="Z449" i="2"/>
  <c r="BN449" i="2"/>
  <c r="BP449" i="2"/>
  <c r="Y458" i="2"/>
  <c r="Y459" i="2"/>
  <c r="Y406" i="2"/>
  <c r="Y407" i="2"/>
  <c r="Z404" i="2"/>
  <c r="BN404" i="2"/>
  <c r="Y396" i="2"/>
  <c r="Z379" i="2"/>
  <c r="BN379" i="2"/>
  <c r="BP379" i="2"/>
  <c r="Y382" i="2"/>
  <c r="Y376" i="2"/>
  <c r="Z372" i="2"/>
  <c r="BN372" i="2"/>
  <c r="Z370" i="2"/>
  <c r="BN370" i="2"/>
  <c r="Y377" i="2"/>
  <c r="T516" i="2"/>
  <c r="Z369" i="2"/>
  <c r="BN369" i="2"/>
  <c r="BP369" i="2"/>
  <c r="X506" i="2"/>
  <c r="Y364" i="2"/>
  <c r="Z362" i="2"/>
  <c r="BN362" i="2"/>
  <c r="BP362" i="2"/>
  <c r="Y365" i="2"/>
  <c r="Z240" i="2"/>
  <c r="BN240" i="2"/>
  <c r="Z239" i="2"/>
  <c r="BN239" i="2"/>
  <c r="Z238" i="2"/>
  <c r="BN238" i="2"/>
  <c r="Y242" i="2"/>
  <c r="Z237" i="2"/>
  <c r="BN237" i="2"/>
  <c r="Z235" i="2"/>
  <c r="BN235" i="2"/>
  <c r="Z234" i="2"/>
  <c r="BN234" i="2"/>
  <c r="Y241" i="2"/>
  <c r="Z233" i="2"/>
  <c r="BN233" i="2"/>
  <c r="BP233" i="2"/>
  <c r="Y229" i="2"/>
  <c r="Z222" i="2"/>
  <c r="BN222" i="2"/>
  <c r="BP222" i="2"/>
  <c r="K516" i="2"/>
  <c r="Y172" i="2"/>
  <c r="I516" i="2"/>
  <c r="Z162" i="2"/>
  <c r="BN162" i="2"/>
  <c r="BP162" i="2"/>
  <c r="Y138" i="2"/>
  <c r="Y128" i="2"/>
  <c r="Z124" i="2"/>
  <c r="BN124" i="2"/>
  <c r="BP124" i="2"/>
  <c r="Y114" i="2"/>
  <c r="Z111" i="2"/>
  <c r="BN111" i="2"/>
  <c r="Y115" i="2"/>
  <c r="G516" i="2"/>
  <c r="X508" i="2"/>
  <c r="Z109" i="2"/>
  <c r="BN109" i="2"/>
  <c r="BP109" i="2"/>
  <c r="Y105" i="2"/>
  <c r="Z104" i="2"/>
  <c r="BN104" i="2"/>
  <c r="Y106" i="2"/>
  <c r="F516" i="2"/>
  <c r="Z101" i="2"/>
  <c r="BN101" i="2"/>
  <c r="BP101" i="2"/>
  <c r="Y98" i="2"/>
  <c r="Z94" i="2"/>
  <c r="BN94" i="2"/>
  <c r="BP94" i="2"/>
  <c r="Y99" i="2"/>
  <c r="X507" i="2"/>
  <c r="X510" i="2"/>
  <c r="Z66" i="2"/>
  <c r="BN66" i="2"/>
  <c r="Y68" i="2"/>
  <c r="E516" i="2"/>
  <c r="Y67" i="2"/>
  <c r="Z62" i="2"/>
  <c r="BN62" i="2"/>
  <c r="Z49" i="2"/>
  <c r="BN49" i="2"/>
  <c r="BP49" i="2"/>
  <c r="Y53" i="2"/>
  <c r="Y54" i="2"/>
  <c r="Z74" i="2" l="1"/>
  <c r="Z425" i="2"/>
  <c r="Z364" i="2"/>
  <c r="Z138" i="2"/>
  <c r="Z246" i="2"/>
  <c r="Z290" i="2"/>
  <c r="Z203" i="2"/>
  <c r="Z386" i="2"/>
  <c r="Z499" i="2"/>
  <c r="Z297" i="2"/>
  <c r="Z128" i="2"/>
  <c r="Z351" i="2"/>
  <c r="Z482" i="2"/>
  <c r="Z154" i="2"/>
  <c r="Z90" i="2"/>
  <c r="Z273" i="2"/>
  <c r="Z197" i="2"/>
  <c r="Z171" i="2"/>
  <c r="Z381" i="2"/>
  <c r="Z464" i="2"/>
  <c r="Z121" i="2"/>
  <c r="Z148" i="2"/>
  <c r="Z338" i="2"/>
  <c r="Z304" i="2"/>
  <c r="Z282" i="2"/>
  <c r="Z257" i="2"/>
  <c r="Z420" i="2"/>
  <c r="Z34" i="2"/>
  <c r="Z24" i="2"/>
  <c r="Z436" i="2"/>
  <c r="Z331" i="2"/>
  <c r="Z85" i="2"/>
  <c r="Z321" i="2"/>
  <c r="Z143" i="2"/>
  <c r="Z98" i="2"/>
  <c r="Z114" i="2"/>
  <c r="Z474" i="2"/>
  <c r="Z458" i="2"/>
  <c r="Z229" i="2"/>
  <c r="Z406" i="2"/>
  <c r="Z376" i="2"/>
  <c r="Z105" i="2"/>
  <c r="Z67" i="2"/>
  <c r="Z53" i="2"/>
  <c r="Z241" i="2"/>
  <c r="X509" i="2"/>
  <c r="Y508" i="2"/>
  <c r="Y510" i="2"/>
  <c r="Y507" i="2"/>
  <c r="Y506" i="2"/>
  <c r="Y509" i="2" l="1"/>
  <c r="Z511" i="2"/>
</calcChain>
</file>

<file path=xl/sharedStrings.xml><?xml version="1.0" encoding="utf-8"?>
<sst xmlns="http://schemas.openxmlformats.org/spreadsheetml/2006/main" count="3779" uniqueCount="818">
  <si>
    <t xml:space="preserve">  БЛАНК ЗАКАЗА </t>
  </si>
  <si>
    <t>КИ</t>
  </si>
  <si>
    <t>на отгрузку продукции с ООО Трейд-Сервис с</t>
  </si>
  <si>
    <t>30.03.2026</t>
  </si>
  <si>
    <t>бланк создан</t>
  </si>
  <si>
    <t>25.03.2026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</si>
  <si>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</si>
  <si>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</si>
  <si>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</si>
  <si>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</si>
  <si>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</si>
  <si>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</si>
  <si>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</si>
  <si>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</si>
  <si>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</si>
  <si>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</si>
  <si>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</si>
  <si>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</si>
  <si>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</si>
  <si>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Время загрузки</t>
  </si>
  <si>
    <t/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</si>
  <si>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</si>
  <si>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</si>
  <si>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</si>
  <si>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</si>
  <si>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</si>
  <si>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</si>
  <si>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</si>
  <si>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</si>
  <si>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</si>
  <si>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</si>
  <si>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</si>
  <si>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</si>
  <si>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</si>
  <si>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</si>
  <si>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</si>
  <si>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</si>
  <si>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</si>
  <si>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</si>
  <si>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</si>
  <si>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</si>
  <si>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</si>
  <si>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</si>
  <si>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</si>
  <si>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</si>
  <si>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</si>
  <si>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</si>
  <si>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</si>
  <si>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</si>
  <si>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</si>
  <si>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</si>
  <si>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</si>
  <si>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</si>
  <si>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</si>
  <si>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</si>
  <si>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</si>
  <si>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</si>
  <si>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</si>
  <si>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</si>
  <si>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</si>
  <si>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</si>
  <si>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</si>
  <si>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</si>
  <si>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</si>
  <si>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</si>
  <si>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</si>
  <si>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</si>
  <si>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</si>
  <si>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</si>
  <si>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</si>
  <si>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</si>
  <si>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</si>
  <si>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</si>
  <si>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</si>
  <si>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</si>
  <si>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</si>
  <si>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</si>
  <si>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</si>
  <si>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SU004127</t>
  </si>
  <si>
    <t>P005392</t>
  </si>
  <si>
    <t>СК4</t>
  </si>
  <si>
    <t>Сосиски «со вкусом Мясо на углях» Фикс.вес 0,33 целлофан ТМ «Ядрена копоть»</t>
  </si>
  <si>
    <t>Новинка</t>
  </si>
  <si>
    <t>ЕАЭС N RU Д-RU.РА09.В.79657/25, ЕАЭС N RU Д-RU.РА09.В.79724/25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</si>
  <si>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</si>
  <si>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</si>
  <si>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</si>
  <si>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</si>
  <si>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</si>
  <si>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</si>
  <si>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</si>
  <si>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</si>
  <si>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</si>
  <si>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</si>
  <si>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</si>
  <si>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</si>
  <si>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</si>
  <si>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</si>
  <si>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</si>
  <si>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</si>
  <si>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</si>
  <si>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</si>
  <si>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</si>
  <si>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</si>
  <si>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</si>
  <si>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</si>
  <si>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</si>
  <si>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</si>
  <si>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</si>
  <si>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</si>
  <si>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</si>
  <si>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</si>
  <si>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</si>
  <si>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</si>
  <si>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</si>
  <si>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</si>
  <si>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</si>
  <si>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</si>
  <si>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</si>
  <si>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</si>
  <si>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</si>
  <si>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</si>
  <si>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</si>
  <si>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</si>
  <si>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Вареные колбасы «Докторская» ГОСТ 23670-2019 Фикс.вес 0,11 нарезка ТМ «Вязанка»</t>
  </si>
  <si>
    <t>ЕАЭС N RU Д-RU.РА08.В.54458/25</t>
  </si>
  <si>
    <t>SU001485</t>
  </si>
  <si>
    <t>P003008</t>
  </si>
  <si>
    <t>12</t>
  </si>
  <si>
    <t>SU002986</t>
  </si>
  <si>
    <t>P003429</t>
  </si>
  <si>
    <t>SU003313</t>
  </si>
  <si>
    <t>P004551</t>
  </si>
  <si>
    <t>31.03.2026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</si>
  <si>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</si>
  <si>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</si>
  <si>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</si>
  <si>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</si>
  <si>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</si>
  <si>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</si>
  <si>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</si>
  <si>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</si>
  <si>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</si>
  <si>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</si>
  <si>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</si>
  <si>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</si>
  <si>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</si>
  <si>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</si>
  <si>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</si>
  <si>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</si>
  <si>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</si>
  <si>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</si>
  <si>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</si>
  <si>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</si>
  <si>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</si>
  <si>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</si>
  <si>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</si>
  <si>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</si>
  <si>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</si>
  <si>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</si>
  <si>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</si>
  <si>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</si>
  <si>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</si>
  <si>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</si>
  <si>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</si>
  <si>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</si>
  <si>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</si>
  <si>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</si>
  <si>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</si>
  <si>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</si>
  <si>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</si>
  <si>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</si>
  <si>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</si>
  <si>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</si>
  <si>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</si>
  <si>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</si>
  <si>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</si>
  <si>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</si>
  <si>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</si>
  <si>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</si>
  <si>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</si>
  <si>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</si>
  <si>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</si>
  <si>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</si>
  <si>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</si>
  <si>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</si>
  <si>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</si>
  <si>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</si>
  <si>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</si>
  <si>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</si>
  <si>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</si>
  <si>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</si>
  <si>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</si>
  <si>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</si>
  <si>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</si>
  <si>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</si>
  <si>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</si>
  <si>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</si>
  <si>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</si>
  <si>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</si>
  <si>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</si>
  <si>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</si>
  <si>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</si>
  <si>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</si>
  <si>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</si>
  <si>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</si>
  <si>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</si>
  <si>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</si>
  <si>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</si>
  <si>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</si>
  <si>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</si>
  <si>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</si>
  <si>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</si>
  <si>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</si>
  <si>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</si>
  <si>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</si>
  <si>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</si>
  <si>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</si>
  <si>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</si>
  <si>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</si>
  <si>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</si>
  <si>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</si>
  <si>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</si>
  <si>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</si>
  <si>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</si>
  <si>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</si>
  <si>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</si>
  <si>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</si>
  <si>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</si>
  <si>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</si>
  <si>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</si>
  <si>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</si>
  <si>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</si>
  <si>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</si>
  <si>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</si>
  <si>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</si>
  <si>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</si>
  <si>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</si>
  <si>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</si>
  <si>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</si>
  <si>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</si>
  <si>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</si>
  <si>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</si>
  <si>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</si>
  <si>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</si>
  <si>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</si>
  <si>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</si>
  <si>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</si>
  <si>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</si>
  <si>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</si>
  <si>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</si>
  <si>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</si>
  <si>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</si>
  <si>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</si>
  <si>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</si>
  <si>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</si>
  <si>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</si>
  <si>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</si>
  <si>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</si>
  <si>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</si>
  <si>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</si>
  <si>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</si>
  <si>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</si>
  <si>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</si>
  <si>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</si>
  <si>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Ветчины «Ореховая» Фикс.вес 0,12 нарезка ТМ «Вязанка»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</si>
  <si>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</si>
  <si>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</si>
  <si>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</si>
  <si>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</si>
  <si>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</si>
  <si>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</si>
  <si>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</si>
  <si>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</si>
  <si>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</si>
  <si>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</si>
  <si>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</si>
  <si>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</si>
  <si>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</si>
  <si>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</si>
  <si>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</si>
  <si>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Копченые колбасы «Балыковая » Фикс.вес 0,09 нарезка ТМ «Вязанка»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</si>
  <si>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</si>
  <si>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</si>
  <si>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</si>
  <si>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</si>
  <si>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</si>
  <si>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</si>
  <si>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</si>
  <si>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</si>
  <si>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</si>
  <si>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</si>
  <si>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Копченые колбасы «Сервелат Ореховый» Фикс.вес 0,09 нарезка ТМ «Вязанка»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</si>
  <si>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</si>
  <si>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</si>
  <si>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</si>
  <si>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</si>
  <si>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</si>
  <si>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</si>
  <si>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</si>
  <si>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</si>
  <si>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</si>
  <si>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</si>
  <si>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</si>
  <si>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</si>
  <si>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</si>
  <si>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</si>
  <si>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</si>
  <si>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</si>
  <si>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</si>
  <si>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</si>
  <si>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</si>
  <si>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</si>
  <si>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</si>
  <si>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</si>
  <si>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</si>
  <si>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</si>
  <si>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</si>
  <si>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</si>
  <si>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</si>
  <si>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</si>
  <si>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</si>
  <si>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</si>
  <si>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</si>
  <si>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</si>
  <si>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</si>
  <si>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</si>
  <si>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</si>
  <si>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</si>
  <si>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</si>
  <si>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</si>
  <si>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</si>
  <si>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</si>
  <si>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</si>
  <si>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</si>
  <si>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</si>
  <si>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</si>
  <si>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</si>
  <si>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</si>
  <si>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</si>
  <si>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</si>
  <si>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</si>
  <si>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</si>
  <si>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</si>
  <si>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</si>
  <si>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</si>
  <si>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</si>
  <si>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</si>
  <si>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</si>
  <si>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</si>
  <si>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</si>
  <si>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</si>
  <si>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</si>
  <si>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</si>
  <si>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</si>
  <si>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</si>
  <si>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</si>
  <si>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</si>
  <si>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</si>
  <si>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</si>
  <si>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</si>
  <si>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</si>
  <si>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</si>
  <si>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</si>
  <si>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</si>
  <si>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</si>
  <si>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</si>
  <si>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</si>
  <si>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</si>
  <si>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</si>
  <si>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</si>
  <si>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</si>
  <si>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</si>
  <si>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</si>
  <si>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</si>
  <si>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</si>
  <si>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</si>
  <si>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</si>
  <si>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</si>
  <si>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</si>
  <si>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</si>
  <si>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</si>
  <si>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</si>
  <si>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</si>
  <si>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</si>
  <si>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</si>
  <si>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</si>
  <si>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</si>
  <si>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</si>
  <si>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</si>
  <si>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</si>
  <si>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</si>
  <si>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</si>
  <si>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</si>
  <si>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</si>
  <si>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</si>
  <si>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</si>
  <si>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</si>
  <si>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</si>
  <si>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</si>
  <si>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</si>
  <si>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</si>
  <si>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</si>
  <si>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</si>
  <si>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</si>
  <si>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</si>
  <si>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</si>
  <si>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</si>
  <si>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</si>
  <si>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</si>
  <si>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</si>
  <si>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</si>
  <si>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</si>
  <si>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</si>
  <si>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</si>
  <si>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</si>
  <si>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</si>
  <si>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</si>
  <si>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</si>
  <si>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</si>
  <si>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</si>
  <si>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</si>
  <si>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</si>
  <si>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</si>
  <si>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</si>
  <si>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</si>
  <si>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</si>
  <si>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</si>
  <si>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</si>
  <si>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</si>
  <si>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</si>
  <si>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</si>
  <si>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</si>
  <si>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</si>
  <si>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</si>
  <si>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</si>
  <si>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</si>
  <si>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</si>
  <si>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</si>
  <si>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</si>
  <si>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</si>
  <si>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</si>
  <si>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</si>
  <si>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</si>
  <si>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</si>
  <si>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</si>
  <si>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</si>
  <si>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</si>
  <si>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</si>
  <si>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</si>
  <si>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</si>
  <si>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</si>
  <si>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</si>
  <si>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</si>
  <si>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</si>
  <si>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</si>
  <si>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</si>
  <si>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Вареные колбасы «Со шпиком по-стародворски» Весовой п/а ТМ «Стародворье»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</si>
  <si>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</si>
  <si>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</si>
  <si>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</si>
  <si>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</si>
  <si>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</si>
  <si>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</si>
  <si>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</si>
  <si>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</si>
  <si>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</si>
  <si>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</si>
  <si>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</si>
  <si>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</si>
  <si>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</si>
  <si>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</si>
  <si>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</si>
  <si>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</si>
  <si>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</si>
  <si>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</si>
  <si>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</si>
  <si>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</si>
  <si>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</si>
  <si>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</si>
  <si>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</si>
  <si>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</si>
  <si>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</si>
  <si>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</si>
  <si>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</si>
  <si>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</si>
  <si>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</si>
  <si>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</si>
  <si>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</si>
  <si>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</si>
  <si>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</si>
  <si>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</si>
  <si>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</si>
  <si>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</si>
  <si>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</si>
  <si>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</si>
  <si>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</si>
  <si>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</si>
  <si>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</si>
  <si>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</si>
  <si>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</si>
  <si>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</si>
  <si>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</si>
  <si>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</si>
  <si>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</si>
  <si>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</si>
  <si>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</si>
  <si>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</si>
  <si>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</si>
  <si>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</si>
  <si>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</si>
  <si>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</si>
  <si>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SU003394</t>
  </si>
  <si>
    <t>P004213</t>
  </si>
  <si>
    <t>ЕАЭС N RU Д-RU.РА01.В.51365/26</t>
  </si>
  <si>
    <t>SU004007</t>
  </si>
  <si>
    <t>P005136</t>
  </si>
  <si>
    <t>Вареные колбасы «Со шпиком Стародворская» Весовой п/а ТМ «Стародворье»</t>
  </si>
  <si>
    <t>ЕАЭС N RU Д-RU.РА09.В.02072/25</t>
  </si>
  <si>
    <t>SU003392</t>
  </si>
  <si>
    <t>P004210</t>
  </si>
  <si>
    <t>ЕАЭС N RU Д-RU.РА01.В.51811/26, ЕАЭС N RU Д-RU.РА04.В.94346/24</t>
  </si>
  <si>
    <t>SU004010</t>
  </si>
  <si>
    <t>P005139</t>
  </si>
  <si>
    <t>Вареные колбасы «Молочная Стародворская» Фикс.вес 0,4 п/а ТМ «Стародворье»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</si>
  <si>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</si>
  <si>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</si>
  <si>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</si>
  <si>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</si>
  <si>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</si>
  <si>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</si>
  <si>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</si>
  <si>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</si>
  <si>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</si>
  <si>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</si>
  <si>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</si>
  <si>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</si>
  <si>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</si>
  <si>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</si>
  <si>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</si>
  <si>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</si>
  <si>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</si>
  <si>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</si>
  <si>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</si>
  <si>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</si>
  <si>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</si>
  <si>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</si>
  <si>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</si>
  <si>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</si>
  <si>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</si>
  <si>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</si>
  <si>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</si>
  <si>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</si>
  <si>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</si>
  <si>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</si>
  <si>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</si>
  <si>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</si>
  <si>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</si>
  <si>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</si>
  <si>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</si>
  <si>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</si>
  <si>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</si>
  <si>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</si>
  <si>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</si>
  <si>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</si>
  <si>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</si>
  <si>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</si>
  <si>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</si>
  <si>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</si>
  <si>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</si>
  <si>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</si>
  <si>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</si>
  <si>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</si>
  <si>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</si>
  <si>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</si>
  <si>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</si>
  <si>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</si>
  <si>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</si>
  <si>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</si>
  <si>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</si>
  <si>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</si>
  <si>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</si>
  <si>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</si>
  <si>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</si>
  <si>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</si>
  <si>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</si>
  <si>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</si>
  <si>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</si>
  <si>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</si>
  <si>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</si>
  <si>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</si>
  <si>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</si>
  <si>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</si>
  <si>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</si>
  <si>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</si>
  <si>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</si>
  <si>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</si>
  <si>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</si>
  <si>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</si>
  <si>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</si>
  <si>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</si>
  <si>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</si>
  <si>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</si>
  <si>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</si>
  <si>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</si>
  <si>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</si>
  <si>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</si>
  <si>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</si>
  <si>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</si>
  <si>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</si>
  <si>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</si>
  <si>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</si>
  <si>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</si>
  <si>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</si>
  <si>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</si>
  <si>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</si>
  <si>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</si>
  <si>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</si>
  <si>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</si>
  <si>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</si>
  <si>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</si>
  <si>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</si>
  <si>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</si>
  <si>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</si>
  <si>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</si>
  <si>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</si>
  <si>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</si>
  <si>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</si>
  <si>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</si>
  <si>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</si>
  <si>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</si>
  <si>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</si>
  <si>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</si>
  <si>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</si>
  <si>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</si>
  <si>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</si>
  <si>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</si>
  <si>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</si>
  <si>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</si>
  <si>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</si>
  <si>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</si>
  <si>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</si>
  <si>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</si>
  <si>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</si>
  <si>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</si>
  <si>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</si>
  <si>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</si>
  <si>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</si>
  <si>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</si>
  <si>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</si>
  <si>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</si>
  <si>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</si>
  <si>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</si>
  <si>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</si>
  <si>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</si>
  <si>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</si>
  <si>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</si>
  <si>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</si>
  <si>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</si>
  <si>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</si>
  <si>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</si>
  <si>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</si>
  <si>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</si>
  <si>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</si>
  <si>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</si>
  <si>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</si>
  <si>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</si>
  <si>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</si>
  <si>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</si>
  <si>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</si>
  <si>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</si>
  <si>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</si>
  <si>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</si>
  <si>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</si>
  <si>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</si>
  <si>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</si>
  <si>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</si>
  <si>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</si>
  <si>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</si>
  <si>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</si>
  <si>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</si>
  <si>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</si>
  <si>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</si>
  <si>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</si>
  <si>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</si>
  <si>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</si>
  <si>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</si>
  <si>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</si>
  <si>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</si>
  <si>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Д-RU.РА02.В.38950/26, ЕАЭС N RU Д-RU.РА02.В.65356/23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</si>
  <si>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</si>
  <si>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</si>
  <si>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</si>
  <si>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</si>
  <si>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</si>
  <si>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</si>
  <si>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</si>
  <si>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</si>
  <si>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</si>
  <si>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</si>
  <si>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</si>
  <si>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</si>
  <si>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</si>
  <si>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</si>
  <si>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</si>
  <si>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</si>
  <si>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</si>
  <si>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</si>
  <si>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</si>
  <si>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</si>
  <si>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</si>
  <si>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</si>
  <si>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</si>
  <si>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</si>
  <si>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</si>
  <si>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</si>
  <si>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</si>
  <si>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</si>
  <si>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</si>
  <si>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</si>
  <si>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</si>
  <si>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</si>
  <si>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</si>
  <si>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</si>
  <si>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</si>
  <si>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</si>
  <si>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</si>
  <si>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</si>
  <si>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</si>
  <si>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</si>
  <si>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</si>
  <si>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</si>
  <si>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</si>
  <si>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</si>
  <si>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</si>
  <si>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</si>
  <si>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</si>
  <si>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</si>
  <si>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</si>
  <si>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</si>
  <si>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</si>
  <si>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</si>
  <si>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</si>
  <si>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</si>
  <si>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</si>
  <si>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</si>
  <si>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</si>
  <si>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</si>
  <si>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</si>
  <si>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</si>
  <si>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</si>
  <si>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</si>
  <si>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</si>
  <si>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</si>
  <si>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</si>
  <si>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</si>
  <si>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</si>
  <si>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</si>
  <si>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</si>
  <si>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</si>
  <si>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</si>
  <si>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</si>
  <si>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</si>
  <si>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</si>
  <si>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</si>
  <si>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</si>
  <si>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</si>
  <si>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</si>
  <si>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</si>
  <si>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</si>
  <si>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</si>
  <si>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</si>
  <si>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</si>
  <si>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</si>
  <si>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</si>
  <si>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</si>
  <si>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</si>
  <si>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</si>
  <si>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</si>
  <si>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</si>
  <si>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</si>
  <si>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</si>
  <si>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</si>
  <si>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</si>
  <si>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</si>
  <si>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</si>
  <si>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</si>
  <si>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ТОРГОВАЯ МАРКА</t>
  </si>
  <si>
    <t>СЕРИЯ</t>
  </si>
  <si>
    <t>ИТОГО, кг</t>
  </si>
  <si>
    <t>MSDAX_КИ</t>
  </si>
  <si>
    <t>Доставка</t>
  </si>
  <si>
    <t>ЛП, ООО, Крым Респ, Симферополь г, Данилова ул, 43В, лит В, офис 4,</t>
  </si>
  <si>
    <t>590704_1</t>
  </si>
  <si>
    <t>1</t>
  </si>
  <si>
    <t>ЛП, ООО, (сеть) Крым Респ, Симферополь г, Данилова ул, д. 43В, лит В, офис 4,</t>
  </si>
  <si>
    <t>590704_3</t>
  </si>
  <si>
    <t>2</t>
  </si>
  <si>
    <t>ЛП, ООО, Крым Респ, Симферополь г, Данилова ул, д. 43В, лит В, офис 4</t>
  </si>
  <si>
    <t>590704_5</t>
  </si>
  <si>
    <t>3</t>
  </si>
  <si>
    <t>590704_7</t>
  </si>
  <si>
    <t>4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</si>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</sst>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2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family val="2"/>
      <charset val="204"/>
      <scheme val="minor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sz val="11"/>
      <color rgb="FF651C32"/>
      <name val="Arial Narrow"/>
      <family val="2"/>
      <charset val="204"/>
    </font>
    <font>
      <b/>
      <sz val="8"/>
      <color rgb="FF651C32"/>
      <name val="Calibri"/>
      <family val="2"/>
      <charset val="204"/>
      <scheme val="minor"/>
    </font>
    <font>
      <sz val="8"/>
      <color rgb="FF651C32"/>
      <name val="Calibri"/>
      <family val="2"/>
      <charset val="204"/>
      <scheme val="minor"/>
    </font>
    <font>
      <b/>
      <sz val="10"/>
      <color rgb="FF651C32"/>
      <name val="Arial Narrow"/>
      <family val="2"/>
      <charset val="204"/>
    </font>
    <font>
      <b/>
      <sz val="9"/>
      <color rgb="FF651C32"/>
      <name val="Arial Narrow"/>
      <family val="2"/>
      <charset val="204"/>
    </font>
    <font>
      <b/>
      <sz val="9"/>
      <color rgb="FFFF0000"/>
      <name val="Arial Narrow"/>
      <family val="2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family val="2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family val="2"/>
      <charset val="204"/>
      <scheme val="minor"/>
    </font>
    <font>
      <b/>
      <u/>
      <sz val="16"/>
      <color rgb="FFFF0000"/>
      <name val="Calibri"/>
      <family val="2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family val="2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b/>
      <sz val="14"/>
      <color rgb="FF651C32"/>
      <name val="Calibri"/>
      <family val="2"/>
      <charset val="204"/>
      <scheme val="minor"/>
    </font>
    <font>
      <sz val="9"/>
      <color rgb="FF651C32"/>
      <name val="Arial Narrow"/>
      <family val="2"/>
      <charset val="204"/>
    </font>
    <font>
      <b/>
      <sz val="11"/>
      <color rgb="FF651C32"/>
      <name val="Arial Narrow"/>
      <family val="2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family val="2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vertAlign val="superscript"/>
      <sz val="10"/>
      <color rgb="FF651C32"/>
      <name val="Arial Cyr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 style="thin">
        <color rgb="FF651C32"/>
      </left>
      <right/>
      <top style="thin">
        <color rgb="FF651C32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2">
    <xf numFmtId="0" fontId="0" fillId="0" borderId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9" borderId="0" applyNumberFormat="0" applyBorder="0" applyAlignment="0" applyProtection="0"/>
    <xf numFmtId="0" fontId="42" fillId="12" borderId="0" applyNumberFormat="0" applyBorder="0" applyAlignment="0" applyProtection="0"/>
    <xf numFmtId="0" fontId="42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23" borderId="0" applyNumberFormat="0" applyBorder="0" applyAlignment="0" applyProtection="0"/>
    <xf numFmtId="0" fontId="44" fillId="11" borderId="40" applyNumberFormat="0" applyAlignment="0" applyProtection="0"/>
    <xf numFmtId="0" fontId="45" fillId="24" borderId="41" applyNumberFormat="0" applyAlignment="0" applyProtection="0"/>
    <xf numFmtId="0" fontId="46" fillId="24" borderId="40" applyNumberFormat="0" applyAlignment="0" applyProtection="0"/>
    <xf numFmtId="0" fontId="47" fillId="0" borderId="42" applyNumberFormat="0" applyFill="0" applyAlignment="0" applyProtection="0"/>
    <xf numFmtId="0" fontId="48" fillId="0" borderId="43" applyNumberFormat="0" applyFill="0" applyAlignment="0" applyProtection="0"/>
    <xf numFmtId="0" fontId="49" fillId="0" borderId="44" applyNumberFormat="0" applyFill="0" applyAlignment="0" applyProtection="0"/>
    <xf numFmtId="0" fontId="49" fillId="0" borderId="0" applyNumberFormat="0" applyFill="0" applyBorder="0" applyAlignment="0" applyProtection="0"/>
    <xf numFmtId="0" fontId="50" fillId="0" borderId="45" applyNumberFormat="0" applyFill="0" applyAlignment="0" applyProtection="0"/>
    <xf numFmtId="0" fontId="51" fillId="25" borderId="46" applyNumberFormat="0" applyAlignment="0" applyProtection="0"/>
    <xf numFmtId="0" fontId="52" fillId="0" borderId="0" applyNumberFormat="0" applyFill="0" applyBorder="0" applyAlignment="0" applyProtection="0"/>
    <xf numFmtId="0" fontId="53" fillId="26" borderId="0" applyNumberFormat="0" applyBorder="0" applyAlignment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4" fillId="0" borderId="0"/>
    <xf numFmtId="0" fontId="54" fillId="0" borderId="0"/>
    <xf numFmtId="0" fontId="54" fillId="0" borderId="0"/>
    <xf numFmtId="0" fontId="55" fillId="7" borderId="0" applyNumberFormat="0" applyBorder="0" applyAlignment="0" applyProtection="0"/>
    <xf numFmtId="0" fontId="56" fillId="0" borderId="0" applyNumberFormat="0" applyFill="0" applyBorder="0" applyAlignment="0" applyProtection="0"/>
    <xf numFmtId="0" fontId="34" fillId="27" borderId="47" applyNumberFormat="0" applyFont="0" applyAlignment="0" applyProtection="0"/>
    <xf numFmtId="0" fontId="34" fillId="27" borderId="47" applyNumberFormat="0" applyFont="0" applyAlignment="0" applyProtection="0"/>
    <xf numFmtId="0" fontId="57" fillId="0" borderId="48" applyNumberFormat="0" applyFill="0" applyAlignment="0" applyProtection="0"/>
    <xf numFmtId="0" fontId="58" fillId="0" borderId="0" applyNumberFormat="0" applyFill="0" applyBorder="0" applyAlignment="0" applyProtection="0"/>
    <xf numFmtId="0" fontId="59" fillId="8" borderId="0" applyNumberFormat="0" applyBorder="0" applyAlignment="0" applyProtection="0"/>
  </cellStyleXfs>
  <cellXfs count="172">
    <xf numFmtId="0" fontId="0" fillId="0" borderId="0" xfId="0"/>
    <xf numFmtId="0" fontId="0" fillId="0" borderId="0" xfId="0" applyProtection="1">
      <protection locked="0"/>
    </xf>
    <xf numFmtId="0" fontId="0" fillId="0" borderId="1" xfId="0" applyBorder="1"/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12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166" fontId="4" fillId="2" borderId="0" xfId="39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169" fontId="8" fillId="0" borderId="0" xfId="0" applyNumberFormat="1" applyFont="1" applyAlignment="1" applyProtection="1">
      <alignment horizontal="center" vertical="center"/>
      <protection locked="0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168" fontId="30" fillId="0" borderId="0" xfId="39" applyNumberFormat="1" applyFont="1" applyAlignment="1" applyProtection="1">
      <alignment horizontal="center" vertical="center"/>
      <protection hidden="1"/>
    </xf>
    <xf numFmtId="0" fontId="31" fillId="0" borderId="0" xfId="0" applyFont="1" applyAlignment="1">
      <alignment horizontal="right"/>
    </xf>
    <xf numFmtId="169" fontId="0" fillId="0" borderId="0" xfId="0" applyNumberFormat="1" applyAlignment="1">
      <alignment horizont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3" fillId="0" borderId="2" xfId="0" applyFont="1" applyBorder="1" applyAlignment="1" applyProtection="1">
      <alignment horizont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0" fontId="1" fillId="2" borderId="2" xfId="0" applyFont="1" applyFill="1" applyBorder="1" applyAlignment="1" applyProtection="1">
      <alignment horizontal="center"/>
      <protection hidden="1"/>
    </xf>
    <xf numFmtId="170" fontId="24" fillId="2" borderId="2" xfId="0" applyNumberFormat="1" applyFont="1" applyFill="1" applyBorder="1" applyAlignment="1">
      <alignment horizontal="right"/>
    </xf>
    <xf numFmtId="166" fontId="4" fillId="2" borderId="0" xfId="39" applyNumberFormat="1" applyFont="1" applyFill="1" applyAlignment="1">
      <alignment horizontal="center" vertical="center" wrapText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170" fontId="34" fillId="0" borderId="2" xfId="0" applyNumberFormat="1" applyFont="1" applyBorder="1" applyAlignment="1">
      <alignment horizontal="right"/>
    </xf>
    <xf numFmtId="2" fontId="35" fillId="0" borderId="2" xfId="0" applyNumberFormat="1" applyFont="1" applyBorder="1" applyAlignment="1">
      <alignment horizontal="center"/>
    </xf>
    <xf numFmtId="2" fontId="35" fillId="0" borderId="7" xfId="0" applyNumberFormat="1" applyFont="1" applyBorder="1" applyAlignment="1">
      <alignment horizontal="center" wrapText="1"/>
    </xf>
    <xf numFmtId="0" fontId="36" fillId="0" borderId="7" xfId="0" applyFont="1" applyBorder="1" applyProtection="1">
      <protection hidden="1"/>
    </xf>
    <xf numFmtId="0" fontId="27" fillId="0" borderId="7" xfId="0" applyFont="1" applyBorder="1" applyAlignment="1" applyProtection="1">
      <alignment wrapText="1"/>
      <protection hidden="1"/>
    </xf>
    <xf numFmtId="170" fontId="24" fillId="2" borderId="0" xfId="0" applyNumberFormat="1" applyFont="1" applyFill="1" applyAlignment="1">
      <alignment horizontal="right"/>
    </xf>
    <xf numFmtId="0" fontId="37" fillId="0" borderId="33" xfId="0" applyFont="1" applyBorder="1" applyAlignment="1" applyProtection="1">
      <alignment horizontal="center" vertical="center"/>
      <protection hidden="1"/>
    </xf>
    <xf numFmtId="168" fontId="37" fillId="0" borderId="0" xfId="0" applyNumberFormat="1" applyFont="1" applyProtection="1">
      <protection hidden="1"/>
    </xf>
    <xf numFmtId="0" fontId="37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38" fillId="0" borderId="0" xfId="0" applyFont="1"/>
    <xf numFmtId="164" fontId="24" fillId="2" borderId="2" xfId="0" applyNumberFormat="1" applyFont="1" applyFill="1" applyBorder="1" applyAlignment="1">
      <alignment horizontal="right"/>
    </xf>
    <xf numFmtId="0" fontId="39" fillId="2" borderId="2" xfId="0" applyFont="1" applyFill="1" applyBorder="1" applyAlignment="1" applyProtection="1">
      <alignment horizontal="center"/>
      <protection hidden="1"/>
    </xf>
    <xf numFmtId="0" fontId="11" fillId="2" borderId="35" xfId="0" applyFont="1" applyFill="1" applyBorder="1" applyAlignment="1" applyProtection="1">
      <alignment horizontal="center" vertical="center" wrapText="1"/>
      <protection hidden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168" fontId="41" fillId="0" borderId="39" xfId="39" applyNumberFormat="1" applyFont="1" applyBorder="1" applyAlignment="1" applyProtection="1">
      <alignment horizontal="center" vertical="center"/>
      <protection hidden="1"/>
    </xf>
    <xf numFmtId="0" fontId="4" fillId="2" borderId="0" xfId="39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right" vertical="center" wrapText="1"/>
      <protection hidden="1"/>
    </xf>
    <xf numFmtId="0" fontId="24" fillId="0" borderId="17" xfId="0" applyFont="1" applyBorder="1" applyAlignment="1" applyProtection="1">
      <alignment horizontal="right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49" fontId="8" fillId="3" borderId="18" xfId="0" applyNumberFormat="1" applyFont="1" applyFill="1" applyBorder="1" applyAlignment="1" applyProtection="1">
      <alignment horizontal="center" vertical="center"/>
      <protection locked="0"/>
    </xf>
    <xf numFmtId="49" fontId="8" fillId="3" borderId="12" xfId="0" applyNumberFormat="1" applyFont="1" applyFill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17" xfId="0" applyFont="1" applyBorder="1" applyAlignment="1" applyProtection="1">
      <alignment horizontal="center" vertical="center"/>
      <protection hidden="1"/>
    </xf>
    <xf numFmtId="168" fontId="29" fillId="0" borderId="5" xfId="0" applyNumberFormat="1" applyFont="1" applyBorder="1" applyAlignment="1">
      <alignment horizontal="center" vertical="center" wrapText="1"/>
    </xf>
    <xf numFmtId="168" fontId="29" fillId="0" borderId="8" xfId="0" applyNumberFormat="1" applyFont="1" applyBorder="1" applyAlignment="1">
      <alignment horizontal="center" vertical="center" wrapText="1"/>
    </xf>
    <xf numFmtId="168" fontId="29" fillId="0" borderId="3" xfId="0" applyNumberFormat="1" applyFont="1" applyBorder="1" applyAlignment="1">
      <alignment horizontal="center" vertical="center" wrapText="1"/>
    </xf>
    <xf numFmtId="168" fontId="29" fillId="0" borderId="17" xfId="0" applyNumberFormat="1" applyFont="1" applyBorder="1" applyAlignment="1">
      <alignment horizontal="center" vertical="center" wrapText="1"/>
    </xf>
    <xf numFmtId="168" fontId="29" fillId="0" borderId="10" xfId="0" applyNumberFormat="1" applyFont="1" applyBorder="1" applyAlignment="1">
      <alignment horizontal="center" vertical="center" wrapText="1"/>
    </xf>
    <xf numFmtId="168" fontId="29" fillId="0" borderId="11" xfId="0" applyNumberFormat="1" applyFont="1" applyBorder="1" applyAlignment="1">
      <alignment horizontal="center" vertical="center" wrapText="1"/>
    </xf>
    <xf numFmtId="0" fontId="11" fillId="4" borderId="0" xfId="0" applyFont="1" applyFill="1" applyAlignment="1" applyProtection="1">
      <alignment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169" fontId="8" fillId="3" borderId="9" xfId="0" applyNumberFormat="1" applyFont="1" applyFill="1" applyBorder="1" applyAlignment="1" applyProtection="1">
      <alignment horizontal="center" vertical="center"/>
      <protection locked="0"/>
    </xf>
    <xf numFmtId="49" fontId="8" fillId="0" borderId="5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3" borderId="7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49" fontId="8" fillId="0" borderId="2" xfId="0" applyNumberFormat="1" applyFont="1" applyBorder="1" applyAlignment="1">
      <alignment horizontal="center" vertical="center"/>
    </xf>
    <xf numFmtId="0" fontId="12" fillId="3" borderId="5" xfId="0" applyFont="1" applyFill="1" applyBorder="1" applyAlignment="1" applyProtection="1">
      <alignment horizontal="center" vertical="top" wrapText="1"/>
      <protection locked="0"/>
    </xf>
    <xf numFmtId="0" fontId="12" fillId="3" borderId="6" xfId="0" applyFont="1" applyFill="1" applyBorder="1" applyAlignment="1" applyProtection="1">
      <alignment horizontal="center" vertical="top" wrapText="1"/>
      <protection locked="0"/>
    </xf>
    <xf numFmtId="0" fontId="12" fillId="3" borderId="8" xfId="0" applyFont="1" applyFill="1" applyBorder="1" applyAlignment="1" applyProtection="1">
      <alignment horizontal="center" vertical="top" wrapText="1"/>
      <protection locked="0"/>
    </xf>
    <xf numFmtId="2" fontId="11" fillId="2" borderId="7" xfId="0" applyNumberFormat="1" applyFont="1" applyFill="1" applyBorder="1" applyAlignment="1" applyProtection="1">
      <alignment vertical="center" wrapText="1"/>
      <protection hidden="1"/>
    </xf>
    <xf numFmtId="2" fontId="12" fillId="3" borderId="7" xfId="0" applyNumberFormat="1" applyFont="1" applyFill="1" applyBorder="1" applyAlignment="1" applyProtection="1">
      <alignment horizontal="left" vertical="center" wrapText="1"/>
      <protection locked="0"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1" fillId="0" borderId="0" xfId="0" applyFont="1" applyProtection="1">
      <protection hidden="1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0" fontId="32" fillId="2" borderId="18" xfId="0" applyFont="1" applyFill="1" applyBorder="1" applyAlignment="1" applyProtection="1">
      <alignment horizontal="center" vertical="center" wrapText="1"/>
      <protection hidden="1"/>
    </xf>
    <xf numFmtId="0" fontId="32" fillId="2" borderId="12" xfId="0" applyFont="1" applyFill="1" applyBorder="1" applyAlignment="1" applyProtection="1">
      <alignment horizontal="center" vertical="center" wrapText="1"/>
      <protection hidden="1"/>
    </xf>
    <xf numFmtId="2" fontId="19" fillId="0" borderId="6" xfId="0" applyNumberFormat="1" applyFont="1" applyBorder="1" applyAlignment="1">
      <alignment horizontal="center" vertical="center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2" xfId="0" applyNumberFormat="1" applyFont="1" applyBorder="1" applyAlignment="1">
      <alignment horizontal="center" vertical="center"/>
    </xf>
    <xf numFmtId="0" fontId="26" fillId="0" borderId="14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7" fillId="2" borderId="4" xfId="0" applyFont="1" applyFill="1" applyBorder="1" applyAlignment="1" applyProtection="1">
      <alignment horizontal="center" vertical="center" wrapText="1"/>
      <protection hidden="1"/>
    </xf>
    <xf numFmtId="0" fontId="17" fillId="2" borderId="9" xfId="0" applyFont="1" applyFill="1" applyBorder="1" applyAlignment="1" applyProtection="1">
      <alignment horizontal="center" vertical="center" wrapText="1"/>
      <protection hidden="1"/>
    </xf>
    <xf numFmtId="0" fontId="25" fillId="0" borderId="0" xfId="0" applyFont="1" applyAlignment="1">
      <alignment horizontal="center" wrapText="1"/>
    </xf>
    <xf numFmtId="0" fontId="25" fillId="0" borderId="13" xfId="0" applyFont="1" applyBorder="1" applyAlignment="1">
      <alignment horizontal="center" wrapText="1"/>
    </xf>
    <xf numFmtId="0" fontId="17" fillId="2" borderId="5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10" xfId="0" applyFont="1" applyFill="1" applyBorder="1" applyAlignment="1" applyProtection="1">
      <alignment horizontal="center" vertical="center" wrapText="1"/>
      <protection hidden="1"/>
    </xf>
    <xf numFmtId="0" fontId="17" fillId="2" borderId="11" xfId="0" applyFont="1" applyFill="1" applyBorder="1" applyAlignment="1" applyProtection="1">
      <alignment horizontal="center" vertical="center" wrapText="1"/>
      <protection hidden="1"/>
    </xf>
    <xf numFmtId="0" fontId="24" fillId="2" borderId="16" xfId="0" applyFont="1" applyFill="1" applyBorder="1" applyAlignment="1" applyProtection="1">
      <alignment horizontal="right"/>
      <protection hidden="1"/>
    </xf>
    <xf numFmtId="0" fontId="24" fillId="2" borderId="21" xfId="0" applyFont="1" applyFill="1" applyBorder="1" applyAlignment="1" applyProtection="1">
      <alignment horizontal="right"/>
      <protection hidden="1"/>
    </xf>
    <xf numFmtId="0" fontId="24" fillId="2" borderId="22" xfId="0" applyFont="1" applyFill="1" applyBorder="1" applyAlignment="1" applyProtection="1">
      <alignment horizontal="right"/>
      <protection hidden="1"/>
    </xf>
    <xf numFmtId="0" fontId="27" fillId="0" borderId="14" xfId="0" applyFont="1" applyBorder="1" applyAlignment="1">
      <alignment horizontal="left" vertical="center" wrapText="1"/>
    </xf>
    <xf numFmtId="0" fontId="0" fillId="2" borderId="0" xfId="0" applyFill="1" applyAlignment="1" applyProtection="1">
      <alignment horizontal="center"/>
      <protection hidden="1"/>
    </xf>
    <xf numFmtId="0" fontId="0" fillId="2" borderId="15" xfId="0" applyFill="1" applyBorder="1" applyAlignment="1" applyProtection="1">
      <alignment horizontal="center"/>
      <protection hidden="1"/>
    </xf>
    <xf numFmtId="0" fontId="0" fillId="2" borderId="17" xfId="0" applyFill="1" applyBorder="1" applyAlignment="1" applyProtection="1">
      <alignment horizontal="center"/>
      <protection hidden="1"/>
    </xf>
    <xf numFmtId="0" fontId="40" fillId="0" borderId="36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1" fillId="2" borderId="37" xfId="0" applyFont="1" applyFill="1" applyBorder="1" applyAlignment="1" applyProtection="1">
      <alignment horizontal="center" vertical="center" wrapText="1"/>
      <protection hidden="1"/>
    </xf>
    <xf numFmtId="0" fontId="11" fillId="2" borderId="38" xfId="0" applyFont="1" applyFill="1" applyBorder="1" applyAlignment="1" applyProtection="1">
      <alignment horizontal="center" vertical="center" wrapText="1"/>
      <protection hidden="1"/>
    </xf>
    <xf numFmtId="0" fontId="18" fillId="2" borderId="4" xfId="0" applyFont="1" applyFill="1" applyBorder="1" applyAlignment="1" applyProtection="1">
      <alignment horizontal="center" vertical="center" wrapText="1"/>
      <protection hidden="1"/>
    </xf>
    <xf numFmtId="0" fontId="18" fillId="2" borderId="9" xfId="0" applyFont="1" applyFill="1" applyBorder="1" applyAlignment="1" applyProtection="1">
      <alignment horizontal="center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17" fillId="2" borderId="13" xfId="0" applyFont="1" applyFill="1" applyBorder="1" applyAlignment="1" applyProtection="1">
      <alignment horizontal="center" vertical="center" wrapText="1"/>
      <protection hidden="1"/>
    </xf>
    <xf numFmtId="0" fontId="24" fillId="2" borderId="18" xfId="0" applyFont="1" applyFill="1" applyBorder="1" applyAlignment="1" applyProtection="1">
      <alignment horizontal="left"/>
      <protection hidden="1"/>
    </xf>
    <xf numFmtId="0" fontId="24" fillId="2" borderId="34" xfId="0" applyFont="1" applyFill="1" applyBorder="1" applyAlignment="1" applyProtection="1">
      <alignment horizontal="left"/>
      <protection hidden="1"/>
    </xf>
    <xf numFmtId="0" fontId="24" fillId="2" borderId="12" xfId="0" applyFont="1" applyFill="1" applyBorder="1" applyAlignment="1" applyProtection="1">
      <alignment horizontal="left"/>
      <protection hidden="1"/>
    </xf>
    <xf numFmtId="0" fontId="17" fillId="2" borderId="4" xfId="39" applyFont="1" applyFill="1" applyBorder="1" applyAlignment="1" applyProtection="1">
      <alignment horizontal="center" vertical="center" wrapText="1"/>
      <protection locked="0" hidden="1"/>
    </xf>
    <xf numFmtId="0" fontId="17" fillId="2" borderId="9" xfId="39" applyFont="1" applyFill="1" applyBorder="1" applyAlignment="1" applyProtection="1">
      <alignment horizontal="center" vertical="center" wrapText="1"/>
      <protection locked="0" hidden="1"/>
    </xf>
    <xf numFmtId="0" fontId="17" fillId="2" borderId="23" xfId="0" applyFont="1" applyFill="1" applyBorder="1" applyAlignment="1" applyProtection="1">
      <alignment horizontal="center" vertical="center" wrapText="1"/>
      <protection hidden="1"/>
    </xf>
    <xf numFmtId="0" fontId="17" fillId="2" borderId="28" xfId="0" applyFont="1" applyFill="1" applyBorder="1" applyAlignment="1" applyProtection="1">
      <alignment horizontal="center" vertical="center" wrapText="1"/>
      <protection hidden="1"/>
    </xf>
    <xf numFmtId="0" fontId="17" fillId="2" borderId="24" xfId="0" applyFont="1" applyFill="1" applyBorder="1" applyAlignment="1" applyProtection="1">
      <alignment horizontal="center" vertical="center" wrapText="1"/>
      <protection hidden="1"/>
    </xf>
    <xf numFmtId="0" fontId="17" fillId="2" borderId="29" xfId="0" applyFont="1" applyFill="1" applyBorder="1" applyAlignment="1" applyProtection="1">
      <alignment horizontal="center" vertical="center" wrapText="1"/>
      <protection hidden="1"/>
    </xf>
    <xf numFmtId="0" fontId="17" fillId="2" borderId="25" xfId="0" applyFont="1" applyFill="1" applyBorder="1" applyAlignment="1" applyProtection="1">
      <alignment horizontal="center" vertical="center" wrapText="1"/>
      <protection hidden="1"/>
    </xf>
    <xf numFmtId="0" fontId="17" fillId="2" borderId="26" xfId="0" applyFont="1" applyFill="1" applyBorder="1" applyAlignment="1" applyProtection="1">
      <alignment horizontal="center" vertical="center" wrapText="1"/>
      <protection hidden="1"/>
    </xf>
    <xf numFmtId="0" fontId="17" fillId="2" borderId="27" xfId="0" applyFont="1" applyFill="1" applyBorder="1" applyAlignment="1" applyProtection="1">
      <alignment horizontal="center" vertical="center" wrapText="1"/>
      <protection hidden="1"/>
    </xf>
    <xf numFmtId="0" fontId="17" fillId="2" borderId="30" xfId="0" applyFont="1" applyFill="1" applyBorder="1" applyAlignment="1" applyProtection="1">
      <alignment horizontal="center" vertical="center" wrapText="1"/>
      <protection hidden="1"/>
    </xf>
    <xf numFmtId="0" fontId="17" fillId="2" borderId="31" xfId="0" applyFont="1" applyFill="1" applyBorder="1" applyAlignment="1" applyProtection="1">
      <alignment horizontal="center" vertical="center" wrapText="1"/>
      <protection hidden="1"/>
    </xf>
    <xf numFmtId="0" fontId="17" fillId="2" borderId="32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2">
    <dxf>
      <font>
        <color theme="0"/>
      </font>
      <fill>
        <patternFill patternType="none"/>
      </fill>
      <border>
        <left/>
        <right/>
        <top/>
        <bottom/>
      </border>
    </dxf>
    <dxf>
      <font>
        <color theme="0"/>
      </font>
      <fill>
        <patternFill patternType="none"/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16"/>
  <sheetViews>
    <sheetView showGridLines="0" tabSelected="1" topLeftCell="A461" workbookViewId="0">
      <selection activeCell="AA512" sqref="AA512"/>
    </sheetView>
  </sheetViews>
  <sheetFormatPr defaultColWidth="9.140625" defaultRowHeight="12.75" x14ac:dyDescent="0.2"/>
  <cols>
    <col min="1" max="1" width="9.140625" style="4"/>
    <col min="2" max="2" width="10.85546875" style="5" customWidth="1"/>
    <col min="3" max="3" width="12.5703125" style="5" customWidth="1"/>
    <col min="4" max="4" width="6.42578125" style="5" customWidth="1"/>
    <col min="5" max="5" width="6.85546875" style="5" customWidth="1"/>
    <col min="6" max="6" width="8.42578125" style="5" customWidth="1"/>
    <col min="7" max="7" width="9.42578125" style="5" customWidth="1"/>
    <col min="8" max="8" width="11.85546875" style="5" customWidth="1"/>
    <col min="9" max="9" width="9.42578125" style="5" customWidth="1"/>
    <col min="10" max="10" width="9.140625" style="6" customWidth="1"/>
    <col min="11" max="12" width="13.85546875" style="6" customWidth="1"/>
    <col min="13" max="13" width="9.42578125" style="6" customWidth="1"/>
    <col min="14" max="14" width="15.85546875" style="6" hidden="1" customWidth="1"/>
    <col min="15" max="15" width="10.42578125" style="5" customWidth="1"/>
    <col min="16" max="16" width="7.42578125" style="7" customWidth="1"/>
    <col min="17" max="17" width="15.5703125" style="7" customWidth="1"/>
    <col min="18" max="18" width="8.140625" style="4" customWidth="1"/>
    <col min="19" max="19" width="6.140625" style="4" customWidth="1"/>
    <col min="20" max="20" width="10.85546875" style="8" customWidth="1"/>
    <col min="21" max="21" width="10.42578125" style="8" customWidth="1"/>
    <col min="22" max="22" width="9.42578125" style="8" customWidth="1"/>
    <col min="23" max="23" width="8.42578125" style="8" customWidth="1"/>
    <col min="24" max="24" width="10" style="4" customWidth="1"/>
    <col min="25" max="25" width="11" style="4" customWidth="1"/>
    <col min="26" max="26" width="10" style="4" customWidth="1"/>
    <col min="27" max="27" width="11.5703125" style="4" customWidth="1"/>
    <col min="28" max="28" width="10.42578125" style="4" customWidth="1"/>
    <col min="29" max="29" width="30" style="4" customWidth="1"/>
    <col min="30" max="30" width="11.42578125" style="1" customWidth="1"/>
    <col min="31" max="31" width="9.140625" style="1"/>
    <col min="32" max="32" width="8.85546875" style="1" customWidth="1"/>
    <col min="33" max="33" width="13.5703125" style="4" customWidth="1"/>
    <col min="34" max="16384" width="9.140625" style="4"/>
  </cols>
  <sheetData>
    <row r="1" spans="1:32" s="3" customFormat="1" ht="45" customHeight="1" x14ac:dyDescent="0.2">
      <c r="A1" s="9"/>
      <c r="B1" s="9"/>
      <c r="C1" s="9"/>
      <c r="D1" s="83" t="s">
        <v>0</v>
      </c>
      <c r="E1" s="83"/>
      <c r="F1" s="83"/>
      <c r="G1" s="10" t="s">
        <v>1</v>
      </c>
      <c r="H1" s="83" t="s">
        <v>2</v>
      </c>
      <c r="I1" s="83"/>
      <c r="J1" s="83"/>
      <c r="K1" s="83"/>
      <c r="L1" s="83"/>
      <c r="M1" s="83"/>
      <c r="N1" s="83"/>
      <c r="O1" s="83"/>
      <c r="P1" s="83"/>
      <c r="Q1" s="83"/>
      <c r="R1" s="84" t="s">
        <v>3</v>
      </c>
      <c r="S1" s="85"/>
      <c r="T1" s="85"/>
      <c r="U1" s="44"/>
      <c r="V1" s="44"/>
      <c r="W1" s="44"/>
      <c r="X1" s="44"/>
      <c r="Y1" s="44"/>
      <c r="Z1" s="44"/>
      <c r="AA1" s="44"/>
      <c r="AB1" s="64"/>
      <c r="AC1" s="64"/>
      <c r="AD1" s="64"/>
      <c r="AE1" s="64"/>
      <c r="AF1" s="64"/>
    </row>
    <row r="2" spans="1:32" s="3" customFormat="1" ht="16.5" customHeight="1" x14ac:dyDescent="0.2">
      <c r="A2" s="11" t="s">
        <v>4</v>
      </c>
      <c r="B2" s="12" t="s">
        <v>5</v>
      </c>
      <c r="C2" s="13"/>
      <c r="D2" s="13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9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2"/>
      <c r="R2" s="92"/>
      <c r="S2" s="92"/>
      <c r="T2" s="92"/>
      <c r="U2" s="92"/>
      <c r="V2" s="92"/>
      <c r="W2" s="92"/>
      <c r="X2" s="45"/>
      <c r="Y2" s="45"/>
      <c r="Z2" s="45"/>
      <c r="AA2" s="45"/>
      <c r="AB2" s="65"/>
      <c r="AC2" s="65"/>
      <c r="AD2" s="65"/>
      <c r="AE2" s="65"/>
    </row>
    <row r="3" spans="1:32" s="3" customFormat="1" ht="11.25" customHeight="1" x14ac:dyDescent="0.2">
      <c r="A3" s="15"/>
      <c r="B3" s="16" t="s">
        <v>6</v>
      </c>
      <c r="C3" s="17"/>
      <c r="D3" s="17"/>
      <c r="E3" s="18"/>
      <c r="F3" s="19" t="s">
        <v>7</v>
      </c>
      <c r="G3" s="14"/>
      <c r="H3" s="14"/>
      <c r="I3" s="14"/>
      <c r="J3" s="19"/>
      <c r="K3" s="19"/>
      <c r="L3" s="19"/>
      <c r="M3" s="14"/>
      <c r="N3" s="14"/>
      <c r="O3" s="14"/>
      <c r="P3" s="92"/>
      <c r="Q3" s="92"/>
      <c r="R3" s="92"/>
      <c r="S3" s="92"/>
      <c r="T3" s="92"/>
      <c r="U3" s="92"/>
      <c r="V3" s="92"/>
      <c r="W3" s="92"/>
      <c r="X3" s="45"/>
      <c r="Y3" s="45"/>
      <c r="Z3" s="45"/>
      <c r="AA3" s="45"/>
      <c r="AB3" s="65"/>
      <c r="AC3" s="65"/>
      <c r="AD3" s="65"/>
      <c r="AE3" s="65"/>
    </row>
    <row r="4" spans="1:32" s="3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46"/>
      <c r="R4" s="46"/>
      <c r="S4" s="46"/>
      <c r="T4" s="46"/>
      <c r="U4" s="46"/>
      <c r="V4" s="47"/>
      <c r="W4" s="48"/>
      <c r="X4" s="48"/>
      <c r="Y4" s="48"/>
      <c r="Z4" s="48"/>
      <c r="AA4" s="48"/>
      <c r="AB4" s="65"/>
      <c r="AC4" s="65"/>
      <c r="AD4" s="65"/>
      <c r="AE4" s="65"/>
    </row>
    <row r="5" spans="1:32" s="3" customFormat="1" ht="23.45" customHeight="1" x14ac:dyDescent="0.2">
      <c r="A5" s="86" t="s">
        <v>8</v>
      </c>
      <c r="B5" s="86"/>
      <c r="C5" s="86"/>
      <c r="D5" s="87"/>
      <c r="E5" s="87"/>
      <c r="F5" s="88" t="s">
        <v>9</v>
      </c>
      <c r="G5" s="88"/>
      <c r="H5" s="87"/>
      <c r="I5" s="87"/>
      <c r="J5" s="87"/>
      <c r="K5" s="87"/>
      <c r="L5" s="87"/>
      <c r="M5" s="87"/>
      <c r="N5" s="35"/>
      <c r="P5" s="36" t="s">
        <v>10</v>
      </c>
      <c r="Q5" s="89"/>
      <c r="R5" s="89"/>
      <c r="T5" s="90" t="s">
        <v>11</v>
      </c>
      <c r="U5" s="91"/>
      <c r="V5" s="93" t="s">
        <v>12</v>
      </c>
      <c r="W5" s="94"/>
      <c r="AB5" s="65"/>
      <c r="AC5" s="65"/>
      <c r="AD5" s="65"/>
      <c r="AE5" s="65"/>
    </row>
    <row r="6" spans="1:32" s="3" customFormat="1" ht="24" customHeight="1" x14ac:dyDescent="0.2">
      <c r="A6" s="86" t="s">
        <v>13</v>
      </c>
      <c r="B6" s="86"/>
      <c r="C6" s="86"/>
      <c r="D6" s="111" t="s">
        <v>14</v>
      </c>
      <c r="E6" s="111"/>
      <c r="F6" s="111"/>
      <c r="G6" s="111"/>
      <c r="H6" s="111"/>
      <c r="I6" s="111"/>
      <c r="J6" s="111"/>
      <c r="K6" s="111"/>
      <c r="L6" s="111"/>
      <c r="M6" s="111"/>
      <c r="N6" s="37"/>
      <c r="P6" s="36" t="s">
        <v>15</v>
      </c>
      <c r="Q6" s="112" t="str">
        <f>IF(Q5=0," ",CHOOSE(WEEKDAY(Q5,2),"Понедельник","Вторник","Среда","Четверг","Пятница","Суббота","Воскресенье"))</f>
        <v xml:space="preserve"> </v>
      </c>
      <c r="R6" s="112"/>
      <c r="T6" s="95" t="s">
        <v>16</v>
      </c>
      <c r="U6" s="96"/>
      <c r="V6" s="97" t="s">
        <v>17</v>
      </c>
      <c r="W6" s="98"/>
      <c r="AB6" s="65"/>
      <c r="AC6" s="65"/>
      <c r="AD6" s="65"/>
      <c r="AE6" s="65"/>
    </row>
    <row r="7" spans="1:32" s="3" customFormat="1" ht="21.75" hidden="1" customHeight="1" x14ac:dyDescent="0.2">
      <c r="A7" s="21"/>
      <c r="B7" s="21"/>
      <c r="C7" s="21"/>
      <c r="D7" s="113" t="str">
        <f>IFERROR(VLOOKUP(DeliveryAddress,Table,3,0),1)</f>
        <v>4</v>
      </c>
      <c r="E7" s="114"/>
      <c r="F7" s="114"/>
      <c r="G7" s="114"/>
      <c r="H7" s="114"/>
      <c r="I7" s="114"/>
      <c r="J7" s="114"/>
      <c r="K7" s="114"/>
      <c r="L7" s="114"/>
      <c r="M7" s="115"/>
      <c r="N7" s="38"/>
      <c r="P7" s="36"/>
      <c r="Q7" s="49"/>
      <c r="R7" s="49"/>
      <c r="T7" s="95"/>
      <c r="U7" s="96"/>
      <c r="V7" s="99"/>
      <c r="W7" s="100"/>
      <c r="AB7" s="65"/>
      <c r="AC7" s="65"/>
      <c r="AD7" s="65"/>
      <c r="AE7" s="65"/>
    </row>
    <row r="8" spans="1:32" s="3" customFormat="1" ht="25.5" customHeight="1" x14ac:dyDescent="0.2">
      <c r="A8" s="116" t="s">
        <v>18</v>
      </c>
      <c r="B8" s="116"/>
      <c r="C8" s="116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39"/>
      <c r="P8" s="36" t="s">
        <v>19</v>
      </c>
      <c r="Q8" s="118"/>
      <c r="R8" s="118"/>
      <c r="T8" s="95"/>
      <c r="U8" s="96"/>
      <c r="V8" s="99"/>
      <c r="W8" s="100"/>
      <c r="AB8" s="65"/>
      <c r="AC8" s="65"/>
      <c r="AD8" s="65"/>
      <c r="AE8" s="65"/>
    </row>
    <row r="9" spans="1:32" s="3" customFormat="1" ht="39.950000000000003" customHeight="1" x14ac:dyDescent="0.2">
      <c r="A9" s="10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103"/>
      <c r="C9" s="103"/>
      <c r="D9" s="119" t="s">
        <v>20</v>
      </c>
      <c r="E9" s="104"/>
      <c r="F9" s="10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103"/>
      <c r="H9" s="120" t="str">
        <f>IF(AND($A$9="Тип доверенности/получателя при получении в адресе перегруза:",$D$9="Разовая доверенность"),"Введите ФИО","")</f>
        <v/>
      </c>
      <c r="I9" s="120"/>
      <c r="J9" s="1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20"/>
      <c r="L9" s="120"/>
      <c r="M9" s="120"/>
      <c r="N9" s="22"/>
      <c r="P9" s="40" t="s">
        <v>21</v>
      </c>
      <c r="Q9" s="121"/>
      <c r="R9" s="121"/>
      <c r="T9" s="95"/>
      <c r="U9" s="96"/>
      <c r="V9" s="101"/>
      <c r="W9" s="102"/>
      <c r="X9" s="50"/>
      <c r="Y9" s="50"/>
      <c r="Z9" s="50"/>
      <c r="AA9" s="50"/>
      <c r="AB9" s="65"/>
      <c r="AC9" s="65"/>
      <c r="AD9" s="65"/>
      <c r="AE9" s="65"/>
    </row>
    <row r="10" spans="1:32" s="3" customFormat="1" ht="26.45" customHeight="1" x14ac:dyDescent="0.2">
      <c r="A10" s="10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103"/>
      <c r="C10" s="103"/>
      <c r="D10" s="104"/>
      <c r="E10" s="104"/>
      <c r="F10" s="10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103"/>
      <c r="H10" s="105" t="str">
        <f>IFERROR(VLOOKUP($D$10,Proxy,2,FALSE),"")</f>
        <v/>
      </c>
      <c r="I10" s="105"/>
      <c r="J10" s="105"/>
      <c r="K10" s="105"/>
      <c r="L10" s="105"/>
      <c r="M10" s="105"/>
      <c r="N10" s="23"/>
      <c r="P10" s="40" t="s">
        <v>22</v>
      </c>
      <c r="Q10" s="106"/>
      <c r="R10" s="106"/>
      <c r="U10" s="36" t="s">
        <v>23</v>
      </c>
      <c r="V10" s="107" t="s">
        <v>24</v>
      </c>
      <c r="W10" s="108"/>
      <c r="X10" s="51"/>
      <c r="Y10" s="51"/>
      <c r="Z10" s="51"/>
      <c r="AA10" s="51"/>
      <c r="AB10" s="65"/>
      <c r="AC10" s="65"/>
      <c r="AD10" s="65"/>
      <c r="AE10" s="65"/>
    </row>
    <row r="11" spans="1:32" s="3" customFormat="1" ht="15.95" customHeight="1" x14ac:dyDescent="0.2">
      <c r="A11" s="24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40" t="s">
        <v>26</v>
      </c>
      <c r="Q11" s="109"/>
      <c r="R11" s="109"/>
      <c r="U11" s="36" t="s">
        <v>27</v>
      </c>
      <c r="V11" s="110" t="s">
        <v>28</v>
      </c>
      <c r="W11" s="110"/>
      <c r="X11" s="52"/>
      <c r="Y11" s="52"/>
      <c r="Z11" s="52"/>
      <c r="AA11" s="52"/>
      <c r="AB11" s="65"/>
      <c r="AC11" s="65"/>
      <c r="AD11" s="65"/>
      <c r="AE11" s="65"/>
    </row>
    <row r="12" spans="1:32" s="3" customFormat="1" ht="18.600000000000001" customHeight="1" x14ac:dyDescent="0.2">
      <c r="A12" s="122" t="s">
        <v>29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41"/>
      <c r="P12" s="36" t="s">
        <v>30</v>
      </c>
      <c r="Q12" s="118"/>
      <c r="R12" s="118"/>
      <c r="S12" s="53"/>
      <c r="T12"/>
      <c r="U12" s="36" t="s">
        <v>20</v>
      </c>
      <c r="V12" s="123"/>
      <c r="W12" s="123"/>
      <c r="X12"/>
      <c r="AB12" s="65"/>
      <c r="AC12" s="65"/>
      <c r="AD12" s="65"/>
      <c r="AE12" s="65"/>
    </row>
    <row r="13" spans="1:32" s="3" customFormat="1" ht="23.25" customHeight="1" x14ac:dyDescent="0.2">
      <c r="A13" s="122" t="s">
        <v>31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41"/>
      <c r="O13" s="40"/>
      <c r="P13" s="40" t="s">
        <v>32</v>
      </c>
      <c r="Q13" s="110"/>
      <c r="R13" s="110"/>
      <c r="S13" s="53"/>
      <c r="T13"/>
      <c r="U13"/>
      <c r="V13"/>
      <c r="W13"/>
      <c r="X13" s="54"/>
      <c r="Y13" s="54"/>
      <c r="Z13" s="54"/>
      <c r="AA13" s="54"/>
      <c r="AB13" s="65"/>
      <c r="AC13" s="65"/>
      <c r="AD13" s="65"/>
      <c r="AE13" s="65"/>
    </row>
    <row r="14" spans="1:32" s="3" customFormat="1" ht="18.600000000000001" customHeight="1" x14ac:dyDescent="0.2">
      <c r="A14" s="122" t="s">
        <v>33</v>
      </c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41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65"/>
      <c r="AC14" s="65"/>
      <c r="AD14" s="65"/>
      <c r="AE14" s="65"/>
    </row>
    <row r="15" spans="1:32" s="3" customFormat="1" ht="22.5" customHeight="1" x14ac:dyDescent="0.2">
      <c r="A15" s="124" t="s">
        <v>34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42"/>
      <c r="O15"/>
      <c r="P15" s="136" t="s">
        <v>35</v>
      </c>
      <c r="Q15" s="136"/>
      <c r="R15" s="136"/>
      <c r="S15" s="136"/>
      <c r="T15" s="136"/>
      <c r="U15"/>
      <c r="V15"/>
      <c r="W15"/>
      <c r="AB15" s="65"/>
      <c r="AC15" s="65"/>
      <c r="AD15" s="65"/>
      <c r="AE15" s="65"/>
    </row>
    <row r="16" spans="1:32" ht="18.75" customHeight="1" x14ac:dyDescent="0.2">
      <c r="B16" s="26"/>
      <c r="C16" s="26"/>
      <c r="D16" s="27"/>
      <c r="E16" s="27"/>
      <c r="F16" s="27"/>
      <c r="G16" s="27"/>
      <c r="H16" s="28"/>
      <c r="I16" s="28"/>
      <c r="J16" s="28"/>
      <c r="K16" s="28"/>
      <c r="L16" s="28"/>
      <c r="M16" s="28"/>
      <c r="N16" s="28"/>
      <c r="O16" s="28"/>
      <c r="P16" s="137"/>
      <c r="Q16" s="137"/>
      <c r="R16" s="137"/>
      <c r="S16" s="137"/>
      <c r="T16" s="137"/>
      <c r="U16" s="28"/>
      <c r="V16" s="28"/>
      <c r="W16" s="56"/>
      <c r="X16" s="57"/>
      <c r="Y16" s="57"/>
      <c r="Z16" s="57"/>
      <c r="AA16" s="57"/>
      <c r="AB16" s="57"/>
      <c r="AC16" s="57"/>
    </row>
    <row r="17" spans="1:68" ht="27.75" customHeight="1" x14ac:dyDescent="0.2">
      <c r="A17" s="134" t="s">
        <v>36</v>
      </c>
      <c r="B17" s="134" t="s">
        <v>37</v>
      </c>
      <c r="C17" s="153" t="s">
        <v>38</v>
      </c>
      <c r="D17" s="138" t="s">
        <v>39</v>
      </c>
      <c r="E17" s="139"/>
      <c r="F17" s="134" t="s">
        <v>40</v>
      </c>
      <c r="G17" s="134" t="s">
        <v>41</v>
      </c>
      <c r="H17" s="134" t="s">
        <v>42</v>
      </c>
      <c r="I17" s="134" t="s">
        <v>43</v>
      </c>
      <c r="J17" s="134" t="s">
        <v>44</v>
      </c>
      <c r="K17" s="134" t="s">
        <v>45</v>
      </c>
      <c r="L17" s="134" t="s">
        <v>46</v>
      </c>
      <c r="M17" s="134" t="s">
        <v>47</v>
      </c>
      <c r="N17" s="134" t="s">
        <v>48</v>
      </c>
      <c r="O17" s="134" t="s">
        <v>49</v>
      </c>
      <c r="P17" s="138" t="s">
        <v>50</v>
      </c>
      <c r="Q17" s="155"/>
      <c r="R17" s="155"/>
      <c r="S17" s="155"/>
      <c r="T17" s="139"/>
      <c r="U17" s="125" t="s">
        <v>51</v>
      </c>
      <c r="V17" s="126"/>
      <c r="W17" s="134" t="s">
        <v>52</v>
      </c>
      <c r="X17" s="134" t="s">
        <v>53</v>
      </c>
      <c r="Y17" s="160" t="s">
        <v>54</v>
      </c>
      <c r="Z17" s="162" t="s">
        <v>55</v>
      </c>
      <c r="AA17" s="164" t="s">
        <v>56</v>
      </c>
      <c r="AB17" s="164" t="s">
        <v>57</v>
      </c>
      <c r="AC17" s="164" t="s">
        <v>58</v>
      </c>
      <c r="AD17" s="166" t="s">
        <v>59</v>
      </c>
      <c r="AE17" s="167"/>
      <c r="AF17" s="168"/>
      <c r="AG17" s="73"/>
      <c r="BD17" s="76" t="s">
        <v>60</v>
      </c>
    </row>
    <row r="18" spans="1:68" ht="14.25" customHeight="1" x14ac:dyDescent="0.2">
      <c r="A18" s="135"/>
      <c r="B18" s="135"/>
      <c r="C18" s="154"/>
      <c r="D18" s="140"/>
      <c r="E18" s="141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40"/>
      <c r="Q18" s="156"/>
      <c r="R18" s="156"/>
      <c r="S18" s="156"/>
      <c r="T18" s="141"/>
      <c r="U18" s="58" t="s">
        <v>61</v>
      </c>
      <c r="V18" s="58" t="s">
        <v>62</v>
      </c>
      <c r="W18" s="135"/>
      <c r="X18" s="135"/>
      <c r="Y18" s="161"/>
      <c r="Z18" s="163"/>
      <c r="AA18" s="165"/>
      <c r="AB18" s="165"/>
      <c r="AC18" s="165"/>
      <c r="AD18" s="169"/>
      <c r="AE18" s="170"/>
      <c r="AF18" s="171"/>
      <c r="AG18" s="73"/>
      <c r="BD18" s="76"/>
    </row>
    <row r="19" spans="1:68" ht="27.75" hidden="1" customHeight="1" x14ac:dyDescent="0.2">
      <c r="A19" s="127" t="s">
        <v>63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66"/>
      <c r="AB19" s="66"/>
      <c r="AC19" s="66"/>
    </row>
    <row r="20" spans="1:68" ht="16.5" hidden="1" customHeight="1" x14ac:dyDescent="0.25">
      <c r="A20" s="128" t="s">
        <v>63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29"/>
      <c r="AB20" s="29"/>
      <c r="AC20" s="29"/>
    </row>
    <row r="21" spans="1:68" ht="14.25" hidden="1" customHeight="1" x14ac:dyDescent="0.25">
      <c r="A21" s="129" t="s">
        <v>64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30"/>
      <c r="AB21" s="30"/>
      <c r="AC21" s="30"/>
    </row>
    <row r="22" spans="1:68" ht="27" hidden="1" customHeight="1" x14ac:dyDescent="0.25">
      <c r="A22" s="31" t="s">
        <v>65</v>
      </c>
      <c r="B22" s="31" t="s">
        <v>66</v>
      </c>
      <c r="C22" s="32">
        <v>4301031446</v>
      </c>
      <c r="D22" s="130">
        <v>4680115887510</v>
      </c>
      <c r="E22" s="130"/>
      <c r="F22" s="33">
        <v>0.2</v>
      </c>
      <c r="G22" s="34">
        <v>6</v>
      </c>
      <c r="H22" s="33">
        <v>1.2</v>
      </c>
      <c r="I22" s="33">
        <v>1.38</v>
      </c>
      <c r="J22" s="34">
        <v>182</v>
      </c>
      <c r="K22" s="34" t="s">
        <v>67</v>
      </c>
      <c r="L22" s="34" t="s">
        <v>20</v>
      </c>
      <c r="M22" s="43" t="s">
        <v>68</v>
      </c>
      <c r="N22" s="43"/>
      <c r="O22" s="34">
        <v>40</v>
      </c>
      <c r="P22" s="13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132"/>
      <c r="R22" s="132"/>
      <c r="S22" s="132"/>
      <c r="T22" s="133"/>
      <c r="U22" s="59" t="s">
        <v>20</v>
      </c>
      <c r="V22" s="59" t="s">
        <v>20</v>
      </c>
      <c r="W22" s="60" t="s">
        <v>69</v>
      </c>
      <c r="X22" s="61">
        <v>0</v>
      </c>
      <c r="Y22" s="67">
        <f>IFERROR(IF(X22="",0,CEILING((X22/$H22),1)*$H22),"")</f>
        <v>0</v>
      </c>
      <c r="Z22" s="68" t="str">
        <f>IFERROR(IF(Y22=0,"",ROUNDUP(Y22/H22,0)*0.00651),"")</f>
        <v/>
      </c>
      <c r="AA22" s="69" t="s">
        <v>20</v>
      </c>
      <c r="AB22" s="70" t="s">
        <v>20</v>
      </c>
      <c r="AC22" s="71" t="s">
        <v>70</v>
      </c>
      <c r="AG22" s="74"/>
      <c r="AJ22" s="75" t="s">
        <v>20</v>
      </c>
      <c r="AK22" s="75">
        <v>0</v>
      </c>
      <c r="BB22" s="77" t="s">
        <v>1</v>
      </c>
      <c r="BM22" s="74">
        <f>IFERROR(X22*I22/H22,"0")</f>
        <v>0</v>
      </c>
      <c r="BN22" s="74">
        <f>IFERROR(Y22*I22/H22,"0")</f>
        <v>0</v>
      </c>
      <c r="BO22" s="74">
        <f>IFERROR(1/J22*(X22/H22),"0")</f>
        <v>0</v>
      </c>
      <c r="BP22" s="74">
        <f>IFERROR(1/J22*(Y22/H22),"0")</f>
        <v>0</v>
      </c>
    </row>
    <row r="23" spans="1:68" ht="27" hidden="1" customHeight="1" x14ac:dyDescent="0.25">
      <c r="A23" s="31" t="s">
        <v>71</v>
      </c>
      <c r="B23" s="31" t="s">
        <v>72</v>
      </c>
      <c r="C23" s="32">
        <v>4301031278</v>
      </c>
      <c r="D23" s="130">
        <v>4680115886643</v>
      </c>
      <c r="E23" s="130"/>
      <c r="F23" s="33">
        <v>0.19</v>
      </c>
      <c r="G23" s="34">
        <v>10</v>
      </c>
      <c r="H23" s="33">
        <v>1.9</v>
      </c>
      <c r="I23" s="33">
        <v>2</v>
      </c>
      <c r="J23" s="34">
        <v>234</v>
      </c>
      <c r="K23" s="34" t="s">
        <v>73</v>
      </c>
      <c r="L23" s="34" t="s">
        <v>20</v>
      </c>
      <c r="M23" s="43" t="s">
        <v>68</v>
      </c>
      <c r="N23" s="43"/>
      <c r="O23" s="34">
        <v>40</v>
      </c>
      <c r="P23" s="1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132"/>
      <c r="R23" s="132"/>
      <c r="S23" s="132"/>
      <c r="T23" s="133"/>
      <c r="U23" s="59" t="s">
        <v>20</v>
      </c>
      <c r="V23" s="59" t="s">
        <v>20</v>
      </c>
      <c r="W23" s="60" t="s">
        <v>69</v>
      </c>
      <c r="X23" s="61">
        <v>0</v>
      </c>
      <c r="Y23" s="67">
        <f>IFERROR(IF(X23="",0,CEILING((X23/$H23),1)*$H23),"")</f>
        <v>0</v>
      </c>
      <c r="Z23" s="68" t="str">
        <f>IFERROR(IF(Y23=0,"",ROUNDUP(Y23/H23,0)*0.00502),"")</f>
        <v/>
      </c>
      <c r="AA23" s="69" t="s">
        <v>20</v>
      </c>
      <c r="AB23" s="70" t="s">
        <v>20</v>
      </c>
      <c r="AC23" s="71" t="s">
        <v>74</v>
      </c>
      <c r="AG23" s="74"/>
      <c r="AJ23" s="75" t="s">
        <v>20</v>
      </c>
      <c r="AK23" s="75">
        <v>0</v>
      </c>
      <c r="BB23" s="77" t="s">
        <v>1</v>
      </c>
      <c r="BM23" s="74">
        <f>IFERROR(X23*I23/H23,"0")</f>
        <v>0</v>
      </c>
      <c r="BN23" s="74">
        <f>IFERROR(Y23*I23/H23,"0")</f>
        <v>0</v>
      </c>
      <c r="BO23" s="74">
        <f>IFERROR(1/J23*(X23/H23),"0")</f>
        <v>0</v>
      </c>
      <c r="BP23" s="74">
        <f>IFERROR(1/J23*(Y23/H23),"0")</f>
        <v>0</v>
      </c>
    </row>
    <row r="24" spans="1:68" hidden="1" x14ac:dyDescent="0.2">
      <c r="A24" s="146"/>
      <c r="B24" s="146"/>
      <c r="C24" s="146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7"/>
      <c r="P24" s="142" t="s">
        <v>75</v>
      </c>
      <c r="Q24" s="143"/>
      <c r="R24" s="143"/>
      <c r="S24" s="143"/>
      <c r="T24" s="143"/>
      <c r="U24" s="143"/>
      <c r="V24" s="144"/>
      <c r="W24" s="62" t="s">
        <v>76</v>
      </c>
      <c r="X24" s="63">
        <f>IFERROR(X22/H22,"0")+IFERROR(X23/H23,"0")</f>
        <v>0</v>
      </c>
      <c r="Y24" s="63">
        <f>IFERROR(Y22/H22,"0")+IFERROR(Y23/H23,"0")</f>
        <v>0</v>
      </c>
      <c r="Z24" s="63">
        <f>IFERROR(IF(Z22="",0,Z22),"0")+IFERROR(IF(Z23="",0,Z23),"0")</f>
        <v>0</v>
      </c>
      <c r="AA24" s="72"/>
      <c r="AB24" s="72"/>
      <c r="AC24" s="72"/>
    </row>
    <row r="25" spans="1:68" hidden="1" x14ac:dyDescent="0.2">
      <c r="A25" s="146"/>
      <c r="B25" s="146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7"/>
      <c r="P25" s="142" t="s">
        <v>75</v>
      </c>
      <c r="Q25" s="143"/>
      <c r="R25" s="143"/>
      <c r="S25" s="143"/>
      <c r="T25" s="143"/>
      <c r="U25" s="143"/>
      <c r="V25" s="144"/>
      <c r="W25" s="62" t="s">
        <v>69</v>
      </c>
      <c r="X25" s="63">
        <f>IFERROR(SUM(X22:X23),"0")</f>
        <v>0</v>
      </c>
      <c r="Y25" s="63">
        <f>IFERROR(SUM(Y22:Y23),"0")</f>
        <v>0</v>
      </c>
      <c r="Z25" s="62"/>
      <c r="AA25" s="72"/>
      <c r="AB25" s="72"/>
      <c r="AC25" s="72"/>
    </row>
    <row r="26" spans="1:68" ht="14.25" hidden="1" customHeight="1" x14ac:dyDescent="0.25">
      <c r="A26" s="129" t="s">
        <v>77</v>
      </c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30"/>
      <c r="AB26" s="30"/>
      <c r="AC26" s="30"/>
    </row>
    <row r="27" spans="1:68" ht="27" hidden="1" customHeight="1" x14ac:dyDescent="0.25">
      <c r="A27" s="31" t="s">
        <v>78</v>
      </c>
      <c r="B27" s="31" t="s">
        <v>79</v>
      </c>
      <c r="C27" s="32">
        <v>4301052197</v>
      </c>
      <c r="D27" s="130">
        <v>4680115888326</v>
      </c>
      <c r="E27" s="130"/>
      <c r="F27" s="33">
        <v>0.33</v>
      </c>
      <c r="G27" s="34">
        <v>6</v>
      </c>
      <c r="H27" s="33">
        <v>1.98</v>
      </c>
      <c r="I27" s="33">
        <v>2.16</v>
      </c>
      <c r="J27" s="34">
        <v>182</v>
      </c>
      <c r="K27" s="34" t="s">
        <v>67</v>
      </c>
      <c r="L27" s="34" t="s">
        <v>20</v>
      </c>
      <c r="M27" s="43" t="s">
        <v>80</v>
      </c>
      <c r="N27" s="43"/>
      <c r="O27" s="34">
        <v>40</v>
      </c>
      <c r="P27" s="145" t="s">
        <v>81</v>
      </c>
      <c r="Q27" s="132"/>
      <c r="R27" s="132"/>
      <c r="S27" s="132"/>
      <c r="T27" s="133"/>
      <c r="U27" s="59" t="s">
        <v>20</v>
      </c>
      <c r="V27" s="59" t="s">
        <v>20</v>
      </c>
      <c r="W27" s="60" t="s">
        <v>69</v>
      </c>
      <c r="X27" s="61">
        <v>0</v>
      </c>
      <c r="Y27" s="67">
        <f t="shared" ref="Y27:Y33" si="0">IFERROR(IF(X27="",0,CEILING((X27/$H27),1)*$H27),"")</f>
        <v>0</v>
      </c>
      <c r="Z27" s="68" t="str">
        <f t="shared" ref="Z27:Z33" si="1">IFERROR(IF(Y27=0,"",ROUNDUP(Y27/H27,0)*0.00651),"")</f>
        <v/>
      </c>
      <c r="AA27" s="69" t="s">
        <v>20</v>
      </c>
      <c r="AB27" s="70" t="s">
        <v>82</v>
      </c>
      <c r="AC27" s="71" t="s">
        <v>83</v>
      </c>
      <c r="AG27" s="74"/>
      <c r="AJ27" s="75" t="s">
        <v>20</v>
      </c>
      <c r="AK27" s="75">
        <v>0</v>
      </c>
      <c r="BB27" s="77" t="s">
        <v>1</v>
      </c>
      <c r="BM27" s="74">
        <f t="shared" ref="BM27:BM33" si="2">IFERROR(X27*I27/H27,"0")</f>
        <v>0</v>
      </c>
      <c r="BN27" s="74">
        <f t="shared" ref="BN27:BN33" si="3">IFERROR(Y27*I27/H27,"0")</f>
        <v>0</v>
      </c>
      <c r="BO27" s="74">
        <f t="shared" ref="BO27:BO33" si="4">IFERROR(1/J27*(X27/H27),"0")</f>
        <v>0</v>
      </c>
      <c r="BP27" s="74">
        <f t="shared" ref="BP27:BP33" si="5">IFERROR(1/J27*(Y27/H27),"0")</f>
        <v>0</v>
      </c>
    </row>
    <row r="28" spans="1:68" ht="27" hidden="1" customHeight="1" x14ac:dyDescent="0.25">
      <c r="A28" s="31" t="s">
        <v>84</v>
      </c>
      <c r="B28" s="31" t="s">
        <v>85</v>
      </c>
      <c r="C28" s="32">
        <v>4301051866</v>
      </c>
      <c r="D28" s="130">
        <v>4680115885912</v>
      </c>
      <c r="E28" s="130"/>
      <c r="F28" s="33">
        <v>0.3</v>
      </c>
      <c r="G28" s="34">
        <v>6</v>
      </c>
      <c r="H28" s="33">
        <v>1.8</v>
      </c>
      <c r="I28" s="33">
        <v>3.18</v>
      </c>
      <c r="J28" s="34">
        <v>182</v>
      </c>
      <c r="K28" s="34" t="s">
        <v>67</v>
      </c>
      <c r="L28" s="34" t="s">
        <v>20</v>
      </c>
      <c r="M28" s="43" t="s">
        <v>86</v>
      </c>
      <c r="N28" s="43"/>
      <c r="O28" s="34">
        <v>40</v>
      </c>
      <c r="P28" s="1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132"/>
      <c r="R28" s="132"/>
      <c r="S28" s="132"/>
      <c r="T28" s="133"/>
      <c r="U28" s="59" t="s">
        <v>20</v>
      </c>
      <c r="V28" s="59" t="s">
        <v>20</v>
      </c>
      <c r="W28" s="60" t="s">
        <v>69</v>
      </c>
      <c r="X28" s="61">
        <v>0</v>
      </c>
      <c r="Y28" s="67">
        <f t="shared" si="0"/>
        <v>0</v>
      </c>
      <c r="Z28" s="68" t="str">
        <f t="shared" si="1"/>
        <v/>
      </c>
      <c r="AA28" s="69" t="s">
        <v>20</v>
      </c>
      <c r="AB28" s="70" t="s">
        <v>20</v>
      </c>
      <c r="AC28" s="71" t="s">
        <v>87</v>
      </c>
      <c r="AG28" s="74"/>
      <c r="AJ28" s="75" t="s">
        <v>20</v>
      </c>
      <c r="AK28" s="75">
        <v>0</v>
      </c>
      <c r="BB28" s="77" t="s">
        <v>1</v>
      </c>
      <c r="BM28" s="74">
        <f t="shared" si="2"/>
        <v>0</v>
      </c>
      <c r="BN28" s="74">
        <f t="shared" si="3"/>
        <v>0</v>
      </c>
      <c r="BO28" s="74">
        <f t="shared" si="4"/>
        <v>0</v>
      </c>
      <c r="BP28" s="74">
        <f t="shared" si="5"/>
        <v>0</v>
      </c>
    </row>
    <row r="29" spans="1:68" ht="27" hidden="1" customHeight="1" x14ac:dyDescent="0.25">
      <c r="A29" s="31" t="s">
        <v>88</v>
      </c>
      <c r="B29" s="31" t="s">
        <v>89</v>
      </c>
      <c r="C29" s="32">
        <v>4301051776</v>
      </c>
      <c r="D29" s="130">
        <v>4607091388237</v>
      </c>
      <c r="E29" s="130"/>
      <c r="F29" s="33">
        <v>0.42</v>
      </c>
      <c r="G29" s="34">
        <v>6</v>
      </c>
      <c r="H29" s="33">
        <v>2.52</v>
      </c>
      <c r="I29" s="33">
        <v>2.766</v>
      </c>
      <c r="J29" s="34">
        <v>182</v>
      </c>
      <c r="K29" s="34" t="s">
        <v>67</v>
      </c>
      <c r="L29" s="34" t="s">
        <v>20</v>
      </c>
      <c r="M29" s="43" t="s">
        <v>86</v>
      </c>
      <c r="N29" s="43"/>
      <c r="O29" s="34">
        <v>40</v>
      </c>
      <c r="P29" s="1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132"/>
      <c r="R29" s="132"/>
      <c r="S29" s="132"/>
      <c r="T29" s="133"/>
      <c r="U29" s="59" t="s">
        <v>20</v>
      </c>
      <c r="V29" s="59" t="s">
        <v>20</v>
      </c>
      <c r="W29" s="60" t="s">
        <v>69</v>
      </c>
      <c r="X29" s="61">
        <v>0</v>
      </c>
      <c r="Y29" s="67">
        <f t="shared" si="0"/>
        <v>0</v>
      </c>
      <c r="Z29" s="68" t="str">
        <f t="shared" si="1"/>
        <v/>
      </c>
      <c r="AA29" s="69" t="s">
        <v>20</v>
      </c>
      <c r="AB29" s="70" t="s">
        <v>20</v>
      </c>
      <c r="AC29" s="71" t="s">
        <v>87</v>
      </c>
      <c r="AG29" s="74"/>
      <c r="AJ29" s="75" t="s">
        <v>20</v>
      </c>
      <c r="AK29" s="75">
        <v>0</v>
      </c>
      <c r="BB29" s="77" t="s">
        <v>1</v>
      </c>
      <c r="BM29" s="74">
        <f t="shared" si="2"/>
        <v>0</v>
      </c>
      <c r="BN29" s="74">
        <f t="shared" si="3"/>
        <v>0</v>
      </c>
      <c r="BO29" s="74">
        <f t="shared" si="4"/>
        <v>0</v>
      </c>
      <c r="BP29" s="74">
        <f t="shared" si="5"/>
        <v>0</v>
      </c>
    </row>
    <row r="30" spans="1:68" ht="27" hidden="1" customHeight="1" x14ac:dyDescent="0.25">
      <c r="A30" s="31" t="s">
        <v>90</v>
      </c>
      <c r="B30" s="31" t="s">
        <v>91</v>
      </c>
      <c r="C30" s="32">
        <v>4301052063</v>
      </c>
      <c r="D30" s="130">
        <v>4680115887350</v>
      </c>
      <c r="E30" s="130"/>
      <c r="F30" s="33">
        <v>0.3</v>
      </c>
      <c r="G30" s="34">
        <v>6</v>
      </c>
      <c r="H30" s="33">
        <v>1.8</v>
      </c>
      <c r="I30" s="33">
        <v>3.18</v>
      </c>
      <c r="J30" s="34">
        <v>182</v>
      </c>
      <c r="K30" s="34" t="s">
        <v>67</v>
      </c>
      <c r="L30" s="34" t="s">
        <v>20</v>
      </c>
      <c r="M30" s="43" t="s">
        <v>80</v>
      </c>
      <c r="N30" s="43"/>
      <c r="O30" s="34">
        <v>40</v>
      </c>
      <c r="P30" s="1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132"/>
      <c r="R30" s="132"/>
      <c r="S30" s="132"/>
      <c r="T30" s="133"/>
      <c r="U30" s="59" t="s">
        <v>20</v>
      </c>
      <c r="V30" s="59" t="s">
        <v>20</v>
      </c>
      <c r="W30" s="60" t="s">
        <v>69</v>
      </c>
      <c r="X30" s="61">
        <v>0</v>
      </c>
      <c r="Y30" s="67">
        <f t="shared" si="0"/>
        <v>0</v>
      </c>
      <c r="Z30" s="68" t="str">
        <f t="shared" si="1"/>
        <v/>
      </c>
      <c r="AA30" s="69" t="s">
        <v>20</v>
      </c>
      <c r="AB30" s="70" t="s">
        <v>20</v>
      </c>
      <c r="AC30" s="71" t="s">
        <v>92</v>
      </c>
      <c r="AG30" s="74"/>
      <c r="AJ30" s="75" t="s">
        <v>20</v>
      </c>
      <c r="AK30" s="75">
        <v>0</v>
      </c>
      <c r="BB30" s="77" t="s">
        <v>1</v>
      </c>
      <c r="BM30" s="74">
        <f t="shared" si="2"/>
        <v>0</v>
      </c>
      <c r="BN30" s="74">
        <f t="shared" si="3"/>
        <v>0</v>
      </c>
      <c r="BO30" s="74">
        <f t="shared" si="4"/>
        <v>0</v>
      </c>
      <c r="BP30" s="74">
        <f t="shared" si="5"/>
        <v>0</v>
      </c>
    </row>
    <row r="31" spans="1:68" ht="27" hidden="1" customHeight="1" x14ac:dyDescent="0.25">
      <c r="A31" s="31" t="s">
        <v>93</v>
      </c>
      <c r="B31" s="31" t="s">
        <v>94</v>
      </c>
      <c r="C31" s="32">
        <v>4301051863</v>
      </c>
      <c r="D31" s="130">
        <v>4680115885905</v>
      </c>
      <c r="E31" s="130"/>
      <c r="F31" s="33">
        <v>0.3</v>
      </c>
      <c r="G31" s="34">
        <v>6</v>
      </c>
      <c r="H31" s="33">
        <v>1.8</v>
      </c>
      <c r="I31" s="33">
        <v>3.18</v>
      </c>
      <c r="J31" s="34">
        <v>182</v>
      </c>
      <c r="K31" s="34" t="s">
        <v>67</v>
      </c>
      <c r="L31" s="34" t="s">
        <v>20</v>
      </c>
      <c r="M31" s="43" t="s">
        <v>80</v>
      </c>
      <c r="N31" s="43"/>
      <c r="O31" s="34">
        <v>40</v>
      </c>
      <c r="P31" s="1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1" s="132"/>
      <c r="R31" s="132"/>
      <c r="S31" s="132"/>
      <c r="T31" s="133"/>
      <c r="U31" s="59" t="s">
        <v>20</v>
      </c>
      <c r="V31" s="59" t="s">
        <v>20</v>
      </c>
      <c r="W31" s="60" t="s">
        <v>69</v>
      </c>
      <c r="X31" s="61">
        <v>0</v>
      </c>
      <c r="Y31" s="67">
        <f t="shared" si="0"/>
        <v>0</v>
      </c>
      <c r="Z31" s="68" t="str">
        <f t="shared" si="1"/>
        <v/>
      </c>
      <c r="AA31" s="69" t="s">
        <v>20</v>
      </c>
      <c r="AB31" s="70" t="s">
        <v>20</v>
      </c>
      <c r="AC31" s="71" t="s">
        <v>95</v>
      </c>
      <c r="AG31" s="74"/>
      <c r="AJ31" s="75" t="s">
        <v>20</v>
      </c>
      <c r="AK31" s="75">
        <v>0</v>
      </c>
      <c r="BB31" s="77" t="s">
        <v>1</v>
      </c>
      <c r="BM31" s="74">
        <f t="shared" si="2"/>
        <v>0</v>
      </c>
      <c r="BN31" s="74">
        <f t="shared" si="3"/>
        <v>0</v>
      </c>
      <c r="BO31" s="74">
        <f t="shared" si="4"/>
        <v>0</v>
      </c>
      <c r="BP31" s="74">
        <f t="shared" si="5"/>
        <v>0</v>
      </c>
    </row>
    <row r="32" spans="1:68" ht="27" hidden="1" customHeight="1" x14ac:dyDescent="0.25">
      <c r="A32" s="31" t="s">
        <v>96</v>
      </c>
      <c r="B32" s="31" t="s">
        <v>97</v>
      </c>
      <c r="C32" s="32">
        <v>4301052078</v>
      </c>
      <c r="D32" s="130">
        <v>4680115887657</v>
      </c>
      <c r="E32" s="130"/>
      <c r="F32" s="33">
        <v>0.33</v>
      </c>
      <c r="G32" s="34">
        <v>6</v>
      </c>
      <c r="H32" s="33">
        <v>1.98</v>
      </c>
      <c r="I32" s="33">
        <v>2.16</v>
      </c>
      <c r="J32" s="34">
        <v>182</v>
      </c>
      <c r="K32" s="34" t="s">
        <v>67</v>
      </c>
      <c r="L32" s="34" t="s">
        <v>20</v>
      </c>
      <c r="M32" s="43" t="s">
        <v>80</v>
      </c>
      <c r="N32" s="43"/>
      <c r="O32" s="34">
        <v>40</v>
      </c>
      <c r="P32" s="13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2" s="132"/>
      <c r="R32" s="132"/>
      <c r="S32" s="132"/>
      <c r="T32" s="133"/>
      <c r="U32" s="59" t="s">
        <v>20</v>
      </c>
      <c r="V32" s="59" t="s">
        <v>20</v>
      </c>
      <c r="W32" s="60" t="s">
        <v>69</v>
      </c>
      <c r="X32" s="61">
        <v>0</v>
      </c>
      <c r="Y32" s="67">
        <f t="shared" si="0"/>
        <v>0</v>
      </c>
      <c r="Z32" s="68" t="str">
        <f t="shared" si="1"/>
        <v/>
      </c>
      <c r="AA32" s="69" t="s">
        <v>20</v>
      </c>
      <c r="AB32" s="70" t="s">
        <v>20</v>
      </c>
      <c r="AC32" s="71" t="s">
        <v>98</v>
      </c>
      <c r="AG32" s="74"/>
      <c r="AJ32" s="75" t="s">
        <v>20</v>
      </c>
      <c r="AK32" s="75">
        <v>0</v>
      </c>
      <c r="BB32" s="77" t="s">
        <v>1</v>
      </c>
      <c r="BM32" s="74">
        <f t="shared" si="2"/>
        <v>0</v>
      </c>
      <c r="BN32" s="74">
        <f t="shared" si="3"/>
        <v>0</v>
      </c>
      <c r="BO32" s="74">
        <f t="shared" si="4"/>
        <v>0</v>
      </c>
      <c r="BP32" s="74">
        <f t="shared" si="5"/>
        <v>0</v>
      </c>
    </row>
    <row r="33" spans="1:68" ht="27" hidden="1" customHeight="1" x14ac:dyDescent="0.25">
      <c r="A33" s="31" t="s">
        <v>99</v>
      </c>
      <c r="B33" s="31" t="s">
        <v>100</v>
      </c>
      <c r="C33" s="32">
        <v>4301052071</v>
      </c>
      <c r="D33" s="130">
        <v>4680115887619</v>
      </c>
      <c r="E33" s="130"/>
      <c r="F33" s="33">
        <v>0.33</v>
      </c>
      <c r="G33" s="34">
        <v>6</v>
      </c>
      <c r="H33" s="33">
        <v>1.98</v>
      </c>
      <c r="I33" s="33">
        <v>2.16</v>
      </c>
      <c r="J33" s="34">
        <v>182</v>
      </c>
      <c r="K33" s="34" t="s">
        <v>67</v>
      </c>
      <c r="L33" s="34" t="s">
        <v>20</v>
      </c>
      <c r="M33" s="43" t="s">
        <v>86</v>
      </c>
      <c r="N33" s="43"/>
      <c r="O33" s="34">
        <v>40</v>
      </c>
      <c r="P33" s="13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132"/>
      <c r="R33" s="132"/>
      <c r="S33" s="132"/>
      <c r="T33" s="133"/>
      <c r="U33" s="59" t="s">
        <v>20</v>
      </c>
      <c r="V33" s="59" t="s">
        <v>20</v>
      </c>
      <c r="W33" s="60" t="s">
        <v>69</v>
      </c>
      <c r="X33" s="61">
        <v>0</v>
      </c>
      <c r="Y33" s="67">
        <f t="shared" si="0"/>
        <v>0</v>
      </c>
      <c r="Z33" s="68" t="str">
        <f t="shared" si="1"/>
        <v/>
      </c>
      <c r="AA33" s="69" t="s">
        <v>20</v>
      </c>
      <c r="AB33" s="70" t="s">
        <v>20</v>
      </c>
      <c r="AC33" s="71" t="s">
        <v>101</v>
      </c>
      <c r="AG33" s="74"/>
      <c r="AJ33" s="75" t="s">
        <v>20</v>
      </c>
      <c r="AK33" s="75">
        <v>0</v>
      </c>
      <c r="BB33" s="77" t="s">
        <v>1</v>
      </c>
      <c r="BM33" s="74">
        <f t="shared" si="2"/>
        <v>0</v>
      </c>
      <c r="BN33" s="74">
        <f t="shared" si="3"/>
        <v>0</v>
      </c>
      <c r="BO33" s="74">
        <f t="shared" si="4"/>
        <v>0</v>
      </c>
      <c r="BP33" s="74">
        <f t="shared" si="5"/>
        <v>0</v>
      </c>
    </row>
    <row r="34" spans="1:68" hidden="1" x14ac:dyDescent="0.2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7"/>
      <c r="P34" s="142" t="s">
        <v>75</v>
      </c>
      <c r="Q34" s="143"/>
      <c r="R34" s="143"/>
      <c r="S34" s="143"/>
      <c r="T34" s="143"/>
      <c r="U34" s="143"/>
      <c r="V34" s="144"/>
      <c r="W34" s="62" t="s">
        <v>76</v>
      </c>
      <c r="X34" s="63">
        <f>IFERROR(X27/H27,"0")+IFERROR(X28/H28,"0")+IFERROR(X29/H29,"0")+IFERROR(X30/H30,"0")+IFERROR(X31/H31,"0")+IFERROR(X32/H32,"0")+IFERROR(X33/H33,"0")</f>
        <v>0</v>
      </c>
      <c r="Y34" s="63">
        <f>IFERROR(Y27/H27,"0")+IFERROR(Y28/H28,"0")+IFERROR(Y29/H29,"0")+IFERROR(Y30/H30,"0")+IFERROR(Y31/H31,"0")+IFERROR(Y32/H32,"0")+IFERROR(Y33/H33,"0")</f>
        <v>0</v>
      </c>
      <c r="Z34" s="63">
        <f>IFERROR(IF(Z27="",0,Z27),"0")+IFERROR(IF(Z28="",0,Z28),"0")+IFERROR(IF(Z29="",0,Z29),"0")+IFERROR(IF(Z30="",0,Z30),"0")+IFERROR(IF(Z31="",0,Z31),"0")+IFERROR(IF(Z32="",0,Z32),"0")+IFERROR(IF(Z33="",0,Z33),"0")</f>
        <v>0</v>
      </c>
      <c r="AA34" s="72"/>
      <c r="AB34" s="72"/>
      <c r="AC34" s="72"/>
    </row>
    <row r="35" spans="1:68" hidden="1" x14ac:dyDescent="0.2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7"/>
      <c r="P35" s="142" t="s">
        <v>75</v>
      </c>
      <c r="Q35" s="143"/>
      <c r="R35" s="143"/>
      <c r="S35" s="143"/>
      <c r="T35" s="143"/>
      <c r="U35" s="143"/>
      <c r="V35" s="144"/>
      <c r="W35" s="62" t="s">
        <v>69</v>
      </c>
      <c r="X35" s="63">
        <f>IFERROR(SUM(X27:X33),"0")</f>
        <v>0</v>
      </c>
      <c r="Y35" s="63">
        <f>IFERROR(SUM(Y27:Y33),"0")</f>
        <v>0</v>
      </c>
      <c r="Z35" s="62"/>
      <c r="AA35" s="72"/>
      <c r="AB35" s="72"/>
      <c r="AC35" s="72"/>
    </row>
    <row r="36" spans="1:68" ht="14.25" hidden="1" customHeight="1" x14ac:dyDescent="0.25">
      <c r="A36" s="129" t="s">
        <v>102</v>
      </c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30"/>
      <c r="AB36" s="30"/>
      <c r="AC36" s="30"/>
    </row>
    <row r="37" spans="1:68" ht="27" hidden="1" customHeight="1" x14ac:dyDescent="0.25">
      <c r="A37" s="31" t="s">
        <v>103</v>
      </c>
      <c r="B37" s="31" t="s">
        <v>104</v>
      </c>
      <c r="C37" s="32">
        <v>4301032013</v>
      </c>
      <c r="D37" s="130">
        <v>4607091388503</v>
      </c>
      <c r="E37" s="130"/>
      <c r="F37" s="33">
        <v>0.05</v>
      </c>
      <c r="G37" s="34">
        <v>12</v>
      </c>
      <c r="H37" s="33">
        <v>0.6</v>
      </c>
      <c r="I37" s="33">
        <v>0.82199999999999995</v>
      </c>
      <c r="J37" s="34">
        <v>182</v>
      </c>
      <c r="K37" s="34" t="s">
        <v>67</v>
      </c>
      <c r="L37" s="34" t="s">
        <v>20</v>
      </c>
      <c r="M37" s="43" t="s">
        <v>105</v>
      </c>
      <c r="N37" s="43"/>
      <c r="O37" s="34">
        <v>120</v>
      </c>
      <c r="P37" s="13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132"/>
      <c r="R37" s="132"/>
      <c r="S37" s="132"/>
      <c r="T37" s="133"/>
      <c r="U37" s="59" t="s">
        <v>20</v>
      </c>
      <c r="V37" s="59" t="s">
        <v>20</v>
      </c>
      <c r="W37" s="60" t="s">
        <v>69</v>
      </c>
      <c r="X37" s="61">
        <v>0</v>
      </c>
      <c r="Y37" s="67">
        <f>IFERROR(IF(X37="",0,CEILING((X37/$H37),1)*$H37),"")</f>
        <v>0</v>
      </c>
      <c r="Z37" s="68" t="str">
        <f>IFERROR(IF(Y37=0,"",ROUNDUP(Y37/H37,0)*0.00651),"")</f>
        <v/>
      </c>
      <c r="AA37" s="69" t="s">
        <v>20</v>
      </c>
      <c r="AB37" s="70" t="s">
        <v>20</v>
      </c>
      <c r="AC37" s="71" t="s">
        <v>106</v>
      </c>
      <c r="AG37" s="74"/>
      <c r="AJ37" s="75" t="s">
        <v>20</v>
      </c>
      <c r="AK37" s="75">
        <v>0</v>
      </c>
      <c r="BB37" s="77" t="s">
        <v>107</v>
      </c>
      <c r="BM37" s="74">
        <f>IFERROR(X37*I37/H37,"0")</f>
        <v>0</v>
      </c>
      <c r="BN37" s="74">
        <f>IFERROR(Y37*I37/H37,"0")</f>
        <v>0</v>
      </c>
      <c r="BO37" s="74">
        <f>IFERROR(1/J37*(X37/H37),"0")</f>
        <v>0</v>
      </c>
      <c r="BP37" s="74">
        <f>IFERROR(1/J37*(Y37/H37),"0")</f>
        <v>0</v>
      </c>
    </row>
    <row r="38" spans="1:68" hidden="1" x14ac:dyDescent="0.2">
      <c r="A38" s="146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7"/>
      <c r="P38" s="142" t="s">
        <v>75</v>
      </c>
      <c r="Q38" s="143"/>
      <c r="R38" s="143"/>
      <c r="S38" s="143"/>
      <c r="T38" s="143"/>
      <c r="U38" s="143"/>
      <c r="V38" s="144"/>
      <c r="W38" s="62" t="s">
        <v>76</v>
      </c>
      <c r="X38" s="63">
        <f>IFERROR(X37/H37,"0")</f>
        <v>0</v>
      </c>
      <c r="Y38" s="63">
        <f>IFERROR(Y37/H37,"0")</f>
        <v>0</v>
      </c>
      <c r="Z38" s="63">
        <f>IFERROR(IF(Z37="",0,Z37),"0")</f>
        <v>0</v>
      </c>
      <c r="AA38" s="72"/>
      <c r="AB38" s="72"/>
      <c r="AC38" s="72"/>
    </row>
    <row r="39" spans="1:68" hidden="1" x14ac:dyDescent="0.2">
      <c r="A39" s="146"/>
      <c r="B39" s="146"/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7"/>
      <c r="P39" s="142" t="s">
        <v>75</v>
      </c>
      <c r="Q39" s="143"/>
      <c r="R39" s="143"/>
      <c r="S39" s="143"/>
      <c r="T39" s="143"/>
      <c r="U39" s="143"/>
      <c r="V39" s="144"/>
      <c r="W39" s="62" t="s">
        <v>69</v>
      </c>
      <c r="X39" s="63">
        <f>IFERROR(SUM(X37:X37),"0")</f>
        <v>0</v>
      </c>
      <c r="Y39" s="63">
        <f>IFERROR(SUM(Y37:Y37),"0")</f>
        <v>0</v>
      </c>
      <c r="Z39" s="62"/>
      <c r="AA39" s="72"/>
      <c r="AB39" s="72"/>
      <c r="AC39" s="72"/>
    </row>
    <row r="40" spans="1:68" ht="27.75" hidden="1" customHeight="1" x14ac:dyDescent="0.2">
      <c r="A40" s="127" t="s">
        <v>108</v>
      </c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  <c r="AA40" s="66"/>
      <c r="AB40" s="66"/>
      <c r="AC40" s="66"/>
    </row>
    <row r="41" spans="1:68" ht="16.5" hidden="1" customHeight="1" x14ac:dyDescent="0.25">
      <c r="A41" s="128" t="s">
        <v>109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29"/>
      <c r="AB41" s="29"/>
      <c r="AC41" s="29"/>
    </row>
    <row r="42" spans="1:68" ht="14.25" hidden="1" customHeight="1" x14ac:dyDescent="0.25">
      <c r="A42" s="129" t="s">
        <v>77</v>
      </c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30"/>
      <c r="AB42" s="30"/>
      <c r="AC42" s="30"/>
    </row>
    <row r="43" spans="1:68" ht="27" hidden="1" customHeight="1" x14ac:dyDescent="0.25">
      <c r="A43" s="31" t="s">
        <v>110</v>
      </c>
      <c r="B43" s="31" t="s">
        <v>111</v>
      </c>
      <c r="C43" s="32">
        <v>4301052184</v>
      </c>
      <c r="D43" s="130">
        <v>4680115888272</v>
      </c>
      <c r="E43" s="130"/>
      <c r="F43" s="33">
        <v>0.32</v>
      </c>
      <c r="G43" s="34">
        <v>6</v>
      </c>
      <c r="H43" s="33">
        <v>1.92</v>
      </c>
      <c r="I43" s="33">
        <v>2.1</v>
      </c>
      <c r="J43" s="34">
        <v>182</v>
      </c>
      <c r="K43" s="34" t="s">
        <v>67</v>
      </c>
      <c r="L43" s="34" t="s">
        <v>20</v>
      </c>
      <c r="M43" s="43" t="s">
        <v>86</v>
      </c>
      <c r="N43" s="43"/>
      <c r="O43" s="34">
        <v>40</v>
      </c>
      <c r="P43" s="13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132"/>
      <c r="R43" s="132"/>
      <c r="S43" s="132"/>
      <c r="T43" s="133"/>
      <c r="U43" s="59" t="s">
        <v>20</v>
      </c>
      <c r="V43" s="59" t="s">
        <v>20</v>
      </c>
      <c r="W43" s="60" t="s">
        <v>69</v>
      </c>
      <c r="X43" s="61">
        <v>0</v>
      </c>
      <c r="Y43" s="67">
        <f>IFERROR(IF(X43="",0,CEILING((X43/$H43),1)*$H43),"")</f>
        <v>0</v>
      </c>
      <c r="Z43" s="68" t="str">
        <f>IFERROR(IF(Y43=0,"",ROUNDUP(Y43/H43,0)*0.00651),"")</f>
        <v/>
      </c>
      <c r="AA43" s="69" t="s">
        <v>20</v>
      </c>
      <c r="AB43" s="70" t="s">
        <v>20</v>
      </c>
      <c r="AC43" s="71" t="s">
        <v>112</v>
      </c>
      <c r="AG43" s="74"/>
      <c r="AJ43" s="75" t="s">
        <v>20</v>
      </c>
      <c r="AK43" s="75">
        <v>0</v>
      </c>
      <c r="BB43" s="77" t="s">
        <v>1</v>
      </c>
      <c r="BM43" s="74">
        <f>IFERROR(X43*I43/H43,"0")</f>
        <v>0</v>
      </c>
      <c r="BN43" s="74">
        <f>IFERROR(Y43*I43/H43,"0")</f>
        <v>0</v>
      </c>
      <c r="BO43" s="74">
        <f>IFERROR(1/J43*(X43/H43),"0")</f>
        <v>0</v>
      </c>
      <c r="BP43" s="74">
        <f>IFERROR(1/J43*(Y43/H43),"0")</f>
        <v>0</v>
      </c>
    </row>
    <row r="44" spans="1:68" hidden="1" x14ac:dyDescent="0.2">
      <c r="A44" s="146"/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7"/>
      <c r="P44" s="142" t="s">
        <v>75</v>
      </c>
      <c r="Q44" s="143"/>
      <c r="R44" s="143"/>
      <c r="S44" s="143"/>
      <c r="T44" s="143"/>
      <c r="U44" s="143"/>
      <c r="V44" s="144"/>
      <c r="W44" s="62" t="s">
        <v>76</v>
      </c>
      <c r="X44" s="63">
        <f>IFERROR(X43/H43,"0")</f>
        <v>0</v>
      </c>
      <c r="Y44" s="63">
        <f>IFERROR(Y43/H43,"0")</f>
        <v>0</v>
      </c>
      <c r="Z44" s="63">
        <f>IFERROR(IF(Z43="",0,Z43),"0")</f>
        <v>0</v>
      </c>
      <c r="AA44" s="72"/>
      <c r="AB44" s="72"/>
      <c r="AC44" s="72"/>
    </row>
    <row r="45" spans="1:68" hidden="1" x14ac:dyDescent="0.2">
      <c r="A45" s="146"/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7"/>
      <c r="P45" s="142" t="s">
        <v>75</v>
      </c>
      <c r="Q45" s="143"/>
      <c r="R45" s="143"/>
      <c r="S45" s="143"/>
      <c r="T45" s="143"/>
      <c r="U45" s="143"/>
      <c r="V45" s="144"/>
      <c r="W45" s="62" t="s">
        <v>69</v>
      </c>
      <c r="X45" s="63">
        <f>IFERROR(SUM(X43:X43),"0")</f>
        <v>0</v>
      </c>
      <c r="Y45" s="63">
        <f>IFERROR(SUM(Y43:Y43),"0")</f>
        <v>0</v>
      </c>
      <c r="Z45" s="62"/>
      <c r="AA45" s="72"/>
      <c r="AB45" s="72"/>
      <c r="AC45" s="72"/>
    </row>
    <row r="46" spans="1:68" ht="27.75" hidden="1" customHeight="1" x14ac:dyDescent="0.2">
      <c r="A46" s="127" t="s">
        <v>113</v>
      </c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  <c r="AA46" s="66"/>
      <c r="AB46" s="66"/>
      <c r="AC46" s="66"/>
    </row>
    <row r="47" spans="1:68" ht="16.5" hidden="1" customHeight="1" x14ac:dyDescent="0.25">
      <c r="A47" s="128" t="s">
        <v>114</v>
      </c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29"/>
      <c r="AB47" s="29"/>
      <c r="AC47" s="29"/>
    </row>
    <row r="48" spans="1:68" ht="14.25" hidden="1" customHeight="1" x14ac:dyDescent="0.25">
      <c r="A48" s="129" t="s">
        <v>115</v>
      </c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30"/>
      <c r="AB48" s="30"/>
      <c r="AC48" s="30"/>
    </row>
    <row r="49" spans="1:68" ht="16.5" customHeight="1" x14ac:dyDescent="0.25">
      <c r="A49" s="31" t="s">
        <v>116</v>
      </c>
      <c r="B49" s="31" t="s">
        <v>117</v>
      </c>
      <c r="C49" s="32">
        <v>4301011380</v>
      </c>
      <c r="D49" s="130">
        <v>4607091385670</v>
      </c>
      <c r="E49" s="130"/>
      <c r="F49" s="33">
        <v>1.35</v>
      </c>
      <c r="G49" s="34">
        <v>8</v>
      </c>
      <c r="H49" s="33">
        <v>10.8</v>
      </c>
      <c r="I49" s="33">
        <v>11.21</v>
      </c>
      <c r="J49" s="34">
        <v>64</v>
      </c>
      <c r="K49" s="34" t="s">
        <v>118</v>
      </c>
      <c r="L49" s="34" t="s">
        <v>20</v>
      </c>
      <c r="M49" s="43" t="s">
        <v>119</v>
      </c>
      <c r="N49" s="43"/>
      <c r="O49" s="34">
        <v>50</v>
      </c>
      <c r="P49" s="13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132"/>
      <c r="R49" s="132"/>
      <c r="S49" s="132"/>
      <c r="T49" s="133"/>
      <c r="U49" s="59" t="s">
        <v>20</v>
      </c>
      <c r="V49" s="59" t="s">
        <v>20</v>
      </c>
      <c r="W49" s="60" t="s">
        <v>69</v>
      </c>
      <c r="X49" s="61">
        <v>300</v>
      </c>
      <c r="Y49" s="67">
        <f>IFERROR(IF(X49="",0,CEILING((X49/$H49),1)*$H49),"")</f>
        <v>302.40000000000003</v>
      </c>
      <c r="Z49" s="68">
        <f>IFERROR(IF(Y49=0,"",ROUNDUP(Y49/H49,0)*0.01898),"")</f>
        <v>0.53144000000000002</v>
      </c>
      <c r="AA49" s="69" t="s">
        <v>20</v>
      </c>
      <c r="AB49" s="70" t="s">
        <v>20</v>
      </c>
      <c r="AC49" s="71" t="s">
        <v>120</v>
      </c>
      <c r="AG49" s="74"/>
      <c r="AJ49" s="75" t="s">
        <v>20</v>
      </c>
      <c r="AK49" s="75">
        <v>0</v>
      </c>
      <c r="BB49" s="77" t="s">
        <v>1</v>
      </c>
      <c r="BM49" s="74">
        <f>IFERROR(X49*I49/H49,"0")</f>
        <v>311.38888888888891</v>
      </c>
      <c r="BN49" s="74">
        <f>IFERROR(Y49*I49/H49,"0")</f>
        <v>313.88</v>
      </c>
      <c r="BO49" s="74">
        <f>IFERROR(1/J49*(X49/H49),"0")</f>
        <v>0.43402777777777773</v>
      </c>
      <c r="BP49" s="74">
        <f>IFERROR(1/J49*(Y49/H49),"0")</f>
        <v>0.4375</v>
      </c>
    </row>
    <row r="50" spans="1:68" ht="27" hidden="1" customHeight="1" x14ac:dyDescent="0.25">
      <c r="A50" s="31" t="s">
        <v>121</v>
      </c>
      <c r="B50" s="31" t="s">
        <v>122</v>
      </c>
      <c r="C50" s="32">
        <v>4301012053</v>
      </c>
      <c r="D50" s="130">
        <v>4680115887725</v>
      </c>
      <c r="E50" s="130"/>
      <c r="F50" s="33">
        <v>0.11</v>
      </c>
      <c r="G50" s="34">
        <v>10</v>
      </c>
      <c r="H50" s="33">
        <v>1.1000000000000001</v>
      </c>
      <c r="I50" s="33">
        <v>1.31</v>
      </c>
      <c r="J50" s="34">
        <v>192</v>
      </c>
      <c r="K50" s="34" t="s">
        <v>123</v>
      </c>
      <c r="L50" s="34" t="s">
        <v>20</v>
      </c>
      <c r="M50" s="43" t="s">
        <v>68</v>
      </c>
      <c r="N50" s="43"/>
      <c r="O50" s="34">
        <v>30</v>
      </c>
      <c r="P50" s="145" t="s">
        <v>124</v>
      </c>
      <c r="Q50" s="132"/>
      <c r="R50" s="132"/>
      <c r="S50" s="132"/>
      <c r="T50" s="133"/>
      <c r="U50" s="59" t="s">
        <v>20</v>
      </c>
      <c r="V50" s="59" t="s">
        <v>20</v>
      </c>
      <c r="W50" s="60" t="s">
        <v>69</v>
      </c>
      <c r="X50" s="61">
        <v>0</v>
      </c>
      <c r="Y50" s="67">
        <f>IFERROR(IF(X50="",0,CEILING((X50/$H50),1)*$H50),"")</f>
        <v>0</v>
      </c>
      <c r="Z50" s="68" t="str">
        <f>IFERROR(IF(Y50=0,"",ROUNDUP(Y50/H50,0)*0.00726),"")</f>
        <v/>
      </c>
      <c r="AA50" s="69" t="s">
        <v>20</v>
      </c>
      <c r="AB50" s="70" t="s">
        <v>20</v>
      </c>
      <c r="AC50" s="71" t="s">
        <v>125</v>
      </c>
      <c r="AG50" s="74"/>
      <c r="AJ50" s="75" t="s">
        <v>20</v>
      </c>
      <c r="AK50" s="75">
        <v>0</v>
      </c>
      <c r="BB50" s="77" t="s">
        <v>1</v>
      </c>
      <c r="BM50" s="74">
        <f>IFERROR(X50*I50/H50,"0")</f>
        <v>0</v>
      </c>
      <c r="BN50" s="74">
        <f>IFERROR(Y50*I50/H50,"0")</f>
        <v>0</v>
      </c>
      <c r="BO50" s="74">
        <f>IFERROR(1/J50*(X50/H50),"0")</f>
        <v>0</v>
      </c>
      <c r="BP50" s="74">
        <f>IFERROR(1/J50*(Y50/H50),"0")</f>
        <v>0</v>
      </c>
    </row>
    <row r="51" spans="1:68" ht="27" customHeight="1" x14ac:dyDescent="0.25">
      <c r="A51" s="31" t="s">
        <v>126</v>
      </c>
      <c r="B51" s="31" t="s">
        <v>127</v>
      </c>
      <c r="C51" s="32">
        <v>4301011382</v>
      </c>
      <c r="D51" s="130">
        <v>4607091385687</v>
      </c>
      <c r="E51" s="130"/>
      <c r="F51" s="33">
        <v>0.4</v>
      </c>
      <c r="G51" s="34">
        <v>10</v>
      </c>
      <c r="H51" s="33">
        <v>4</v>
      </c>
      <c r="I51" s="33">
        <v>4.1900000000000004</v>
      </c>
      <c r="J51" s="34">
        <v>132</v>
      </c>
      <c r="K51" s="34" t="s">
        <v>128</v>
      </c>
      <c r="L51" s="34" t="s">
        <v>20</v>
      </c>
      <c r="M51" s="43" t="s">
        <v>86</v>
      </c>
      <c r="N51" s="43"/>
      <c r="O51" s="34">
        <v>50</v>
      </c>
      <c r="P51" s="1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132"/>
      <c r="R51" s="132"/>
      <c r="S51" s="132"/>
      <c r="T51" s="133"/>
      <c r="U51" s="59" t="s">
        <v>20</v>
      </c>
      <c r="V51" s="59" t="s">
        <v>20</v>
      </c>
      <c r="W51" s="60" t="s">
        <v>69</v>
      </c>
      <c r="X51" s="61">
        <v>100</v>
      </c>
      <c r="Y51" s="67">
        <f>IFERROR(IF(X51="",0,CEILING((X51/$H51),1)*$H51),"")</f>
        <v>100</v>
      </c>
      <c r="Z51" s="68">
        <f>IFERROR(IF(Y51=0,"",ROUNDUP(Y51/H51,0)*0.00902),"")</f>
        <v>0.22550000000000001</v>
      </c>
      <c r="AA51" s="69" t="s">
        <v>20</v>
      </c>
      <c r="AB51" s="70" t="s">
        <v>20</v>
      </c>
      <c r="AC51" s="71" t="s">
        <v>120</v>
      </c>
      <c r="AG51" s="74"/>
      <c r="AJ51" s="75" t="s">
        <v>20</v>
      </c>
      <c r="AK51" s="75">
        <v>0</v>
      </c>
      <c r="BB51" s="77" t="s">
        <v>1</v>
      </c>
      <c r="BM51" s="74">
        <f>IFERROR(X51*I51/H51,"0")</f>
        <v>104.75000000000001</v>
      </c>
      <c r="BN51" s="74">
        <f>IFERROR(Y51*I51/H51,"0")</f>
        <v>104.75000000000001</v>
      </c>
      <c r="BO51" s="74">
        <f>IFERROR(1/J51*(X51/H51),"0")</f>
        <v>0.18939393939393939</v>
      </c>
      <c r="BP51" s="74">
        <f>IFERROR(1/J51*(Y51/H51),"0")</f>
        <v>0.18939393939393939</v>
      </c>
    </row>
    <row r="52" spans="1:68" ht="27" hidden="1" customHeight="1" x14ac:dyDescent="0.25">
      <c r="A52" s="31" t="s">
        <v>129</v>
      </c>
      <c r="B52" s="31" t="s">
        <v>130</v>
      </c>
      <c r="C52" s="32">
        <v>4301011565</v>
      </c>
      <c r="D52" s="130">
        <v>4680115882539</v>
      </c>
      <c r="E52" s="130"/>
      <c r="F52" s="33">
        <v>0.37</v>
      </c>
      <c r="G52" s="34">
        <v>10</v>
      </c>
      <c r="H52" s="33">
        <v>3.7</v>
      </c>
      <c r="I52" s="33">
        <v>3.89</v>
      </c>
      <c r="J52" s="34">
        <v>132</v>
      </c>
      <c r="K52" s="34" t="s">
        <v>128</v>
      </c>
      <c r="L52" s="34" t="s">
        <v>20</v>
      </c>
      <c r="M52" s="43" t="s">
        <v>86</v>
      </c>
      <c r="N52" s="43"/>
      <c r="O52" s="34">
        <v>50</v>
      </c>
      <c r="P52" s="1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132"/>
      <c r="R52" s="132"/>
      <c r="S52" s="132"/>
      <c r="T52" s="133"/>
      <c r="U52" s="59" t="s">
        <v>20</v>
      </c>
      <c r="V52" s="59" t="s">
        <v>20</v>
      </c>
      <c r="W52" s="60" t="s">
        <v>69</v>
      </c>
      <c r="X52" s="61">
        <v>0</v>
      </c>
      <c r="Y52" s="67">
        <f>IFERROR(IF(X52="",0,CEILING((X52/$H52),1)*$H52),"")</f>
        <v>0</v>
      </c>
      <c r="Z52" s="68" t="str">
        <f>IFERROR(IF(Y52=0,"",ROUNDUP(Y52/H52,0)*0.00902),"")</f>
        <v/>
      </c>
      <c r="AA52" s="69" t="s">
        <v>20</v>
      </c>
      <c r="AB52" s="70" t="s">
        <v>20</v>
      </c>
      <c r="AC52" s="71" t="s">
        <v>120</v>
      </c>
      <c r="AG52" s="74"/>
      <c r="AJ52" s="75" t="s">
        <v>20</v>
      </c>
      <c r="AK52" s="75">
        <v>0</v>
      </c>
      <c r="BB52" s="77" t="s">
        <v>1</v>
      </c>
      <c r="BM52" s="74">
        <f>IFERROR(X52*I52/H52,"0")</f>
        <v>0</v>
      </c>
      <c r="BN52" s="74">
        <f>IFERROR(Y52*I52/H52,"0")</f>
        <v>0</v>
      </c>
      <c r="BO52" s="74">
        <f>IFERROR(1/J52*(X52/H52),"0")</f>
        <v>0</v>
      </c>
      <c r="BP52" s="74">
        <f>IFERROR(1/J52*(Y52/H52),"0")</f>
        <v>0</v>
      </c>
    </row>
    <row r="53" spans="1:68" x14ac:dyDescent="0.2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7"/>
      <c r="P53" s="142" t="s">
        <v>75</v>
      </c>
      <c r="Q53" s="143"/>
      <c r="R53" s="143"/>
      <c r="S53" s="143"/>
      <c r="T53" s="143"/>
      <c r="U53" s="143"/>
      <c r="V53" s="144"/>
      <c r="W53" s="62" t="s">
        <v>76</v>
      </c>
      <c r="X53" s="63">
        <f>IFERROR(X49/H49,"0")+IFERROR(X50/H50,"0")+IFERROR(X51/H51,"0")+IFERROR(X52/H52,"0")</f>
        <v>52.777777777777771</v>
      </c>
      <c r="Y53" s="63">
        <f>IFERROR(Y49/H49,"0")+IFERROR(Y50/H50,"0")+IFERROR(Y51/H51,"0")+IFERROR(Y52/H52,"0")</f>
        <v>53</v>
      </c>
      <c r="Z53" s="63">
        <f>IFERROR(IF(Z49="",0,Z49),"0")+IFERROR(IF(Z50="",0,Z50),"0")+IFERROR(IF(Z51="",0,Z51),"0")+IFERROR(IF(Z52="",0,Z52),"0")</f>
        <v>0.75694000000000006</v>
      </c>
      <c r="AA53" s="72"/>
      <c r="AB53" s="72"/>
      <c r="AC53" s="72"/>
    </row>
    <row r="54" spans="1:68" x14ac:dyDescent="0.2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7"/>
      <c r="P54" s="142" t="s">
        <v>75</v>
      </c>
      <c r="Q54" s="143"/>
      <c r="R54" s="143"/>
      <c r="S54" s="143"/>
      <c r="T54" s="143"/>
      <c r="U54" s="143"/>
      <c r="V54" s="144"/>
      <c r="W54" s="62" t="s">
        <v>69</v>
      </c>
      <c r="X54" s="63">
        <f>IFERROR(SUM(X49:X52),"0")</f>
        <v>400</v>
      </c>
      <c r="Y54" s="63">
        <f>IFERROR(SUM(Y49:Y52),"0")</f>
        <v>402.40000000000003</v>
      </c>
      <c r="Z54" s="62"/>
      <c r="AA54" s="72"/>
      <c r="AB54" s="72"/>
      <c r="AC54" s="72"/>
    </row>
    <row r="55" spans="1:68" ht="14.25" hidden="1" customHeight="1" x14ac:dyDescent="0.25">
      <c r="A55" s="129" t="s">
        <v>77</v>
      </c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30"/>
      <c r="AB55" s="30"/>
      <c r="AC55" s="30"/>
    </row>
    <row r="56" spans="1:68" ht="16.5" hidden="1" customHeight="1" x14ac:dyDescent="0.25">
      <c r="A56" s="31" t="s">
        <v>131</v>
      </c>
      <c r="B56" s="31" t="s">
        <v>132</v>
      </c>
      <c r="C56" s="32">
        <v>4301051820</v>
      </c>
      <c r="D56" s="130">
        <v>4680115884915</v>
      </c>
      <c r="E56" s="130"/>
      <c r="F56" s="33">
        <v>0.3</v>
      </c>
      <c r="G56" s="34">
        <v>6</v>
      </c>
      <c r="H56" s="33">
        <v>1.8</v>
      </c>
      <c r="I56" s="33">
        <v>1.98</v>
      </c>
      <c r="J56" s="34">
        <v>182</v>
      </c>
      <c r="K56" s="34" t="s">
        <v>67</v>
      </c>
      <c r="L56" s="34" t="s">
        <v>20</v>
      </c>
      <c r="M56" s="43" t="s">
        <v>86</v>
      </c>
      <c r="N56" s="43"/>
      <c r="O56" s="34">
        <v>40</v>
      </c>
      <c r="P56" s="13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56" s="132"/>
      <c r="R56" s="132"/>
      <c r="S56" s="132"/>
      <c r="T56" s="133"/>
      <c r="U56" s="59" t="s">
        <v>20</v>
      </c>
      <c r="V56" s="59" t="s">
        <v>133</v>
      </c>
      <c r="W56" s="60" t="s">
        <v>69</v>
      </c>
      <c r="X56" s="61">
        <v>0</v>
      </c>
      <c r="Y56" s="67">
        <f>IFERROR(IF(X56="",0,CEILING((X56/$H56),1)*$H56),"")</f>
        <v>0</v>
      </c>
      <c r="Z56" s="68" t="str">
        <f>IFERROR(IF(Y56=0,"",ROUNDUP(Y56/H56,0)*0.00651),"")</f>
        <v/>
      </c>
      <c r="AA56" s="69" t="s">
        <v>20</v>
      </c>
      <c r="AB56" s="70" t="s">
        <v>20</v>
      </c>
      <c r="AC56" s="71" t="s">
        <v>134</v>
      </c>
      <c r="AG56" s="74"/>
      <c r="AJ56" s="75" t="s">
        <v>20</v>
      </c>
      <c r="AK56" s="75">
        <v>0</v>
      </c>
      <c r="BB56" s="77" t="s">
        <v>1</v>
      </c>
      <c r="BM56" s="74">
        <f>IFERROR(X56*I56/H56,"0")</f>
        <v>0</v>
      </c>
      <c r="BN56" s="74">
        <f>IFERROR(Y56*I56/H56,"0")</f>
        <v>0</v>
      </c>
      <c r="BO56" s="74">
        <f>IFERROR(1/J56*(X56/H56),"0")</f>
        <v>0</v>
      </c>
      <c r="BP56" s="74">
        <f>IFERROR(1/J56*(Y56/H56),"0")</f>
        <v>0</v>
      </c>
    </row>
    <row r="57" spans="1:68" hidden="1" x14ac:dyDescent="0.2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7"/>
      <c r="P57" s="142" t="s">
        <v>75</v>
      </c>
      <c r="Q57" s="143"/>
      <c r="R57" s="143"/>
      <c r="S57" s="143"/>
      <c r="T57" s="143"/>
      <c r="U57" s="143"/>
      <c r="V57" s="144"/>
      <c r="W57" s="62" t="s">
        <v>76</v>
      </c>
      <c r="X57" s="63">
        <f>IFERROR(X56/H56,"0")</f>
        <v>0</v>
      </c>
      <c r="Y57" s="63">
        <f>IFERROR(Y56/H56,"0")</f>
        <v>0</v>
      </c>
      <c r="Z57" s="63">
        <f>IFERROR(IF(Z56="",0,Z56),"0")</f>
        <v>0</v>
      </c>
      <c r="AA57" s="72"/>
      <c r="AB57" s="72"/>
      <c r="AC57" s="72"/>
    </row>
    <row r="58" spans="1:68" hidden="1" x14ac:dyDescent="0.2">
      <c r="A58" s="146"/>
      <c r="B58" s="146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46"/>
      <c r="O58" s="147"/>
      <c r="P58" s="142" t="s">
        <v>75</v>
      </c>
      <c r="Q58" s="143"/>
      <c r="R58" s="143"/>
      <c r="S58" s="143"/>
      <c r="T58" s="143"/>
      <c r="U58" s="143"/>
      <c r="V58" s="144"/>
      <c r="W58" s="62" t="s">
        <v>69</v>
      </c>
      <c r="X58" s="63">
        <f>IFERROR(SUM(X56:X56),"0")</f>
        <v>0</v>
      </c>
      <c r="Y58" s="63">
        <f>IFERROR(SUM(Y56:Y56),"0")</f>
        <v>0</v>
      </c>
      <c r="Z58" s="62"/>
      <c r="AA58" s="72"/>
      <c r="AB58" s="72"/>
      <c r="AC58" s="72"/>
    </row>
    <row r="59" spans="1:68" ht="16.5" hidden="1" customHeight="1" x14ac:dyDescent="0.25">
      <c r="A59" s="128" t="s">
        <v>135</v>
      </c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29"/>
      <c r="AB59" s="29"/>
      <c r="AC59" s="29"/>
    </row>
    <row r="60" spans="1:68" ht="14.25" hidden="1" customHeight="1" x14ac:dyDescent="0.25">
      <c r="A60" s="129" t="s">
        <v>115</v>
      </c>
      <c r="B60" s="129"/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30"/>
      <c r="AB60" s="30"/>
      <c r="AC60" s="30"/>
    </row>
    <row r="61" spans="1:68" ht="27" hidden="1" customHeight="1" x14ac:dyDescent="0.25">
      <c r="A61" s="31" t="s">
        <v>136</v>
      </c>
      <c r="B61" s="31" t="s">
        <v>137</v>
      </c>
      <c r="C61" s="32">
        <v>4301012030</v>
      </c>
      <c r="D61" s="130">
        <v>4680115885882</v>
      </c>
      <c r="E61" s="130"/>
      <c r="F61" s="33">
        <v>1.4</v>
      </c>
      <c r="G61" s="34">
        <v>8</v>
      </c>
      <c r="H61" s="33">
        <v>11.2</v>
      </c>
      <c r="I61" s="33">
        <v>11.61</v>
      </c>
      <c r="J61" s="34">
        <v>64</v>
      </c>
      <c r="K61" s="34" t="s">
        <v>118</v>
      </c>
      <c r="L61" s="34" t="s">
        <v>20</v>
      </c>
      <c r="M61" s="43" t="s">
        <v>86</v>
      </c>
      <c r="N61" s="43"/>
      <c r="O61" s="34">
        <v>50</v>
      </c>
      <c r="P61" s="1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1" s="132"/>
      <c r="R61" s="132"/>
      <c r="S61" s="132"/>
      <c r="T61" s="133"/>
      <c r="U61" s="59" t="s">
        <v>20</v>
      </c>
      <c r="V61" s="59" t="s">
        <v>20</v>
      </c>
      <c r="W61" s="60" t="s">
        <v>69</v>
      </c>
      <c r="X61" s="61">
        <v>0</v>
      </c>
      <c r="Y61" s="67">
        <f t="shared" ref="Y61:Y66" si="6">IFERROR(IF(X61="",0,CEILING((X61/$H61),1)*$H61),"")</f>
        <v>0</v>
      </c>
      <c r="Z61" s="68" t="str">
        <f>IFERROR(IF(Y61=0,"",ROUNDUP(Y61/H61,0)*0.01898),"")</f>
        <v/>
      </c>
      <c r="AA61" s="69" t="s">
        <v>20</v>
      </c>
      <c r="AB61" s="70" t="s">
        <v>20</v>
      </c>
      <c r="AC61" s="71" t="s">
        <v>138</v>
      </c>
      <c r="AG61" s="74"/>
      <c r="AJ61" s="75" t="s">
        <v>20</v>
      </c>
      <c r="AK61" s="75">
        <v>0</v>
      </c>
      <c r="BB61" s="77" t="s">
        <v>1</v>
      </c>
      <c r="BM61" s="74">
        <f t="shared" ref="BM61:BM66" si="7">IFERROR(X61*I61/H61,"0")</f>
        <v>0</v>
      </c>
      <c r="BN61" s="74">
        <f t="shared" ref="BN61:BN66" si="8">IFERROR(Y61*I61/H61,"0")</f>
        <v>0</v>
      </c>
      <c r="BO61" s="74">
        <f t="shared" ref="BO61:BO66" si="9">IFERROR(1/J61*(X61/H61),"0")</f>
        <v>0</v>
      </c>
      <c r="BP61" s="74">
        <f t="shared" ref="BP61:BP66" si="10">IFERROR(1/J61*(Y61/H61),"0")</f>
        <v>0</v>
      </c>
    </row>
    <row r="62" spans="1:68" ht="27" hidden="1" customHeight="1" x14ac:dyDescent="0.25">
      <c r="A62" s="31" t="s">
        <v>139</v>
      </c>
      <c r="B62" s="31" t="s">
        <v>140</v>
      </c>
      <c r="C62" s="32">
        <v>4301011816</v>
      </c>
      <c r="D62" s="130">
        <v>4680115881426</v>
      </c>
      <c r="E62" s="130"/>
      <c r="F62" s="33">
        <v>1.35</v>
      </c>
      <c r="G62" s="34">
        <v>8</v>
      </c>
      <c r="H62" s="33">
        <v>10.8</v>
      </c>
      <c r="I62" s="33">
        <v>11.21</v>
      </c>
      <c r="J62" s="34">
        <v>64</v>
      </c>
      <c r="K62" s="34" t="s">
        <v>118</v>
      </c>
      <c r="L62" s="34" t="s">
        <v>20</v>
      </c>
      <c r="M62" s="43" t="s">
        <v>119</v>
      </c>
      <c r="N62" s="43"/>
      <c r="O62" s="34">
        <v>50</v>
      </c>
      <c r="P62" s="1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2" s="132"/>
      <c r="R62" s="132"/>
      <c r="S62" s="132"/>
      <c r="T62" s="133"/>
      <c r="U62" s="59" t="s">
        <v>20</v>
      </c>
      <c r="V62" s="59" t="s">
        <v>20</v>
      </c>
      <c r="W62" s="60" t="s">
        <v>69</v>
      </c>
      <c r="X62" s="61">
        <v>0</v>
      </c>
      <c r="Y62" s="67">
        <f t="shared" si="6"/>
        <v>0</v>
      </c>
      <c r="Z62" s="68" t="str">
        <f>IFERROR(IF(Y62=0,"",ROUNDUP(Y62/H62,0)*0.01898),"")</f>
        <v/>
      </c>
      <c r="AA62" s="69" t="s">
        <v>20</v>
      </c>
      <c r="AB62" s="70" t="s">
        <v>20</v>
      </c>
      <c r="AC62" s="71" t="s">
        <v>141</v>
      </c>
      <c r="AG62" s="74"/>
      <c r="AJ62" s="75" t="s">
        <v>20</v>
      </c>
      <c r="AK62" s="75">
        <v>0</v>
      </c>
      <c r="BB62" s="77" t="s">
        <v>1</v>
      </c>
      <c r="BM62" s="74">
        <f t="shared" si="7"/>
        <v>0</v>
      </c>
      <c r="BN62" s="74">
        <f t="shared" si="8"/>
        <v>0</v>
      </c>
      <c r="BO62" s="74">
        <f t="shared" si="9"/>
        <v>0</v>
      </c>
      <c r="BP62" s="74">
        <f t="shared" si="10"/>
        <v>0</v>
      </c>
    </row>
    <row r="63" spans="1:68" ht="27" hidden="1" customHeight="1" x14ac:dyDescent="0.25">
      <c r="A63" s="31" t="s">
        <v>142</v>
      </c>
      <c r="B63" s="31" t="s">
        <v>143</v>
      </c>
      <c r="C63" s="32">
        <v>4301011386</v>
      </c>
      <c r="D63" s="130">
        <v>4680115880283</v>
      </c>
      <c r="E63" s="130"/>
      <c r="F63" s="33">
        <v>0.6</v>
      </c>
      <c r="G63" s="34">
        <v>8</v>
      </c>
      <c r="H63" s="33">
        <v>4.8</v>
      </c>
      <c r="I63" s="33">
        <v>4.99</v>
      </c>
      <c r="J63" s="34">
        <v>132</v>
      </c>
      <c r="K63" s="34" t="s">
        <v>128</v>
      </c>
      <c r="L63" s="34" t="s">
        <v>20</v>
      </c>
      <c r="M63" s="43" t="s">
        <v>119</v>
      </c>
      <c r="N63" s="43"/>
      <c r="O63" s="34">
        <v>45</v>
      </c>
      <c r="P63" s="13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3" s="132"/>
      <c r="R63" s="132"/>
      <c r="S63" s="132"/>
      <c r="T63" s="133"/>
      <c r="U63" s="59" t="s">
        <v>20</v>
      </c>
      <c r="V63" s="59" t="s">
        <v>20</v>
      </c>
      <c r="W63" s="60" t="s">
        <v>69</v>
      </c>
      <c r="X63" s="61">
        <v>0</v>
      </c>
      <c r="Y63" s="67">
        <f t="shared" si="6"/>
        <v>0</v>
      </c>
      <c r="Z63" s="68" t="str">
        <f>IFERROR(IF(Y63=0,"",ROUNDUP(Y63/H63,0)*0.00902),"")</f>
        <v/>
      </c>
      <c r="AA63" s="69" t="s">
        <v>20</v>
      </c>
      <c r="AB63" s="70" t="s">
        <v>20</v>
      </c>
      <c r="AC63" s="71" t="s">
        <v>144</v>
      </c>
      <c r="AG63" s="74"/>
      <c r="AJ63" s="75" t="s">
        <v>20</v>
      </c>
      <c r="AK63" s="75">
        <v>0</v>
      </c>
      <c r="BB63" s="77" t="s">
        <v>1</v>
      </c>
      <c r="BM63" s="74">
        <f t="shared" si="7"/>
        <v>0</v>
      </c>
      <c r="BN63" s="74">
        <f t="shared" si="8"/>
        <v>0</v>
      </c>
      <c r="BO63" s="74">
        <f t="shared" si="9"/>
        <v>0</v>
      </c>
      <c r="BP63" s="74">
        <f t="shared" si="10"/>
        <v>0</v>
      </c>
    </row>
    <row r="64" spans="1:68" ht="27" hidden="1" customHeight="1" x14ac:dyDescent="0.25">
      <c r="A64" s="31" t="s">
        <v>145</v>
      </c>
      <c r="B64" s="31" t="s">
        <v>146</v>
      </c>
      <c r="C64" s="32">
        <v>4301011806</v>
      </c>
      <c r="D64" s="130">
        <v>4680115881525</v>
      </c>
      <c r="E64" s="130"/>
      <c r="F64" s="33">
        <v>0.4</v>
      </c>
      <c r="G64" s="34">
        <v>10</v>
      </c>
      <c r="H64" s="33">
        <v>4</v>
      </c>
      <c r="I64" s="33">
        <v>4.1900000000000004</v>
      </c>
      <c r="J64" s="34">
        <v>132</v>
      </c>
      <c r="K64" s="34" t="s">
        <v>128</v>
      </c>
      <c r="L64" s="34" t="s">
        <v>20</v>
      </c>
      <c r="M64" s="43" t="s">
        <v>119</v>
      </c>
      <c r="N64" s="43"/>
      <c r="O64" s="34">
        <v>50</v>
      </c>
      <c r="P64" s="1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132"/>
      <c r="R64" s="132"/>
      <c r="S64" s="132"/>
      <c r="T64" s="133"/>
      <c r="U64" s="59" t="s">
        <v>20</v>
      </c>
      <c r="V64" s="59" t="s">
        <v>20</v>
      </c>
      <c r="W64" s="60" t="s">
        <v>69</v>
      </c>
      <c r="X64" s="61">
        <v>0</v>
      </c>
      <c r="Y64" s="67">
        <f t="shared" si="6"/>
        <v>0</v>
      </c>
      <c r="Z64" s="68" t="str">
        <f>IFERROR(IF(Y64=0,"",ROUNDUP(Y64/H64,0)*0.00902),"")</f>
        <v/>
      </c>
      <c r="AA64" s="69" t="s">
        <v>20</v>
      </c>
      <c r="AB64" s="70" t="s">
        <v>20</v>
      </c>
      <c r="AC64" s="71" t="s">
        <v>147</v>
      </c>
      <c r="AG64" s="74"/>
      <c r="AJ64" s="75" t="s">
        <v>20</v>
      </c>
      <c r="AK64" s="75">
        <v>0</v>
      </c>
      <c r="BB64" s="77" t="s">
        <v>1</v>
      </c>
      <c r="BM64" s="74">
        <f t="shared" si="7"/>
        <v>0</v>
      </c>
      <c r="BN64" s="74">
        <f t="shared" si="8"/>
        <v>0</v>
      </c>
      <c r="BO64" s="74">
        <f t="shared" si="9"/>
        <v>0</v>
      </c>
      <c r="BP64" s="74">
        <f t="shared" si="10"/>
        <v>0</v>
      </c>
    </row>
    <row r="65" spans="1:68" ht="27" hidden="1" customHeight="1" x14ac:dyDescent="0.25">
      <c r="A65" s="31" t="s">
        <v>148</v>
      </c>
      <c r="B65" s="31" t="s">
        <v>149</v>
      </c>
      <c r="C65" s="32">
        <v>4301011589</v>
      </c>
      <c r="D65" s="130">
        <v>4680115885899</v>
      </c>
      <c r="E65" s="130"/>
      <c r="F65" s="33">
        <v>0.35</v>
      </c>
      <c r="G65" s="34">
        <v>6</v>
      </c>
      <c r="H65" s="33">
        <v>2.1</v>
      </c>
      <c r="I65" s="33">
        <v>2.2799999999999998</v>
      </c>
      <c r="J65" s="34">
        <v>182</v>
      </c>
      <c r="K65" s="34" t="s">
        <v>67</v>
      </c>
      <c r="L65" s="34" t="s">
        <v>20</v>
      </c>
      <c r="M65" s="43" t="s">
        <v>80</v>
      </c>
      <c r="N65" s="43"/>
      <c r="O65" s="34">
        <v>50</v>
      </c>
      <c r="P65" s="13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5" s="132"/>
      <c r="R65" s="132"/>
      <c r="S65" s="132"/>
      <c r="T65" s="133"/>
      <c r="U65" s="59" t="s">
        <v>20</v>
      </c>
      <c r="V65" s="59" t="s">
        <v>20</v>
      </c>
      <c r="W65" s="60" t="s">
        <v>69</v>
      </c>
      <c r="X65" s="61">
        <v>0</v>
      </c>
      <c r="Y65" s="67">
        <f t="shared" si="6"/>
        <v>0</v>
      </c>
      <c r="Z65" s="68" t="str">
        <f>IFERROR(IF(Y65=0,"",ROUNDUP(Y65/H65,0)*0.00651),"")</f>
        <v/>
      </c>
      <c r="AA65" s="69" t="s">
        <v>20</v>
      </c>
      <c r="AB65" s="70" t="s">
        <v>20</v>
      </c>
      <c r="AC65" s="71" t="s">
        <v>150</v>
      </c>
      <c r="AG65" s="74"/>
      <c r="AJ65" s="75" t="s">
        <v>20</v>
      </c>
      <c r="AK65" s="75">
        <v>0</v>
      </c>
      <c r="BB65" s="77" t="s">
        <v>1</v>
      </c>
      <c r="BM65" s="74">
        <f t="shared" si="7"/>
        <v>0</v>
      </c>
      <c r="BN65" s="74">
        <f t="shared" si="8"/>
        <v>0</v>
      </c>
      <c r="BO65" s="74">
        <f t="shared" si="9"/>
        <v>0</v>
      </c>
      <c r="BP65" s="74">
        <f t="shared" si="10"/>
        <v>0</v>
      </c>
    </row>
    <row r="66" spans="1:68" ht="37.5" customHeight="1" x14ac:dyDescent="0.25">
      <c r="A66" s="31" t="s">
        <v>151</v>
      </c>
      <c r="B66" s="31" t="s">
        <v>152</v>
      </c>
      <c r="C66" s="32">
        <v>4301011801</v>
      </c>
      <c r="D66" s="130">
        <v>4680115881419</v>
      </c>
      <c r="E66" s="130"/>
      <c r="F66" s="33">
        <v>0.45</v>
      </c>
      <c r="G66" s="34">
        <v>10</v>
      </c>
      <c r="H66" s="33">
        <v>4.5</v>
      </c>
      <c r="I66" s="33">
        <v>4.6900000000000004</v>
      </c>
      <c r="J66" s="34">
        <v>132</v>
      </c>
      <c r="K66" s="34" t="s">
        <v>128</v>
      </c>
      <c r="L66" s="34" t="s">
        <v>20</v>
      </c>
      <c r="M66" s="43" t="s">
        <v>119</v>
      </c>
      <c r="N66" s="43"/>
      <c r="O66" s="34">
        <v>50</v>
      </c>
      <c r="P66" s="13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132"/>
      <c r="R66" s="132"/>
      <c r="S66" s="132"/>
      <c r="T66" s="133"/>
      <c r="U66" s="59" t="s">
        <v>20</v>
      </c>
      <c r="V66" s="59" t="s">
        <v>20</v>
      </c>
      <c r="W66" s="60" t="s">
        <v>69</v>
      </c>
      <c r="X66" s="61">
        <v>200</v>
      </c>
      <c r="Y66" s="67">
        <f t="shared" si="6"/>
        <v>202.5</v>
      </c>
      <c r="Z66" s="68">
        <f>IFERROR(IF(Y66=0,"",ROUNDUP(Y66/H66,0)*0.00902),"")</f>
        <v>0.40590000000000004</v>
      </c>
      <c r="AA66" s="69" t="s">
        <v>20</v>
      </c>
      <c r="AB66" s="70" t="s">
        <v>20</v>
      </c>
      <c r="AC66" s="71" t="s">
        <v>153</v>
      </c>
      <c r="AG66" s="74"/>
      <c r="AJ66" s="75" t="s">
        <v>20</v>
      </c>
      <c r="AK66" s="75">
        <v>0</v>
      </c>
      <c r="BB66" s="77" t="s">
        <v>1</v>
      </c>
      <c r="BM66" s="74">
        <f t="shared" si="7"/>
        <v>208.44444444444446</v>
      </c>
      <c r="BN66" s="74">
        <f t="shared" si="8"/>
        <v>211.05</v>
      </c>
      <c r="BO66" s="74">
        <f t="shared" si="9"/>
        <v>0.33670033670033672</v>
      </c>
      <c r="BP66" s="74">
        <f t="shared" si="10"/>
        <v>0.34090909090909094</v>
      </c>
    </row>
    <row r="67" spans="1:68" x14ac:dyDescent="0.2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7"/>
      <c r="P67" s="142" t="s">
        <v>75</v>
      </c>
      <c r="Q67" s="143"/>
      <c r="R67" s="143"/>
      <c r="S67" s="143"/>
      <c r="T67" s="143"/>
      <c r="U67" s="143"/>
      <c r="V67" s="144"/>
      <c r="W67" s="62" t="s">
        <v>76</v>
      </c>
      <c r="X67" s="63">
        <f>IFERROR(X61/H61,"0")+IFERROR(X62/H62,"0")+IFERROR(X63/H63,"0")+IFERROR(X64/H64,"0")+IFERROR(X65/H65,"0")+IFERROR(X66/H66,"0")</f>
        <v>44.444444444444443</v>
      </c>
      <c r="Y67" s="63">
        <f>IFERROR(Y61/H61,"0")+IFERROR(Y62/H62,"0")+IFERROR(Y63/H63,"0")+IFERROR(Y64/H64,"0")+IFERROR(Y65/H65,"0")+IFERROR(Y66/H66,"0")</f>
        <v>45</v>
      </c>
      <c r="Z67" s="63">
        <f>IFERROR(IF(Z61="",0,Z61),"0")+IFERROR(IF(Z62="",0,Z62),"0")+IFERROR(IF(Z63="",0,Z63),"0")+IFERROR(IF(Z64="",0,Z64),"0")+IFERROR(IF(Z65="",0,Z65),"0")+IFERROR(IF(Z66="",0,Z66),"0")</f>
        <v>0.40590000000000004</v>
      </c>
      <c r="AA67" s="72"/>
      <c r="AB67" s="72"/>
      <c r="AC67" s="72"/>
    </row>
    <row r="68" spans="1:68" x14ac:dyDescent="0.2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7"/>
      <c r="P68" s="142" t="s">
        <v>75</v>
      </c>
      <c r="Q68" s="143"/>
      <c r="R68" s="143"/>
      <c r="S68" s="143"/>
      <c r="T68" s="143"/>
      <c r="U68" s="143"/>
      <c r="V68" s="144"/>
      <c r="W68" s="62" t="s">
        <v>69</v>
      </c>
      <c r="X68" s="63">
        <f>IFERROR(SUM(X61:X66),"0")</f>
        <v>200</v>
      </c>
      <c r="Y68" s="63">
        <f>IFERROR(SUM(Y61:Y66),"0")</f>
        <v>202.5</v>
      </c>
      <c r="Z68" s="62"/>
      <c r="AA68" s="72"/>
      <c r="AB68" s="72"/>
      <c r="AC68" s="72"/>
    </row>
    <row r="69" spans="1:68" ht="14.25" hidden="1" customHeight="1" x14ac:dyDescent="0.25">
      <c r="A69" s="129" t="s">
        <v>154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30"/>
      <c r="AB69" s="30"/>
      <c r="AC69" s="30"/>
    </row>
    <row r="70" spans="1:68" ht="16.5" hidden="1" customHeight="1" x14ac:dyDescent="0.25">
      <c r="A70" s="31" t="s">
        <v>155</v>
      </c>
      <c r="B70" s="31" t="s">
        <v>156</v>
      </c>
      <c r="C70" s="32">
        <v>4301020298</v>
      </c>
      <c r="D70" s="130">
        <v>4680115881440</v>
      </c>
      <c r="E70" s="130"/>
      <c r="F70" s="33">
        <v>1.35</v>
      </c>
      <c r="G70" s="34">
        <v>8</v>
      </c>
      <c r="H70" s="33">
        <v>10.8</v>
      </c>
      <c r="I70" s="33">
        <v>11.21</v>
      </c>
      <c r="J70" s="34">
        <v>64</v>
      </c>
      <c r="K70" s="34" t="s">
        <v>118</v>
      </c>
      <c r="L70" s="34" t="s">
        <v>20</v>
      </c>
      <c r="M70" s="43" t="s">
        <v>119</v>
      </c>
      <c r="N70" s="43"/>
      <c r="O70" s="34">
        <v>50</v>
      </c>
      <c r="P70" s="1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132"/>
      <c r="R70" s="132"/>
      <c r="S70" s="132"/>
      <c r="T70" s="133"/>
      <c r="U70" s="59" t="s">
        <v>20</v>
      </c>
      <c r="V70" s="59" t="s">
        <v>20</v>
      </c>
      <c r="W70" s="60" t="s">
        <v>69</v>
      </c>
      <c r="X70" s="61">
        <v>0</v>
      </c>
      <c r="Y70" s="67">
        <f>IFERROR(IF(X70="",0,CEILING((X70/$H70),1)*$H70),"")</f>
        <v>0</v>
      </c>
      <c r="Z70" s="68" t="str">
        <f>IFERROR(IF(Y70=0,"",ROUNDUP(Y70/H70,0)*0.01898),"")</f>
        <v/>
      </c>
      <c r="AA70" s="69" t="s">
        <v>20</v>
      </c>
      <c r="AB70" s="70" t="s">
        <v>20</v>
      </c>
      <c r="AC70" s="71" t="s">
        <v>157</v>
      </c>
      <c r="AG70" s="74"/>
      <c r="AJ70" s="75" t="s">
        <v>20</v>
      </c>
      <c r="AK70" s="75">
        <v>0</v>
      </c>
      <c r="BB70" s="77" t="s">
        <v>1</v>
      </c>
      <c r="BM70" s="74">
        <f>IFERROR(X70*I70/H70,"0")</f>
        <v>0</v>
      </c>
      <c r="BN70" s="74">
        <f>IFERROR(Y70*I70/H70,"0")</f>
        <v>0</v>
      </c>
      <c r="BO70" s="74">
        <f>IFERROR(1/J70*(X70/H70),"0")</f>
        <v>0</v>
      </c>
      <c r="BP70" s="74">
        <f>IFERROR(1/J70*(Y70/H70),"0")</f>
        <v>0</v>
      </c>
    </row>
    <row r="71" spans="1:68" ht="16.5" hidden="1" customHeight="1" x14ac:dyDescent="0.25">
      <c r="A71" s="31" t="s">
        <v>158</v>
      </c>
      <c r="B71" s="31" t="s">
        <v>159</v>
      </c>
      <c r="C71" s="32">
        <v>4301020358</v>
      </c>
      <c r="D71" s="130">
        <v>4680115885950</v>
      </c>
      <c r="E71" s="130"/>
      <c r="F71" s="33">
        <v>0.37</v>
      </c>
      <c r="G71" s="34">
        <v>6</v>
      </c>
      <c r="H71" s="33">
        <v>2.2200000000000002</v>
      </c>
      <c r="I71" s="33">
        <v>2.4</v>
      </c>
      <c r="J71" s="34">
        <v>182</v>
      </c>
      <c r="K71" s="34" t="s">
        <v>67</v>
      </c>
      <c r="L71" s="34" t="s">
        <v>20</v>
      </c>
      <c r="M71" s="43" t="s">
        <v>86</v>
      </c>
      <c r="N71" s="43"/>
      <c r="O71" s="34">
        <v>50</v>
      </c>
      <c r="P71" s="1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132"/>
      <c r="R71" s="132"/>
      <c r="S71" s="132"/>
      <c r="T71" s="133"/>
      <c r="U71" s="59" t="s">
        <v>20</v>
      </c>
      <c r="V71" s="59" t="s">
        <v>20</v>
      </c>
      <c r="W71" s="60" t="s">
        <v>69</v>
      </c>
      <c r="X71" s="61">
        <v>0</v>
      </c>
      <c r="Y71" s="67">
        <f>IFERROR(IF(X71="",0,CEILING((X71/$H71),1)*$H71),"")</f>
        <v>0</v>
      </c>
      <c r="Z71" s="68" t="str">
        <f>IFERROR(IF(Y71=0,"",ROUNDUP(Y71/H71,0)*0.00651),"")</f>
        <v/>
      </c>
      <c r="AA71" s="69" t="s">
        <v>20</v>
      </c>
      <c r="AB71" s="70" t="s">
        <v>20</v>
      </c>
      <c r="AC71" s="71" t="s">
        <v>157</v>
      </c>
      <c r="AG71" s="74"/>
      <c r="AJ71" s="75" t="s">
        <v>20</v>
      </c>
      <c r="AK71" s="75">
        <v>0</v>
      </c>
      <c r="BB71" s="77" t="s">
        <v>1</v>
      </c>
      <c r="BM71" s="74">
        <f>IFERROR(X71*I71/H71,"0")</f>
        <v>0</v>
      </c>
      <c r="BN71" s="74">
        <f>IFERROR(Y71*I71/H71,"0")</f>
        <v>0</v>
      </c>
      <c r="BO71" s="74">
        <f>IFERROR(1/J71*(X71/H71),"0")</f>
        <v>0</v>
      </c>
      <c r="BP71" s="74">
        <f>IFERROR(1/J71*(Y71/H71),"0")</f>
        <v>0</v>
      </c>
    </row>
    <row r="72" spans="1:68" ht="16.5" hidden="1" customHeight="1" x14ac:dyDescent="0.25">
      <c r="A72" s="31" t="s">
        <v>160</v>
      </c>
      <c r="B72" s="31" t="s">
        <v>161</v>
      </c>
      <c r="C72" s="32">
        <v>4301020371</v>
      </c>
      <c r="D72" s="130">
        <v>4680115887688</v>
      </c>
      <c r="E72" s="130"/>
      <c r="F72" s="33">
        <v>0.1</v>
      </c>
      <c r="G72" s="34">
        <v>10</v>
      </c>
      <c r="H72" s="33">
        <v>1</v>
      </c>
      <c r="I72" s="33">
        <v>1.21</v>
      </c>
      <c r="J72" s="34">
        <v>192</v>
      </c>
      <c r="K72" s="34" t="s">
        <v>123</v>
      </c>
      <c r="L72" s="34" t="s">
        <v>20</v>
      </c>
      <c r="M72" s="43" t="s">
        <v>68</v>
      </c>
      <c r="N72" s="43"/>
      <c r="O72" s="34">
        <v>30</v>
      </c>
      <c r="P72" s="1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132"/>
      <c r="R72" s="132"/>
      <c r="S72" s="132"/>
      <c r="T72" s="133"/>
      <c r="U72" s="59" t="s">
        <v>20</v>
      </c>
      <c r="V72" s="59" t="s">
        <v>20</v>
      </c>
      <c r="W72" s="60" t="s">
        <v>69</v>
      </c>
      <c r="X72" s="61">
        <v>0</v>
      </c>
      <c r="Y72" s="67">
        <f>IFERROR(IF(X72="",0,CEILING((X72/$H72),1)*$H72),"")</f>
        <v>0</v>
      </c>
      <c r="Z72" s="68" t="str">
        <f>IFERROR(IF(Y72=0,"",ROUNDUP(Y72/H72,0)*0.00726),"")</f>
        <v/>
      </c>
      <c r="AA72" s="69" t="s">
        <v>20</v>
      </c>
      <c r="AB72" s="70" t="s">
        <v>20</v>
      </c>
      <c r="AC72" s="71" t="s">
        <v>162</v>
      </c>
      <c r="AG72" s="74"/>
      <c r="AJ72" s="75" t="s">
        <v>20</v>
      </c>
      <c r="AK72" s="75">
        <v>0</v>
      </c>
      <c r="BB72" s="77" t="s">
        <v>1</v>
      </c>
      <c r="BM72" s="74">
        <f>IFERROR(X72*I72/H72,"0")</f>
        <v>0</v>
      </c>
      <c r="BN72" s="74">
        <f>IFERROR(Y72*I72/H72,"0")</f>
        <v>0</v>
      </c>
      <c r="BO72" s="74">
        <f>IFERROR(1/J72*(X72/H72),"0")</f>
        <v>0</v>
      </c>
      <c r="BP72" s="74">
        <f>IFERROR(1/J72*(Y72/H72),"0")</f>
        <v>0</v>
      </c>
    </row>
    <row r="73" spans="1:68" ht="27" hidden="1" customHeight="1" x14ac:dyDescent="0.25">
      <c r="A73" s="31" t="s">
        <v>163</v>
      </c>
      <c r="B73" s="31" t="s">
        <v>164</v>
      </c>
      <c r="C73" s="32">
        <v>4301020296</v>
      </c>
      <c r="D73" s="130">
        <v>4680115881433</v>
      </c>
      <c r="E73" s="130"/>
      <c r="F73" s="33">
        <v>0.45</v>
      </c>
      <c r="G73" s="34">
        <v>6</v>
      </c>
      <c r="H73" s="33">
        <v>2.7</v>
      </c>
      <c r="I73" s="33">
        <v>2.88</v>
      </c>
      <c r="J73" s="34">
        <v>182</v>
      </c>
      <c r="K73" s="34" t="s">
        <v>67</v>
      </c>
      <c r="L73" s="34" t="s">
        <v>20</v>
      </c>
      <c r="M73" s="43" t="s">
        <v>119</v>
      </c>
      <c r="N73" s="43"/>
      <c r="O73" s="34">
        <v>50</v>
      </c>
      <c r="P73" s="13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132"/>
      <c r="R73" s="132"/>
      <c r="S73" s="132"/>
      <c r="T73" s="133"/>
      <c r="U73" s="59" t="s">
        <v>20</v>
      </c>
      <c r="V73" s="59" t="s">
        <v>20</v>
      </c>
      <c r="W73" s="60" t="s">
        <v>69</v>
      </c>
      <c r="X73" s="61">
        <v>0</v>
      </c>
      <c r="Y73" s="67">
        <f>IFERROR(IF(X73="",0,CEILING((X73/$H73),1)*$H73),"")</f>
        <v>0</v>
      </c>
      <c r="Z73" s="68" t="str">
        <f>IFERROR(IF(Y73=0,"",ROUNDUP(Y73/H73,0)*0.00651),"")</f>
        <v/>
      </c>
      <c r="AA73" s="69" t="s">
        <v>20</v>
      </c>
      <c r="AB73" s="70" t="s">
        <v>20</v>
      </c>
      <c r="AC73" s="71" t="s">
        <v>157</v>
      </c>
      <c r="AG73" s="74"/>
      <c r="AJ73" s="75" t="s">
        <v>20</v>
      </c>
      <c r="AK73" s="75">
        <v>0</v>
      </c>
      <c r="BB73" s="77" t="s">
        <v>1</v>
      </c>
      <c r="BM73" s="74">
        <f>IFERROR(X73*I73/H73,"0")</f>
        <v>0</v>
      </c>
      <c r="BN73" s="74">
        <f>IFERROR(Y73*I73/H73,"0")</f>
        <v>0</v>
      </c>
      <c r="BO73" s="74">
        <f>IFERROR(1/J73*(X73/H73),"0")</f>
        <v>0</v>
      </c>
      <c r="BP73" s="74">
        <f>IFERROR(1/J73*(Y73/H73),"0")</f>
        <v>0</v>
      </c>
    </row>
    <row r="74" spans="1:68" hidden="1" x14ac:dyDescent="0.2">
      <c r="A74" s="146"/>
      <c r="B74" s="146"/>
      <c r="C74" s="146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7"/>
      <c r="P74" s="142" t="s">
        <v>75</v>
      </c>
      <c r="Q74" s="143"/>
      <c r="R74" s="143"/>
      <c r="S74" s="143"/>
      <c r="T74" s="143"/>
      <c r="U74" s="143"/>
      <c r="V74" s="144"/>
      <c r="W74" s="62" t="s">
        <v>76</v>
      </c>
      <c r="X74" s="63">
        <f>IFERROR(X70/H70,"0")+IFERROR(X71/H71,"0")+IFERROR(X72/H72,"0")+IFERROR(X73/H73,"0")</f>
        <v>0</v>
      </c>
      <c r="Y74" s="63">
        <f>IFERROR(Y70/H70,"0")+IFERROR(Y71/H71,"0")+IFERROR(Y72/H72,"0")+IFERROR(Y73/H73,"0")</f>
        <v>0</v>
      </c>
      <c r="Z74" s="63">
        <f>IFERROR(IF(Z70="",0,Z70),"0")+IFERROR(IF(Z71="",0,Z71),"0")+IFERROR(IF(Z72="",0,Z72),"0")+IFERROR(IF(Z73="",0,Z73),"0")</f>
        <v>0</v>
      </c>
      <c r="AA74" s="72"/>
      <c r="AB74" s="72"/>
      <c r="AC74" s="72"/>
    </row>
    <row r="75" spans="1:68" hidden="1" x14ac:dyDescent="0.2">
      <c r="A75" s="146"/>
      <c r="B75" s="146"/>
      <c r="C75" s="146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7"/>
      <c r="P75" s="142" t="s">
        <v>75</v>
      </c>
      <c r="Q75" s="143"/>
      <c r="R75" s="143"/>
      <c r="S75" s="143"/>
      <c r="T75" s="143"/>
      <c r="U75" s="143"/>
      <c r="V75" s="144"/>
      <c r="W75" s="62" t="s">
        <v>69</v>
      </c>
      <c r="X75" s="63">
        <f>IFERROR(SUM(X70:X73),"0")</f>
        <v>0</v>
      </c>
      <c r="Y75" s="63">
        <f>IFERROR(SUM(Y70:Y73),"0")</f>
        <v>0</v>
      </c>
      <c r="Z75" s="62"/>
      <c r="AA75" s="72"/>
      <c r="AB75" s="72"/>
      <c r="AC75" s="72"/>
    </row>
    <row r="76" spans="1:68" ht="14.25" hidden="1" customHeight="1" x14ac:dyDescent="0.25">
      <c r="A76" s="129" t="s">
        <v>64</v>
      </c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30"/>
      <c r="AB76" s="30"/>
      <c r="AC76" s="30"/>
    </row>
    <row r="77" spans="1:68" ht="27" hidden="1" customHeight="1" x14ac:dyDescent="0.25">
      <c r="A77" s="31" t="s">
        <v>165</v>
      </c>
      <c r="B77" s="31" t="s">
        <v>166</v>
      </c>
      <c r="C77" s="32">
        <v>4301031316</v>
      </c>
      <c r="D77" s="130">
        <v>4680115885097</v>
      </c>
      <c r="E77" s="130"/>
      <c r="F77" s="33">
        <v>0.3</v>
      </c>
      <c r="G77" s="34">
        <v>6</v>
      </c>
      <c r="H77" s="33">
        <v>1.8</v>
      </c>
      <c r="I77" s="33">
        <v>1.9</v>
      </c>
      <c r="J77" s="34">
        <v>234</v>
      </c>
      <c r="K77" s="34" t="s">
        <v>73</v>
      </c>
      <c r="L77" s="34" t="s">
        <v>20</v>
      </c>
      <c r="M77" s="43" t="s">
        <v>68</v>
      </c>
      <c r="N77" s="43"/>
      <c r="O77" s="34">
        <v>40</v>
      </c>
      <c r="P77" s="13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7" s="132"/>
      <c r="R77" s="132"/>
      <c r="S77" s="132"/>
      <c r="T77" s="133"/>
      <c r="U77" s="59" t="s">
        <v>20</v>
      </c>
      <c r="V77" s="59" t="s">
        <v>20</v>
      </c>
      <c r="W77" s="60" t="s">
        <v>69</v>
      </c>
      <c r="X77" s="61">
        <v>0</v>
      </c>
      <c r="Y77" s="67">
        <f>IFERROR(IF(X77="",0,CEILING((X77/$H77),1)*$H77),"")</f>
        <v>0</v>
      </c>
      <c r="Z77" s="68" t="str">
        <f>IFERROR(IF(Y77=0,"",ROUNDUP(Y77/H77,0)*0.00502),"")</f>
        <v/>
      </c>
      <c r="AA77" s="69" t="s">
        <v>20</v>
      </c>
      <c r="AB77" s="70" t="s">
        <v>20</v>
      </c>
      <c r="AC77" s="71" t="s">
        <v>167</v>
      </c>
      <c r="AG77" s="74"/>
      <c r="AJ77" s="75" t="s">
        <v>20</v>
      </c>
      <c r="AK77" s="75">
        <v>0</v>
      </c>
      <c r="BB77" s="77" t="s">
        <v>1</v>
      </c>
      <c r="BM77" s="74">
        <f>IFERROR(X77*I77/H77,"0")</f>
        <v>0</v>
      </c>
      <c r="BN77" s="74">
        <f>IFERROR(Y77*I77/H77,"0")</f>
        <v>0</v>
      </c>
      <c r="BO77" s="74">
        <f>IFERROR(1/J77*(X77/H77),"0")</f>
        <v>0</v>
      </c>
      <c r="BP77" s="74">
        <f>IFERROR(1/J77*(Y77/H77),"0")</f>
        <v>0</v>
      </c>
    </row>
    <row r="78" spans="1:68" hidden="1" x14ac:dyDescent="0.2">
      <c r="A78" s="146"/>
      <c r="B78" s="146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7"/>
      <c r="P78" s="142" t="s">
        <v>75</v>
      </c>
      <c r="Q78" s="143"/>
      <c r="R78" s="143"/>
      <c r="S78" s="143"/>
      <c r="T78" s="143"/>
      <c r="U78" s="143"/>
      <c r="V78" s="144"/>
      <c r="W78" s="62" t="s">
        <v>76</v>
      </c>
      <c r="X78" s="63">
        <f>IFERROR(X77/H77,"0")</f>
        <v>0</v>
      </c>
      <c r="Y78" s="63">
        <f>IFERROR(Y77/H77,"0")</f>
        <v>0</v>
      </c>
      <c r="Z78" s="63">
        <f>IFERROR(IF(Z77="",0,Z77),"0")</f>
        <v>0</v>
      </c>
      <c r="AA78" s="72"/>
      <c r="AB78" s="72"/>
      <c r="AC78" s="72"/>
    </row>
    <row r="79" spans="1:68" hidden="1" x14ac:dyDescent="0.2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7"/>
      <c r="P79" s="142" t="s">
        <v>75</v>
      </c>
      <c r="Q79" s="143"/>
      <c r="R79" s="143"/>
      <c r="S79" s="143"/>
      <c r="T79" s="143"/>
      <c r="U79" s="143"/>
      <c r="V79" s="144"/>
      <c r="W79" s="62" t="s">
        <v>69</v>
      </c>
      <c r="X79" s="63">
        <f>IFERROR(SUM(X77:X77),"0")</f>
        <v>0</v>
      </c>
      <c r="Y79" s="63">
        <f>IFERROR(SUM(Y77:Y77),"0")</f>
        <v>0</v>
      </c>
      <c r="Z79" s="62"/>
      <c r="AA79" s="72"/>
      <c r="AB79" s="72"/>
      <c r="AC79" s="72"/>
    </row>
    <row r="80" spans="1:68" ht="14.25" hidden="1" customHeight="1" x14ac:dyDescent="0.25">
      <c r="A80" s="129" t="s">
        <v>77</v>
      </c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30"/>
      <c r="AB80" s="30"/>
      <c r="AC80" s="30"/>
    </row>
    <row r="81" spans="1:68" ht="27" hidden="1" customHeight="1" x14ac:dyDescent="0.25">
      <c r="A81" s="31" t="s">
        <v>168</v>
      </c>
      <c r="B81" s="31" t="s">
        <v>169</v>
      </c>
      <c r="C81" s="32">
        <v>4301051846</v>
      </c>
      <c r="D81" s="130">
        <v>4680115885769</v>
      </c>
      <c r="E81" s="130"/>
      <c r="F81" s="33">
        <v>1.4</v>
      </c>
      <c r="G81" s="34">
        <v>6</v>
      </c>
      <c r="H81" s="33">
        <v>8.4</v>
      </c>
      <c r="I81" s="33">
        <v>8.81</v>
      </c>
      <c r="J81" s="34">
        <v>64</v>
      </c>
      <c r="K81" s="34" t="s">
        <v>118</v>
      </c>
      <c r="L81" s="34" t="s">
        <v>20</v>
      </c>
      <c r="M81" s="43" t="s">
        <v>86</v>
      </c>
      <c r="N81" s="43"/>
      <c r="O81" s="34">
        <v>45</v>
      </c>
      <c r="P81" s="13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81" s="132"/>
      <c r="R81" s="132"/>
      <c r="S81" s="132"/>
      <c r="T81" s="133"/>
      <c r="U81" s="59" t="s">
        <v>20</v>
      </c>
      <c r="V81" s="59" t="s">
        <v>133</v>
      </c>
      <c r="W81" s="60" t="s">
        <v>69</v>
      </c>
      <c r="X81" s="61">
        <v>0</v>
      </c>
      <c r="Y81" s="67">
        <f>IFERROR(IF(X81="",0,CEILING((X81/$H81),1)*$H81),"")</f>
        <v>0</v>
      </c>
      <c r="Z81" s="68" t="str">
        <f>IFERROR(IF(Y81=0,"",ROUNDUP(Y81/H81,0)*0.01898),"")</f>
        <v/>
      </c>
      <c r="AA81" s="69" t="s">
        <v>20</v>
      </c>
      <c r="AB81" s="70" t="s">
        <v>20</v>
      </c>
      <c r="AC81" s="71" t="s">
        <v>170</v>
      </c>
      <c r="AG81" s="74"/>
      <c r="AJ81" s="75" t="s">
        <v>20</v>
      </c>
      <c r="AK81" s="75">
        <v>0</v>
      </c>
      <c r="BB81" s="77" t="s">
        <v>1</v>
      </c>
      <c r="BM81" s="74">
        <f>IFERROR(X81*I81/H81,"0")</f>
        <v>0</v>
      </c>
      <c r="BN81" s="74">
        <f>IFERROR(Y81*I81/H81,"0")</f>
        <v>0</v>
      </c>
      <c r="BO81" s="74">
        <f>IFERROR(1/J81*(X81/H81),"0")</f>
        <v>0</v>
      </c>
      <c r="BP81" s="74">
        <f>IFERROR(1/J81*(Y81/H81),"0")</f>
        <v>0</v>
      </c>
    </row>
    <row r="82" spans="1:68" ht="16.5" hidden="1" customHeight="1" x14ac:dyDescent="0.25">
      <c r="A82" s="31" t="s">
        <v>171</v>
      </c>
      <c r="B82" s="31" t="s">
        <v>172</v>
      </c>
      <c r="C82" s="32">
        <v>4301051837</v>
      </c>
      <c r="D82" s="130">
        <v>4680115884311</v>
      </c>
      <c r="E82" s="130"/>
      <c r="F82" s="33">
        <v>0.3</v>
      </c>
      <c r="G82" s="34">
        <v>6</v>
      </c>
      <c r="H82" s="33">
        <v>1.8</v>
      </c>
      <c r="I82" s="33">
        <v>2.0459999999999998</v>
      </c>
      <c r="J82" s="34">
        <v>182</v>
      </c>
      <c r="K82" s="34" t="s">
        <v>67</v>
      </c>
      <c r="L82" s="34" t="s">
        <v>20</v>
      </c>
      <c r="M82" s="43" t="s">
        <v>86</v>
      </c>
      <c r="N82" s="43"/>
      <c r="O82" s="34">
        <v>40</v>
      </c>
      <c r="P82" s="13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2" s="132"/>
      <c r="R82" s="132"/>
      <c r="S82" s="132"/>
      <c r="T82" s="133"/>
      <c r="U82" s="59" t="s">
        <v>20</v>
      </c>
      <c r="V82" s="59" t="s">
        <v>20</v>
      </c>
      <c r="W82" s="60" t="s">
        <v>69</v>
      </c>
      <c r="X82" s="61">
        <v>0</v>
      </c>
      <c r="Y82" s="67">
        <f>IFERROR(IF(X82="",0,CEILING((X82/$H82),1)*$H82),"")</f>
        <v>0</v>
      </c>
      <c r="Z82" s="68" t="str">
        <f>IFERROR(IF(Y82=0,"",ROUNDUP(Y82/H82,0)*0.00651),"")</f>
        <v/>
      </c>
      <c r="AA82" s="69" t="s">
        <v>20</v>
      </c>
      <c r="AB82" s="70" t="s">
        <v>20</v>
      </c>
      <c r="AC82" s="71" t="s">
        <v>173</v>
      </c>
      <c r="AG82" s="74"/>
      <c r="AJ82" s="75" t="s">
        <v>20</v>
      </c>
      <c r="AK82" s="75">
        <v>0</v>
      </c>
      <c r="BB82" s="77" t="s">
        <v>1</v>
      </c>
      <c r="BM82" s="74">
        <f>IFERROR(X82*I82/H82,"0")</f>
        <v>0</v>
      </c>
      <c r="BN82" s="74">
        <f>IFERROR(Y82*I82/H82,"0")</f>
        <v>0</v>
      </c>
      <c r="BO82" s="74">
        <f>IFERROR(1/J82*(X82/H82),"0")</f>
        <v>0</v>
      </c>
      <c r="BP82" s="74">
        <f>IFERROR(1/J82*(Y82/H82),"0")</f>
        <v>0</v>
      </c>
    </row>
    <row r="83" spans="1:68" ht="27" hidden="1" customHeight="1" x14ac:dyDescent="0.25">
      <c r="A83" s="31" t="s">
        <v>174</v>
      </c>
      <c r="B83" s="31" t="s">
        <v>175</v>
      </c>
      <c r="C83" s="32">
        <v>4301051844</v>
      </c>
      <c r="D83" s="130">
        <v>4680115885929</v>
      </c>
      <c r="E83" s="130"/>
      <c r="F83" s="33">
        <v>0.42</v>
      </c>
      <c r="G83" s="34">
        <v>6</v>
      </c>
      <c r="H83" s="33">
        <v>2.52</v>
      </c>
      <c r="I83" s="33">
        <v>2.7</v>
      </c>
      <c r="J83" s="34">
        <v>182</v>
      </c>
      <c r="K83" s="34" t="s">
        <v>67</v>
      </c>
      <c r="L83" s="34" t="s">
        <v>20</v>
      </c>
      <c r="M83" s="43" t="s">
        <v>86</v>
      </c>
      <c r="N83" s="43"/>
      <c r="O83" s="34">
        <v>45</v>
      </c>
      <c r="P83" s="13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83" s="132"/>
      <c r="R83" s="132"/>
      <c r="S83" s="132"/>
      <c r="T83" s="133"/>
      <c r="U83" s="59" t="s">
        <v>20</v>
      </c>
      <c r="V83" s="59" t="s">
        <v>133</v>
      </c>
      <c r="W83" s="60" t="s">
        <v>69</v>
      </c>
      <c r="X83" s="61">
        <v>0</v>
      </c>
      <c r="Y83" s="67">
        <f>IFERROR(IF(X83="",0,CEILING((X83/$H83),1)*$H83),"")</f>
        <v>0</v>
      </c>
      <c r="Z83" s="68" t="str">
        <f>IFERROR(IF(Y83=0,"",ROUNDUP(Y83/H83,0)*0.00651),"")</f>
        <v/>
      </c>
      <c r="AA83" s="69" t="s">
        <v>20</v>
      </c>
      <c r="AB83" s="70" t="s">
        <v>20</v>
      </c>
      <c r="AC83" s="71" t="s">
        <v>170</v>
      </c>
      <c r="AG83" s="74"/>
      <c r="AJ83" s="75" t="s">
        <v>20</v>
      </c>
      <c r="AK83" s="75">
        <v>0</v>
      </c>
      <c r="BB83" s="77" t="s">
        <v>1</v>
      </c>
      <c r="BM83" s="74">
        <f>IFERROR(X83*I83/H83,"0")</f>
        <v>0</v>
      </c>
      <c r="BN83" s="74">
        <f>IFERROR(Y83*I83/H83,"0")</f>
        <v>0</v>
      </c>
      <c r="BO83" s="74">
        <f>IFERROR(1/J83*(X83/H83),"0")</f>
        <v>0</v>
      </c>
      <c r="BP83" s="74">
        <f>IFERROR(1/J83*(Y83/H83),"0")</f>
        <v>0</v>
      </c>
    </row>
    <row r="84" spans="1:68" ht="27" hidden="1" customHeight="1" x14ac:dyDescent="0.25">
      <c r="A84" s="31" t="s">
        <v>176</v>
      </c>
      <c r="B84" s="31" t="s">
        <v>177</v>
      </c>
      <c r="C84" s="32">
        <v>4301051929</v>
      </c>
      <c r="D84" s="130">
        <v>4680115884403</v>
      </c>
      <c r="E84" s="130"/>
      <c r="F84" s="33">
        <v>0.3</v>
      </c>
      <c r="G84" s="34">
        <v>6</v>
      </c>
      <c r="H84" s="33">
        <v>1.8</v>
      </c>
      <c r="I84" s="33">
        <v>1.98</v>
      </c>
      <c r="J84" s="34">
        <v>182</v>
      </c>
      <c r="K84" s="34" t="s">
        <v>67</v>
      </c>
      <c r="L84" s="34" t="s">
        <v>20</v>
      </c>
      <c r="M84" s="43" t="s">
        <v>86</v>
      </c>
      <c r="N84" s="43"/>
      <c r="O84" s="34">
        <v>40</v>
      </c>
      <c r="P84" s="1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4" s="132"/>
      <c r="R84" s="132"/>
      <c r="S84" s="132"/>
      <c r="T84" s="133"/>
      <c r="U84" s="59" t="s">
        <v>20</v>
      </c>
      <c r="V84" s="59" t="s">
        <v>20</v>
      </c>
      <c r="W84" s="60" t="s">
        <v>69</v>
      </c>
      <c r="X84" s="61">
        <v>0</v>
      </c>
      <c r="Y84" s="67">
        <f>IFERROR(IF(X84="",0,CEILING((X84/$H84),1)*$H84),"")</f>
        <v>0</v>
      </c>
      <c r="Z84" s="68" t="str">
        <f>IFERROR(IF(Y84=0,"",ROUNDUP(Y84/H84,0)*0.00651),"")</f>
        <v/>
      </c>
      <c r="AA84" s="69" t="s">
        <v>20</v>
      </c>
      <c r="AB84" s="70" t="s">
        <v>20</v>
      </c>
      <c r="AC84" s="71" t="s">
        <v>178</v>
      </c>
      <c r="AG84" s="74"/>
      <c r="AJ84" s="75" t="s">
        <v>20</v>
      </c>
      <c r="AK84" s="75">
        <v>0</v>
      </c>
      <c r="BB84" s="77" t="s">
        <v>1</v>
      </c>
      <c r="BM84" s="74">
        <f>IFERROR(X84*I84/H84,"0")</f>
        <v>0</v>
      </c>
      <c r="BN84" s="74">
        <f>IFERROR(Y84*I84/H84,"0")</f>
        <v>0</v>
      </c>
      <c r="BO84" s="74">
        <f>IFERROR(1/J84*(X84/H84),"0")</f>
        <v>0</v>
      </c>
      <c r="BP84" s="74">
        <f>IFERROR(1/J84*(Y84/H84),"0")</f>
        <v>0</v>
      </c>
    </row>
    <row r="85" spans="1:68" hidden="1" x14ac:dyDescent="0.2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7"/>
      <c r="P85" s="142" t="s">
        <v>75</v>
      </c>
      <c r="Q85" s="143"/>
      <c r="R85" s="143"/>
      <c r="S85" s="143"/>
      <c r="T85" s="143"/>
      <c r="U85" s="143"/>
      <c r="V85" s="144"/>
      <c r="W85" s="62" t="s">
        <v>76</v>
      </c>
      <c r="X85" s="63">
        <f>IFERROR(X81/H81,"0")+IFERROR(X82/H82,"0")+IFERROR(X83/H83,"0")+IFERROR(X84/H84,"0")</f>
        <v>0</v>
      </c>
      <c r="Y85" s="63">
        <f>IFERROR(Y81/H81,"0")+IFERROR(Y82/H82,"0")+IFERROR(Y83/H83,"0")+IFERROR(Y84/H84,"0")</f>
        <v>0</v>
      </c>
      <c r="Z85" s="63">
        <f>IFERROR(IF(Z81="",0,Z81),"0")+IFERROR(IF(Z82="",0,Z82),"0")+IFERROR(IF(Z83="",0,Z83),"0")+IFERROR(IF(Z84="",0,Z84),"0")</f>
        <v>0</v>
      </c>
      <c r="AA85" s="72"/>
      <c r="AB85" s="72"/>
      <c r="AC85" s="72"/>
    </row>
    <row r="86" spans="1:68" hidden="1" x14ac:dyDescent="0.2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7"/>
      <c r="P86" s="142" t="s">
        <v>75</v>
      </c>
      <c r="Q86" s="143"/>
      <c r="R86" s="143"/>
      <c r="S86" s="143"/>
      <c r="T86" s="143"/>
      <c r="U86" s="143"/>
      <c r="V86" s="144"/>
      <c r="W86" s="62" t="s">
        <v>69</v>
      </c>
      <c r="X86" s="63">
        <f>IFERROR(SUM(X81:X84),"0")</f>
        <v>0</v>
      </c>
      <c r="Y86" s="63">
        <f>IFERROR(SUM(Y81:Y84),"0")</f>
        <v>0</v>
      </c>
      <c r="Z86" s="62"/>
      <c r="AA86" s="72"/>
      <c r="AB86" s="72"/>
      <c r="AC86" s="72"/>
    </row>
    <row r="87" spans="1:68" ht="14.25" hidden="1" customHeight="1" x14ac:dyDescent="0.25">
      <c r="A87" s="129" t="s">
        <v>179</v>
      </c>
      <c r="B87" s="129"/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30"/>
      <c r="AB87" s="30"/>
      <c r="AC87" s="30"/>
    </row>
    <row r="88" spans="1:68" ht="27" hidden="1" customHeight="1" x14ac:dyDescent="0.25">
      <c r="A88" s="31" t="s">
        <v>180</v>
      </c>
      <c r="B88" s="31" t="s">
        <v>181</v>
      </c>
      <c r="C88" s="32">
        <v>4301060455</v>
      </c>
      <c r="D88" s="130">
        <v>4680115881532</v>
      </c>
      <c r="E88" s="130"/>
      <c r="F88" s="33">
        <v>1.3</v>
      </c>
      <c r="G88" s="34">
        <v>6</v>
      </c>
      <c r="H88" s="33">
        <v>7.8</v>
      </c>
      <c r="I88" s="33">
        <v>8.2100000000000009</v>
      </c>
      <c r="J88" s="34">
        <v>64</v>
      </c>
      <c r="K88" s="34" t="s">
        <v>118</v>
      </c>
      <c r="L88" s="34" t="s">
        <v>20</v>
      </c>
      <c r="M88" s="43" t="s">
        <v>80</v>
      </c>
      <c r="N88" s="43"/>
      <c r="O88" s="34">
        <v>30</v>
      </c>
      <c r="P88" s="1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8" s="132"/>
      <c r="R88" s="132"/>
      <c r="S88" s="132"/>
      <c r="T88" s="133"/>
      <c r="U88" s="59" t="s">
        <v>20</v>
      </c>
      <c r="V88" s="59" t="s">
        <v>20</v>
      </c>
      <c r="W88" s="60" t="s">
        <v>69</v>
      </c>
      <c r="X88" s="61">
        <v>0</v>
      </c>
      <c r="Y88" s="67">
        <f>IFERROR(IF(X88="",0,CEILING((X88/$H88),1)*$H88),"")</f>
        <v>0</v>
      </c>
      <c r="Z88" s="68" t="str">
        <f>IFERROR(IF(Y88=0,"",ROUNDUP(Y88/H88,0)*0.01898),"")</f>
        <v/>
      </c>
      <c r="AA88" s="69" t="s">
        <v>20</v>
      </c>
      <c r="AB88" s="70" t="s">
        <v>20</v>
      </c>
      <c r="AC88" s="71" t="s">
        <v>182</v>
      </c>
      <c r="AG88" s="74"/>
      <c r="AJ88" s="75" t="s">
        <v>20</v>
      </c>
      <c r="AK88" s="75">
        <v>0</v>
      </c>
      <c r="BB88" s="77" t="s">
        <v>1</v>
      </c>
      <c r="BM88" s="74">
        <f>IFERROR(X88*I88/H88,"0")</f>
        <v>0</v>
      </c>
      <c r="BN88" s="74">
        <f>IFERROR(Y88*I88/H88,"0")</f>
        <v>0</v>
      </c>
      <c r="BO88" s="74">
        <f>IFERROR(1/J88*(X88/H88),"0")</f>
        <v>0</v>
      </c>
      <c r="BP88" s="74">
        <f>IFERROR(1/J88*(Y88/H88),"0")</f>
        <v>0</v>
      </c>
    </row>
    <row r="89" spans="1:68" ht="27" hidden="1" customHeight="1" x14ac:dyDescent="0.25">
      <c r="A89" s="31" t="s">
        <v>183</v>
      </c>
      <c r="B89" s="31" t="s">
        <v>184</v>
      </c>
      <c r="C89" s="32">
        <v>4301060351</v>
      </c>
      <c r="D89" s="130">
        <v>4680115881464</v>
      </c>
      <c r="E89" s="130"/>
      <c r="F89" s="33">
        <v>0.4</v>
      </c>
      <c r="G89" s="34">
        <v>6</v>
      </c>
      <c r="H89" s="33">
        <v>2.4</v>
      </c>
      <c r="I89" s="33">
        <v>2.59</v>
      </c>
      <c r="J89" s="34">
        <v>132</v>
      </c>
      <c r="K89" s="34" t="s">
        <v>128</v>
      </c>
      <c r="L89" s="34" t="s">
        <v>20</v>
      </c>
      <c r="M89" s="43" t="s">
        <v>86</v>
      </c>
      <c r="N89" s="43"/>
      <c r="O89" s="34">
        <v>30</v>
      </c>
      <c r="P89" s="13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9" s="132"/>
      <c r="R89" s="132"/>
      <c r="S89" s="132"/>
      <c r="T89" s="133"/>
      <c r="U89" s="59" t="s">
        <v>20</v>
      </c>
      <c r="V89" s="59" t="s">
        <v>20</v>
      </c>
      <c r="W89" s="60" t="s">
        <v>69</v>
      </c>
      <c r="X89" s="61">
        <v>0</v>
      </c>
      <c r="Y89" s="67">
        <f>IFERROR(IF(X89="",0,CEILING((X89/$H89),1)*$H89),"")</f>
        <v>0</v>
      </c>
      <c r="Z89" s="68" t="str">
        <f>IFERROR(IF(Y89=0,"",ROUNDUP(Y89/H89,0)*0.00902),"")</f>
        <v/>
      </c>
      <c r="AA89" s="69" t="s">
        <v>20</v>
      </c>
      <c r="AB89" s="70" t="s">
        <v>20</v>
      </c>
      <c r="AC89" s="71" t="s">
        <v>185</v>
      </c>
      <c r="AG89" s="74"/>
      <c r="AJ89" s="75" t="s">
        <v>20</v>
      </c>
      <c r="AK89" s="75">
        <v>0</v>
      </c>
      <c r="BB89" s="77" t="s">
        <v>1</v>
      </c>
      <c r="BM89" s="74">
        <f>IFERROR(X89*I89/H89,"0")</f>
        <v>0</v>
      </c>
      <c r="BN89" s="74">
        <f>IFERROR(Y89*I89/H89,"0")</f>
        <v>0</v>
      </c>
      <c r="BO89" s="74">
        <f>IFERROR(1/J89*(X89/H89),"0")</f>
        <v>0</v>
      </c>
      <c r="BP89" s="74">
        <f>IFERROR(1/J89*(Y89/H89),"0")</f>
        <v>0</v>
      </c>
    </row>
    <row r="90" spans="1:68" hidden="1" x14ac:dyDescent="0.2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7"/>
      <c r="P90" s="142" t="s">
        <v>75</v>
      </c>
      <c r="Q90" s="143"/>
      <c r="R90" s="143"/>
      <c r="S90" s="143"/>
      <c r="T90" s="143"/>
      <c r="U90" s="143"/>
      <c r="V90" s="144"/>
      <c r="W90" s="62" t="s">
        <v>76</v>
      </c>
      <c r="X90" s="63">
        <f>IFERROR(X88/H88,"0")+IFERROR(X89/H89,"0")</f>
        <v>0</v>
      </c>
      <c r="Y90" s="63">
        <f>IFERROR(Y88/H88,"0")+IFERROR(Y89/H89,"0")</f>
        <v>0</v>
      </c>
      <c r="Z90" s="63">
        <f>IFERROR(IF(Z88="",0,Z88),"0")+IFERROR(IF(Z89="",0,Z89),"0")</f>
        <v>0</v>
      </c>
      <c r="AA90" s="72"/>
      <c r="AB90" s="72"/>
      <c r="AC90" s="72"/>
    </row>
    <row r="91" spans="1:68" hidden="1" x14ac:dyDescent="0.2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7"/>
      <c r="P91" s="142" t="s">
        <v>75</v>
      </c>
      <c r="Q91" s="143"/>
      <c r="R91" s="143"/>
      <c r="S91" s="143"/>
      <c r="T91" s="143"/>
      <c r="U91" s="143"/>
      <c r="V91" s="144"/>
      <c r="W91" s="62" t="s">
        <v>69</v>
      </c>
      <c r="X91" s="63">
        <f>IFERROR(SUM(X88:X89),"0")</f>
        <v>0</v>
      </c>
      <c r="Y91" s="63">
        <f>IFERROR(SUM(Y88:Y89),"0")</f>
        <v>0</v>
      </c>
      <c r="Z91" s="62"/>
      <c r="AA91" s="72"/>
      <c r="AB91" s="72"/>
      <c r="AC91" s="72"/>
    </row>
    <row r="92" spans="1:68" ht="16.5" hidden="1" customHeight="1" x14ac:dyDescent="0.25">
      <c r="A92" s="128" t="s">
        <v>186</v>
      </c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29"/>
      <c r="AB92" s="29"/>
      <c r="AC92" s="29"/>
    </row>
    <row r="93" spans="1:68" ht="14.25" hidden="1" customHeight="1" x14ac:dyDescent="0.25">
      <c r="A93" s="129" t="s">
        <v>115</v>
      </c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30"/>
      <c r="AB93" s="30"/>
      <c r="AC93" s="30"/>
    </row>
    <row r="94" spans="1:68" ht="27" customHeight="1" x14ac:dyDescent="0.25">
      <c r="A94" s="31" t="s">
        <v>187</v>
      </c>
      <c r="B94" s="31" t="s">
        <v>188</v>
      </c>
      <c r="C94" s="32">
        <v>4301011468</v>
      </c>
      <c r="D94" s="130">
        <v>4680115881327</v>
      </c>
      <c r="E94" s="130"/>
      <c r="F94" s="33">
        <v>1.35</v>
      </c>
      <c r="G94" s="34">
        <v>8</v>
      </c>
      <c r="H94" s="33">
        <v>10.8</v>
      </c>
      <c r="I94" s="33">
        <v>11.21</v>
      </c>
      <c r="J94" s="34">
        <v>64</v>
      </c>
      <c r="K94" s="34" t="s">
        <v>118</v>
      </c>
      <c r="L94" s="34" t="s">
        <v>20</v>
      </c>
      <c r="M94" s="43" t="s">
        <v>80</v>
      </c>
      <c r="N94" s="43"/>
      <c r="O94" s="34">
        <v>50</v>
      </c>
      <c r="P94" s="1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4" s="132"/>
      <c r="R94" s="132"/>
      <c r="S94" s="132"/>
      <c r="T94" s="133"/>
      <c r="U94" s="59" t="s">
        <v>20</v>
      </c>
      <c r="V94" s="59" t="s">
        <v>20</v>
      </c>
      <c r="W94" s="60" t="s">
        <v>69</v>
      </c>
      <c r="X94" s="61">
        <v>100</v>
      </c>
      <c r="Y94" s="67">
        <f>IFERROR(IF(X94="",0,CEILING((X94/$H94),1)*$H94),"")</f>
        <v>108</v>
      </c>
      <c r="Z94" s="68">
        <f>IFERROR(IF(Y94=0,"",ROUNDUP(Y94/H94,0)*0.01898),"")</f>
        <v>0.1898</v>
      </c>
      <c r="AA94" s="69" t="s">
        <v>20</v>
      </c>
      <c r="AB94" s="70" t="s">
        <v>20</v>
      </c>
      <c r="AC94" s="71" t="s">
        <v>189</v>
      </c>
      <c r="AG94" s="74"/>
      <c r="AJ94" s="75" t="s">
        <v>20</v>
      </c>
      <c r="AK94" s="75">
        <v>0</v>
      </c>
      <c r="BB94" s="77" t="s">
        <v>1</v>
      </c>
      <c r="BM94" s="74">
        <f>IFERROR(X94*I94/H94,"0")</f>
        <v>103.79629629629629</v>
      </c>
      <c r="BN94" s="74">
        <f>IFERROR(Y94*I94/H94,"0")</f>
        <v>112.1</v>
      </c>
      <c r="BO94" s="74">
        <f>IFERROR(1/J94*(X94/H94),"0")</f>
        <v>0.14467592592592593</v>
      </c>
      <c r="BP94" s="74">
        <f>IFERROR(1/J94*(Y94/H94),"0")</f>
        <v>0.15625</v>
      </c>
    </row>
    <row r="95" spans="1:68" ht="27" hidden="1" customHeight="1" x14ac:dyDescent="0.25">
      <c r="A95" s="31" t="s">
        <v>190</v>
      </c>
      <c r="B95" s="31" t="s">
        <v>191</v>
      </c>
      <c r="C95" s="32">
        <v>4301011261</v>
      </c>
      <c r="D95" s="130">
        <v>4680115887732</v>
      </c>
      <c r="E95" s="130"/>
      <c r="F95" s="33">
        <v>0.17</v>
      </c>
      <c r="G95" s="34">
        <v>10</v>
      </c>
      <c r="H95" s="33">
        <v>1.7</v>
      </c>
      <c r="I95" s="33">
        <v>1.8</v>
      </c>
      <c r="J95" s="34">
        <v>192</v>
      </c>
      <c r="K95" s="34" t="s">
        <v>123</v>
      </c>
      <c r="L95" s="34" t="s">
        <v>20</v>
      </c>
      <c r="M95" s="43" t="s">
        <v>68</v>
      </c>
      <c r="N95" s="43"/>
      <c r="O95" s="34">
        <v>30</v>
      </c>
      <c r="P95" s="13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5" s="132"/>
      <c r="R95" s="132"/>
      <c r="S95" s="132"/>
      <c r="T95" s="133"/>
      <c r="U95" s="59" t="s">
        <v>20</v>
      </c>
      <c r="V95" s="59" t="s">
        <v>20</v>
      </c>
      <c r="W95" s="60" t="s">
        <v>69</v>
      </c>
      <c r="X95" s="61">
        <v>0</v>
      </c>
      <c r="Y95" s="67">
        <f>IFERROR(IF(X95="",0,CEILING((X95/$H95),1)*$H95),"")</f>
        <v>0</v>
      </c>
      <c r="Z95" s="68" t="str">
        <f>IFERROR(IF(Y95=0,"",ROUNDUP(Y95/H95,0)*0.00726),"")</f>
        <v/>
      </c>
      <c r="AA95" s="69" t="s">
        <v>20</v>
      </c>
      <c r="AB95" s="70" t="s">
        <v>20</v>
      </c>
      <c r="AC95" s="71" t="s">
        <v>192</v>
      </c>
      <c r="AG95" s="74"/>
      <c r="AJ95" s="75" t="s">
        <v>20</v>
      </c>
      <c r="AK95" s="75">
        <v>0</v>
      </c>
      <c r="BB95" s="77" t="s">
        <v>1</v>
      </c>
      <c r="BM95" s="74">
        <f>IFERROR(X95*I95/H95,"0")</f>
        <v>0</v>
      </c>
      <c r="BN95" s="74">
        <f>IFERROR(Y95*I95/H95,"0")</f>
        <v>0</v>
      </c>
      <c r="BO95" s="74">
        <f>IFERROR(1/J95*(X95/H95),"0")</f>
        <v>0</v>
      </c>
      <c r="BP95" s="74">
        <f>IFERROR(1/J95*(Y95/H95),"0")</f>
        <v>0</v>
      </c>
    </row>
    <row r="96" spans="1:68" ht="27" hidden="1" customHeight="1" x14ac:dyDescent="0.25">
      <c r="A96" s="31" t="s">
        <v>193</v>
      </c>
      <c r="B96" s="31" t="s">
        <v>194</v>
      </c>
      <c r="C96" s="32">
        <v>4301011476</v>
      </c>
      <c r="D96" s="130">
        <v>4680115881518</v>
      </c>
      <c r="E96" s="130"/>
      <c r="F96" s="33">
        <v>0.4</v>
      </c>
      <c r="G96" s="34">
        <v>10</v>
      </c>
      <c r="H96" s="33">
        <v>4</v>
      </c>
      <c r="I96" s="33">
        <v>4.1900000000000004</v>
      </c>
      <c r="J96" s="34">
        <v>132</v>
      </c>
      <c r="K96" s="34" t="s">
        <v>128</v>
      </c>
      <c r="L96" s="34" t="s">
        <v>20</v>
      </c>
      <c r="M96" s="43" t="s">
        <v>86</v>
      </c>
      <c r="N96" s="43"/>
      <c r="O96" s="34">
        <v>50</v>
      </c>
      <c r="P96" s="13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6" s="132"/>
      <c r="R96" s="132"/>
      <c r="S96" s="132"/>
      <c r="T96" s="133"/>
      <c r="U96" s="59" t="s">
        <v>20</v>
      </c>
      <c r="V96" s="59" t="s">
        <v>20</v>
      </c>
      <c r="W96" s="60" t="s">
        <v>69</v>
      </c>
      <c r="X96" s="61">
        <v>0</v>
      </c>
      <c r="Y96" s="67">
        <f>IFERROR(IF(X96="",0,CEILING((X96/$H96),1)*$H96),"")</f>
        <v>0</v>
      </c>
      <c r="Z96" s="68" t="str">
        <f>IFERROR(IF(Y96=0,"",ROUNDUP(Y96/H96,0)*0.00902),"")</f>
        <v/>
      </c>
      <c r="AA96" s="69" t="s">
        <v>20</v>
      </c>
      <c r="AB96" s="70" t="s">
        <v>20</v>
      </c>
      <c r="AC96" s="71" t="s">
        <v>189</v>
      </c>
      <c r="AG96" s="74"/>
      <c r="AJ96" s="75" t="s">
        <v>20</v>
      </c>
      <c r="AK96" s="75">
        <v>0</v>
      </c>
      <c r="BB96" s="77" t="s">
        <v>1</v>
      </c>
      <c r="BM96" s="74">
        <f>IFERROR(X96*I96/H96,"0")</f>
        <v>0</v>
      </c>
      <c r="BN96" s="74">
        <f>IFERROR(Y96*I96/H96,"0")</f>
        <v>0</v>
      </c>
      <c r="BO96" s="74">
        <f>IFERROR(1/J96*(X96/H96),"0")</f>
        <v>0</v>
      </c>
      <c r="BP96" s="74">
        <f>IFERROR(1/J96*(Y96/H96),"0")</f>
        <v>0</v>
      </c>
    </row>
    <row r="97" spans="1:68" ht="27" hidden="1" customHeight="1" x14ac:dyDescent="0.25">
      <c r="A97" s="31" t="s">
        <v>195</v>
      </c>
      <c r="B97" s="31" t="s">
        <v>196</v>
      </c>
      <c r="C97" s="32">
        <v>4301011443</v>
      </c>
      <c r="D97" s="130">
        <v>4680115881303</v>
      </c>
      <c r="E97" s="130"/>
      <c r="F97" s="33">
        <v>0.45</v>
      </c>
      <c r="G97" s="34">
        <v>10</v>
      </c>
      <c r="H97" s="33">
        <v>4.5</v>
      </c>
      <c r="I97" s="33">
        <v>4.6900000000000004</v>
      </c>
      <c r="J97" s="34">
        <v>132</v>
      </c>
      <c r="K97" s="34" t="s">
        <v>128</v>
      </c>
      <c r="L97" s="34" t="s">
        <v>20</v>
      </c>
      <c r="M97" s="43" t="s">
        <v>80</v>
      </c>
      <c r="N97" s="43"/>
      <c r="O97" s="34">
        <v>50</v>
      </c>
      <c r="P97" s="1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7" s="132"/>
      <c r="R97" s="132"/>
      <c r="S97" s="132"/>
      <c r="T97" s="133"/>
      <c r="U97" s="59" t="s">
        <v>20</v>
      </c>
      <c r="V97" s="59" t="s">
        <v>20</v>
      </c>
      <c r="W97" s="60" t="s">
        <v>69</v>
      </c>
      <c r="X97" s="61">
        <v>0</v>
      </c>
      <c r="Y97" s="67">
        <f>IFERROR(IF(X97="",0,CEILING((X97/$H97),1)*$H97),"")</f>
        <v>0</v>
      </c>
      <c r="Z97" s="68" t="str">
        <f>IFERROR(IF(Y97=0,"",ROUNDUP(Y97/H97,0)*0.00902),"")</f>
        <v/>
      </c>
      <c r="AA97" s="69" t="s">
        <v>20</v>
      </c>
      <c r="AB97" s="70" t="s">
        <v>20</v>
      </c>
      <c r="AC97" s="71" t="s">
        <v>189</v>
      </c>
      <c r="AG97" s="74"/>
      <c r="AJ97" s="75" t="s">
        <v>20</v>
      </c>
      <c r="AK97" s="75">
        <v>0</v>
      </c>
      <c r="BB97" s="77" t="s">
        <v>1</v>
      </c>
      <c r="BM97" s="74">
        <f>IFERROR(X97*I97/H97,"0")</f>
        <v>0</v>
      </c>
      <c r="BN97" s="74">
        <f>IFERROR(Y97*I97/H97,"0")</f>
        <v>0</v>
      </c>
      <c r="BO97" s="74">
        <f>IFERROR(1/J97*(X97/H97),"0")</f>
        <v>0</v>
      </c>
      <c r="BP97" s="74">
        <f>IFERROR(1/J97*(Y97/H97),"0")</f>
        <v>0</v>
      </c>
    </row>
    <row r="98" spans="1:68" x14ac:dyDescent="0.2">
      <c r="A98" s="146"/>
      <c r="B98" s="146"/>
      <c r="C98" s="146"/>
      <c r="D98" s="146"/>
      <c r="E98" s="146"/>
      <c r="F98" s="146"/>
      <c r="G98" s="146"/>
      <c r="H98" s="146"/>
      <c r="I98" s="146"/>
      <c r="J98" s="146"/>
      <c r="K98" s="146"/>
      <c r="L98" s="146"/>
      <c r="M98" s="146"/>
      <c r="N98" s="146"/>
      <c r="O98" s="147"/>
      <c r="P98" s="142" t="s">
        <v>75</v>
      </c>
      <c r="Q98" s="143"/>
      <c r="R98" s="143"/>
      <c r="S98" s="143"/>
      <c r="T98" s="143"/>
      <c r="U98" s="143"/>
      <c r="V98" s="144"/>
      <c r="W98" s="62" t="s">
        <v>76</v>
      </c>
      <c r="X98" s="63">
        <f>IFERROR(X94/H94,"0")+IFERROR(X95/H95,"0")+IFERROR(X96/H96,"0")+IFERROR(X97/H97,"0")</f>
        <v>9.2592592592592595</v>
      </c>
      <c r="Y98" s="63">
        <f>IFERROR(Y94/H94,"0")+IFERROR(Y95/H95,"0")+IFERROR(Y96/H96,"0")+IFERROR(Y97/H97,"0")</f>
        <v>10</v>
      </c>
      <c r="Z98" s="63">
        <f>IFERROR(IF(Z94="",0,Z94),"0")+IFERROR(IF(Z95="",0,Z95),"0")+IFERROR(IF(Z96="",0,Z96),"0")+IFERROR(IF(Z97="",0,Z97),"0")</f>
        <v>0.1898</v>
      </c>
      <c r="AA98" s="72"/>
      <c r="AB98" s="72"/>
      <c r="AC98" s="72"/>
    </row>
    <row r="99" spans="1:68" x14ac:dyDescent="0.2">
      <c r="A99" s="146"/>
      <c r="B99" s="146"/>
      <c r="C99" s="146"/>
      <c r="D99" s="146"/>
      <c r="E99" s="146"/>
      <c r="F99" s="146"/>
      <c r="G99" s="146"/>
      <c r="H99" s="146"/>
      <c r="I99" s="146"/>
      <c r="J99" s="146"/>
      <c r="K99" s="146"/>
      <c r="L99" s="146"/>
      <c r="M99" s="146"/>
      <c r="N99" s="146"/>
      <c r="O99" s="147"/>
      <c r="P99" s="142" t="s">
        <v>75</v>
      </c>
      <c r="Q99" s="143"/>
      <c r="R99" s="143"/>
      <c r="S99" s="143"/>
      <c r="T99" s="143"/>
      <c r="U99" s="143"/>
      <c r="V99" s="144"/>
      <c r="W99" s="62" t="s">
        <v>69</v>
      </c>
      <c r="X99" s="63">
        <f>IFERROR(SUM(X94:X97),"0")</f>
        <v>100</v>
      </c>
      <c r="Y99" s="63">
        <f>IFERROR(SUM(Y94:Y97),"0")</f>
        <v>108</v>
      </c>
      <c r="Z99" s="62"/>
      <c r="AA99" s="72"/>
      <c r="AB99" s="72"/>
      <c r="AC99" s="72"/>
    </row>
    <row r="100" spans="1:68" ht="14.25" hidden="1" customHeight="1" x14ac:dyDescent="0.25">
      <c r="A100" s="129" t="s">
        <v>77</v>
      </c>
      <c r="B100" s="129"/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30"/>
      <c r="AB100" s="30"/>
      <c r="AC100" s="30"/>
    </row>
    <row r="101" spans="1:68" ht="27" customHeight="1" x14ac:dyDescent="0.25">
      <c r="A101" s="31" t="s">
        <v>197</v>
      </c>
      <c r="B101" s="31" t="s">
        <v>198</v>
      </c>
      <c r="C101" s="32">
        <v>4301051712</v>
      </c>
      <c r="D101" s="130">
        <v>4607091386967</v>
      </c>
      <c r="E101" s="130"/>
      <c r="F101" s="33">
        <v>1.35</v>
      </c>
      <c r="G101" s="34">
        <v>6</v>
      </c>
      <c r="H101" s="33">
        <v>8.1</v>
      </c>
      <c r="I101" s="33">
        <v>8.5939999999999994</v>
      </c>
      <c r="J101" s="34">
        <v>64</v>
      </c>
      <c r="K101" s="34" t="s">
        <v>118</v>
      </c>
      <c r="L101" s="34" t="s">
        <v>20</v>
      </c>
      <c r="M101" s="43" t="s">
        <v>80</v>
      </c>
      <c r="N101" s="43"/>
      <c r="O101" s="34">
        <v>45</v>
      </c>
      <c r="P101" s="13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101" s="132"/>
      <c r="R101" s="132"/>
      <c r="S101" s="132"/>
      <c r="T101" s="133"/>
      <c r="U101" s="59" t="s">
        <v>20</v>
      </c>
      <c r="V101" s="59" t="s">
        <v>20</v>
      </c>
      <c r="W101" s="60" t="s">
        <v>69</v>
      </c>
      <c r="X101" s="61">
        <v>250</v>
      </c>
      <c r="Y101" s="67">
        <f>IFERROR(IF(X101="",0,CEILING((X101/$H101),1)*$H101),"")</f>
        <v>251.1</v>
      </c>
      <c r="Z101" s="68">
        <f>IFERROR(IF(Y101=0,"",ROUNDUP(Y101/H101,0)*0.01898),"")</f>
        <v>0.58838000000000001</v>
      </c>
      <c r="AA101" s="69" t="s">
        <v>20</v>
      </c>
      <c r="AB101" s="70" t="s">
        <v>20</v>
      </c>
      <c r="AC101" s="71" t="s">
        <v>199</v>
      </c>
      <c r="AG101" s="74"/>
      <c r="AJ101" s="75" t="s">
        <v>20</v>
      </c>
      <c r="AK101" s="75">
        <v>0</v>
      </c>
      <c r="BB101" s="77" t="s">
        <v>1</v>
      </c>
      <c r="BM101" s="74">
        <f>IFERROR(X101*I101/H101,"0")</f>
        <v>265.24691358024694</v>
      </c>
      <c r="BN101" s="74">
        <f>IFERROR(Y101*I101/H101,"0")</f>
        <v>266.41399999999999</v>
      </c>
      <c r="BO101" s="74">
        <f>IFERROR(1/J101*(X101/H101),"0")</f>
        <v>0.48225308641975312</v>
      </c>
      <c r="BP101" s="74">
        <f>IFERROR(1/J101*(Y101/H101),"0")</f>
        <v>0.484375</v>
      </c>
    </row>
    <row r="102" spans="1:68" ht="27" hidden="1" customHeight="1" x14ac:dyDescent="0.25">
      <c r="A102" s="31" t="s">
        <v>200</v>
      </c>
      <c r="B102" s="31" t="s">
        <v>201</v>
      </c>
      <c r="C102" s="32">
        <v>4301051788</v>
      </c>
      <c r="D102" s="130">
        <v>4680115884953</v>
      </c>
      <c r="E102" s="130"/>
      <c r="F102" s="33">
        <v>0.37</v>
      </c>
      <c r="G102" s="34">
        <v>6</v>
      </c>
      <c r="H102" s="33">
        <v>2.2200000000000002</v>
      </c>
      <c r="I102" s="33">
        <v>2.472</v>
      </c>
      <c r="J102" s="34">
        <v>182</v>
      </c>
      <c r="K102" s="34" t="s">
        <v>67</v>
      </c>
      <c r="L102" s="34" t="s">
        <v>20</v>
      </c>
      <c r="M102" s="43" t="s">
        <v>86</v>
      </c>
      <c r="N102" s="43"/>
      <c r="O102" s="34">
        <v>45</v>
      </c>
      <c r="P102" s="1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102" s="132"/>
      <c r="R102" s="132"/>
      <c r="S102" s="132"/>
      <c r="T102" s="133"/>
      <c r="U102" s="59" t="s">
        <v>20</v>
      </c>
      <c r="V102" s="59" t="s">
        <v>20</v>
      </c>
      <c r="W102" s="60" t="s">
        <v>69</v>
      </c>
      <c r="X102" s="61">
        <v>0</v>
      </c>
      <c r="Y102" s="67">
        <f>IFERROR(IF(X102="",0,CEILING((X102/$H102),1)*$H102),"")</f>
        <v>0</v>
      </c>
      <c r="Z102" s="68" t="str">
        <f>IFERROR(IF(Y102=0,"",ROUNDUP(Y102/H102,0)*0.00651),"")</f>
        <v/>
      </c>
      <c r="AA102" s="69" t="s">
        <v>20</v>
      </c>
      <c r="AB102" s="70" t="s">
        <v>20</v>
      </c>
      <c r="AC102" s="71" t="s">
        <v>199</v>
      </c>
      <c r="AG102" s="74"/>
      <c r="AJ102" s="75" t="s">
        <v>20</v>
      </c>
      <c r="AK102" s="75">
        <v>0</v>
      </c>
      <c r="BB102" s="77" t="s">
        <v>1</v>
      </c>
      <c r="BM102" s="74">
        <f>IFERROR(X102*I102/H102,"0")</f>
        <v>0</v>
      </c>
      <c r="BN102" s="74">
        <f>IFERROR(Y102*I102/H102,"0")</f>
        <v>0</v>
      </c>
      <c r="BO102" s="74">
        <f>IFERROR(1/J102*(X102/H102),"0")</f>
        <v>0</v>
      </c>
      <c r="BP102" s="74">
        <f>IFERROR(1/J102*(Y102/H102),"0")</f>
        <v>0</v>
      </c>
    </row>
    <row r="103" spans="1:68" ht="27" customHeight="1" x14ac:dyDescent="0.25">
      <c r="A103" s="31" t="s">
        <v>202</v>
      </c>
      <c r="B103" s="31" t="s">
        <v>203</v>
      </c>
      <c r="C103" s="32">
        <v>4301051718</v>
      </c>
      <c r="D103" s="130">
        <v>4607091385731</v>
      </c>
      <c r="E103" s="130"/>
      <c r="F103" s="33">
        <v>0.45</v>
      </c>
      <c r="G103" s="34">
        <v>6</v>
      </c>
      <c r="H103" s="33">
        <v>2.7</v>
      </c>
      <c r="I103" s="33">
        <v>2.952</v>
      </c>
      <c r="J103" s="34">
        <v>182</v>
      </c>
      <c r="K103" s="34" t="s">
        <v>67</v>
      </c>
      <c r="L103" s="34" t="s">
        <v>20</v>
      </c>
      <c r="M103" s="43" t="s">
        <v>80</v>
      </c>
      <c r="N103" s="43"/>
      <c r="O103" s="34">
        <v>45</v>
      </c>
      <c r="P103" s="13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3" s="132"/>
      <c r="R103" s="132"/>
      <c r="S103" s="132"/>
      <c r="T103" s="133"/>
      <c r="U103" s="59" t="s">
        <v>20</v>
      </c>
      <c r="V103" s="59" t="s">
        <v>20</v>
      </c>
      <c r="W103" s="60" t="s">
        <v>69</v>
      </c>
      <c r="X103" s="61">
        <v>150</v>
      </c>
      <c r="Y103" s="67">
        <f>IFERROR(IF(X103="",0,CEILING((X103/$H103),1)*$H103),"")</f>
        <v>151.20000000000002</v>
      </c>
      <c r="Z103" s="68">
        <f>IFERROR(IF(Y103=0,"",ROUNDUP(Y103/H103,0)*0.00651),"")</f>
        <v>0.36456</v>
      </c>
      <c r="AA103" s="69" t="s">
        <v>20</v>
      </c>
      <c r="AB103" s="70" t="s">
        <v>20</v>
      </c>
      <c r="AC103" s="71" t="s">
        <v>199</v>
      </c>
      <c r="AG103" s="74"/>
      <c r="AJ103" s="75" t="s">
        <v>20</v>
      </c>
      <c r="AK103" s="75">
        <v>0</v>
      </c>
      <c r="BB103" s="77" t="s">
        <v>1</v>
      </c>
      <c r="BM103" s="74">
        <f>IFERROR(X103*I103/H103,"0")</f>
        <v>164</v>
      </c>
      <c r="BN103" s="74">
        <f>IFERROR(Y103*I103/H103,"0")</f>
        <v>165.31200000000001</v>
      </c>
      <c r="BO103" s="74">
        <f>IFERROR(1/J103*(X103/H103),"0")</f>
        <v>0.30525030525030522</v>
      </c>
      <c r="BP103" s="74">
        <f>IFERROR(1/J103*(Y103/H103),"0")</f>
        <v>0.30769230769230771</v>
      </c>
    </row>
    <row r="104" spans="1:68" ht="16.5" customHeight="1" x14ac:dyDescent="0.25">
      <c r="A104" s="31" t="s">
        <v>204</v>
      </c>
      <c r="B104" s="31" t="s">
        <v>205</v>
      </c>
      <c r="C104" s="32">
        <v>4301052092</v>
      </c>
      <c r="D104" s="130">
        <v>4680115880894</v>
      </c>
      <c r="E104" s="130"/>
      <c r="F104" s="33">
        <v>0.33</v>
      </c>
      <c r="G104" s="34">
        <v>6</v>
      </c>
      <c r="H104" s="33">
        <v>1.98</v>
      </c>
      <c r="I104" s="33">
        <v>2.238</v>
      </c>
      <c r="J104" s="34">
        <v>182</v>
      </c>
      <c r="K104" s="34" t="s">
        <v>67</v>
      </c>
      <c r="L104" s="34" t="s">
        <v>20</v>
      </c>
      <c r="M104" s="43" t="s">
        <v>86</v>
      </c>
      <c r="N104" s="43"/>
      <c r="O104" s="34">
        <v>45</v>
      </c>
      <c r="P104" s="145" t="s">
        <v>206</v>
      </c>
      <c r="Q104" s="132"/>
      <c r="R104" s="132"/>
      <c r="S104" s="132"/>
      <c r="T104" s="133"/>
      <c r="U104" s="59" t="s">
        <v>20</v>
      </c>
      <c r="V104" s="59" t="s">
        <v>20</v>
      </c>
      <c r="W104" s="60" t="s">
        <v>69</v>
      </c>
      <c r="X104" s="61">
        <v>50</v>
      </c>
      <c r="Y104" s="67">
        <f>IFERROR(IF(X104="",0,CEILING((X104/$H104),1)*$H104),"")</f>
        <v>51.48</v>
      </c>
      <c r="Z104" s="68">
        <f>IFERROR(IF(Y104=0,"",ROUNDUP(Y104/H104,0)*0.00651),"")</f>
        <v>0.16925999999999999</v>
      </c>
      <c r="AA104" s="69" t="s">
        <v>20</v>
      </c>
      <c r="AB104" s="70" t="s">
        <v>20</v>
      </c>
      <c r="AC104" s="71" t="s">
        <v>207</v>
      </c>
      <c r="AG104" s="74"/>
      <c r="AJ104" s="75" t="s">
        <v>20</v>
      </c>
      <c r="AK104" s="75">
        <v>0</v>
      </c>
      <c r="BB104" s="77" t="s">
        <v>1</v>
      </c>
      <c r="BM104" s="74">
        <f>IFERROR(X104*I104/H104,"0")</f>
        <v>56.515151515151516</v>
      </c>
      <c r="BN104" s="74">
        <f>IFERROR(Y104*I104/H104,"0")</f>
        <v>58.187999999999995</v>
      </c>
      <c r="BO104" s="74">
        <f>IFERROR(1/J104*(X104/H104),"0")</f>
        <v>0.13875013875013875</v>
      </c>
      <c r="BP104" s="74">
        <f>IFERROR(1/J104*(Y104/H104),"0")</f>
        <v>0.14285714285714288</v>
      </c>
    </row>
    <row r="105" spans="1:68" x14ac:dyDescent="0.2">
      <c r="A105" s="146"/>
      <c r="B105" s="146"/>
      <c r="C105" s="146"/>
      <c r="D105" s="146"/>
      <c r="E105" s="146"/>
      <c r="F105" s="146"/>
      <c r="G105" s="146"/>
      <c r="H105" s="146"/>
      <c r="I105" s="146"/>
      <c r="J105" s="146"/>
      <c r="K105" s="146"/>
      <c r="L105" s="146"/>
      <c r="M105" s="146"/>
      <c r="N105" s="146"/>
      <c r="O105" s="147"/>
      <c r="P105" s="142" t="s">
        <v>75</v>
      </c>
      <c r="Q105" s="143"/>
      <c r="R105" s="143"/>
      <c r="S105" s="143"/>
      <c r="T105" s="143"/>
      <c r="U105" s="143"/>
      <c r="V105" s="144"/>
      <c r="W105" s="62" t="s">
        <v>76</v>
      </c>
      <c r="X105" s="63">
        <f>IFERROR(X101/H101,"0")+IFERROR(X102/H102,"0")+IFERROR(X103/H103,"0")+IFERROR(X104/H104,"0")</f>
        <v>111.67227833894501</v>
      </c>
      <c r="Y105" s="63">
        <f>IFERROR(Y101/H101,"0")+IFERROR(Y102/H102,"0")+IFERROR(Y103/H103,"0")+IFERROR(Y104/H104,"0")</f>
        <v>113</v>
      </c>
      <c r="Z105" s="63">
        <f>IFERROR(IF(Z101="",0,Z101),"0")+IFERROR(IF(Z102="",0,Z102),"0")+IFERROR(IF(Z103="",0,Z103),"0")+IFERROR(IF(Z104="",0,Z104),"0")</f>
        <v>1.1222000000000001</v>
      </c>
      <c r="AA105" s="72"/>
      <c r="AB105" s="72"/>
      <c r="AC105" s="72"/>
    </row>
    <row r="106" spans="1:68" x14ac:dyDescent="0.2">
      <c r="A106" s="146"/>
      <c r="B106" s="146"/>
      <c r="C106" s="146"/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47"/>
      <c r="P106" s="142" t="s">
        <v>75</v>
      </c>
      <c r="Q106" s="143"/>
      <c r="R106" s="143"/>
      <c r="S106" s="143"/>
      <c r="T106" s="143"/>
      <c r="U106" s="143"/>
      <c r="V106" s="144"/>
      <c r="W106" s="62" t="s">
        <v>69</v>
      </c>
      <c r="X106" s="63">
        <f>IFERROR(SUM(X101:X104),"0")</f>
        <v>450</v>
      </c>
      <c r="Y106" s="63">
        <f>IFERROR(SUM(Y101:Y104),"0")</f>
        <v>453.78000000000003</v>
      </c>
      <c r="Z106" s="62"/>
      <c r="AA106" s="72"/>
      <c r="AB106" s="72"/>
      <c r="AC106" s="72"/>
    </row>
    <row r="107" spans="1:68" ht="16.5" hidden="1" customHeight="1" x14ac:dyDescent="0.25">
      <c r="A107" s="128" t="s">
        <v>208</v>
      </c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29"/>
      <c r="AB107" s="29"/>
      <c r="AC107" s="29"/>
    </row>
    <row r="108" spans="1:68" ht="14.25" hidden="1" customHeight="1" x14ac:dyDescent="0.25">
      <c r="A108" s="129" t="s">
        <v>115</v>
      </c>
      <c r="B108" s="129"/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30"/>
      <c r="AB108" s="30"/>
      <c r="AC108" s="30"/>
    </row>
    <row r="109" spans="1:68" ht="37.5" customHeight="1" x14ac:dyDescent="0.25">
      <c r="A109" s="31" t="s">
        <v>209</v>
      </c>
      <c r="B109" s="31" t="s">
        <v>210</v>
      </c>
      <c r="C109" s="32">
        <v>4301011514</v>
      </c>
      <c r="D109" s="130">
        <v>4680115882133</v>
      </c>
      <c r="E109" s="130"/>
      <c r="F109" s="33">
        <v>1.35</v>
      </c>
      <c r="G109" s="34">
        <v>8</v>
      </c>
      <c r="H109" s="33">
        <v>10.8</v>
      </c>
      <c r="I109" s="33">
        <v>11.21</v>
      </c>
      <c r="J109" s="34">
        <v>64</v>
      </c>
      <c r="K109" s="34" t="s">
        <v>118</v>
      </c>
      <c r="L109" s="34" t="s">
        <v>20</v>
      </c>
      <c r="M109" s="43" t="s">
        <v>119</v>
      </c>
      <c r="N109" s="43"/>
      <c r="O109" s="34">
        <v>50</v>
      </c>
      <c r="P109" s="13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9" s="132"/>
      <c r="R109" s="132"/>
      <c r="S109" s="132"/>
      <c r="T109" s="133"/>
      <c r="U109" s="59" t="s">
        <v>20</v>
      </c>
      <c r="V109" s="59" t="s">
        <v>20</v>
      </c>
      <c r="W109" s="60" t="s">
        <v>69</v>
      </c>
      <c r="X109" s="61">
        <v>150</v>
      </c>
      <c r="Y109" s="67">
        <f>IFERROR(IF(X109="",0,CEILING((X109/$H109),1)*$H109),"")</f>
        <v>151.20000000000002</v>
      </c>
      <c r="Z109" s="68">
        <f>IFERROR(IF(Y109=0,"",ROUNDUP(Y109/H109,0)*0.01898),"")</f>
        <v>0.26572000000000001</v>
      </c>
      <c r="AA109" s="69" t="s">
        <v>20</v>
      </c>
      <c r="AB109" s="70" t="s">
        <v>20</v>
      </c>
      <c r="AC109" s="71" t="s">
        <v>211</v>
      </c>
      <c r="AG109" s="74"/>
      <c r="AJ109" s="75" t="s">
        <v>20</v>
      </c>
      <c r="AK109" s="75">
        <v>0</v>
      </c>
      <c r="BB109" s="77" t="s">
        <v>1</v>
      </c>
      <c r="BM109" s="74">
        <f>IFERROR(X109*I109/H109,"0")</f>
        <v>155.69444444444446</v>
      </c>
      <c r="BN109" s="74">
        <f>IFERROR(Y109*I109/H109,"0")</f>
        <v>156.94</v>
      </c>
      <c r="BO109" s="74">
        <f>IFERROR(1/J109*(X109/H109),"0")</f>
        <v>0.21701388888888887</v>
      </c>
      <c r="BP109" s="74">
        <f>IFERROR(1/J109*(Y109/H109),"0")</f>
        <v>0.21875</v>
      </c>
    </row>
    <row r="110" spans="1:68" ht="27" hidden="1" customHeight="1" x14ac:dyDescent="0.25">
      <c r="A110" s="31" t="s">
        <v>212</v>
      </c>
      <c r="B110" s="31" t="s">
        <v>213</v>
      </c>
      <c r="C110" s="32">
        <v>4301012051</v>
      </c>
      <c r="D110" s="130">
        <v>4680115887718</v>
      </c>
      <c r="E110" s="130"/>
      <c r="F110" s="33">
        <v>0.11</v>
      </c>
      <c r="G110" s="34">
        <v>10</v>
      </c>
      <c r="H110" s="33">
        <v>1.1000000000000001</v>
      </c>
      <c r="I110" s="33">
        <v>1.31</v>
      </c>
      <c r="J110" s="34">
        <v>192</v>
      </c>
      <c r="K110" s="34" t="s">
        <v>123</v>
      </c>
      <c r="L110" s="34" t="s">
        <v>20</v>
      </c>
      <c r="M110" s="43" t="s">
        <v>68</v>
      </c>
      <c r="N110" s="43"/>
      <c r="O110" s="34">
        <v>30</v>
      </c>
      <c r="P110" s="13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10" s="132"/>
      <c r="R110" s="132"/>
      <c r="S110" s="132"/>
      <c r="T110" s="133"/>
      <c r="U110" s="59" t="s">
        <v>20</v>
      </c>
      <c r="V110" s="59" t="s">
        <v>20</v>
      </c>
      <c r="W110" s="60" t="s">
        <v>69</v>
      </c>
      <c r="X110" s="61">
        <v>0</v>
      </c>
      <c r="Y110" s="67">
        <f>IFERROR(IF(X110="",0,CEILING((X110/$H110),1)*$H110),"")</f>
        <v>0</v>
      </c>
      <c r="Z110" s="68" t="str">
        <f>IFERROR(IF(Y110=0,"",ROUNDUP(Y110/H110,0)*0.00726),"")</f>
        <v/>
      </c>
      <c r="AA110" s="69" t="s">
        <v>20</v>
      </c>
      <c r="AB110" s="70" t="s">
        <v>20</v>
      </c>
      <c r="AC110" s="71" t="s">
        <v>214</v>
      </c>
      <c r="AG110" s="74"/>
      <c r="AJ110" s="75" t="s">
        <v>20</v>
      </c>
      <c r="AK110" s="75">
        <v>0</v>
      </c>
      <c r="BB110" s="77" t="s">
        <v>1</v>
      </c>
      <c r="BM110" s="74">
        <f>IFERROR(X110*I110/H110,"0")</f>
        <v>0</v>
      </c>
      <c r="BN110" s="74">
        <f>IFERROR(Y110*I110/H110,"0")</f>
        <v>0</v>
      </c>
      <c r="BO110" s="74">
        <f>IFERROR(1/J110*(X110/H110),"0")</f>
        <v>0</v>
      </c>
      <c r="BP110" s="74">
        <f>IFERROR(1/J110*(Y110/H110),"0")</f>
        <v>0</v>
      </c>
    </row>
    <row r="111" spans="1:68" ht="37.5" hidden="1" customHeight="1" x14ac:dyDescent="0.25">
      <c r="A111" s="31" t="s">
        <v>215</v>
      </c>
      <c r="B111" s="31" t="s">
        <v>216</v>
      </c>
      <c r="C111" s="32">
        <v>4301011417</v>
      </c>
      <c r="D111" s="130">
        <v>4680115880269</v>
      </c>
      <c r="E111" s="130"/>
      <c r="F111" s="33">
        <v>0.375</v>
      </c>
      <c r="G111" s="34">
        <v>10</v>
      </c>
      <c r="H111" s="33">
        <v>3.75</v>
      </c>
      <c r="I111" s="33">
        <v>3.94</v>
      </c>
      <c r="J111" s="34">
        <v>132</v>
      </c>
      <c r="K111" s="34" t="s">
        <v>128</v>
      </c>
      <c r="L111" s="34" t="s">
        <v>20</v>
      </c>
      <c r="M111" s="43" t="s">
        <v>86</v>
      </c>
      <c r="N111" s="43"/>
      <c r="O111" s="34">
        <v>50</v>
      </c>
      <c r="P111" s="1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1" s="132"/>
      <c r="R111" s="132"/>
      <c r="S111" s="132"/>
      <c r="T111" s="133"/>
      <c r="U111" s="59" t="s">
        <v>20</v>
      </c>
      <c r="V111" s="59" t="s">
        <v>20</v>
      </c>
      <c r="W111" s="60" t="s">
        <v>69</v>
      </c>
      <c r="X111" s="61">
        <v>0</v>
      </c>
      <c r="Y111" s="67">
        <f>IFERROR(IF(X111="",0,CEILING((X111/$H111),1)*$H111),"")</f>
        <v>0</v>
      </c>
      <c r="Z111" s="68" t="str">
        <f>IFERROR(IF(Y111=0,"",ROUNDUP(Y111/H111,0)*0.00902),"")</f>
        <v/>
      </c>
      <c r="AA111" s="69" t="s">
        <v>20</v>
      </c>
      <c r="AB111" s="70" t="s">
        <v>20</v>
      </c>
      <c r="AC111" s="71" t="s">
        <v>211</v>
      </c>
      <c r="AG111" s="74"/>
      <c r="AJ111" s="75" t="s">
        <v>20</v>
      </c>
      <c r="AK111" s="75">
        <v>0</v>
      </c>
      <c r="BB111" s="77" t="s">
        <v>1</v>
      </c>
      <c r="BM111" s="74">
        <f>IFERROR(X111*I111/H111,"0")</f>
        <v>0</v>
      </c>
      <c r="BN111" s="74">
        <f>IFERROR(Y111*I111/H111,"0")</f>
        <v>0</v>
      </c>
      <c r="BO111" s="74">
        <f>IFERROR(1/J111*(X111/H111),"0")</f>
        <v>0</v>
      </c>
      <c r="BP111" s="74">
        <f>IFERROR(1/J111*(Y111/H111),"0")</f>
        <v>0</v>
      </c>
    </row>
    <row r="112" spans="1:68" ht="37.5" hidden="1" customHeight="1" x14ac:dyDescent="0.25">
      <c r="A112" s="31" t="s">
        <v>217</v>
      </c>
      <c r="B112" s="31" t="s">
        <v>218</v>
      </c>
      <c r="C112" s="32">
        <v>4301011415</v>
      </c>
      <c r="D112" s="130">
        <v>4680115880429</v>
      </c>
      <c r="E112" s="130"/>
      <c r="F112" s="33">
        <v>0.45</v>
      </c>
      <c r="G112" s="34">
        <v>10</v>
      </c>
      <c r="H112" s="33">
        <v>4.5</v>
      </c>
      <c r="I112" s="33">
        <v>4.6900000000000004</v>
      </c>
      <c r="J112" s="34">
        <v>132</v>
      </c>
      <c r="K112" s="34" t="s">
        <v>128</v>
      </c>
      <c r="L112" s="34" t="s">
        <v>20</v>
      </c>
      <c r="M112" s="43" t="s">
        <v>86</v>
      </c>
      <c r="N112" s="43"/>
      <c r="O112" s="34">
        <v>50</v>
      </c>
      <c r="P112" s="13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2" s="132"/>
      <c r="R112" s="132"/>
      <c r="S112" s="132"/>
      <c r="T112" s="133"/>
      <c r="U112" s="59" t="s">
        <v>20</v>
      </c>
      <c r="V112" s="59" t="s">
        <v>20</v>
      </c>
      <c r="W112" s="60" t="s">
        <v>69</v>
      </c>
      <c r="X112" s="61">
        <v>0</v>
      </c>
      <c r="Y112" s="67">
        <f>IFERROR(IF(X112="",0,CEILING((X112/$H112),1)*$H112),"")</f>
        <v>0</v>
      </c>
      <c r="Z112" s="68" t="str">
        <f>IFERROR(IF(Y112=0,"",ROUNDUP(Y112/H112,0)*0.00902),"")</f>
        <v/>
      </c>
      <c r="AA112" s="69" t="s">
        <v>20</v>
      </c>
      <c r="AB112" s="70" t="s">
        <v>20</v>
      </c>
      <c r="AC112" s="71" t="s">
        <v>211</v>
      </c>
      <c r="AG112" s="74"/>
      <c r="AJ112" s="75" t="s">
        <v>20</v>
      </c>
      <c r="AK112" s="75">
        <v>0</v>
      </c>
      <c r="BB112" s="77" t="s">
        <v>1</v>
      </c>
      <c r="BM112" s="74">
        <f>IFERROR(X112*I112/H112,"0")</f>
        <v>0</v>
      </c>
      <c r="BN112" s="74">
        <f>IFERROR(Y112*I112/H112,"0")</f>
        <v>0</v>
      </c>
      <c r="BO112" s="74">
        <f>IFERROR(1/J112*(X112/H112),"0")</f>
        <v>0</v>
      </c>
      <c r="BP112" s="74">
        <f>IFERROR(1/J112*(Y112/H112),"0")</f>
        <v>0</v>
      </c>
    </row>
    <row r="113" spans="1:68" ht="37.5" hidden="1" customHeight="1" x14ac:dyDescent="0.25">
      <c r="A113" s="31" t="s">
        <v>219</v>
      </c>
      <c r="B113" s="31" t="s">
        <v>220</v>
      </c>
      <c r="C113" s="32">
        <v>4301011462</v>
      </c>
      <c r="D113" s="130">
        <v>4680115881457</v>
      </c>
      <c r="E113" s="130"/>
      <c r="F113" s="33">
        <v>0.75</v>
      </c>
      <c r="G113" s="34">
        <v>6</v>
      </c>
      <c r="H113" s="33">
        <v>4.5</v>
      </c>
      <c r="I113" s="33">
        <v>4.6900000000000004</v>
      </c>
      <c r="J113" s="34">
        <v>132</v>
      </c>
      <c r="K113" s="34" t="s">
        <v>128</v>
      </c>
      <c r="L113" s="34" t="s">
        <v>20</v>
      </c>
      <c r="M113" s="43" t="s">
        <v>86</v>
      </c>
      <c r="N113" s="43"/>
      <c r="O113" s="34">
        <v>50</v>
      </c>
      <c r="P113" s="1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3" s="132"/>
      <c r="R113" s="132"/>
      <c r="S113" s="132"/>
      <c r="T113" s="133"/>
      <c r="U113" s="59" t="s">
        <v>20</v>
      </c>
      <c r="V113" s="59" t="s">
        <v>20</v>
      </c>
      <c r="W113" s="60" t="s">
        <v>69</v>
      </c>
      <c r="X113" s="61">
        <v>0</v>
      </c>
      <c r="Y113" s="67">
        <f>IFERROR(IF(X113="",0,CEILING((X113/$H113),1)*$H113),"")</f>
        <v>0</v>
      </c>
      <c r="Z113" s="68" t="str">
        <f>IFERROR(IF(Y113=0,"",ROUNDUP(Y113/H113,0)*0.00902),"")</f>
        <v/>
      </c>
      <c r="AA113" s="69" t="s">
        <v>20</v>
      </c>
      <c r="AB113" s="70" t="s">
        <v>20</v>
      </c>
      <c r="AC113" s="71" t="s">
        <v>211</v>
      </c>
      <c r="AG113" s="74"/>
      <c r="AJ113" s="75" t="s">
        <v>20</v>
      </c>
      <c r="AK113" s="75">
        <v>0</v>
      </c>
      <c r="BB113" s="77" t="s">
        <v>1</v>
      </c>
      <c r="BM113" s="74">
        <f>IFERROR(X113*I113/H113,"0")</f>
        <v>0</v>
      </c>
      <c r="BN113" s="74">
        <f>IFERROR(Y113*I113/H113,"0")</f>
        <v>0</v>
      </c>
      <c r="BO113" s="74">
        <f>IFERROR(1/J113*(X113/H113),"0")</f>
        <v>0</v>
      </c>
      <c r="BP113" s="74">
        <f>IFERROR(1/J113*(Y113/H113),"0")</f>
        <v>0</v>
      </c>
    </row>
    <row r="114" spans="1:68" x14ac:dyDescent="0.2">
      <c r="A114" s="146"/>
      <c r="B114" s="146"/>
      <c r="C114" s="146"/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6"/>
      <c r="O114" s="147"/>
      <c r="P114" s="142" t="s">
        <v>75</v>
      </c>
      <c r="Q114" s="143"/>
      <c r="R114" s="143"/>
      <c r="S114" s="143"/>
      <c r="T114" s="143"/>
      <c r="U114" s="143"/>
      <c r="V114" s="144"/>
      <c r="W114" s="62" t="s">
        <v>76</v>
      </c>
      <c r="X114" s="63">
        <f>IFERROR(X109/H109,"0")+IFERROR(X110/H110,"0")+IFERROR(X111/H111,"0")+IFERROR(X112/H112,"0")+IFERROR(X113/H113,"0")</f>
        <v>13.888888888888888</v>
      </c>
      <c r="Y114" s="63">
        <f>IFERROR(Y109/H109,"0")+IFERROR(Y110/H110,"0")+IFERROR(Y111/H111,"0")+IFERROR(Y112/H112,"0")+IFERROR(Y113/H113,"0")</f>
        <v>14</v>
      </c>
      <c r="Z114" s="63">
        <f>IFERROR(IF(Z109="",0,Z109),"0")+IFERROR(IF(Z110="",0,Z110),"0")+IFERROR(IF(Z111="",0,Z111),"0")+IFERROR(IF(Z112="",0,Z112),"0")+IFERROR(IF(Z113="",0,Z113),"0")</f>
        <v>0.26572000000000001</v>
      </c>
      <c r="AA114" s="72"/>
      <c r="AB114" s="72"/>
      <c r="AC114" s="72"/>
    </row>
    <row r="115" spans="1:68" x14ac:dyDescent="0.2">
      <c r="A115" s="146"/>
      <c r="B115" s="146"/>
      <c r="C115" s="146"/>
      <c r="D115" s="146"/>
      <c r="E115" s="146"/>
      <c r="F115" s="146"/>
      <c r="G115" s="146"/>
      <c r="H115" s="146"/>
      <c r="I115" s="146"/>
      <c r="J115" s="146"/>
      <c r="K115" s="146"/>
      <c r="L115" s="146"/>
      <c r="M115" s="146"/>
      <c r="N115" s="146"/>
      <c r="O115" s="147"/>
      <c r="P115" s="142" t="s">
        <v>75</v>
      </c>
      <c r="Q115" s="143"/>
      <c r="R115" s="143"/>
      <c r="S115" s="143"/>
      <c r="T115" s="143"/>
      <c r="U115" s="143"/>
      <c r="V115" s="144"/>
      <c r="W115" s="62" t="s">
        <v>69</v>
      </c>
      <c r="X115" s="63">
        <f>IFERROR(SUM(X109:X113),"0")</f>
        <v>150</v>
      </c>
      <c r="Y115" s="63">
        <f>IFERROR(SUM(Y109:Y113),"0")</f>
        <v>151.20000000000002</v>
      </c>
      <c r="Z115" s="62"/>
      <c r="AA115" s="72"/>
      <c r="AB115" s="72"/>
      <c r="AC115" s="72"/>
    </row>
    <row r="116" spans="1:68" ht="14.25" hidden="1" customHeight="1" x14ac:dyDescent="0.25">
      <c r="A116" s="129" t="s">
        <v>154</v>
      </c>
      <c r="B116" s="129"/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30"/>
      <c r="AB116" s="30"/>
      <c r="AC116" s="30"/>
    </row>
    <row r="117" spans="1:68" ht="16.5" hidden="1" customHeight="1" x14ac:dyDescent="0.25">
      <c r="A117" s="31" t="s">
        <v>221</v>
      </c>
      <c r="B117" s="31" t="s">
        <v>222</v>
      </c>
      <c r="C117" s="32">
        <v>4301020345</v>
      </c>
      <c r="D117" s="130">
        <v>4680115881488</v>
      </c>
      <c r="E117" s="130"/>
      <c r="F117" s="33">
        <v>1.35</v>
      </c>
      <c r="G117" s="34">
        <v>8</v>
      </c>
      <c r="H117" s="33">
        <v>10.8</v>
      </c>
      <c r="I117" s="33">
        <v>11.21</v>
      </c>
      <c r="J117" s="34">
        <v>64</v>
      </c>
      <c r="K117" s="34" t="s">
        <v>118</v>
      </c>
      <c r="L117" s="34" t="s">
        <v>20</v>
      </c>
      <c r="M117" s="43" t="s">
        <v>119</v>
      </c>
      <c r="N117" s="43"/>
      <c r="O117" s="34">
        <v>55</v>
      </c>
      <c r="P117" s="13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7" s="132"/>
      <c r="R117" s="132"/>
      <c r="S117" s="132"/>
      <c r="T117" s="133"/>
      <c r="U117" s="59" t="s">
        <v>20</v>
      </c>
      <c r="V117" s="59" t="s">
        <v>20</v>
      </c>
      <c r="W117" s="60" t="s">
        <v>69</v>
      </c>
      <c r="X117" s="61">
        <v>0</v>
      </c>
      <c r="Y117" s="67">
        <f>IFERROR(IF(X117="",0,CEILING((X117/$H117),1)*$H117),"")</f>
        <v>0</v>
      </c>
      <c r="Z117" s="68" t="str">
        <f>IFERROR(IF(Y117=0,"",ROUNDUP(Y117/H117,0)*0.01898),"")</f>
        <v/>
      </c>
      <c r="AA117" s="69" t="s">
        <v>20</v>
      </c>
      <c r="AB117" s="70" t="s">
        <v>20</v>
      </c>
      <c r="AC117" s="71" t="s">
        <v>223</v>
      </c>
      <c r="AG117" s="74"/>
      <c r="AJ117" s="75" t="s">
        <v>20</v>
      </c>
      <c r="AK117" s="75">
        <v>0</v>
      </c>
      <c r="BB117" s="77" t="s">
        <v>1</v>
      </c>
      <c r="BM117" s="74">
        <f>IFERROR(X117*I117/H117,"0")</f>
        <v>0</v>
      </c>
      <c r="BN117" s="74">
        <f>IFERROR(Y117*I117/H117,"0")</f>
        <v>0</v>
      </c>
      <c r="BO117" s="74">
        <f>IFERROR(1/J117*(X117/H117),"0")</f>
        <v>0</v>
      </c>
      <c r="BP117" s="74">
        <f>IFERROR(1/J117*(Y117/H117),"0")</f>
        <v>0</v>
      </c>
    </row>
    <row r="118" spans="1:68" ht="27" hidden="1" customHeight="1" x14ac:dyDescent="0.25">
      <c r="A118" s="31" t="s">
        <v>224</v>
      </c>
      <c r="B118" s="31" t="s">
        <v>225</v>
      </c>
      <c r="C118" s="32">
        <v>4301020186</v>
      </c>
      <c r="D118" s="130">
        <v>4680115887664</v>
      </c>
      <c r="E118" s="130"/>
      <c r="F118" s="33">
        <v>0.1</v>
      </c>
      <c r="G118" s="34">
        <v>10</v>
      </c>
      <c r="H118" s="33">
        <v>1</v>
      </c>
      <c r="I118" s="33">
        <v>1.21</v>
      </c>
      <c r="J118" s="34">
        <v>392</v>
      </c>
      <c r="K118" s="34" t="s">
        <v>226</v>
      </c>
      <c r="L118" s="34" t="s">
        <v>20</v>
      </c>
      <c r="M118" s="43" t="s">
        <v>68</v>
      </c>
      <c r="N118" s="43"/>
      <c r="O118" s="34">
        <v>30</v>
      </c>
      <c r="P118" s="13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132"/>
      <c r="R118" s="132"/>
      <c r="S118" s="132"/>
      <c r="T118" s="133"/>
      <c r="U118" s="59" t="s">
        <v>20</v>
      </c>
      <c r="V118" s="59" t="s">
        <v>20</v>
      </c>
      <c r="W118" s="60" t="s">
        <v>69</v>
      </c>
      <c r="X118" s="61">
        <v>0</v>
      </c>
      <c r="Y118" s="67">
        <f>IFERROR(IF(X118="",0,CEILING((X118/$H118),1)*$H118),"")</f>
        <v>0</v>
      </c>
      <c r="Z118" s="68" t="str">
        <f>IFERROR(IF(Y118=0,"",ROUNDUP(Y118/H118,0)*0.00358),"")</f>
        <v/>
      </c>
      <c r="AA118" s="69" t="s">
        <v>20</v>
      </c>
      <c r="AB118" s="70" t="s">
        <v>20</v>
      </c>
      <c r="AC118" s="71" t="s">
        <v>227</v>
      </c>
      <c r="AG118" s="74"/>
      <c r="AJ118" s="75" t="s">
        <v>20</v>
      </c>
      <c r="AK118" s="75">
        <v>0</v>
      </c>
      <c r="BB118" s="77" t="s">
        <v>1</v>
      </c>
      <c r="BM118" s="74">
        <f>IFERROR(X118*I118/H118,"0")</f>
        <v>0</v>
      </c>
      <c r="BN118" s="74">
        <f>IFERROR(Y118*I118/H118,"0")</f>
        <v>0</v>
      </c>
      <c r="BO118" s="74">
        <f>IFERROR(1/J118*(X118/H118),"0")</f>
        <v>0</v>
      </c>
      <c r="BP118" s="74">
        <f>IFERROR(1/J118*(Y118/H118),"0")</f>
        <v>0</v>
      </c>
    </row>
    <row r="119" spans="1:68" ht="16.5" hidden="1" customHeight="1" x14ac:dyDescent="0.25">
      <c r="A119" s="31" t="s">
        <v>228</v>
      </c>
      <c r="B119" s="31" t="s">
        <v>229</v>
      </c>
      <c r="C119" s="32">
        <v>4301020346</v>
      </c>
      <c r="D119" s="130">
        <v>4680115882775</v>
      </c>
      <c r="E119" s="130"/>
      <c r="F119" s="33">
        <v>0.3</v>
      </c>
      <c r="G119" s="34">
        <v>8</v>
      </c>
      <c r="H119" s="33">
        <v>2.4</v>
      </c>
      <c r="I119" s="33">
        <v>2.5</v>
      </c>
      <c r="J119" s="34">
        <v>234</v>
      </c>
      <c r="K119" s="34" t="s">
        <v>73</v>
      </c>
      <c r="L119" s="34" t="s">
        <v>20</v>
      </c>
      <c r="M119" s="43" t="s">
        <v>119</v>
      </c>
      <c r="N119" s="43"/>
      <c r="O119" s="34">
        <v>55</v>
      </c>
      <c r="P119" s="13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132"/>
      <c r="R119" s="132"/>
      <c r="S119" s="132"/>
      <c r="T119" s="133"/>
      <c r="U119" s="59" t="s">
        <v>20</v>
      </c>
      <c r="V119" s="59" t="s">
        <v>20</v>
      </c>
      <c r="W119" s="60" t="s">
        <v>69</v>
      </c>
      <c r="X119" s="61">
        <v>0</v>
      </c>
      <c r="Y119" s="67">
        <f>IFERROR(IF(X119="",0,CEILING((X119/$H119),1)*$H119),"")</f>
        <v>0</v>
      </c>
      <c r="Z119" s="68" t="str">
        <f>IFERROR(IF(Y119=0,"",ROUNDUP(Y119/H119,0)*0.00502),"")</f>
        <v/>
      </c>
      <c r="AA119" s="69" t="s">
        <v>20</v>
      </c>
      <c r="AB119" s="70" t="s">
        <v>20</v>
      </c>
      <c r="AC119" s="71" t="s">
        <v>223</v>
      </c>
      <c r="AG119" s="74"/>
      <c r="AJ119" s="75" t="s">
        <v>20</v>
      </c>
      <c r="AK119" s="75">
        <v>0</v>
      </c>
      <c r="BB119" s="77" t="s">
        <v>1</v>
      </c>
      <c r="BM119" s="74">
        <f>IFERROR(X119*I119/H119,"0")</f>
        <v>0</v>
      </c>
      <c r="BN119" s="74">
        <f>IFERROR(Y119*I119/H119,"0")</f>
        <v>0</v>
      </c>
      <c r="BO119" s="74">
        <f>IFERROR(1/J119*(X119/H119),"0")</f>
        <v>0</v>
      </c>
      <c r="BP119" s="74">
        <f>IFERROR(1/J119*(Y119/H119),"0")</f>
        <v>0</v>
      </c>
    </row>
    <row r="120" spans="1:68" ht="16.5" hidden="1" customHeight="1" x14ac:dyDescent="0.25">
      <c r="A120" s="31" t="s">
        <v>230</v>
      </c>
      <c r="B120" s="31" t="s">
        <v>231</v>
      </c>
      <c r="C120" s="32">
        <v>4301020344</v>
      </c>
      <c r="D120" s="130">
        <v>4680115880658</v>
      </c>
      <c r="E120" s="130"/>
      <c r="F120" s="33">
        <v>0.4</v>
      </c>
      <c r="G120" s="34">
        <v>6</v>
      </c>
      <c r="H120" s="33">
        <v>2.4</v>
      </c>
      <c r="I120" s="33">
        <v>2.58</v>
      </c>
      <c r="J120" s="34">
        <v>182</v>
      </c>
      <c r="K120" s="34" t="s">
        <v>67</v>
      </c>
      <c r="L120" s="34" t="s">
        <v>20</v>
      </c>
      <c r="M120" s="43" t="s">
        <v>119</v>
      </c>
      <c r="N120" s="43"/>
      <c r="O120" s="34">
        <v>55</v>
      </c>
      <c r="P120" s="13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132"/>
      <c r="R120" s="132"/>
      <c r="S120" s="132"/>
      <c r="T120" s="133"/>
      <c r="U120" s="59" t="s">
        <v>20</v>
      </c>
      <c r="V120" s="59" t="s">
        <v>20</v>
      </c>
      <c r="W120" s="60" t="s">
        <v>69</v>
      </c>
      <c r="X120" s="61">
        <v>0</v>
      </c>
      <c r="Y120" s="67">
        <f>IFERROR(IF(X120="",0,CEILING((X120/$H120),1)*$H120),"")</f>
        <v>0</v>
      </c>
      <c r="Z120" s="68" t="str">
        <f>IFERROR(IF(Y120=0,"",ROUNDUP(Y120/H120,0)*0.00651),"")</f>
        <v/>
      </c>
      <c r="AA120" s="69" t="s">
        <v>20</v>
      </c>
      <c r="AB120" s="70" t="s">
        <v>20</v>
      </c>
      <c r="AC120" s="71" t="s">
        <v>223</v>
      </c>
      <c r="AG120" s="74"/>
      <c r="AJ120" s="75" t="s">
        <v>20</v>
      </c>
      <c r="AK120" s="75">
        <v>0</v>
      </c>
      <c r="BB120" s="77" t="s">
        <v>1</v>
      </c>
      <c r="BM120" s="74">
        <f>IFERROR(X120*I120/H120,"0")</f>
        <v>0</v>
      </c>
      <c r="BN120" s="74">
        <f>IFERROR(Y120*I120/H120,"0")</f>
        <v>0</v>
      </c>
      <c r="BO120" s="74">
        <f>IFERROR(1/J120*(X120/H120),"0")</f>
        <v>0</v>
      </c>
      <c r="BP120" s="74">
        <f>IFERROR(1/J120*(Y120/H120),"0")</f>
        <v>0</v>
      </c>
    </row>
    <row r="121" spans="1:68" hidden="1" x14ac:dyDescent="0.2">
      <c r="A121" s="146"/>
      <c r="B121" s="146"/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7"/>
      <c r="P121" s="142" t="s">
        <v>75</v>
      </c>
      <c r="Q121" s="143"/>
      <c r="R121" s="143"/>
      <c r="S121" s="143"/>
      <c r="T121" s="143"/>
      <c r="U121" s="143"/>
      <c r="V121" s="144"/>
      <c r="W121" s="62" t="s">
        <v>76</v>
      </c>
      <c r="X121" s="63">
        <f>IFERROR(X117/H117,"0")+IFERROR(X118/H118,"0")+IFERROR(X119/H119,"0")+IFERROR(X120/H120,"0")</f>
        <v>0</v>
      </c>
      <c r="Y121" s="63">
        <f>IFERROR(Y117/H117,"0")+IFERROR(Y118/H118,"0")+IFERROR(Y119/H119,"0")+IFERROR(Y120/H120,"0")</f>
        <v>0</v>
      </c>
      <c r="Z121" s="63">
        <f>IFERROR(IF(Z117="",0,Z117),"0")+IFERROR(IF(Z118="",0,Z118),"0")+IFERROR(IF(Z119="",0,Z119),"0")+IFERROR(IF(Z120="",0,Z120),"0")</f>
        <v>0</v>
      </c>
      <c r="AA121" s="72"/>
      <c r="AB121" s="72"/>
      <c r="AC121" s="72"/>
    </row>
    <row r="122" spans="1:68" hidden="1" x14ac:dyDescent="0.2">
      <c r="A122" s="146"/>
      <c r="B122" s="146"/>
      <c r="C122" s="146"/>
      <c r="D122" s="146"/>
      <c r="E122" s="146"/>
      <c r="F122" s="146"/>
      <c r="G122" s="146"/>
      <c r="H122" s="146"/>
      <c r="I122" s="146"/>
      <c r="J122" s="146"/>
      <c r="K122" s="146"/>
      <c r="L122" s="146"/>
      <c r="M122" s="146"/>
      <c r="N122" s="146"/>
      <c r="O122" s="147"/>
      <c r="P122" s="142" t="s">
        <v>75</v>
      </c>
      <c r="Q122" s="143"/>
      <c r="R122" s="143"/>
      <c r="S122" s="143"/>
      <c r="T122" s="143"/>
      <c r="U122" s="143"/>
      <c r="V122" s="144"/>
      <c r="W122" s="62" t="s">
        <v>69</v>
      </c>
      <c r="X122" s="63">
        <f>IFERROR(SUM(X117:X120),"0")</f>
        <v>0</v>
      </c>
      <c r="Y122" s="63">
        <f>IFERROR(SUM(Y117:Y120),"0")</f>
        <v>0</v>
      </c>
      <c r="Z122" s="62"/>
      <c r="AA122" s="72"/>
      <c r="AB122" s="72"/>
      <c r="AC122" s="72"/>
    </row>
    <row r="123" spans="1:68" ht="14.25" hidden="1" customHeight="1" x14ac:dyDescent="0.25">
      <c r="A123" s="129" t="s">
        <v>77</v>
      </c>
      <c r="B123" s="129"/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30"/>
      <c r="AB123" s="30"/>
      <c r="AC123" s="30"/>
    </row>
    <row r="124" spans="1:68" ht="27" customHeight="1" x14ac:dyDescent="0.25">
      <c r="A124" s="31" t="s">
        <v>232</v>
      </c>
      <c r="B124" s="31" t="s">
        <v>233</v>
      </c>
      <c r="C124" s="32">
        <v>4301051724</v>
      </c>
      <c r="D124" s="130">
        <v>4607091385168</v>
      </c>
      <c r="E124" s="130"/>
      <c r="F124" s="33">
        <v>1.35</v>
      </c>
      <c r="G124" s="34">
        <v>6</v>
      </c>
      <c r="H124" s="33">
        <v>8.1</v>
      </c>
      <c r="I124" s="33">
        <v>8.5879999999999992</v>
      </c>
      <c r="J124" s="34">
        <v>64</v>
      </c>
      <c r="K124" s="34" t="s">
        <v>118</v>
      </c>
      <c r="L124" s="34" t="s">
        <v>20</v>
      </c>
      <c r="M124" s="43" t="s">
        <v>80</v>
      </c>
      <c r="N124" s="43"/>
      <c r="O124" s="34">
        <v>45</v>
      </c>
      <c r="P124" s="1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132"/>
      <c r="R124" s="132"/>
      <c r="S124" s="132"/>
      <c r="T124" s="133"/>
      <c r="U124" s="59" t="s">
        <v>20</v>
      </c>
      <c r="V124" s="59" t="s">
        <v>20</v>
      </c>
      <c r="W124" s="60" t="s">
        <v>69</v>
      </c>
      <c r="X124" s="61">
        <v>200</v>
      </c>
      <c r="Y124" s="67">
        <f>IFERROR(IF(X124="",0,CEILING((X124/$H124),1)*$H124),"")</f>
        <v>202.5</v>
      </c>
      <c r="Z124" s="68">
        <f>IFERROR(IF(Y124=0,"",ROUNDUP(Y124/H124,0)*0.01898),"")</f>
        <v>0.47450000000000003</v>
      </c>
      <c r="AA124" s="69" t="s">
        <v>20</v>
      </c>
      <c r="AB124" s="70" t="s">
        <v>20</v>
      </c>
      <c r="AC124" s="71" t="s">
        <v>234</v>
      </c>
      <c r="AG124" s="74"/>
      <c r="AJ124" s="75" t="s">
        <v>20</v>
      </c>
      <c r="AK124" s="75">
        <v>0</v>
      </c>
      <c r="BB124" s="77" t="s">
        <v>1</v>
      </c>
      <c r="BM124" s="74">
        <f>IFERROR(X124*I124/H124,"0")</f>
        <v>212.04938271604939</v>
      </c>
      <c r="BN124" s="74">
        <f>IFERROR(Y124*I124/H124,"0")</f>
        <v>214.7</v>
      </c>
      <c r="BO124" s="74">
        <f>IFERROR(1/J124*(X124/H124),"0")</f>
        <v>0.38580246913580246</v>
      </c>
      <c r="BP124" s="74">
        <f>IFERROR(1/J124*(Y124/H124),"0")</f>
        <v>0.390625</v>
      </c>
    </row>
    <row r="125" spans="1:68" ht="27" hidden="1" customHeight="1" x14ac:dyDescent="0.25">
      <c r="A125" s="31" t="s">
        <v>235</v>
      </c>
      <c r="B125" s="31" t="s">
        <v>236</v>
      </c>
      <c r="C125" s="32">
        <v>4301051730</v>
      </c>
      <c r="D125" s="130">
        <v>4607091383256</v>
      </c>
      <c r="E125" s="130"/>
      <c r="F125" s="33">
        <v>0.33</v>
      </c>
      <c r="G125" s="34">
        <v>6</v>
      </c>
      <c r="H125" s="33">
        <v>1.98</v>
      </c>
      <c r="I125" s="33">
        <v>2.226</v>
      </c>
      <c r="J125" s="34">
        <v>182</v>
      </c>
      <c r="K125" s="34" t="s">
        <v>67</v>
      </c>
      <c r="L125" s="34" t="s">
        <v>20</v>
      </c>
      <c r="M125" s="43" t="s">
        <v>80</v>
      </c>
      <c r="N125" s="43"/>
      <c r="O125" s="34">
        <v>45</v>
      </c>
      <c r="P125" s="1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132"/>
      <c r="R125" s="132"/>
      <c r="S125" s="132"/>
      <c r="T125" s="133"/>
      <c r="U125" s="59" t="s">
        <v>20</v>
      </c>
      <c r="V125" s="59" t="s">
        <v>20</v>
      </c>
      <c r="W125" s="60" t="s">
        <v>69</v>
      </c>
      <c r="X125" s="61">
        <v>0</v>
      </c>
      <c r="Y125" s="67">
        <f>IFERROR(IF(X125="",0,CEILING((X125/$H125),1)*$H125),"")</f>
        <v>0</v>
      </c>
      <c r="Z125" s="68" t="str">
        <f>IFERROR(IF(Y125=0,"",ROUNDUP(Y125/H125,0)*0.00651),"")</f>
        <v/>
      </c>
      <c r="AA125" s="69" t="s">
        <v>20</v>
      </c>
      <c r="AB125" s="70" t="s">
        <v>20</v>
      </c>
      <c r="AC125" s="71" t="s">
        <v>234</v>
      </c>
      <c r="AG125" s="74"/>
      <c r="AJ125" s="75" t="s">
        <v>20</v>
      </c>
      <c r="AK125" s="75">
        <v>0</v>
      </c>
      <c r="BB125" s="77" t="s">
        <v>1</v>
      </c>
      <c r="BM125" s="74">
        <f>IFERROR(X125*I125/H125,"0")</f>
        <v>0</v>
      </c>
      <c r="BN125" s="74">
        <f>IFERROR(Y125*I125/H125,"0")</f>
        <v>0</v>
      </c>
      <c r="BO125" s="74">
        <f>IFERROR(1/J125*(X125/H125),"0")</f>
        <v>0</v>
      </c>
      <c r="BP125" s="74">
        <f>IFERROR(1/J125*(Y125/H125),"0")</f>
        <v>0</v>
      </c>
    </row>
    <row r="126" spans="1:68" ht="27" customHeight="1" x14ac:dyDescent="0.25">
      <c r="A126" s="31" t="s">
        <v>237</v>
      </c>
      <c r="B126" s="31" t="s">
        <v>238</v>
      </c>
      <c r="C126" s="32">
        <v>4301051721</v>
      </c>
      <c r="D126" s="130">
        <v>4607091385748</v>
      </c>
      <c r="E126" s="130"/>
      <c r="F126" s="33">
        <v>0.45</v>
      </c>
      <c r="G126" s="34">
        <v>6</v>
      </c>
      <c r="H126" s="33">
        <v>2.7</v>
      </c>
      <c r="I126" s="33">
        <v>2.952</v>
      </c>
      <c r="J126" s="34">
        <v>182</v>
      </c>
      <c r="K126" s="34" t="s">
        <v>67</v>
      </c>
      <c r="L126" s="34" t="s">
        <v>20</v>
      </c>
      <c r="M126" s="43" t="s">
        <v>80</v>
      </c>
      <c r="N126" s="43"/>
      <c r="O126" s="34">
        <v>45</v>
      </c>
      <c r="P126" s="13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132"/>
      <c r="R126" s="132"/>
      <c r="S126" s="132"/>
      <c r="T126" s="133"/>
      <c r="U126" s="59" t="s">
        <v>20</v>
      </c>
      <c r="V126" s="59" t="s">
        <v>20</v>
      </c>
      <c r="W126" s="60" t="s">
        <v>69</v>
      </c>
      <c r="X126" s="61">
        <v>500</v>
      </c>
      <c r="Y126" s="67">
        <f>IFERROR(IF(X126="",0,CEILING((X126/$H126),1)*$H126),"")</f>
        <v>502.20000000000005</v>
      </c>
      <c r="Z126" s="68">
        <f>IFERROR(IF(Y126=0,"",ROUNDUP(Y126/H126,0)*0.00651),"")</f>
        <v>1.21086</v>
      </c>
      <c r="AA126" s="69" t="s">
        <v>20</v>
      </c>
      <c r="AB126" s="70" t="s">
        <v>20</v>
      </c>
      <c r="AC126" s="71" t="s">
        <v>234</v>
      </c>
      <c r="AG126" s="74"/>
      <c r="AJ126" s="75" t="s">
        <v>20</v>
      </c>
      <c r="AK126" s="75">
        <v>0</v>
      </c>
      <c r="BB126" s="77" t="s">
        <v>1</v>
      </c>
      <c r="BM126" s="74">
        <f>IFERROR(X126*I126/H126,"0")</f>
        <v>546.66666666666663</v>
      </c>
      <c r="BN126" s="74">
        <f>IFERROR(Y126*I126/H126,"0")</f>
        <v>549.072</v>
      </c>
      <c r="BO126" s="74">
        <f>IFERROR(1/J126*(X126/H126),"0")</f>
        <v>1.0175010175010175</v>
      </c>
      <c r="BP126" s="74">
        <f>IFERROR(1/J126*(Y126/H126),"0")</f>
        <v>1.0219780219780221</v>
      </c>
    </row>
    <row r="127" spans="1:68" ht="16.5" hidden="1" customHeight="1" x14ac:dyDescent="0.25">
      <c r="A127" s="31" t="s">
        <v>239</v>
      </c>
      <c r="B127" s="31" t="s">
        <v>240</v>
      </c>
      <c r="C127" s="32">
        <v>4301051740</v>
      </c>
      <c r="D127" s="130">
        <v>4680115884533</v>
      </c>
      <c r="E127" s="130"/>
      <c r="F127" s="33">
        <v>0.3</v>
      </c>
      <c r="G127" s="34">
        <v>6</v>
      </c>
      <c r="H127" s="33">
        <v>1.8</v>
      </c>
      <c r="I127" s="33">
        <v>1.98</v>
      </c>
      <c r="J127" s="34">
        <v>182</v>
      </c>
      <c r="K127" s="34" t="s">
        <v>67</v>
      </c>
      <c r="L127" s="34" t="s">
        <v>20</v>
      </c>
      <c r="M127" s="43" t="s">
        <v>86</v>
      </c>
      <c r="N127" s="43"/>
      <c r="O127" s="34">
        <v>45</v>
      </c>
      <c r="P127" s="1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132"/>
      <c r="R127" s="132"/>
      <c r="S127" s="132"/>
      <c r="T127" s="133"/>
      <c r="U127" s="59" t="s">
        <v>20</v>
      </c>
      <c r="V127" s="59" t="s">
        <v>20</v>
      </c>
      <c r="W127" s="60" t="s">
        <v>69</v>
      </c>
      <c r="X127" s="61">
        <v>0</v>
      </c>
      <c r="Y127" s="67">
        <f>IFERROR(IF(X127="",0,CEILING((X127/$H127),1)*$H127),"")</f>
        <v>0</v>
      </c>
      <c r="Z127" s="68" t="str">
        <f>IFERROR(IF(Y127=0,"",ROUNDUP(Y127/H127,0)*0.00651),"")</f>
        <v/>
      </c>
      <c r="AA127" s="69" t="s">
        <v>20</v>
      </c>
      <c r="AB127" s="70" t="s">
        <v>20</v>
      </c>
      <c r="AC127" s="71" t="s">
        <v>241</v>
      </c>
      <c r="AG127" s="74"/>
      <c r="AJ127" s="75" t="s">
        <v>20</v>
      </c>
      <c r="AK127" s="75">
        <v>0</v>
      </c>
      <c r="BB127" s="77" t="s">
        <v>1</v>
      </c>
      <c r="BM127" s="74">
        <f>IFERROR(X127*I127/H127,"0")</f>
        <v>0</v>
      </c>
      <c r="BN127" s="74">
        <f>IFERROR(Y127*I127/H127,"0")</f>
        <v>0</v>
      </c>
      <c r="BO127" s="74">
        <f>IFERROR(1/J127*(X127/H127),"0")</f>
        <v>0</v>
      </c>
      <c r="BP127" s="74">
        <f>IFERROR(1/J127*(Y127/H127),"0")</f>
        <v>0</v>
      </c>
    </row>
    <row r="128" spans="1:68" x14ac:dyDescent="0.2">
      <c r="A128" s="146"/>
      <c r="B128" s="146"/>
      <c r="C128" s="146"/>
      <c r="D128" s="146"/>
      <c r="E128" s="146"/>
      <c r="F128" s="146"/>
      <c r="G128" s="146"/>
      <c r="H128" s="146"/>
      <c r="I128" s="146"/>
      <c r="J128" s="146"/>
      <c r="K128" s="146"/>
      <c r="L128" s="146"/>
      <c r="M128" s="146"/>
      <c r="N128" s="146"/>
      <c r="O128" s="147"/>
      <c r="P128" s="142" t="s">
        <v>75</v>
      </c>
      <c r="Q128" s="143"/>
      <c r="R128" s="143"/>
      <c r="S128" s="143"/>
      <c r="T128" s="143"/>
      <c r="U128" s="143"/>
      <c r="V128" s="144"/>
      <c r="W128" s="62" t="s">
        <v>76</v>
      </c>
      <c r="X128" s="63">
        <f>IFERROR(X124/H124,"0")+IFERROR(X125/H125,"0")+IFERROR(X126/H126,"0")+IFERROR(X127/H127,"0")</f>
        <v>209.87654320987653</v>
      </c>
      <c r="Y128" s="63">
        <f>IFERROR(Y124/H124,"0")+IFERROR(Y125/H125,"0")+IFERROR(Y126/H126,"0")+IFERROR(Y127/H127,"0")</f>
        <v>211</v>
      </c>
      <c r="Z128" s="63">
        <f>IFERROR(IF(Z124="",0,Z124),"0")+IFERROR(IF(Z125="",0,Z125),"0")+IFERROR(IF(Z126="",0,Z126),"0")+IFERROR(IF(Z127="",0,Z127),"0")</f>
        <v>1.6853600000000002</v>
      </c>
      <c r="AA128" s="72"/>
      <c r="AB128" s="72"/>
      <c r="AC128" s="72"/>
    </row>
    <row r="129" spans="1:68" x14ac:dyDescent="0.2">
      <c r="A129" s="146"/>
      <c r="B129" s="146"/>
      <c r="C129" s="146"/>
      <c r="D129" s="146"/>
      <c r="E129" s="146"/>
      <c r="F129" s="146"/>
      <c r="G129" s="146"/>
      <c r="H129" s="146"/>
      <c r="I129" s="146"/>
      <c r="J129" s="146"/>
      <c r="K129" s="146"/>
      <c r="L129" s="146"/>
      <c r="M129" s="146"/>
      <c r="N129" s="146"/>
      <c r="O129" s="147"/>
      <c r="P129" s="142" t="s">
        <v>75</v>
      </c>
      <c r="Q129" s="143"/>
      <c r="R129" s="143"/>
      <c r="S129" s="143"/>
      <c r="T129" s="143"/>
      <c r="U129" s="143"/>
      <c r="V129" s="144"/>
      <c r="W129" s="62" t="s">
        <v>69</v>
      </c>
      <c r="X129" s="63">
        <f>IFERROR(SUM(X124:X127),"0")</f>
        <v>700</v>
      </c>
      <c r="Y129" s="63">
        <f>IFERROR(SUM(Y124:Y127),"0")</f>
        <v>704.7</v>
      </c>
      <c r="Z129" s="62"/>
      <c r="AA129" s="72"/>
      <c r="AB129" s="72"/>
      <c r="AC129" s="72"/>
    </row>
    <row r="130" spans="1:68" ht="14.25" hidden="1" customHeight="1" x14ac:dyDescent="0.25">
      <c r="A130" s="129" t="s">
        <v>179</v>
      </c>
      <c r="B130" s="129"/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30"/>
      <c r="AB130" s="30"/>
      <c r="AC130" s="30"/>
    </row>
    <row r="131" spans="1:68" ht="16.5" hidden="1" customHeight="1" x14ac:dyDescent="0.25">
      <c r="A131" s="31" t="s">
        <v>242</v>
      </c>
      <c r="B131" s="31" t="s">
        <v>243</v>
      </c>
      <c r="C131" s="32">
        <v>4301060317</v>
      </c>
      <c r="D131" s="130">
        <v>4680115880238</v>
      </c>
      <c r="E131" s="130"/>
      <c r="F131" s="33">
        <v>0.33</v>
      </c>
      <c r="G131" s="34">
        <v>6</v>
      </c>
      <c r="H131" s="33">
        <v>1.98</v>
      </c>
      <c r="I131" s="33">
        <v>2.238</v>
      </c>
      <c r="J131" s="34">
        <v>182</v>
      </c>
      <c r="K131" s="34" t="s">
        <v>67</v>
      </c>
      <c r="L131" s="34" t="s">
        <v>20</v>
      </c>
      <c r="M131" s="43" t="s">
        <v>86</v>
      </c>
      <c r="N131" s="43"/>
      <c r="O131" s="34">
        <v>40</v>
      </c>
      <c r="P131" s="1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132"/>
      <c r="R131" s="132"/>
      <c r="S131" s="132"/>
      <c r="T131" s="133"/>
      <c r="U131" s="59" t="s">
        <v>20</v>
      </c>
      <c r="V131" s="59" t="s">
        <v>20</v>
      </c>
      <c r="W131" s="60" t="s">
        <v>69</v>
      </c>
      <c r="X131" s="61">
        <v>0</v>
      </c>
      <c r="Y131" s="67">
        <f>IFERROR(IF(X131="",0,CEILING((X131/$H131),1)*$H131),"")</f>
        <v>0</v>
      </c>
      <c r="Z131" s="68" t="str">
        <f>IFERROR(IF(Y131=0,"",ROUNDUP(Y131/H131,0)*0.00651),"")</f>
        <v/>
      </c>
      <c r="AA131" s="69" t="s">
        <v>20</v>
      </c>
      <c r="AB131" s="70" t="s">
        <v>20</v>
      </c>
      <c r="AC131" s="71" t="s">
        <v>244</v>
      </c>
      <c r="AG131" s="74"/>
      <c r="AJ131" s="75" t="s">
        <v>20</v>
      </c>
      <c r="AK131" s="75">
        <v>0</v>
      </c>
      <c r="BB131" s="77" t="s">
        <v>1</v>
      </c>
      <c r="BM131" s="74">
        <f>IFERROR(X131*I131/H131,"0")</f>
        <v>0</v>
      </c>
      <c r="BN131" s="74">
        <f>IFERROR(Y131*I131/H131,"0")</f>
        <v>0</v>
      </c>
      <c r="BO131" s="74">
        <f>IFERROR(1/J131*(X131/H131),"0")</f>
        <v>0</v>
      </c>
      <c r="BP131" s="74">
        <f>IFERROR(1/J131*(Y131/H131),"0")</f>
        <v>0</v>
      </c>
    </row>
    <row r="132" spans="1:68" hidden="1" x14ac:dyDescent="0.2">
      <c r="A132" s="146"/>
      <c r="B132" s="146"/>
      <c r="C132" s="146"/>
      <c r="D132" s="146"/>
      <c r="E132" s="146"/>
      <c r="F132" s="146"/>
      <c r="G132" s="146"/>
      <c r="H132" s="146"/>
      <c r="I132" s="146"/>
      <c r="J132" s="146"/>
      <c r="K132" s="146"/>
      <c r="L132" s="146"/>
      <c r="M132" s="146"/>
      <c r="N132" s="146"/>
      <c r="O132" s="147"/>
      <c r="P132" s="142" t="s">
        <v>75</v>
      </c>
      <c r="Q132" s="143"/>
      <c r="R132" s="143"/>
      <c r="S132" s="143"/>
      <c r="T132" s="143"/>
      <c r="U132" s="143"/>
      <c r="V132" s="144"/>
      <c r="W132" s="62" t="s">
        <v>76</v>
      </c>
      <c r="X132" s="63">
        <f>IFERROR(X131/H131,"0")</f>
        <v>0</v>
      </c>
      <c r="Y132" s="63">
        <f>IFERROR(Y131/H131,"0")</f>
        <v>0</v>
      </c>
      <c r="Z132" s="63">
        <f>IFERROR(IF(Z131="",0,Z131),"0")</f>
        <v>0</v>
      </c>
      <c r="AA132" s="72"/>
      <c r="AB132" s="72"/>
      <c r="AC132" s="72"/>
    </row>
    <row r="133" spans="1:68" hidden="1" x14ac:dyDescent="0.2">
      <c r="A133" s="146"/>
      <c r="B133" s="146"/>
      <c r="C133" s="146"/>
      <c r="D133" s="146"/>
      <c r="E133" s="146"/>
      <c r="F133" s="146"/>
      <c r="G133" s="146"/>
      <c r="H133" s="146"/>
      <c r="I133" s="146"/>
      <c r="J133" s="146"/>
      <c r="K133" s="146"/>
      <c r="L133" s="146"/>
      <c r="M133" s="146"/>
      <c r="N133" s="146"/>
      <c r="O133" s="147"/>
      <c r="P133" s="142" t="s">
        <v>75</v>
      </c>
      <c r="Q133" s="143"/>
      <c r="R133" s="143"/>
      <c r="S133" s="143"/>
      <c r="T133" s="143"/>
      <c r="U133" s="143"/>
      <c r="V133" s="144"/>
      <c r="W133" s="62" t="s">
        <v>69</v>
      </c>
      <c r="X133" s="63">
        <f>IFERROR(SUM(X131:X131),"0")</f>
        <v>0</v>
      </c>
      <c r="Y133" s="63">
        <f>IFERROR(SUM(Y131:Y131),"0")</f>
        <v>0</v>
      </c>
      <c r="Z133" s="62"/>
      <c r="AA133" s="72"/>
      <c r="AB133" s="72"/>
      <c r="AC133" s="72"/>
    </row>
    <row r="134" spans="1:68" ht="16.5" hidden="1" customHeight="1" x14ac:dyDescent="0.25">
      <c r="A134" s="128" t="s">
        <v>245</v>
      </c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29"/>
      <c r="AB134" s="29"/>
      <c r="AC134" s="29"/>
    </row>
    <row r="135" spans="1:68" ht="14.25" hidden="1" customHeight="1" x14ac:dyDescent="0.25">
      <c r="A135" s="129" t="s">
        <v>115</v>
      </c>
      <c r="B135" s="129"/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30"/>
      <c r="AB135" s="30"/>
      <c r="AC135" s="30"/>
    </row>
    <row r="136" spans="1:68" ht="27" customHeight="1" x14ac:dyDescent="0.25">
      <c r="A136" s="31" t="s">
        <v>246</v>
      </c>
      <c r="B136" s="31" t="s">
        <v>247</v>
      </c>
      <c r="C136" s="32">
        <v>4301011564</v>
      </c>
      <c r="D136" s="130">
        <v>4680115882577</v>
      </c>
      <c r="E136" s="130"/>
      <c r="F136" s="33">
        <v>0.4</v>
      </c>
      <c r="G136" s="34">
        <v>8</v>
      </c>
      <c r="H136" s="33">
        <v>3.2</v>
      </c>
      <c r="I136" s="33">
        <v>3.38</v>
      </c>
      <c r="J136" s="34">
        <v>182</v>
      </c>
      <c r="K136" s="34" t="s">
        <v>67</v>
      </c>
      <c r="L136" s="34" t="s">
        <v>20</v>
      </c>
      <c r="M136" s="43" t="s">
        <v>105</v>
      </c>
      <c r="N136" s="43"/>
      <c r="O136" s="34">
        <v>90</v>
      </c>
      <c r="P136" s="13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132"/>
      <c r="R136" s="132"/>
      <c r="S136" s="132"/>
      <c r="T136" s="133"/>
      <c r="U136" s="59" t="s">
        <v>20</v>
      </c>
      <c r="V136" s="59" t="s">
        <v>20</v>
      </c>
      <c r="W136" s="60" t="s">
        <v>69</v>
      </c>
      <c r="X136" s="61">
        <v>100</v>
      </c>
      <c r="Y136" s="67">
        <f>IFERROR(IF(X136="",0,CEILING((X136/$H136),1)*$H136),"")</f>
        <v>102.4</v>
      </c>
      <c r="Z136" s="68">
        <f>IFERROR(IF(Y136=0,"",ROUNDUP(Y136/H136,0)*0.00651),"")</f>
        <v>0.20832000000000001</v>
      </c>
      <c r="AA136" s="69" t="s">
        <v>20</v>
      </c>
      <c r="AB136" s="70" t="s">
        <v>20</v>
      </c>
      <c r="AC136" s="71" t="s">
        <v>248</v>
      </c>
      <c r="AG136" s="74"/>
      <c r="AJ136" s="75" t="s">
        <v>20</v>
      </c>
      <c r="AK136" s="75">
        <v>0</v>
      </c>
      <c r="BB136" s="77" t="s">
        <v>1</v>
      </c>
      <c r="BM136" s="74">
        <f>IFERROR(X136*I136/H136,"0")</f>
        <v>105.625</v>
      </c>
      <c r="BN136" s="74">
        <f>IFERROR(Y136*I136/H136,"0")</f>
        <v>108.16</v>
      </c>
      <c r="BO136" s="74">
        <f>IFERROR(1/J136*(X136/H136),"0")</f>
        <v>0.1717032967032967</v>
      </c>
      <c r="BP136" s="74">
        <f>IFERROR(1/J136*(Y136/H136),"0")</f>
        <v>0.17582417582417584</v>
      </c>
    </row>
    <row r="137" spans="1:68" ht="27" hidden="1" customHeight="1" x14ac:dyDescent="0.25">
      <c r="A137" s="31" t="s">
        <v>246</v>
      </c>
      <c r="B137" s="31" t="s">
        <v>249</v>
      </c>
      <c r="C137" s="32">
        <v>4301011562</v>
      </c>
      <c r="D137" s="130">
        <v>4680115882577</v>
      </c>
      <c r="E137" s="130"/>
      <c r="F137" s="33">
        <v>0.4</v>
      </c>
      <c r="G137" s="34">
        <v>8</v>
      </c>
      <c r="H137" s="33">
        <v>3.2</v>
      </c>
      <c r="I137" s="33">
        <v>3.38</v>
      </c>
      <c r="J137" s="34">
        <v>182</v>
      </c>
      <c r="K137" s="34" t="s">
        <v>67</v>
      </c>
      <c r="L137" s="34" t="s">
        <v>20</v>
      </c>
      <c r="M137" s="43" t="s">
        <v>105</v>
      </c>
      <c r="N137" s="43"/>
      <c r="O137" s="34">
        <v>90</v>
      </c>
      <c r="P137" s="13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132"/>
      <c r="R137" s="132"/>
      <c r="S137" s="132"/>
      <c r="T137" s="133"/>
      <c r="U137" s="59" t="s">
        <v>20</v>
      </c>
      <c r="V137" s="59" t="s">
        <v>20</v>
      </c>
      <c r="W137" s="60" t="s">
        <v>69</v>
      </c>
      <c r="X137" s="61">
        <v>0</v>
      </c>
      <c r="Y137" s="67">
        <f>IFERROR(IF(X137="",0,CEILING((X137/$H137),1)*$H137),"")</f>
        <v>0</v>
      </c>
      <c r="Z137" s="68" t="str">
        <f>IFERROR(IF(Y137=0,"",ROUNDUP(Y137/H137,0)*0.00651),"")</f>
        <v/>
      </c>
      <c r="AA137" s="69" t="s">
        <v>20</v>
      </c>
      <c r="AB137" s="70" t="s">
        <v>20</v>
      </c>
      <c r="AC137" s="71" t="s">
        <v>248</v>
      </c>
      <c r="AG137" s="74"/>
      <c r="AJ137" s="75" t="s">
        <v>20</v>
      </c>
      <c r="AK137" s="75">
        <v>0</v>
      </c>
      <c r="BB137" s="77" t="s">
        <v>1</v>
      </c>
      <c r="BM137" s="74">
        <f>IFERROR(X137*I137/H137,"0")</f>
        <v>0</v>
      </c>
      <c r="BN137" s="74">
        <f>IFERROR(Y137*I137/H137,"0")</f>
        <v>0</v>
      </c>
      <c r="BO137" s="74">
        <f>IFERROR(1/J137*(X137/H137),"0")</f>
        <v>0</v>
      </c>
      <c r="BP137" s="74">
        <f>IFERROR(1/J137*(Y137/H137),"0")</f>
        <v>0</v>
      </c>
    </row>
    <row r="138" spans="1:68" x14ac:dyDescent="0.2">
      <c r="A138" s="146"/>
      <c r="B138" s="146"/>
      <c r="C138" s="146"/>
      <c r="D138" s="146"/>
      <c r="E138" s="146"/>
      <c r="F138" s="146"/>
      <c r="G138" s="146"/>
      <c r="H138" s="146"/>
      <c r="I138" s="146"/>
      <c r="J138" s="146"/>
      <c r="K138" s="146"/>
      <c r="L138" s="146"/>
      <c r="M138" s="146"/>
      <c r="N138" s="146"/>
      <c r="O138" s="147"/>
      <c r="P138" s="142" t="s">
        <v>75</v>
      </c>
      <c r="Q138" s="143"/>
      <c r="R138" s="143"/>
      <c r="S138" s="143"/>
      <c r="T138" s="143"/>
      <c r="U138" s="143"/>
      <c r="V138" s="144"/>
      <c r="W138" s="62" t="s">
        <v>76</v>
      </c>
      <c r="X138" s="63">
        <f>IFERROR(X136/H136,"0")+IFERROR(X137/H137,"0")</f>
        <v>31.25</v>
      </c>
      <c r="Y138" s="63">
        <f>IFERROR(Y136/H136,"0")+IFERROR(Y137/H137,"0")</f>
        <v>32</v>
      </c>
      <c r="Z138" s="63">
        <f>IFERROR(IF(Z136="",0,Z136),"0")+IFERROR(IF(Z137="",0,Z137),"0")</f>
        <v>0.20832000000000001</v>
      </c>
      <c r="AA138" s="72"/>
      <c r="AB138" s="72"/>
      <c r="AC138" s="72"/>
    </row>
    <row r="139" spans="1:68" x14ac:dyDescent="0.2">
      <c r="A139" s="146"/>
      <c r="B139" s="146"/>
      <c r="C139" s="146"/>
      <c r="D139" s="146"/>
      <c r="E139" s="146"/>
      <c r="F139" s="146"/>
      <c r="G139" s="146"/>
      <c r="H139" s="146"/>
      <c r="I139" s="146"/>
      <c r="J139" s="146"/>
      <c r="K139" s="146"/>
      <c r="L139" s="146"/>
      <c r="M139" s="146"/>
      <c r="N139" s="146"/>
      <c r="O139" s="147"/>
      <c r="P139" s="142" t="s">
        <v>75</v>
      </c>
      <c r="Q139" s="143"/>
      <c r="R139" s="143"/>
      <c r="S139" s="143"/>
      <c r="T139" s="143"/>
      <c r="U139" s="143"/>
      <c r="V139" s="144"/>
      <c r="W139" s="62" t="s">
        <v>69</v>
      </c>
      <c r="X139" s="63">
        <f>IFERROR(SUM(X136:X137),"0")</f>
        <v>100</v>
      </c>
      <c r="Y139" s="63">
        <f>IFERROR(SUM(Y136:Y137),"0")</f>
        <v>102.4</v>
      </c>
      <c r="Z139" s="62"/>
      <c r="AA139" s="72"/>
      <c r="AB139" s="72"/>
      <c r="AC139" s="72"/>
    </row>
    <row r="140" spans="1:68" ht="14.25" hidden="1" customHeight="1" x14ac:dyDescent="0.25">
      <c r="A140" s="129" t="s">
        <v>64</v>
      </c>
      <c r="B140" s="129"/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30"/>
      <c r="AB140" s="30"/>
      <c r="AC140" s="30"/>
    </row>
    <row r="141" spans="1:68" ht="27" customHeight="1" x14ac:dyDescent="0.25">
      <c r="A141" s="31" t="s">
        <v>250</v>
      </c>
      <c r="B141" s="31" t="s">
        <v>251</v>
      </c>
      <c r="C141" s="32">
        <v>4301031234</v>
      </c>
      <c r="D141" s="130">
        <v>4680115883444</v>
      </c>
      <c r="E141" s="130"/>
      <c r="F141" s="33">
        <v>0.35</v>
      </c>
      <c r="G141" s="34">
        <v>8</v>
      </c>
      <c r="H141" s="33">
        <v>2.8</v>
      </c>
      <c r="I141" s="33">
        <v>3.0680000000000001</v>
      </c>
      <c r="J141" s="34">
        <v>182</v>
      </c>
      <c r="K141" s="34" t="s">
        <v>67</v>
      </c>
      <c r="L141" s="34" t="s">
        <v>20</v>
      </c>
      <c r="M141" s="43" t="s">
        <v>105</v>
      </c>
      <c r="N141" s="43"/>
      <c r="O141" s="34">
        <v>90</v>
      </c>
      <c r="P141" s="13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132"/>
      <c r="R141" s="132"/>
      <c r="S141" s="132"/>
      <c r="T141" s="133"/>
      <c r="U141" s="59" t="s">
        <v>20</v>
      </c>
      <c r="V141" s="59" t="s">
        <v>20</v>
      </c>
      <c r="W141" s="60" t="s">
        <v>69</v>
      </c>
      <c r="X141" s="61">
        <v>100</v>
      </c>
      <c r="Y141" s="67">
        <f>IFERROR(IF(X141="",0,CEILING((X141/$H141),1)*$H141),"")</f>
        <v>100.8</v>
      </c>
      <c r="Z141" s="68">
        <f>IFERROR(IF(Y141=0,"",ROUNDUP(Y141/H141,0)*0.00651),"")</f>
        <v>0.23436000000000001</v>
      </c>
      <c r="AA141" s="69" t="s">
        <v>20</v>
      </c>
      <c r="AB141" s="70" t="s">
        <v>20</v>
      </c>
      <c r="AC141" s="71" t="s">
        <v>252</v>
      </c>
      <c r="AG141" s="74"/>
      <c r="AJ141" s="75" t="s">
        <v>20</v>
      </c>
      <c r="AK141" s="75">
        <v>0</v>
      </c>
      <c r="BB141" s="77" t="s">
        <v>1</v>
      </c>
      <c r="BM141" s="74">
        <f>IFERROR(X141*I141/H141,"0")</f>
        <v>109.57142857142858</v>
      </c>
      <c r="BN141" s="74">
        <f>IFERROR(Y141*I141/H141,"0")</f>
        <v>110.44799999999999</v>
      </c>
      <c r="BO141" s="74">
        <f>IFERROR(1/J141*(X141/H141),"0")</f>
        <v>0.19623233908948196</v>
      </c>
      <c r="BP141" s="74">
        <f>IFERROR(1/J141*(Y141/H141),"0")</f>
        <v>0.19780219780219782</v>
      </c>
    </row>
    <row r="142" spans="1:68" ht="27" hidden="1" customHeight="1" x14ac:dyDescent="0.25">
      <c r="A142" s="31" t="s">
        <v>250</v>
      </c>
      <c r="B142" s="31" t="s">
        <v>253</v>
      </c>
      <c r="C142" s="32">
        <v>4301031235</v>
      </c>
      <c r="D142" s="130">
        <v>4680115883444</v>
      </c>
      <c r="E142" s="130"/>
      <c r="F142" s="33">
        <v>0.35</v>
      </c>
      <c r="G142" s="34">
        <v>8</v>
      </c>
      <c r="H142" s="33">
        <v>2.8</v>
      </c>
      <c r="I142" s="33">
        <v>3.0680000000000001</v>
      </c>
      <c r="J142" s="34">
        <v>182</v>
      </c>
      <c r="K142" s="34" t="s">
        <v>67</v>
      </c>
      <c r="L142" s="34" t="s">
        <v>20</v>
      </c>
      <c r="M142" s="43" t="s">
        <v>105</v>
      </c>
      <c r="N142" s="43"/>
      <c r="O142" s="34">
        <v>90</v>
      </c>
      <c r="P142" s="13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132"/>
      <c r="R142" s="132"/>
      <c r="S142" s="132"/>
      <c r="T142" s="133"/>
      <c r="U142" s="59" t="s">
        <v>20</v>
      </c>
      <c r="V142" s="59" t="s">
        <v>20</v>
      </c>
      <c r="W142" s="60" t="s">
        <v>69</v>
      </c>
      <c r="X142" s="61">
        <v>0</v>
      </c>
      <c r="Y142" s="67">
        <f>IFERROR(IF(X142="",0,CEILING((X142/$H142),1)*$H142),"")</f>
        <v>0</v>
      </c>
      <c r="Z142" s="68" t="str">
        <f>IFERROR(IF(Y142=0,"",ROUNDUP(Y142/H142,0)*0.00651),"")</f>
        <v/>
      </c>
      <c r="AA142" s="69" t="s">
        <v>20</v>
      </c>
      <c r="AB142" s="70" t="s">
        <v>20</v>
      </c>
      <c r="AC142" s="71" t="s">
        <v>252</v>
      </c>
      <c r="AG142" s="74"/>
      <c r="AJ142" s="75" t="s">
        <v>20</v>
      </c>
      <c r="AK142" s="75">
        <v>0</v>
      </c>
      <c r="BB142" s="77" t="s">
        <v>1</v>
      </c>
      <c r="BM142" s="74">
        <f>IFERROR(X142*I142/H142,"0")</f>
        <v>0</v>
      </c>
      <c r="BN142" s="74">
        <f>IFERROR(Y142*I142/H142,"0")</f>
        <v>0</v>
      </c>
      <c r="BO142" s="74">
        <f>IFERROR(1/J142*(X142/H142),"0")</f>
        <v>0</v>
      </c>
      <c r="BP142" s="74">
        <f>IFERROR(1/J142*(Y142/H142),"0")</f>
        <v>0</v>
      </c>
    </row>
    <row r="143" spans="1:68" x14ac:dyDescent="0.2">
      <c r="A143" s="146"/>
      <c r="B143" s="146"/>
      <c r="C143" s="146"/>
      <c r="D143" s="146"/>
      <c r="E143" s="146"/>
      <c r="F143" s="146"/>
      <c r="G143" s="146"/>
      <c r="H143" s="146"/>
      <c r="I143" s="146"/>
      <c r="J143" s="146"/>
      <c r="K143" s="146"/>
      <c r="L143" s="146"/>
      <c r="M143" s="146"/>
      <c r="N143" s="146"/>
      <c r="O143" s="147"/>
      <c r="P143" s="142" t="s">
        <v>75</v>
      </c>
      <c r="Q143" s="143"/>
      <c r="R143" s="143"/>
      <c r="S143" s="143"/>
      <c r="T143" s="143"/>
      <c r="U143" s="143"/>
      <c r="V143" s="144"/>
      <c r="W143" s="62" t="s">
        <v>76</v>
      </c>
      <c r="X143" s="63">
        <f>IFERROR(X141/H141,"0")+IFERROR(X142/H142,"0")</f>
        <v>35.714285714285715</v>
      </c>
      <c r="Y143" s="63">
        <f>IFERROR(Y141/H141,"0")+IFERROR(Y142/H142,"0")</f>
        <v>36</v>
      </c>
      <c r="Z143" s="63">
        <f>IFERROR(IF(Z141="",0,Z141),"0")+IFERROR(IF(Z142="",0,Z142),"0")</f>
        <v>0.23436000000000001</v>
      </c>
      <c r="AA143" s="72"/>
      <c r="AB143" s="72"/>
      <c r="AC143" s="72"/>
    </row>
    <row r="144" spans="1:68" x14ac:dyDescent="0.2">
      <c r="A144" s="146"/>
      <c r="B144" s="146"/>
      <c r="C144" s="146"/>
      <c r="D144" s="146"/>
      <c r="E144" s="146"/>
      <c r="F144" s="146"/>
      <c r="G144" s="146"/>
      <c r="H144" s="146"/>
      <c r="I144" s="146"/>
      <c r="J144" s="146"/>
      <c r="K144" s="146"/>
      <c r="L144" s="146"/>
      <c r="M144" s="146"/>
      <c r="N144" s="146"/>
      <c r="O144" s="147"/>
      <c r="P144" s="142" t="s">
        <v>75</v>
      </c>
      <c r="Q144" s="143"/>
      <c r="R144" s="143"/>
      <c r="S144" s="143"/>
      <c r="T144" s="143"/>
      <c r="U144" s="143"/>
      <c r="V144" s="144"/>
      <c r="W144" s="62" t="s">
        <v>69</v>
      </c>
      <c r="X144" s="63">
        <f>IFERROR(SUM(X141:X142),"0")</f>
        <v>100</v>
      </c>
      <c r="Y144" s="63">
        <f>IFERROR(SUM(Y141:Y142),"0")</f>
        <v>100.8</v>
      </c>
      <c r="Z144" s="62"/>
      <c r="AA144" s="72"/>
      <c r="AB144" s="72"/>
      <c r="AC144" s="72"/>
    </row>
    <row r="145" spans="1:68" ht="14.25" hidden="1" customHeight="1" x14ac:dyDescent="0.25">
      <c r="A145" s="129" t="s">
        <v>77</v>
      </c>
      <c r="B145" s="129"/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30"/>
      <c r="AB145" s="30"/>
      <c r="AC145" s="30"/>
    </row>
    <row r="146" spans="1:68" ht="16.5" hidden="1" customHeight="1" x14ac:dyDescent="0.25">
      <c r="A146" s="31" t="s">
        <v>254</v>
      </c>
      <c r="B146" s="31" t="s">
        <v>255</v>
      </c>
      <c r="C146" s="32">
        <v>4301051477</v>
      </c>
      <c r="D146" s="130">
        <v>4680115882584</v>
      </c>
      <c r="E146" s="130"/>
      <c r="F146" s="33">
        <v>0.33</v>
      </c>
      <c r="G146" s="34">
        <v>8</v>
      </c>
      <c r="H146" s="33">
        <v>2.64</v>
      </c>
      <c r="I146" s="33">
        <v>2.9079999999999999</v>
      </c>
      <c r="J146" s="34">
        <v>182</v>
      </c>
      <c r="K146" s="34" t="s">
        <v>67</v>
      </c>
      <c r="L146" s="34" t="s">
        <v>20</v>
      </c>
      <c r="M146" s="43" t="s">
        <v>105</v>
      </c>
      <c r="N146" s="43"/>
      <c r="O146" s="34">
        <v>60</v>
      </c>
      <c r="P146" s="13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132"/>
      <c r="R146" s="132"/>
      <c r="S146" s="132"/>
      <c r="T146" s="133"/>
      <c r="U146" s="59" t="s">
        <v>20</v>
      </c>
      <c r="V146" s="59" t="s">
        <v>20</v>
      </c>
      <c r="W146" s="60" t="s">
        <v>69</v>
      </c>
      <c r="X146" s="61">
        <v>0</v>
      </c>
      <c r="Y146" s="67">
        <f>IFERROR(IF(X146="",0,CEILING((X146/$H146),1)*$H146),"")</f>
        <v>0</v>
      </c>
      <c r="Z146" s="68" t="str">
        <f>IFERROR(IF(Y146=0,"",ROUNDUP(Y146/H146,0)*0.00651),"")</f>
        <v/>
      </c>
      <c r="AA146" s="69" t="s">
        <v>20</v>
      </c>
      <c r="AB146" s="70" t="s">
        <v>20</v>
      </c>
      <c r="AC146" s="71" t="s">
        <v>248</v>
      </c>
      <c r="AG146" s="74"/>
      <c r="AJ146" s="75" t="s">
        <v>20</v>
      </c>
      <c r="AK146" s="75">
        <v>0</v>
      </c>
      <c r="BB146" s="77" t="s">
        <v>1</v>
      </c>
      <c r="BM146" s="74">
        <f>IFERROR(X146*I146/H146,"0")</f>
        <v>0</v>
      </c>
      <c r="BN146" s="74">
        <f>IFERROR(Y146*I146/H146,"0")</f>
        <v>0</v>
      </c>
      <c r="BO146" s="74">
        <f>IFERROR(1/J146*(X146/H146),"0")</f>
        <v>0</v>
      </c>
      <c r="BP146" s="74">
        <f>IFERROR(1/J146*(Y146/H146),"0")</f>
        <v>0</v>
      </c>
    </row>
    <row r="147" spans="1:68" ht="16.5" hidden="1" customHeight="1" x14ac:dyDescent="0.25">
      <c r="A147" s="31" t="s">
        <v>254</v>
      </c>
      <c r="B147" s="31" t="s">
        <v>256</v>
      </c>
      <c r="C147" s="32">
        <v>4301051476</v>
      </c>
      <c r="D147" s="130">
        <v>4680115882584</v>
      </c>
      <c r="E147" s="130"/>
      <c r="F147" s="33">
        <v>0.33</v>
      </c>
      <c r="G147" s="34">
        <v>8</v>
      </c>
      <c r="H147" s="33">
        <v>2.64</v>
      </c>
      <c r="I147" s="33">
        <v>2.9079999999999999</v>
      </c>
      <c r="J147" s="34">
        <v>182</v>
      </c>
      <c r="K147" s="34" t="s">
        <v>67</v>
      </c>
      <c r="L147" s="34" t="s">
        <v>20</v>
      </c>
      <c r="M147" s="43" t="s">
        <v>105</v>
      </c>
      <c r="N147" s="43"/>
      <c r="O147" s="34">
        <v>60</v>
      </c>
      <c r="P147" s="1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132"/>
      <c r="R147" s="132"/>
      <c r="S147" s="132"/>
      <c r="T147" s="133"/>
      <c r="U147" s="59" t="s">
        <v>20</v>
      </c>
      <c r="V147" s="59" t="s">
        <v>20</v>
      </c>
      <c r="W147" s="60" t="s">
        <v>69</v>
      </c>
      <c r="X147" s="61">
        <v>0</v>
      </c>
      <c r="Y147" s="67">
        <f>IFERROR(IF(X147="",0,CEILING((X147/$H147),1)*$H147),"")</f>
        <v>0</v>
      </c>
      <c r="Z147" s="68" t="str">
        <f>IFERROR(IF(Y147=0,"",ROUNDUP(Y147/H147,0)*0.00651),"")</f>
        <v/>
      </c>
      <c r="AA147" s="69" t="s">
        <v>20</v>
      </c>
      <c r="AB147" s="70" t="s">
        <v>20</v>
      </c>
      <c r="AC147" s="71" t="s">
        <v>248</v>
      </c>
      <c r="AG147" s="74"/>
      <c r="AJ147" s="75" t="s">
        <v>20</v>
      </c>
      <c r="AK147" s="75">
        <v>0</v>
      </c>
      <c r="BB147" s="77" t="s">
        <v>1</v>
      </c>
      <c r="BM147" s="74">
        <f>IFERROR(X147*I147/H147,"0")</f>
        <v>0</v>
      </c>
      <c r="BN147" s="74">
        <f>IFERROR(Y147*I147/H147,"0")</f>
        <v>0</v>
      </c>
      <c r="BO147" s="74">
        <f>IFERROR(1/J147*(X147/H147),"0")</f>
        <v>0</v>
      </c>
      <c r="BP147" s="74">
        <f>IFERROR(1/J147*(Y147/H147),"0")</f>
        <v>0</v>
      </c>
    </row>
    <row r="148" spans="1:68" hidden="1" x14ac:dyDescent="0.2">
      <c r="A148" s="146"/>
      <c r="B148" s="146"/>
      <c r="C148" s="146"/>
      <c r="D148" s="146"/>
      <c r="E148" s="146"/>
      <c r="F148" s="146"/>
      <c r="G148" s="146"/>
      <c r="H148" s="146"/>
      <c r="I148" s="146"/>
      <c r="J148" s="146"/>
      <c r="K148" s="146"/>
      <c r="L148" s="146"/>
      <c r="M148" s="146"/>
      <c r="N148" s="146"/>
      <c r="O148" s="147"/>
      <c r="P148" s="142" t="s">
        <v>75</v>
      </c>
      <c r="Q148" s="143"/>
      <c r="R148" s="143"/>
      <c r="S148" s="143"/>
      <c r="T148" s="143"/>
      <c r="U148" s="143"/>
      <c r="V148" s="144"/>
      <c r="W148" s="62" t="s">
        <v>76</v>
      </c>
      <c r="X148" s="63">
        <f>IFERROR(X146/H146,"0")+IFERROR(X147/H147,"0")</f>
        <v>0</v>
      </c>
      <c r="Y148" s="63">
        <f>IFERROR(Y146/H146,"0")+IFERROR(Y147/H147,"0")</f>
        <v>0</v>
      </c>
      <c r="Z148" s="63">
        <f>IFERROR(IF(Z146="",0,Z146),"0")+IFERROR(IF(Z147="",0,Z147),"0")</f>
        <v>0</v>
      </c>
      <c r="AA148" s="72"/>
      <c r="AB148" s="72"/>
      <c r="AC148" s="72"/>
    </row>
    <row r="149" spans="1:68" hidden="1" x14ac:dyDescent="0.2">
      <c r="A149" s="146"/>
      <c r="B149" s="146"/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7"/>
      <c r="P149" s="142" t="s">
        <v>75</v>
      </c>
      <c r="Q149" s="143"/>
      <c r="R149" s="143"/>
      <c r="S149" s="143"/>
      <c r="T149" s="143"/>
      <c r="U149" s="143"/>
      <c r="V149" s="144"/>
      <c r="W149" s="62" t="s">
        <v>69</v>
      </c>
      <c r="X149" s="63">
        <f>IFERROR(SUM(X146:X147),"0")</f>
        <v>0</v>
      </c>
      <c r="Y149" s="63">
        <f>IFERROR(SUM(Y146:Y147),"0")</f>
        <v>0</v>
      </c>
      <c r="Z149" s="62"/>
      <c r="AA149" s="72"/>
      <c r="AB149" s="72"/>
      <c r="AC149" s="72"/>
    </row>
    <row r="150" spans="1:68" ht="16.5" hidden="1" customHeight="1" x14ac:dyDescent="0.25">
      <c r="A150" s="128" t="s">
        <v>113</v>
      </c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29"/>
      <c r="AB150" s="29"/>
      <c r="AC150" s="29"/>
    </row>
    <row r="151" spans="1:68" ht="14.25" hidden="1" customHeight="1" x14ac:dyDescent="0.25">
      <c r="A151" s="129" t="s">
        <v>115</v>
      </c>
      <c r="B151" s="129"/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30"/>
      <c r="AB151" s="30"/>
      <c r="AC151" s="30"/>
    </row>
    <row r="152" spans="1:68" ht="27" hidden="1" customHeight="1" x14ac:dyDescent="0.25">
      <c r="A152" s="31" t="s">
        <v>257</v>
      </c>
      <c r="B152" s="31" t="s">
        <v>258</v>
      </c>
      <c r="C152" s="32">
        <v>4301012244</v>
      </c>
      <c r="D152" s="130">
        <v>4680115887374</v>
      </c>
      <c r="E152" s="130"/>
      <c r="F152" s="33">
        <v>1.6</v>
      </c>
      <c r="G152" s="34">
        <v>8</v>
      </c>
      <c r="H152" s="33">
        <v>12.8</v>
      </c>
      <c r="I152" s="33">
        <v>13.21</v>
      </c>
      <c r="J152" s="34">
        <v>64</v>
      </c>
      <c r="K152" s="34" t="s">
        <v>118</v>
      </c>
      <c r="L152" s="34" t="s">
        <v>20</v>
      </c>
      <c r="M152" s="43" t="s">
        <v>119</v>
      </c>
      <c r="N152" s="43"/>
      <c r="O152" s="34">
        <v>55</v>
      </c>
      <c r="P152" s="13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2" s="132"/>
      <c r="R152" s="132"/>
      <c r="S152" s="132"/>
      <c r="T152" s="133"/>
      <c r="U152" s="59" t="s">
        <v>20</v>
      </c>
      <c r="V152" s="59" t="s">
        <v>20</v>
      </c>
      <c r="W152" s="60" t="s">
        <v>69</v>
      </c>
      <c r="X152" s="61">
        <v>0</v>
      </c>
      <c r="Y152" s="67">
        <f>IFERROR(IF(X152="",0,CEILING((X152/$H152),1)*$H152),"")</f>
        <v>0</v>
      </c>
      <c r="Z152" s="68" t="str">
        <f>IFERROR(IF(Y152=0,"",ROUNDUP(Y152/H152,0)*0.01898),"")</f>
        <v/>
      </c>
      <c r="AA152" s="69" t="s">
        <v>20</v>
      </c>
      <c r="AB152" s="70" t="s">
        <v>20</v>
      </c>
      <c r="AC152" s="71" t="s">
        <v>259</v>
      </c>
      <c r="AG152" s="74"/>
      <c r="AJ152" s="75" t="s">
        <v>20</v>
      </c>
      <c r="AK152" s="75">
        <v>0</v>
      </c>
      <c r="BB152" s="77" t="s">
        <v>1</v>
      </c>
      <c r="BM152" s="74">
        <f>IFERROR(X152*I152/H152,"0")</f>
        <v>0</v>
      </c>
      <c r="BN152" s="74">
        <f>IFERROR(Y152*I152/H152,"0")</f>
        <v>0</v>
      </c>
      <c r="BO152" s="74">
        <f>IFERROR(1/J152*(X152/H152),"0")</f>
        <v>0</v>
      </c>
      <c r="BP152" s="74">
        <f>IFERROR(1/J152*(Y152/H152),"0")</f>
        <v>0</v>
      </c>
    </row>
    <row r="153" spans="1:68" ht="27" hidden="1" customHeight="1" x14ac:dyDescent="0.25">
      <c r="A153" s="31" t="s">
        <v>260</v>
      </c>
      <c r="B153" s="31" t="s">
        <v>261</v>
      </c>
      <c r="C153" s="32">
        <v>4301011705</v>
      </c>
      <c r="D153" s="130">
        <v>4607091384604</v>
      </c>
      <c r="E153" s="130"/>
      <c r="F153" s="33">
        <v>0.4</v>
      </c>
      <c r="G153" s="34">
        <v>10</v>
      </c>
      <c r="H153" s="33">
        <v>4</v>
      </c>
      <c r="I153" s="33">
        <v>4.1900000000000004</v>
      </c>
      <c r="J153" s="34">
        <v>132</v>
      </c>
      <c r="K153" s="34" t="s">
        <v>128</v>
      </c>
      <c r="L153" s="34" t="s">
        <v>20</v>
      </c>
      <c r="M153" s="43" t="s">
        <v>119</v>
      </c>
      <c r="N153" s="43"/>
      <c r="O153" s="34">
        <v>50</v>
      </c>
      <c r="P153" s="1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132"/>
      <c r="R153" s="132"/>
      <c r="S153" s="132"/>
      <c r="T153" s="133"/>
      <c r="U153" s="59" t="s">
        <v>20</v>
      </c>
      <c r="V153" s="59" t="s">
        <v>20</v>
      </c>
      <c r="W153" s="60" t="s">
        <v>69</v>
      </c>
      <c r="X153" s="61">
        <v>0</v>
      </c>
      <c r="Y153" s="67">
        <f>IFERROR(IF(X153="",0,CEILING((X153/$H153),1)*$H153),"")</f>
        <v>0</v>
      </c>
      <c r="Z153" s="68" t="str">
        <f>IFERROR(IF(Y153=0,"",ROUNDUP(Y153/H153,0)*0.00902),"")</f>
        <v/>
      </c>
      <c r="AA153" s="69" t="s">
        <v>20</v>
      </c>
      <c r="AB153" s="70" t="s">
        <v>20</v>
      </c>
      <c r="AC153" s="71" t="s">
        <v>262</v>
      </c>
      <c r="AG153" s="74"/>
      <c r="AJ153" s="75" t="s">
        <v>20</v>
      </c>
      <c r="AK153" s="75">
        <v>0</v>
      </c>
      <c r="BB153" s="77" t="s">
        <v>1</v>
      </c>
      <c r="BM153" s="74">
        <f>IFERROR(X153*I153/H153,"0")</f>
        <v>0</v>
      </c>
      <c r="BN153" s="74">
        <f>IFERROR(Y153*I153/H153,"0")</f>
        <v>0</v>
      </c>
      <c r="BO153" s="74">
        <f>IFERROR(1/J153*(X153/H153),"0")</f>
        <v>0</v>
      </c>
      <c r="BP153" s="74">
        <f>IFERROR(1/J153*(Y153/H153),"0")</f>
        <v>0</v>
      </c>
    </row>
    <row r="154" spans="1:68" hidden="1" x14ac:dyDescent="0.2">
      <c r="A154" s="146"/>
      <c r="B154" s="146"/>
      <c r="C154" s="146"/>
      <c r="D154" s="146"/>
      <c r="E154" s="146"/>
      <c r="F154" s="146"/>
      <c r="G154" s="146"/>
      <c r="H154" s="146"/>
      <c r="I154" s="146"/>
      <c r="J154" s="146"/>
      <c r="K154" s="146"/>
      <c r="L154" s="146"/>
      <c r="M154" s="146"/>
      <c r="N154" s="146"/>
      <c r="O154" s="147"/>
      <c r="P154" s="142" t="s">
        <v>75</v>
      </c>
      <c r="Q154" s="143"/>
      <c r="R154" s="143"/>
      <c r="S154" s="143"/>
      <c r="T154" s="143"/>
      <c r="U154" s="143"/>
      <c r="V154" s="144"/>
      <c r="W154" s="62" t="s">
        <v>76</v>
      </c>
      <c r="X154" s="63">
        <f>IFERROR(X152/H152,"0")+IFERROR(X153/H153,"0")</f>
        <v>0</v>
      </c>
      <c r="Y154" s="63">
        <f>IFERROR(Y152/H152,"0")+IFERROR(Y153/H153,"0")</f>
        <v>0</v>
      </c>
      <c r="Z154" s="63">
        <f>IFERROR(IF(Z152="",0,Z152),"0")+IFERROR(IF(Z153="",0,Z153),"0")</f>
        <v>0</v>
      </c>
      <c r="AA154" s="72"/>
      <c r="AB154" s="72"/>
      <c r="AC154" s="72"/>
    </row>
    <row r="155" spans="1:68" hidden="1" x14ac:dyDescent="0.2">
      <c r="A155" s="146"/>
      <c r="B155" s="146"/>
      <c r="C155" s="146"/>
      <c r="D155" s="146"/>
      <c r="E155" s="146"/>
      <c r="F155" s="146"/>
      <c r="G155" s="146"/>
      <c r="H155" s="146"/>
      <c r="I155" s="146"/>
      <c r="J155" s="146"/>
      <c r="K155" s="146"/>
      <c r="L155" s="146"/>
      <c r="M155" s="146"/>
      <c r="N155" s="146"/>
      <c r="O155" s="147"/>
      <c r="P155" s="142" t="s">
        <v>75</v>
      </c>
      <c r="Q155" s="143"/>
      <c r="R155" s="143"/>
      <c r="S155" s="143"/>
      <c r="T155" s="143"/>
      <c r="U155" s="143"/>
      <c r="V155" s="144"/>
      <c r="W155" s="62" t="s">
        <v>69</v>
      </c>
      <c r="X155" s="63">
        <f>IFERROR(SUM(X152:X153),"0")</f>
        <v>0</v>
      </c>
      <c r="Y155" s="63">
        <f>IFERROR(SUM(Y152:Y153),"0")</f>
        <v>0</v>
      </c>
      <c r="Z155" s="62"/>
      <c r="AA155" s="72"/>
      <c r="AB155" s="72"/>
      <c r="AC155" s="72"/>
    </row>
    <row r="156" spans="1:68" ht="14.25" hidden="1" customHeight="1" x14ac:dyDescent="0.25">
      <c r="A156" s="129" t="s">
        <v>154</v>
      </c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30"/>
      <c r="AB156" s="30"/>
      <c r="AC156" s="30"/>
    </row>
    <row r="157" spans="1:68" ht="16.5" hidden="1" customHeight="1" x14ac:dyDescent="0.25">
      <c r="A157" s="31" t="s">
        <v>263</v>
      </c>
      <c r="B157" s="31" t="s">
        <v>264</v>
      </c>
      <c r="C157" s="32">
        <v>4301020410</v>
      </c>
      <c r="D157" s="130">
        <v>4680115887695</v>
      </c>
      <c r="E157" s="130"/>
      <c r="F157" s="33">
        <v>0.12</v>
      </c>
      <c r="G157" s="34">
        <v>6</v>
      </c>
      <c r="H157" s="33">
        <v>0.72</v>
      </c>
      <c r="I157" s="33">
        <v>0.85</v>
      </c>
      <c r="J157" s="34">
        <v>216</v>
      </c>
      <c r="K157" s="34" t="s">
        <v>73</v>
      </c>
      <c r="L157" s="34" t="s">
        <v>20</v>
      </c>
      <c r="M157" s="43" t="s">
        <v>68</v>
      </c>
      <c r="N157" s="43"/>
      <c r="O157" s="34">
        <v>30</v>
      </c>
      <c r="P157" s="145" t="s">
        <v>265</v>
      </c>
      <c r="Q157" s="132"/>
      <c r="R157" s="132"/>
      <c r="S157" s="132"/>
      <c r="T157" s="133"/>
      <c r="U157" s="59" t="s">
        <v>20</v>
      </c>
      <c r="V157" s="59" t="s">
        <v>20</v>
      </c>
      <c r="W157" s="60" t="s">
        <v>69</v>
      </c>
      <c r="X157" s="61">
        <v>0</v>
      </c>
      <c r="Y157" s="67">
        <f>IFERROR(IF(X157="",0,CEILING((X157/$H157),1)*$H157),"")</f>
        <v>0</v>
      </c>
      <c r="Z157" s="68" t="str">
        <f>IFERROR(IF(Y157=0,"",ROUNDUP(Y157/H157,0)*0.00556),"")</f>
        <v/>
      </c>
      <c r="AA157" s="69" t="s">
        <v>20</v>
      </c>
      <c r="AB157" s="70" t="s">
        <v>20</v>
      </c>
      <c r="AC157" s="71" t="s">
        <v>266</v>
      </c>
      <c r="AG157" s="74"/>
      <c r="AJ157" s="75" t="s">
        <v>20</v>
      </c>
      <c r="AK157" s="75">
        <v>0</v>
      </c>
      <c r="BB157" s="77" t="s">
        <v>1</v>
      </c>
      <c r="BM157" s="74">
        <f>IFERROR(X157*I157/H157,"0")</f>
        <v>0</v>
      </c>
      <c r="BN157" s="74">
        <f>IFERROR(Y157*I157/H157,"0")</f>
        <v>0</v>
      </c>
      <c r="BO157" s="74">
        <f>IFERROR(1/J157*(X157/H157),"0")</f>
        <v>0</v>
      </c>
      <c r="BP157" s="74">
        <f>IFERROR(1/J157*(Y157/H157),"0")</f>
        <v>0</v>
      </c>
    </row>
    <row r="158" spans="1:68" hidden="1" x14ac:dyDescent="0.2">
      <c r="A158" s="146"/>
      <c r="B158" s="146"/>
      <c r="C158" s="146"/>
      <c r="D158" s="146"/>
      <c r="E158" s="146"/>
      <c r="F158" s="146"/>
      <c r="G158" s="146"/>
      <c r="H158" s="146"/>
      <c r="I158" s="146"/>
      <c r="J158" s="146"/>
      <c r="K158" s="146"/>
      <c r="L158" s="146"/>
      <c r="M158" s="146"/>
      <c r="N158" s="146"/>
      <c r="O158" s="147"/>
      <c r="P158" s="142" t="s">
        <v>75</v>
      </c>
      <c r="Q158" s="143"/>
      <c r="R158" s="143"/>
      <c r="S158" s="143"/>
      <c r="T158" s="143"/>
      <c r="U158" s="143"/>
      <c r="V158" s="144"/>
      <c r="W158" s="62" t="s">
        <v>76</v>
      </c>
      <c r="X158" s="63">
        <f>IFERROR(X157/H157,"0")</f>
        <v>0</v>
      </c>
      <c r="Y158" s="63">
        <f>IFERROR(Y157/H157,"0")</f>
        <v>0</v>
      </c>
      <c r="Z158" s="63">
        <f>IFERROR(IF(Z157="",0,Z157),"0")</f>
        <v>0</v>
      </c>
      <c r="AA158" s="72"/>
      <c r="AB158" s="72"/>
      <c r="AC158" s="72"/>
    </row>
    <row r="159" spans="1:68" hidden="1" x14ac:dyDescent="0.2">
      <c r="A159" s="146"/>
      <c r="B159" s="146"/>
      <c r="C159" s="146"/>
      <c r="D159" s="146"/>
      <c r="E159" s="146"/>
      <c r="F159" s="146"/>
      <c r="G159" s="146"/>
      <c r="H159" s="146"/>
      <c r="I159" s="146"/>
      <c r="J159" s="146"/>
      <c r="K159" s="146"/>
      <c r="L159" s="146"/>
      <c r="M159" s="146"/>
      <c r="N159" s="146"/>
      <c r="O159" s="147"/>
      <c r="P159" s="142" t="s">
        <v>75</v>
      </c>
      <c r="Q159" s="143"/>
      <c r="R159" s="143"/>
      <c r="S159" s="143"/>
      <c r="T159" s="143"/>
      <c r="U159" s="143"/>
      <c r="V159" s="144"/>
      <c r="W159" s="62" t="s">
        <v>69</v>
      </c>
      <c r="X159" s="63">
        <f>IFERROR(SUM(X157:X157),"0")</f>
        <v>0</v>
      </c>
      <c r="Y159" s="63">
        <f>IFERROR(SUM(Y157:Y157),"0")</f>
        <v>0</v>
      </c>
      <c r="Z159" s="62"/>
      <c r="AA159" s="72"/>
      <c r="AB159" s="72"/>
      <c r="AC159" s="72"/>
    </row>
    <row r="160" spans="1:68" ht="14.25" hidden="1" customHeight="1" x14ac:dyDescent="0.25">
      <c r="A160" s="129" t="s">
        <v>64</v>
      </c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30"/>
      <c r="AB160" s="30"/>
      <c r="AC160" s="30"/>
    </row>
    <row r="161" spans="1:68" ht="27" hidden="1" customHeight="1" x14ac:dyDescent="0.25">
      <c r="A161" s="31" t="s">
        <v>267</v>
      </c>
      <c r="B161" s="31" t="s">
        <v>268</v>
      </c>
      <c r="C161" s="32">
        <v>4301031450</v>
      </c>
      <c r="D161" s="130">
        <v>4680115887428</v>
      </c>
      <c r="E161" s="130"/>
      <c r="F161" s="33">
        <v>0.7</v>
      </c>
      <c r="G161" s="34">
        <v>6</v>
      </c>
      <c r="H161" s="33">
        <v>4.2</v>
      </c>
      <c r="I161" s="33">
        <v>4.3899999999999997</v>
      </c>
      <c r="J161" s="34">
        <v>132</v>
      </c>
      <c r="K161" s="34" t="s">
        <v>128</v>
      </c>
      <c r="L161" s="34" t="s">
        <v>20</v>
      </c>
      <c r="M161" s="43" t="s">
        <v>68</v>
      </c>
      <c r="N161" s="43"/>
      <c r="O161" s="34">
        <v>40</v>
      </c>
      <c r="P161" s="13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61" s="132"/>
      <c r="R161" s="132"/>
      <c r="S161" s="132"/>
      <c r="T161" s="133"/>
      <c r="U161" s="59" t="s">
        <v>20</v>
      </c>
      <c r="V161" s="59" t="s">
        <v>20</v>
      </c>
      <c r="W161" s="60" t="s">
        <v>69</v>
      </c>
      <c r="X161" s="61">
        <v>0</v>
      </c>
      <c r="Y161" s="67">
        <f t="shared" ref="Y161:Y170" si="11">IFERROR(IF(X161="",0,CEILING((X161/$H161),1)*$H161),"")</f>
        <v>0</v>
      </c>
      <c r="Z161" s="68" t="str">
        <f>IFERROR(IF(Y161=0,"",ROUNDUP(Y161/H161,0)*0.00902),"")</f>
        <v/>
      </c>
      <c r="AA161" s="69" t="s">
        <v>20</v>
      </c>
      <c r="AB161" s="70" t="s">
        <v>20</v>
      </c>
      <c r="AC161" s="71" t="s">
        <v>269</v>
      </c>
      <c r="AG161" s="74"/>
      <c r="AJ161" s="75" t="s">
        <v>20</v>
      </c>
      <c r="AK161" s="75">
        <v>0</v>
      </c>
      <c r="BB161" s="77" t="s">
        <v>1</v>
      </c>
      <c r="BM161" s="74">
        <f t="shared" ref="BM161:BM170" si="12">IFERROR(X161*I161/H161,"0")</f>
        <v>0</v>
      </c>
      <c r="BN161" s="74">
        <f t="shared" ref="BN161:BN170" si="13">IFERROR(Y161*I161/H161,"0")</f>
        <v>0</v>
      </c>
      <c r="BO161" s="74">
        <f t="shared" ref="BO161:BO170" si="14">IFERROR(1/J161*(X161/H161),"0")</f>
        <v>0</v>
      </c>
      <c r="BP161" s="74">
        <f t="shared" ref="BP161:BP170" si="15">IFERROR(1/J161*(Y161/H161),"0")</f>
        <v>0</v>
      </c>
    </row>
    <row r="162" spans="1:68" ht="27" hidden="1" customHeight="1" x14ac:dyDescent="0.25">
      <c r="A162" s="31" t="s">
        <v>270</v>
      </c>
      <c r="B162" s="31" t="s">
        <v>271</v>
      </c>
      <c r="C162" s="32">
        <v>4301031453</v>
      </c>
      <c r="D162" s="130">
        <v>4680115887336</v>
      </c>
      <c r="E162" s="130"/>
      <c r="F162" s="33">
        <v>0.7</v>
      </c>
      <c r="G162" s="34">
        <v>6</v>
      </c>
      <c r="H162" s="33">
        <v>4.2</v>
      </c>
      <c r="I162" s="33">
        <v>4.3899999999999997</v>
      </c>
      <c r="J162" s="34">
        <v>132</v>
      </c>
      <c r="K162" s="34" t="s">
        <v>128</v>
      </c>
      <c r="L162" s="34" t="s">
        <v>20</v>
      </c>
      <c r="M162" s="43" t="s">
        <v>68</v>
      </c>
      <c r="N162" s="43"/>
      <c r="O162" s="34">
        <v>40</v>
      </c>
      <c r="P162" s="131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2" s="132"/>
      <c r="R162" s="132"/>
      <c r="S162" s="132"/>
      <c r="T162" s="133"/>
      <c r="U162" s="59" t="s">
        <v>20</v>
      </c>
      <c r="V162" s="59" t="s">
        <v>20</v>
      </c>
      <c r="W162" s="60" t="s">
        <v>69</v>
      </c>
      <c r="X162" s="61">
        <v>0</v>
      </c>
      <c r="Y162" s="67">
        <f t="shared" si="11"/>
        <v>0</v>
      </c>
      <c r="Z162" s="68" t="str">
        <f>IFERROR(IF(Y162=0,"",ROUNDUP(Y162/H162,0)*0.00902),"")</f>
        <v/>
      </c>
      <c r="AA162" s="69" t="s">
        <v>20</v>
      </c>
      <c r="AB162" s="70" t="s">
        <v>20</v>
      </c>
      <c r="AC162" s="71" t="s">
        <v>272</v>
      </c>
      <c r="AG162" s="74"/>
      <c r="AJ162" s="75" t="s">
        <v>20</v>
      </c>
      <c r="AK162" s="75">
        <v>0</v>
      </c>
      <c r="BB162" s="77" t="s">
        <v>1</v>
      </c>
      <c r="BM162" s="74">
        <f t="shared" si="12"/>
        <v>0</v>
      </c>
      <c r="BN162" s="74">
        <f t="shared" si="13"/>
        <v>0</v>
      </c>
      <c r="BO162" s="74">
        <f t="shared" si="14"/>
        <v>0</v>
      </c>
      <c r="BP162" s="74">
        <f t="shared" si="15"/>
        <v>0</v>
      </c>
    </row>
    <row r="163" spans="1:68" ht="27" hidden="1" customHeight="1" x14ac:dyDescent="0.25">
      <c r="A163" s="31" t="s">
        <v>273</v>
      </c>
      <c r="B163" s="31" t="s">
        <v>274</v>
      </c>
      <c r="C163" s="32">
        <v>4301030963</v>
      </c>
      <c r="D163" s="130">
        <v>4607091382426</v>
      </c>
      <c r="E163" s="130"/>
      <c r="F163" s="33">
        <v>0.9</v>
      </c>
      <c r="G163" s="34">
        <v>10</v>
      </c>
      <c r="H163" s="33">
        <v>9</v>
      </c>
      <c r="I163" s="33">
        <v>9.56</v>
      </c>
      <c r="J163" s="34">
        <v>64</v>
      </c>
      <c r="K163" s="34" t="s">
        <v>118</v>
      </c>
      <c r="L163" s="34" t="s">
        <v>20</v>
      </c>
      <c r="M163" s="43" t="s">
        <v>68</v>
      </c>
      <c r="N163" s="43"/>
      <c r="O163" s="34">
        <v>40</v>
      </c>
      <c r="P163" s="1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3" s="132"/>
      <c r="R163" s="132"/>
      <c r="S163" s="132"/>
      <c r="T163" s="133"/>
      <c r="U163" s="59" t="s">
        <v>20</v>
      </c>
      <c r="V163" s="59" t="s">
        <v>20</v>
      </c>
      <c r="W163" s="60" t="s">
        <v>69</v>
      </c>
      <c r="X163" s="61">
        <v>0</v>
      </c>
      <c r="Y163" s="67">
        <f t="shared" si="11"/>
        <v>0</v>
      </c>
      <c r="Z163" s="68" t="str">
        <f>IFERROR(IF(Y163=0,"",ROUNDUP(Y163/H163,0)*0.01898),"")</f>
        <v/>
      </c>
      <c r="AA163" s="69" t="s">
        <v>20</v>
      </c>
      <c r="AB163" s="70" t="s">
        <v>20</v>
      </c>
      <c r="AC163" s="71" t="s">
        <v>275</v>
      </c>
      <c r="AG163" s="74"/>
      <c r="AJ163" s="75" t="s">
        <v>20</v>
      </c>
      <c r="AK163" s="75">
        <v>0</v>
      </c>
      <c r="BB163" s="77" t="s">
        <v>1</v>
      </c>
      <c r="BM163" s="74">
        <f t="shared" si="12"/>
        <v>0</v>
      </c>
      <c r="BN163" s="74">
        <f t="shared" si="13"/>
        <v>0</v>
      </c>
      <c r="BO163" s="74">
        <f t="shared" si="14"/>
        <v>0</v>
      </c>
      <c r="BP163" s="74">
        <f t="shared" si="15"/>
        <v>0</v>
      </c>
    </row>
    <row r="164" spans="1:68" ht="27" hidden="1" customHeight="1" x14ac:dyDescent="0.25">
      <c r="A164" s="31" t="s">
        <v>276</v>
      </c>
      <c r="B164" s="31" t="s">
        <v>277</v>
      </c>
      <c r="C164" s="32">
        <v>4301031456</v>
      </c>
      <c r="D164" s="130">
        <v>4680115887398</v>
      </c>
      <c r="E164" s="130"/>
      <c r="F164" s="33">
        <v>0.7</v>
      </c>
      <c r="G164" s="34">
        <v>6</v>
      </c>
      <c r="H164" s="33">
        <v>4.2</v>
      </c>
      <c r="I164" s="33">
        <v>4.3899999999999997</v>
      </c>
      <c r="J164" s="34">
        <v>132</v>
      </c>
      <c r="K164" s="34" t="s">
        <v>128</v>
      </c>
      <c r="L164" s="34" t="s">
        <v>20</v>
      </c>
      <c r="M164" s="43" t="s">
        <v>68</v>
      </c>
      <c r="N164" s="43"/>
      <c r="O164" s="34">
        <v>40</v>
      </c>
      <c r="P164" s="13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4" s="132"/>
      <c r="R164" s="132"/>
      <c r="S164" s="132"/>
      <c r="T164" s="133"/>
      <c r="U164" s="59" t="s">
        <v>20</v>
      </c>
      <c r="V164" s="59" t="s">
        <v>20</v>
      </c>
      <c r="W164" s="60" t="s">
        <v>69</v>
      </c>
      <c r="X164" s="61">
        <v>0</v>
      </c>
      <c r="Y164" s="67">
        <f t="shared" si="11"/>
        <v>0</v>
      </c>
      <c r="Z164" s="68" t="str">
        <f>IFERROR(IF(Y164=0,"",ROUNDUP(Y164/H164,0)*0.00902),"")</f>
        <v/>
      </c>
      <c r="AA164" s="69" t="s">
        <v>20</v>
      </c>
      <c r="AB164" s="70" t="s">
        <v>20</v>
      </c>
      <c r="AC164" s="71" t="s">
        <v>278</v>
      </c>
      <c r="AG164" s="74"/>
      <c r="AJ164" s="75" t="s">
        <v>20</v>
      </c>
      <c r="AK164" s="75">
        <v>0</v>
      </c>
      <c r="BB164" s="77" t="s">
        <v>1</v>
      </c>
      <c r="BM164" s="74">
        <f t="shared" si="12"/>
        <v>0</v>
      </c>
      <c r="BN164" s="74">
        <f t="shared" si="13"/>
        <v>0</v>
      </c>
      <c r="BO164" s="74">
        <f t="shared" si="14"/>
        <v>0</v>
      </c>
      <c r="BP164" s="74">
        <f t="shared" si="15"/>
        <v>0</v>
      </c>
    </row>
    <row r="165" spans="1:68" ht="16.5" hidden="1" customHeight="1" x14ac:dyDescent="0.25">
      <c r="A165" s="31" t="s">
        <v>279</v>
      </c>
      <c r="B165" s="31" t="s">
        <v>280</v>
      </c>
      <c r="C165" s="32">
        <v>4301032049</v>
      </c>
      <c r="D165" s="130">
        <v>4680115887787</v>
      </c>
      <c r="E165" s="130"/>
      <c r="F165" s="33">
        <v>0.09</v>
      </c>
      <c r="G165" s="34">
        <v>10</v>
      </c>
      <c r="H165" s="33">
        <v>0.9</v>
      </c>
      <c r="I165" s="33">
        <v>1.1100000000000001</v>
      </c>
      <c r="J165" s="34">
        <v>336</v>
      </c>
      <c r="K165" s="34" t="s">
        <v>123</v>
      </c>
      <c r="L165" s="34" t="s">
        <v>20</v>
      </c>
      <c r="M165" s="43" t="s">
        <v>68</v>
      </c>
      <c r="N165" s="43"/>
      <c r="O165" s="34">
        <v>45</v>
      </c>
      <c r="P165" s="145" t="s">
        <v>281</v>
      </c>
      <c r="Q165" s="132"/>
      <c r="R165" s="132"/>
      <c r="S165" s="132"/>
      <c r="T165" s="133"/>
      <c r="U165" s="59" t="s">
        <v>20</v>
      </c>
      <c r="V165" s="59" t="s">
        <v>20</v>
      </c>
      <c r="W165" s="60" t="s">
        <v>69</v>
      </c>
      <c r="X165" s="61">
        <v>0</v>
      </c>
      <c r="Y165" s="67">
        <f t="shared" si="11"/>
        <v>0</v>
      </c>
      <c r="Z165" s="68" t="str">
        <f>IFERROR(IF(Y165=0,"",ROUNDUP(Y165/H165,0)*0.00417),"")</f>
        <v/>
      </c>
      <c r="AA165" s="69" t="s">
        <v>20</v>
      </c>
      <c r="AB165" s="70" t="s">
        <v>20</v>
      </c>
      <c r="AC165" s="71" t="s">
        <v>282</v>
      </c>
      <c r="AG165" s="74"/>
      <c r="AJ165" s="75" t="s">
        <v>20</v>
      </c>
      <c r="AK165" s="75">
        <v>0</v>
      </c>
      <c r="BB165" s="77" t="s">
        <v>1</v>
      </c>
      <c r="BM165" s="74">
        <f t="shared" si="12"/>
        <v>0</v>
      </c>
      <c r="BN165" s="74">
        <f t="shared" si="13"/>
        <v>0</v>
      </c>
      <c r="BO165" s="74">
        <f t="shared" si="14"/>
        <v>0</v>
      </c>
      <c r="BP165" s="74">
        <f t="shared" si="15"/>
        <v>0</v>
      </c>
    </row>
    <row r="166" spans="1:68" ht="27" hidden="1" customHeight="1" x14ac:dyDescent="0.25">
      <c r="A166" s="31" t="s">
        <v>283</v>
      </c>
      <c r="B166" s="31" t="s">
        <v>284</v>
      </c>
      <c r="C166" s="32">
        <v>4301031448</v>
      </c>
      <c r="D166" s="130">
        <v>4680115887503</v>
      </c>
      <c r="E166" s="130"/>
      <c r="F166" s="33">
        <v>0.28000000000000003</v>
      </c>
      <c r="G166" s="34">
        <v>6</v>
      </c>
      <c r="H166" s="33">
        <v>1.68</v>
      </c>
      <c r="I166" s="33">
        <v>1.78</v>
      </c>
      <c r="J166" s="34">
        <v>234</v>
      </c>
      <c r="K166" s="34" t="s">
        <v>73</v>
      </c>
      <c r="L166" s="34" t="s">
        <v>20</v>
      </c>
      <c r="M166" s="43" t="s">
        <v>68</v>
      </c>
      <c r="N166" s="43"/>
      <c r="O166" s="34">
        <v>40</v>
      </c>
      <c r="P166" s="1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6" s="132"/>
      <c r="R166" s="132"/>
      <c r="S166" s="132"/>
      <c r="T166" s="133"/>
      <c r="U166" s="59" t="s">
        <v>20</v>
      </c>
      <c r="V166" s="59" t="s">
        <v>20</v>
      </c>
      <c r="W166" s="60" t="s">
        <v>69</v>
      </c>
      <c r="X166" s="61">
        <v>0</v>
      </c>
      <c r="Y166" s="67">
        <f t="shared" si="11"/>
        <v>0</v>
      </c>
      <c r="Z166" s="68" t="str">
        <f>IFERROR(IF(Y166=0,"",ROUNDUP(Y166/H166,0)*0.00502),"")</f>
        <v/>
      </c>
      <c r="AA166" s="69" t="s">
        <v>20</v>
      </c>
      <c r="AB166" s="70" t="s">
        <v>20</v>
      </c>
      <c r="AC166" s="71" t="s">
        <v>269</v>
      </c>
      <c r="AG166" s="74"/>
      <c r="AJ166" s="75" t="s">
        <v>20</v>
      </c>
      <c r="AK166" s="75">
        <v>0</v>
      </c>
      <c r="BB166" s="77" t="s">
        <v>1</v>
      </c>
      <c r="BM166" s="74">
        <f t="shared" si="12"/>
        <v>0</v>
      </c>
      <c r="BN166" s="74">
        <f t="shared" si="13"/>
        <v>0</v>
      </c>
      <c r="BO166" s="74">
        <f t="shared" si="14"/>
        <v>0</v>
      </c>
      <c r="BP166" s="74">
        <f t="shared" si="15"/>
        <v>0</v>
      </c>
    </row>
    <row r="167" spans="1:68" ht="27" hidden="1" customHeight="1" x14ac:dyDescent="0.25">
      <c r="A167" s="31" t="s">
        <v>285</v>
      </c>
      <c r="B167" s="31" t="s">
        <v>286</v>
      </c>
      <c r="C167" s="32">
        <v>4301031389</v>
      </c>
      <c r="D167" s="130">
        <v>4680115887763</v>
      </c>
      <c r="E167" s="130"/>
      <c r="F167" s="33">
        <v>0.09</v>
      </c>
      <c r="G167" s="34">
        <v>10</v>
      </c>
      <c r="H167" s="33">
        <v>0.9</v>
      </c>
      <c r="I167" s="33">
        <v>1.1100000000000001</v>
      </c>
      <c r="J167" s="34">
        <v>336</v>
      </c>
      <c r="K167" s="34" t="s">
        <v>123</v>
      </c>
      <c r="L167" s="34" t="s">
        <v>20</v>
      </c>
      <c r="M167" s="43" t="s">
        <v>68</v>
      </c>
      <c r="N167" s="43"/>
      <c r="O167" s="34">
        <v>45</v>
      </c>
      <c r="P167" s="13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7" s="132"/>
      <c r="R167" s="132"/>
      <c r="S167" s="132"/>
      <c r="T167" s="133"/>
      <c r="U167" s="59" t="s">
        <v>20</v>
      </c>
      <c r="V167" s="59" t="s">
        <v>20</v>
      </c>
      <c r="W167" s="60" t="s">
        <v>69</v>
      </c>
      <c r="X167" s="61">
        <v>0</v>
      </c>
      <c r="Y167" s="67">
        <f t="shared" si="11"/>
        <v>0</v>
      </c>
      <c r="Z167" s="68" t="str">
        <f>IFERROR(IF(Y167=0,"",ROUNDUP(Y167/H167,0)*0.00417),"")</f>
        <v/>
      </c>
      <c r="AA167" s="69" t="s">
        <v>20</v>
      </c>
      <c r="AB167" s="70" t="s">
        <v>20</v>
      </c>
      <c r="AC167" s="71" t="s">
        <v>287</v>
      </c>
      <c r="AG167" s="74"/>
      <c r="AJ167" s="75" t="s">
        <v>20</v>
      </c>
      <c r="AK167" s="75">
        <v>0</v>
      </c>
      <c r="BB167" s="77" t="s">
        <v>1</v>
      </c>
      <c r="BM167" s="74">
        <f t="shared" si="12"/>
        <v>0</v>
      </c>
      <c r="BN167" s="74">
        <f t="shared" si="13"/>
        <v>0</v>
      </c>
      <c r="BO167" s="74">
        <f t="shared" si="14"/>
        <v>0</v>
      </c>
      <c r="BP167" s="74">
        <f t="shared" si="15"/>
        <v>0</v>
      </c>
    </row>
    <row r="168" spans="1:68" ht="27" hidden="1" customHeight="1" x14ac:dyDescent="0.25">
      <c r="A168" s="31" t="s">
        <v>288</v>
      </c>
      <c r="B168" s="31" t="s">
        <v>289</v>
      </c>
      <c r="C168" s="32">
        <v>4301031454</v>
      </c>
      <c r="D168" s="130">
        <v>4680115887480</v>
      </c>
      <c r="E168" s="130"/>
      <c r="F168" s="33">
        <v>0.28000000000000003</v>
      </c>
      <c r="G168" s="34">
        <v>6</v>
      </c>
      <c r="H168" s="33">
        <v>1.68</v>
      </c>
      <c r="I168" s="33">
        <v>1.78</v>
      </c>
      <c r="J168" s="34">
        <v>234</v>
      </c>
      <c r="K168" s="34" t="s">
        <v>73</v>
      </c>
      <c r="L168" s="34" t="s">
        <v>20</v>
      </c>
      <c r="M168" s="43" t="s">
        <v>68</v>
      </c>
      <c r="N168" s="43"/>
      <c r="O168" s="34">
        <v>40</v>
      </c>
      <c r="P168" s="13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8" s="132"/>
      <c r="R168" s="132"/>
      <c r="S168" s="132"/>
      <c r="T168" s="133"/>
      <c r="U168" s="59" t="s">
        <v>20</v>
      </c>
      <c r="V168" s="59" t="s">
        <v>20</v>
      </c>
      <c r="W168" s="60" t="s">
        <v>69</v>
      </c>
      <c r="X168" s="61">
        <v>0</v>
      </c>
      <c r="Y168" s="67">
        <f t="shared" si="11"/>
        <v>0</v>
      </c>
      <c r="Z168" s="68" t="str">
        <f>IFERROR(IF(Y168=0,"",ROUNDUP(Y168/H168,0)*0.00502),"")</f>
        <v/>
      </c>
      <c r="AA168" s="69" t="s">
        <v>20</v>
      </c>
      <c r="AB168" s="70" t="s">
        <v>20</v>
      </c>
      <c r="AC168" s="71" t="s">
        <v>278</v>
      </c>
      <c r="AG168" s="74"/>
      <c r="AJ168" s="75" t="s">
        <v>20</v>
      </c>
      <c r="AK168" s="75">
        <v>0</v>
      </c>
      <c r="BB168" s="77" t="s">
        <v>1</v>
      </c>
      <c r="BM168" s="74">
        <f t="shared" si="12"/>
        <v>0</v>
      </c>
      <c r="BN168" s="74">
        <f t="shared" si="13"/>
        <v>0</v>
      </c>
      <c r="BO168" s="74">
        <f t="shared" si="14"/>
        <v>0</v>
      </c>
      <c r="BP168" s="74">
        <f t="shared" si="15"/>
        <v>0</v>
      </c>
    </row>
    <row r="169" spans="1:68" ht="27" hidden="1" customHeight="1" x14ac:dyDescent="0.25">
      <c r="A169" s="31" t="s">
        <v>290</v>
      </c>
      <c r="B169" s="31" t="s">
        <v>291</v>
      </c>
      <c r="C169" s="32">
        <v>4301031434</v>
      </c>
      <c r="D169" s="130">
        <v>4680115888067</v>
      </c>
      <c r="E169" s="130"/>
      <c r="F169" s="33">
        <v>0.09</v>
      </c>
      <c r="G169" s="34">
        <v>10</v>
      </c>
      <c r="H169" s="33">
        <v>0.9</v>
      </c>
      <c r="I169" s="33">
        <v>1</v>
      </c>
      <c r="J169" s="34">
        <v>336</v>
      </c>
      <c r="K169" s="34" t="s">
        <v>123</v>
      </c>
      <c r="L169" s="34" t="s">
        <v>20</v>
      </c>
      <c r="M169" s="43" t="s">
        <v>68</v>
      </c>
      <c r="N169" s="43"/>
      <c r="O169" s="34">
        <v>45</v>
      </c>
      <c r="P169" s="145" t="s">
        <v>292</v>
      </c>
      <c r="Q169" s="132"/>
      <c r="R169" s="132"/>
      <c r="S169" s="132"/>
      <c r="T169" s="133"/>
      <c r="U169" s="59" t="s">
        <v>20</v>
      </c>
      <c r="V169" s="59" t="s">
        <v>20</v>
      </c>
      <c r="W169" s="60" t="s">
        <v>69</v>
      </c>
      <c r="X169" s="61">
        <v>0</v>
      </c>
      <c r="Y169" s="67">
        <f t="shared" si="11"/>
        <v>0</v>
      </c>
      <c r="Z169" s="68" t="str">
        <f>IFERROR(IF(Y169=0,"",ROUNDUP(Y169/H169,0)*0.00417),"")</f>
        <v/>
      </c>
      <c r="AA169" s="69" t="s">
        <v>20</v>
      </c>
      <c r="AB169" s="70" t="s">
        <v>20</v>
      </c>
      <c r="AC169" s="71" t="s">
        <v>293</v>
      </c>
      <c r="AG169" s="74"/>
      <c r="AJ169" s="75" t="s">
        <v>20</v>
      </c>
      <c r="AK169" s="75">
        <v>0</v>
      </c>
      <c r="BB169" s="77" t="s">
        <v>1</v>
      </c>
      <c r="BM169" s="74">
        <f t="shared" si="12"/>
        <v>0</v>
      </c>
      <c r="BN169" s="74">
        <f t="shared" si="13"/>
        <v>0</v>
      </c>
      <c r="BO169" s="74">
        <f t="shared" si="14"/>
        <v>0</v>
      </c>
      <c r="BP169" s="74">
        <f t="shared" si="15"/>
        <v>0</v>
      </c>
    </row>
    <row r="170" spans="1:68" ht="27" hidden="1" customHeight="1" x14ac:dyDescent="0.25">
      <c r="A170" s="31" t="s">
        <v>294</v>
      </c>
      <c r="B170" s="31" t="s">
        <v>295</v>
      </c>
      <c r="C170" s="32">
        <v>4301031451</v>
      </c>
      <c r="D170" s="130">
        <v>4680115887435</v>
      </c>
      <c r="E170" s="130"/>
      <c r="F170" s="33">
        <v>0.28000000000000003</v>
      </c>
      <c r="G170" s="34">
        <v>6</v>
      </c>
      <c r="H170" s="33">
        <v>1.68</v>
      </c>
      <c r="I170" s="33">
        <v>1.78</v>
      </c>
      <c r="J170" s="34">
        <v>234</v>
      </c>
      <c r="K170" s="34" t="s">
        <v>73</v>
      </c>
      <c r="L170" s="34" t="s">
        <v>20</v>
      </c>
      <c r="M170" s="43" t="s">
        <v>68</v>
      </c>
      <c r="N170" s="43"/>
      <c r="O170" s="34">
        <v>40</v>
      </c>
      <c r="P170" s="13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0" s="132"/>
      <c r="R170" s="132"/>
      <c r="S170" s="132"/>
      <c r="T170" s="133"/>
      <c r="U170" s="59" t="s">
        <v>20</v>
      </c>
      <c r="V170" s="59" t="s">
        <v>20</v>
      </c>
      <c r="W170" s="60" t="s">
        <v>69</v>
      </c>
      <c r="X170" s="61">
        <v>0</v>
      </c>
      <c r="Y170" s="67">
        <f t="shared" si="11"/>
        <v>0</v>
      </c>
      <c r="Z170" s="68" t="str">
        <f>IFERROR(IF(Y170=0,"",ROUNDUP(Y170/H170,0)*0.00502),"")</f>
        <v/>
      </c>
      <c r="AA170" s="69" t="s">
        <v>20</v>
      </c>
      <c r="AB170" s="70" t="s">
        <v>20</v>
      </c>
      <c r="AC170" s="71" t="s">
        <v>272</v>
      </c>
      <c r="AG170" s="74"/>
      <c r="AJ170" s="75" t="s">
        <v>20</v>
      </c>
      <c r="AK170" s="75">
        <v>0</v>
      </c>
      <c r="BB170" s="77" t="s">
        <v>1</v>
      </c>
      <c r="BM170" s="74">
        <f t="shared" si="12"/>
        <v>0</v>
      </c>
      <c r="BN170" s="74">
        <f t="shared" si="13"/>
        <v>0</v>
      </c>
      <c r="BO170" s="74">
        <f t="shared" si="14"/>
        <v>0</v>
      </c>
      <c r="BP170" s="74">
        <f t="shared" si="15"/>
        <v>0</v>
      </c>
    </row>
    <row r="171" spans="1:68" hidden="1" x14ac:dyDescent="0.2">
      <c r="A171" s="146"/>
      <c r="B171" s="146"/>
      <c r="C171" s="146"/>
      <c r="D171" s="146"/>
      <c r="E171" s="146"/>
      <c r="F171" s="146"/>
      <c r="G171" s="146"/>
      <c r="H171" s="146"/>
      <c r="I171" s="146"/>
      <c r="J171" s="146"/>
      <c r="K171" s="146"/>
      <c r="L171" s="146"/>
      <c r="M171" s="146"/>
      <c r="N171" s="146"/>
      <c r="O171" s="147"/>
      <c r="P171" s="142" t="s">
        <v>75</v>
      </c>
      <c r="Q171" s="143"/>
      <c r="R171" s="143"/>
      <c r="S171" s="143"/>
      <c r="T171" s="143"/>
      <c r="U171" s="143"/>
      <c r="V171" s="144"/>
      <c r="W171" s="62" t="s">
        <v>76</v>
      </c>
      <c r="X171" s="6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6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6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72"/>
      <c r="AB171" s="72"/>
      <c r="AC171" s="72"/>
    </row>
    <row r="172" spans="1:68" hidden="1" x14ac:dyDescent="0.2">
      <c r="A172" s="146"/>
      <c r="B172" s="146"/>
      <c r="C172" s="146"/>
      <c r="D172" s="146"/>
      <c r="E172" s="146"/>
      <c r="F172" s="146"/>
      <c r="G172" s="146"/>
      <c r="H172" s="146"/>
      <c r="I172" s="146"/>
      <c r="J172" s="146"/>
      <c r="K172" s="146"/>
      <c r="L172" s="146"/>
      <c r="M172" s="146"/>
      <c r="N172" s="146"/>
      <c r="O172" s="147"/>
      <c r="P172" s="142" t="s">
        <v>75</v>
      </c>
      <c r="Q172" s="143"/>
      <c r="R172" s="143"/>
      <c r="S172" s="143"/>
      <c r="T172" s="143"/>
      <c r="U172" s="143"/>
      <c r="V172" s="144"/>
      <c r="W172" s="62" t="s">
        <v>69</v>
      </c>
      <c r="X172" s="63">
        <f>IFERROR(SUM(X161:X170),"0")</f>
        <v>0</v>
      </c>
      <c r="Y172" s="63">
        <f>IFERROR(SUM(Y161:Y170),"0")</f>
        <v>0</v>
      </c>
      <c r="Z172" s="62"/>
      <c r="AA172" s="72"/>
      <c r="AB172" s="72"/>
      <c r="AC172" s="72"/>
    </row>
    <row r="173" spans="1:68" ht="14.25" hidden="1" customHeight="1" x14ac:dyDescent="0.25">
      <c r="A173" s="129" t="s">
        <v>77</v>
      </c>
      <c r="B173" s="129"/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30"/>
      <c r="AB173" s="30"/>
      <c r="AC173" s="30"/>
    </row>
    <row r="174" spans="1:68" ht="27" hidden="1" customHeight="1" x14ac:dyDescent="0.25">
      <c r="A174" s="31" t="s">
        <v>296</v>
      </c>
      <c r="B174" s="31" t="s">
        <v>297</v>
      </c>
      <c r="C174" s="32">
        <v>4301052064</v>
      </c>
      <c r="D174" s="130">
        <v>4680115887459</v>
      </c>
      <c r="E174" s="130"/>
      <c r="F174" s="33">
        <v>0.3</v>
      </c>
      <c r="G174" s="34">
        <v>6</v>
      </c>
      <c r="H174" s="33">
        <v>1.8</v>
      </c>
      <c r="I174" s="33">
        <v>2.0579999999999998</v>
      </c>
      <c r="J174" s="34">
        <v>182</v>
      </c>
      <c r="K174" s="34" t="s">
        <v>67</v>
      </c>
      <c r="L174" s="34" t="s">
        <v>20</v>
      </c>
      <c r="M174" s="43" t="s">
        <v>86</v>
      </c>
      <c r="N174" s="43"/>
      <c r="O174" s="34">
        <v>45</v>
      </c>
      <c r="P174" s="13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74" s="132"/>
      <c r="R174" s="132"/>
      <c r="S174" s="132"/>
      <c r="T174" s="133"/>
      <c r="U174" s="59" t="s">
        <v>20</v>
      </c>
      <c r="V174" s="59" t="s">
        <v>20</v>
      </c>
      <c r="W174" s="60" t="s">
        <v>69</v>
      </c>
      <c r="X174" s="61">
        <v>0</v>
      </c>
      <c r="Y174" s="67">
        <f>IFERROR(IF(X174="",0,CEILING((X174/$H174),1)*$H174),"")</f>
        <v>0</v>
      </c>
      <c r="Z174" s="68" t="str">
        <f>IFERROR(IF(Y174=0,"",ROUNDUP(Y174/H174,0)*0.00651),"")</f>
        <v/>
      </c>
      <c r="AA174" s="69" t="s">
        <v>20</v>
      </c>
      <c r="AB174" s="70" t="s">
        <v>20</v>
      </c>
      <c r="AC174" s="71" t="s">
        <v>298</v>
      </c>
      <c r="AG174" s="74"/>
      <c r="AJ174" s="75" t="s">
        <v>20</v>
      </c>
      <c r="AK174" s="75">
        <v>0</v>
      </c>
      <c r="BB174" s="77" t="s">
        <v>1</v>
      </c>
      <c r="BM174" s="74">
        <f>IFERROR(X174*I174/H174,"0")</f>
        <v>0</v>
      </c>
      <c r="BN174" s="74">
        <f>IFERROR(Y174*I174/H174,"0")</f>
        <v>0</v>
      </c>
      <c r="BO174" s="74">
        <f>IFERROR(1/J174*(X174/H174),"0")</f>
        <v>0</v>
      </c>
      <c r="BP174" s="74">
        <f>IFERROR(1/J174*(Y174/H174),"0")</f>
        <v>0</v>
      </c>
    </row>
    <row r="175" spans="1:68" hidden="1" x14ac:dyDescent="0.2">
      <c r="A175" s="146"/>
      <c r="B175" s="146"/>
      <c r="C175" s="146"/>
      <c r="D175" s="146"/>
      <c r="E175" s="146"/>
      <c r="F175" s="146"/>
      <c r="G175" s="146"/>
      <c r="H175" s="146"/>
      <c r="I175" s="146"/>
      <c r="J175" s="146"/>
      <c r="K175" s="146"/>
      <c r="L175" s="146"/>
      <c r="M175" s="146"/>
      <c r="N175" s="146"/>
      <c r="O175" s="147"/>
      <c r="P175" s="142" t="s">
        <v>75</v>
      </c>
      <c r="Q175" s="143"/>
      <c r="R175" s="143"/>
      <c r="S175" s="143"/>
      <c r="T175" s="143"/>
      <c r="U175" s="143"/>
      <c r="V175" s="144"/>
      <c r="W175" s="62" t="s">
        <v>76</v>
      </c>
      <c r="X175" s="63">
        <f>IFERROR(X174/H174,"0")</f>
        <v>0</v>
      </c>
      <c r="Y175" s="63">
        <f>IFERROR(Y174/H174,"0")</f>
        <v>0</v>
      </c>
      <c r="Z175" s="63">
        <f>IFERROR(IF(Z174="",0,Z174),"0")</f>
        <v>0</v>
      </c>
      <c r="AA175" s="72"/>
      <c r="AB175" s="72"/>
      <c r="AC175" s="72"/>
    </row>
    <row r="176" spans="1:68" hidden="1" x14ac:dyDescent="0.2">
      <c r="A176" s="146"/>
      <c r="B176" s="146"/>
      <c r="C176" s="146"/>
      <c r="D176" s="146"/>
      <c r="E176" s="146"/>
      <c r="F176" s="146"/>
      <c r="G176" s="146"/>
      <c r="H176" s="146"/>
      <c r="I176" s="146"/>
      <c r="J176" s="146"/>
      <c r="K176" s="146"/>
      <c r="L176" s="146"/>
      <c r="M176" s="146"/>
      <c r="N176" s="146"/>
      <c r="O176" s="147"/>
      <c r="P176" s="142" t="s">
        <v>75</v>
      </c>
      <c r="Q176" s="143"/>
      <c r="R176" s="143"/>
      <c r="S176" s="143"/>
      <c r="T176" s="143"/>
      <c r="U176" s="143"/>
      <c r="V176" s="144"/>
      <c r="W176" s="62" t="s">
        <v>69</v>
      </c>
      <c r="X176" s="63">
        <f>IFERROR(SUM(X174:X174),"0")</f>
        <v>0</v>
      </c>
      <c r="Y176" s="63">
        <f>IFERROR(SUM(Y174:Y174),"0")</f>
        <v>0</v>
      </c>
      <c r="Z176" s="62"/>
      <c r="AA176" s="72"/>
      <c r="AB176" s="72"/>
      <c r="AC176" s="72"/>
    </row>
    <row r="177" spans="1:68" ht="27.75" hidden="1" customHeight="1" x14ac:dyDescent="0.2">
      <c r="A177" s="127" t="s">
        <v>299</v>
      </c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  <c r="AA177" s="66"/>
      <c r="AB177" s="66"/>
      <c r="AC177" s="66"/>
    </row>
    <row r="178" spans="1:68" ht="16.5" hidden="1" customHeight="1" x14ac:dyDescent="0.25">
      <c r="A178" s="128" t="s">
        <v>300</v>
      </c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29"/>
      <c r="AB178" s="29"/>
      <c r="AC178" s="29"/>
    </row>
    <row r="179" spans="1:68" ht="14.25" hidden="1" customHeight="1" x14ac:dyDescent="0.25">
      <c r="A179" s="129" t="s">
        <v>154</v>
      </c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30"/>
      <c r="AB179" s="30"/>
      <c r="AC179" s="30"/>
    </row>
    <row r="180" spans="1:68" ht="27" hidden="1" customHeight="1" x14ac:dyDescent="0.25">
      <c r="A180" s="31" t="s">
        <v>301</v>
      </c>
      <c r="B180" s="31" t="s">
        <v>302</v>
      </c>
      <c r="C180" s="32">
        <v>4301020323</v>
      </c>
      <c r="D180" s="130">
        <v>4680115886223</v>
      </c>
      <c r="E180" s="130"/>
      <c r="F180" s="33">
        <v>0.33</v>
      </c>
      <c r="G180" s="34">
        <v>6</v>
      </c>
      <c r="H180" s="33">
        <v>1.98</v>
      </c>
      <c r="I180" s="33">
        <v>2.08</v>
      </c>
      <c r="J180" s="34">
        <v>234</v>
      </c>
      <c r="K180" s="34" t="s">
        <v>73</v>
      </c>
      <c r="L180" s="34" t="s">
        <v>20</v>
      </c>
      <c r="M180" s="43" t="s">
        <v>68</v>
      </c>
      <c r="N180" s="43"/>
      <c r="O180" s="34">
        <v>40</v>
      </c>
      <c r="P180" s="13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80" s="132"/>
      <c r="R180" s="132"/>
      <c r="S180" s="132"/>
      <c r="T180" s="133"/>
      <c r="U180" s="59" t="s">
        <v>20</v>
      </c>
      <c r="V180" s="59" t="s">
        <v>20</v>
      </c>
      <c r="W180" s="60" t="s">
        <v>69</v>
      </c>
      <c r="X180" s="61">
        <v>0</v>
      </c>
      <c r="Y180" s="67">
        <f>IFERROR(IF(X180="",0,CEILING((X180/$H180),1)*$H180),"")</f>
        <v>0</v>
      </c>
      <c r="Z180" s="68" t="str">
        <f>IFERROR(IF(Y180=0,"",ROUNDUP(Y180/H180,0)*0.00502),"")</f>
        <v/>
      </c>
      <c r="AA180" s="69" t="s">
        <v>20</v>
      </c>
      <c r="AB180" s="70" t="s">
        <v>20</v>
      </c>
      <c r="AC180" s="71" t="s">
        <v>303</v>
      </c>
      <c r="AG180" s="74"/>
      <c r="AJ180" s="75" t="s">
        <v>20</v>
      </c>
      <c r="AK180" s="75">
        <v>0</v>
      </c>
      <c r="BB180" s="77" t="s">
        <v>1</v>
      </c>
      <c r="BM180" s="74">
        <f>IFERROR(X180*I180/H180,"0")</f>
        <v>0</v>
      </c>
      <c r="BN180" s="74">
        <f>IFERROR(Y180*I180/H180,"0")</f>
        <v>0</v>
      </c>
      <c r="BO180" s="74">
        <f>IFERROR(1/J180*(X180/H180),"0")</f>
        <v>0</v>
      </c>
      <c r="BP180" s="74">
        <f>IFERROR(1/J180*(Y180/H180),"0")</f>
        <v>0</v>
      </c>
    </row>
    <row r="181" spans="1:68" hidden="1" x14ac:dyDescent="0.2">
      <c r="A181" s="146"/>
      <c r="B181" s="146"/>
      <c r="C181" s="146"/>
      <c r="D181" s="146"/>
      <c r="E181" s="146"/>
      <c r="F181" s="146"/>
      <c r="G181" s="146"/>
      <c r="H181" s="146"/>
      <c r="I181" s="146"/>
      <c r="J181" s="146"/>
      <c r="K181" s="146"/>
      <c r="L181" s="146"/>
      <c r="M181" s="146"/>
      <c r="N181" s="146"/>
      <c r="O181" s="147"/>
      <c r="P181" s="142" t="s">
        <v>75</v>
      </c>
      <c r="Q181" s="143"/>
      <c r="R181" s="143"/>
      <c r="S181" s="143"/>
      <c r="T181" s="143"/>
      <c r="U181" s="143"/>
      <c r="V181" s="144"/>
      <c r="W181" s="62" t="s">
        <v>76</v>
      </c>
      <c r="X181" s="63">
        <f>IFERROR(X180/H180,"0")</f>
        <v>0</v>
      </c>
      <c r="Y181" s="63">
        <f>IFERROR(Y180/H180,"0")</f>
        <v>0</v>
      </c>
      <c r="Z181" s="63">
        <f>IFERROR(IF(Z180="",0,Z180),"0")</f>
        <v>0</v>
      </c>
      <c r="AA181" s="72"/>
      <c r="AB181" s="72"/>
      <c r="AC181" s="72"/>
    </row>
    <row r="182" spans="1:68" hidden="1" x14ac:dyDescent="0.2">
      <c r="A182" s="146"/>
      <c r="B182" s="146"/>
      <c r="C182" s="146"/>
      <c r="D182" s="146"/>
      <c r="E182" s="146"/>
      <c r="F182" s="146"/>
      <c r="G182" s="146"/>
      <c r="H182" s="146"/>
      <c r="I182" s="146"/>
      <c r="J182" s="146"/>
      <c r="K182" s="146"/>
      <c r="L182" s="146"/>
      <c r="M182" s="146"/>
      <c r="N182" s="146"/>
      <c r="O182" s="147"/>
      <c r="P182" s="142" t="s">
        <v>75</v>
      </c>
      <c r="Q182" s="143"/>
      <c r="R182" s="143"/>
      <c r="S182" s="143"/>
      <c r="T182" s="143"/>
      <c r="U182" s="143"/>
      <c r="V182" s="144"/>
      <c r="W182" s="62" t="s">
        <v>69</v>
      </c>
      <c r="X182" s="63">
        <f>IFERROR(SUM(X180:X180),"0")</f>
        <v>0</v>
      </c>
      <c r="Y182" s="63">
        <f>IFERROR(SUM(Y180:Y180),"0")</f>
        <v>0</v>
      </c>
      <c r="Z182" s="62"/>
      <c r="AA182" s="72"/>
      <c r="AB182" s="72"/>
      <c r="AC182" s="72"/>
    </row>
    <row r="183" spans="1:68" ht="14.25" hidden="1" customHeight="1" x14ac:dyDescent="0.25">
      <c r="A183" s="129" t="s">
        <v>64</v>
      </c>
      <c r="B183" s="129"/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30"/>
      <c r="AB183" s="30"/>
      <c r="AC183" s="30"/>
    </row>
    <row r="184" spans="1:68" ht="27" hidden="1" customHeight="1" x14ac:dyDescent="0.25">
      <c r="A184" s="31" t="s">
        <v>304</v>
      </c>
      <c r="B184" s="31" t="s">
        <v>305</v>
      </c>
      <c r="C184" s="32">
        <v>4301031191</v>
      </c>
      <c r="D184" s="130">
        <v>4680115880993</v>
      </c>
      <c r="E184" s="130"/>
      <c r="F184" s="33">
        <v>0.7</v>
      </c>
      <c r="G184" s="34">
        <v>6</v>
      </c>
      <c r="H184" s="33">
        <v>4.2</v>
      </c>
      <c r="I184" s="33">
        <v>4.45</v>
      </c>
      <c r="J184" s="34">
        <v>132</v>
      </c>
      <c r="K184" s="34" t="s">
        <v>128</v>
      </c>
      <c r="L184" s="34" t="s">
        <v>20</v>
      </c>
      <c r="M184" s="43" t="s">
        <v>68</v>
      </c>
      <c r="N184" s="43"/>
      <c r="O184" s="34">
        <v>40</v>
      </c>
      <c r="P184" s="13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84" s="132"/>
      <c r="R184" s="132"/>
      <c r="S184" s="132"/>
      <c r="T184" s="133"/>
      <c r="U184" s="59" t="s">
        <v>20</v>
      </c>
      <c r="V184" s="59" t="s">
        <v>20</v>
      </c>
      <c r="W184" s="60" t="s">
        <v>69</v>
      </c>
      <c r="X184" s="61">
        <v>0</v>
      </c>
      <c r="Y184" s="67">
        <f t="shared" ref="Y184:Y196" si="16">IFERROR(IF(X184="",0,CEILING((X184/$H184),1)*$H184),"")</f>
        <v>0</v>
      </c>
      <c r="Z184" s="68" t="str">
        <f>IFERROR(IF(Y184=0,"",ROUNDUP(Y184/H184,0)*0.00902),"")</f>
        <v/>
      </c>
      <c r="AA184" s="69" t="s">
        <v>20</v>
      </c>
      <c r="AB184" s="70" t="s">
        <v>20</v>
      </c>
      <c r="AC184" s="71" t="s">
        <v>306</v>
      </c>
      <c r="AG184" s="74"/>
      <c r="AJ184" s="75" t="s">
        <v>20</v>
      </c>
      <c r="AK184" s="75">
        <v>0</v>
      </c>
      <c r="BB184" s="77" t="s">
        <v>1</v>
      </c>
      <c r="BM184" s="74">
        <f t="shared" ref="BM184:BM196" si="17">IFERROR(X184*I184/H184,"0")</f>
        <v>0</v>
      </c>
      <c r="BN184" s="74">
        <f t="shared" ref="BN184:BN196" si="18">IFERROR(Y184*I184/H184,"0")</f>
        <v>0</v>
      </c>
      <c r="BO184" s="74">
        <f t="shared" ref="BO184:BO196" si="19">IFERROR(1/J184*(X184/H184),"0")</f>
        <v>0</v>
      </c>
      <c r="BP184" s="74">
        <f t="shared" ref="BP184:BP196" si="20">IFERROR(1/J184*(Y184/H184),"0")</f>
        <v>0</v>
      </c>
    </row>
    <row r="185" spans="1:68" ht="27" hidden="1" customHeight="1" x14ac:dyDescent="0.25">
      <c r="A185" s="31" t="s">
        <v>307</v>
      </c>
      <c r="B185" s="31" t="s">
        <v>308</v>
      </c>
      <c r="C185" s="32">
        <v>4301031204</v>
      </c>
      <c r="D185" s="130">
        <v>4680115881761</v>
      </c>
      <c r="E185" s="130"/>
      <c r="F185" s="33">
        <v>0.7</v>
      </c>
      <c r="G185" s="34">
        <v>6</v>
      </c>
      <c r="H185" s="33">
        <v>4.2</v>
      </c>
      <c r="I185" s="33">
        <v>4.45</v>
      </c>
      <c r="J185" s="34">
        <v>132</v>
      </c>
      <c r="K185" s="34" t="s">
        <v>128</v>
      </c>
      <c r="L185" s="34" t="s">
        <v>20</v>
      </c>
      <c r="M185" s="43" t="s">
        <v>68</v>
      </c>
      <c r="N185" s="43"/>
      <c r="O185" s="34">
        <v>40</v>
      </c>
      <c r="P185" s="13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85" s="132"/>
      <c r="R185" s="132"/>
      <c r="S185" s="132"/>
      <c r="T185" s="133"/>
      <c r="U185" s="59" t="s">
        <v>20</v>
      </c>
      <c r="V185" s="59" t="s">
        <v>20</v>
      </c>
      <c r="W185" s="60" t="s">
        <v>69</v>
      </c>
      <c r="X185" s="61">
        <v>0</v>
      </c>
      <c r="Y185" s="67">
        <f t="shared" si="16"/>
        <v>0</v>
      </c>
      <c r="Z185" s="68" t="str">
        <f>IFERROR(IF(Y185=0,"",ROUNDUP(Y185/H185,0)*0.00902),"")</f>
        <v/>
      </c>
      <c r="AA185" s="69" t="s">
        <v>20</v>
      </c>
      <c r="AB185" s="70" t="s">
        <v>20</v>
      </c>
      <c r="AC185" s="71" t="s">
        <v>309</v>
      </c>
      <c r="AG185" s="74"/>
      <c r="AJ185" s="75" t="s">
        <v>20</v>
      </c>
      <c r="AK185" s="75">
        <v>0</v>
      </c>
      <c r="BB185" s="77" t="s">
        <v>1</v>
      </c>
      <c r="BM185" s="74">
        <f t="shared" si="17"/>
        <v>0</v>
      </c>
      <c r="BN185" s="74">
        <f t="shared" si="18"/>
        <v>0</v>
      </c>
      <c r="BO185" s="74">
        <f t="shared" si="19"/>
        <v>0</v>
      </c>
      <c r="BP185" s="74">
        <f t="shared" si="20"/>
        <v>0</v>
      </c>
    </row>
    <row r="186" spans="1:68" ht="27" hidden="1" customHeight="1" x14ac:dyDescent="0.25">
      <c r="A186" s="31" t="s">
        <v>310</v>
      </c>
      <c r="B186" s="31" t="s">
        <v>311</v>
      </c>
      <c r="C186" s="32">
        <v>4301031201</v>
      </c>
      <c r="D186" s="130">
        <v>4680115881563</v>
      </c>
      <c r="E186" s="130"/>
      <c r="F186" s="33">
        <v>0.7</v>
      </c>
      <c r="G186" s="34">
        <v>6</v>
      </c>
      <c r="H186" s="33">
        <v>4.2</v>
      </c>
      <c r="I186" s="33">
        <v>4.3899999999999997</v>
      </c>
      <c r="J186" s="34">
        <v>132</v>
      </c>
      <c r="K186" s="34" t="s">
        <v>128</v>
      </c>
      <c r="L186" s="34" t="s">
        <v>20</v>
      </c>
      <c r="M186" s="43" t="s">
        <v>68</v>
      </c>
      <c r="N186" s="43"/>
      <c r="O186" s="34">
        <v>40</v>
      </c>
      <c r="P186" s="1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6" s="132"/>
      <c r="R186" s="132"/>
      <c r="S186" s="132"/>
      <c r="T186" s="133"/>
      <c r="U186" s="59" t="s">
        <v>20</v>
      </c>
      <c r="V186" s="59" t="s">
        <v>20</v>
      </c>
      <c r="W186" s="60" t="s">
        <v>69</v>
      </c>
      <c r="X186" s="61">
        <v>0</v>
      </c>
      <c r="Y186" s="67">
        <f t="shared" si="16"/>
        <v>0</v>
      </c>
      <c r="Z186" s="68" t="str">
        <f>IFERROR(IF(Y186=0,"",ROUNDUP(Y186/H186,0)*0.00902),"")</f>
        <v/>
      </c>
      <c r="AA186" s="69" t="s">
        <v>20</v>
      </c>
      <c r="AB186" s="70" t="s">
        <v>20</v>
      </c>
      <c r="AC186" s="71" t="s">
        <v>312</v>
      </c>
      <c r="AG186" s="74"/>
      <c r="AJ186" s="75" t="s">
        <v>20</v>
      </c>
      <c r="AK186" s="75">
        <v>0</v>
      </c>
      <c r="BB186" s="77" t="s">
        <v>1</v>
      </c>
      <c r="BM186" s="74">
        <f t="shared" si="17"/>
        <v>0</v>
      </c>
      <c r="BN186" s="74">
        <f t="shared" si="18"/>
        <v>0</v>
      </c>
      <c r="BO186" s="74">
        <f t="shared" si="19"/>
        <v>0</v>
      </c>
      <c r="BP186" s="74">
        <f t="shared" si="20"/>
        <v>0</v>
      </c>
    </row>
    <row r="187" spans="1:68" ht="37.5" hidden="1" customHeight="1" x14ac:dyDescent="0.25">
      <c r="A187" s="31" t="s">
        <v>313</v>
      </c>
      <c r="B187" s="31" t="s">
        <v>314</v>
      </c>
      <c r="C187" s="32">
        <v>4301031447</v>
      </c>
      <c r="D187" s="130">
        <v>4680115887565</v>
      </c>
      <c r="E187" s="130"/>
      <c r="F187" s="33">
        <v>0.08</v>
      </c>
      <c r="G187" s="34">
        <v>10</v>
      </c>
      <c r="H187" s="33">
        <v>0.8</v>
      </c>
      <c r="I187" s="33">
        <v>0.93</v>
      </c>
      <c r="J187" s="34">
        <v>216</v>
      </c>
      <c r="K187" s="34" t="s">
        <v>73</v>
      </c>
      <c r="L187" s="34" t="s">
        <v>20</v>
      </c>
      <c r="M187" s="43" t="s">
        <v>68</v>
      </c>
      <c r="N187" s="43"/>
      <c r="O187" s="34">
        <v>45</v>
      </c>
      <c r="P187" s="1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7" s="132"/>
      <c r="R187" s="132"/>
      <c r="S187" s="132"/>
      <c r="T187" s="133"/>
      <c r="U187" s="59" t="s">
        <v>20</v>
      </c>
      <c r="V187" s="59" t="s">
        <v>20</v>
      </c>
      <c r="W187" s="60" t="s">
        <v>69</v>
      </c>
      <c r="X187" s="61">
        <v>0</v>
      </c>
      <c r="Y187" s="67">
        <f t="shared" si="16"/>
        <v>0</v>
      </c>
      <c r="Z187" s="68" t="str">
        <f>IFERROR(IF(Y187=0,"",ROUNDUP(Y187/H187,0)*0.00556),"")</f>
        <v/>
      </c>
      <c r="AA187" s="69" t="s">
        <v>20</v>
      </c>
      <c r="AB187" s="70" t="s">
        <v>20</v>
      </c>
      <c r="AC187" s="71" t="s">
        <v>315</v>
      </c>
      <c r="AG187" s="74"/>
      <c r="AJ187" s="75" t="s">
        <v>20</v>
      </c>
      <c r="AK187" s="75">
        <v>0</v>
      </c>
      <c r="BB187" s="77" t="s">
        <v>1</v>
      </c>
      <c r="BM187" s="74">
        <f t="shared" si="17"/>
        <v>0</v>
      </c>
      <c r="BN187" s="74">
        <f t="shared" si="18"/>
        <v>0</v>
      </c>
      <c r="BO187" s="74">
        <f t="shared" si="19"/>
        <v>0</v>
      </c>
      <c r="BP187" s="74">
        <f t="shared" si="20"/>
        <v>0</v>
      </c>
    </row>
    <row r="188" spans="1:68" ht="27" hidden="1" customHeight="1" x14ac:dyDescent="0.25">
      <c r="A188" s="31" t="s">
        <v>316</v>
      </c>
      <c r="B188" s="31" t="s">
        <v>317</v>
      </c>
      <c r="C188" s="32">
        <v>4301031199</v>
      </c>
      <c r="D188" s="130">
        <v>4680115880986</v>
      </c>
      <c r="E188" s="130"/>
      <c r="F188" s="33">
        <v>0.35</v>
      </c>
      <c r="G188" s="34">
        <v>6</v>
      </c>
      <c r="H188" s="33">
        <v>2.1</v>
      </c>
      <c r="I188" s="33">
        <v>2.23</v>
      </c>
      <c r="J188" s="34">
        <v>234</v>
      </c>
      <c r="K188" s="34" t="s">
        <v>73</v>
      </c>
      <c r="L188" s="34" t="s">
        <v>20</v>
      </c>
      <c r="M188" s="43" t="s">
        <v>68</v>
      </c>
      <c r="N188" s="43"/>
      <c r="O188" s="34">
        <v>40</v>
      </c>
      <c r="P188" s="13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8" s="132"/>
      <c r="R188" s="132"/>
      <c r="S188" s="132"/>
      <c r="T188" s="133"/>
      <c r="U188" s="59" t="s">
        <v>20</v>
      </c>
      <c r="V188" s="59" t="s">
        <v>20</v>
      </c>
      <c r="W188" s="60" t="s">
        <v>69</v>
      </c>
      <c r="X188" s="61">
        <v>0</v>
      </c>
      <c r="Y188" s="67">
        <f t="shared" si="16"/>
        <v>0</v>
      </c>
      <c r="Z188" s="68" t="str">
        <f>IFERROR(IF(Y188=0,"",ROUNDUP(Y188/H188,0)*0.00502),"")</f>
        <v/>
      </c>
      <c r="AA188" s="69" t="s">
        <v>20</v>
      </c>
      <c r="AB188" s="70" t="s">
        <v>20</v>
      </c>
      <c r="AC188" s="71" t="s">
        <v>306</v>
      </c>
      <c r="AG188" s="74"/>
      <c r="AJ188" s="75" t="s">
        <v>20</v>
      </c>
      <c r="AK188" s="75">
        <v>0</v>
      </c>
      <c r="BB188" s="77" t="s">
        <v>1</v>
      </c>
      <c r="BM188" s="74">
        <f t="shared" si="17"/>
        <v>0</v>
      </c>
      <c r="BN188" s="74">
        <f t="shared" si="18"/>
        <v>0</v>
      </c>
      <c r="BO188" s="74">
        <f t="shared" si="19"/>
        <v>0</v>
      </c>
      <c r="BP188" s="74">
        <f t="shared" si="20"/>
        <v>0</v>
      </c>
    </row>
    <row r="189" spans="1:68" ht="27" hidden="1" customHeight="1" x14ac:dyDescent="0.25">
      <c r="A189" s="31" t="s">
        <v>318</v>
      </c>
      <c r="B189" s="31" t="s">
        <v>319</v>
      </c>
      <c r="C189" s="32">
        <v>4301031443</v>
      </c>
      <c r="D189" s="130">
        <v>4680115887213</v>
      </c>
      <c r="E189" s="130"/>
      <c r="F189" s="33">
        <v>0.3</v>
      </c>
      <c r="G189" s="34">
        <v>6</v>
      </c>
      <c r="H189" s="33">
        <v>1.8</v>
      </c>
      <c r="I189" s="33">
        <v>1.9</v>
      </c>
      <c r="J189" s="34">
        <v>234</v>
      </c>
      <c r="K189" s="34" t="s">
        <v>73</v>
      </c>
      <c r="L189" s="34" t="s">
        <v>20</v>
      </c>
      <c r="M189" s="43" t="s">
        <v>68</v>
      </c>
      <c r="N189" s="43"/>
      <c r="O189" s="34">
        <v>45</v>
      </c>
      <c r="P189" s="1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9" s="132"/>
      <c r="R189" s="132"/>
      <c r="S189" s="132"/>
      <c r="T189" s="133"/>
      <c r="U189" s="59" t="s">
        <v>20</v>
      </c>
      <c r="V189" s="59" t="s">
        <v>20</v>
      </c>
      <c r="W189" s="60" t="s">
        <v>69</v>
      </c>
      <c r="X189" s="61">
        <v>0</v>
      </c>
      <c r="Y189" s="67">
        <f t="shared" si="16"/>
        <v>0</v>
      </c>
      <c r="Z189" s="68" t="str">
        <f>IFERROR(IF(Y189=0,"",ROUNDUP(Y189/H189,0)*0.00502),"")</f>
        <v/>
      </c>
      <c r="AA189" s="69" t="s">
        <v>20</v>
      </c>
      <c r="AB189" s="70" t="s">
        <v>20</v>
      </c>
      <c r="AC189" s="71" t="s">
        <v>320</v>
      </c>
      <c r="AG189" s="74"/>
      <c r="AJ189" s="75" t="s">
        <v>20</v>
      </c>
      <c r="AK189" s="75">
        <v>0</v>
      </c>
      <c r="BB189" s="77" t="s">
        <v>1</v>
      </c>
      <c r="BM189" s="74">
        <f t="shared" si="17"/>
        <v>0</v>
      </c>
      <c r="BN189" s="74">
        <f t="shared" si="18"/>
        <v>0</v>
      </c>
      <c r="BO189" s="74">
        <f t="shared" si="19"/>
        <v>0</v>
      </c>
      <c r="BP189" s="74">
        <f t="shared" si="20"/>
        <v>0</v>
      </c>
    </row>
    <row r="190" spans="1:68" ht="27" hidden="1" customHeight="1" x14ac:dyDescent="0.25">
      <c r="A190" s="31" t="s">
        <v>321</v>
      </c>
      <c r="B190" s="31" t="s">
        <v>322</v>
      </c>
      <c r="C190" s="32">
        <v>4301031205</v>
      </c>
      <c r="D190" s="130">
        <v>4680115881785</v>
      </c>
      <c r="E190" s="130"/>
      <c r="F190" s="33">
        <v>0.35</v>
      </c>
      <c r="G190" s="34">
        <v>6</v>
      </c>
      <c r="H190" s="33">
        <v>2.1</v>
      </c>
      <c r="I190" s="33">
        <v>2.23</v>
      </c>
      <c r="J190" s="34">
        <v>234</v>
      </c>
      <c r="K190" s="34" t="s">
        <v>73</v>
      </c>
      <c r="L190" s="34" t="s">
        <v>20</v>
      </c>
      <c r="M190" s="43" t="s">
        <v>68</v>
      </c>
      <c r="N190" s="43"/>
      <c r="O190" s="34">
        <v>40</v>
      </c>
      <c r="P190" s="1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90" s="132"/>
      <c r="R190" s="132"/>
      <c r="S190" s="132"/>
      <c r="T190" s="133"/>
      <c r="U190" s="59" t="s">
        <v>20</v>
      </c>
      <c r="V190" s="59" t="s">
        <v>20</v>
      </c>
      <c r="W190" s="60" t="s">
        <v>69</v>
      </c>
      <c r="X190" s="61">
        <v>0</v>
      </c>
      <c r="Y190" s="67">
        <f t="shared" si="16"/>
        <v>0</v>
      </c>
      <c r="Z190" s="68" t="str">
        <f>IFERROR(IF(Y190=0,"",ROUNDUP(Y190/H190,0)*0.00502),"")</f>
        <v/>
      </c>
      <c r="AA190" s="69" t="s">
        <v>20</v>
      </c>
      <c r="AB190" s="70" t="s">
        <v>20</v>
      </c>
      <c r="AC190" s="71" t="s">
        <v>309</v>
      </c>
      <c r="AG190" s="74"/>
      <c r="AJ190" s="75" t="s">
        <v>20</v>
      </c>
      <c r="AK190" s="75">
        <v>0</v>
      </c>
      <c r="BB190" s="77" t="s">
        <v>1</v>
      </c>
      <c r="BM190" s="74">
        <f t="shared" si="17"/>
        <v>0</v>
      </c>
      <c r="BN190" s="74">
        <f t="shared" si="18"/>
        <v>0</v>
      </c>
      <c r="BO190" s="74">
        <f t="shared" si="19"/>
        <v>0</v>
      </c>
      <c r="BP190" s="74">
        <f t="shared" si="20"/>
        <v>0</v>
      </c>
    </row>
    <row r="191" spans="1:68" ht="27" hidden="1" customHeight="1" x14ac:dyDescent="0.25">
      <c r="A191" s="31" t="s">
        <v>323</v>
      </c>
      <c r="B191" s="31" t="s">
        <v>324</v>
      </c>
      <c r="C191" s="32">
        <v>4301031427</v>
      </c>
      <c r="D191" s="130">
        <v>4680115888104</v>
      </c>
      <c r="E191" s="130"/>
      <c r="F191" s="33">
        <v>0.35</v>
      </c>
      <c r="G191" s="34">
        <v>6</v>
      </c>
      <c r="H191" s="33">
        <v>2.1</v>
      </c>
      <c r="I191" s="33">
        <v>2.2000000000000002</v>
      </c>
      <c r="J191" s="34">
        <v>234</v>
      </c>
      <c r="K191" s="34" t="s">
        <v>73</v>
      </c>
      <c r="L191" s="34" t="s">
        <v>20</v>
      </c>
      <c r="M191" s="43" t="s">
        <v>68</v>
      </c>
      <c r="N191" s="43"/>
      <c r="O191" s="34">
        <v>45</v>
      </c>
      <c r="P191" s="13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91" s="132"/>
      <c r="R191" s="132"/>
      <c r="S191" s="132"/>
      <c r="T191" s="133"/>
      <c r="U191" s="59" t="s">
        <v>20</v>
      </c>
      <c r="V191" s="59" t="s">
        <v>20</v>
      </c>
      <c r="W191" s="60" t="s">
        <v>69</v>
      </c>
      <c r="X191" s="61">
        <v>0</v>
      </c>
      <c r="Y191" s="67">
        <f t="shared" si="16"/>
        <v>0</v>
      </c>
      <c r="Z191" s="68" t="str">
        <f>IFERROR(IF(Y191=0,"",ROUNDUP(Y191/H191,0)*0.00502),"")</f>
        <v/>
      </c>
      <c r="AA191" s="69" t="s">
        <v>20</v>
      </c>
      <c r="AB191" s="70" t="s">
        <v>20</v>
      </c>
      <c r="AC191" s="71" t="s">
        <v>325</v>
      </c>
      <c r="AG191" s="74"/>
      <c r="AJ191" s="75" t="s">
        <v>20</v>
      </c>
      <c r="AK191" s="75">
        <v>0</v>
      </c>
      <c r="BB191" s="77" t="s">
        <v>1</v>
      </c>
      <c r="BM191" s="74">
        <f t="shared" si="17"/>
        <v>0</v>
      </c>
      <c r="BN191" s="74">
        <f t="shared" si="18"/>
        <v>0</v>
      </c>
      <c r="BO191" s="74">
        <f t="shared" si="19"/>
        <v>0</v>
      </c>
      <c r="BP191" s="74">
        <f t="shared" si="20"/>
        <v>0</v>
      </c>
    </row>
    <row r="192" spans="1:68" ht="27" hidden="1" customHeight="1" x14ac:dyDescent="0.25">
      <c r="A192" s="31" t="s">
        <v>326</v>
      </c>
      <c r="B192" s="31" t="s">
        <v>327</v>
      </c>
      <c r="C192" s="32">
        <v>4301031399</v>
      </c>
      <c r="D192" s="130">
        <v>4680115886537</v>
      </c>
      <c r="E192" s="130"/>
      <c r="F192" s="33">
        <v>0.3</v>
      </c>
      <c r="G192" s="34">
        <v>6</v>
      </c>
      <c r="H192" s="33">
        <v>1.8</v>
      </c>
      <c r="I192" s="33">
        <v>1.93</v>
      </c>
      <c r="J192" s="34">
        <v>234</v>
      </c>
      <c r="K192" s="34" t="s">
        <v>73</v>
      </c>
      <c r="L192" s="34" t="s">
        <v>20</v>
      </c>
      <c r="M192" s="43" t="s">
        <v>68</v>
      </c>
      <c r="N192" s="43"/>
      <c r="O192" s="34">
        <v>40</v>
      </c>
      <c r="P192" s="1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92" s="132"/>
      <c r="R192" s="132"/>
      <c r="S192" s="132"/>
      <c r="T192" s="133"/>
      <c r="U192" s="59" t="s">
        <v>20</v>
      </c>
      <c r="V192" s="59" t="s">
        <v>20</v>
      </c>
      <c r="W192" s="60" t="s">
        <v>69</v>
      </c>
      <c r="X192" s="61">
        <v>0</v>
      </c>
      <c r="Y192" s="67">
        <f t="shared" si="16"/>
        <v>0</v>
      </c>
      <c r="Z192" s="68" t="str">
        <f>IFERROR(IF(Y192=0,"",ROUNDUP(Y192/H192,0)*0.00502),"")</f>
        <v/>
      </c>
      <c r="AA192" s="69" t="s">
        <v>20</v>
      </c>
      <c r="AB192" s="70" t="s">
        <v>20</v>
      </c>
      <c r="AC192" s="71" t="s">
        <v>328</v>
      </c>
      <c r="AG192" s="74"/>
      <c r="AJ192" s="75" t="s">
        <v>20</v>
      </c>
      <c r="AK192" s="75">
        <v>0</v>
      </c>
      <c r="BB192" s="77" t="s">
        <v>1</v>
      </c>
      <c r="BM192" s="74">
        <f t="shared" si="17"/>
        <v>0</v>
      </c>
      <c r="BN192" s="74">
        <f t="shared" si="18"/>
        <v>0</v>
      </c>
      <c r="BO192" s="74">
        <f t="shared" si="19"/>
        <v>0</v>
      </c>
      <c r="BP192" s="74">
        <f t="shared" si="20"/>
        <v>0</v>
      </c>
    </row>
    <row r="193" spans="1:68" ht="27" hidden="1" customHeight="1" x14ac:dyDescent="0.25">
      <c r="A193" s="31" t="s">
        <v>329</v>
      </c>
      <c r="B193" s="31" t="s">
        <v>330</v>
      </c>
      <c r="C193" s="32">
        <v>4301031279</v>
      </c>
      <c r="D193" s="130">
        <v>4680115887596</v>
      </c>
      <c r="E193" s="130"/>
      <c r="F193" s="33">
        <v>0.08</v>
      </c>
      <c r="G193" s="34">
        <v>10</v>
      </c>
      <c r="H193" s="33">
        <v>0.8</v>
      </c>
      <c r="I193" s="33">
        <v>1.01</v>
      </c>
      <c r="J193" s="34">
        <v>336</v>
      </c>
      <c r="K193" s="34" t="s">
        <v>123</v>
      </c>
      <c r="L193" s="34" t="s">
        <v>20</v>
      </c>
      <c r="M193" s="43" t="s">
        <v>68</v>
      </c>
      <c r="N193" s="43"/>
      <c r="O193" s="34">
        <v>45</v>
      </c>
      <c r="P193" s="1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93" s="132"/>
      <c r="R193" s="132"/>
      <c r="S193" s="132"/>
      <c r="T193" s="133"/>
      <c r="U193" s="59" t="s">
        <v>20</v>
      </c>
      <c r="V193" s="59" t="s">
        <v>20</v>
      </c>
      <c r="W193" s="60" t="s">
        <v>69</v>
      </c>
      <c r="X193" s="61">
        <v>0</v>
      </c>
      <c r="Y193" s="67">
        <f t="shared" si="16"/>
        <v>0</v>
      </c>
      <c r="Z193" s="68" t="str">
        <f>IFERROR(IF(Y193=0,"",ROUNDUP(Y193/H193,0)*0.00417),"")</f>
        <v/>
      </c>
      <c r="AA193" s="69" t="s">
        <v>20</v>
      </c>
      <c r="AB193" s="70" t="s">
        <v>20</v>
      </c>
      <c r="AC193" s="71" t="s">
        <v>331</v>
      </c>
      <c r="AG193" s="74"/>
      <c r="AJ193" s="75" t="s">
        <v>20</v>
      </c>
      <c r="AK193" s="75">
        <v>0</v>
      </c>
      <c r="BB193" s="77" t="s">
        <v>1</v>
      </c>
      <c r="BM193" s="74">
        <f t="shared" si="17"/>
        <v>0</v>
      </c>
      <c r="BN193" s="74">
        <f t="shared" si="18"/>
        <v>0</v>
      </c>
      <c r="BO193" s="74">
        <f t="shared" si="19"/>
        <v>0</v>
      </c>
      <c r="BP193" s="74">
        <f t="shared" si="20"/>
        <v>0</v>
      </c>
    </row>
    <row r="194" spans="1:68" ht="37.5" hidden="1" customHeight="1" x14ac:dyDescent="0.25">
      <c r="A194" s="31" t="s">
        <v>332</v>
      </c>
      <c r="B194" s="31" t="s">
        <v>333</v>
      </c>
      <c r="C194" s="32">
        <v>4301031202</v>
      </c>
      <c r="D194" s="130">
        <v>4680115881679</v>
      </c>
      <c r="E194" s="130"/>
      <c r="F194" s="33">
        <v>0.35</v>
      </c>
      <c r="G194" s="34">
        <v>6</v>
      </c>
      <c r="H194" s="33">
        <v>2.1</v>
      </c>
      <c r="I194" s="33">
        <v>2.2000000000000002</v>
      </c>
      <c r="J194" s="34">
        <v>234</v>
      </c>
      <c r="K194" s="34" t="s">
        <v>73</v>
      </c>
      <c r="L194" s="34" t="s">
        <v>20</v>
      </c>
      <c r="M194" s="43" t="s">
        <v>68</v>
      </c>
      <c r="N194" s="43"/>
      <c r="O194" s="34">
        <v>40</v>
      </c>
      <c r="P194" s="1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94" s="132"/>
      <c r="R194" s="132"/>
      <c r="S194" s="132"/>
      <c r="T194" s="133"/>
      <c r="U194" s="59" t="s">
        <v>20</v>
      </c>
      <c r="V194" s="59" t="s">
        <v>20</v>
      </c>
      <c r="W194" s="60" t="s">
        <v>69</v>
      </c>
      <c r="X194" s="61">
        <v>0</v>
      </c>
      <c r="Y194" s="67">
        <f t="shared" si="16"/>
        <v>0</v>
      </c>
      <c r="Z194" s="68" t="str">
        <f>IFERROR(IF(Y194=0,"",ROUNDUP(Y194/H194,0)*0.00502),"")</f>
        <v/>
      </c>
      <c r="AA194" s="69" t="s">
        <v>20</v>
      </c>
      <c r="AB194" s="70" t="s">
        <v>20</v>
      </c>
      <c r="AC194" s="71" t="s">
        <v>312</v>
      </c>
      <c r="AG194" s="74"/>
      <c r="AJ194" s="75" t="s">
        <v>20</v>
      </c>
      <c r="AK194" s="75">
        <v>0</v>
      </c>
      <c r="BB194" s="77" t="s">
        <v>1</v>
      </c>
      <c r="BM194" s="74">
        <f t="shared" si="17"/>
        <v>0</v>
      </c>
      <c r="BN194" s="74">
        <f t="shared" si="18"/>
        <v>0</v>
      </c>
      <c r="BO194" s="74">
        <f t="shared" si="19"/>
        <v>0</v>
      </c>
      <c r="BP194" s="74">
        <f t="shared" si="20"/>
        <v>0</v>
      </c>
    </row>
    <row r="195" spans="1:68" ht="27" hidden="1" customHeight="1" x14ac:dyDescent="0.25">
      <c r="A195" s="31" t="s">
        <v>334</v>
      </c>
      <c r="B195" s="31" t="s">
        <v>335</v>
      </c>
      <c r="C195" s="32">
        <v>4301031158</v>
      </c>
      <c r="D195" s="130">
        <v>4680115880191</v>
      </c>
      <c r="E195" s="130"/>
      <c r="F195" s="33">
        <v>0.4</v>
      </c>
      <c r="G195" s="34">
        <v>6</v>
      </c>
      <c r="H195" s="33">
        <v>2.4</v>
      </c>
      <c r="I195" s="33">
        <v>2.58</v>
      </c>
      <c r="J195" s="34">
        <v>182</v>
      </c>
      <c r="K195" s="34" t="s">
        <v>67</v>
      </c>
      <c r="L195" s="34" t="s">
        <v>20</v>
      </c>
      <c r="M195" s="43" t="s">
        <v>68</v>
      </c>
      <c r="N195" s="43"/>
      <c r="O195" s="34">
        <v>40</v>
      </c>
      <c r="P195" s="1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5" s="132"/>
      <c r="R195" s="132"/>
      <c r="S195" s="132"/>
      <c r="T195" s="133"/>
      <c r="U195" s="59" t="s">
        <v>20</v>
      </c>
      <c r="V195" s="59" t="s">
        <v>20</v>
      </c>
      <c r="W195" s="60" t="s">
        <v>69</v>
      </c>
      <c r="X195" s="61">
        <v>0</v>
      </c>
      <c r="Y195" s="67">
        <f t="shared" si="16"/>
        <v>0</v>
      </c>
      <c r="Z195" s="68" t="str">
        <f>IFERROR(IF(Y195=0,"",ROUNDUP(Y195/H195,0)*0.00651),"")</f>
        <v/>
      </c>
      <c r="AA195" s="69" t="s">
        <v>20</v>
      </c>
      <c r="AB195" s="70" t="s">
        <v>20</v>
      </c>
      <c r="AC195" s="71" t="s">
        <v>312</v>
      </c>
      <c r="AG195" s="74"/>
      <c r="AJ195" s="75" t="s">
        <v>20</v>
      </c>
      <c r="AK195" s="75">
        <v>0</v>
      </c>
      <c r="BB195" s="77" t="s">
        <v>1</v>
      </c>
      <c r="BM195" s="74">
        <f t="shared" si="17"/>
        <v>0</v>
      </c>
      <c r="BN195" s="74">
        <f t="shared" si="18"/>
        <v>0</v>
      </c>
      <c r="BO195" s="74">
        <f t="shared" si="19"/>
        <v>0</v>
      </c>
      <c r="BP195" s="74">
        <f t="shared" si="20"/>
        <v>0</v>
      </c>
    </row>
    <row r="196" spans="1:68" ht="27" hidden="1" customHeight="1" x14ac:dyDescent="0.25">
      <c r="A196" s="31" t="s">
        <v>336</v>
      </c>
      <c r="B196" s="31" t="s">
        <v>337</v>
      </c>
      <c r="C196" s="32">
        <v>4301031245</v>
      </c>
      <c r="D196" s="130">
        <v>4680115883963</v>
      </c>
      <c r="E196" s="130"/>
      <c r="F196" s="33">
        <v>0.28000000000000003</v>
      </c>
      <c r="G196" s="34">
        <v>6</v>
      </c>
      <c r="H196" s="33">
        <v>1.68</v>
      </c>
      <c r="I196" s="33">
        <v>1.78</v>
      </c>
      <c r="J196" s="34">
        <v>234</v>
      </c>
      <c r="K196" s="34" t="s">
        <v>73</v>
      </c>
      <c r="L196" s="34" t="s">
        <v>20</v>
      </c>
      <c r="M196" s="43" t="s">
        <v>68</v>
      </c>
      <c r="N196" s="43"/>
      <c r="O196" s="34">
        <v>40</v>
      </c>
      <c r="P196" s="13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6" s="132"/>
      <c r="R196" s="132"/>
      <c r="S196" s="132"/>
      <c r="T196" s="133"/>
      <c r="U196" s="59" t="s">
        <v>20</v>
      </c>
      <c r="V196" s="59" t="s">
        <v>20</v>
      </c>
      <c r="W196" s="60" t="s">
        <v>69</v>
      </c>
      <c r="X196" s="61">
        <v>0</v>
      </c>
      <c r="Y196" s="67">
        <f t="shared" si="16"/>
        <v>0</v>
      </c>
      <c r="Z196" s="68" t="str">
        <f>IFERROR(IF(Y196=0,"",ROUNDUP(Y196/H196,0)*0.00502),"")</f>
        <v/>
      </c>
      <c r="AA196" s="69" t="s">
        <v>20</v>
      </c>
      <c r="AB196" s="70" t="s">
        <v>20</v>
      </c>
      <c r="AC196" s="71" t="s">
        <v>338</v>
      </c>
      <c r="AG196" s="74"/>
      <c r="AJ196" s="75" t="s">
        <v>20</v>
      </c>
      <c r="AK196" s="75">
        <v>0</v>
      </c>
      <c r="BB196" s="77" t="s">
        <v>1</v>
      </c>
      <c r="BM196" s="74">
        <f t="shared" si="17"/>
        <v>0</v>
      </c>
      <c r="BN196" s="74">
        <f t="shared" si="18"/>
        <v>0</v>
      </c>
      <c r="BO196" s="74">
        <f t="shared" si="19"/>
        <v>0</v>
      </c>
      <c r="BP196" s="74">
        <f t="shared" si="20"/>
        <v>0</v>
      </c>
    </row>
    <row r="197" spans="1:68" hidden="1" x14ac:dyDescent="0.2">
      <c r="A197" s="146"/>
      <c r="B197" s="146"/>
      <c r="C197" s="146"/>
      <c r="D197" s="146"/>
      <c r="E197" s="146"/>
      <c r="F197" s="146"/>
      <c r="G197" s="146"/>
      <c r="H197" s="146"/>
      <c r="I197" s="146"/>
      <c r="J197" s="146"/>
      <c r="K197" s="146"/>
      <c r="L197" s="146"/>
      <c r="M197" s="146"/>
      <c r="N197" s="146"/>
      <c r="O197" s="147"/>
      <c r="P197" s="142" t="s">
        <v>75</v>
      </c>
      <c r="Q197" s="143"/>
      <c r="R197" s="143"/>
      <c r="S197" s="143"/>
      <c r="T197" s="143"/>
      <c r="U197" s="143"/>
      <c r="V197" s="144"/>
      <c r="W197" s="62" t="s">
        <v>76</v>
      </c>
      <c r="X197" s="63">
        <f>IFERROR(X184/H184,"0")+IFERROR(X185/H185,"0")+IFERROR(X186/H186,"0")+IFERROR(X187/H187,"0")+IFERROR(X188/H188,"0")+IFERROR(X189/H189,"0")+IFERROR(X190/H190,"0")+IFERROR(X191/H191,"0")+IFERROR(X192/H192,"0")+IFERROR(X193/H193,"0")+IFERROR(X194/H194,"0")+IFERROR(X195/H195,"0")+IFERROR(X196/H196,"0")</f>
        <v>0</v>
      </c>
      <c r="Y197" s="63">
        <f>IFERROR(Y184/H184,"0")+IFERROR(Y185/H185,"0")+IFERROR(Y186/H186,"0")+IFERROR(Y187/H187,"0")+IFERROR(Y188/H188,"0")+IFERROR(Y189/H189,"0")+IFERROR(Y190/H190,"0")+IFERROR(Y191/H191,"0")+IFERROR(Y192/H192,"0")+IFERROR(Y193/H193,"0")+IFERROR(Y194/H194,"0")+IFERROR(Y195/H195,"0")+IFERROR(Y196/H196,"0")</f>
        <v>0</v>
      </c>
      <c r="Z197" s="63">
        <f>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+IFERROR(IF(Z196="",0,Z196),"0")</f>
        <v>0</v>
      </c>
      <c r="AA197" s="72"/>
      <c r="AB197" s="72"/>
      <c r="AC197" s="72"/>
    </row>
    <row r="198" spans="1:68" hidden="1" x14ac:dyDescent="0.2">
      <c r="A198" s="146"/>
      <c r="B198" s="146"/>
      <c r="C198" s="146"/>
      <c r="D198" s="146"/>
      <c r="E198" s="146"/>
      <c r="F198" s="146"/>
      <c r="G198" s="146"/>
      <c r="H198" s="146"/>
      <c r="I198" s="146"/>
      <c r="J198" s="146"/>
      <c r="K198" s="146"/>
      <c r="L198" s="146"/>
      <c r="M198" s="146"/>
      <c r="N198" s="146"/>
      <c r="O198" s="147"/>
      <c r="P198" s="142" t="s">
        <v>75</v>
      </c>
      <c r="Q198" s="143"/>
      <c r="R198" s="143"/>
      <c r="S198" s="143"/>
      <c r="T198" s="143"/>
      <c r="U198" s="143"/>
      <c r="V198" s="144"/>
      <c r="W198" s="62" t="s">
        <v>69</v>
      </c>
      <c r="X198" s="63">
        <f>IFERROR(SUM(X184:X196),"0")</f>
        <v>0</v>
      </c>
      <c r="Y198" s="63">
        <f>IFERROR(SUM(Y184:Y196),"0")</f>
        <v>0</v>
      </c>
      <c r="Z198" s="62"/>
      <c r="AA198" s="72"/>
      <c r="AB198" s="72"/>
      <c r="AC198" s="72"/>
    </row>
    <row r="199" spans="1:68" ht="14.25" hidden="1" customHeight="1" x14ac:dyDescent="0.25">
      <c r="A199" s="129" t="s">
        <v>102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30"/>
      <c r="AB199" s="30"/>
      <c r="AC199" s="30"/>
    </row>
    <row r="200" spans="1:68" ht="27" hidden="1" customHeight="1" x14ac:dyDescent="0.25">
      <c r="A200" s="31" t="s">
        <v>339</v>
      </c>
      <c r="B200" s="31" t="s">
        <v>340</v>
      </c>
      <c r="C200" s="32">
        <v>4301032053</v>
      </c>
      <c r="D200" s="130">
        <v>4680115886780</v>
      </c>
      <c r="E200" s="130"/>
      <c r="F200" s="33">
        <v>7.0000000000000007E-2</v>
      </c>
      <c r="G200" s="34">
        <v>18</v>
      </c>
      <c r="H200" s="33">
        <v>1.26</v>
      </c>
      <c r="I200" s="33">
        <v>1.45</v>
      </c>
      <c r="J200" s="34">
        <v>216</v>
      </c>
      <c r="K200" s="34" t="s">
        <v>341</v>
      </c>
      <c r="L200" s="34" t="s">
        <v>20</v>
      </c>
      <c r="M200" s="43" t="s">
        <v>342</v>
      </c>
      <c r="N200" s="43"/>
      <c r="O200" s="34">
        <v>60</v>
      </c>
      <c r="P200" s="13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00" s="132"/>
      <c r="R200" s="132"/>
      <c r="S200" s="132"/>
      <c r="T200" s="133"/>
      <c r="U200" s="59" t="s">
        <v>20</v>
      </c>
      <c r="V200" s="59" t="s">
        <v>20</v>
      </c>
      <c r="W200" s="60" t="s">
        <v>69</v>
      </c>
      <c r="X200" s="61">
        <v>0</v>
      </c>
      <c r="Y200" s="67">
        <f>IFERROR(IF(X200="",0,CEILING((X200/$H200),1)*$H200),"")</f>
        <v>0</v>
      </c>
      <c r="Z200" s="68" t="str">
        <f>IFERROR(IF(Y200=0,"",ROUNDUP(Y200/H200,0)*0.0059),"")</f>
        <v/>
      </c>
      <c r="AA200" s="69" t="s">
        <v>20</v>
      </c>
      <c r="AB200" s="70" t="s">
        <v>20</v>
      </c>
      <c r="AC200" s="71" t="s">
        <v>343</v>
      </c>
      <c r="AG200" s="74"/>
      <c r="AJ200" s="75" t="s">
        <v>20</v>
      </c>
      <c r="AK200" s="75">
        <v>0</v>
      </c>
      <c r="BB200" s="77" t="s">
        <v>1</v>
      </c>
      <c r="BM200" s="74">
        <f>IFERROR(X200*I200/H200,"0")</f>
        <v>0</v>
      </c>
      <c r="BN200" s="74">
        <f>IFERROR(Y200*I200/H200,"0")</f>
        <v>0</v>
      </c>
      <c r="BO200" s="74">
        <f>IFERROR(1/J200*(X200/H200),"0")</f>
        <v>0</v>
      </c>
      <c r="BP200" s="74">
        <f>IFERROR(1/J200*(Y200/H200),"0")</f>
        <v>0</v>
      </c>
    </row>
    <row r="201" spans="1:68" ht="27" hidden="1" customHeight="1" x14ac:dyDescent="0.25">
      <c r="A201" s="31" t="s">
        <v>344</v>
      </c>
      <c r="B201" s="31" t="s">
        <v>345</v>
      </c>
      <c r="C201" s="32">
        <v>4301032051</v>
      </c>
      <c r="D201" s="130">
        <v>4680115886742</v>
      </c>
      <c r="E201" s="130"/>
      <c r="F201" s="33">
        <v>7.0000000000000007E-2</v>
      </c>
      <c r="G201" s="34">
        <v>18</v>
      </c>
      <c r="H201" s="33">
        <v>1.26</v>
      </c>
      <c r="I201" s="33">
        <v>1.45</v>
      </c>
      <c r="J201" s="34">
        <v>216</v>
      </c>
      <c r="K201" s="34" t="s">
        <v>341</v>
      </c>
      <c r="L201" s="34" t="s">
        <v>20</v>
      </c>
      <c r="M201" s="43" t="s">
        <v>342</v>
      </c>
      <c r="N201" s="43"/>
      <c r="O201" s="34">
        <v>90</v>
      </c>
      <c r="P201" s="1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01" s="132"/>
      <c r="R201" s="132"/>
      <c r="S201" s="132"/>
      <c r="T201" s="133"/>
      <c r="U201" s="59" t="s">
        <v>20</v>
      </c>
      <c r="V201" s="59" t="s">
        <v>20</v>
      </c>
      <c r="W201" s="60" t="s">
        <v>69</v>
      </c>
      <c r="X201" s="61">
        <v>0</v>
      </c>
      <c r="Y201" s="67">
        <f>IFERROR(IF(X201="",0,CEILING((X201/$H201),1)*$H201),"")</f>
        <v>0</v>
      </c>
      <c r="Z201" s="68" t="str">
        <f>IFERROR(IF(Y201=0,"",ROUNDUP(Y201/H201,0)*0.0059),"")</f>
        <v/>
      </c>
      <c r="AA201" s="69" t="s">
        <v>20</v>
      </c>
      <c r="AB201" s="70" t="s">
        <v>20</v>
      </c>
      <c r="AC201" s="71" t="s">
        <v>346</v>
      </c>
      <c r="AG201" s="74"/>
      <c r="AJ201" s="75" t="s">
        <v>20</v>
      </c>
      <c r="AK201" s="75">
        <v>0</v>
      </c>
      <c r="BB201" s="77" t="s">
        <v>1</v>
      </c>
      <c r="BM201" s="74">
        <f>IFERROR(X201*I201/H201,"0")</f>
        <v>0</v>
      </c>
      <c r="BN201" s="74">
        <f>IFERROR(Y201*I201/H201,"0")</f>
        <v>0</v>
      </c>
      <c r="BO201" s="74">
        <f>IFERROR(1/J201*(X201/H201),"0")</f>
        <v>0</v>
      </c>
      <c r="BP201" s="74">
        <f>IFERROR(1/J201*(Y201/H201),"0")</f>
        <v>0</v>
      </c>
    </row>
    <row r="202" spans="1:68" ht="27" hidden="1" customHeight="1" x14ac:dyDescent="0.25">
      <c r="A202" s="31" t="s">
        <v>347</v>
      </c>
      <c r="B202" s="31" t="s">
        <v>348</v>
      </c>
      <c r="C202" s="32">
        <v>4301032052</v>
      </c>
      <c r="D202" s="130">
        <v>4680115886766</v>
      </c>
      <c r="E202" s="130"/>
      <c r="F202" s="33">
        <v>7.0000000000000007E-2</v>
      </c>
      <c r="G202" s="34">
        <v>18</v>
      </c>
      <c r="H202" s="33">
        <v>1.26</v>
      </c>
      <c r="I202" s="33">
        <v>1.45</v>
      </c>
      <c r="J202" s="34">
        <v>216</v>
      </c>
      <c r="K202" s="34" t="s">
        <v>341</v>
      </c>
      <c r="L202" s="34" t="s">
        <v>20</v>
      </c>
      <c r="M202" s="43" t="s">
        <v>342</v>
      </c>
      <c r="N202" s="43"/>
      <c r="O202" s="34">
        <v>90</v>
      </c>
      <c r="P202" s="13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02" s="132"/>
      <c r="R202" s="132"/>
      <c r="S202" s="132"/>
      <c r="T202" s="133"/>
      <c r="U202" s="59" t="s">
        <v>20</v>
      </c>
      <c r="V202" s="59" t="s">
        <v>20</v>
      </c>
      <c r="W202" s="60" t="s">
        <v>69</v>
      </c>
      <c r="X202" s="61">
        <v>0</v>
      </c>
      <c r="Y202" s="67">
        <f>IFERROR(IF(X202="",0,CEILING((X202/$H202),1)*$H202),"")</f>
        <v>0</v>
      </c>
      <c r="Z202" s="68" t="str">
        <f>IFERROR(IF(Y202=0,"",ROUNDUP(Y202/H202,0)*0.0059),"")</f>
        <v/>
      </c>
      <c r="AA202" s="69" t="s">
        <v>20</v>
      </c>
      <c r="AB202" s="70" t="s">
        <v>20</v>
      </c>
      <c r="AC202" s="71" t="s">
        <v>346</v>
      </c>
      <c r="AG202" s="74"/>
      <c r="AJ202" s="75" t="s">
        <v>20</v>
      </c>
      <c r="AK202" s="75">
        <v>0</v>
      </c>
      <c r="BB202" s="77" t="s">
        <v>1</v>
      </c>
      <c r="BM202" s="74">
        <f>IFERROR(X202*I202/H202,"0")</f>
        <v>0</v>
      </c>
      <c r="BN202" s="74">
        <f>IFERROR(Y202*I202/H202,"0")</f>
        <v>0</v>
      </c>
      <c r="BO202" s="74">
        <f>IFERROR(1/J202*(X202/H202),"0")</f>
        <v>0</v>
      </c>
      <c r="BP202" s="74">
        <f>IFERROR(1/J202*(Y202/H202),"0")</f>
        <v>0</v>
      </c>
    </row>
    <row r="203" spans="1:68" hidden="1" x14ac:dyDescent="0.2">
      <c r="A203" s="146"/>
      <c r="B203" s="146"/>
      <c r="C203" s="146"/>
      <c r="D203" s="146"/>
      <c r="E203" s="146"/>
      <c r="F203" s="146"/>
      <c r="G203" s="146"/>
      <c r="H203" s="146"/>
      <c r="I203" s="146"/>
      <c r="J203" s="146"/>
      <c r="K203" s="146"/>
      <c r="L203" s="146"/>
      <c r="M203" s="146"/>
      <c r="N203" s="146"/>
      <c r="O203" s="147"/>
      <c r="P203" s="142" t="s">
        <v>75</v>
      </c>
      <c r="Q203" s="143"/>
      <c r="R203" s="143"/>
      <c r="S203" s="143"/>
      <c r="T203" s="143"/>
      <c r="U203" s="143"/>
      <c r="V203" s="144"/>
      <c r="W203" s="62" t="s">
        <v>76</v>
      </c>
      <c r="X203" s="63">
        <f>IFERROR(X200/H200,"0")+IFERROR(X201/H201,"0")+IFERROR(X202/H202,"0")</f>
        <v>0</v>
      </c>
      <c r="Y203" s="63">
        <f>IFERROR(Y200/H200,"0")+IFERROR(Y201/H201,"0")+IFERROR(Y202/H202,"0")</f>
        <v>0</v>
      </c>
      <c r="Z203" s="63">
        <f>IFERROR(IF(Z200="",0,Z200),"0")+IFERROR(IF(Z201="",0,Z201),"0")+IFERROR(IF(Z202="",0,Z202),"0")</f>
        <v>0</v>
      </c>
      <c r="AA203" s="72"/>
      <c r="AB203" s="72"/>
      <c r="AC203" s="72"/>
    </row>
    <row r="204" spans="1:68" hidden="1" x14ac:dyDescent="0.2">
      <c r="A204" s="146"/>
      <c r="B204" s="146"/>
      <c r="C204" s="146"/>
      <c r="D204" s="146"/>
      <c r="E204" s="146"/>
      <c r="F204" s="146"/>
      <c r="G204" s="146"/>
      <c r="H204" s="146"/>
      <c r="I204" s="146"/>
      <c r="J204" s="146"/>
      <c r="K204" s="146"/>
      <c r="L204" s="146"/>
      <c r="M204" s="146"/>
      <c r="N204" s="146"/>
      <c r="O204" s="147"/>
      <c r="P204" s="142" t="s">
        <v>75</v>
      </c>
      <c r="Q204" s="143"/>
      <c r="R204" s="143"/>
      <c r="S204" s="143"/>
      <c r="T204" s="143"/>
      <c r="U204" s="143"/>
      <c r="V204" s="144"/>
      <c r="W204" s="62" t="s">
        <v>69</v>
      </c>
      <c r="X204" s="63">
        <f>IFERROR(SUM(X200:X202),"0")</f>
        <v>0</v>
      </c>
      <c r="Y204" s="63">
        <f>IFERROR(SUM(Y200:Y202),"0")</f>
        <v>0</v>
      </c>
      <c r="Z204" s="62"/>
      <c r="AA204" s="72"/>
      <c r="AB204" s="72"/>
      <c r="AC204" s="72"/>
    </row>
    <row r="205" spans="1:68" ht="14.25" hidden="1" customHeight="1" x14ac:dyDescent="0.25">
      <c r="A205" s="129" t="s">
        <v>349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30"/>
      <c r="AB205" s="30"/>
      <c r="AC205" s="30"/>
    </row>
    <row r="206" spans="1:68" ht="27" hidden="1" customHeight="1" x14ac:dyDescent="0.25">
      <c r="A206" s="31" t="s">
        <v>350</v>
      </c>
      <c r="B206" s="31" t="s">
        <v>351</v>
      </c>
      <c r="C206" s="32">
        <v>4301170013</v>
      </c>
      <c r="D206" s="130">
        <v>4680115886797</v>
      </c>
      <c r="E206" s="130"/>
      <c r="F206" s="33">
        <v>7.0000000000000007E-2</v>
      </c>
      <c r="G206" s="34">
        <v>18</v>
      </c>
      <c r="H206" s="33">
        <v>1.26</v>
      </c>
      <c r="I206" s="33">
        <v>1.45</v>
      </c>
      <c r="J206" s="34">
        <v>216</v>
      </c>
      <c r="K206" s="34" t="s">
        <v>341</v>
      </c>
      <c r="L206" s="34" t="s">
        <v>20</v>
      </c>
      <c r="M206" s="43" t="s">
        <v>342</v>
      </c>
      <c r="N206" s="43"/>
      <c r="O206" s="34">
        <v>90</v>
      </c>
      <c r="P206" s="1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6" s="132"/>
      <c r="R206" s="132"/>
      <c r="S206" s="132"/>
      <c r="T206" s="133"/>
      <c r="U206" s="59" t="s">
        <v>20</v>
      </c>
      <c r="V206" s="59" t="s">
        <v>20</v>
      </c>
      <c r="W206" s="60" t="s">
        <v>69</v>
      </c>
      <c r="X206" s="61">
        <v>0</v>
      </c>
      <c r="Y206" s="67">
        <f>IFERROR(IF(X206="",0,CEILING((X206/$H206),1)*$H206),"")</f>
        <v>0</v>
      </c>
      <c r="Z206" s="68" t="str">
        <f>IFERROR(IF(Y206=0,"",ROUNDUP(Y206/H206,0)*0.0059),"")</f>
        <v/>
      </c>
      <c r="AA206" s="69" t="s">
        <v>20</v>
      </c>
      <c r="AB206" s="70" t="s">
        <v>20</v>
      </c>
      <c r="AC206" s="71" t="s">
        <v>346</v>
      </c>
      <c r="AG206" s="74"/>
      <c r="AJ206" s="75" t="s">
        <v>20</v>
      </c>
      <c r="AK206" s="75">
        <v>0</v>
      </c>
      <c r="BB206" s="77" t="s">
        <v>1</v>
      </c>
      <c r="BM206" s="74">
        <f>IFERROR(X206*I206/H206,"0")</f>
        <v>0</v>
      </c>
      <c r="BN206" s="74">
        <f>IFERROR(Y206*I206/H206,"0")</f>
        <v>0</v>
      </c>
      <c r="BO206" s="74">
        <f>IFERROR(1/J206*(X206/H206),"0")</f>
        <v>0</v>
      </c>
      <c r="BP206" s="74">
        <f>IFERROR(1/J206*(Y206/H206),"0")</f>
        <v>0</v>
      </c>
    </row>
    <row r="207" spans="1:68" hidden="1" x14ac:dyDescent="0.2">
      <c r="A207" s="146"/>
      <c r="B207" s="146"/>
      <c r="C207" s="146"/>
      <c r="D207" s="146"/>
      <c r="E207" s="146"/>
      <c r="F207" s="146"/>
      <c r="G207" s="146"/>
      <c r="H207" s="146"/>
      <c r="I207" s="146"/>
      <c r="J207" s="146"/>
      <c r="K207" s="146"/>
      <c r="L207" s="146"/>
      <c r="M207" s="146"/>
      <c r="N207" s="146"/>
      <c r="O207" s="147"/>
      <c r="P207" s="142" t="s">
        <v>75</v>
      </c>
      <c r="Q207" s="143"/>
      <c r="R207" s="143"/>
      <c r="S207" s="143"/>
      <c r="T207" s="143"/>
      <c r="U207" s="143"/>
      <c r="V207" s="144"/>
      <c r="W207" s="62" t="s">
        <v>76</v>
      </c>
      <c r="X207" s="63">
        <f>IFERROR(X206/H206,"0")</f>
        <v>0</v>
      </c>
      <c r="Y207" s="63">
        <f>IFERROR(Y206/H206,"0")</f>
        <v>0</v>
      </c>
      <c r="Z207" s="63">
        <f>IFERROR(IF(Z206="",0,Z206),"0")</f>
        <v>0</v>
      </c>
      <c r="AA207" s="72"/>
      <c r="AB207" s="72"/>
      <c r="AC207" s="72"/>
    </row>
    <row r="208" spans="1:68" hidden="1" x14ac:dyDescent="0.2">
      <c r="A208" s="146"/>
      <c r="B208" s="146"/>
      <c r="C208" s="146"/>
      <c r="D208" s="146"/>
      <c r="E208" s="146"/>
      <c r="F208" s="146"/>
      <c r="G208" s="146"/>
      <c r="H208" s="146"/>
      <c r="I208" s="146"/>
      <c r="J208" s="146"/>
      <c r="K208" s="146"/>
      <c r="L208" s="146"/>
      <c r="M208" s="146"/>
      <c r="N208" s="146"/>
      <c r="O208" s="147"/>
      <c r="P208" s="142" t="s">
        <v>75</v>
      </c>
      <c r="Q208" s="143"/>
      <c r="R208" s="143"/>
      <c r="S208" s="143"/>
      <c r="T208" s="143"/>
      <c r="U208" s="143"/>
      <c r="V208" s="144"/>
      <c r="W208" s="62" t="s">
        <v>69</v>
      </c>
      <c r="X208" s="63">
        <f>IFERROR(SUM(X206:X206),"0")</f>
        <v>0</v>
      </c>
      <c r="Y208" s="63">
        <f>IFERROR(SUM(Y206:Y206),"0")</f>
        <v>0</v>
      </c>
      <c r="Z208" s="62"/>
      <c r="AA208" s="72"/>
      <c r="AB208" s="72"/>
      <c r="AC208" s="72"/>
    </row>
    <row r="209" spans="1:68" ht="16.5" hidden="1" customHeight="1" x14ac:dyDescent="0.25">
      <c r="A209" s="128" t="s">
        <v>352</v>
      </c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29"/>
      <c r="AB209" s="29"/>
      <c r="AC209" s="29"/>
    </row>
    <row r="210" spans="1:68" ht="14.25" hidden="1" customHeight="1" x14ac:dyDescent="0.25">
      <c r="A210" s="129" t="s">
        <v>115</v>
      </c>
      <c r="B210" s="129"/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30"/>
      <c r="AB210" s="30"/>
      <c r="AC210" s="30"/>
    </row>
    <row r="211" spans="1:68" ht="27" hidden="1" customHeight="1" x14ac:dyDescent="0.25">
      <c r="A211" s="31" t="s">
        <v>353</v>
      </c>
      <c r="B211" s="31" t="s">
        <v>354</v>
      </c>
      <c r="C211" s="32">
        <v>4301011450</v>
      </c>
      <c r="D211" s="130">
        <v>4680115881402</v>
      </c>
      <c r="E211" s="130"/>
      <c r="F211" s="33">
        <v>1.35</v>
      </c>
      <c r="G211" s="34">
        <v>8</v>
      </c>
      <c r="H211" s="33">
        <v>10.8</v>
      </c>
      <c r="I211" s="33">
        <v>11.21</v>
      </c>
      <c r="J211" s="34">
        <v>64</v>
      </c>
      <c r="K211" s="34" t="s">
        <v>118</v>
      </c>
      <c r="L211" s="34" t="s">
        <v>20</v>
      </c>
      <c r="M211" s="43" t="s">
        <v>119</v>
      </c>
      <c r="N211" s="43"/>
      <c r="O211" s="34">
        <v>55</v>
      </c>
      <c r="P211" s="1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11" s="132"/>
      <c r="R211" s="132"/>
      <c r="S211" s="132"/>
      <c r="T211" s="133"/>
      <c r="U211" s="59" t="s">
        <v>20</v>
      </c>
      <c r="V211" s="59" t="s">
        <v>20</v>
      </c>
      <c r="W211" s="60" t="s">
        <v>69</v>
      </c>
      <c r="X211" s="61">
        <v>0</v>
      </c>
      <c r="Y211" s="67">
        <f>IFERROR(IF(X211="",0,CEILING((X211/$H211),1)*$H211),"")</f>
        <v>0</v>
      </c>
      <c r="Z211" s="68" t="str">
        <f>IFERROR(IF(Y211=0,"",ROUNDUP(Y211/H211,0)*0.01898),"")</f>
        <v/>
      </c>
      <c r="AA211" s="69" t="s">
        <v>20</v>
      </c>
      <c r="AB211" s="70" t="s">
        <v>20</v>
      </c>
      <c r="AC211" s="71" t="s">
        <v>355</v>
      </c>
      <c r="AG211" s="74"/>
      <c r="AJ211" s="75" t="s">
        <v>20</v>
      </c>
      <c r="AK211" s="75">
        <v>0</v>
      </c>
      <c r="BB211" s="77" t="s">
        <v>1</v>
      </c>
      <c r="BM211" s="74">
        <f>IFERROR(X211*I211/H211,"0")</f>
        <v>0</v>
      </c>
      <c r="BN211" s="74">
        <f>IFERROR(Y211*I211/H211,"0")</f>
        <v>0</v>
      </c>
      <c r="BO211" s="74">
        <f>IFERROR(1/J211*(X211/H211),"0")</f>
        <v>0</v>
      </c>
      <c r="BP211" s="74">
        <f>IFERROR(1/J211*(Y211/H211),"0")</f>
        <v>0</v>
      </c>
    </row>
    <row r="212" spans="1:68" ht="27" hidden="1" customHeight="1" x14ac:dyDescent="0.25">
      <c r="A212" s="31" t="s">
        <v>356</v>
      </c>
      <c r="B212" s="31" t="s">
        <v>357</v>
      </c>
      <c r="C212" s="32">
        <v>4301011768</v>
      </c>
      <c r="D212" s="130">
        <v>4680115881396</v>
      </c>
      <c r="E212" s="130"/>
      <c r="F212" s="33">
        <v>0.45</v>
      </c>
      <c r="G212" s="34">
        <v>6</v>
      </c>
      <c r="H212" s="33">
        <v>2.7</v>
      </c>
      <c r="I212" s="33">
        <v>2.88</v>
      </c>
      <c r="J212" s="34">
        <v>182</v>
      </c>
      <c r="K212" s="34" t="s">
        <v>67</v>
      </c>
      <c r="L212" s="34" t="s">
        <v>20</v>
      </c>
      <c r="M212" s="43" t="s">
        <v>119</v>
      </c>
      <c r="N212" s="43"/>
      <c r="O212" s="34">
        <v>55</v>
      </c>
      <c r="P212" s="13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12" s="132"/>
      <c r="R212" s="132"/>
      <c r="S212" s="132"/>
      <c r="T212" s="133"/>
      <c r="U212" s="59" t="s">
        <v>20</v>
      </c>
      <c r="V212" s="59" t="s">
        <v>20</v>
      </c>
      <c r="W212" s="60" t="s">
        <v>69</v>
      </c>
      <c r="X212" s="61">
        <v>0</v>
      </c>
      <c r="Y212" s="67">
        <f>IFERROR(IF(X212="",0,CEILING((X212/$H212),1)*$H212),"")</f>
        <v>0</v>
      </c>
      <c r="Z212" s="68" t="str">
        <f>IFERROR(IF(Y212=0,"",ROUNDUP(Y212/H212,0)*0.00651),"")</f>
        <v/>
      </c>
      <c r="AA212" s="69" t="s">
        <v>20</v>
      </c>
      <c r="AB212" s="70" t="s">
        <v>20</v>
      </c>
      <c r="AC212" s="71" t="s">
        <v>355</v>
      </c>
      <c r="AG212" s="74"/>
      <c r="AJ212" s="75" t="s">
        <v>20</v>
      </c>
      <c r="AK212" s="75">
        <v>0</v>
      </c>
      <c r="BB212" s="77" t="s">
        <v>1</v>
      </c>
      <c r="BM212" s="74">
        <f>IFERROR(X212*I212/H212,"0")</f>
        <v>0</v>
      </c>
      <c r="BN212" s="74">
        <f>IFERROR(Y212*I212/H212,"0")</f>
        <v>0</v>
      </c>
      <c r="BO212" s="74">
        <f>IFERROR(1/J212*(X212/H212),"0")</f>
        <v>0</v>
      </c>
      <c r="BP212" s="74">
        <f>IFERROR(1/J212*(Y212/H212),"0")</f>
        <v>0</v>
      </c>
    </row>
    <row r="213" spans="1:68" hidden="1" x14ac:dyDescent="0.2">
      <c r="A213" s="146"/>
      <c r="B213" s="146"/>
      <c r="C213" s="146"/>
      <c r="D213" s="146"/>
      <c r="E213" s="146"/>
      <c r="F213" s="146"/>
      <c r="G213" s="146"/>
      <c r="H213" s="146"/>
      <c r="I213" s="146"/>
      <c r="J213" s="146"/>
      <c r="K213" s="146"/>
      <c r="L213" s="146"/>
      <c r="M213" s="146"/>
      <c r="N213" s="146"/>
      <c r="O213" s="147"/>
      <c r="P213" s="142" t="s">
        <v>75</v>
      </c>
      <c r="Q213" s="143"/>
      <c r="R213" s="143"/>
      <c r="S213" s="143"/>
      <c r="T213" s="143"/>
      <c r="U213" s="143"/>
      <c r="V213" s="144"/>
      <c r="W213" s="62" t="s">
        <v>76</v>
      </c>
      <c r="X213" s="63">
        <f>IFERROR(X211/H211,"0")+IFERROR(X212/H212,"0")</f>
        <v>0</v>
      </c>
      <c r="Y213" s="63">
        <f>IFERROR(Y211/H211,"0")+IFERROR(Y212/H212,"0")</f>
        <v>0</v>
      </c>
      <c r="Z213" s="63">
        <f>IFERROR(IF(Z211="",0,Z211),"0")+IFERROR(IF(Z212="",0,Z212),"0")</f>
        <v>0</v>
      </c>
      <c r="AA213" s="72"/>
      <c r="AB213" s="72"/>
      <c r="AC213" s="72"/>
    </row>
    <row r="214" spans="1:68" hidden="1" x14ac:dyDescent="0.2">
      <c r="A214" s="146"/>
      <c r="B214" s="146"/>
      <c r="C214" s="146"/>
      <c r="D214" s="146"/>
      <c r="E214" s="146"/>
      <c r="F214" s="146"/>
      <c r="G214" s="146"/>
      <c r="H214" s="146"/>
      <c r="I214" s="146"/>
      <c r="J214" s="146"/>
      <c r="K214" s="146"/>
      <c r="L214" s="146"/>
      <c r="M214" s="146"/>
      <c r="N214" s="146"/>
      <c r="O214" s="147"/>
      <c r="P214" s="142" t="s">
        <v>75</v>
      </c>
      <c r="Q214" s="143"/>
      <c r="R214" s="143"/>
      <c r="S214" s="143"/>
      <c r="T214" s="143"/>
      <c r="U214" s="143"/>
      <c r="V214" s="144"/>
      <c r="W214" s="62" t="s">
        <v>69</v>
      </c>
      <c r="X214" s="63">
        <f>IFERROR(SUM(X211:X212),"0")</f>
        <v>0</v>
      </c>
      <c r="Y214" s="63">
        <f>IFERROR(SUM(Y211:Y212),"0")</f>
        <v>0</v>
      </c>
      <c r="Z214" s="62"/>
      <c r="AA214" s="72"/>
      <c r="AB214" s="72"/>
      <c r="AC214" s="72"/>
    </row>
    <row r="215" spans="1:68" ht="14.25" hidden="1" customHeight="1" x14ac:dyDescent="0.25">
      <c r="A215" s="129" t="s">
        <v>154</v>
      </c>
      <c r="B215" s="129"/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30"/>
      <c r="AB215" s="30"/>
      <c r="AC215" s="30"/>
    </row>
    <row r="216" spans="1:68" ht="16.5" hidden="1" customHeight="1" x14ac:dyDescent="0.25">
      <c r="A216" s="31" t="s">
        <v>358</v>
      </c>
      <c r="B216" s="31" t="s">
        <v>359</v>
      </c>
      <c r="C216" s="32">
        <v>4301020261</v>
      </c>
      <c r="D216" s="130">
        <v>4680115882935</v>
      </c>
      <c r="E216" s="130"/>
      <c r="F216" s="33">
        <v>1.35</v>
      </c>
      <c r="G216" s="34">
        <v>8</v>
      </c>
      <c r="H216" s="33">
        <v>10.8</v>
      </c>
      <c r="I216" s="33">
        <v>11.21</v>
      </c>
      <c r="J216" s="34">
        <v>64</v>
      </c>
      <c r="K216" s="34" t="s">
        <v>118</v>
      </c>
      <c r="L216" s="34" t="s">
        <v>20</v>
      </c>
      <c r="M216" s="43" t="s">
        <v>119</v>
      </c>
      <c r="N216" s="43"/>
      <c r="O216" s="34">
        <v>50</v>
      </c>
      <c r="P216" s="1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6" s="132"/>
      <c r="R216" s="132"/>
      <c r="S216" s="132"/>
      <c r="T216" s="133"/>
      <c r="U216" s="59" t="s">
        <v>20</v>
      </c>
      <c r="V216" s="59" t="s">
        <v>20</v>
      </c>
      <c r="W216" s="60" t="s">
        <v>69</v>
      </c>
      <c r="X216" s="61">
        <v>0</v>
      </c>
      <c r="Y216" s="67">
        <f>IFERROR(IF(X216="",0,CEILING((X216/$H216),1)*$H216),"")</f>
        <v>0</v>
      </c>
      <c r="Z216" s="68" t="str">
        <f>IFERROR(IF(Y216=0,"",ROUNDUP(Y216/H216,0)*0.01898),"")</f>
        <v/>
      </c>
      <c r="AA216" s="69" t="s">
        <v>20</v>
      </c>
      <c r="AB216" s="70" t="s">
        <v>20</v>
      </c>
      <c r="AC216" s="71" t="s">
        <v>360</v>
      </c>
      <c r="AG216" s="74"/>
      <c r="AJ216" s="75" t="s">
        <v>20</v>
      </c>
      <c r="AK216" s="75">
        <v>0</v>
      </c>
      <c r="BB216" s="77" t="s">
        <v>1</v>
      </c>
      <c r="BM216" s="74">
        <f>IFERROR(X216*I216/H216,"0")</f>
        <v>0</v>
      </c>
      <c r="BN216" s="74">
        <f>IFERROR(Y216*I216/H216,"0")</f>
        <v>0</v>
      </c>
      <c r="BO216" s="74">
        <f>IFERROR(1/J216*(X216/H216),"0")</f>
        <v>0</v>
      </c>
      <c r="BP216" s="74">
        <f>IFERROR(1/J216*(Y216/H216),"0")</f>
        <v>0</v>
      </c>
    </row>
    <row r="217" spans="1:68" ht="16.5" hidden="1" customHeight="1" x14ac:dyDescent="0.25">
      <c r="A217" s="31" t="s">
        <v>361</v>
      </c>
      <c r="B217" s="31" t="s">
        <v>362</v>
      </c>
      <c r="C217" s="32">
        <v>4301020220</v>
      </c>
      <c r="D217" s="130">
        <v>4680115880764</v>
      </c>
      <c r="E217" s="130"/>
      <c r="F217" s="33">
        <v>0.35</v>
      </c>
      <c r="G217" s="34">
        <v>6</v>
      </c>
      <c r="H217" s="33">
        <v>2.1</v>
      </c>
      <c r="I217" s="33">
        <v>2.2799999999999998</v>
      </c>
      <c r="J217" s="34">
        <v>182</v>
      </c>
      <c r="K217" s="34" t="s">
        <v>67</v>
      </c>
      <c r="L217" s="34" t="s">
        <v>20</v>
      </c>
      <c r="M217" s="43" t="s">
        <v>119</v>
      </c>
      <c r="N217" s="43"/>
      <c r="O217" s="34">
        <v>50</v>
      </c>
      <c r="P217" s="1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7" s="132"/>
      <c r="R217" s="132"/>
      <c r="S217" s="132"/>
      <c r="T217" s="133"/>
      <c r="U217" s="59" t="s">
        <v>20</v>
      </c>
      <c r="V217" s="59" t="s">
        <v>20</v>
      </c>
      <c r="W217" s="60" t="s">
        <v>69</v>
      </c>
      <c r="X217" s="61">
        <v>0</v>
      </c>
      <c r="Y217" s="67">
        <f>IFERROR(IF(X217="",0,CEILING((X217/$H217),1)*$H217),"")</f>
        <v>0</v>
      </c>
      <c r="Z217" s="68" t="str">
        <f>IFERROR(IF(Y217=0,"",ROUNDUP(Y217/H217,0)*0.00651),"")</f>
        <v/>
      </c>
      <c r="AA217" s="69" t="s">
        <v>20</v>
      </c>
      <c r="AB217" s="70" t="s">
        <v>20</v>
      </c>
      <c r="AC217" s="71" t="s">
        <v>360</v>
      </c>
      <c r="AG217" s="74"/>
      <c r="AJ217" s="75" t="s">
        <v>20</v>
      </c>
      <c r="AK217" s="75">
        <v>0</v>
      </c>
      <c r="BB217" s="77" t="s">
        <v>1</v>
      </c>
      <c r="BM217" s="74">
        <f>IFERROR(X217*I217/H217,"0")</f>
        <v>0</v>
      </c>
      <c r="BN217" s="74">
        <f>IFERROR(Y217*I217/H217,"0")</f>
        <v>0</v>
      </c>
      <c r="BO217" s="74">
        <f>IFERROR(1/J217*(X217/H217),"0")</f>
        <v>0</v>
      </c>
      <c r="BP217" s="74">
        <f>IFERROR(1/J217*(Y217/H217),"0")</f>
        <v>0</v>
      </c>
    </row>
    <row r="218" spans="1:68" hidden="1" x14ac:dyDescent="0.2">
      <c r="A218" s="146"/>
      <c r="B218" s="146"/>
      <c r="C218" s="146"/>
      <c r="D218" s="146"/>
      <c r="E218" s="146"/>
      <c r="F218" s="146"/>
      <c r="G218" s="146"/>
      <c r="H218" s="146"/>
      <c r="I218" s="146"/>
      <c r="J218" s="146"/>
      <c r="K218" s="146"/>
      <c r="L218" s="146"/>
      <c r="M218" s="146"/>
      <c r="N218" s="146"/>
      <c r="O218" s="147"/>
      <c r="P218" s="142" t="s">
        <v>75</v>
      </c>
      <c r="Q218" s="143"/>
      <c r="R218" s="143"/>
      <c r="S218" s="143"/>
      <c r="T218" s="143"/>
      <c r="U218" s="143"/>
      <c r="V218" s="144"/>
      <c r="W218" s="62" t="s">
        <v>76</v>
      </c>
      <c r="X218" s="63">
        <f>IFERROR(X216/H216,"0")+IFERROR(X217/H217,"0")</f>
        <v>0</v>
      </c>
      <c r="Y218" s="63">
        <f>IFERROR(Y216/H216,"0")+IFERROR(Y217/H217,"0")</f>
        <v>0</v>
      </c>
      <c r="Z218" s="63">
        <f>IFERROR(IF(Z216="",0,Z216),"0")+IFERROR(IF(Z217="",0,Z217),"0")</f>
        <v>0</v>
      </c>
      <c r="AA218" s="72"/>
      <c r="AB218" s="72"/>
      <c r="AC218" s="72"/>
    </row>
    <row r="219" spans="1:68" hidden="1" x14ac:dyDescent="0.2">
      <c r="A219" s="146"/>
      <c r="B219" s="146"/>
      <c r="C219" s="146"/>
      <c r="D219" s="146"/>
      <c r="E219" s="146"/>
      <c r="F219" s="146"/>
      <c r="G219" s="146"/>
      <c r="H219" s="146"/>
      <c r="I219" s="146"/>
      <c r="J219" s="146"/>
      <c r="K219" s="146"/>
      <c r="L219" s="146"/>
      <c r="M219" s="146"/>
      <c r="N219" s="146"/>
      <c r="O219" s="147"/>
      <c r="P219" s="142" t="s">
        <v>75</v>
      </c>
      <c r="Q219" s="143"/>
      <c r="R219" s="143"/>
      <c r="S219" s="143"/>
      <c r="T219" s="143"/>
      <c r="U219" s="143"/>
      <c r="V219" s="144"/>
      <c r="W219" s="62" t="s">
        <v>69</v>
      </c>
      <c r="X219" s="63">
        <f>IFERROR(SUM(X216:X217),"0")</f>
        <v>0</v>
      </c>
      <c r="Y219" s="63">
        <f>IFERROR(SUM(Y216:Y217),"0")</f>
        <v>0</v>
      </c>
      <c r="Z219" s="62"/>
      <c r="AA219" s="72"/>
      <c r="AB219" s="72"/>
      <c r="AC219" s="72"/>
    </row>
    <row r="220" spans="1:68" ht="14.25" hidden="1" customHeight="1" x14ac:dyDescent="0.25">
      <c r="A220" s="129" t="s">
        <v>64</v>
      </c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30"/>
      <c r="AB220" s="30"/>
      <c r="AC220" s="30"/>
    </row>
    <row r="221" spans="1:68" ht="27" customHeight="1" x14ac:dyDescent="0.25">
      <c r="A221" s="31" t="s">
        <v>363</v>
      </c>
      <c r="B221" s="31" t="s">
        <v>364</v>
      </c>
      <c r="C221" s="32">
        <v>4301031224</v>
      </c>
      <c r="D221" s="130">
        <v>4680115882683</v>
      </c>
      <c r="E221" s="130"/>
      <c r="F221" s="33">
        <v>0.9</v>
      </c>
      <c r="G221" s="34">
        <v>6</v>
      </c>
      <c r="H221" s="33">
        <v>5.4</v>
      </c>
      <c r="I221" s="33">
        <v>5.59</v>
      </c>
      <c r="J221" s="34">
        <v>132</v>
      </c>
      <c r="K221" s="34" t="s">
        <v>128</v>
      </c>
      <c r="L221" s="34" t="s">
        <v>20</v>
      </c>
      <c r="M221" s="43" t="s">
        <v>68</v>
      </c>
      <c r="N221" s="43"/>
      <c r="O221" s="34">
        <v>40</v>
      </c>
      <c r="P221" s="13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21" s="132"/>
      <c r="R221" s="132"/>
      <c r="S221" s="132"/>
      <c r="T221" s="133"/>
      <c r="U221" s="59" t="s">
        <v>20</v>
      </c>
      <c r="V221" s="59" t="s">
        <v>20</v>
      </c>
      <c r="W221" s="60" t="s">
        <v>69</v>
      </c>
      <c r="X221" s="61">
        <v>100</v>
      </c>
      <c r="Y221" s="67">
        <f t="shared" ref="Y221:Y228" si="21">IFERROR(IF(X221="",0,CEILING((X221/$H221),1)*$H221),"")</f>
        <v>102.60000000000001</v>
      </c>
      <c r="Z221" s="68">
        <f>IFERROR(IF(Y221=0,"",ROUNDUP(Y221/H221,0)*0.00902),"")</f>
        <v>0.17138</v>
      </c>
      <c r="AA221" s="69" t="s">
        <v>20</v>
      </c>
      <c r="AB221" s="70" t="s">
        <v>20</v>
      </c>
      <c r="AC221" s="71" t="s">
        <v>365</v>
      </c>
      <c r="AG221" s="74"/>
      <c r="AJ221" s="75" t="s">
        <v>20</v>
      </c>
      <c r="AK221" s="75">
        <v>0</v>
      </c>
      <c r="BB221" s="77" t="s">
        <v>1</v>
      </c>
      <c r="BM221" s="74">
        <f t="shared" ref="BM221:BM228" si="22">IFERROR(X221*I221/H221,"0")</f>
        <v>103.5185185185185</v>
      </c>
      <c r="BN221" s="74">
        <f t="shared" ref="BN221:BN228" si="23">IFERROR(Y221*I221/H221,"0")</f>
        <v>106.21</v>
      </c>
      <c r="BO221" s="74">
        <f t="shared" ref="BO221:BO228" si="24">IFERROR(1/J221*(X221/H221),"0")</f>
        <v>0.14029180695847362</v>
      </c>
      <c r="BP221" s="74">
        <f t="shared" ref="BP221:BP228" si="25">IFERROR(1/J221*(Y221/H221),"0")</f>
        <v>0.14393939393939395</v>
      </c>
    </row>
    <row r="222" spans="1:68" ht="27" customHeight="1" x14ac:dyDescent="0.25">
      <c r="A222" s="31" t="s">
        <v>366</v>
      </c>
      <c r="B222" s="31" t="s">
        <v>367</v>
      </c>
      <c r="C222" s="32">
        <v>4301031230</v>
      </c>
      <c r="D222" s="130">
        <v>4680115882690</v>
      </c>
      <c r="E222" s="130"/>
      <c r="F222" s="33">
        <v>0.9</v>
      </c>
      <c r="G222" s="34">
        <v>6</v>
      </c>
      <c r="H222" s="33">
        <v>5.4</v>
      </c>
      <c r="I222" s="33">
        <v>5.59</v>
      </c>
      <c r="J222" s="34">
        <v>132</v>
      </c>
      <c r="K222" s="34" t="s">
        <v>128</v>
      </c>
      <c r="L222" s="34" t="s">
        <v>20</v>
      </c>
      <c r="M222" s="43" t="s">
        <v>68</v>
      </c>
      <c r="N222" s="43"/>
      <c r="O222" s="34">
        <v>40</v>
      </c>
      <c r="P222" s="1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22" s="132"/>
      <c r="R222" s="132"/>
      <c r="S222" s="132"/>
      <c r="T222" s="133"/>
      <c r="U222" s="59" t="s">
        <v>20</v>
      </c>
      <c r="V222" s="59" t="s">
        <v>20</v>
      </c>
      <c r="W222" s="60" t="s">
        <v>69</v>
      </c>
      <c r="X222" s="61">
        <v>100</v>
      </c>
      <c r="Y222" s="67">
        <f t="shared" si="21"/>
        <v>102.60000000000001</v>
      </c>
      <c r="Z222" s="68">
        <f>IFERROR(IF(Y222=0,"",ROUNDUP(Y222/H222,0)*0.00902),"")</f>
        <v>0.17138</v>
      </c>
      <c r="AA222" s="69" t="s">
        <v>20</v>
      </c>
      <c r="AB222" s="70" t="s">
        <v>20</v>
      </c>
      <c r="AC222" s="71" t="s">
        <v>368</v>
      </c>
      <c r="AG222" s="74"/>
      <c r="AJ222" s="75" t="s">
        <v>20</v>
      </c>
      <c r="AK222" s="75">
        <v>0</v>
      </c>
      <c r="BB222" s="77" t="s">
        <v>1</v>
      </c>
      <c r="BM222" s="74">
        <f t="shared" si="22"/>
        <v>103.5185185185185</v>
      </c>
      <c r="BN222" s="74">
        <f t="shared" si="23"/>
        <v>106.21</v>
      </c>
      <c r="BO222" s="74">
        <f t="shared" si="24"/>
        <v>0.14029180695847362</v>
      </c>
      <c r="BP222" s="74">
        <f t="shared" si="25"/>
        <v>0.14393939393939395</v>
      </c>
    </row>
    <row r="223" spans="1:68" ht="27" customHeight="1" x14ac:dyDescent="0.25">
      <c r="A223" s="31" t="s">
        <v>369</v>
      </c>
      <c r="B223" s="31" t="s">
        <v>370</v>
      </c>
      <c r="C223" s="32">
        <v>4301031220</v>
      </c>
      <c r="D223" s="130">
        <v>4680115882669</v>
      </c>
      <c r="E223" s="130"/>
      <c r="F223" s="33">
        <v>0.9</v>
      </c>
      <c r="G223" s="34">
        <v>6</v>
      </c>
      <c r="H223" s="33">
        <v>5.4</v>
      </c>
      <c r="I223" s="33">
        <v>5.59</v>
      </c>
      <c r="J223" s="34">
        <v>132</v>
      </c>
      <c r="K223" s="34" t="s">
        <v>128</v>
      </c>
      <c r="L223" s="34" t="s">
        <v>20</v>
      </c>
      <c r="M223" s="43" t="s">
        <v>68</v>
      </c>
      <c r="N223" s="43"/>
      <c r="O223" s="34">
        <v>40</v>
      </c>
      <c r="P223" s="1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23" s="132"/>
      <c r="R223" s="132"/>
      <c r="S223" s="132"/>
      <c r="T223" s="133"/>
      <c r="U223" s="59" t="s">
        <v>20</v>
      </c>
      <c r="V223" s="59" t="s">
        <v>20</v>
      </c>
      <c r="W223" s="60" t="s">
        <v>69</v>
      </c>
      <c r="X223" s="61">
        <v>100</v>
      </c>
      <c r="Y223" s="67">
        <f t="shared" si="21"/>
        <v>102.60000000000001</v>
      </c>
      <c r="Z223" s="68">
        <f>IFERROR(IF(Y223=0,"",ROUNDUP(Y223/H223,0)*0.00902),"")</f>
        <v>0.17138</v>
      </c>
      <c r="AA223" s="69" t="s">
        <v>20</v>
      </c>
      <c r="AB223" s="70" t="s">
        <v>20</v>
      </c>
      <c r="AC223" s="71" t="s">
        <v>371</v>
      </c>
      <c r="AG223" s="74"/>
      <c r="AJ223" s="75" t="s">
        <v>20</v>
      </c>
      <c r="AK223" s="75">
        <v>0</v>
      </c>
      <c r="BB223" s="77" t="s">
        <v>1</v>
      </c>
      <c r="BM223" s="74">
        <f t="shared" si="22"/>
        <v>103.5185185185185</v>
      </c>
      <c r="BN223" s="74">
        <f t="shared" si="23"/>
        <v>106.21</v>
      </c>
      <c r="BO223" s="74">
        <f t="shared" si="24"/>
        <v>0.14029180695847362</v>
      </c>
      <c r="BP223" s="74">
        <f t="shared" si="25"/>
        <v>0.14393939393939395</v>
      </c>
    </row>
    <row r="224" spans="1:68" ht="27" customHeight="1" x14ac:dyDescent="0.25">
      <c r="A224" s="31" t="s">
        <v>372</v>
      </c>
      <c r="B224" s="31" t="s">
        <v>373</v>
      </c>
      <c r="C224" s="32">
        <v>4301031221</v>
      </c>
      <c r="D224" s="130">
        <v>4680115882676</v>
      </c>
      <c r="E224" s="130"/>
      <c r="F224" s="33">
        <v>0.9</v>
      </c>
      <c r="G224" s="34">
        <v>6</v>
      </c>
      <c r="H224" s="33">
        <v>5.4</v>
      </c>
      <c r="I224" s="33">
        <v>5.59</v>
      </c>
      <c r="J224" s="34">
        <v>132</v>
      </c>
      <c r="K224" s="34" t="s">
        <v>128</v>
      </c>
      <c r="L224" s="34" t="s">
        <v>20</v>
      </c>
      <c r="M224" s="43" t="s">
        <v>68</v>
      </c>
      <c r="N224" s="43"/>
      <c r="O224" s="34">
        <v>40</v>
      </c>
      <c r="P224" s="13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24" s="132"/>
      <c r="R224" s="132"/>
      <c r="S224" s="132"/>
      <c r="T224" s="133"/>
      <c r="U224" s="59" t="s">
        <v>20</v>
      </c>
      <c r="V224" s="59" t="s">
        <v>20</v>
      </c>
      <c r="W224" s="60" t="s">
        <v>69</v>
      </c>
      <c r="X224" s="61">
        <v>100</v>
      </c>
      <c r="Y224" s="67">
        <f t="shared" si="21"/>
        <v>102.60000000000001</v>
      </c>
      <c r="Z224" s="68">
        <f>IFERROR(IF(Y224=0,"",ROUNDUP(Y224/H224,0)*0.00902),"")</f>
        <v>0.17138</v>
      </c>
      <c r="AA224" s="69" t="s">
        <v>20</v>
      </c>
      <c r="AB224" s="70" t="s">
        <v>20</v>
      </c>
      <c r="AC224" s="71" t="s">
        <v>374</v>
      </c>
      <c r="AG224" s="74"/>
      <c r="AJ224" s="75" t="s">
        <v>20</v>
      </c>
      <c r="AK224" s="75">
        <v>0</v>
      </c>
      <c r="BB224" s="77" t="s">
        <v>1</v>
      </c>
      <c r="BM224" s="74">
        <f t="shared" si="22"/>
        <v>103.5185185185185</v>
      </c>
      <c r="BN224" s="74">
        <f t="shared" si="23"/>
        <v>106.21</v>
      </c>
      <c r="BO224" s="74">
        <f t="shared" si="24"/>
        <v>0.14029180695847362</v>
      </c>
      <c r="BP224" s="74">
        <f t="shared" si="25"/>
        <v>0.14393939393939395</v>
      </c>
    </row>
    <row r="225" spans="1:68" ht="27" hidden="1" customHeight="1" x14ac:dyDescent="0.25">
      <c r="A225" s="31" t="s">
        <v>375</v>
      </c>
      <c r="B225" s="31" t="s">
        <v>376</v>
      </c>
      <c r="C225" s="32">
        <v>4301031223</v>
      </c>
      <c r="D225" s="130">
        <v>4680115884014</v>
      </c>
      <c r="E225" s="130"/>
      <c r="F225" s="33">
        <v>0.3</v>
      </c>
      <c r="G225" s="34">
        <v>6</v>
      </c>
      <c r="H225" s="33">
        <v>1.8</v>
      </c>
      <c r="I225" s="33">
        <v>1.93</v>
      </c>
      <c r="J225" s="34">
        <v>234</v>
      </c>
      <c r="K225" s="34" t="s">
        <v>73</v>
      </c>
      <c r="L225" s="34" t="s">
        <v>20</v>
      </c>
      <c r="M225" s="43" t="s">
        <v>68</v>
      </c>
      <c r="N225" s="43"/>
      <c r="O225" s="34">
        <v>40</v>
      </c>
      <c r="P225" s="1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5" s="132"/>
      <c r="R225" s="132"/>
      <c r="S225" s="132"/>
      <c r="T225" s="133"/>
      <c r="U225" s="59" t="s">
        <v>20</v>
      </c>
      <c r="V225" s="59" t="s">
        <v>20</v>
      </c>
      <c r="W225" s="60" t="s">
        <v>69</v>
      </c>
      <c r="X225" s="61">
        <v>0</v>
      </c>
      <c r="Y225" s="67">
        <f t="shared" si="21"/>
        <v>0</v>
      </c>
      <c r="Z225" s="68" t="str">
        <f>IFERROR(IF(Y225=0,"",ROUNDUP(Y225/H225,0)*0.00502),"")</f>
        <v/>
      </c>
      <c r="AA225" s="69" t="s">
        <v>20</v>
      </c>
      <c r="AB225" s="70" t="s">
        <v>20</v>
      </c>
      <c r="AC225" s="71" t="s">
        <v>365</v>
      </c>
      <c r="AG225" s="74"/>
      <c r="AJ225" s="75" t="s">
        <v>20</v>
      </c>
      <c r="AK225" s="75">
        <v>0</v>
      </c>
      <c r="BB225" s="77" t="s">
        <v>1</v>
      </c>
      <c r="BM225" s="74">
        <f t="shared" si="22"/>
        <v>0</v>
      </c>
      <c r="BN225" s="74">
        <f t="shared" si="23"/>
        <v>0</v>
      </c>
      <c r="BO225" s="74">
        <f t="shared" si="24"/>
        <v>0</v>
      </c>
      <c r="BP225" s="74">
        <f t="shared" si="25"/>
        <v>0</v>
      </c>
    </row>
    <row r="226" spans="1:68" ht="27" hidden="1" customHeight="1" x14ac:dyDescent="0.25">
      <c r="A226" s="31" t="s">
        <v>377</v>
      </c>
      <c r="B226" s="31" t="s">
        <v>378</v>
      </c>
      <c r="C226" s="32">
        <v>4301031222</v>
      </c>
      <c r="D226" s="130">
        <v>4680115884007</v>
      </c>
      <c r="E226" s="130"/>
      <c r="F226" s="33">
        <v>0.3</v>
      </c>
      <c r="G226" s="34">
        <v>6</v>
      </c>
      <c r="H226" s="33">
        <v>1.8</v>
      </c>
      <c r="I226" s="33">
        <v>1.9</v>
      </c>
      <c r="J226" s="34">
        <v>234</v>
      </c>
      <c r="K226" s="34" t="s">
        <v>73</v>
      </c>
      <c r="L226" s="34" t="s">
        <v>20</v>
      </c>
      <c r="M226" s="43" t="s">
        <v>68</v>
      </c>
      <c r="N226" s="43"/>
      <c r="O226" s="34">
        <v>40</v>
      </c>
      <c r="P226" s="13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6" s="132"/>
      <c r="R226" s="132"/>
      <c r="S226" s="132"/>
      <c r="T226" s="133"/>
      <c r="U226" s="59" t="s">
        <v>20</v>
      </c>
      <c r="V226" s="59" t="s">
        <v>20</v>
      </c>
      <c r="W226" s="60" t="s">
        <v>69</v>
      </c>
      <c r="X226" s="61">
        <v>0</v>
      </c>
      <c r="Y226" s="67">
        <f t="shared" si="21"/>
        <v>0</v>
      </c>
      <c r="Z226" s="68" t="str">
        <f>IFERROR(IF(Y226=0,"",ROUNDUP(Y226/H226,0)*0.00502),"")</f>
        <v/>
      </c>
      <c r="AA226" s="69" t="s">
        <v>20</v>
      </c>
      <c r="AB226" s="70" t="s">
        <v>20</v>
      </c>
      <c r="AC226" s="71" t="s">
        <v>368</v>
      </c>
      <c r="AG226" s="74"/>
      <c r="AJ226" s="75" t="s">
        <v>20</v>
      </c>
      <c r="AK226" s="75">
        <v>0</v>
      </c>
      <c r="BB226" s="77" t="s">
        <v>1</v>
      </c>
      <c r="BM226" s="74">
        <f t="shared" si="22"/>
        <v>0</v>
      </c>
      <c r="BN226" s="74">
        <f t="shared" si="23"/>
        <v>0</v>
      </c>
      <c r="BO226" s="74">
        <f t="shared" si="24"/>
        <v>0</v>
      </c>
      <c r="BP226" s="74">
        <f t="shared" si="25"/>
        <v>0</v>
      </c>
    </row>
    <row r="227" spans="1:68" ht="27" hidden="1" customHeight="1" x14ac:dyDescent="0.25">
      <c r="A227" s="31" t="s">
        <v>379</v>
      </c>
      <c r="B227" s="31" t="s">
        <v>380</v>
      </c>
      <c r="C227" s="32">
        <v>4301031229</v>
      </c>
      <c r="D227" s="130">
        <v>4680115884038</v>
      </c>
      <c r="E227" s="130"/>
      <c r="F227" s="33">
        <v>0.3</v>
      </c>
      <c r="G227" s="34">
        <v>6</v>
      </c>
      <c r="H227" s="33">
        <v>1.8</v>
      </c>
      <c r="I227" s="33">
        <v>1.9</v>
      </c>
      <c r="J227" s="34">
        <v>234</v>
      </c>
      <c r="K227" s="34" t="s">
        <v>73</v>
      </c>
      <c r="L227" s="34" t="s">
        <v>20</v>
      </c>
      <c r="M227" s="43" t="s">
        <v>68</v>
      </c>
      <c r="N227" s="43"/>
      <c r="O227" s="34">
        <v>40</v>
      </c>
      <c r="P227" s="13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7" s="132"/>
      <c r="R227" s="132"/>
      <c r="S227" s="132"/>
      <c r="T227" s="133"/>
      <c r="U227" s="59" t="s">
        <v>20</v>
      </c>
      <c r="V227" s="59" t="s">
        <v>20</v>
      </c>
      <c r="W227" s="60" t="s">
        <v>69</v>
      </c>
      <c r="X227" s="61">
        <v>0</v>
      </c>
      <c r="Y227" s="67">
        <f t="shared" si="21"/>
        <v>0</v>
      </c>
      <c r="Z227" s="68" t="str">
        <f>IFERROR(IF(Y227=0,"",ROUNDUP(Y227/H227,0)*0.00502),"")</f>
        <v/>
      </c>
      <c r="AA227" s="69" t="s">
        <v>20</v>
      </c>
      <c r="AB227" s="70" t="s">
        <v>20</v>
      </c>
      <c r="AC227" s="71" t="s">
        <v>371</v>
      </c>
      <c r="AG227" s="74"/>
      <c r="AJ227" s="75" t="s">
        <v>20</v>
      </c>
      <c r="AK227" s="75">
        <v>0</v>
      </c>
      <c r="BB227" s="77" t="s">
        <v>1</v>
      </c>
      <c r="BM227" s="74">
        <f t="shared" si="22"/>
        <v>0</v>
      </c>
      <c r="BN227" s="74">
        <f t="shared" si="23"/>
        <v>0</v>
      </c>
      <c r="BO227" s="74">
        <f t="shared" si="24"/>
        <v>0</v>
      </c>
      <c r="BP227" s="74">
        <f t="shared" si="25"/>
        <v>0</v>
      </c>
    </row>
    <row r="228" spans="1:68" ht="27" hidden="1" customHeight="1" x14ac:dyDescent="0.25">
      <c r="A228" s="31" t="s">
        <v>381</v>
      </c>
      <c r="B228" s="31" t="s">
        <v>382</v>
      </c>
      <c r="C228" s="32">
        <v>4301031225</v>
      </c>
      <c r="D228" s="130">
        <v>4680115884021</v>
      </c>
      <c r="E228" s="130"/>
      <c r="F228" s="33">
        <v>0.3</v>
      </c>
      <c r="G228" s="34">
        <v>6</v>
      </c>
      <c r="H228" s="33">
        <v>1.8</v>
      </c>
      <c r="I228" s="33">
        <v>1.9</v>
      </c>
      <c r="J228" s="34">
        <v>234</v>
      </c>
      <c r="K228" s="34" t="s">
        <v>73</v>
      </c>
      <c r="L228" s="34" t="s">
        <v>20</v>
      </c>
      <c r="M228" s="43" t="s">
        <v>68</v>
      </c>
      <c r="N228" s="43"/>
      <c r="O228" s="34">
        <v>40</v>
      </c>
      <c r="P228" s="1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8" s="132"/>
      <c r="R228" s="132"/>
      <c r="S228" s="132"/>
      <c r="T228" s="133"/>
      <c r="U228" s="59" t="s">
        <v>20</v>
      </c>
      <c r="V228" s="59" t="s">
        <v>20</v>
      </c>
      <c r="W228" s="60" t="s">
        <v>69</v>
      </c>
      <c r="X228" s="61">
        <v>0</v>
      </c>
      <c r="Y228" s="67">
        <f t="shared" si="21"/>
        <v>0</v>
      </c>
      <c r="Z228" s="68" t="str">
        <f>IFERROR(IF(Y228=0,"",ROUNDUP(Y228/H228,0)*0.00502),"")</f>
        <v/>
      </c>
      <c r="AA228" s="69" t="s">
        <v>20</v>
      </c>
      <c r="AB228" s="70" t="s">
        <v>20</v>
      </c>
      <c r="AC228" s="71" t="s">
        <v>374</v>
      </c>
      <c r="AG228" s="74"/>
      <c r="AJ228" s="75" t="s">
        <v>20</v>
      </c>
      <c r="AK228" s="75">
        <v>0</v>
      </c>
      <c r="BB228" s="77" t="s">
        <v>1</v>
      </c>
      <c r="BM228" s="74">
        <f t="shared" si="22"/>
        <v>0</v>
      </c>
      <c r="BN228" s="74">
        <f t="shared" si="23"/>
        <v>0</v>
      </c>
      <c r="BO228" s="74">
        <f t="shared" si="24"/>
        <v>0</v>
      </c>
      <c r="BP228" s="74">
        <f t="shared" si="25"/>
        <v>0</v>
      </c>
    </row>
    <row r="229" spans="1:68" x14ac:dyDescent="0.2">
      <c r="A229" s="146"/>
      <c r="B229" s="146"/>
      <c r="C229" s="146"/>
      <c r="D229" s="146"/>
      <c r="E229" s="146"/>
      <c r="F229" s="146"/>
      <c r="G229" s="146"/>
      <c r="H229" s="146"/>
      <c r="I229" s="146"/>
      <c r="J229" s="146"/>
      <c r="K229" s="146"/>
      <c r="L229" s="146"/>
      <c r="M229" s="146"/>
      <c r="N229" s="146"/>
      <c r="O229" s="147"/>
      <c r="P229" s="142" t="s">
        <v>75</v>
      </c>
      <c r="Q229" s="143"/>
      <c r="R229" s="143"/>
      <c r="S229" s="143"/>
      <c r="T229" s="143"/>
      <c r="U229" s="143"/>
      <c r="V229" s="144"/>
      <c r="W229" s="62" t="s">
        <v>76</v>
      </c>
      <c r="X229" s="63">
        <f>IFERROR(X221/H221,"0")+IFERROR(X222/H222,"0")+IFERROR(X223/H223,"0")+IFERROR(X224/H224,"0")+IFERROR(X225/H225,"0")+IFERROR(X226/H226,"0")+IFERROR(X227/H227,"0")+IFERROR(X228/H228,"0")</f>
        <v>74.074074074074076</v>
      </c>
      <c r="Y229" s="63">
        <f>IFERROR(Y221/H221,"0")+IFERROR(Y222/H222,"0")+IFERROR(Y223/H223,"0")+IFERROR(Y224/H224,"0")+IFERROR(Y225/H225,"0")+IFERROR(Y226/H226,"0")+IFERROR(Y227/H227,"0")+IFERROR(Y228/H228,"0")</f>
        <v>76</v>
      </c>
      <c r="Z229" s="63">
        <f>IFERROR(IF(Z221="",0,Z221),"0")+IFERROR(IF(Z222="",0,Z222),"0")+IFERROR(IF(Z223="",0,Z223),"0")+IFERROR(IF(Z224="",0,Z224),"0")+IFERROR(IF(Z225="",0,Z225),"0")+IFERROR(IF(Z226="",0,Z226),"0")+IFERROR(IF(Z227="",0,Z227),"0")+IFERROR(IF(Z228="",0,Z228),"0")</f>
        <v>0.68552000000000002</v>
      </c>
      <c r="AA229" s="72"/>
      <c r="AB229" s="72"/>
      <c r="AC229" s="72"/>
    </row>
    <row r="230" spans="1:68" x14ac:dyDescent="0.2">
      <c r="A230" s="146"/>
      <c r="B230" s="146"/>
      <c r="C230" s="146"/>
      <c r="D230" s="146"/>
      <c r="E230" s="146"/>
      <c r="F230" s="146"/>
      <c r="G230" s="146"/>
      <c r="H230" s="146"/>
      <c r="I230" s="146"/>
      <c r="J230" s="146"/>
      <c r="K230" s="146"/>
      <c r="L230" s="146"/>
      <c r="M230" s="146"/>
      <c r="N230" s="146"/>
      <c r="O230" s="147"/>
      <c r="P230" s="142" t="s">
        <v>75</v>
      </c>
      <c r="Q230" s="143"/>
      <c r="R230" s="143"/>
      <c r="S230" s="143"/>
      <c r="T230" s="143"/>
      <c r="U230" s="143"/>
      <c r="V230" s="144"/>
      <c r="W230" s="62" t="s">
        <v>69</v>
      </c>
      <c r="X230" s="63">
        <f>IFERROR(SUM(X221:X228),"0")</f>
        <v>400</v>
      </c>
      <c r="Y230" s="63">
        <f>IFERROR(SUM(Y221:Y228),"0")</f>
        <v>410.40000000000003</v>
      </c>
      <c r="Z230" s="62"/>
      <c r="AA230" s="72"/>
      <c r="AB230" s="72"/>
      <c r="AC230" s="72"/>
    </row>
    <row r="231" spans="1:68" ht="14.25" hidden="1" customHeight="1" x14ac:dyDescent="0.25">
      <c r="A231" s="129" t="s">
        <v>77</v>
      </c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30"/>
      <c r="AB231" s="30"/>
      <c r="AC231" s="30"/>
    </row>
    <row r="232" spans="1:68" ht="37.5" customHeight="1" x14ac:dyDescent="0.25">
      <c r="A232" s="31" t="s">
        <v>383</v>
      </c>
      <c r="B232" s="31" t="s">
        <v>384</v>
      </c>
      <c r="C232" s="32">
        <v>4301051408</v>
      </c>
      <c r="D232" s="130">
        <v>4680115881594</v>
      </c>
      <c r="E232" s="130"/>
      <c r="F232" s="33">
        <v>1.35</v>
      </c>
      <c r="G232" s="34">
        <v>6</v>
      </c>
      <c r="H232" s="33">
        <v>8.1</v>
      </c>
      <c r="I232" s="33">
        <v>8.5939999999999994</v>
      </c>
      <c r="J232" s="34">
        <v>64</v>
      </c>
      <c r="K232" s="34" t="s">
        <v>118</v>
      </c>
      <c r="L232" s="34" t="s">
        <v>20</v>
      </c>
      <c r="M232" s="43" t="s">
        <v>86</v>
      </c>
      <c r="N232" s="43"/>
      <c r="O232" s="34">
        <v>40</v>
      </c>
      <c r="P232" s="1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32" s="132"/>
      <c r="R232" s="132"/>
      <c r="S232" s="132"/>
      <c r="T232" s="133"/>
      <c r="U232" s="59" t="s">
        <v>20</v>
      </c>
      <c r="V232" s="59" t="s">
        <v>20</v>
      </c>
      <c r="W232" s="60" t="s">
        <v>69</v>
      </c>
      <c r="X232" s="61">
        <v>150</v>
      </c>
      <c r="Y232" s="67">
        <f t="shared" ref="Y232:Y240" si="26">IFERROR(IF(X232="",0,CEILING((X232/$H232),1)*$H232),"")</f>
        <v>153.9</v>
      </c>
      <c r="Z232" s="68">
        <f>IFERROR(IF(Y232=0,"",ROUNDUP(Y232/H232,0)*0.01898),"")</f>
        <v>0.36062</v>
      </c>
      <c r="AA232" s="69" t="s">
        <v>20</v>
      </c>
      <c r="AB232" s="70" t="s">
        <v>20</v>
      </c>
      <c r="AC232" s="71" t="s">
        <v>385</v>
      </c>
      <c r="AG232" s="74"/>
      <c r="AJ232" s="75" t="s">
        <v>20</v>
      </c>
      <c r="AK232" s="75">
        <v>0</v>
      </c>
      <c r="BB232" s="77" t="s">
        <v>1</v>
      </c>
      <c r="BM232" s="74">
        <f t="shared" ref="BM232:BM240" si="27">IFERROR(X232*I232/H232,"0")</f>
        <v>159.14814814814815</v>
      </c>
      <c r="BN232" s="74">
        <f t="shared" ref="BN232:BN240" si="28">IFERROR(Y232*I232/H232,"0")</f>
        <v>163.286</v>
      </c>
      <c r="BO232" s="74">
        <f t="shared" ref="BO232:BO240" si="29">IFERROR(1/J232*(X232/H232),"0")</f>
        <v>0.28935185185185186</v>
      </c>
      <c r="BP232" s="74">
        <f t="shared" ref="BP232:BP240" si="30">IFERROR(1/J232*(Y232/H232),"0")</f>
        <v>0.296875</v>
      </c>
    </row>
    <row r="233" spans="1:68" ht="37.5" customHeight="1" x14ac:dyDescent="0.25">
      <c r="A233" s="31" t="s">
        <v>386</v>
      </c>
      <c r="B233" s="31" t="s">
        <v>387</v>
      </c>
      <c r="C233" s="32">
        <v>4301051411</v>
      </c>
      <c r="D233" s="130">
        <v>4680115881617</v>
      </c>
      <c r="E233" s="130"/>
      <c r="F233" s="33">
        <v>1.35</v>
      </c>
      <c r="G233" s="34">
        <v>6</v>
      </c>
      <c r="H233" s="33">
        <v>8.1</v>
      </c>
      <c r="I233" s="33">
        <v>8.5760000000000005</v>
      </c>
      <c r="J233" s="34">
        <v>64</v>
      </c>
      <c r="K233" s="34" t="s">
        <v>118</v>
      </c>
      <c r="L233" s="34" t="s">
        <v>20</v>
      </c>
      <c r="M233" s="43" t="s">
        <v>86</v>
      </c>
      <c r="N233" s="43"/>
      <c r="O233" s="34">
        <v>40</v>
      </c>
      <c r="P233" s="13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33" s="132"/>
      <c r="R233" s="132"/>
      <c r="S233" s="132"/>
      <c r="T233" s="133"/>
      <c r="U233" s="59" t="s">
        <v>20</v>
      </c>
      <c r="V233" s="59" t="s">
        <v>20</v>
      </c>
      <c r="W233" s="60" t="s">
        <v>69</v>
      </c>
      <c r="X233" s="61">
        <v>150</v>
      </c>
      <c r="Y233" s="67">
        <f t="shared" si="26"/>
        <v>153.9</v>
      </c>
      <c r="Z233" s="68">
        <f>IFERROR(IF(Y233=0,"",ROUNDUP(Y233/H233,0)*0.01898),"")</f>
        <v>0.36062</v>
      </c>
      <c r="AA233" s="69" t="s">
        <v>20</v>
      </c>
      <c r="AB233" s="70" t="s">
        <v>20</v>
      </c>
      <c r="AC233" s="71" t="s">
        <v>388</v>
      </c>
      <c r="AG233" s="74"/>
      <c r="AJ233" s="75" t="s">
        <v>20</v>
      </c>
      <c r="AK233" s="75">
        <v>0</v>
      </c>
      <c r="BB233" s="77" t="s">
        <v>1</v>
      </c>
      <c r="BM233" s="74">
        <f t="shared" si="27"/>
        <v>158.81481481481484</v>
      </c>
      <c r="BN233" s="74">
        <f t="shared" si="28"/>
        <v>162.94400000000002</v>
      </c>
      <c r="BO233" s="74">
        <f t="shared" si="29"/>
        <v>0.28935185185185186</v>
      </c>
      <c r="BP233" s="74">
        <f t="shared" si="30"/>
        <v>0.296875</v>
      </c>
    </row>
    <row r="234" spans="1:68" ht="27" customHeight="1" x14ac:dyDescent="0.25">
      <c r="A234" s="31" t="s">
        <v>389</v>
      </c>
      <c r="B234" s="31" t="s">
        <v>390</v>
      </c>
      <c r="C234" s="32">
        <v>4301051656</v>
      </c>
      <c r="D234" s="130">
        <v>4680115880573</v>
      </c>
      <c r="E234" s="130"/>
      <c r="F234" s="33">
        <v>1.45</v>
      </c>
      <c r="G234" s="34">
        <v>6</v>
      </c>
      <c r="H234" s="33">
        <v>8.6999999999999993</v>
      </c>
      <c r="I234" s="33">
        <v>9.1940000000000008</v>
      </c>
      <c r="J234" s="34">
        <v>64</v>
      </c>
      <c r="K234" s="34" t="s">
        <v>118</v>
      </c>
      <c r="L234" s="34" t="s">
        <v>20</v>
      </c>
      <c r="M234" s="43" t="s">
        <v>86</v>
      </c>
      <c r="N234" s="43"/>
      <c r="O234" s="34">
        <v>45</v>
      </c>
      <c r="P234" s="1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34" s="132"/>
      <c r="R234" s="132"/>
      <c r="S234" s="132"/>
      <c r="T234" s="133"/>
      <c r="U234" s="59" t="s">
        <v>20</v>
      </c>
      <c r="V234" s="59" t="s">
        <v>20</v>
      </c>
      <c r="W234" s="60" t="s">
        <v>69</v>
      </c>
      <c r="X234" s="61">
        <v>250</v>
      </c>
      <c r="Y234" s="67">
        <f t="shared" si="26"/>
        <v>252.29999999999998</v>
      </c>
      <c r="Z234" s="68">
        <f>IFERROR(IF(Y234=0,"",ROUNDUP(Y234/H234,0)*0.01898),"")</f>
        <v>0.55042000000000002</v>
      </c>
      <c r="AA234" s="69" t="s">
        <v>20</v>
      </c>
      <c r="AB234" s="70" t="s">
        <v>20</v>
      </c>
      <c r="AC234" s="71" t="s">
        <v>391</v>
      </c>
      <c r="AG234" s="74"/>
      <c r="AJ234" s="75" t="s">
        <v>20</v>
      </c>
      <c r="AK234" s="75">
        <v>0</v>
      </c>
      <c r="BB234" s="77" t="s">
        <v>1</v>
      </c>
      <c r="BM234" s="74">
        <f t="shared" si="27"/>
        <v>264.19540229885058</v>
      </c>
      <c r="BN234" s="74">
        <f t="shared" si="28"/>
        <v>266.62600000000003</v>
      </c>
      <c r="BO234" s="74">
        <f t="shared" si="29"/>
        <v>0.44899425287356326</v>
      </c>
      <c r="BP234" s="74">
        <f t="shared" si="30"/>
        <v>0.453125</v>
      </c>
    </row>
    <row r="235" spans="1:68" ht="37.5" customHeight="1" x14ac:dyDescent="0.25">
      <c r="A235" s="31" t="s">
        <v>392</v>
      </c>
      <c r="B235" s="31" t="s">
        <v>393</v>
      </c>
      <c r="C235" s="32">
        <v>4301051407</v>
      </c>
      <c r="D235" s="130">
        <v>4680115882195</v>
      </c>
      <c r="E235" s="130"/>
      <c r="F235" s="33">
        <v>0.4</v>
      </c>
      <c r="G235" s="34">
        <v>6</v>
      </c>
      <c r="H235" s="33">
        <v>2.4</v>
      </c>
      <c r="I235" s="33">
        <v>2.67</v>
      </c>
      <c r="J235" s="34">
        <v>182</v>
      </c>
      <c r="K235" s="34" t="s">
        <v>67</v>
      </c>
      <c r="L235" s="34" t="s">
        <v>20</v>
      </c>
      <c r="M235" s="43" t="s">
        <v>86</v>
      </c>
      <c r="N235" s="43"/>
      <c r="O235" s="34">
        <v>40</v>
      </c>
      <c r="P235" s="13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5" s="132"/>
      <c r="R235" s="132"/>
      <c r="S235" s="132"/>
      <c r="T235" s="133"/>
      <c r="U235" s="59" t="s">
        <v>20</v>
      </c>
      <c r="V235" s="59" t="s">
        <v>20</v>
      </c>
      <c r="W235" s="60" t="s">
        <v>69</v>
      </c>
      <c r="X235" s="61">
        <v>250</v>
      </c>
      <c r="Y235" s="67">
        <f t="shared" si="26"/>
        <v>252</v>
      </c>
      <c r="Z235" s="68">
        <f t="shared" ref="Z235:Z240" si="31">IFERROR(IF(Y235=0,"",ROUNDUP(Y235/H235,0)*0.00651),"")</f>
        <v>0.68354999999999999</v>
      </c>
      <c r="AA235" s="69" t="s">
        <v>20</v>
      </c>
      <c r="AB235" s="70" t="s">
        <v>20</v>
      </c>
      <c r="AC235" s="71" t="s">
        <v>385</v>
      </c>
      <c r="AG235" s="74"/>
      <c r="AJ235" s="75" t="s">
        <v>20</v>
      </c>
      <c r="AK235" s="75">
        <v>0</v>
      </c>
      <c r="BB235" s="77" t="s">
        <v>1</v>
      </c>
      <c r="BM235" s="74">
        <f t="shared" si="27"/>
        <v>278.125</v>
      </c>
      <c r="BN235" s="74">
        <f t="shared" si="28"/>
        <v>280.35000000000002</v>
      </c>
      <c r="BO235" s="74">
        <f t="shared" si="29"/>
        <v>0.57234432234432242</v>
      </c>
      <c r="BP235" s="74">
        <f t="shared" si="30"/>
        <v>0.57692307692307698</v>
      </c>
    </row>
    <row r="236" spans="1:68" ht="27" hidden="1" customHeight="1" x14ac:dyDescent="0.25">
      <c r="A236" s="31" t="s">
        <v>394</v>
      </c>
      <c r="B236" s="31" t="s">
        <v>395</v>
      </c>
      <c r="C236" s="32">
        <v>4301051752</v>
      </c>
      <c r="D236" s="130">
        <v>4680115882607</v>
      </c>
      <c r="E236" s="130"/>
      <c r="F236" s="33">
        <v>0.3</v>
      </c>
      <c r="G236" s="34">
        <v>6</v>
      </c>
      <c r="H236" s="33">
        <v>1.8</v>
      </c>
      <c r="I236" s="33">
        <v>2.052</v>
      </c>
      <c r="J236" s="34">
        <v>182</v>
      </c>
      <c r="K236" s="34" t="s">
        <v>67</v>
      </c>
      <c r="L236" s="34" t="s">
        <v>20</v>
      </c>
      <c r="M236" s="43" t="s">
        <v>80</v>
      </c>
      <c r="N236" s="43"/>
      <c r="O236" s="34">
        <v>45</v>
      </c>
      <c r="P236" s="1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6" s="132"/>
      <c r="R236" s="132"/>
      <c r="S236" s="132"/>
      <c r="T236" s="133"/>
      <c r="U236" s="59" t="s">
        <v>20</v>
      </c>
      <c r="V236" s="59" t="s">
        <v>20</v>
      </c>
      <c r="W236" s="60" t="s">
        <v>69</v>
      </c>
      <c r="X236" s="61">
        <v>0</v>
      </c>
      <c r="Y236" s="67">
        <f t="shared" si="26"/>
        <v>0</v>
      </c>
      <c r="Z236" s="68" t="str">
        <f t="shared" si="31"/>
        <v/>
      </c>
      <c r="AA236" s="69" t="s">
        <v>20</v>
      </c>
      <c r="AB236" s="70" t="s">
        <v>20</v>
      </c>
      <c r="AC236" s="71" t="s">
        <v>391</v>
      </c>
      <c r="AG236" s="74"/>
      <c r="AJ236" s="75" t="s">
        <v>20</v>
      </c>
      <c r="AK236" s="75">
        <v>0</v>
      </c>
      <c r="BB236" s="77" t="s">
        <v>1</v>
      </c>
      <c r="BM236" s="74">
        <f t="shared" si="27"/>
        <v>0</v>
      </c>
      <c r="BN236" s="74">
        <f t="shared" si="28"/>
        <v>0</v>
      </c>
      <c r="BO236" s="74">
        <f t="shared" si="29"/>
        <v>0</v>
      </c>
      <c r="BP236" s="74">
        <f t="shared" si="30"/>
        <v>0</v>
      </c>
    </row>
    <row r="237" spans="1:68" ht="27" customHeight="1" x14ac:dyDescent="0.25">
      <c r="A237" s="31" t="s">
        <v>396</v>
      </c>
      <c r="B237" s="31" t="s">
        <v>397</v>
      </c>
      <c r="C237" s="32">
        <v>4301051666</v>
      </c>
      <c r="D237" s="130">
        <v>4680115880092</v>
      </c>
      <c r="E237" s="130"/>
      <c r="F237" s="33">
        <v>0.4</v>
      </c>
      <c r="G237" s="34">
        <v>6</v>
      </c>
      <c r="H237" s="33">
        <v>2.4</v>
      </c>
      <c r="I237" s="33">
        <v>2.6520000000000001</v>
      </c>
      <c r="J237" s="34">
        <v>182</v>
      </c>
      <c r="K237" s="34" t="s">
        <v>67</v>
      </c>
      <c r="L237" s="34" t="s">
        <v>20</v>
      </c>
      <c r="M237" s="43" t="s">
        <v>86</v>
      </c>
      <c r="N237" s="43"/>
      <c r="O237" s="34">
        <v>45</v>
      </c>
      <c r="P237" s="1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7" s="132"/>
      <c r="R237" s="132"/>
      <c r="S237" s="132"/>
      <c r="T237" s="133"/>
      <c r="U237" s="59" t="s">
        <v>20</v>
      </c>
      <c r="V237" s="59" t="s">
        <v>20</v>
      </c>
      <c r="W237" s="60" t="s">
        <v>69</v>
      </c>
      <c r="X237" s="61">
        <v>400</v>
      </c>
      <c r="Y237" s="67">
        <f t="shared" si="26"/>
        <v>400.8</v>
      </c>
      <c r="Z237" s="68">
        <f t="shared" si="31"/>
        <v>1.08717</v>
      </c>
      <c r="AA237" s="69" t="s">
        <v>20</v>
      </c>
      <c r="AB237" s="70" t="s">
        <v>20</v>
      </c>
      <c r="AC237" s="71" t="s">
        <v>391</v>
      </c>
      <c r="AG237" s="74"/>
      <c r="AJ237" s="75" t="s">
        <v>20</v>
      </c>
      <c r="AK237" s="75">
        <v>0</v>
      </c>
      <c r="BB237" s="77" t="s">
        <v>1</v>
      </c>
      <c r="BM237" s="74">
        <f t="shared" si="27"/>
        <v>442</v>
      </c>
      <c r="BN237" s="74">
        <f t="shared" si="28"/>
        <v>442.88400000000007</v>
      </c>
      <c r="BO237" s="74">
        <f t="shared" si="29"/>
        <v>0.91575091575091594</v>
      </c>
      <c r="BP237" s="74">
        <f t="shared" si="30"/>
        <v>0.91758241758241765</v>
      </c>
    </row>
    <row r="238" spans="1:68" ht="27" customHeight="1" x14ac:dyDescent="0.25">
      <c r="A238" s="31" t="s">
        <v>398</v>
      </c>
      <c r="B238" s="31" t="s">
        <v>399</v>
      </c>
      <c r="C238" s="32">
        <v>4301051668</v>
      </c>
      <c r="D238" s="130">
        <v>4680115880221</v>
      </c>
      <c r="E238" s="130"/>
      <c r="F238" s="33">
        <v>0.4</v>
      </c>
      <c r="G238" s="34">
        <v>6</v>
      </c>
      <c r="H238" s="33">
        <v>2.4</v>
      </c>
      <c r="I238" s="33">
        <v>2.6520000000000001</v>
      </c>
      <c r="J238" s="34">
        <v>182</v>
      </c>
      <c r="K238" s="34" t="s">
        <v>67</v>
      </c>
      <c r="L238" s="34" t="s">
        <v>20</v>
      </c>
      <c r="M238" s="43" t="s">
        <v>86</v>
      </c>
      <c r="N238" s="43"/>
      <c r="O238" s="34">
        <v>45</v>
      </c>
      <c r="P238" s="13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8" s="132"/>
      <c r="R238" s="132"/>
      <c r="S238" s="132"/>
      <c r="T238" s="133"/>
      <c r="U238" s="59" t="s">
        <v>20</v>
      </c>
      <c r="V238" s="59" t="s">
        <v>20</v>
      </c>
      <c r="W238" s="60" t="s">
        <v>69</v>
      </c>
      <c r="X238" s="61">
        <v>400</v>
      </c>
      <c r="Y238" s="67">
        <f t="shared" si="26"/>
        <v>400.8</v>
      </c>
      <c r="Z238" s="68">
        <f t="shared" si="31"/>
        <v>1.08717</v>
      </c>
      <c r="AA238" s="69" t="s">
        <v>20</v>
      </c>
      <c r="AB238" s="70" t="s">
        <v>20</v>
      </c>
      <c r="AC238" s="71" t="s">
        <v>391</v>
      </c>
      <c r="AG238" s="74"/>
      <c r="AJ238" s="75" t="s">
        <v>20</v>
      </c>
      <c r="AK238" s="75">
        <v>0</v>
      </c>
      <c r="BB238" s="77" t="s">
        <v>1</v>
      </c>
      <c r="BM238" s="74">
        <f t="shared" si="27"/>
        <v>442</v>
      </c>
      <c r="BN238" s="74">
        <f t="shared" si="28"/>
        <v>442.88400000000007</v>
      </c>
      <c r="BO238" s="74">
        <f t="shared" si="29"/>
        <v>0.91575091575091594</v>
      </c>
      <c r="BP238" s="74">
        <f t="shared" si="30"/>
        <v>0.91758241758241765</v>
      </c>
    </row>
    <row r="239" spans="1:68" ht="27" customHeight="1" x14ac:dyDescent="0.25">
      <c r="A239" s="31" t="s">
        <v>400</v>
      </c>
      <c r="B239" s="31" t="s">
        <v>401</v>
      </c>
      <c r="C239" s="32">
        <v>4301051945</v>
      </c>
      <c r="D239" s="130">
        <v>4680115880504</v>
      </c>
      <c r="E239" s="130"/>
      <c r="F239" s="33">
        <v>0.4</v>
      </c>
      <c r="G239" s="34">
        <v>6</v>
      </c>
      <c r="H239" s="33">
        <v>2.4</v>
      </c>
      <c r="I239" s="33">
        <v>2.6520000000000001</v>
      </c>
      <c r="J239" s="34">
        <v>182</v>
      </c>
      <c r="K239" s="34" t="s">
        <v>67</v>
      </c>
      <c r="L239" s="34" t="s">
        <v>20</v>
      </c>
      <c r="M239" s="43" t="s">
        <v>80</v>
      </c>
      <c r="N239" s="43"/>
      <c r="O239" s="34">
        <v>40</v>
      </c>
      <c r="P239" s="13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9" s="132"/>
      <c r="R239" s="132"/>
      <c r="S239" s="132"/>
      <c r="T239" s="133"/>
      <c r="U239" s="59" t="s">
        <v>20</v>
      </c>
      <c r="V239" s="59" t="s">
        <v>20</v>
      </c>
      <c r="W239" s="60" t="s">
        <v>69</v>
      </c>
      <c r="X239" s="61">
        <v>200</v>
      </c>
      <c r="Y239" s="67">
        <f t="shared" si="26"/>
        <v>201.6</v>
      </c>
      <c r="Z239" s="68">
        <f t="shared" si="31"/>
        <v>0.54683999999999999</v>
      </c>
      <c r="AA239" s="69" t="s">
        <v>20</v>
      </c>
      <c r="AB239" s="70" t="s">
        <v>20</v>
      </c>
      <c r="AC239" s="71" t="s">
        <v>402</v>
      </c>
      <c r="AG239" s="74"/>
      <c r="AJ239" s="75" t="s">
        <v>20</v>
      </c>
      <c r="AK239" s="75">
        <v>0</v>
      </c>
      <c r="BB239" s="77" t="s">
        <v>1</v>
      </c>
      <c r="BM239" s="74">
        <f t="shared" si="27"/>
        <v>221</v>
      </c>
      <c r="BN239" s="74">
        <f t="shared" si="28"/>
        <v>222.768</v>
      </c>
      <c r="BO239" s="74">
        <f t="shared" si="29"/>
        <v>0.45787545787545797</v>
      </c>
      <c r="BP239" s="74">
        <f t="shared" si="30"/>
        <v>0.46153846153846156</v>
      </c>
    </row>
    <row r="240" spans="1:68" ht="27" customHeight="1" x14ac:dyDescent="0.25">
      <c r="A240" s="31" t="s">
        <v>403</v>
      </c>
      <c r="B240" s="31" t="s">
        <v>404</v>
      </c>
      <c r="C240" s="32">
        <v>4301051410</v>
      </c>
      <c r="D240" s="130">
        <v>4680115882164</v>
      </c>
      <c r="E240" s="130"/>
      <c r="F240" s="33">
        <v>0.4</v>
      </c>
      <c r="G240" s="34">
        <v>6</v>
      </c>
      <c r="H240" s="33">
        <v>2.4</v>
      </c>
      <c r="I240" s="33">
        <v>2.6579999999999999</v>
      </c>
      <c r="J240" s="34">
        <v>182</v>
      </c>
      <c r="K240" s="34" t="s">
        <v>67</v>
      </c>
      <c r="L240" s="34" t="s">
        <v>20</v>
      </c>
      <c r="M240" s="43" t="s">
        <v>86</v>
      </c>
      <c r="N240" s="43"/>
      <c r="O240" s="34">
        <v>40</v>
      </c>
      <c r="P240" s="13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40" s="132"/>
      <c r="R240" s="132"/>
      <c r="S240" s="132"/>
      <c r="T240" s="133"/>
      <c r="U240" s="59" t="s">
        <v>20</v>
      </c>
      <c r="V240" s="59" t="s">
        <v>20</v>
      </c>
      <c r="W240" s="60" t="s">
        <v>69</v>
      </c>
      <c r="X240" s="61">
        <v>200</v>
      </c>
      <c r="Y240" s="67">
        <f t="shared" si="26"/>
        <v>201.6</v>
      </c>
      <c r="Z240" s="68">
        <f t="shared" si="31"/>
        <v>0.54683999999999999</v>
      </c>
      <c r="AA240" s="69" t="s">
        <v>20</v>
      </c>
      <c r="AB240" s="70" t="s">
        <v>20</v>
      </c>
      <c r="AC240" s="71" t="s">
        <v>405</v>
      </c>
      <c r="AG240" s="74"/>
      <c r="AJ240" s="75" t="s">
        <v>20</v>
      </c>
      <c r="AK240" s="75">
        <v>0</v>
      </c>
      <c r="BB240" s="77" t="s">
        <v>1</v>
      </c>
      <c r="BM240" s="74">
        <f t="shared" si="27"/>
        <v>221.50000000000003</v>
      </c>
      <c r="BN240" s="74">
        <f t="shared" si="28"/>
        <v>223.27200000000002</v>
      </c>
      <c r="BO240" s="74">
        <f t="shared" si="29"/>
        <v>0.45787545787545797</v>
      </c>
      <c r="BP240" s="74">
        <f t="shared" si="30"/>
        <v>0.46153846153846156</v>
      </c>
    </row>
    <row r="241" spans="1:68" x14ac:dyDescent="0.2">
      <c r="A241" s="146"/>
      <c r="B241" s="146"/>
      <c r="C241" s="146"/>
      <c r="D241" s="146"/>
      <c r="E241" s="146"/>
      <c r="F241" s="146"/>
      <c r="G241" s="146"/>
      <c r="H241" s="146"/>
      <c r="I241" s="146"/>
      <c r="J241" s="146"/>
      <c r="K241" s="146"/>
      <c r="L241" s="146"/>
      <c r="M241" s="146"/>
      <c r="N241" s="146"/>
      <c r="O241" s="147"/>
      <c r="P241" s="142" t="s">
        <v>75</v>
      </c>
      <c r="Q241" s="143"/>
      <c r="R241" s="143"/>
      <c r="S241" s="143"/>
      <c r="T241" s="143"/>
      <c r="U241" s="143"/>
      <c r="V241" s="144"/>
      <c r="W241" s="62" t="s">
        <v>76</v>
      </c>
      <c r="X241" s="63">
        <f>IFERROR(X232/H232,"0")+IFERROR(X233/H233,"0")+IFERROR(X234/H234,"0")+IFERROR(X235/H235,"0")+IFERROR(X236/H236,"0")+IFERROR(X237/H237,"0")+IFERROR(X238/H238,"0")+IFERROR(X239/H239,"0")+IFERROR(X240/H240,"0")</f>
        <v>669.93933588761183</v>
      </c>
      <c r="Y241" s="63">
        <f>IFERROR(Y232/H232,"0")+IFERROR(Y233/H233,"0")+IFERROR(Y234/H234,"0")+IFERROR(Y235/H235,"0")+IFERROR(Y236/H236,"0")+IFERROR(Y237/H237,"0")+IFERROR(Y238/H238,"0")+IFERROR(Y239/H239,"0")+IFERROR(Y240/H240,"0")</f>
        <v>674</v>
      </c>
      <c r="Z241" s="63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5.2232299999999992</v>
      </c>
      <c r="AA241" s="72"/>
      <c r="AB241" s="72"/>
      <c r="AC241" s="72"/>
    </row>
    <row r="242" spans="1:68" x14ac:dyDescent="0.2">
      <c r="A242" s="146"/>
      <c r="B242" s="146"/>
      <c r="C242" s="146"/>
      <c r="D242" s="146"/>
      <c r="E242" s="146"/>
      <c r="F242" s="146"/>
      <c r="G242" s="146"/>
      <c r="H242" s="146"/>
      <c r="I242" s="146"/>
      <c r="J242" s="146"/>
      <c r="K242" s="146"/>
      <c r="L242" s="146"/>
      <c r="M242" s="146"/>
      <c r="N242" s="146"/>
      <c r="O242" s="147"/>
      <c r="P242" s="142" t="s">
        <v>75</v>
      </c>
      <c r="Q242" s="143"/>
      <c r="R242" s="143"/>
      <c r="S242" s="143"/>
      <c r="T242" s="143"/>
      <c r="U242" s="143"/>
      <c r="V242" s="144"/>
      <c r="W242" s="62" t="s">
        <v>69</v>
      </c>
      <c r="X242" s="63">
        <f>IFERROR(SUM(X232:X240),"0")</f>
        <v>2000</v>
      </c>
      <c r="Y242" s="63">
        <f>IFERROR(SUM(Y232:Y240),"0")</f>
        <v>2016.8999999999999</v>
      </c>
      <c r="Z242" s="62"/>
      <c r="AA242" s="72"/>
      <c r="AB242" s="72"/>
      <c r="AC242" s="72"/>
    </row>
    <row r="243" spans="1:68" ht="14.25" hidden="1" customHeight="1" x14ac:dyDescent="0.25">
      <c r="A243" s="129" t="s">
        <v>179</v>
      </c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30"/>
      <c r="AB243" s="30"/>
      <c r="AC243" s="30"/>
    </row>
    <row r="244" spans="1:68" ht="27" hidden="1" customHeight="1" x14ac:dyDescent="0.25">
      <c r="A244" s="31" t="s">
        <v>406</v>
      </c>
      <c r="B244" s="31" t="s">
        <v>407</v>
      </c>
      <c r="C244" s="32">
        <v>4301060463</v>
      </c>
      <c r="D244" s="130">
        <v>4680115880818</v>
      </c>
      <c r="E244" s="130"/>
      <c r="F244" s="33">
        <v>0.4</v>
      </c>
      <c r="G244" s="34">
        <v>6</v>
      </c>
      <c r="H244" s="33">
        <v>2.4</v>
      </c>
      <c r="I244" s="33">
        <v>2.6520000000000001</v>
      </c>
      <c r="J244" s="34">
        <v>182</v>
      </c>
      <c r="K244" s="34" t="s">
        <v>67</v>
      </c>
      <c r="L244" s="34" t="s">
        <v>20</v>
      </c>
      <c r="M244" s="43" t="s">
        <v>80</v>
      </c>
      <c r="N244" s="43"/>
      <c r="O244" s="34">
        <v>40</v>
      </c>
      <c r="P244" s="13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4" s="132"/>
      <c r="R244" s="132"/>
      <c r="S244" s="132"/>
      <c r="T244" s="133"/>
      <c r="U244" s="59" t="s">
        <v>20</v>
      </c>
      <c r="V244" s="59" t="s">
        <v>20</v>
      </c>
      <c r="W244" s="60" t="s">
        <v>69</v>
      </c>
      <c r="X244" s="61">
        <v>0</v>
      </c>
      <c r="Y244" s="67">
        <f>IFERROR(IF(X244="",0,CEILING((X244/$H244),1)*$H244),"")</f>
        <v>0</v>
      </c>
      <c r="Z244" s="68" t="str">
        <f>IFERROR(IF(Y244=0,"",ROUNDUP(Y244/H244,0)*0.00651),"")</f>
        <v/>
      </c>
      <c r="AA244" s="69" t="s">
        <v>20</v>
      </c>
      <c r="AB244" s="70" t="s">
        <v>20</v>
      </c>
      <c r="AC244" s="71" t="s">
        <v>408</v>
      </c>
      <c r="AG244" s="74"/>
      <c r="AJ244" s="75" t="s">
        <v>20</v>
      </c>
      <c r="AK244" s="75">
        <v>0</v>
      </c>
      <c r="BB244" s="77" t="s">
        <v>1</v>
      </c>
      <c r="BM244" s="74">
        <f>IFERROR(X244*I244/H244,"0")</f>
        <v>0</v>
      </c>
      <c r="BN244" s="74">
        <f>IFERROR(Y244*I244/H244,"0")</f>
        <v>0</v>
      </c>
      <c r="BO244" s="74">
        <f>IFERROR(1/J244*(X244/H244),"0")</f>
        <v>0</v>
      </c>
      <c r="BP244" s="74">
        <f>IFERROR(1/J244*(Y244/H244),"0")</f>
        <v>0</v>
      </c>
    </row>
    <row r="245" spans="1:68" ht="37.5" hidden="1" customHeight="1" x14ac:dyDescent="0.25">
      <c r="A245" s="31" t="s">
        <v>409</v>
      </c>
      <c r="B245" s="31" t="s">
        <v>410</v>
      </c>
      <c r="C245" s="32">
        <v>4301060389</v>
      </c>
      <c r="D245" s="130">
        <v>4680115880801</v>
      </c>
      <c r="E245" s="130"/>
      <c r="F245" s="33">
        <v>0.4</v>
      </c>
      <c r="G245" s="34">
        <v>6</v>
      </c>
      <c r="H245" s="33">
        <v>2.4</v>
      </c>
      <c r="I245" s="33">
        <v>2.6520000000000001</v>
      </c>
      <c r="J245" s="34">
        <v>182</v>
      </c>
      <c r="K245" s="34" t="s">
        <v>67</v>
      </c>
      <c r="L245" s="34" t="s">
        <v>20</v>
      </c>
      <c r="M245" s="43" t="s">
        <v>86</v>
      </c>
      <c r="N245" s="43"/>
      <c r="O245" s="34">
        <v>40</v>
      </c>
      <c r="P245" s="13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5" s="132"/>
      <c r="R245" s="132"/>
      <c r="S245" s="132"/>
      <c r="T245" s="133"/>
      <c r="U245" s="59" t="s">
        <v>20</v>
      </c>
      <c r="V245" s="59" t="s">
        <v>20</v>
      </c>
      <c r="W245" s="60" t="s">
        <v>69</v>
      </c>
      <c r="X245" s="61">
        <v>0</v>
      </c>
      <c r="Y245" s="67">
        <f>IFERROR(IF(X245="",0,CEILING((X245/$H245),1)*$H245),"")</f>
        <v>0</v>
      </c>
      <c r="Z245" s="68" t="str">
        <f>IFERROR(IF(Y245=0,"",ROUNDUP(Y245/H245,0)*0.00651),"")</f>
        <v/>
      </c>
      <c r="AA245" s="69" t="s">
        <v>20</v>
      </c>
      <c r="AB245" s="70" t="s">
        <v>20</v>
      </c>
      <c r="AC245" s="71" t="s">
        <v>411</v>
      </c>
      <c r="AG245" s="74"/>
      <c r="AJ245" s="75" t="s">
        <v>20</v>
      </c>
      <c r="AK245" s="75">
        <v>0</v>
      </c>
      <c r="BB245" s="77" t="s">
        <v>1</v>
      </c>
      <c r="BM245" s="74">
        <f>IFERROR(X245*I245/H245,"0")</f>
        <v>0</v>
      </c>
      <c r="BN245" s="74">
        <f>IFERROR(Y245*I245/H245,"0")</f>
        <v>0</v>
      </c>
      <c r="BO245" s="74">
        <f>IFERROR(1/J245*(X245/H245),"0")</f>
        <v>0</v>
      </c>
      <c r="BP245" s="74">
        <f>IFERROR(1/J245*(Y245/H245),"0")</f>
        <v>0</v>
      </c>
    </row>
    <row r="246" spans="1:68" hidden="1" x14ac:dyDescent="0.2">
      <c r="A246" s="146"/>
      <c r="B246" s="146"/>
      <c r="C246" s="146"/>
      <c r="D246" s="146"/>
      <c r="E246" s="146"/>
      <c r="F246" s="146"/>
      <c r="G246" s="146"/>
      <c r="H246" s="146"/>
      <c r="I246" s="146"/>
      <c r="J246" s="146"/>
      <c r="K246" s="146"/>
      <c r="L246" s="146"/>
      <c r="M246" s="146"/>
      <c r="N246" s="146"/>
      <c r="O246" s="147"/>
      <c r="P246" s="142" t="s">
        <v>75</v>
      </c>
      <c r="Q246" s="143"/>
      <c r="R246" s="143"/>
      <c r="S246" s="143"/>
      <c r="T246" s="143"/>
      <c r="U246" s="143"/>
      <c r="V246" s="144"/>
      <c r="W246" s="62" t="s">
        <v>76</v>
      </c>
      <c r="X246" s="63">
        <f>IFERROR(X244/H244,"0")+IFERROR(X245/H245,"0")</f>
        <v>0</v>
      </c>
      <c r="Y246" s="63">
        <f>IFERROR(Y244/H244,"0")+IFERROR(Y245/H245,"0")</f>
        <v>0</v>
      </c>
      <c r="Z246" s="63">
        <f>IFERROR(IF(Z244="",0,Z244),"0")+IFERROR(IF(Z245="",0,Z245),"0")</f>
        <v>0</v>
      </c>
      <c r="AA246" s="72"/>
      <c r="AB246" s="72"/>
      <c r="AC246" s="72"/>
    </row>
    <row r="247" spans="1:68" hidden="1" x14ac:dyDescent="0.2">
      <c r="A247" s="146"/>
      <c r="B247" s="146"/>
      <c r="C247" s="146"/>
      <c r="D247" s="146"/>
      <c r="E247" s="146"/>
      <c r="F247" s="146"/>
      <c r="G247" s="146"/>
      <c r="H247" s="146"/>
      <c r="I247" s="146"/>
      <c r="J247" s="146"/>
      <c r="K247" s="146"/>
      <c r="L247" s="146"/>
      <c r="M247" s="146"/>
      <c r="N247" s="146"/>
      <c r="O247" s="147"/>
      <c r="P247" s="142" t="s">
        <v>75</v>
      </c>
      <c r="Q247" s="143"/>
      <c r="R247" s="143"/>
      <c r="S247" s="143"/>
      <c r="T247" s="143"/>
      <c r="U247" s="143"/>
      <c r="V247" s="144"/>
      <c r="W247" s="62" t="s">
        <v>69</v>
      </c>
      <c r="X247" s="63">
        <f>IFERROR(SUM(X244:X245),"0")</f>
        <v>0</v>
      </c>
      <c r="Y247" s="63">
        <f>IFERROR(SUM(Y244:Y245),"0")</f>
        <v>0</v>
      </c>
      <c r="Z247" s="62"/>
      <c r="AA247" s="72"/>
      <c r="AB247" s="72"/>
      <c r="AC247" s="72"/>
    </row>
    <row r="248" spans="1:68" ht="16.5" hidden="1" customHeight="1" x14ac:dyDescent="0.25">
      <c r="A248" s="128" t="s">
        <v>412</v>
      </c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29"/>
      <c r="AB248" s="29"/>
      <c r="AC248" s="29"/>
    </row>
    <row r="249" spans="1:68" ht="14.25" hidden="1" customHeight="1" x14ac:dyDescent="0.25">
      <c r="A249" s="129" t="s">
        <v>115</v>
      </c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30"/>
      <c r="AB249" s="30"/>
      <c r="AC249" s="30"/>
    </row>
    <row r="250" spans="1:68" ht="27" hidden="1" customHeight="1" x14ac:dyDescent="0.25">
      <c r="A250" s="31" t="s">
        <v>413</v>
      </c>
      <c r="B250" s="31" t="s">
        <v>414</v>
      </c>
      <c r="C250" s="32">
        <v>4301011826</v>
      </c>
      <c r="D250" s="130">
        <v>4680115884137</v>
      </c>
      <c r="E250" s="130"/>
      <c r="F250" s="33">
        <v>1.45</v>
      </c>
      <c r="G250" s="34">
        <v>8</v>
      </c>
      <c r="H250" s="33">
        <v>11.6</v>
      </c>
      <c r="I250" s="33">
        <v>12.01</v>
      </c>
      <c r="J250" s="34">
        <v>64</v>
      </c>
      <c r="K250" s="34" t="s">
        <v>118</v>
      </c>
      <c r="L250" s="34" t="s">
        <v>20</v>
      </c>
      <c r="M250" s="43" t="s">
        <v>119</v>
      </c>
      <c r="N250" s="43"/>
      <c r="O250" s="34">
        <v>55</v>
      </c>
      <c r="P250" s="13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50" s="132"/>
      <c r="R250" s="132"/>
      <c r="S250" s="132"/>
      <c r="T250" s="133"/>
      <c r="U250" s="59" t="s">
        <v>20</v>
      </c>
      <c r="V250" s="59" t="s">
        <v>20</v>
      </c>
      <c r="W250" s="60" t="s">
        <v>69</v>
      </c>
      <c r="X250" s="61">
        <v>0</v>
      </c>
      <c r="Y250" s="67">
        <f t="shared" ref="Y250:Y256" si="32">IFERROR(IF(X250="",0,CEILING((X250/$H250),1)*$H250),"")</f>
        <v>0</v>
      </c>
      <c r="Z250" s="68" t="str">
        <f>IFERROR(IF(Y250=0,"",ROUNDUP(Y250/H250,0)*0.01898),"")</f>
        <v/>
      </c>
      <c r="AA250" s="69" t="s">
        <v>20</v>
      </c>
      <c r="AB250" s="70" t="s">
        <v>20</v>
      </c>
      <c r="AC250" s="71" t="s">
        <v>415</v>
      </c>
      <c r="AG250" s="74"/>
      <c r="AJ250" s="75" t="s">
        <v>20</v>
      </c>
      <c r="AK250" s="75">
        <v>0</v>
      </c>
      <c r="BB250" s="77" t="s">
        <v>1</v>
      </c>
      <c r="BM250" s="74">
        <f t="shared" ref="BM250:BM256" si="33">IFERROR(X250*I250/H250,"0")</f>
        <v>0</v>
      </c>
      <c r="BN250" s="74">
        <f t="shared" ref="BN250:BN256" si="34">IFERROR(Y250*I250/H250,"0")</f>
        <v>0</v>
      </c>
      <c r="BO250" s="74">
        <f t="shared" ref="BO250:BO256" si="35">IFERROR(1/J250*(X250/H250),"0")</f>
        <v>0</v>
      </c>
      <c r="BP250" s="74">
        <f t="shared" ref="BP250:BP256" si="36">IFERROR(1/J250*(Y250/H250),"0")</f>
        <v>0</v>
      </c>
    </row>
    <row r="251" spans="1:68" ht="27" hidden="1" customHeight="1" x14ac:dyDescent="0.25">
      <c r="A251" s="31" t="s">
        <v>416</v>
      </c>
      <c r="B251" s="31" t="s">
        <v>417</v>
      </c>
      <c r="C251" s="32">
        <v>4301011724</v>
      </c>
      <c r="D251" s="130">
        <v>4680115884236</v>
      </c>
      <c r="E251" s="130"/>
      <c r="F251" s="33">
        <v>1.45</v>
      </c>
      <c r="G251" s="34">
        <v>8</v>
      </c>
      <c r="H251" s="33">
        <v>11.6</v>
      </c>
      <c r="I251" s="33">
        <v>12.01</v>
      </c>
      <c r="J251" s="34">
        <v>64</v>
      </c>
      <c r="K251" s="34" t="s">
        <v>118</v>
      </c>
      <c r="L251" s="34" t="s">
        <v>20</v>
      </c>
      <c r="M251" s="43" t="s">
        <v>119</v>
      </c>
      <c r="N251" s="43"/>
      <c r="O251" s="34">
        <v>55</v>
      </c>
      <c r="P251" s="1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51" s="132"/>
      <c r="R251" s="132"/>
      <c r="S251" s="132"/>
      <c r="T251" s="133"/>
      <c r="U251" s="59" t="s">
        <v>20</v>
      </c>
      <c r="V251" s="59" t="s">
        <v>20</v>
      </c>
      <c r="W251" s="60" t="s">
        <v>69</v>
      </c>
      <c r="X251" s="61">
        <v>0</v>
      </c>
      <c r="Y251" s="67">
        <f t="shared" si="32"/>
        <v>0</v>
      </c>
      <c r="Z251" s="68" t="str">
        <f>IFERROR(IF(Y251=0,"",ROUNDUP(Y251/H251,0)*0.01898),"")</f>
        <v/>
      </c>
      <c r="AA251" s="69" t="s">
        <v>20</v>
      </c>
      <c r="AB251" s="70" t="s">
        <v>20</v>
      </c>
      <c r="AC251" s="71" t="s">
        <v>418</v>
      </c>
      <c r="AG251" s="74"/>
      <c r="AJ251" s="75" t="s">
        <v>20</v>
      </c>
      <c r="AK251" s="75">
        <v>0</v>
      </c>
      <c r="BB251" s="77" t="s">
        <v>1</v>
      </c>
      <c r="BM251" s="74">
        <f t="shared" si="33"/>
        <v>0</v>
      </c>
      <c r="BN251" s="74">
        <f t="shared" si="34"/>
        <v>0</v>
      </c>
      <c r="BO251" s="74">
        <f t="shared" si="35"/>
        <v>0</v>
      </c>
      <c r="BP251" s="74">
        <f t="shared" si="36"/>
        <v>0</v>
      </c>
    </row>
    <row r="252" spans="1:68" ht="27" hidden="1" customHeight="1" x14ac:dyDescent="0.25">
      <c r="A252" s="31" t="s">
        <v>419</v>
      </c>
      <c r="B252" s="31" t="s">
        <v>420</v>
      </c>
      <c r="C252" s="32">
        <v>4301011721</v>
      </c>
      <c r="D252" s="130">
        <v>4680115884175</v>
      </c>
      <c r="E252" s="130"/>
      <c r="F252" s="33">
        <v>1.45</v>
      </c>
      <c r="G252" s="34">
        <v>8</v>
      </c>
      <c r="H252" s="33">
        <v>11.6</v>
      </c>
      <c r="I252" s="33">
        <v>12.01</v>
      </c>
      <c r="J252" s="34">
        <v>64</v>
      </c>
      <c r="K252" s="34" t="s">
        <v>118</v>
      </c>
      <c r="L252" s="34" t="s">
        <v>20</v>
      </c>
      <c r="M252" s="43" t="s">
        <v>119</v>
      </c>
      <c r="N252" s="43"/>
      <c r="O252" s="34">
        <v>55</v>
      </c>
      <c r="P252" s="13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52" s="132"/>
      <c r="R252" s="132"/>
      <c r="S252" s="132"/>
      <c r="T252" s="133"/>
      <c r="U252" s="59" t="s">
        <v>20</v>
      </c>
      <c r="V252" s="59" t="s">
        <v>20</v>
      </c>
      <c r="W252" s="60" t="s">
        <v>69</v>
      </c>
      <c r="X252" s="61">
        <v>0</v>
      </c>
      <c r="Y252" s="67">
        <f t="shared" si="32"/>
        <v>0</v>
      </c>
      <c r="Z252" s="68" t="str">
        <f>IFERROR(IF(Y252=0,"",ROUNDUP(Y252/H252,0)*0.01898),"")</f>
        <v/>
      </c>
      <c r="AA252" s="69" t="s">
        <v>20</v>
      </c>
      <c r="AB252" s="70" t="s">
        <v>20</v>
      </c>
      <c r="AC252" s="71" t="s">
        <v>421</v>
      </c>
      <c r="AG252" s="74"/>
      <c r="AJ252" s="75" t="s">
        <v>20</v>
      </c>
      <c r="AK252" s="75">
        <v>0</v>
      </c>
      <c r="BB252" s="77" t="s">
        <v>1</v>
      </c>
      <c r="BM252" s="74">
        <f t="shared" si="33"/>
        <v>0</v>
      </c>
      <c r="BN252" s="74">
        <f t="shared" si="34"/>
        <v>0</v>
      </c>
      <c r="BO252" s="74">
        <f t="shared" si="35"/>
        <v>0</v>
      </c>
      <c r="BP252" s="74">
        <f t="shared" si="36"/>
        <v>0</v>
      </c>
    </row>
    <row r="253" spans="1:68" ht="27" hidden="1" customHeight="1" x14ac:dyDescent="0.25">
      <c r="A253" s="31" t="s">
        <v>422</v>
      </c>
      <c r="B253" s="31" t="s">
        <v>423</v>
      </c>
      <c r="C253" s="32">
        <v>4301011824</v>
      </c>
      <c r="D253" s="130">
        <v>4680115884144</v>
      </c>
      <c r="E253" s="130"/>
      <c r="F253" s="33">
        <v>0.4</v>
      </c>
      <c r="G253" s="34">
        <v>10</v>
      </c>
      <c r="H253" s="33">
        <v>4</v>
      </c>
      <c r="I253" s="33">
        <v>4.1900000000000004</v>
      </c>
      <c r="J253" s="34">
        <v>132</v>
      </c>
      <c r="K253" s="34" t="s">
        <v>128</v>
      </c>
      <c r="L253" s="34" t="s">
        <v>20</v>
      </c>
      <c r="M253" s="43" t="s">
        <v>119</v>
      </c>
      <c r="N253" s="43"/>
      <c r="O253" s="34">
        <v>55</v>
      </c>
      <c r="P253" s="13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53" s="132"/>
      <c r="R253" s="132"/>
      <c r="S253" s="132"/>
      <c r="T253" s="133"/>
      <c r="U253" s="59" t="s">
        <v>20</v>
      </c>
      <c r="V253" s="59" t="s">
        <v>20</v>
      </c>
      <c r="W253" s="60" t="s">
        <v>69</v>
      </c>
      <c r="X253" s="61">
        <v>0</v>
      </c>
      <c r="Y253" s="67">
        <f t="shared" si="32"/>
        <v>0</v>
      </c>
      <c r="Z253" s="68" t="str">
        <f>IFERROR(IF(Y253=0,"",ROUNDUP(Y253/H253,0)*0.00902),"")</f>
        <v/>
      </c>
      <c r="AA253" s="69" t="s">
        <v>20</v>
      </c>
      <c r="AB253" s="70" t="s">
        <v>20</v>
      </c>
      <c r="AC253" s="71" t="s">
        <v>415</v>
      </c>
      <c r="AG253" s="74"/>
      <c r="AJ253" s="75" t="s">
        <v>20</v>
      </c>
      <c r="AK253" s="75">
        <v>0</v>
      </c>
      <c r="BB253" s="77" t="s">
        <v>1</v>
      </c>
      <c r="BM253" s="74">
        <f t="shared" si="33"/>
        <v>0</v>
      </c>
      <c r="BN253" s="74">
        <f t="shared" si="34"/>
        <v>0</v>
      </c>
      <c r="BO253" s="74">
        <f t="shared" si="35"/>
        <v>0</v>
      </c>
      <c r="BP253" s="74">
        <f t="shared" si="36"/>
        <v>0</v>
      </c>
    </row>
    <row r="254" spans="1:68" ht="27" hidden="1" customHeight="1" x14ac:dyDescent="0.25">
      <c r="A254" s="31" t="s">
        <v>424</v>
      </c>
      <c r="B254" s="31" t="s">
        <v>425</v>
      </c>
      <c r="C254" s="32">
        <v>4301012149</v>
      </c>
      <c r="D254" s="130">
        <v>4680115886551</v>
      </c>
      <c r="E254" s="130"/>
      <c r="F254" s="33">
        <v>0.4</v>
      </c>
      <c r="G254" s="34">
        <v>10</v>
      </c>
      <c r="H254" s="33">
        <v>4</v>
      </c>
      <c r="I254" s="33">
        <v>4.1900000000000004</v>
      </c>
      <c r="J254" s="34">
        <v>132</v>
      </c>
      <c r="K254" s="34" t="s">
        <v>128</v>
      </c>
      <c r="L254" s="34" t="s">
        <v>20</v>
      </c>
      <c r="M254" s="43" t="s">
        <v>119</v>
      </c>
      <c r="N254" s="43"/>
      <c r="O254" s="34">
        <v>55</v>
      </c>
      <c r="P254" s="1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4" s="132"/>
      <c r="R254" s="132"/>
      <c r="S254" s="132"/>
      <c r="T254" s="133"/>
      <c r="U254" s="59" t="s">
        <v>20</v>
      </c>
      <c r="V254" s="59" t="s">
        <v>20</v>
      </c>
      <c r="W254" s="60" t="s">
        <v>69</v>
      </c>
      <c r="X254" s="61">
        <v>0</v>
      </c>
      <c r="Y254" s="67">
        <f t="shared" si="32"/>
        <v>0</v>
      </c>
      <c r="Z254" s="68" t="str">
        <f>IFERROR(IF(Y254=0,"",ROUNDUP(Y254/H254,0)*0.00902),"")</f>
        <v/>
      </c>
      <c r="AA254" s="69" t="s">
        <v>20</v>
      </c>
      <c r="AB254" s="70" t="s">
        <v>20</v>
      </c>
      <c r="AC254" s="71" t="s">
        <v>426</v>
      </c>
      <c r="AG254" s="74"/>
      <c r="AJ254" s="75" t="s">
        <v>20</v>
      </c>
      <c r="AK254" s="75">
        <v>0</v>
      </c>
      <c r="BB254" s="77" t="s">
        <v>1</v>
      </c>
      <c r="BM254" s="74">
        <f t="shared" si="33"/>
        <v>0</v>
      </c>
      <c r="BN254" s="74">
        <f t="shared" si="34"/>
        <v>0</v>
      </c>
      <c r="BO254" s="74">
        <f t="shared" si="35"/>
        <v>0</v>
      </c>
      <c r="BP254" s="74">
        <f t="shared" si="36"/>
        <v>0</v>
      </c>
    </row>
    <row r="255" spans="1:68" ht="27" hidden="1" customHeight="1" x14ac:dyDescent="0.25">
      <c r="A255" s="31" t="s">
        <v>427</v>
      </c>
      <c r="B255" s="31" t="s">
        <v>428</v>
      </c>
      <c r="C255" s="32">
        <v>4301012228</v>
      </c>
      <c r="D255" s="130">
        <v>4680115887282</v>
      </c>
      <c r="E255" s="130"/>
      <c r="F255" s="33">
        <v>0.4</v>
      </c>
      <c r="G255" s="34">
        <v>6</v>
      </c>
      <c r="H255" s="33">
        <v>2.4</v>
      </c>
      <c r="I255" s="33">
        <v>2.58</v>
      </c>
      <c r="J255" s="34">
        <v>182</v>
      </c>
      <c r="K255" s="34" t="s">
        <v>67</v>
      </c>
      <c r="L255" s="34" t="s">
        <v>20</v>
      </c>
      <c r="M255" s="43" t="s">
        <v>119</v>
      </c>
      <c r="N255" s="43"/>
      <c r="O255" s="34">
        <v>55</v>
      </c>
      <c r="P255" s="1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5" s="132"/>
      <c r="R255" s="132"/>
      <c r="S255" s="132"/>
      <c r="T255" s="133"/>
      <c r="U255" s="59" t="s">
        <v>20</v>
      </c>
      <c r="V255" s="59" t="s">
        <v>20</v>
      </c>
      <c r="W255" s="60" t="s">
        <v>69</v>
      </c>
      <c r="X255" s="61">
        <v>0</v>
      </c>
      <c r="Y255" s="67">
        <f t="shared" si="32"/>
        <v>0</v>
      </c>
      <c r="Z255" s="68" t="str">
        <f>IFERROR(IF(Y255=0,"",ROUNDUP(Y255/H255,0)*0.00651),"")</f>
        <v/>
      </c>
      <c r="AA255" s="69" t="s">
        <v>20</v>
      </c>
      <c r="AB255" s="70" t="s">
        <v>20</v>
      </c>
      <c r="AC255" s="71" t="s">
        <v>429</v>
      </c>
      <c r="AG255" s="74"/>
      <c r="AJ255" s="75" t="s">
        <v>20</v>
      </c>
      <c r="AK255" s="75">
        <v>0</v>
      </c>
      <c r="BB255" s="77" t="s">
        <v>1</v>
      </c>
      <c r="BM255" s="74">
        <f t="shared" si="33"/>
        <v>0</v>
      </c>
      <c r="BN255" s="74">
        <f t="shared" si="34"/>
        <v>0</v>
      </c>
      <c r="BO255" s="74">
        <f t="shared" si="35"/>
        <v>0</v>
      </c>
      <c r="BP255" s="74">
        <f t="shared" si="36"/>
        <v>0</v>
      </c>
    </row>
    <row r="256" spans="1:68" ht="27" hidden="1" customHeight="1" x14ac:dyDescent="0.25">
      <c r="A256" s="31" t="s">
        <v>430</v>
      </c>
      <c r="B256" s="31" t="s">
        <v>431</v>
      </c>
      <c r="C256" s="32">
        <v>4301011722</v>
      </c>
      <c r="D256" s="130">
        <v>4680115884205</v>
      </c>
      <c r="E256" s="130"/>
      <c r="F256" s="33">
        <v>0.4</v>
      </c>
      <c r="G256" s="34">
        <v>10</v>
      </c>
      <c r="H256" s="33">
        <v>4</v>
      </c>
      <c r="I256" s="33">
        <v>4.1900000000000004</v>
      </c>
      <c r="J256" s="34">
        <v>132</v>
      </c>
      <c r="K256" s="34" t="s">
        <v>128</v>
      </c>
      <c r="L256" s="34" t="s">
        <v>20</v>
      </c>
      <c r="M256" s="43" t="s">
        <v>119</v>
      </c>
      <c r="N256" s="43"/>
      <c r="O256" s="34">
        <v>55</v>
      </c>
      <c r="P256" s="1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6" s="132"/>
      <c r="R256" s="132"/>
      <c r="S256" s="132"/>
      <c r="T256" s="133"/>
      <c r="U256" s="59" t="s">
        <v>20</v>
      </c>
      <c r="V256" s="59" t="s">
        <v>20</v>
      </c>
      <c r="W256" s="60" t="s">
        <v>69</v>
      </c>
      <c r="X256" s="61">
        <v>0</v>
      </c>
      <c r="Y256" s="67">
        <f t="shared" si="32"/>
        <v>0</v>
      </c>
      <c r="Z256" s="68" t="str">
        <f>IFERROR(IF(Y256=0,"",ROUNDUP(Y256/H256,0)*0.00902),"")</f>
        <v/>
      </c>
      <c r="AA256" s="69" t="s">
        <v>20</v>
      </c>
      <c r="AB256" s="70" t="s">
        <v>20</v>
      </c>
      <c r="AC256" s="71" t="s">
        <v>421</v>
      </c>
      <c r="AG256" s="74"/>
      <c r="AJ256" s="75" t="s">
        <v>20</v>
      </c>
      <c r="AK256" s="75">
        <v>0</v>
      </c>
      <c r="BB256" s="77" t="s">
        <v>1</v>
      </c>
      <c r="BM256" s="74">
        <f t="shared" si="33"/>
        <v>0</v>
      </c>
      <c r="BN256" s="74">
        <f t="shared" si="34"/>
        <v>0</v>
      </c>
      <c r="BO256" s="74">
        <f t="shared" si="35"/>
        <v>0</v>
      </c>
      <c r="BP256" s="74">
        <f t="shared" si="36"/>
        <v>0</v>
      </c>
    </row>
    <row r="257" spans="1:68" hidden="1" x14ac:dyDescent="0.2">
      <c r="A257" s="146"/>
      <c r="B257" s="146"/>
      <c r="C257" s="146"/>
      <c r="D257" s="146"/>
      <c r="E257" s="146"/>
      <c r="F257" s="146"/>
      <c r="G257" s="146"/>
      <c r="H257" s="146"/>
      <c r="I257" s="146"/>
      <c r="J257" s="146"/>
      <c r="K257" s="146"/>
      <c r="L257" s="146"/>
      <c r="M257" s="146"/>
      <c r="N257" s="146"/>
      <c r="O257" s="147"/>
      <c r="P257" s="142" t="s">
        <v>75</v>
      </c>
      <c r="Q257" s="143"/>
      <c r="R257" s="143"/>
      <c r="S257" s="143"/>
      <c r="T257" s="143"/>
      <c r="U257" s="143"/>
      <c r="V257" s="144"/>
      <c r="W257" s="62" t="s">
        <v>76</v>
      </c>
      <c r="X257" s="63">
        <f>IFERROR(X250/H250,"0")+IFERROR(X251/H251,"0")+IFERROR(X252/H252,"0")+IFERROR(X253/H253,"0")+IFERROR(X254/H254,"0")+IFERROR(X255/H255,"0")+IFERROR(X256/H256,"0")</f>
        <v>0</v>
      </c>
      <c r="Y257" s="63">
        <f>IFERROR(Y250/H250,"0")+IFERROR(Y251/H251,"0")+IFERROR(Y252/H252,"0")+IFERROR(Y253/H253,"0")+IFERROR(Y254/H254,"0")+IFERROR(Y255/H255,"0")+IFERROR(Y256/H256,"0")</f>
        <v>0</v>
      </c>
      <c r="Z257" s="63">
        <f>IFERROR(IF(Z250="",0,Z250),"0")+IFERROR(IF(Z251="",0,Z251),"0")+IFERROR(IF(Z252="",0,Z252),"0")+IFERROR(IF(Z253="",0,Z253),"0")+IFERROR(IF(Z254="",0,Z254),"0")+IFERROR(IF(Z255="",0,Z255),"0")+IFERROR(IF(Z256="",0,Z256),"0")</f>
        <v>0</v>
      </c>
      <c r="AA257" s="72"/>
      <c r="AB257" s="72"/>
      <c r="AC257" s="72"/>
    </row>
    <row r="258" spans="1:68" hidden="1" x14ac:dyDescent="0.2">
      <c r="A258" s="146"/>
      <c r="B258" s="146"/>
      <c r="C258" s="146"/>
      <c r="D258" s="146"/>
      <c r="E258" s="146"/>
      <c r="F258" s="146"/>
      <c r="G258" s="146"/>
      <c r="H258" s="146"/>
      <c r="I258" s="146"/>
      <c r="J258" s="146"/>
      <c r="K258" s="146"/>
      <c r="L258" s="146"/>
      <c r="M258" s="146"/>
      <c r="N258" s="146"/>
      <c r="O258" s="147"/>
      <c r="P258" s="142" t="s">
        <v>75</v>
      </c>
      <c r="Q258" s="143"/>
      <c r="R258" s="143"/>
      <c r="S258" s="143"/>
      <c r="T258" s="143"/>
      <c r="U258" s="143"/>
      <c r="V258" s="144"/>
      <c r="W258" s="62" t="s">
        <v>69</v>
      </c>
      <c r="X258" s="63">
        <f>IFERROR(SUM(X250:X256),"0")</f>
        <v>0</v>
      </c>
      <c r="Y258" s="63">
        <f>IFERROR(SUM(Y250:Y256),"0")</f>
        <v>0</v>
      </c>
      <c r="Z258" s="62"/>
      <c r="AA258" s="72"/>
      <c r="AB258" s="72"/>
      <c r="AC258" s="72"/>
    </row>
    <row r="259" spans="1:68" ht="14.25" hidden="1" customHeight="1" x14ac:dyDescent="0.25">
      <c r="A259" s="129" t="s">
        <v>154</v>
      </c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30"/>
      <c r="AB259" s="30"/>
      <c r="AC259" s="30"/>
    </row>
    <row r="260" spans="1:68" ht="27" hidden="1" customHeight="1" x14ac:dyDescent="0.25">
      <c r="A260" s="31" t="s">
        <v>432</v>
      </c>
      <c r="B260" s="31" t="s">
        <v>433</v>
      </c>
      <c r="C260" s="32">
        <v>4301020377</v>
      </c>
      <c r="D260" s="130">
        <v>4680115885981</v>
      </c>
      <c r="E260" s="130"/>
      <c r="F260" s="33">
        <v>0.33</v>
      </c>
      <c r="G260" s="34">
        <v>6</v>
      </c>
      <c r="H260" s="33">
        <v>1.98</v>
      </c>
      <c r="I260" s="33">
        <v>2.08</v>
      </c>
      <c r="J260" s="34">
        <v>234</v>
      </c>
      <c r="K260" s="34" t="s">
        <v>73</v>
      </c>
      <c r="L260" s="34" t="s">
        <v>20</v>
      </c>
      <c r="M260" s="43" t="s">
        <v>86</v>
      </c>
      <c r="N260" s="43"/>
      <c r="O260" s="34">
        <v>50</v>
      </c>
      <c r="P260" s="1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60" s="132"/>
      <c r="R260" s="132"/>
      <c r="S260" s="132"/>
      <c r="T260" s="133"/>
      <c r="U260" s="59" t="s">
        <v>20</v>
      </c>
      <c r="V260" s="59" t="s">
        <v>20</v>
      </c>
      <c r="W260" s="60" t="s">
        <v>69</v>
      </c>
      <c r="X260" s="61">
        <v>0</v>
      </c>
      <c r="Y260" s="67">
        <f>IFERROR(IF(X260="",0,CEILING((X260/$H260),1)*$H260),"")</f>
        <v>0</v>
      </c>
      <c r="Z260" s="68" t="str">
        <f>IFERROR(IF(Y260=0,"",ROUNDUP(Y260/H260,0)*0.00502),"")</f>
        <v/>
      </c>
      <c r="AA260" s="69" t="s">
        <v>20</v>
      </c>
      <c r="AB260" s="70" t="s">
        <v>20</v>
      </c>
      <c r="AC260" s="71" t="s">
        <v>434</v>
      </c>
      <c r="AG260" s="74"/>
      <c r="AJ260" s="75" t="s">
        <v>20</v>
      </c>
      <c r="AK260" s="75">
        <v>0</v>
      </c>
      <c r="BB260" s="77" t="s">
        <v>1</v>
      </c>
      <c r="BM260" s="74">
        <f>IFERROR(X260*I260/H260,"0")</f>
        <v>0</v>
      </c>
      <c r="BN260" s="74">
        <f>IFERROR(Y260*I260/H260,"0")</f>
        <v>0</v>
      </c>
      <c r="BO260" s="74">
        <f>IFERROR(1/J260*(X260/H260),"0")</f>
        <v>0</v>
      </c>
      <c r="BP260" s="74">
        <f>IFERROR(1/J260*(Y260/H260),"0")</f>
        <v>0</v>
      </c>
    </row>
    <row r="261" spans="1:68" hidden="1" x14ac:dyDescent="0.2">
      <c r="A261" s="146"/>
      <c r="B261" s="146"/>
      <c r="C261" s="146"/>
      <c r="D261" s="146"/>
      <c r="E261" s="146"/>
      <c r="F261" s="146"/>
      <c r="G261" s="146"/>
      <c r="H261" s="146"/>
      <c r="I261" s="146"/>
      <c r="J261" s="146"/>
      <c r="K261" s="146"/>
      <c r="L261" s="146"/>
      <c r="M261" s="146"/>
      <c r="N261" s="146"/>
      <c r="O261" s="147"/>
      <c r="P261" s="142" t="s">
        <v>75</v>
      </c>
      <c r="Q261" s="143"/>
      <c r="R261" s="143"/>
      <c r="S261" s="143"/>
      <c r="T261" s="143"/>
      <c r="U261" s="143"/>
      <c r="V261" s="144"/>
      <c r="W261" s="62" t="s">
        <v>76</v>
      </c>
      <c r="X261" s="63">
        <f>IFERROR(X260/H260,"0")</f>
        <v>0</v>
      </c>
      <c r="Y261" s="63">
        <f>IFERROR(Y260/H260,"0")</f>
        <v>0</v>
      </c>
      <c r="Z261" s="63">
        <f>IFERROR(IF(Z260="",0,Z260),"0")</f>
        <v>0</v>
      </c>
      <c r="AA261" s="72"/>
      <c r="AB261" s="72"/>
      <c r="AC261" s="72"/>
    </row>
    <row r="262" spans="1:68" hidden="1" x14ac:dyDescent="0.2">
      <c r="A262" s="146"/>
      <c r="B262" s="146"/>
      <c r="C262" s="146"/>
      <c r="D262" s="146"/>
      <c r="E262" s="146"/>
      <c r="F262" s="146"/>
      <c r="G262" s="146"/>
      <c r="H262" s="146"/>
      <c r="I262" s="146"/>
      <c r="J262" s="146"/>
      <c r="K262" s="146"/>
      <c r="L262" s="146"/>
      <c r="M262" s="146"/>
      <c r="N262" s="146"/>
      <c r="O262" s="147"/>
      <c r="P262" s="142" t="s">
        <v>75</v>
      </c>
      <c r="Q262" s="143"/>
      <c r="R262" s="143"/>
      <c r="S262" s="143"/>
      <c r="T262" s="143"/>
      <c r="U262" s="143"/>
      <c r="V262" s="144"/>
      <c r="W262" s="62" t="s">
        <v>69</v>
      </c>
      <c r="X262" s="63">
        <f>IFERROR(SUM(X260:X260),"0")</f>
        <v>0</v>
      </c>
      <c r="Y262" s="63">
        <f>IFERROR(SUM(Y260:Y260),"0")</f>
        <v>0</v>
      </c>
      <c r="Z262" s="62"/>
      <c r="AA262" s="72"/>
      <c r="AB262" s="72"/>
      <c r="AC262" s="72"/>
    </row>
    <row r="263" spans="1:68" ht="14.25" hidden="1" customHeight="1" x14ac:dyDescent="0.25">
      <c r="A263" s="129" t="s">
        <v>435</v>
      </c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30"/>
      <c r="AB263" s="30"/>
      <c r="AC263" s="30"/>
    </row>
    <row r="264" spans="1:68" ht="27" hidden="1" customHeight="1" x14ac:dyDescent="0.25">
      <c r="A264" s="31" t="s">
        <v>436</v>
      </c>
      <c r="B264" s="31" t="s">
        <v>437</v>
      </c>
      <c r="C264" s="32">
        <v>4301040362</v>
      </c>
      <c r="D264" s="130">
        <v>4680115886803</v>
      </c>
      <c r="E264" s="130"/>
      <c r="F264" s="33">
        <v>0.12</v>
      </c>
      <c r="G264" s="34">
        <v>15</v>
      </c>
      <c r="H264" s="33">
        <v>1.8</v>
      </c>
      <c r="I264" s="33">
        <v>1.9750000000000001</v>
      </c>
      <c r="J264" s="34">
        <v>216</v>
      </c>
      <c r="K264" s="34" t="s">
        <v>341</v>
      </c>
      <c r="L264" s="34" t="s">
        <v>20</v>
      </c>
      <c r="M264" s="43" t="s">
        <v>342</v>
      </c>
      <c r="N264" s="43"/>
      <c r="O264" s="34">
        <v>45</v>
      </c>
      <c r="P264" s="13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4" s="132"/>
      <c r="R264" s="132"/>
      <c r="S264" s="132"/>
      <c r="T264" s="133"/>
      <c r="U264" s="59" t="s">
        <v>20</v>
      </c>
      <c r="V264" s="59" t="s">
        <v>20</v>
      </c>
      <c r="W264" s="60" t="s">
        <v>69</v>
      </c>
      <c r="X264" s="61">
        <v>0</v>
      </c>
      <c r="Y264" s="67">
        <f>IFERROR(IF(X264="",0,CEILING((X264/$H264),1)*$H264),"")</f>
        <v>0</v>
      </c>
      <c r="Z264" s="68" t="str">
        <f>IFERROR(IF(Y264=0,"",ROUNDUP(Y264/H264,0)*0.0059),"")</f>
        <v/>
      </c>
      <c r="AA264" s="69" t="s">
        <v>20</v>
      </c>
      <c r="AB264" s="70" t="s">
        <v>20</v>
      </c>
      <c r="AC264" s="71" t="s">
        <v>438</v>
      </c>
      <c r="AG264" s="74"/>
      <c r="AJ264" s="75" t="s">
        <v>20</v>
      </c>
      <c r="AK264" s="75">
        <v>0</v>
      </c>
      <c r="BB264" s="77" t="s">
        <v>1</v>
      </c>
      <c r="BM264" s="74">
        <f>IFERROR(X264*I264/H264,"0")</f>
        <v>0</v>
      </c>
      <c r="BN264" s="74">
        <f>IFERROR(Y264*I264/H264,"0")</f>
        <v>0</v>
      </c>
      <c r="BO264" s="74">
        <f>IFERROR(1/J264*(X264/H264),"0")</f>
        <v>0</v>
      </c>
      <c r="BP264" s="74">
        <f>IFERROR(1/J264*(Y264/H264),"0")</f>
        <v>0</v>
      </c>
    </row>
    <row r="265" spans="1:68" hidden="1" x14ac:dyDescent="0.2">
      <c r="A265" s="146"/>
      <c r="B265" s="146"/>
      <c r="C265" s="146"/>
      <c r="D265" s="146"/>
      <c r="E265" s="146"/>
      <c r="F265" s="146"/>
      <c r="G265" s="146"/>
      <c r="H265" s="146"/>
      <c r="I265" s="146"/>
      <c r="J265" s="146"/>
      <c r="K265" s="146"/>
      <c r="L265" s="146"/>
      <c r="M265" s="146"/>
      <c r="N265" s="146"/>
      <c r="O265" s="147"/>
      <c r="P265" s="142" t="s">
        <v>75</v>
      </c>
      <c r="Q265" s="143"/>
      <c r="R265" s="143"/>
      <c r="S265" s="143"/>
      <c r="T265" s="143"/>
      <c r="U265" s="143"/>
      <c r="V265" s="144"/>
      <c r="W265" s="62" t="s">
        <v>76</v>
      </c>
      <c r="X265" s="63">
        <f>IFERROR(X264/H264,"0")</f>
        <v>0</v>
      </c>
      <c r="Y265" s="63">
        <f>IFERROR(Y264/H264,"0")</f>
        <v>0</v>
      </c>
      <c r="Z265" s="63">
        <f>IFERROR(IF(Z264="",0,Z264),"0")</f>
        <v>0</v>
      </c>
      <c r="AA265" s="72"/>
      <c r="AB265" s="72"/>
      <c r="AC265" s="72"/>
    </row>
    <row r="266" spans="1:68" hidden="1" x14ac:dyDescent="0.2">
      <c r="A266" s="146"/>
      <c r="B266" s="146"/>
      <c r="C266" s="146"/>
      <c r="D266" s="146"/>
      <c r="E266" s="146"/>
      <c r="F266" s="146"/>
      <c r="G266" s="146"/>
      <c r="H266" s="146"/>
      <c r="I266" s="146"/>
      <c r="J266" s="146"/>
      <c r="K266" s="146"/>
      <c r="L266" s="146"/>
      <c r="M266" s="146"/>
      <c r="N266" s="146"/>
      <c r="O266" s="147"/>
      <c r="P266" s="142" t="s">
        <v>75</v>
      </c>
      <c r="Q266" s="143"/>
      <c r="R266" s="143"/>
      <c r="S266" s="143"/>
      <c r="T266" s="143"/>
      <c r="U266" s="143"/>
      <c r="V266" s="144"/>
      <c r="W266" s="62" t="s">
        <v>69</v>
      </c>
      <c r="X266" s="63">
        <f>IFERROR(SUM(X264:X264),"0")</f>
        <v>0</v>
      </c>
      <c r="Y266" s="63">
        <f>IFERROR(SUM(Y264:Y264),"0")</f>
        <v>0</v>
      </c>
      <c r="Z266" s="62"/>
      <c r="AA266" s="72"/>
      <c r="AB266" s="72"/>
      <c r="AC266" s="72"/>
    </row>
    <row r="267" spans="1:68" ht="14.25" hidden="1" customHeight="1" x14ac:dyDescent="0.25">
      <c r="A267" s="129" t="s">
        <v>439</v>
      </c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30"/>
      <c r="AB267" s="30"/>
      <c r="AC267" s="30"/>
    </row>
    <row r="268" spans="1:68" ht="27" hidden="1" customHeight="1" x14ac:dyDescent="0.25">
      <c r="A268" s="31" t="s">
        <v>440</v>
      </c>
      <c r="B268" s="31" t="s">
        <v>441</v>
      </c>
      <c r="C268" s="32">
        <v>4301041004</v>
      </c>
      <c r="D268" s="130">
        <v>4680115886704</v>
      </c>
      <c r="E268" s="130"/>
      <c r="F268" s="33">
        <v>5.5E-2</v>
      </c>
      <c r="G268" s="34">
        <v>18</v>
      </c>
      <c r="H268" s="33">
        <v>0.99</v>
      </c>
      <c r="I268" s="33">
        <v>1.18</v>
      </c>
      <c r="J268" s="34">
        <v>216</v>
      </c>
      <c r="K268" s="34" t="s">
        <v>341</v>
      </c>
      <c r="L268" s="34" t="s">
        <v>20</v>
      </c>
      <c r="M268" s="43" t="s">
        <v>342</v>
      </c>
      <c r="N268" s="43"/>
      <c r="O268" s="34">
        <v>90</v>
      </c>
      <c r="P268" s="13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8" s="132"/>
      <c r="R268" s="132"/>
      <c r="S268" s="132"/>
      <c r="T268" s="133"/>
      <c r="U268" s="59" t="s">
        <v>20</v>
      </c>
      <c r="V268" s="59" t="s">
        <v>20</v>
      </c>
      <c r="W268" s="60" t="s">
        <v>69</v>
      </c>
      <c r="X268" s="61">
        <v>0</v>
      </c>
      <c r="Y268" s="67">
        <f>IFERROR(IF(X268="",0,CEILING((X268/$H268),1)*$H268),"")</f>
        <v>0</v>
      </c>
      <c r="Z268" s="68" t="str">
        <f>IFERROR(IF(Y268=0,"",ROUNDUP(Y268/H268,0)*0.0059),"")</f>
        <v/>
      </c>
      <c r="AA268" s="69" t="s">
        <v>20</v>
      </c>
      <c r="AB268" s="70" t="s">
        <v>20</v>
      </c>
      <c r="AC268" s="71" t="s">
        <v>442</v>
      </c>
      <c r="AG268" s="74"/>
      <c r="AJ268" s="75" t="s">
        <v>20</v>
      </c>
      <c r="AK268" s="75">
        <v>0</v>
      </c>
      <c r="BB268" s="77" t="s">
        <v>1</v>
      </c>
      <c r="BM268" s="74">
        <f>IFERROR(X268*I268/H268,"0")</f>
        <v>0</v>
      </c>
      <c r="BN268" s="74">
        <f>IFERROR(Y268*I268/H268,"0")</f>
        <v>0</v>
      </c>
      <c r="BO268" s="74">
        <f>IFERROR(1/J268*(X268/H268),"0")</f>
        <v>0</v>
      </c>
      <c r="BP268" s="74">
        <f>IFERROR(1/J268*(Y268/H268),"0")</f>
        <v>0</v>
      </c>
    </row>
    <row r="269" spans="1:68" ht="27" hidden="1" customHeight="1" x14ac:dyDescent="0.25">
      <c r="A269" s="31" t="s">
        <v>443</v>
      </c>
      <c r="B269" s="31" t="s">
        <v>444</v>
      </c>
      <c r="C269" s="32">
        <v>4301041008</v>
      </c>
      <c r="D269" s="130">
        <v>4680115886681</v>
      </c>
      <c r="E269" s="130"/>
      <c r="F269" s="33">
        <v>0.12</v>
      </c>
      <c r="G269" s="34">
        <v>15</v>
      </c>
      <c r="H269" s="33">
        <v>1.8</v>
      </c>
      <c r="I269" s="33">
        <v>1.9750000000000001</v>
      </c>
      <c r="J269" s="34">
        <v>216</v>
      </c>
      <c r="K269" s="34" t="s">
        <v>341</v>
      </c>
      <c r="L269" s="34" t="s">
        <v>20</v>
      </c>
      <c r="M269" s="43" t="s">
        <v>342</v>
      </c>
      <c r="N269" s="43"/>
      <c r="O269" s="34">
        <v>90</v>
      </c>
      <c r="P269" s="13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9" s="132"/>
      <c r="R269" s="132"/>
      <c r="S269" s="132"/>
      <c r="T269" s="133"/>
      <c r="U269" s="59" t="s">
        <v>20</v>
      </c>
      <c r="V269" s="59" t="s">
        <v>20</v>
      </c>
      <c r="W269" s="60" t="s">
        <v>69</v>
      </c>
      <c r="X269" s="61">
        <v>0</v>
      </c>
      <c r="Y269" s="67">
        <f>IFERROR(IF(X269="",0,CEILING((X269/$H269),1)*$H269),"")</f>
        <v>0</v>
      </c>
      <c r="Z269" s="68" t="str">
        <f>IFERROR(IF(Y269=0,"",ROUNDUP(Y269/H269,0)*0.0059),"")</f>
        <v/>
      </c>
      <c r="AA269" s="69" t="s">
        <v>20</v>
      </c>
      <c r="AB269" s="70" t="s">
        <v>20</v>
      </c>
      <c r="AC269" s="71" t="s">
        <v>442</v>
      </c>
      <c r="AG269" s="74"/>
      <c r="AJ269" s="75" t="s">
        <v>20</v>
      </c>
      <c r="AK269" s="75">
        <v>0</v>
      </c>
      <c r="BB269" s="77" t="s">
        <v>1</v>
      </c>
      <c r="BM269" s="74">
        <f>IFERROR(X269*I269/H269,"0")</f>
        <v>0</v>
      </c>
      <c r="BN269" s="74">
        <f>IFERROR(Y269*I269/H269,"0")</f>
        <v>0</v>
      </c>
      <c r="BO269" s="74">
        <f>IFERROR(1/J269*(X269/H269),"0")</f>
        <v>0</v>
      </c>
      <c r="BP269" s="74">
        <f>IFERROR(1/J269*(Y269/H269),"0")</f>
        <v>0</v>
      </c>
    </row>
    <row r="270" spans="1:68" ht="27" hidden="1" customHeight="1" x14ac:dyDescent="0.25">
      <c r="A270" s="31" t="s">
        <v>445</v>
      </c>
      <c r="B270" s="31" t="s">
        <v>446</v>
      </c>
      <c r="C270" s="32">
        <v>4301041007</v>
      </c>
      <c r="D270" s="130">
        <v>4680115886735</v>
      </c>
      <c r="E270" s="130"/>
      <c r="F270" s="33">
        <v>0.05</v>
      </c>
      <c r="G270" s="34">
        <v>18</v>
      </c>
      <c r="H270" s="33">
        <v>0.9</v>
      </c>
      <c r="I270" s="33">
        <v>1.0900000000000001</v>
      </c>
      <c r="J270" s="34">
        <v>216</v>
      </c>
      <c r="K270" s="34" t="s">
        <v>341</v>
      </c>
      <c r="L270" s="34" t="s">
        <v>20</v>
      </c>
      <c r="M270" s="43" t="s">
        <v>342</v>
      </c>
      <c r="N270" s="43"/>
      <c r="O270" s="34">
        <v>90</v>
      </c>
      <c r="P270" s="13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70" s="132"/>
      <c r="R270" s="132"/>
      <c r="S270" s="132"/>
      <c r="T270" s="133"/>
      <c r="U270" s="59" t="s">
        <v>20</v>
      </c>
      <c r="V270" s="59" t="s">
        <v>20</v>
      </c>
      <c r="W270" s="60" t="s">
        <v>69</v>
      </c>
      <c r="X270" s="61">
        <v>0</v>
      </c>
      <c r="Y270" s="67">
        <f>IFERROR(IF(X270="",0,CEILING((X270/$H270),1)*$H270),"")</f>
        <v>0</v>
      </c>
      <c r="Z270" s="68" t="str">
        <f>IFERROR(IF(Y270=0,"",ROUNDUP(Y270/H270,0)*0.0059),"")</f>
        <v/>
      </c>
      <c r="AA270" s="69" t="s">
        <v>20</v>
      </c>
      <c r="AB270" s="70" t="s">
        <v>20</v>
      </c>
      <c r="AC270" s="71" t="s">
        <v>442</v>
      </c>
      <c r="AG270" s="74"/>
      <c r="AJ270" s="75" t="s">
        <v>20</v>
      </c>
      <c r="AK270" s="75">
        <v>0</v>
      </c>
      <c r="BB270" s="77" t="s">
        <v>1</v>
      </c>
      <c r="BM270" s="74">
        <f>IFERROR(X270*I270/H270,"0")</f>
        <v>0</v>
      </c>
      <c r="BN270" s="74">
        <f>IFERROR(Y270*I270/H270,"0")</f>
        <v>0</v>
      </c>
      <c r="BO270" s="74">
        <f>IFERROR(1/J270*(X270/H270),"0")</f>
        <v>0</v>
      </c>
      <c r="BP270" s="74">
        <f>IFERROR(1/J270*(Y270/H270),"0")</f>
        <v>0</v>
      </c>
    </row>
    <row r="271" spans="1:68" ht="27" hidden="1" customHeight="1" x14ac:dyDescent="0.25">
      <c r="A271" s="31" t="s">
        <v>447</v>
      </c>
      <c r="B271" s="31" t="s">
        <v>448</v>
      </c>
      <c r="C271" s="32">
        <v>4301041006</v>
      </c>
      <c r="D271" s="130">
        <v>4680115886728</v>
      </c>
      <c r="E271" s="130"/>
      <c r="F271" s="33">
        <v>5.5E-2</v>
      </c>
      <c r="G271" s="34">
        <v>18</v>
      </c>
      <c r="H271" s="33">
        <v>0.99</v>
      </c>
      <c r="I271" s="33">
        <v>1.18</v>
      </c>
      <c r="J271" s="34">
        <v>216</v>
      </c>
      <c r="K271" s="34" t="s">
        <v>341</v>
      </c>
      <c r="L271" s="34" t="s">
        <v>20</v>
      </c>
      <c r="M271" s="43" t="s">
        <v>342</v>
      </c>
      <c r="N271" s="43"/>
      <c r="O271" s="34">
        <v>90</v>
      </c>
      <c r="P271" s="13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71" s="132"/>
      <c r="R271" s="132"/>
      <c r="S271" s="132"/>
      <c r="T271" s="133"/>
      <c r="U271" s="59" t="s">
        <v>20</v>
      </c>
      <c r="V271" s="59" t="s">
        <v>20</v>
      </c>
      <c r="W271" s="60" t="s">
        <v>69</v>
      </c>
      <c r="X271" s="61">
        <v>0</v>
      </c>
      <c r="Y271" s="67">
        <f>IFERROR(IF(X271="",0,CEILING((X271/$H271),1)*$H271),"")</f>
        <v>0</v>
      </c>
      <c r="Z271" s="68" t="str">
        <f>IFERROR(IF(Y271=0,"",ROUNDUP(Y271/H271,0)*0.0059),"")</f>
        <v/>
      </c>
      <c r="AA271" s="69" t="s">
        <v>20</v>
      </c>
      <c r="AB271" s="70" t="s">
        <v>20</v>
      </c>
      <c r="AC271" s="71" t="s">
        <v>442</v>
      </c>
      <c r="AG271" s="74"/>
      <c r="AJ271" s="75" t="s">
        <v>20</v>
      </c>
      <c r="AK271" s="75">
        <v>0</v>
      </c>
      <c r="BB271" s="77" t="s">
        <v>1</v>
      </c>
      <c r="BM271" s="74">
        <f>IFERROR(X271*I271/H271,"0")</f>
        <v>0</v>
      </c>
      <c r="BN271" s="74">
        <f>IFERROR(Y271*I271/H271,"0")</f>
        <v>0</v>
      </c>
      <c r="BO271" s="74">
        <f>IFERROR(1/J271*(X271/H271),"0")</f>
        <v>0</v>
      </c>
      <c r="BP271" s="74">
        <f>IFERROR(1/J271*(Y271/H271),"0")</f>
        <v>0</v>
      </c>
    </row>
    <row r="272" spans="1:68" ht="27" hidden="1" customHeight="1" x14ac:dyDescent="0.25">
      <c r="A272" s="31" t="s">
        <v>449</v>
      </c>
      <c r="B272" s="31" t="s">
        <v>450</v>
      </c>
      <c r="C272" s="32">
        <v>4301041005</v>
      </c>
      <c r="D272" s="130">
        <v>4680115886711</v>
      </c>
      <c r="E272" s="130"/>
      <c r="F272" s="33">
        <v>5.5E-2</v>
      </c>
      <c r="G272" s="34">
        <v>18</v>
      </c>
      <c r="H272" s="33">
        <v>0.99</v>
      </c>
      <c r="I272" s="33">
        <v>1.18</v>
      </c>
      <c r="J272" s="34">
        <v>216</v>
      </c>
      <c r="K272" s="34" t="s">
        <v>341</v>
      </c>
      <c r="L272" s="34" t="s">
        <v>20</v>
      </c>
      <c r="M272" s="43" t="s">
        <v>342</v>
      </c>
      <c r="N272" s="43"/>
      <c r="O272" s="34">
        <v>90</v>
      </c>
      <c r="P272" s="13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72" s="132"/>
      <c r="R272" s="132"/>
      <c r="S272" s="132"/>
      <c r="T272" s="133"/>
      <c r="U272" s="59" t="s">
        <v>20</v>
      </c>
      <c r="V272" s="59" t="s">
        <v>20</v>
      </c>
      <c r="W272" s="60" t="s">
        <v>69</v>
      </c>
      <c r="X272" s="61">
        <v>0</v>
      </c>
      <c r="Y272" s="67">
        <f>IFERROR(IF(X272="",0,CEILING((X272/$H272),1)*$H272),"")</f>
        <v>0</v>
      </c>
      <c r="Z272" s="68" t="str">
        <f>IFERROR(IF(Y272=0,"",ROUNDUP(Y272/H272,0)*0.0059),"")</f>
        <v/>
      </c>
      <c r="AA272" s="69" t="s">
        <v>20</v>
      </c>
      <c r="AB272" s="70" t="s">
        <v>20</v>
      </c>
      <c r="AC272" s="71" t="s">
        <v>442</v>
      </c>
      <c r="AG272" s="74"/>
      <c r="AJ272" s="75" t="s">
        <v>20</v>
      </c>
      <c r="AK272" s="75">
        <v>0</v>
      </c>
      <c r="BB272" s="77" t="s">
        <v>1</v>
      </c>
      <c r="BM272" s="74">
        <f>IFERROR(X272*I272/H272,"0")</f>
        <v>0</v>
      </c>
      <c r="BN272" s="74">
        <f>IFERROR(Y272*I272/H272,"0")</f>
        <v>0</v>
      </c>
      <c r="BO272" s="74">
        <f>IFERROR(1/J272*(X272/H272),"0")</f>
        <v>0</v>
      </c>
      <c r="BP272" s="74">
        <f>IFERROR(1/J272*(Y272/H272),"0")</f>
        <v>0</v>
      </c>
    </row>
    <row r="273" spans="1:68" hidden="1" x14ac:dyDescent="0.2">
      <c r="A273" s="146"/>
      <c r="B273" s="146"/>
      <c r="C273" s="146"/>
      <c r="D273" s="146"/>
      <c r="E273" s="146"/>
      <c r="F273" s="146"/>
      <c r="G273" s="146"/>
      <c r="H273" s="146"/>
      <c r="I273" s="146"/>
      <c r="J273" s="146"/>
      <c r="K273" s="146"/>
      <c r="L273" s="146"/>
      <c r="M273" s="146"/>
      <c r="N273" s="146"/>
      <c r="O273" s="147"/>
      <c r="P273" s="142" t="s">
        <v>75</v>
      </c>
      <c r="Q273" s="143"/>
      <c r="R273" s="143"/>
      <c r="S273" s="143"/>
      <c r="T273" s="143"/>
      <c r="U273" s="143"/>
      <c r="V273" s="144"/>
      <c r="W273" s="62" t="s">
        <v>76</v>
      </c>
      <c r="X273" s="63">
        <f>IFERROR(X268/H268,"0")+IFERROR(X269/H269,"0")+IFERROR(X270/H270,"0")+IFERROR(X271/H271,"0")+IFERROR(X272/H272,"0")</f>
        <v>0</v>
      </c>
      <c r="Y273" s="63">
        <f>IFERROR(Y268/H268,"0")+IFERROR(Y269/H269,"0")+IFERROR(Y270/H270,"0")+IFERROR(Y271/H271,"0")+IFERROR(Y272/H272,"0")</f>
        <v>0</v>
      </c>
      <c r="Z273" s="63">
        <f>IFERROR(IF(Z268="",0,Z268),"0")+IFERROR(IF(Z269="",0,Z269),"0")+IFERROR(IF(Z270="",0,Z270),"0")+IFERROR(IF(Z271="",0,Z271),"0")+IFERROR(IF(Z272="",0,Z272),"0")</f>
        <v>0</v>
      </c>
      <c r="AA273" s="72"/>
      <c r="AB273" s="72"/>
      <c r="AC273" s="72"/>
    </row>
    <row r="274" spans="1:68" hidden="1" x14ac:dyDescent="0.2">
      <c r="A274" s="146"/>
      <c r="B274" s="146"/>
      <c r="C274" s="146"/>
      <c r="D274" s="146"/>
      <c r="E274" s="146"/>
      <c r="F274" s="146"/>
      <c r="G274" s="146"/>
      <c r="H274" s="146"/>
      <c r="I274" s="146"/>
      <c r="J274" s="146"/>
      <c r="K274" s="146"/>
      <c r="L274" s="146"/>
      <c r="M274" s="146"/>
      <c r="N274" s="146"/>
      <c r="O274" s="147"/>
      <c r="P274" s="142" t="s">
        <v>75</v>
      </c>
      <c r="Q274" s="143"/>
      <c r="R274" s="143"/>
      <c r="S274" s="143"/>
      <c r="T274" s="143"/>
      <c r="U274" s="143"/>
      <c r="V274" s="144"/>
      <c r="W274" s="62" t="s">
        <v>69</v>
      </c>
      <c r="X274" s="63">
        <f>IFERROR(SUM(X268:X272),"0")</f>
        <v>0</v>
      </c>
      <c r="Y274" s="63">
        <f>IFERROR(SUM(Y268:Y272),"0")</f>
        <v>0</v>
      </c>
      <c r="Z274" s="62"/>
      <c r="AA274" s="72"/>
      <c r="AB274" s="72"/>
      <c r="AC274" s="72"/>
    </row>
    <row r="275" spans="1:68" ht="16.5" hidden="1" customHeight="1" x14ac:dyDescent="0.25">
      <c r="A275" s="128" t="s">
        <v>451</v>
      </c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29"/>
      <c r="AB275" s="29"/>
      <c r="AC275" s="29"/>
    </row>
    <row r="276" spans="1:68" ht="14.25" hidden="1" customHeight="1" x14ac:dyDescent="0.25">
      <c r="A276" s="129" t="s">
        <v>115</v>
      </c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30"/>
      <c r="AB276" s="30"/>
      <c r="AC276" s="30"/>
    </row>
    <row r="277" spans="1:68" ht="27" hidden="1" customHeight="1" x14ac:dyDescent="0.25">
      <c r="A277" s="31" t="s">
        <v>452</v>
      </c>
      <c r="B277" s="31" t="s">
        <v>453</v>
      </c>
      <c r="C277" s="32">
        <v>4301011855</v>
      </c>
      <c r="D277" s="130">
        <v>4680115885837</v>
      </c>
      <c r="E277" s="130"/>
      <c r="F277" s="33">
        <v>1.35</v>
      </c>
      <c r="G277" s="34">
        <v>8</v>
      </c>
      <c r="H277" s="33">
        <v>10.8</v>
      </c>
      <c r="I277" s="33">
        <v>11.21</v>
      </c>
      <c r="J277" s="34">
        <v>64</v>
      </c>
      <c r="K277" s="34" t="s">
        <v>118</v>
      </c>
      <c r="L277" s="34" t="s">
        <v>20</v>
      </c>
      <c r="M277" s="43" t="s">
        <v>119</v>
      </c>
      <c r="N277" s="43"/>
      <c r="O277" s="34">
        <v>55</v>
      </c>
      <c r="P277" s="1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7" s="132"/>
      <c r="R277" s="132"/>
      <c r="S277" s="132"/>
      <c r="T277" s="133"/>
      <c r="U277" s="59" t="s">
        <v>20</v>
      </c>
      <c r="V277" s="59" t="s">
        <v>20</v>
      </c>
      <c r="W277" s="60" t="s">
        <v>69</v>
      </c>
      <c r="X277" s="61">
        <v>0</v>
      </c>
      <c r="Y277" s="67">
        <f>IFERROR(IF(X277="",0,CEILING((X277/$H277),1)*$H277),"")</f>
        <v>0</v>
      </c>
      <c r="Z277" s="68" t="str">
        <f>IFERROR(IF(Y277=0,"",ROUNDUP(Y277/H277,0)*0.01898),"")</f>
        <v/>
      </c>
      <c r="AA277" s="69" t="s">
        <v>20</v>
      </c>
      <c r="AB277" s="70" t="s">
        <v>20</v>
      </c>
      <c r="AC277" s="71" t="s">
        <v>454</v>
      </c>
      <c r="AG277" s="74"/>
      <c r="AJ277" s="75" t="s">
        <v>20</v>
      </c>
      <c r="AK277" s="75">
        <v>0</v>
      </c>
      <c r="BB277" s="77" t="s">
        <v>1</v>
      </c>
      <c r="BM277" s="74">
        <f>IFERROR(X277*I277/H277,"0")</f>
        <v>0</v>
      </c>
      <c r="BN277" s="74">
        <f>IFERROR(Y277*I277/H277,"0")</f>
        <v>0</v>
      </c>
      <c r="BO277" s="74">
        <f>IFERROR(1/J277*(X277/H277),"0")</f>
        <v>0</v>
      </c>
      <c r="BP277" s="74">
        <f>IFERROR(1/J277*(Y277/H277),"0")</f>
        <v>0</v>
      </c>
    </row>
    <row r="278" spans="1:68" ht="37.5" hidden="1" customHeight="1" x14ac:dyDescent="0.25">
      <c r="A278" s="31" t="s">
        <v>455</v>
      </c>
      <c r="B278" s="31" t="s">
        <v>456</v>
      </c>
      <c r="C278" s="32">
        <v>4301012234</v>
      </c>
      <c r="D278" s="130">
        <v>4680115887237</v>
      </c>
      <c r="E278" s="130"/>
      <c r="F278" s="33">
        <v>1.35</v>
      </c>
      <c r="G278" s="34">
        <v>8</v>
      </c>
      <c r="H278" s="33">
        <v>10.8</v>
      </c>
      <c r="I278" s="33">
        <v>11.21</v>
      </c>
      <c r="J278" s="34">
        <v>64</v>
      </c>
      <c r="K278" s="34" t="s">
        <v>118</v>
      </c>
      <c r="L278" s="34" t="s">
        <v>20</v>
      </c>
      <c r="M278" s="43" t="s">
        <v>119</v>
      </c>
      <c r="N278" s="43"/>
      <c r="O278" s="34">
        <v>55</v>
      </c>
      <c r="P278" s="145" t="s">
        <v>457</v>
      </c>
      <c r="Q278" s="132"/>
      <c r="R278" s="132"/>
      <c r="S278" s="132"/>
      <c r="T278" s="133"/>
      <c r="U278" s="59" t="s">
        <v>20</v>
      </c>
      <c r="V278" s="59" t="s">
        <v>20</v>
      </c>
      <c r="W278" s="60" t="s">
        <v>69</v>
      </c>
      <c r="X278" s="61">
        <v>0</v>
      </c>
      <c r="Y278" s="67">
        <f>IFERROR(IF(X278="",0,CEILING((X278/$H278),1)*$H278),"")</f>
        <v>0</v>
      </c>
      <c r="Z278" s="68" t="str">
        <f>IFERROR(IF(Y278=0,"",ROUNDUP(Y278/H278,0)*0.01898),"")</f>
        <v/>
      </c>
      <c r="AA278" s="69" t="s">
        <v>20</v>
      </c>
      <c r="AB278" s="70" t="s">
        <v>20</v>
      </c>
      <c r="AC278" s="71" t="s">
        <v>458</v>
      </c>
      <c r="AG278" s="74"/>
      <c r="AJ278" s="75" t="s">
        <v>20</v>
      </c>
      <c r="AK278" s="75">
        <v>0</v>
      </c>
      <c r="BB278" s="77" t="s">
        <v>1</v>
      </c>
      <c r="BM278" s="74">
        <f>IFERROR(X278*I278/H278,"0")</f>
        <v>0</v>
      </c>
      <c r="BN278" s="74">
        <f>IFERROR(Y278*I278/H278,"0")</f>
        <v>0</v>
      </c>
      <c r="BO278" s="74">
        <f>IFERROR(1/J278*(X278/H278),"0")</f>
        <v>0</v>
      </c>
      <c r="BP278" s="74">
        <f>IFERROR(1/J278*(Y278/H278),"0")</f>
        <v>0</v>
      </c>
    </row>
    <row r="279" spans="1:68" ht="27" hidden="1" customHeight="1" x14ac:dyDescent="0.25">
      <c r="A279" s="31" t="s">
        <v>459</v>
      </c>
      <c r="B279" s="31" t="s">
        <v>460</v>
      </c>
      <c r="C279" s="32">
        <v>4301011850</v>
      </c>
      <c r="D279" s="130">
        <v>4680115885806</v>
      </c>
      <c r="E279" s="130"/>
      <c r="F279" s="33">
        <v>1.35</v>
      </c>
      <c r="G279" s="34">
        <v>8</v>
      </c>
      <c r="H279" s="33">
        <v>10.8</v>
      </c>
      <c r="I279" s="33">
        <v>11.21</v>
      </c>
      <c r="J279" s="34">
        <v>64</v>
      </c>
      <c r="K279" s="34" t="s">
        <v>118</v>
      </c>
      <c r="L279" s="34" t="s">
        <v>20</v>
      </c>
      <c r="M279" s="43" t="s">
        <v>119</v>
      </c>
      <c r="N279" s="43"/>
      <c r="O279" s="34">
        <v>55</v>
      </c>
      <c r="P279" s="13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9" s="132"/>
      <c r="R279" s="132"/>
      <c r="S279" s="132"/>
      <c r="T279" s="133"/>
      <c r="U279" s="59" t="s">
        <v>20</v>
      </c>
      <c r="V279" s="59" t="s">
        <v>20</v>
      </c>
      <c r="W279" s="60" t="s">
        <v>69</v>
      </c>
      <c r="X279" s="61">
        <v>0</v>
      </c>
      <c r="Y279" s="67">
        <f>IFERROR(IF(X279="",0,CEILING((X279/$H279),1)*$H279),"")</f>
        <v>0</v>
      </c>
      <c r="Z279" s="68" t="str">
        <f>IFERROR(IF(Y279=0,"",ROUNDUP(Y279/H279,0)*0.01898),"")</f>
        <v/>
      </c>
      <c r="AA279" s="69" t="s">
        <v>20</v>
      </c>
      <c r="AB279" s="70" t="s">
        <v>20</v>
      </c>
      <c r="AC279" s="71" t="s">
        <v>461</v>
      </c>
      <c r="AG279" s="74"/>
      <c r="AJ279" s="75" t="s">
        <v>20</v>
      </c>
      <c r="AK279" s="75">
        <v>0</v>
      </c>
      <c r="BB279" s="77" t="s">
        <v>1</v>
      </c>
      <c r="BM279" s="74">
        <f>IFERROR(X279*I279/H279,"0")</f>
        <v>0</v>
      </c>
      <c r="BN279" s="74">
        <f>IFERROR(Y279*I279/H279,"0")</f>
        <v>0</v>
      </c>
      <c r="BO279" s="74">
        <f>IFERROR(1/J279*(X279/H279),"0")</f>
        <v>0</v>
      </c>
      <c r="BP279" s="74">
        <f>IFERROR(1/J279*(Y279/H279),"0")</f>
        <v>0</v>
      </c>
    </row>
    <row r="280" spans="1:68" ht="27" hidden="1" customHeight="1" x14ac:dyDescent="0.25">
      <c r="A280" s="31" t="s">
        <v>462</v>
      </c>
      <c r="B280" s="31" t="s">
        <v>463</v>
      </c>
      <c r="C280" s="32">
        <v>4301011852</v>
      </c>
      <c r="D280" s="130">
        <v>4680115885844</v>
      </c>
      <c r="E280" s="130"/>
      <c r="F280" s="33">
        <v>0.4</v>
      </c>
      <c r="G280" s="34">
        <v>10</v>
      </c>
      <c r="H280" s="33">
        <v>4</v>
      </c>
      <c r="I280" s="33">
        <v>4.1900000000000004</v>
      </c>
      <c r="J280" s="34">
        <v>132</v>
      </c>
      <c r="K280" s="34" t="s">
        <v>128</v>
      </c>
      <c r="L280" s="34" t="s">
        <v>20</v>
      </c>
      <c r="M280" s="43" t="s">
        <v>119</v>
      </c>
      <c r="N280" s="43"/>
      <c r="O280" s="34">
        <v>55</v>
      </c>
      <c r="P280" s="1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80" s="132"/>
      <c r="R280" s="132"/>
      <c r="S280" s="132"/>
      <c r="T280" s="133"/>
      <c r="U280" s="59" t="s">
        <v>20</v>
      </c>
      <c r="V280" s="59" t="s">
        <v>20</v>
      </c>
      <c r="W280" s="60" t="s">
        <v>69</v>
      </c>
      <c r="X280" s="61">
        <v>0</v>
      </c>
      <c r="Y280" s="67">
        <f>IFERROR(IF(X280="",0,CEILING((X280/$H280),1)*$H280),"")</f>
        <v>0</v>
      </c>
      <c r="Z280" s="68" t="str">
        <f>IFERROR(IF(Y280=0,"",ROUNDUP(Y280/H280,0)*0.00902),"")</f>
        <v/>
      </c>
      <c r="AA280" s="69" t="s">
        <v>20</v>
      </c>
      <c r="AB280" s="70" t="s">
        <v>20</v>
      </c>
      <c r="AC280" s="71" t="s">
        <v>464</v>
      </c>
      <c r="AG280" s="74"/>
      <c r="AJ280" s="75" t="s">
        <v>20</v>
      </c>
      <c r="AK280" s="75">
        <v>0</v>
      </c>
      <c r="BB280" s="77" t="s">
        <v>1</v>
      </c>
      <c r="BM280" s="74">
        <f>IFERROR(X280*I280/H280,"0")</f>
        <v>0</v>
      </c>
      <c r="BN280" s="74">
        <f>IFERROR(Y280*I280/H280,"0")</f>
        <v>0</v>
      </c>
      <c r="BO280" s="74">
        <f>IFERROR(1/J280*(X280/H280),"0")</f>
        <v>0</v>
      </c>
      <c r="BP280" s="74">
        <f>IFERROR(1/J280*(Y280/H280),"0")</f>
        <v>0</v>
      </c>
    </row>
    <row r="281" spans="1:68" ht="37.5" hidden="1" customHeight="1" x14ac:dyDescent="0.25">
      <c r="A281" s="31" t="s">
        <v>465</v>
      </c>
      <c r="B281" s="31" t="s">
        <v>466</v>
      </c>
      <c r="C281" s="32">
        <v>4301011851</v>
      </c>
      <c r="D281" s="130">
        <v>4680115885820</v>
      </c>
      <c r="E281" s="130"/>
      <c r="F281" s="33">
        <v>0.4</v>
      </c>
      <c r="G281" s="34">
        <v>10</v>
      </c>
      <c r="H281" s="33">
        <v>4</v>
      </c>
      <c r="I281" s="33">
        <v>4.1900000000000004</v>
      </c>
      <c r="J281" s="34">
        <v>132</v>
      </c>
      <c r="K281" s="34" t="s">
        <v>128</v>
      </c>
      <c r="L281" s="34" t="s">
        <v>20</v>
      </c>
      <c r="M281" s="43" t="s">
        <v>119</v>
      </c>
      <c r="N281" s="43"/>
      <c r="O281" s="34">
        <v>55</v>
      </c>
      <c r="P281" s="1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81" s="132"/>
      <c r="R281" s="132"/>
      <c r="S281" s="132"/>
      <c r="T281" s="133"/>
      <c r="U281" s="59" t="s">
        <v>20</v>
      </c>
      <c r="V281" s="59" t="s">
        <v>20</v>
      </c>
      <c r="W281" s="60" t="s">
        <v>69</v>
      </c>
      <c r="X281" s="61">
        <v>0</v>
      </c>
      <c r="Y281" s="67">
        <f>IFERROR(IF(X281="",0,CEILING((X281/$H281),1)*$H281),"")</f>
        <v>0</v>
      </c>
      <c r="Z281" s="68" t="str">
        <f>IFERROR(IF(Y281=0,"",ROUNDUP(Y281/H281,0)*0.00902),"")</f>
        <v/>
      </c>
      <c r="AA281" s="69" t="s">
        <v>20</v>
      </c>
      <c r="AB281" s="70" t="s">
        <v>20</v>
      </c>
      <c r="AC281" s="71" t="s">
        <v>467</v>
      </c>
      <c r="AG281" s="74"/>
      <c r="AJ281" s="75" t="s">
        <v>20</v>
      </c>
      <c r="AK281" s="75">
        <v>0</v>
      </c>
      <c r="BB281" s="77" t="s">
        <v>1</v>
      </c>
      <c r="BM281" s="74">
        <f>IFERROR(X281*I281/H281,"0")</f>
        <v>0</v>
      </c>
      <c r="BN281" s="74">
        <f>IFERROR(Y281*I281/H281,"0")</f>
        <v>0</v>
      </c>
      <c r="BO281" s="74">
        <f>IFERROR(1/J281*(X281/H281),"0")</f>
        <v>0</v>
      </c>
      <c r="BP281" s="74">
        <f>IFERROR(1/J281*(Y281/H281),"0")</f>
        <v>0</v>
      </c>
    </row>
    <row r="282" spans="1:68" hidden="1" x14ac:dyDescent="0.2">
      <c r="A282" s="146"/>
      <c r="B282" s="146"/>
      <c r="C282" s="146"/>
      <c r="D282" s="146"/>
      <c r="E282" s="146"/>
      <c r="F282" s="146"/>
      <c r="G282" s="146"/>
      <c r="H282" s="146"/>
      <c r="I282" s="146"/>
      <c r="J282" s="146"/>
      <c r="K282" s="146"/>
      <c r="L282" s="146"/>
      <c r="M282" s="146"/>
      <c r="N282" s="146"/>
      <c r="O282" s="147"/>
      <c r="P282" s="142" t="s">
        <v>75</v>
      </c>
      <c r="Q282" s="143"/>
      <c r="R282" s="143"/>
      <c r="S282" s="143"/>
      <c r="T282" s="143"/>
      <c r="U282" s="143"/>
      <c r="V282" s="144"/>
      <c r="W282" s="62" t="s">
        <v>76</v>
      </c>
      <c r="X282" s="63">
        <f>IFERROR(X277/H277,"0")+IFERROR(X278/H278,"0")+IFERROR(X279/H279,"0")+IFERROR(X280/H280,"0")+IFERROR(X281/H281,"0")</f>
        <v>0</v>
      </c>
      <c r="Y282" s="63">
        <f>IFERROR(Y277/H277,"0")+IFERROR(Y278/H278,"0")+IFERROR(Y279/H279,"0")+IFERROR(Y280/H280,"0")+IFERROR(Y281/H281,"0")</f>
        <v>0</v>
      </c>
      <c r="Z282" s="63">
        <f>IFERROR(IF(Z277="",0,Z277),"0")+IFERROR(IF(Z278="",0,Z278),"0")+IFERROR(IF(Z279="",0,Z279),"0")+IFERROR(IF(Z280="",0,Z280),"0")+IFERROR(IF(Z281="",0,Z281),"0")</f>
        <v>0</v>
      </c>
      <c r="AA282" s="72"/>
      <c r="AB282" s="72"/>
      <c r="AC282" s="72"/>
    </row>
    <row r="283" spans="1:68" hidden="1" x14ac:dyDescent="0.2">
      <c r="A283" s="146"/>
      <c r="B283" s="146"/>
      <c r="C283" s="146"/>
      <c r="D283" s="146"/>
      <c r="E283" s="146"/>
      <c r="F283" s="146"/>
      <c r="G283" s="146"/>
      <c r="H283" s="146"/>
      <c r="I283" s="146"/>
      <c r="J283" s="146"/>
      <c r="K283" s="146"/>
      <c r="L283" s="146"/>
      <c r="M283" s="146"/>
      <c r="N283" s="146"/>
      <c r="O283" s="147"/>
      <c r="P283" s="142" t="s">
        <v>75</v>
      </c>
      <c r="Q283" s="143"/>
      <c r="R283" s="143"/>
      <c r="S283" s="143"/>
      <c r="T283" s="143"/>
      <c r="U283" s="143"/>
      <c r="V283" s="144"/>
      <c r="W283" s="62" t="s">
        <v>69</v>
      </c>
      <c r="X283" s="63">
        <f>IFERROR(SUM(X277:X281),"0")</f>
        <v>0</v>
      </c>
      <c r="Y283" s="63">
        <f>IFERROR(SUM(Y277:Y281),"0")</f>
        <v>0</v>
      </c>
      <c r="Z283" s="62"/>
      <c r="AA283" s="72"/>
      <c r="AB283" s="72"/>
      <c r="AC283" s="72"/>
    </row>
    <row r="284" spans="1:68" ht="16.5" hidden="1" customHeight="1" x14ac:dyDescent="0.25">
      <c r="A284" s="128" t="s">
        <v>468</v>
      </c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29"/>
      <c r="AB284" s="29"/>
      <c r="AC284" s="29"/>
    </row>
    <row r="285" spans="1:68" ht="14.25" hidden="1" customHeight="1" x14ac:dyDescent="0.25">
      <c r="A285" s="129" t="s">
        <v>115</v>
      </c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30"/>
      <c r="AB285" s="30"/>
      <c r="AC285" s="30"/>
    </row>
    <row r="286" spans="1:68" ht="27" hidden="1" customHeight="1" x14ac:dyDescent="0.25">
      <c r="A286" s="31" t="s">
        <v>469</v>
      </c>
      <c r="B286" s="31" t="s">
        <v>470</v>
      </c>
      <c r="C286" s="32">
        <v>4301011223</v>
      </c>
      <c r="D286" s="130">
        <v>4607091383423</v>
      </c>
      <c r="E286" s="130"/>
      <c r="F286" s="33">
        <v>1.35</v>
      </c>
      <c r="G286" s="34">
        <v>8</v>
      </c>
      <c r="H286" s="33">
        <v>10.8</v>
      </c>
      <c r="I286" s="33">
        <v>11.305999999999999</v>
      </c>
      <c r="J286" s="34">
        <v>64</v>
      </c>
      <c r="K286" s="34" t="s">
        <v>118</v>
      </c>
      <c r="L286" s="34" t="s">
        <v>20</v>
      </c>
      <c r="M286" s="43" t="s">
        <v>86</v>
      </c>
      <c r="N286" s="43"/>
      <c r="O286" s="34">
        <v>35</v>
      </c>
      <c r="P286" s="1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6" s="132"/>
      <c r="R286" s="132"/>
      <c r="S286" s="132"/>
      <c r="T286" s="133"/>
      <c r="U286" s="59" t="s">
        <v>20</v>
      </c>
      <c r="V286" s="59" t="s">
        <v>20</v>
      </c>
      <c r="W286" s="60" t="s">
        <v>69</v>
      </c>
      <c r="X286" s="61">
        <v>0</v>
      </c>
      <c r="Y286" s="67">
        <f>IFERROR(IF(X286="",0,CEILING((X286/$H286),1)*$H286),"")</f>
        <v>0</v>
      </c>
      <c r="Z286" s="68" t="str">
        <f>IFERROR(IF(Y286=0,"",ROUNDUP(Y286/H286,0)*0.01898),"")</f>
        <v/>
      </c>
      <c r="AA286" s="69" t="s">
        <v>20</v>
      </c>
      <c r="AB286" s="70" t="s">
        <v>20</v>
      </c>
      <c r="AC286" s="71" t="s">
        <v>120</v>
      </c>
      <c r="AG286" s="74"/>
      <c r="AJ286" s="75" t="s">
        <v>20</v>
      </c>
      <c r="AK286" s="75">
        <v>0</v>
      </c>
      <c r="BB286" s="77" t="s">
        <v>1</v>
      </c>
      <c r="BM286" s="74">
        <f>IFERROR(X286*I286/H286,"0")</f>
        <v>0</v>
      </c>
      <c r="BN286" s="74">
        <f>IFERROR(Y286*I286/H286,"0")</f>
        <v>0</v>
      </c>
      <c r="BO286" s="74">
        <f>IFERROR(1/J286*(X286/H286),"0")</f>
        <v>0</v>
      </c>
      <c r="BP286" s="74">
        <f>IFERROR(1/J286*(Y286/H286),"0")</f>
        <v>0</v>
      </c>
    </row>
    <row r="287" spans="1:68" ht="37.5" hidden="1" customHeight="1" x14ac:dyDescent="0.25">
      <c r="A287" s="31" t="s">
        <v>471</v>
      </c>
      <c r="B287" s="31" t="s">
        <v>472</v>
      </c>
      <c r="C287" s="32">
        <v>4301012199</v>
      </c>
      <c r="D287" s="130">
        <v>4680115886957</v>
      </c>
      <c r="E287" s="130"/>
      <c r="F287" s="33">
        <v>1.35</v>
      </c>
      <c r="G287" s="34">
        <v>8</v>
      </c>
      <c r="H287" s="33">
        <v>10.8</v>
      </c>
      <c r="I287" s="33">
        <v>11.21</v>
      </c>
      <c r="J287" s="34">
        <v>64</v>
      </c>
      <c r="K287" s="34" t="s">
        <v>118</v>
      </c>
      <c r="L287" s="34" t="s">
        <v>20</v>
      </c>
      <c r="M287" s="43" t="s">
        <v>86</v>
      </c>
      <c r="N287" s="43"/>
      <c r="O287" s="34">
        <v>30</v>
      </c>
      <c r="P287" s="13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7" s="132"/>
      <c r="R287" s="132"/>
      <c r="S287" s="132"/>
      <c r="T287" s="133"/>
      <c r="U287" s="59" t="s">
        <v>20</v>
      </c>
      <c r="V287" s="59" t="s">
        <v>20</v>
      </c>
      <c r="W287" s="60" t="s">
        <v>69</v>
      </c>
      <c r="X287" s="61">
        <v>0</v>
      </c>
      <c r="Y287" s="67">
        <f>IFERROR(IF(X287="",0,CEILING((X287/$H287),1)*$H287),"")</f>
        <v>0</v>
      </c>
      <c r="Z287" s="68" t="str">
        <f>IFERROR(IF(Y287=0,"",ROUNDUP(Y287/H287,0)*0.01898),"")</f>
        <v/>
      </c>
      <c r="AA287" s="69" t="s">
        <v>20</v>
      </c>
      <c r="AB287" s="70" t="s">
        <v>20</v>
      </c>
      <c r="AC287" s="71" t="s">
        <v>473</v>
      </c>
      <c r="AG287" s="74"/>
      <c r="AJ287" s="75" t="s">
        <v>20</v>
      </c>
      <c r="AK287" s="75">
        <v>0</v>
      </c>
      <c r="BB287" s="77" t="s">
        <v>1</v>
      </c>
      <c r="BM287" s="74">
        <f>IFERROR(X287*I287/H287,"0")</f>
        <v>0</v>
      </c>
      <c r="BN287" s="74">
        <f>IFERROR(Y287*I287/H287,"0")</f>
        <v>0</v>
      </c>
      <c r="BO287" s="74">
        <f>IFERROR(1/J287*(X287/H287),"0")</f>
        <v>0</v>
      </c>
      <c r="BP287" s="74">
        <f>IFERROR(1/J287*(Y287/H287),"0")</f>
        <v>0</v>
      </c>
    </row>
    <row r="288" spans="1:68" ht="27" hidden="1" customHeight="1" x14ac:dyDescent="0.25">
      <c r="A288" s="31" t="s">
        <v>474</v>
      </c>
      <c r="B288" s="31" t="s">
        <v>475</v>
      </c>
      <c r="C288" s="32">
        <v>4301012098</v>
      </c>
      <c r="D288" s="130">
        <v>4680115885660</v>
      </c>
      <c r="E288" s="130"/>
      <c r="F288" s="33">
        <v>1.35</v>
      </c>
      <c r="G288" s="34">
        <v>8</v>
      </c>
      <c r="H288" s="33">
        <v>10.8</v>
      </c>
      <c r="I288" s="33">
        <v>11.21</v>
      </c>
      <c r="J288" s="34">
        <v>64</v>
      </c>
      <c r="K288" s="34" t="s">
        <v>118</v>
      </c>
      <c r="L288" s="34" t="s">
        <v>20</v>
      </c>
      <c r="M288" s="43" t="s">
        <v>86</v>
      </c>
      <c r="N288" s="43"/>
      <c r="O288" s="34">
        <v>35</v>
      </c>
      <c r="P288" s="13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8" s="132"/>
      <c r="R288" s="132"/>
      <c r="S288" s="132"/>
      <c r="T288" s="133"/>
      <c r="U288" s="59" t="s">
        <v>20</v>
      </c>
      <c r="V288" s="59" t="s">
        <v>20</v>
      </c>
      <c r="W288" s="60" t="s">
        <v>69</v>
      </c>
      <c r="X288" s="61">
        <v>0</v>
      </c>
      <c r="Y288" s="67">
        <f>IFERROR(IF(X288="",0,CEILING((X288/$H288),1)*$H288),"")</f>
        <v>0</v>
      </c>
      <c r="Z288" s="68" t="str">
        <f>IFERROR(IF(Y288=0,"",ROUNDUP(Y288/H288,0)*0.01898),"")</f>
        <v/>
      </c>
      <c r="AA288" s="69" t="s">
        <v>20</v>
      </c>
      <c r="AB288" s="70" t="s">
        <v>20</v>
      </c>
      <c r="AC288" s="71" t="s">
        <v>421</v>
      </c>
      <c r="AG288" s="74"/>
      <c r="AJ288" s="75" t="s">
        <v>20</v>
      </c>
      <c r="AK288" s="75">
        <v>0</v>
      </c>
      <c r="BB288" s="77" t="s">
        <v>1</v>
      </c>
      <c r="BM288" s="74">
        <f>IFERROR(X288*I288/H288,"0")</f>
        <v>0</v>
      </c>
      <c r="BN288" s="74">
        <f>IFERROR(Y288*I288/H288,"0")</f>
        <v>0</v>
      </c>
      <c r="BO288" s="74">
        <f>IFERROR(1/J288*(X288/H288),"0")</f>
        <v>0</v>
      </c>
      <c r="BP288" s="74">
        <f>IFERROR(1/J288*(Y288/H288),"0")</f>
        <v>0</v>
      </c>
    </row>
    <row r="289" spans="1:68" ht="37.5" hidden="1" customHeight="1" x14ac:dyDescent="0.25">
      <c r="A289" s="31" t="s">
        <v>476</v>
      </c>
      <c r="B289" s="31" t="s">
        <v>477</v>
      </c>
      <c r="C289" s="32">
        <v>4301012176</v>
      </c>
      <c r="D289" s="130">
        <v>4680115886773</v>
      </c>
      <c r="E289" s="130"/>
      <c r="F289" s="33">
        <v>0.9</v>
      </c>
      <c r="G289" s="34">
        <v>10</v>
      </c>
      <c r="H289" s="33">
        <v>9</v>
      </c>
      <c r="I289" s="33">
        <v>9.41</v>
      </c>
      <c r="J289" s="34">
        <v>64</v>
      </c>
      <c r="K289" s="34" t="s">
        <v>118</v>
      </c>
      <c r="L289" s="34" t="s">
        <v>20</v>
      </c>
      <c r="M289" s="43" t="s">
        <v>119</v>
      </c>
      <c r="N289" s="43"/>
      <c r="O289" s="34">
        <v>31</v>
      </c>
      <c r="P289" s="1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9" s="132"/>
      <c r="R289" s="132"/>
      <c r="S289" s="132"/>
      <c r="T289" s="133"/>
      <c r="U289" s="59" t="s">
        <v>20</v>
      </c>
      <c r="V289" s="59" t="s">
        <v>20</v>
      </c>
      <c r="W289" s="60" t="s">
        <v>69</v>
      </c>
      <c r="X289" s="61">
        <v>0</v>
      </c>
      <c r="Y289" s="67">
        <f>IFERROR(IF(X289="",0,CEILING((X289/$H289),1)*$H289),"")</f>
        <v>0</v>
      </c>
      <c r="Z289" s="68" t="str">
        <f>IFERROR(IF(Y289=0,"",ROUNDUP(Y289/H289,0)*0.01898),"")</f>
        <v/>
      </c>
      <c r="AA289" s="69" t="s">
        <v>20</v>
      </c>
      <c r="AB289" s="70" t="s">
        <v>20</v>
      </c>
      <c r="AC289" s="71" t="s">
        <v>478</v>
      </c>
      <c r="AG289" s="74"/>
      <c r="AJ289" s="75" t="s">
        <v>20</v>
      </c>
      <c r="AK289" s="75">
        <v>0</v>
      </c>
      <c r="BB289" s="77" t="s">
        <v>1</v>
      </c>
      <c r="BM289" s="74">
        <f>IFERROR(X289*I289/H289,"0")</f>
        <v>0</v>
      </c>
      <c r="BN289" s="74">
        <f>IFERROR(Y289*I289/H289,"0")</f>
        <v>0</v>
      </c>
      <c r="BO289" s="74">
        <f>IFERROR(1/J289*(X289/H289),"0")</f>
        <v>0</v>
      </c>
      <c r="BP289" s="74">
        <f>IFERROR(1/J289*(Y289/H289),"0")</f>
        <v>0</v>
      </c>
    </row>
    <row r="290" spans="1:68" hidden="1" x14ac:dyDescent="0.2">
      <c r="A290" s="146"/>
      <c r="B290" s="146"/>
      <c r="C290" s="146"/>
      <c r="D290" s="146"/>
      <c r="E290" s="146"/>
      <c r="F290" s="146"/>
      <c r="G290" s="146"/>
      <c r="H290" s="146"/>
      <c r="I290" s="146"/>
      <c r="J290" s="146"/>
      <c r="K290" s="146"/>
      <c r="L290" s="146"/>
      <c r="M290" s="146"/>
      <c r="N290" s="146"/>
      <c r="O290" s="147"/>
      <c r="P290" s="142" t="s">
        <v>75</v>
      </c>
      <c r="Q290" s="143"/>
      <c r="R290" s="143"/>
      <c r="S290" s="143"/>
      <c r="T290" s="143"/>
      <c r="U290" s="143"/>
      <c r="V290" s="144"/>
      <c r="W290" s="62" t="s">
        <v>76</v>
      </c>
      <c r="X290" s="63">
        <f>IFERROR(X286/H286,"0")+IFERROR(X287/H287,"0")+IFERROR(X288/H288,"0")+IFERROR(X289/H289,"0")</f>
        <v>0</v>
      </c>
      <c r="Y290" s="63">
        <f>IFERROR(Y286/H286,"0")+IFERROR(Y287/H287,"0")+IFERROR(Y288/H288,"0")+IFERROR(Y289/H289,"0")</f>
        <v>0</v>
      </c>
      <c r="Z290" s="63">
        <f>IFERROR(IF(Z286="",0,Z286),"0")+IFERROR(IF(Z287="",0,Z287),"0")+IFERROR(IF(Z288="",0,Z288),"0")+IFERROR(IF(Z289="",0,Z289),"0")</f>
        <v>0</v>
      </c>
      <c r="AA290" s="72"/>
      <c r="AB290" s="72"/>
      <c r="AC290" s="72"/>
    </row>
    <row r="291" spans="1:68" hidden="1" x14ac:dyDescent="0.2">
      <c r="A291" s="146"/>
      <c r="B291" s="146"/>
      <c r="C291" s="146"/>
      <c r="D291" s="146"/>
      <c r="E291" s="146"/>
      <c r="F291" s="146"/>
      <c r="G291" s="146"/>
      <c r="H291" s="146"/>
      <c r="I291" s="146"/>
      <c r="J291" s="146"/>
      <c r="K291" s="146"/>
      <c r="L291" s="146"/>
      <c r="M291" s="146"/>
      <c r="N291" s="146"/>
      <c r="O291" s="147"/>
      <c r="P291" s="142" t="s">
        <v>75</v>
      </c>
      <c r="Q291" s="143"/>
      <c r="R291" s="143"/>
      <c r="S291" s="143"/>
      <c r="T291" s="143"/>
      <c r="U291" s="143"/>
      <c r="V291" s="144"/>
      <c r="W291" s="62" t="s">
        <v>69</v>
      </c>
      <c r="X291" s="63">
        <f>IFERROR(SUM(X286:X289),"0")</f>
        <v>0</v>
      </c>
      <c r="Y291" s="63">
        <f>IFERROR(SUM(Y286:Y289),"0")</f>
        <v>0</v>
      </c>
      <c r="Z291" s="62"/>
      <c r="AA291" s="72"/>
      <c r="AB291" s="72"/>
      <c r="AC291" s="72"/>
    </row>
    <row r="292" spans="1:68" ht="16.5" hidden="1" customHeight="1" x14ac:dyDescent="0.25">
      <c r="A292" s="128" t="s">
        <v>479</v>
      </c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29"/>
      <c r="AB292" s="29"/>
      <c r="AC292" s="29"/>
    </row>
    <row r="293" spans="1:68" ht="14.25" hidden="1" customHeight="1" x14ac:dyDescent="0.25">
      <c r="A293" s="129" t="s">
        <v>77</v>
      </c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30"/>
      <c r="AB293" s="30"/>
      <c r="AC293" s="30"/>
    </row>
    <row r="294" spans="1:68" ht="27" hidden="1" customHeight="1" x14ac:dyDescent="0.25">
      <c r="A294" s="31" t="s">
        <v>480</v>
      </c>
      <c r="B294" s="31" t="s">
        <v>481</v>
      </c>
      <c r="C294" s="32">
        <v>4301051893</v>
      </c>
      <c r="D294" s="130">
        <v>4680115886186</v>
      </c>
      <c r="E294" s="130"/>
      <c r="F294" s="33">
        <v>0.3</v>
      </c>
      <c r="G294" s="34">
        <v>6</v>
      </c>
      <c r="H294" s="33">
        <v>1.8</v>
      </c>
      <c r="I294" s="33">
        <v>1.98</v>
      </c>
      <c r="J294" s="34">
        <v>182</v>
      </c>
      <c r="K294" s="34" t="s">
        <v>67</v>
      </c>
      <c r="L294" s="34" t="s">
        <v>20</v>
      </c>
      <c r="M294" s="43" t="s">
        <v>86</v>
      </c>
      <c r="N294" s="43"/>
      <c r="O294" s="34">
        <v>45</v>
      </c>
      <c r="P294" s="13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4" s="132"/>
      <c r="R294" s="132"/>
      <c r="S294" s="132"/>
      <c r="T294" s="133"/>
      <c r="U294" s="59" t="s">
        <v>20</v>
      </c>
      <c r="V294" s="59" t="s">
        <v>20</v>
      </c>
      <c r="W294" s="60" t="s">
        <v>69</v>
      </c>
      <c r="X294" s="61">
        <v>0</v>
      </c>
      <c r="Y294" s="67">
        <f>IFERROR(IF(X294="",0,CEILING((X294/$H294),1)*$H294),"")</f>
        <v>0</v>
      </c>
      <c r="Z294" s="68" t="str">
        <f>IFERROR(IF(Y294=0,"",ROUNDUP(Y294/H294,0)*0.00651),"")</f>
        <v/>
      </c>
      <c r="AA294" s="69" t="s">
        <v>20</v>
      </c>
      <c r="AB294" s="70" t="s">
        <v>20</v>
      </c>
      <c r="AC294" s="71" t="s">
        <v>482</v>
      </c>
      <c r="AG294" s="74"/>
      <c r="AJ294" s="75" t="s">
        <v>20</v>
      </c>
      <c r="AK294" s="75">
        <v>0</v>
      </c>
      <c r="BB294" s="77" t="s">
        <v>1</v>
      </c>
      <c r="BM294" s="74">
        <f>IFERROR(X294*I294/H294,"0")</f>
        <v>0</v>
      </c>
      <c r="BN294" s="74">
        <f>IFERROR(Y294*I294/H294,"0")</f>
        <v>0</v>
      </c>
      <c r="BO294" s="74">
        <f>IFERROR(1/J294*(X294/H294),"0")</f>
        <v>0</v>
      </c>
      <c r="BP294" s="74">
        <f>IFERROR(1/J294*(Y294/H294),"0")</f>
        <v>0</v>
      </c>
    </row>
    <row r="295" spans="1:68" ht="27" hidden="1" customHeight="1" x14ac:dyDescent="0.25">
      <c r="A295" s="31" t="s">
        <v>483</v>
      </c>
      <c r="B295" s="31" t="s">
        <v>484</v>
      </c>
      <c r="C295" s="32">
        <v>4301051795</v>
      </c>
      <c r="D295" s="130">
        <v>4680115881228</v>
      </c>
      <c r="E295" s="130"/>
      <c r="F295" s="33">
        <v>0.4</v>
      </c>
      <c r="G295" s="34">
        <v>6</v>
      </c>
      <c r="H295" s="33">
        <v>2.4</v>
      </c>
      <c r="I295" s="33">
        <v>2.6520000000000001</v>
      </c>
      <c r="J295" s="34">
        <v>182</v>
      </c>
      <c r="K295" s="34" t="s">
        <v>67</v>
      </c>
      <c r="L295" s="34" t="s">
        <v>20</v>
      </c>
      <c r="M295" s="43" t="s">
        <v>80</v>
      </c>
      <c r="N295" s="43"/>
      <c r="O295" s="34">
        <v>40</v>
      </c>
      <c r="P295" s="13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5" s="132"/>
      <c r="R295" s="132"/>
      <c r="S295" s="132"/>
      <c r="T295" s="133"/>
      <c r="U295" s="59" t="s">
        <v>20</v>
      </c>
      <c r="V295" s="59" t="s">
        <v>20</v>
      </c>
      <c r="W295" s="60" t="s">
        <v>69</v>
      </c>
      <c r="X295" s="61">
        <v>0</v>
      </c>
      <c r="Y295" s="67">
        <f>IFERROR(IF(X295="",0,CEILING((X295/$H295),1)*$H295),"")</f>
        <v>0</v>
      </c>
      <c r="Z295" s="68" t="str">
        <f>IFERROR(IF(Y295=0,"",ROUNDUP(Y295/H295,0)*0.00651),"")</f>
        <v/>
      </c>
      <c r="AA295" s="69" t="s">
        <v>20</v>
      </c>
      <c r="AB295" s="70" t="s">
        <v>20</v>
      </c>
      <c r="AC295" s="71" t="s">
        <v>485</v>
      </c>
      <c r="AG295" s="74"/>
      <c r="AJ295" s="75" t="s">
        <v>20</v>
      </c>
      <c r="AK295" s="75">
        <v>0</v>
      </c>
      <c r="BB295" s="77" t="s">
        <v>1</v>
      </c>
      <c r="BM295" s="74">
        <f>IFERROR(X295*I295/H295,"0")</f>
        <v>0</v>
      </c>
      <c r="BN295" s="74">
        <f>IFERROR(Y295*I295/H295,"0")</f>
        <v>0</v>
      </c>
      <c r="BO295" s="74">
        <f>IFERROR(1/J295*(X295/H295),"0")</f>
        <v>0</v>
      </c>
      <c r="BP295" s="74">
        <f>IFERROR(1/J295*(Y295/H295),"0")</f>
        <v>0</v>
      </c>
    </row>
    <row r="296" spans="1:68" ht="27" hidden="1" customHeight="1" x14ac:dyDescent="0.25">
      <c r="A296" s="31" t="s">
        <v>486</v>
      </c>
      <c r="B296" s="31" t="s">
        <v>487</v>
      </c>
      <c r="C296" s="32">
        <v>4301051388</v>
      </c>
      <c r="D296" s="130">
        <v>4680115881211</v>
      </c>
      <c r="E296" s="130"/>
      <c r="F296" s="33">
        <v>0.4</v>
      </c>
      <c r="G296" s="34">
        <v>6</v>
      </c>
      <c r="H296" s="33">
        <v>2.4</v>
      </c>
      <c r="I296" s="33">
        <v>2.58</v>
      </c>
      <c r="J296" s="34">
        <v>182</v>
      </c>
      <c r="K296" s="34" t="s">
        <v>67</v>
      </c>
      <c r="L296" s="34" t="s">
        <v>20</v>
      </c>
      <c r="M296" s="43" t="s">
        <v>86</v>
      </c>
      <c r="N296" s="43"/>
      <c r="O296" s="34">
        <v>45</v>
      </c>
      <c r="P296" s="1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6" s="132"/>
      <c r="R296" s="132"/>
      <c r="S296" s="132"/>
      <c r="T296" s="133"/>
      <c r="U296" s="59" t="s">
        <v>20</v>
      </c>
      <c r="V296" s="59" t="s">
        <v>20</v>
      </c>
      <c r="W296" s="60" t="s">
        <v>69</v>
      </c>
      <c r="X296" s="61">
        <v>0</v>
      </c>
      <c r="Y296" s="67">
        <f>IFERROR(IF(X296="",0,CEILING((X296/$H296),1)*$H296),"")</f>
        <v>0</v>
      </c>
      <c r="Z296" s="68" t="str">
        <f>IFERROR(IF(Y296=0,"",ROUNDUP(Y296/H296,0)*0.00651),"")</f>
        <v/>
      </c>
      <c r="AA296" s="69" t="s">
        <v>20</v>
      </c>
      <c r="AB296" s="70" t="s">
        <v>20</v>
      </c>
      <c r="AC296" s="71" t="s">
        <v>482</v>
      </c>
      <c r="AG296" s="74"/>
      <c r="AJ296" s="75" t="s">
        <v>20</v>
      </c>
      <c r="AK296" s="75">
        <v>0</v>
      </c>
      <c r="BB296" s="77" t="s">
        <v>1</v>
      </c>
      <c r="BM296" s="74">
        <f>IFERROR(X296*I296/H296,"0")</f>
        <v>0</v>
      </c>
      <c r="BN296" s="74">
        <f>IFERROR(Y296*I296/H296,"0")</f>
        <v>0</v>
      </c>
      <c r="BO296" s="74">
        <f>IFERROR(1/J296*(X296/H296),"0")</f>
        <v>0</v>
      </c>
      <c r="BP296" s="74">
        <f>IFERROR(1/J296*(Y296/H296),"0")</f>
        <v>0</v>
      </c>
    </row>
    <row r="297" spans="1:68" hidden="1" x14ac:dyDescent="0.2">
      <c r="A297" s="146"/>
      <c r="B297" s="146"/>
      <c r="C297" s="146"/>
      <c r="D297" s="146"/>
      <c r="E297" s="146"/>
      <c r="F297" s="146"/>
      <c r="G297" s="146"/>
      <c r="H297" s="146"/>
      <c r="I297" s="146"/>
      <c r="J297" s="146"/>
      <c r="K297" s="146"/>
      <c r="L297" s="146"/>
      <c r="M297" s="146"/>
      <c r="N297" s="146"/>
      <c r="O297" s="147"/>
      <c r="P297" s="142" t="s">
        <v>75</v>
      </c>
      <c r="Q297" s="143"/>
      <c r="R297" s="143"/>
      <c r="S297" s="143"/>
      <c r="T297" s="143"/>
      <c r="U297" s="143"/>
      <c r="V297" s="144"/>
      <c r="W297" s="62" t="s">
        <v>76</v>
      </c>
      <c r="X297" s="63">
        <f>IFERROR(X294/H294,"0")+IFERROR(X295/H295,"0")+IFERROR(X296/H296,"0")</f>
        <v>0</v>
      </c>
      <c r="Y297" s="63">
        <f>IFERROR(Y294/H294,"0")+IFERROR(Y295/H295,"0")+IFERROR(Y296/H296,"0")</f>
        <v>0</v>
      </c>
      <c r="Z297" s="63">
        <f>IFERROR(IF(Z294="",0,Z294),"0")+IFERROR(IF(Z295="",0,Z295),"0")+IFERROR(IF(Z296="",0,Z296),"0")</f>
        <v>0</v>
      </c>
      <c r="AA297" s="72"/>
      <c r="AB297" s="72"/>
      <c r="AC297" s="72"/>
    </row>
    <row r="298" spans="1:68" hidden="1" x14ac:dyDescent="0.2">
      <c r="A298" s="146"/>
      <c r="B298" s="146"/>
      <c r="C298" s="146"/>
      <c r="D298" s="146"/>
      <c r="E298" s="146"/>
      <c r="F298" s="146"/>
      <c r="G298" s="146"/>
      <c r="H298" s="146"/>
      <c r="I298" s="146"/>
      <c r="J298" s="146"/>
      <c r="K298" s="146"/>
      <c r="L298" s="146"/>
      <c r="M298" s="146"/>
      <c r="N298" s="146"/>
      <c r="O298" s="147"/>
      <c r="P298" s="142" t="s">
        <v>75</v>
      </c>
      <c r="Q298" s="143"/>
      <c r="R298" s="143"/>
      <c r="S298" s="143"/>
      <c r="T298" s="143"/>
      <c r="U298" s="143"/>
      <c r="V298" s="144"/>
      <c r="W298" s="62" t="s">
        <v>69</v>
      </c>
      <c r="X298" s="63">
        <f>IFERROR(SUM(X294:X296),"0")</f>
        <v>0</v>
      </c>
      <c r="Y298" s="63">
        <f>IFERROR(SUM(Y294:Y296),"0")</f>
        <v>0</v>
      </c>
      <c r="Z298" s="62"/>
      <c r="AA298" s="72"/>
      <c r="AB298" s="72"/>
      <c r="AC298" s="72"/>
    </row>
    <row r="299" spans="1:68" ht="16.5" hidden="1" customHeight="1" x14ac:dyDescent="0.25">
      <c r="A299" s="128" t="s">
        <v>488</v>
      </c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29"/>
      <c r="AB299" s="29"/>
      <c r="AC299" s="29"/>
    </row>
    <row r="300" spans="1:68" ht="14.25" hidden="1" customHeight="1" x14ac:dyDescent="0.25">
      <c r="A300" s="129" t="s">
        <v>64</v>
      </c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30"/>
      <c r="AB300" s="30"/>
      <c r="AC300" s="30"/>
    </row>
    <row r="301" spans="1:68" ht="27" hidden="1" customHeight="1" x14ac:dyDescent="0.25">
      <c r="A301" s="31" t="s">
        <v>489</v>
      </c>
      <c r="B301" s="31" t="s">
        <v>490</v>
      </c>
      <c r="C301" s="32">
        <v>4301031424</v>
      </c>
      <c r="D301" s="130">
        <v>4680115884700</v>
      </c>
      <c r="E301" s="130"/>
      <c r="F301" s="33">
        <v>0.57999999999999996</v>
      </c>
      <c r="G301" s="34">
        <v>4</v>
      </c>
      <c r="H301" s="33">
        <v>2.3199999999999998</v>
      </c>
      <c r="I301" s="33">
        <v>2.42</v>
      </c>
      <c r="J301" s="34">
        <v>234</v>
      </c>
      <c r="K301" s="34" t="s">
        <v>73</v>
      </c>
      <c r="L301" s="34" t="s">
        <v>20</v>
      </c>
      <c r="M301" s="43" t="s">
        <v>68</v>
      </c>
      <c r="N301" s="43"/>
      <c r="O301" s="34">
        <v>40</v>
      </c>
      <c r="P301" s="131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01" s="132"/>
      <c r="R301" s="132"/>
      <c r="S301" s="132"/>
      <c r="T301" s="133"/>
      <c r="U301" s="59" t="s">
        <v>20</v>
      </c>
      <c r="V301" s="59" t="s">
        <v>20</v>
      </c>
      <c r="W301" s="60" t="s">
        <v>69</v>
      </c>
      <c r="X301" s="61">
        <v>0</v>
      </c>
      <c r="Y301" s="67">
        <f>IFERROR(IF(X301="",0,CEILING((X301/$H301),1)*$H301),"")</f>
        <v>0</v>
      </c>
      <c r="Z301" s="68" t="str">
        <f>IFERROR(IF(Y301=0,"",ROUNDUP(Y301/H301,0)*0.00502),"")</f>
        <v/>
      </c>
      <c r="AA301" s="69" t="s">
        <v>20</v>
      </c>
      <c r="AB301" s="70" t="s">
        <v>20</v>
      </c>
      <c r="AC301" s="71" t="s">
        <v>491</v>
      </c>
      <c r="AG301" s="74"/>
      <c r="AJ301" s="75" t="s">
        <v>20</v>
      </c>
      <c r="AK301" s="75">
        <v>0</v>
      </c>
      <c r="BB301" s="77" t="s">
        <v>1</v>
      </c>
      <c r="BM301" s="74">
        <f>IFERROR(X301*I301/H301,"0")</f>
        <v>0</v>
      </c>
      <c r="BN301" s="74">
        <f>IFERROR(Y301*I301/H301,"0")</f>
        <v>0</v>
      </c>
      <c r="BO301" s="74">
        <f>IFERROR(1/J301*(X301/H301),"0")</f>
        <v>0</v>
      </c>
      <c r="BP301" s="74">
        <f>IFERROR(1/J301*(Y301/H301),"0")</f>
        <v>0</v>
      </c>
    </row>
    <row r="302" spans="1:68" ht="27" hidden="1" customHeight="1" x14ac:dyDescent="0.25">
      <c r="A302" s="31" t="s">
        <v>492</v>
      </c>
      <c r="B302" s="31" t="s">
        <v>493</v>
      </c>
      <c r="C302" s="32">
        <v>4301031307</v>
      </c>
      <c r="D302" s="130">
        <v>4680115880344</v>
      </c>
      <c r="E302" s="130"/>
      <c r="F302" s="33">
        <v>0.28000000000000003</v>
      </c>
      <c r="G302" s="34">
        <v>6</v>
      </c>
      <c r="H302" s="33">
        <v>1.68</v>
      </c>
      <c r="I302" s="33">
        <v>1.78</v>
      </c>
      <c r="J302" s="34">
        <v>234</v>
      </c>
      <c r="K302" s="34" t="s">
        <v>73</v>
      </c>
      <c r="L302" s="34" t="s">
        <v>20</v>
      </c>
      <c r="M302" s="43" t="s">
        <v>68</v>
      </c>
      <c r="N302" s="43"/>
      <c r="O302" s="34">
        <v>40</v>
      </c>
      <c r="P302" s="13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02" s="132"/>
      <c r="R302" s="132"/>
      <c r="S302" s="132"/>
      <c r="T302" s="133"/>
      <c r="U302" s="59" t="s">
        <v>20</v>
      </c>
      <c r="V302" s="59" t="s">
        <v>20</v>
      </c>
      <c r="W302" s="60" t="s">
        <v>69</v>
      </c>
      <c r="X302" s="61">
        <v>0</v>
      </c>
      <c r="Y302" s="67">
        <f>IFERROR(IF(X302="",0,CEILING((X302/$H302),1)*$H302),"")</f>
        <v>0</v>
      </c>
      <c r="Z302" s="68" t="str">
        <f>IFERROR(IF(Y302=0,"",ROUNDUP(Y302/H302,0)*0.00502),"")</f>
        <v/>
      </c>
      <c r="AA302" s="69" t="s">
        <v>20</v>
      </c>
      <c r="AB302" s="70" t="s">
        <v>20</v>
      </c>
      <c r="AC302" s="71" t="s">
        <v>494</v>
      </c>
      <c r="AG302" s="74"/>
      <c r="AJ302" s="75" t="s">
        <v>20</v>
      </c>
      <c r="AK302" s="75">
        <v>0</v>
      </c>
      <c r="BB302" s="77" t="s">
        <v>1</v>
      </c>
      <c r="BM302" s="74">
        <f>IFERROR(X302*I302/H302,"0")</f>
        <v>0</v>
      </c>
      <c r="BN302" s="74">
        <f>IFERROR(Y302*I302/H302,"0")</f>
        <v>0</v>
      </c>
      <c r="BO302" s="74">
        <f>IFERROR(1/J302*(X302/H302),"0")</f>
        <v>0</v>
      </c>
      <c r="BP302" s="74">
        <f>IFERROR(1/J302*(Y302/H302),"0")</f>
        <v>0</v>
      </c>
    </row>
    <row r="303" spans="1:68" ht="27" hidden="1" customHeight="1" x14ac:dyDescent="0.25">
      <c r="A303" s="31" t="s">
        <v>495</v>
      </c>
      <c r="B303" s="31" t="s">
        <v>496</v>
      </c>
      <c r="C303" s="32">
        <v>4301031429</v>
      </c>
      <c r="D303" s="130">
        <v>4680115886919</v>
      </c>
      <c r="E303" s="130"/>
      <c r="F303" s="33">
        <v>0.4</v>
      </c>
      <c r="G303" s="34">
        <v>6</v>
      </c>
      <c r="H303" s="33">
        <v>2.4</v>
      </c>
      <c r="I303" s="33">
        <v>2.58</v>
      </c>
      <c r="J303" s="34">
        <v>182</v>
      </c>
      <c r="K303" s="34" t="s">
        <v>67</v>
      </c>
      <c r="L303" s="34" t="s">
        <v>20</v>
      </c>
      <c r="M303" s="43" t="s">
        <v>68</v>
      </c>
      <c r="N303" s="43"/>
      <c r="O303" s="34">
        <v>40</v>
      </c>
      <c r="P303" s="13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3" s="132"/>
      <c r="R303" s="132"/>
      <c r="S303" s="132"/>
      <c r="T303" s="133"/>
      <c r="U303" s="59" t="s">
        <v>20</v>
      </c>
      <c r="V303" s="59" t="s">
        <v>20</v>
      </c>
      <c r="W303" s="60" t="s">
        <v>69</v>
      </c>
      <c r="X303" s="61">
        <v>0</v>
      </c>
      <c r="Y303" s="67">
        <f>IFERROR(IF(X303="",0,CEILING((X303/$H303),1)*$H303),"")</f>
        <v>0</v>
      </c>
      <c r="Z303" s="68" t="str">
        <f>IFERROR(IF(Y303=0,"",ROUNDUP(Y303/H303,0)*0.00651),"")</f>
        <v/>
      </c>
      <c r="AA303" s="69" t="s">
        <v>20</v>
      </c>
      <c r="AB303" s="70" t="s">
        <v>20</v>
      </c>
      <c r="AC303" s="71" t="s">
        <v>497</v>
      </c>
      <c r="AG303" s="74"/>
      <c r="AJ303" s="75" t="s">
        <v>20</v>
      </c>
      <c r="AK303" s="75">
        <v>0</v>
      </c>
      <c r="BB303" s="77" t="s">
        <v>1</v>
      </c>
      <c r="BM303" s="74">
        <f>IFERROR(X303*I303/H303,"0")</f>
        <v>0</v>
      </c>
      <c r="BN303" s="74">
        <f>IFERROR(Y303*I303/H303,"0")</f>
        <v>0</v>
      </c>
      <c r="BO303" s="74">
        <f>IFERROR(1/J303*(X303/H303),"0")</f>
        <v>0</v>
      </c>
      <c r="BP303" s="74">
        <f>IFERROR(1/J303*(Y303/H303),"0")</f>
        <v>0</v>
      </c>
    </row>
    <row r="304" spans="1:68" hidden="1" x14ac:dyDescent="0.2">
      <c r="A304" s="146"/>
      <c r="B304" s="146"/>
      <c r="C304" s="146"/>
      <c r="D304" s="146"/>
      <c r="E304" s="146"/>
      <c r="F304" s="146"/>
      <c r="G304" s="146"/>
      <c r="H304" s="146"/>
      <c r="I304" s="146"/>
      <c r="J304" s="146"/>
      <c r="K304" s="146"/>
      <c r="L304" s="146"/>
      <c r="M304" s="146"/>
      <c r="N304" s="146"/>
      <c r="O304" s="147"/>
      <c r="P304" s="142" t="s">
        <v>75</v>
      </c>
      <c r="Q304" s="143"/>
      <c r="R304" s="143"/>
      <c r="S304" s="143"/>
      <c r="T304" s="143"/>
      <c r="U304" s="143"/>
      <c r="V304" s="144"/>
      <c r="W304" s="62" t="s">
        <v>76</v>
      </c>
      <c r="X304" s="63">
        <f>IFERROR(X301/H301,"0")+IFERROR(X302/H302,"0")+IFERROR(X303/H303,"0")</f>
        <v>0</v>
      </c>
      <c r="Y304" s="63">
        <f>IFERROR(Y301/H301,"0")+IFERROR(Y302/H302,"0")+IFERROR(Y303/H303,"0")</f>
        <v>0</v>
      </c>
      <c r="Z304" s="63">
        <f>IFERROR(IF(Z301="",0,Z301),"0")+IFERROR(IF(Z302="",0,Z302),"0")+IFERROR(IF(Z303="",0,Z303),"0")</f>
        <v>0</v>
      </c>
      <c r="AA304" s="72"/>
      <c r="AB304" s="72"/>
      <c r="AC304" s="72"/>
    </row>
    <row r="305" spans="1:68" hidden="1" x14ac:dyDescent="0.2">
      <c r="A305" s="146"/>
      <c r="B305" s="146"/>
      <c r="C305" s="146"/>
      <c r="D305" s="146"/>
      <c r="E305" s="146"/>
      <c r="F305" s="146"/>
      <c r="G305" s="146"/>
      <c r="H305" s="146"/>
      <c r="I305" s="146"/>
      <c r="J305" s="146"/>
      <c r="K305" s="146"/>
      <c r="L305" s="146"/>
      <c r="M305" s="146"/>
      <c r="N305" s="146"/>
      <c r="O305" s="147"/>
      <c r="P305" s="142" t="s">
        <v>75</v>
      </c>
      <c r="Q305" s="143"/>
      <c r="R305" s="143"/>
      <c r="S305" s="143"/>
      <c r="T305" s="143"/>
      <c r="U305" s="143"/>
      <c r="V305" s="144"/>
      <c r="W305" s="62" t="s">
        <v>69</v>
      </c>
      <c r="X305" s="63">
        <f>IFERROR(SUM(X301:X303),"0")</f>
        <v>0</v>
      </c>
      <c r="Y305" s="63">
        <f>IFERROR(SUM(Y301:Y303),"0")</f>
        <v>0</v>
      </c>
      <c r="Z305" s="62"/>
      <c r="AA305" s="72"/>
      <c r="AB305" s="72"/>
      <c r="AC305" s="72"/>
    </row>
    <row r="306" spans="1:68" ht="14.25" hidden="1" customHeight="1" x14ac:dyDescent="0.25">
      <c r="A306" s="129" t="s">
        <v>77</v>
      </c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30"/>
      <c r="AB306" s="30"/>
      <c r="AC306" s="30"/>
    </row>
    <row r="307" spans="1:68" ht="37.5" hidden="1" customHeight="1" x14ac:dyDescent="0.25">
      <c r="A307" s="31" t="s">
        <v>498</v>
      </c>
      <c r="B307" s="31" t="s">
        <v>499</v>
      </c>
      <c r="C307" s="32">
        <v>4301051782</v>
      </c>
      <c r="D307" s="130">
        <v>4680115884618</v>
      </c>
      <c r="E307" s="130"/>
      <c r="F307" s="33">
        <v>0.6</v>
      </c>
      <c r="G307" s="34">
        <v>6</v>
      </c>
      <c r="H307" s="33">
        <v>3.6</v>
      </c>
      <c r="I307" s="33">
        <v>3.79</v>
      </c>
      <c r="J307" s="34">
        <v>132</v>
      </c>
      <c r="K307" s="34" t="s">
        <v>128</v>
      </c>
      <c r="L307" s="34" t="s">
        <v>20</v>
      </c>
      <c r="M307" s="43" t="s">
        <v>86</v>
      </c>
      <c r="N307" s="43"/>
      <c r="O307" s="34">
        <v>45</v>
      </c>
      <c r="P307" s="13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7" s="132"/>
      <c r="R307" s="132"/>
      <c r="S307" s="132"/>
      <c r="T307" s="133"/>
      <c r="U307" s="59" t="s">
        <v>20</v>
      </c>
      <c r="V307" s="59" t="s">
        <v>20</v>
      </c>
      <c r="W307" s="60" t="s">
        <v>69</v>
      </c>
      <c r="X307" s="61">
        <v>0</v>
      </c>
      <c r="Y307" s="67">
        <f>IFERROR(IF(X307="",0,CEILING((X307/$H307),1)*$H307),"")</f>
        <v>0</v>
      </c>
      <c r="Z307" s="68" t="str">
        <f>IFERROR(IF(Y307=0,"",ROUNDUP(Y307/H307,0)*0.00902),"")</f>
        <v/>
      </c>
      <c r="AA307" s="69" t="s">
        <v>20</v>
      </c>
      <c r="AB307" s="70" t="s">
        <v>20</v>
      </c>
      <c r="AC307" s="71" t="s">
        <v>500</v>
      </c>
      <c r="AG307" s="74"/>
      <c r="AJ307" s="75" t="s">
        <v>20</v>
      </c>
      <c r="AK307" s="75">
        <v>0</v>
      </c>
      <c r="BB307" s="77" t="s">
        <v>1</v>
      </c>
      <c r="BM307" s="74">
        <f>IFERROR(X307*I307/H307,"0")</f>
        <v>0</v>
      </c>
      <c r="BN307" s="74">
        <f>IFERROR(Y307*I307/H307,"0")</f>
        <v>0</v>
      </c>
      <c r="BO307" s="74">
        <f>IFERROR(1/J307*(X307/H307),"0")</f>
        <v>0</v>
      </c>
      <c r="BP307" s="74">
        <f>IFERROR(1/J307*(Y307/H307),"0")</f>
        <v>0</v>
      </c>
    </row>
    <row r="308" spans="1:68" ht="27" hidden="1" customHeight="1" x14ac:dyDescent="0.25">
      <c r="A308" s="31" t="s">
        <v>501</v>
      </c>
      <c r="B308" s="31" t="s">
        <v>502</v>
      </c>
      <c r="C308" s="32">
        <v>4301052057</v>
      </c>
      <c r="D308" s="130">
        <v>4680115887114</v>
      </c>
      <c r="E308" s="130"/>
      <c r="F308" s="33">
        <v>0.55000000000000004</v>
      </c>
      <c r="G308" s="34">
        <v>6</v>
      </c>
      <c r="H308" s="33">
        <v>3.3</v>
      </c>
      <c r="I308" s="33">
        <v>3.49</v>
      </c>
      <c r="J308" s="34">
        <v>132</v>
      </c>
      <c r="K308" s="34" t="s">
        <v>128</v>
      </c>
      <c r="L308" s="34" t="s">
        <v>20</v>
      </c>
      <c r="M308" s="43" t="s">
        <v>86</v>
      </c>
      <c r="N308" s="43"/>
      <c r="O308" s="34">
        <v>45</v>
      </c>
      <c r="P308" s="1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8" s="132"/>
      <c r="R308" s="132"/>
      <c r="S308" s="132"/>
      <c r="T308" s="133"/>
      <c r="U308" s="59" t="s">
        <v>20</v>
      </c>
      <c r="V308" s="59" t="s">
        <v>20</v>
      </c>
      <c r="W308" s="60" t="s">
        <v>69</v>
      </c>
      <c r="X308" s="61">
        <v>0</v>
      </c>
      <c r="Y308" s="67">
        <f>IFERROR(IF(X308="",0,CEILING((X308/$H308),1)*$H308),"")</f>
        <v>0</v>
      </c>
      <c r="Z308" s="68" t="str">
        <f>IFERROR(IF(Y308=0,"",ROUNDUP(Y308/H308,0)*0.00902),"")</f>
        <v/>
      </c>
      <c r="AA308" s="69" t="s">
        <v>20</v>
      </c>
      <c r="AB308" s="70" t="s">
        <v>20</v>
      </c>
      <c r="AC308" s="71" t="s">
        <v>503</v>
      </c>
      <c r="AG308" s="74"/>
      <c r="AJ308" s="75" t="s">
        <v>20</v>
      </c>
      <c r="AK308" s="75">
        <v>0</v>
      </c>
      <c r="BB308" s="77" t="s">
        <v>1</v>
      </c>
      <c r="BM308" s="74">
        <f>IFERROR(X308*I308/H308,"0")</f>
        <v>0</v>
      </c>
      <c r="BN308" s="74">
        <f>IFERROR(Y308*I308/H308,"0")</f>
        <v>0</v>
      </c>
      <c r="BO308" s="74">
        <f>IFERROR(1/J308*(X308/H308),"0")</f>
        <v>0</v>
      </c>
      <c r="BP308" s="74">
        <f>IFERROR(1/J308*(Y308/H308),"0")</f>
        <v>0</v>
      </c>
    </row>
    <row r="309" spans="1:68" hidden="1" x14ac:dyDescent="0.2">
      <c r="A309" s="146"/>
      <c r="B309" s="146"/>
      <c r="C309" s="146"/>
      <c r="D309" s="146"/>
      <c r="E309" s="146"/>
      <c r="F309" s="146"/>
      <c r="G309" s="146"/>
      <c r="H309" s="146"/>
      <c r="I309" s="146"/>
      <c r="J309" s="146"/>
      <c r="K309" s="146"/>
      <c r="L309" s="146"/>
      <c r="M309" s="146"/>
      <c r="N309" s="146"/>
      <c r="O309" s="147"/>
      <c r="P309" s="142" t="s">
        <v>75</v>
      </c>
      <c r="Q309" s="143"/>
      <c r="R309" s="143"/>
      <c r="S309" s="143"/>
      <c r="T309" s="143"/>
      <c r="U309" s="143"/>
      <c r="V309" s="144"/>
      <c r="W309" s="62" t="s">
        <v>76</v>
      </c>
      <c r="X309" s="63">
        <f>IFERROR(X307/H307,"0")+IFERROR(X308/H308,"0")</f>
        <v>0</v>
      </c>
      <c r="Y309" s="63">
        <f>IFERROR(Y307/H307,"0")+IFERROR(Y308/H308,"0")</f>
        <v>0</v>
      </c>
      <c r="Z309" s="63">
        <f>IFERROR(IF(Z307="",0,Z307),"0")+IFERROR(IF(Z308="",0,Z308),"0")</f>
        <v>0</v>
      </c>
      <c r="AA309" s="72"/>
      <c r="AB309" s="72"/>
      <c r="AC309" s="72"/>
    </row>
    <row r="310" spans="1:68" hidden="1" x14ac:dyDescent="0.2">
      <c r="A310" s="146"/>
      <c r="B310" s="146"/>
      <c r="C310" s="146"/>
      <c r="D310" s="146"/>
      <c r="E310" s="146"/>
      <c r="F310" s="146"/>
      <c r="G310" s="146"/>
      <c r="H310" s="146"/>
      <c r="I310" s="146"/>
      <c r="J310" s="146"/>
      <c r="K310" s="146"/>
      <c r="L310" s="146"/>
      <c r="M310" s="146"/>
      <c r="N310" s="146"/>
      <c r="O310" s="147"/>
      <c r="P310" s="142" t="s">
        <v>75</v>
      </c>
      <c r="Q310" s="143"/>
      <c r="R310" s="143"/>
      <c r="S310" s="143"/>
      <c r="T310" s="143"/>
      <c r="U310" s="143"/>
      <c r="V310" s="144"/>
      <c r="W310" s="62" t="s">
        <v>69</v>
      </c>
      <c r="X310" s="63">
        <f>IFERROR(SUM(X307:X308),"0")</f>
        <v>0</v>
      </c>
      <c r="Y310" s="63">
        <f>IFERROR(SUM(Y307:Y308),"0")</f>
        <v>0</v>
      </c>
      <c r="Z310" s="62"/>
      <c r="AA310" s="72"/>
      <c r="AB310" s="72"/>
      <c r="AC310" s="72"/>
    </row>
    <row r="311" spans="1:68" ht="16.5" hidden="1" customHeight="1" x14ac:dyDescent="0.25">
      <c r="A311" s="128" t="s">
        <v>504</v>
      </c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29"/>
      <c r="AB311" s="29"/>
      <c r="AC311" s="29"/>
    </row>
    <row r="312" spans="1:68" ht="14.25" hidden="1" customHeight="1" x14ac:dyDescent="0.25">
      <c r="A312" s="129" t="s">
        <v>115</v>
      </c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30"/>
      <c r="AB312" s="30"/>
      <c r="AC312" s="30"/>
    </row>
    <row r="313" spans="1:68" ht="27" hidden="1" customHeight="1" x14ac:dyDescent="0.25">
      <c r="A313" s="31" t="s">
        <v>505</v>
      </c>
      <c r="B313" s="31" t="s">
        <v>506</v>
      </c>
      <c r="C313" s="32">
        <v>4301012126</v>
      </c>
      <c r="D313" s="130">
        <v>4607091386004</v>
      </c>
      <c r="E313" s="130"/>
      <c r="F313" s="33">
        <v>1.35</v>
      </c>
      <c r="G313" s="34">
        <v>8</v>
      </c>
      <c r="H313" s="33">
        <v>10.8</v>
      </c>
      <c r="I313" s="33">
        <v>11.21</v>
      </c>
      <c r="J313" s="34">
        <v>64</v>
      </c>
      <c r="K313" s="34" t="s">
        <v>118</v>
      </c>
      <c r="L313" s="34" t="s">
        <v>20</v>
      </c>
      <c r="M313" s="43" t="s">
        <v>119</v>
      </c>
      <c r="N313" s="43"/>
      <c r="O313" s="34">
        <v>55</v>
      </c>
      <c r="P313" s="13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3" s="132"/>
      <c r="R313" s="132"/>
      <c r="S313" s="132"/>
      <c r="T313" s="133"/>
      <c r="U313" s="59" t="s">
        <v>20</v>
      </c>
      <c r="V313" s="59" t="s">
        <v>20</v>
      </c>
      <c r="W313" s="60" t="s">
        <v>69</v>
      </c>
      <c r="X313" s="61">
        <v>0</v>
      </c>
      <c r="Y313" s="67">
        <f t="shared" ref="Y313:Y320" si="37">IFERROR(IF(X313="",0,CEILING((X313/$H313),1)*$H313),"")</f>
        <v>0</v>
      </c>
      <c r="Z313" s="68" t="str">
        <f>IFERROR(IF(Y313=0,"",ROUNDUP(Y313/H313,0)*0.01898),"")</f>
        <v/>
      </c>
      <c r="AA313" s="69" t="s">
        <v>20</v>
      </c>
      <c r="AB313" s="70" t="s">
        <v>20</v>
      </c>
      <c r="AC313" s="71" t="s">
        <v>507</v>
      </c>
      <c r="AG313" s="74"/>
      <c r="AJ313" s="75" t="s">
        <v>20</v>
      </c>
      <c r="AK313" s="75">
        <v>0</v>
      </c>
      <c r="BB313" s="77" t="s">
        <v>1</v>
      </c>
      <c r="BM313" s="74">
        <f t="shared" ref="BM313:BM320" si="38">IFERROR(X313*I313/H313,"0")</f>
        <v>0</v>
      </c>
      <c r="BN313" s="74">
        <f t="shared" ref="BN313:BN320" si="39">IFERROR(Y313*I313/H313,"0")</f>
        <v>0</v>
      </c>
      <c r="BO313" s="74">
        <f t="shared" ref="BO313:BO320" si="40">IFERROR(1/J313*(X313/H313),"0")</f>
        <v>0</v>
      </c>
      <c r="BP313" s="74">
        <f t="shared" ref="BP313:BP320" si="41">IFERROR(1/J313*(Y313/H313),"0")</f>
        <v>0</v>
      </c>
    </row>
    <row r="314" spans="1:68" ht="27" hidden="1" customHeight="1" x14ac:dyDescent="0.25">
      <c r="A314" s="31" t="s">
        <v>508</v>
      </c>
      <c r="B314" s="31" t="s">
        <v>509</v>
      </c>
      <c r="C314" s="32">
        <v>4301012235</v>
      </c>
      <c r="D314" s="130">
        <v>4680115887190</v>
      </c>
      <c r="E314" s="130"/>
      <c r="F314" s="33">
        <v>1.35</v>
      </c>
      <c r="G314" s="34">
        <v>8</v>
      </c>
      <c r="H314" s="33">
        <v>10.8</v>
      </c>
      <c r="I314" s="33">
        <v>11.21</v>
      </c>
      <c r="J314" s="34">
        <v>64</v>
      </c>
      <c r="K314" s="34" t="s">
        <v>118</v>
      </c>
      <c r="L314" s="34" t="s">
        <v>20</v>
      </c>
      <c r="M314" s="43" t="s">
        <v>119</v>
      </c>
      <c r="N314" s="43"/>
      <c r="O314" s="34">
        <v>55</v>
      </c>
      <c r="P314" s="145" t="s">
        <v>510</v>
      </c>
      <c r="Q314" s="132"/>
      <c r="R314" s="132"/>
      <c r="S314" s="132"/>
      <c r="T314" s="133"/>
      <c r="U314" s="59" t="s">
        <v>20</v>
      </c>
      <c r="V314" s="59" t="s">
        <v>20</v>
      </c>
      <c r="W314" s="60" t="s">
        <v>69</v>
      </c>
      <c r="X314" s="61">
        <v>0</v>
      </c>
      <c r="Y314" s="67">
        <f t="shared" si="37"/>
        <v>0</v>
      </c>
      <c r="Z314" s="68" t="str">
        <f>IFERROR(IF(Y314=0,"",ROUNDUP(Y314/H314,0)*0.01898),"")</f>
        <v/>
      </c>
      <c r="AA314" s="69" t="s">
        <v>20</v>
      </c>
      <c r="AB314" s="70" t="s">
        <v>20</v>
      </c>
      <c r="AC314" s="71" t="s">
        <v>511</v>
      </c>
      <c r="AG314" s="74"/>
      <c r="AJ314" s="75" t="s">
        <v>20</v>
      </c>
      <c r="AK314" s="75">
        <v>0</v>
      </c>
      <c r="BB314" s="77" t="s">
        <v>1</v>
      </c>
      <c r="BM314" s="74">
        <f t="shared" si="38"/>
        <v>0</v>
      </c>
      <c r="BN314" s="74">
        <f t="shared" si="39"/>
        <v>0</v>
      </c>
      <c r="BO314" s="74">
        <f t="shared" si="40"/>
        <v>0</v>
      </c>
      <c r="BP314" s="74">
        <f t="shared" si="41"/>
        <v>0</v>
      </c>
    </row>
    <row r="315" spans="1:68" ht="27" hidden="1" customHeight="1" x14ac:dyDescent="0.25">
      <c r="A315" s="31" t="s">
        <v>512</v>
      </c>
      <c r="B315" s="31" t="s">
        <v>513</v>
      </c>
      <c r="C315" s="32">
        <v>4301012024</v>
      </c>
      <c r="D315" s="130">
        <v>4680115885615</v>
      </c>
      <c r="E315" s="130"/>
      <c r="F315" s="33">
        <v>1.35</v>
      </c>
      <c r="G315" s="34">
        <v>8</v>
      </c>
      <c r="H315" s="33">
        <v>10.8</v>
      </c>
      <c r="I315" s="33">
        <v>11.21</v>
      </c>
      <c r="J315" s="34">
        <v>64</v>
      </c>
      <c r="K315" s="34" t="s">
        <v>118</v>
      </c>
      <c r="L315" s="34" t="s">
        <v>20</v>
      </c>
      <c r="M315" s="43" t="s">
        <v>86</v>
      </c>
      <c r="N315" s="43"/>
      <c r="O315" s="34">
        <v>55</v>
      </c>
      <c r="P315" s="1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5" s="132"/>
      <c r="R315" s="132"/>
      <c r="S315" s="132"/>
      <c r="T315" s="133"/>
      <c r="U315" s="59" t="s">
        <v>20</v>
      </c>
      <c r="V315" s="59" t="s">
        <v>20</v>
      </c>
      <c r="W315" s="60" t="s">
        <v>69</v>
      </c>
      <c r="X315" s="61">
        <v>0</v>
      </c>
      <c r="Y315" s="67">
        <f t="shared" si="37"/>
        <v>0</v>
      </c>
      <c r="Z315" s="68" t="str">
        <f>IFERROR(IF(Y315=0,"",ROUNDUP(Y315/H315,0)*0.01898),"")</f>
        <v/>
      </c>
      <c r="AA315" s="69" t="s">
        <v>20</v>
      </c>
      <c r="AB315" s="70" t="s">
        <v>20</v>
      </c>
      <c r="AC315" s="71" t="s">
        <v>514</v>
      </c>
      <c r="AG315" s="74"/>
      <c r="AJ315" s="75" t="s">
        <v>20</v>
      </c>
      <c r="AK315" s="75">
        <v>0</v>
      </c>
      <c r="BB315" s="77" t="s">
        <v>1</v>
      </c>
      <c r="BM315" s="74">
        <f t="shared" si="38"/>
        <v>0</v>
      </c>
      <c r="BN315" s="74">
        <f t="shared" si="39"/>
        <v>0</v>
      </c>
      <c r="BO315" s="74">
        <f t="shared" si="40"/>
        <v>0</v>
      </c>
      <c r="BP315" s="74">
        <f t="shared" si="41"/>
        <v>0</v>
      </c>
    </row>
    <row r="316" spans="1:68" ht="37.5" hidden="1" customHeight="1" x14ac:dyDescent="0.25">
      <c r="A316" s="31" t="s">
        <v>515</v>
      </c>
      <c r="B316" s="31" t="s">
        <v>516</v>
      </c>
      <c r="C316" s="32">
        <v>4301012233</v>
      </c>
      <c r="D316" s="130">
        <v>4680115887138</v>
      </c>
      <c r="E316" s="130"/>
      <c r="F316" s="33">
        <v>1.35</v>
      </c>
      <c r="G316" s="34">
        <v>8</v>
      </c>
      <c r="H316" s="33">
        <v>10.8</v>
      </c>
      <c r="I316" s="33">
        <v>11.21</v>
      </c>
      <c r="J316" s="34">
        <v>64</v>
      </c>
      <c r="K316" s="34" t="s">
        <v>118</v>
      </c>
      <c r="L316" s="34" t="s">
        <v>20</v>
      </c>
      <c r="M316" s="43" t="s">
        <v>119</v>
      </c>
      <c r="N316" s="43"/>
      <c r="O316" s="34">
        <v>55</v>
      </c>
      <c r="P316" s="145" t="s">
        <v>517</v>
      </c>
      <c r="Q316" s="132"/>
      <c r="R316" s="132"/>
      <c r="S316" s="132"/>
      <c r="T316" s="133"/>
      <c r="U316" s="59" t="s">
        <v>20</v>
      </c>
      <c r="V316" s="59" t="s">
        <v>20</v>
      </c>
      <c r="W316" s="60" t="s">
        <v>69</v>
      </c>
      <c r="X316" s="61">
        <v>0</v>
      </c>
      <c r="Y316" s="67">
        <f t="shared" si="37"/>
        <v>0</v>
      </c>
      <c r="Z316" s="68" t="str">
        <f>IFERROR(IF(Y316=0,"",ROUNDUP(Y316/H316,0)*0.01898),"")</f>
        <v/>
      </c>
      <c r="AA316" s="69" t="s">
        <v>20</v>
      </c>
      <c r="AB316" s="70" t="s">
        <v>20</v>
      </c>
      <c r="AC316" s="71" t="s">
        <v>518</v>
      </c>
      <c r="AG316" s="74"/>
      <c r="AJ316" s="75" t="s">
        <v>20</v>
      </c>
      <c r="AK316" s="75">
        <v>0</v>
      </c>
      <c r="BB316" s="77" t="s">
        <v>1</v>
      </c>
      <c r="BM316" s="74">
        <f t="shared" si="38"/>
        <v>0</v>
      </c>
      <c r="BN316" s="74">
        <f t="shared" si="39"/>
        <v>0</v>
      </c>
      <c r="BO316" s="74">
        <f t="shared" si="40"/>
        <v>0</v>
      </c>
      <c r="BP316" s="74">
        <f t="shared" si="41"/>
        <v>0</v>
      </c>
    </row>
    <row r="317" spans="1:68" ht="27" hidden="1" customHeight="1" x14ac:dyDescent="0.25">
      <c r="A317" s="31" t="s">
        <v>519</v>
      </c>
      <c r="B317" s="31" t="s">
        <v>520</v>
      </c>
      <c r="C317" s="32">
        <v>4301012016</v>
      </c>
      <c r="D317" s="130">
        <v>4680115885554</v>
      </c>
      <c r="E317" s="130"/>
      <c r="F317" s="33">
        <v>1.35</v>
      </c>
      <c r="G317" s="34">
        <v>8</v>
      </c>
      <c r="H317" s="33">
        <v>10.8</v>
      </c>
      <c r="I317" s="33">
        <v>11.21</v>
      </c>
      <c r="J317" s="34">
        <v>64</v>
      </c>
      <c r="K317" s="34" t="s">
        <v>118</v>
      </c>
      <c r="L317" s="34" t="s">
        <v>20</v>
      </c>
      <c r="M317" s="43" t="s">
        <v>86</v>
      </c>
      <c r="N317" s="43"/>
      <c r="O317" s="34">
        <v>55</v>
      </c>
      <c r="P317" s="1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7" s="132"/>
      <c r="R317" s="132"/>
      <c r="S317" s="132"/>
      <c r="T317" s="133"/>
      <c r="U317" s="59" t="s">
        <v>20</v>
      </c>
      <c r="V317" s="59" t="s">
        <v>20</v>
      </c>
      <c r="W317" s="60" t="s">
        <v>69</v>
      </c>
      <c r="X317" s="61">
        <v>0</v>
      </c>
      <c r="Y317" s="67">
        <f t="shared" si="37"/>
        <v>0</v>
      </c>
      <c r="Z317" s="68" t="str">
        <f>IFERROR(IF(Y317=0,"",ROUNDUP(Y317/H317,0)*0.01898),"")</f>
        <v/>
      </c>
      <c r="AA317" s="69" t="s">
        <v>20</v>
      </c>
      <c r="AB317" s="70" t="s">
        <v>20</v>
      </c>
      <c r="AC317" s="71" t="s">
        <v>521</v>
      </c>
      <c r="AG317" s="74"/>
      <c r="AJ317" s="75" t="s">
        <v>20</v>
      </c>
      <c r="AK317" s="75">
        <v>0</v>
      </c>
      <c r="BB317" s="77" t="s">
        <v>1</v>
      </c>
      <c r="BM317" s="74">
        <f t="shared" si="38"/>
        <v>0</v>
      </c>
      <c r="BN317" s="74">
        <f t="shared" si="39"/>
        <v>0</v>
      </c>
      <c r="BO317" s="74">
        <f t="shared" si="40"/>
        <v>0</v>
      </c>
      <c r="BP317" s="74">
        <f t="shared" si="41"/>
        <v>0</v>
      </c>
    </row>
    <row r="318" spans="1:68" ht="27" hidden="1" customHeight="1" x14ac:dyDescent="0.25">
      <c r="A318" s="31" t="s">
        <v>522</v>
      </c>
      <c r="B318" s="31" t="s">
        <v>523</v>
      </c>
      <c r="C318" s="32">
        <v>4301012236</v>
      </c>
      <c r="D318" s="130">
        <v>4680115887220</v>
      </c>
      <c r="E318" s="130"/>
      <c r="F318" s="33">
        <v>0.4</v>
      </c>
      <c r="G318" s="34">
        <v>10</v>
      </c>
      <c r="H318" s="33">
        <v>4</v>
      </c>
      <c r="I318" s="33">
        <v>4.1900000000000004</v>
      </c>
      <c r="J318" s="34">
        <v>132</v>
      </c>
      <c r="K318" s="34" t="s">
        <v>128</v>
      </c>
      <c r="L318" s="34" t="s">
        <v>20</v>
      </c>
      <c r="M318" s="43" t="s">
        <v>119</v>
      </c>
      <c r="N318" s="43"/>
      <c r="O318" s="34">
        <v>55</v>
      </c>
      <c r="P318" s="145" t="s">
        <v>524</v>
      </c>
      <c r="Q318" s="132"/>
      <c r="R318" s="132"/>
      <c r="S318" s="132"/>
      <c r="T318" s="133"/>
      <c r="U318" s="59" t="s">
        <v>20</v>
      </c>
      <c r="V318" s="59" t="s">
        <v>20</v>
      </c>
      <c r="W318" s="60" t="s">
        <v>69</v>
      </c>
      <c r="X318" s="61">
        <v>0</v>
      </c>
      <c r="Y318" s="67">
        <f t="shared" si="37"/>
        <v>0</v>
      </c>
      <c r="Z318" s="68" t="str">
        <f>IFERROR(IF(Y318=0,"",ROUNDUP(Y318/H318,0)*0.00902),"")</f>
        <v/>
      </c>
      <c r="AA318" s="69" t="s">
        <v>20</v>
      </c>
      <c r="AB318" s="70" t="s">
        <v>20</v>
      </c>
      <c r="AC318" s="71" t="s">
        <v>511</v>
      </c>
      <c r="AG318" s="74"/>
      <c r="AJ318" s="75" t="s">
        <v>20</v>
      </c>
      <c r="AK318" s="75">
        <v>0</v>
      </c>
      <c r="BB318" s="77" t="s">
        <v>1</v>
      </c>
      <c r="BM318" s="74">
        <f t="shared" si="38"/>
        <v>0</v>
      </c>
      <c r="BN318" s="74">
        <f t="shared" si="39"/>
        <v>0</v>
      </c>
      <c r="BO318" s="74">
        <f t="shared" si="40"/>
        <v>0</v>
      </c>
      <c r="BP318" s="74">
        <f t="shared" si="41"/>
        <v>0</v>
      </c>
    </row>
    <row r="319" spans="1:68" ht="27" hidden="1" customHeight="1" x14ac:dyDescent="0.25">
      <c r="A319" s="31" t="s">
        <v>525</v>
      </c>
      <c r="B319" s="31" t="s">
        <v>526</v>
      </c>
      <c r="C319" s="32">
        <v>4301011857</v>
      </c>
      <c r="D319" s="130">
        <v>4680115885622</v>
      </c>
      <c r="E319" s="130"/>
      <c r="F319" s="33">
        <v>0.4</v>
      </c>
      <c r="G319" s="34">
        <v>10</v>
      </c>
      <c r="H319" s="33">
        <v>4</v>
      </c>
      <c r="I319" s="33">
        <v>4.1900000000000004</v>
      </c>
      <c r="J319" s="34">
        <v>132</v>
      </c>
      <c r="K319" s="34" t="s">
        <v>128</v>
      </c>
      <c r="L319" s="34" t="s">
        <v>20</v>
      </c>
      <c r="M319" s="43" t="s">
        <v>119</v>
      </c>
      <c r="N319" s="43"/>
      <c r="O319" s="34">
        <v>55</v>
      </c>
      <c r="P319" s="13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9" s="132"/>
      <c r="R319" s="132"/>
      <c r="S319" s="132"/>
      <c r="T319" s="133"/>
      <c r="U319" s="59" t="s">
        <v>20</v>
      </c>
      <c r="V319" s="59" t="s">
        <v>20</v>
      </c>
      <c r="W319" s="60" t="s">
        <v>69</v>
      </c>
      <c r="X319" s="61">
        <v>0</v>
      </c>
      <c r="Y319" s="67">
        <f t="shared" si="37"/>
        <v>0</v>
      </c>
      <c r="Z319" s="68" t="str">
        <f>IFERROR(IF(Y319=0,"",ROUNDUP(Y319/H319,0)*0.00902),"")</f>
        <v/>
      </c>
      <c r="AA319" s="69" t="s">
        <v>20</v>
      </c>
      <c r="AB319" s="70" t="s">
        <v>20</v>
      </c>
      <c r="AC319" s="71" t="s">
        <v>514</v>
      </c>
      <c r="AG319" s="74"/>
      <c r="AJ319" s="75" t="s">
        <v>20</v>
      </c>
      <c r="AK319" s="75">
        <v>0</v>
      </c>
      <c r="BB319" s="77" t="s">
        <v>1</v>
      </c>
      <c r="BM319" s="74">
        <f t="shared" si="38"/>
        <v>0</v>
      </c>
      <c r="BN319" s="74">
        <f t="shared" si="39"/>
        <v>0</v>
      </c>
      <c r="BO319" s="74">
        <f t="shared" si="40"/>
        <v>0</v>
      </c>
      <c r="BP319" s="74">
        <f t="shared" si="41"/>
        <v>0</v>
      </c>
    </row>
    <row r="320" spans="1:68" ht="27" hidden="1" customHeight="1" x14ac:dyDescent="0.25">
      <c r="A320" s="31" t="s">
        <v>527</v>
      </c>
      <c r="B320" s="31" t="s">
        <v>528</v>
      </c>
      <c r="C320" s="32">
        <v>4301011859</v>
      </c>
      <c r="D320" s="130">
        <v>4680115885608</v>
      </c>
      <c r="E320" s="130"/>
      <c r="F320" s="33">
        <v>0.4</v>
      </c>
      <c r="G320" s="34">
        <v>10</v>
      </c>
      <c r="H320" s="33">
        <v>4</v>
      </c>
      <c r="I320" s="33">
        <v>4.1900000000000004</v>
      </c>
      <c r="J320" s="34">
        <v>132</v>
      </c>
      <c r="K320" s="34" t="s">
        <v>128</v>
      </c>
      <c r="L320" s="34" t="s">
        <v>20</v>
      </c>
      <c r="M320" s="43" t="s">
        <v>119</v>
      </c>
      <c r="N320" s="43"/>
      <c r="O320" s="34">
        <v>55</v>
      </c>
      <c r="P320" s="13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0" s="132"/>
      <c r="R320" s="132"/>
      <c r="S320" s="132"/>
      <c r="T320" s="133"/>
      <c r="U320" s="59" t="s">
        <v>20</v>
      </c>
      <c r="V320" s="59" t="s">
        <v>20</v>
      </c>
      <c r="W320" s="60" t="s">
        <v>69</v>
      </c>
      <c r="X320" s="61">
        <v>0</v>
      </c>
      <c r="Y320" s="67">
        <f t="shared" si="37"/>
        <v>0</v>
      </c>
      <c r="Z320" s="68" t="str">
        <f>IFERROR(IF(Y320=0,"",ROUNDUP(Y320/H320,0)*0.00902),"")</f>
        <v/>
      </c>
      <c r="AA320" s="69" t="s">
        <v>20</v>
      </c>
      <c r="AB320" s="70" t="s">
        <v>20</v>
      </c>
      <c r="AC320" s="71" t="s">
        <v>529</v>
      </c>
      <c r="AG320" s="74"/>
      <c r="AJ320" s="75" t="s">
        <v>20</v>
      </c>
      <c r="AK320" s="75">
        <v>0</v>
      </c>
      <c r="BB320" s="77" t="s">
        <v>1</v>
      </c>
      <c r="BM320" s="74">
        <f t="shared" si="38"/>
        <v>0</v>
      </c>
      <c r="BN320" s="74">
        <f t="shared" si="39"/>
        <v>0</v>
      </c>
      <c r="BO320" s="74">
        <f t="shared" si="40"/>
        <v>0</v>
      </c>
      <c r="BP320" s="74">
        <f t="shared" si="41"/>
        <v>0</v>
      </c>
    </row>
    <row r="321" spans="1:68" hidden="1" x14ac:dyDescent="0.2">
      <c r="A321" s="146"/>
      <c r="B321" s="146"/>
      <c r="C321" s="146"/>
      <c r="D321" s="146"/>
      <c r="E321" s="146"/>
      <c r="F321" s="146"/>
      <c r="G321" s="146"/>
      <c r="H321" s="146"/>
      <c r="I321" s="146"/>
      <c r="J321" s="146"/>
      <c r="K321" s="146"/>
      <c r="L321" s="146"/>
      <c r="M321" s="146"/>
      <c r="N321" s="146"/>
      <c r="O321" s="147"/>
      <c r="P321" s="142" t="s">
        <v>75</v>
      </c>
      <c r="Q321" s="143"/>
      <c r="R321" s="143"/>
      <c r="S321" s="143"/>
      <c r="T321" s="143"/>
      <c r="U321" s="143"/>
      <c r="V321" s="144"/>
      <c r="W321" s="62" t="s">
        <v>76</v>
      </c>
      <c r="X321" s="63">
        <f>IFERROR(X313/H313,"0")+IFERROR(X314/H314,"0")+IFERROR(X315/H315,"0")+IFERROR(X316/H316,"0")+IFERROR(X317/H317,"0")+IFERROR(X318/H318,"0")+IFERROR(X319/H319,"0")+IFERROR(X320/H320,"0")</f>
        <v>0</v>
      </c>
      <c r="Y321" s="63">
        <f>IFERROR(Y313/H313,"0")+IFERROR(Y314/H314,"0")+IFERROR(Y315/H315,"0")+IFERROR(Y316/H316,"0")+IFERROR(Y317/H317,"0")+IFERROR(Y318/H318,"0")+IFERROR(Y319/H319,"0")+IFERROR(Y320/H320,"0")</f>
        <v>0</v>
      </c>
      <c r="Z321" s="63">
        <f>IFERROR(IF(Z313="",0,Z313),"0")+IFERROR(IF(Z314="",0,Z314),"0")+IFERROR(IF(Z315="",0,Z315),"0")+IFERROR(IF(Z316="",0,Z316),"0")+IFERROR(IF(Z317="",0,Z317),"0")+IFERROR(IF(Z318="",0,Z318),"0")+IFERROR(IF(Z319="",0,Z319),"0")+IFERROR(IF(Z320="",0,Z320),"0")</f>
        <v>0</v>
      </c>
      <c r="AA321" s="72"/>
      <c r="AB321" s="72"/>
      <c r="AC321" s="72"/>
    </row>
    <row r="322" spans="1:68" hidden="1" x14ac:dyDescent="0.2">
      <c r="A322" s="146"/>
      <c r="B322" s="146"/>
      <c r="C322" s="146"/>
      <c r="D322" s="146"/>
      <c r="E322" s="146"/>
      <c r="F322" s="146"/>
      <c r="G322" s="146"/>
      <c r="H322" s="146"/>
      <c r="I322" s="146"/>
      <c r="J322" s="146"/>
      <c r="K322" s="146"/>
      <c r="L322" s="146"/>
      <c r="M322" s="146"/>
      <c r="N322" s="146"/>
      <c r="O322" s="147"/>
      <c r="P322" s="142" t="s">
        <v>75</v>
      </c>
      <c r="Q322" s="143"/>
      <c r="R322" s="143"/>
      <c r="S322" s="143"/>
      <c r="T322" s="143"/>
      <c r="U322" s="143"/>
      <c r="V322" s="144"/>
      <c r="W322" s="62" t="s">
        <v>69</v>
      </c>
      <c r="X322" s="63">
        <f>IFERROR(SUM(X313:X320),"0")</f>
        <v>0</v>
      </c>
      <c r="Y322" s="63">
        <f>IFERROR(SUM(Y313:Y320),"0")</f>
        <v>0</v>
      </c>
      <c r="Z322" s="62"/>
      <c r="AA322" s="72"/>
      <c r="AB322" s="72"/>
      <c r="AC322" s="72"/>
    </row>
    <row r="323" spans="1:68" ht="14.25" hidden="1" customHeight="1" x14ac:dyDescent="0.25">
      <c r="A323" s="129" t="s">
        <v>64</v>
      </c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30"/>
      <c r="AB323" s="30"/>
      <c r="AC323" s="30"/>
    </row>
    <row r="324" spans="1:68" ht="27" hidden="1" customHeight="1" x14ac:dyDescent="0.25">
      <c r="A324" s="31" t="s">
        <v>530</v>
      </c>
      <c r="B324" s="31" t="s">
        <v>531</v>
      </c>
      <c r="C324" s="32">
        <v>4301030878</v>
      </c>
      <c r="D324" s="130">
        <v>4607091387193</v>
      </c>
      <c r="E324" s="130"/>
      <c r="F324" s="33">
        <v>0.7</v>
      </c>
      <c r="G324" s="34">
        <v>6</v>
      </c>
      <c r="H324" s="33">
        <v>4.2</v>
      </c>
      <c r="I324" s="33">
        <v>4.45</v>
      </c>
      <c r="J324" s="34">
        <v>132</v>
      </c>
      <c r="K324" s="34" t="s">
        <v>128</v>
      </c>
      <c r="L324" s="34" t="s">
        <v>20</v>
      </c>
      <c r="M324" s="43" t="s">
        <v>68</v>
      </c>
      <c r="N324" s="43"/>
      <c r="O324" s="34">
        <v>35</v>
      </c>
      <c r="P324" s="1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4" s="132"/>
      <c r="R324" s="132"/>
      <c r="S324" s="132"/>
      <c r="T324" s="133"/>
      <c r="U324" s="59" t="s">
        <v>20</v>
      </c>
      <c r="V324" s="59" t="s">
        <v>20</v>
      </c>
      <c r="W324" s="60" t="s">
        <v>69</v>
      </c>
      <c r="X324" s="61">
        <v>0</v>
      </c>
      <c r="Y324" s="67">
        <f t="shared" ref="Y324:Y330" si="42">IFERROR(IF(X324="",0,CEILING((X324/$H324),1)*$H324),"")</f>
        <v>0</v>
      </c>
      <c r="Z324" s="68" t="str">
        <f>IFERROR(IF(Y324=0,"",ROUNDUP(Y324/H324,0)*0.00902),"")</f>
        <v/>
      </c>
      <c r="AA324" s="69" t="s">
        <v>20</v>
      </c>
      <c r="AB324" s="70" t="s">
        <v>20</v>
      </c>
      <c r="AC324" s="71" t="s">
        <v>532</v>
      </c>
      <c r="AG324" s="74"/>
      <c r="AJ324" s="75" t="s">
        <v>20</v>
      </c>
      <c r="AK324" s="75">
        <v>0</v>
      </c>
      <c r="BB324" s="77" t="s">
        <v>1</v>
      </c>
      <c r="BM324" s="74">
        <f t="shared" ref="BM324:BM330" si="43">IFERROR(X324*I324/H324,"0")</f>
        <v>0</v>
      </c>
      <c r="BN324" s="74">
        <f t="shared" ref="BN324:BN330" si="44">IFERROR(Y324*I324/H324,"0")</f>
        <v>0</v>
      </c>
      <c r="BO324" s="74">
        <f t="shared" ref="BO324:BO330" si="45">IFERROR(1/J324*(X324/H324),"0")</f>
        <v>0</v>
      </c>
      <c r="BP324" s="74">
        <f t="shared" ref="BP324:BP330" si="46">IFERROR(1/J324*(Y324/H324),"0")</f>
        <v>0</v>
      </c>
    </row>
    <row r="325" spans="1:68" ht="27" hidden="1" customHeight="1" x14ac:dyDescent="0.25">
      <c r="A325" s="31" t="s">
        <v>533</v>
      </c>
      <c r="B325" s="31" t="s">
        <v>534</v>
      </c>
      <c r="C325" s="32">
        <v>4301031153</v>
      </c>
      <c r="D325" s="130">
        <v>4607091387230</v>
      </c>
      <c r="E325" s="130"/>
      <c r="F325" s="33">
        <v>0.7</v>
      </c>
      <c r="G325" s="34">
        <v>6</v>
      </c>
      <c r="H325" s="33">
        <v>4.2</v>
      </c>
      <c r="I325" s="33">
        <v>4.45</v>
      </c>
      <c r="J325" s="34">
        <v>132</v>
      </c>
      <c r="K325" s="34" t="s">
        <v>128</v>
      </c>
      <c r="L325" s="34" t="s">
        <v>20</v>
      </c>
      <c r="M325" s="43" t="s">
        <v>68</v>
      </c>
      <c r="N325" s="43"/>
      <c r="O325" s="34">
        <v>40</v>
      </c>
      <c r="P325" s="1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5" s="132"/>
      <c r="R325" s="132"/>
      <c r="S325" s="132"/>
      <c r="T325" s="133"/>
      <c r="U325" s="59" t="s">
        <v>20</v>
      </c>
      <c r="V325" s="59" t="s">
        <v>20</v>
      </c>
      <c r="W325" s="60" t="s">
        <v>69</v>
      </c>
      <c r="X325" s="61">
        <v>0</v>
      </c>
      <c r="Y325" s="67">
        <f t="shared" si="42"/>
        <v>0</v>
      </c>
      <c r="Z325" s="68" t="str">
        <f>IFERROR(IF(Y325=0,"",ROUNDUP(Y325/H325,0)*0.00902),"")</f>
        <v/>
      </c>
      <c r="AA325" s="69" t="s">
        <v>20</v>
      </c>
      <c r="AB325" s="70" t="s">
        <v>20</v>
      </c>
      <c r="AC325" s="71" t="s">
        <v>535</v>
      </c>
      <c r="AG325" s="74"/>
      <c r="AJ325" s="75" t="s">
        <v>20</v>
      </c>
      <c r="AK325" s="75">
        <v>0</v>
      </c>
      <c r="BB325" s="77" t="s">
        <v>1</v>
      </c>
      <c r="BM325" s="74">
        <f t="shared" si="43"/>
        <v>0</v>
      </c>
      <c r="BN325" s="74">
        <f t="shared" si="44"/>
        <v>0</v>
      </c>
      <c r="BO325" s="74">
        <f t="shared" si="45"/>
        <v>0</v>
      </c>
      <c r="BP325" s="74">
        <f t="shared" si="46"/>
        <v>0</v>
      </c>
    </row>
    <row r="326" spans="1:68" ht="27" hidden="1" customHeight="1" x14ac:dyDescent="0.25">
      <c r="A326" s="31" t="s">
        <v>536</v>
      </c>
      <c r="B326" s="31" t="s">
        <v>537</v>
      </c>
      <c r="C326" s="32">
        <v>4301031154</v>
      </c>
      <c r="D326" s="130">
        <v>4607091387292</v>
      </c>
      <c r="E326" s="130"/>
      <c r="F326" s="33">
        <v>0.73</v>
      </c>
      <c r="G326" s="34">
        <v>6</v>
      </c>
      <c r="H326" s="33">
        <v>4.38</v>
      </c>
      <c r="I326" s="33">
        <v>4.63</v>
      </c>
      <c r="J326" s="34">
        <v>132</v>
      </c>
      <c r="K326" s="34" t="s">
        <v>128</v>
      </c>
      <c r="L326" s="34" t="s">
        <v>20</v>
      </c>
      <c r="M326" s="43" t="s">
        <v>68</v>
      </c>
      <c r="N326" s="43"/>
      <c r="O326" s="34">
        <v>45</v>
      </c>
      <c r="P326" s="1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6" s="132"/>
      <c r="R326" s="132"/>
      <c r="S326" s="132"/>
      <c r="T326" s="133"/>
      <c r="U326" s="59" t="s">
        <v>20</v>
      </c>
      <c r="V326" s="59" t="s">
        <v>20</v>
      </c>
      <c r="W326" s="60" t="s">
        <v>69</v>
      </c>
      <c r="X326" s="61">
        <v>0</v>
      </c>
      <c r="Y326" s="67">
        <f t="shared" si="42"/>
        <v>0</v>
      </c>
      <c r="Z326" s="68" t="str">
        <f>IFERROR(IF(Y326=0,"",ROUNDUP(Y326/H326,0)*0.00902),"")</f>
        <v/>
      </c>
      <c r="AA326" s="69" t="s">
        <v>20</v>
      </c>
      <c r="AB326" s="70" t="s">
        <v>20</v>
      </c>
      <c r="AC326" s="71" t="s">
        <v>538</v>
      </c>
      <c r="AG326" s="74"/>
      <c r="AJ326" s="75" t="s">
        <v>20</v>
      </c>
      <c r="AK326" s="75">
        <v>0</v>
      </c>
      <c r="BB326" s="77" t="s">
        <v>1</v>
      </c>
      <c r="BM326" s="74">
        <f t="shared" si="43"/>
        <v>0</v>
      </c>
      <c r="BN326" s="74">
        <f t="shared" si="44"/>
        <v>0</v>
      </c>
      <c r="BO326" s="74">
        <f t="shared" si="45"/>
        <v>0</v>
      </c>
      <c r="BP326" s="74">
        <f t="shared" si="46"/>
        <v>0</v>
      </c>
    </row>
    <row r="327" spans="1:68" ht="27" hidden="1" customHeight="1" x14ac:dyDescent="0.25">
      <c r="A327" s="31" t="s">
        <v>539</v>
      </c>
      <c r="B327" s="31" t="s">
        <v>540</v>
      </c>
      <c r="C327" s="32">
        <v>4301031152</v>
      </c>
      <c r="D327" s="130">
        <v>4607091387285</v>
      </c>
      <c r="E327" s="130"/>
      <c r="F327" s="33">
        <v>0.35</v>
      </c>
      <c r="G327" s="34">
        <v>6</v>
      </c>
      <c r="H327" s="33">
        <v>2.1</v>
      </c>
      <c r="I327" s="33">
        <v>2.23</v>
      </c>
      <c r="J327" s="34">
        <v>234</v>
      </c>
      <c r="K327" s="34" t="s">
        <v>73</v>
      </c>
      <c r="L327" s="34" t="s">
        <v>20</v>
      </c>
      <c r="M327" s="43" t="s">
        <v>68</v>
      </c>
      <c r="N327" s="43"/>
      <c r="O327" s="34">
        <v>40</v>
      </c>
      <c r="P327" s="1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7" s="132"/>
      <c r="R327" s="132"/>
      <c r="S327" s="132"/>
      <c r="T327" s="133"/>
      <c r="U327" s="59" t="s">
        <v>20</v>
      </c>
      <c r="V327" s="59" t="s">
        <v>20</v>
      </c>
      <c r="W327" s="60" t="s">
        <v>69</v>
      </c>
      <c r="X327" s="61">
        <v>0</v>
      </c>
      <c r="Y327" s="67">
        <f t="shared" si="42"/>
        <v>0</v>
      </c>
      <c r="Z327" s="68" t="str">
        <f>IFERROR(IF(Y327=0,"",ROUNDUP(Y327/H327,0)*0.00502),"")</f>
        <v/>
      </c>
      <c r="AA327" s="69" t="s">
        <v>20</v>
      </c>
      <c r="AB327" s="70" t="s">
        <v>20</v>
      </c>
      <c r="AC327" s="71" t="s">
        <v>535</v>
      </c>
      <c r="AG327" s="74"/>
      <c r="AJ327" s="75" t="s">
        <v>20</v>
      </c>
      <c r="AK327" s="75">
        <v>0</v>
      </c>
      <c r="BB327" s="77" t="s">
        <v>1</v>
      </c>
      <c r="BM327" s="74">
        <f t="shared" si="43"/>
        <v>0</v>
      </c>
      <c r="BN327" s="74">
        <f t="shared" si="44"/>
        <v>0</v>
      </c>
      <c r="BO327" s="74">
        <f t="shared" si="45"/>
        <v>0</v>
      </c>
      <c r="BP327" s="74">
        <f t="shared" si="46"/>
        <v>0</v>
      </c>
    </row>
    <row r="328" spans="1:68" ht="27" hidden="1" customHeight="1" x14ac:dyDescent="0.25">
      <c r="A328" s="31" t="s">
        <v>541</v>
      </c>
      <c r="B328" s="31" t="s">
        <v>542</v>
      </c>
      <c r="C328" s="32">
        <v>4301031305</v>
      </c>
      <c r="D328" s="130">
        <v>4607091389845</v>
      </c>
      <c r="E328" s="130"/>
      <c r="F328" s="33">
        <v>0.35</v>
      </c>
      <c r="G328" s="34">
        <v>6</v>
      </c>
      <c r="H328" s="33">
        <v>2.1</v>
      </c>
      <c r="I328" s="33">
        <v>2.2000000000000002</v>
      </c>
      <c r="J328" s="34">
        <v>234</v>
      </c>
      <c r="K328" s="34" t="s">
        <v>73</v>
      </c>
      <c r="L328" s="34" t="s">
        <v>20</v>
      </c>
      <c r="M328" s="43" t="s">
        <v>68</v>
      </c>
      <c r="N328" s="43"/>
      <c r="O328" s="34">
        <v>40</v>
      </c>
      <c r="P328" s="13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8" s="132"/>
      <c r="R328" s="132"/>
      <c r="S328" s="132"/>
      <c r="T328" s="133"/>
      <c r="U328" s="59" t="s">
        <v>20</v>
      </c>
      <c r="V328" s="59" t="s">
        <v>20</v>
      </c>
      <c r="W328" s="60" t="s">
        <v>69</v>
      </c>
      <c r="X328" s="61">
        <v>0</v>
      </c>
      <c r="Y328" s="67">
        <f t="shared" si="42"/>
        <v>0</v>
      </c>
      <c r="Z328" s="68" t="str">
        <f>IFERROR(IF(Y328=0,"",ROUNDUP(Y328/H328,0)*0.00502),"")</f>
        <v/>
      </c>
      <c r="AA328" s="69" t="s">
        <v>20</v>
      </c>
      <c r="AB328" s="70" t="s">
        <v>20</v>
      </c>
      <c r="AC328" s="71" t="s">
        <v>543</v>
      </c>
      <c r="AG328" s="74"/>
      <c r="AJ328" s="75" t="s">
        <v>20</v>
      </c>
      <c r="AK328" s="75">
        <v>0</v>
      </c>
      <c r="BB328" s="77" t="s">
        <v>1</v>
      </c>
      <c r="BM328" s="74">
        <f t="shared" si="43"/>
        <v>0</v>
      </c>
      <c r="BN328" s="74">
        <f t="shared" si="44"/>
        <v>0</v>
      </c>
      <c r="BO328" s="74">
        <f t="shared" si="45"/>
        <v>0</v>
      </c>
      <c r="BP328" s="74">
        <f t="shared" si="46"/>
        <v>0</v>
      </c>
    </row>
    <row r="329" spans="1:68" ht="27" hidden="1" customHeight="1" x14ac:dyDescent="0.25">
      <c r="A329" s="31" t="s">
        <v>544</v>
      </c>
      <c r="B329" s="31" t="s">
        <v>545</v>
      </c>
      <c r="C329" s="32">
        <v>4301031460</v>
      </c>
      <c r="D329" s="130">
        <v>4680115887442</v>
      </c>
      <c r="E329" s="130"/>
      <c r="F329" s="33">
        <v>0.73</v>
      </c>
      <c r="G329" s="34">
        <v>6</v>
      </c>
      <c r="H329" s="33">
        <v>4.38</v>
      </c>
      <c r="I329" s="33">
        <v>4.63</v>
      </c>
      <c r="J329" s="34">
        <v>132</v>
      </c>
      <c r="K329" s="34" t="s">
        <v>128</v>
      </c>
      <c r="L329" s="34" t="s">
        <v>20</v>
      </c>
      <c r="M329" s="43" t="s">
        <v>68</v>
      </c>
      <c r="N329" s="43"/>
      <c r="O329" s="34">
        <v>45</v>
      </c>
      <c r="P329" s="1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9" s="132"/>
      <c r="R329" s="132"/>
      <c r="S329" s="132"/>
      <c r="T329" s="133"/>
      <c r="U329" s="59" t="s">
        <v>20</v>
      </c>
      <c r="V329" s="59" t="s">
        <v>20</v>
      </c>
      <c r="W329" s="60" t="s">
        <v>69</v>
      </c>
      <c r="X329" s="61">
        <v>0</v>
      </c>
      <c r="Y329" s="67">
        <f t="shared" si="42"/>
        <v>0</v>
      </c>
      <c r="Z329" s="68" t="str">
        <f>IFERROR(IF(Y329=0,"",ROUNDUP(Y329/H329,0)*0.00902),"")</f>
        <v/>
      </c>
      <c r="AA329" s="69" t="s">
        <v>20</v>
      </c>
      <c r="AB329" s="70" t="s">
        <v>20</v>
      </c>
      <c r="AC329" s="71" t="s">
        <v>538</v>
      </c>
      <c r="AG329" s="74"/>
      <c r="AJ329" s="75" t="s">
        <v>20</v>
      </c>
      <c r="AK329" s="75">
        <v>0</v>
      </c>
      <c r="BB329" s="77" t="s">
        <v>1</v>
      </c>
      <c r="BM329" s="74">
        <f t="shared" si="43"/>
        <v>0</v>
      </c>
      <c r="BN329" s="74">
        <f t="shared" si="44"/>
        <v>0</v>
      </c>
      <c r="BO329" s="74">
        <f t="shared" si="45"/>
        <v>0</v>
      </c>
      <c r="BP329" s="74">
        <f t="shared" si="46"/>
        <v>0</v>
      </c>
    </row>
    <row r="330" spans="1:68" ht="27" hidden="1" customHeight="1" x14ac:dyDescent="0.25">
      <c r="A330" s="31" t="s">
        <v>546</v>
      </c>
      <c r="B330" s="31" t="s">
        <v>547</v>
      </c>
      <c r="C330" s="32">
        <v>4301031066</v>
      </c>
      <c r="D330" s="130">
        <v>4607091383836</v>
      </c>
      <c r="E330" s="130"/>
      <c r="F330" s="33">
        <v>0.3</v>
      </c>
      <c r="G330" s="34">
        <v>6</v>
      </c>
      <c r="H330" s="33">
        <v>1.8</v>
      </c>
      <c r="I330" s="33">
        <v>2.028</v>
      </c>
      <c r="J330" s="34">
        <v>182</v>
      </c>
      <c r="K330" s="34" t="s">
        <v>67</v>
      </c>
      <c r="L330" s="34" t="s">
        <v>20</v>
      </c>
      <c r="M330" s="43" t="s">
        <v>68</v>
      </c>
      <c r="N330" s="43"/>
      <c r="O330" s="34">
        <v>40</v>
      </c>
      <c r="P330" s="1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30" s="132"/>
      <c r="R330" s="132"/>
      <c r="S330" s="132"/>
      <c r="T330" s="133"/>
      <c r="U330" s="59" t="s">
        <v>20</v>
      </c>
      <c r="V330" s="59" t="s">
        <v>20</v>
      </c>
      <c r="W330" s="60" t="s">
        <v>69</v>
      </c>
      <c r="X330" s="61">
        <v>0</v>
      </c>
      <c r="Y330" s="67">
        <f t="shared" si="42"/>
        <v>0</v>
      </c>
      <c r="Z330" s="68" t="str">
        <f>IFERROR(IF(Y330=0,"",ROUNDUP(Y330/H330,0)*0.00651),"")</f>
        <v/>
      </c>
      <c r="AA330" s="69" t="s">
        <v>20</v>
      </c>
      <c r="AB330" s="70" t="s">
        <v>20</v>
      </c>
      <c r="AC330" s="71" t="s">
        <v>548</v>
      </c>
      <c r="AG330" s="74"/>
      <c r="AJ330" s="75" t="s">
        <v>20</v>
      </c>
      <c r="AK330" s="75">
        <v>0</v>
      </c>
      <c r="BB330" s="77" t="s">
        <v>1</v>
      </c>
      <c r="BM330" s="74">
        <f t="shared" si="43"/>
        <v>0</v>
      </c>
      <c r="BN330" s="74">
        <f t="shared" si="44"/>
        <v>0</v>
      </c>
      <c r="BO330" s="74">
        <f t="shared" si="45"/>
        <v>0</v>
      </c>
      <c r="BP330" s="74">
        <f t="shared" si="46"/>
        <v>0</v>
      </c>
    </row>
    <row r="331" spans="1:68" hidden="1" x14ac:dyDescent="0.2">
      <c r="A331" s="146"/>
      <c r="B331" s="146"/>
      <c r="C331" s="146"/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7"/>
      <c r="P331" s="142" t="s">
        <v>75</v>
      </c>
      <c r="Q331" s="143"/>
      <c r="R331" s="143"/>
      <c r="S331" s="143"/>
      <c r="T331" s="143"/>
      <c r="U331" s="143"/>
      <c r="V331" s="144"/>
      <c r="W331" s="62" t="s">
        <v>76</v>
      </c>
      <c r="X331" s="63">
        <f>IFERROR(X324/H324,"0")+IFERROR(X325/H325,"0")+IFERROR(X326/H326,"0")+IFERROR(X327/H327,"0")+IFERROR(X328/H328,"0")+IFERROR(X329/H329,"0")+IFERROR(X330/H330,"0")</f>
        <v>0</v>
      </c>
      <c r="Y331" s="63">
        <f>IFERROR(Y324/H324,"0")+IFERROR(Y325/H325,"0")+IFERROR(Y326/H326,"0")+IFERROR(Y327/H327,"0")+IFERROR(Y328/H328,"0")+IFERROR(Y329/H329,"0")+IFERROR(Y330/H330,"0")</f>
        <v>0</v>
      </c>
      <c r="Z331" s="63">
        <f>IFERROR(IF(Z324="",0,Z324),"0")+IFERROR(IF(Z325="",0,Z325),"0")+IFERROR(IF(Z326="",0,Z326),"0")+IFERROR(IF(Z327="",0,Z327),"0")+IFERROR(IF(Z328="",0,Z328),"0")+IFERROR(IF(Z329="",0,Z329),"0")+IFERROR(IF(Z330="",0,Z330),"0")</f>
        <v>0</v>
      </c>
      <c r="AA331" s="72"/>
      <c r="AB331" s="72"/>
      <c r="AC331" s="72"/>
    </row>
    <row r="332" spans="1:68" hidden="1" x14ac:dyDescent="0.2">
      <c r="A332" s="146"/>
      <c r="B332" s="146"/>
      <c r="C332" s="146"/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7"/>
      <c r="P332" s="142" t="s">
        <v>75</v>
      </c>
      <c r="Q332" s="143"/>
      <c r="R332" s="143"/>
      <c r="S332" s="143"/>
      <c r="T332" s="143"/>
      <c r="U332" s="143"/>
      <c r="V332" s="144"/>
      <c r="W332" s="62" t="s">
        <v>69</v>
      </c>
      <c r="X332" s="63">
        <f>IFERROR(SUM(X324:X330),"0")</f>
        <v>0</v>
      </c>
      <c r="Y332" s="63">
        <f>IFERROR(SUM(Y324:Y330),"0")</f>
        <v>0</v>
      </c>
      <c r="Z332" s="62"/>
      <c r="AA332" s="72"/>
      <c r="AB332" s="72"/>
      <c r="AC332" s="72"/>
    </row>
    <row r="333" spans="1:68" ht="14.25" hidden="1" customHeight="1" x14ac:dyDescent="0.25">
      <c r="A333" s="129" t="s">
        <v>77</v>
      </c>
      <c r="B333" s="129"/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30"/>
      <c r="AB333" s="30"/>
      <c r="AC333" s="30"/>
    </row>
    <row r="334" spans="1:68" ht="27" hidden="1" customHeight="1" x14ac:dyDescent="0.25">
      <c r="A334" s="31" t="s">
        <v>549</v>
      </c>
      <c r="B334" s="31" t="s">
        <v>550</v>
      </c>
      <c r="C334" s="32">
        <v>4301051100</v>
      </c>
      <c r="D334" s="130">
        <v>4607091387766</v>
      </c>
      <c r="E334" s="130"/>
      <c r="F334" s="33">
        <v>1.3</v>
      </c>
      <c r="G334" s="34">
        <v>6</v>
      </c>
      <c r="H334" s="33">
        <v>7.8</v>
      </c>
      <c r="I334" s="33">
        <v>8.2880000000000003</v>
      </c>
      <c r="J334" s="34">
        <v>64</v>
      </c>
      <c r="K334" s="34" t="s">
        <v>118</v>
      </c>
      <c r="L334" s="34" t="s">
        <v>20</v>
      </c>
      <c r="M334" s="43" t="s">
        <v>86</v>
      </c>
      <c r="N334" s="43"/>
      <c r="O334" s="34">
        <v>40</v>
      </c>
      <c r="P334" s="1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4" s="132"/>
      <c r="R334" s="132"/>
      <c r="S334" s="132"/>
      <c r="T334" s="133"/>
      <c r="U334" s="59" t="s">
        <v>20</v>
      </c>
      <c r="V334" s="59" t="s">
        <v>20</v>
      </c>
      <c r="W334" s="60" t="s">
        <v>69</v>
      </c>
      <c r="X334" s="61">
        <v>0</v>
      </c>
      <c r="Y334" s="67">
        <f>IFERROR(IF(X334="",0,CEILING((X334/$H334),1)*$H334),"")</f>
        <v>0</v>
      </c>
      <c r="Z334" s="68" t="str">
        <f>IFERROR(IF(Y334=0,"",ROUNDUP(Y334/H334,0)*0.01898),"")</f>
        <v/>
      </c>
      <c r="AA334" s="69" t="s">
        <v>20</v>
      </c>
      <c r="AB334" s="70" t="s">
        <v>20</v>
      </c>
      <c r="AC334" s="71" t="s">
        <v>551</v>
      </c>
      <c r="AG334" s="74"/>
      <c r="AJ334" s="75" t="s">
        <v>20</v>
      </c>
      <c r="AK334" s="75">
        <v>0</v>
      </c>
      <c r="BB334" s="77" t="s">
        <v>1</v>
      </c>
      <c r="BM334" s="74">
        <f>IFERROR(X334*I334/H334,"0")</f>
        <v>0</v>
      </c>
      <c r="BN334" s="74">
        <f>IFERROR(Y334*I334/H334,"0")</f>
        <v>0</v>
      </c>
      <c r="BO334" s="74">
        <f>IFERROR(1/J334*(X334/H334),"0")</f>
        <v>0</v>
      </c>
      <c r="BP334" s="74">
        <f>IFERROR(1/J334*(Y334/H334),"0")</f>
        <v>0</v>
      </c>
    </row>
    <row r="335" spans="1:68" ht="27" hidden="1" customHeight="1" x14ac:dyDescent="0.25">
      <c r="A335" s="31" t="s">
        <v>552</v>
      </c>
      <c r="B335" s="31" t="s">
        <v>553</v>
      </c>
      <c r="C335" s="32">
        <v>4301051818</v>
      </c>
      <c r="D335" s="130">
        <v>4607091387957</v>
      </c>
      <c r="E335" s="130"/>
      <c r="F335" s="33">
        <v>1.3</v>
      </c>
      <c r="G335" s="34">
        <v>6</v>
      </c>
      <c r="H335" s="33">
        <v>7.8</v>
      </c>
      <c r="I335" s="33">
        <v>8.2940000000000005</v>
      </c>
      <c r="J335" s="34">
        <v>64</v>
      </c>
      <c r="K335" s="34" t="s">
        <v>118</v>
      </c>
      <c r="L335" s="34" t="s">
        <v>20</v>
      </c>
      <c r="M335" s="43" t="s">
        <v>86</v>
      </c>
      <c r="N335" s="43"/>
      <c r="O335" s="34">
        <v>40</v>
      </c>
      <c r="P335" s="13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5" s="132"/>
      <c r="R335" s="132"/>
      <c r="S335" s="132"/>
      <c r="T335" s="133"/>
      <c r="U335" s="59" t="s">
        <v>20</v>
      </c>
      <c r="V335" s="59" t="s">
        <v>20</v>
      </c>
      <c r="W335" s="60" t="s">
        <v>69</v>
      </c>
      <c r="X335" s="61">
        <v>0</v>
      </c>
      <c r="Y335" s="67">
        <f>IFERROR(IF(X335="",0,CEILING((X335/$H335),1)*$H335),"")</f>
        <v>0</v>
      </c>
      <c r="Z335" s="68" t="str">
        <f>IFERROR(IF(Y335=0,"",ROUNDUP(Y335/H335,0)*0.01898),"")</f>
        <v/>
      </c>
      <c r="AA335" s="69" t="s">
        <v>20</v>
      </c>
      <c r="AB335" s="70" t="s">
        <v>20</v>
      </c>
      <c r="AC335" s="71" t="s">
        <v>554</v>
      </c>
      <c r="AG335" s="74"/>
      <c r="AJ335" s="75" t="s">
        <v>20</v>
      </c>
      <c r="AK335" s="75">
        <v>0</v>
      </c>
      <c r="BB335" s="77" t="s">
        <v>1</v>
      </c>
      <c r="BM335" s="74">
        <f>IFERROR(X335*I335/H335,"0")</f>
        <v>0</v>
      </c>
      <c r="BN335" s="74">
        <f>IFERROR(Y335*I335/H335,"0")</f>
        <v>0</v>
      </c>
      <c r="BO335" s="74">
        <f>IFERROR(1/J335*(X335/H335),"0")</f>
        <v>0</v>
      </c>
      <c r="BP335" s="74">
        <f>IFERROR(1/J335*(Y335/H335),"0")</f>
        <v>0</v>
      </c>
    </row>
    <row r="336" spans="1:68" ht="27" hidden="1" customHeight="1" x14ac:dyDescent="0.25">
      <c r="A336" s="31" t="s">
        <v>555</v>
      </c>
      <c r="B336" s="31" t="s">
        <v>556</v>
      </c>
      <c r="C336" s="32">
        <v>4301051819</v>
      </c>
      <c r="D336" s="130">
        <v>4607091387964</v>
      </c>
      <c r="E336" s="130"/>
      <c r="F336" s="33">
        <v>1.35</v>
      </c>
      <c r="G336" s="34">
        <v>6</v>
      </c>
      <c r="H336" s="33">
        <v>8.1</v>
      </c>
      <c r="I336" s="33">
        <v>8.5760000000000005</v>
      </c>
      <c r="J336" s="34">
        <v>64</v>
      </c>
      <c r="K336" s="34" t="s">
        <v>118</v>
      </c>
      <c r="L336" s="34" t="s">
        <v>20</v>
      </c>
      <c r="M336" s="43" t="s">
        <v>86</v>
      </c>
      <c r="N336" s="43"/>
      <c r="O336" s="34">
        <v>40</v>
      </c>
      <c r="P336" s="13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6" s="132"/>
      <c r="R336" s="132"/>
      <c r="S336" s="132"/>
      <c r="T336" s="133"/>
      <c r="U336" s="59" t="s">
        <v>20</v>
      </c>
      <c r="V336" s="59" t="s">
        <v>20</v>
      </c>
      <c r="W336" s="60" t="s">
        <v>69</v>
      </c>
      <c r="X336" s="61">
        <v>0</v>
      </c>
      <c r="Y336" s="67">
        <f>IFERROR(IF(X336="",0,CEILING((X336/$H336),1)*$H336),"")</f>
        <v>0</v>
      </c>
      <c r="Z336" s="68" t="str">
        <f>IFERROR(IF(Y336=0,"",ROUNDUP(Y336/H336,0)*0.01898),"")</f>
        <v/>
      </c>
      <c r="AA336" s="69" t="s">
        <v>20</v>
      </c>
      <c r="AB336" s="70" t="s">
        <v>20</v>
      </c>
      <c r="AC336" s="71" t="s">
        <v>557</v>
      </c>
      <c r="AG336" s="74"/>
      <c r="AJ336" s="75" t="s">
        <v>20</v>
      </c>
      <c r="AK336" s="75">
        <v>0</v>
      </c>
      <c r="BB336" s="77" t="s">
        <v>1</v>
      </c>
      <c r="BM336" s="74">
        <f>IFERROR(X336*I336/H336,"0")</f>
        <v>0</v>
      </c>
      <c r="BN336" s="74">
        <f>IFERROR(Y336*I336/H336,"0")</f>
        <v>0</v>
      </c>
      <c r="BO336" s="74">
        <f>IFERROR(1/J336*(X336/H336),"0")</f>
        <v>0</v>
      </c>
      <c r="BP336" s="74">
        <f>IFERROR(1/J336*(Y336/H336),"0")</f>
        <v>0</v>
      </c>
    </row>
    <row r="337" spans="1:68" ht="27" hidden="1" customHeight="1" x14ac:dyDescent="0.25">
      <c r="A337" s="31" t="s">
        <v>558</v>
      </c>
      <c r="B337" s="31" t="s">
        <v>559</v>
      </c>
      <c r="C337" s="32">
        <v>4301051734</v>
      </c>
      <c r="D337" s="130">
        <v>4680115884588</v>
      </c>
      <c r="E337" s="130"/>
      <c r="F337" s="33">
        <v>0.5</v>
      </c>
      <c r="G337" s="34">
        <v>6</v>
      </c>
      <c r="H337" s="33">
        <v>3</v>
      </c>
      <c r="I337" s="33">
        <v>3.246</v>
      </c>
      <c r="J337" s="34">
        <v>182</v>
      </c>
      <c r="K337" s="34" t="s">
        <v>67</v>
      </c>
      <c r="L337" s="34" t="s">
        <v>20</v>
      </c>
      <c r="M337" s="43" t="s">
        <v>86</v>
      </c>
      <c r="N337" s="43"/>
      <c r="O337" s="34">
        <v>40</v>
      </c>
      <c r="P337" s="1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7" s="132"/>
      <c r="R337" s="132"/>
      <c r="S337" s="132"/>
      <c r="T337" s="133"/>
      <c r="U337" s="59" t="s">
        <v>20</v>
      </c>
      <c r="V337" s="59" t="s">
        <v>20</v>
      </c>
      <c r="W337" s="60" t="s">
        <v>69</v>
      </c>
      <c r="X337" s="61">
        <v>0</v>
      </c>
      <c r="Y337" s="67">
        <f>IFERROR(IF(X337="",0,CEILING((X337/$H337),1)*$H337),"")</f>
        <v>0</v>
      </c>
      <c r="Z337" s="68" t="str">
        <f>IFERROR(IF(Y337=0,"",ROUNDUP(Y337/H337,0)*0.00651),"")</f>
        <v/>
      </c>
      <c r="AA337" s="69" t="s">
        <v>20</v>
      </c>
      <c r="AB337" s="70" t="s">
        <v>20</v>
      </c>
      <c r="AC337" s="71" t="s">
        <v>560</v>
      </c>
      <c r="AG337" s="74"/>
      <c r="AJ337" s="75" t="s">
        <v>20</v>
      </c>
      <c r="AK337" s="75">
        <v>0</v>
      </c>
      <c r="BB337" s="77" t="s">
        <v>1</v>
      </c>
      <c r="BM337" s="74">
        <f>IFERROR(X337*I337/H337,"0")</f>
        <v>0</v>
      </c>
      <c r="BN337" s="74">
        <f>IFERROR(Y337*I337/H337,"0")</f>
        <v>0</v>
      </c>
      <c r="BO337" s="74">
        <f>IFERROR(1/J337*(X337/H337),"0")</f>
        <v>0</v>
      </c>
      <c r="BP337" s="74">
        <f>IFERROR(1/J337*(Y337/H337),"0")</f>
        <v>0</v>
      </c>
    </row>
    <row r="338" spans="1:68" hidden="1" x14ac:dyDescent="0.2">
      <c r="A338" s="146"/>
      <c r="B338" s="146"/>
      <c r="C338" s="146"/>
      <c r="D338" s="146"/>
      <c r="E338" s="146"/>
      <c r="F338" s="146"/>
      <c r="G338" s="146"/>
      <c r="H338" s="146"/>
      <c r="I338" s="146"/>
      <c r="J338" s="146"/>
      <c r="K338" s="146"/>
      <c r="L338" s="146"/>
      <c r="M338" s="146"/>
      <c r="N338" s="146"/>
      <c r="O338" s="147"/>
      <c r="P338" s="142" t="s">
        <v>75</v>
      </c>
      <c r="Q338" s="143"/>
      <c r="R338" s="143"/>
      <c r="S338" s="143"/>
      <c r="T338" s="143"/>
      <c r="U338" s="143"/>
      <c r="V338" s="144"/>
      <c r="W338" s="62" t="s">
        <v>76</v>
      </c>
      <c r="X338" s="63">
        <f>IFERROR(X334/H334,"0")+IFERROR(X335/H335,"0")+IFERROR(X336/H336,"0")+IFERROR(X337/H337,"0")</f>
        <v>0</v>
      </c>
      <c r="Y338" s="63">
        <f>IFERROR(Y334/H334,"0")+IFERROR(Y335/H335,"0")+IFERROR(Y336/H336,"0")+IFERROR(Y337/H337,"0")</f>
        <v>0</v>
      </c>
      <c r="Z338" s="63">
        <f>IFERROR(IF(Z334="",0,Z334),"0")+IFERROR(IF(Z335="",0,Z335),"0")+IFERROR(IF(Z336="",0,Z336),"0")+IFERROR(IF(Z337="",0,Z337),"0")</f>
        <v>0</v>
      </c>
      <c r="AA338" s="72"/>
      <c r="AB338" s="72"/>
      <c r="AC338" s="72"/>
    </row>
    <row r="339" spans="1:68" hidden="1" x14ac:dyDescent="0.2">
      <c r="A339" s="146"/>
      <c r="B339" s="146"/>
      <c r="C339" s="146"/>
      <c r="D339" s="146"/>
      <c r="E339" s="146"/>
      <c r="F339" s="146"/>
      <c r="G339" s="146"/>
      <c r="H339" s="146"/>
      <c r="I339" s="146"/>
      <c r="J339" s="146"/>
      <c r="K339" s="146"/>
      <c r="L339" s="146"/>
      <c r="M339" s="146"/>
      <c r="N339" s="146"/>
      <c r="O339" s="147"/>
      <c r="P339" s="142" t="s">
        <v>75</v>
      </c>
      <c r="Q339" s="143"/>
      <c r="R339" s="143"/>
      <c r="S339" s="143"/>
      <c r="T339" s="143"/>
      <c r="U339" s="143"/>
      <c r="V339" s="144"/>
      <c r="W339" s="62" t="s">
        <v>69</v>
      </c>
      <c r="X339" s="63">
        <f>IFERROR(SUM(X334:X337),"0")</f>
        <v>0</v>
      </c>
      <c r="Y339" s="63">
        <f>IFERROR(SUM(Y334:Y337),"0")</f>
        <v>0</v>
      </c>
      <c r="Z339" s="62"/>
      <c r="AA339" s="72"/>
      <c r="AB339" s="72"/>
      <c r="AC339" s="72"/>
    </row>
    <row r="340" spans="1:68" ht="14.25" hidden="1" customHeight="1" x14ac:dyDescent="0.25">
      <c r="A340" s="129" t="s">
        <v>179</v>
      </c>
      <c r="B340" s="129"/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30"/>
      <c r="AB340" s="30"/>
      <c r="AC340" s="30"/>
    </row>
    <row r="341" spans="1:68" ht="27" hidden="1" customHeight="1" x14ac:dyDescent="0.25">
      <c r="A341" s="31" t="s">
        <v>561</v>
      </c>
      <c r="B341" s="31" t="s">
        <v>562</v>
      </c>
      <c r="C341" s="32">
        <v>4301060387</v>
      </c>
      <c r="D341" s="130">
        <v>4607091380880</v>
      </c>
      <c r="E341" s="130"/>
      <c r="F341" s="33">
        <v>1.4</v>
      </c>
      <c r="G341" s="34">
        <v>6</v>
      </c>
      <c r="H341" s="33">
        <v>8.4</v>
      </c>
      <c r="I341" s="33">
        <v>8.8940000000000001</v>
      </c>
      <c r="J341" s="34">
        <v>64</v>
      </c>
      <c r="K341" s="34" t="s">
        <v>118</v>
      </c>
      <c r="L341" s="34" t="s">
        <v>20</v>
      </c>
      <c r="M341" s="43" t="s">
        <v>86</v>
      </c>
      <c r="N341" s="43"/>
      <c r="O341" s="34">
        <v>30</v>
      </c>
      <c r="P341" s="1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1" s="132"/>
      <c r="R341" s="132"/>
      <c r="S341" s="132"/>
      <c r="T341" s="133"/>
      <c r="U341" s="59" t="s">
        <v>20</v>
      </c>
      <c r="V341" s="59" t="s">
        <v>20</v>
      </c>
      <c r="W341" s="60" t="s">
        <v>69</v>
      </c>
      <c r="X341" s="61">
        <v>0</v>
      </c>
      <c r="Y341" s="67">
        <f>IFERROR(IF(X341="",0,CEILING((X341/$H341),1)*$H341),"")</f>
        <v>0</v>
      </c>
      <c r="Z341" s="68" t="str">
        <f>IFERROR(IF(Y341=0,"",ROUNDUP(Y341/H341,0)*0.01898),"")</f>
        <v/>
      </c>
      <c r="AA341" s="69" t="s">
        <v>20</v>
      </c>
      <c r="AB341" s="70" t="s">
        <v>20</v>
      </c>
      <c r="AC341" s="71" t="s">
        <v>563</v>
      </c>
      <c r="AG341" s="74"/>
      <c r="AJ341" s="75" t="s">
        <v>20</v>
      </c>
      <c r="AK341" s="75">
        <v>0</v>
      </c>
      <c r="BB341" s="77" t="s">
        <v>1</v>
      </c>
      <c r="BM341" s="74">
        <f>IFERROR(X341*I341/H341,"0")</f>
        <v>0</v>
      </c>
      <c r="BN341" s="74">
        <f>IFERROR(Y341*I341/H341,"0")</f>
        <v>0</v>
      </c>
      <c r="BO341" s="74">
        <f>IFERROR(1/J341*(X341/H341),"0")</f>
        <v>0</v>
      </c>
      <c r="BP341" s="74">
        <f>IFERROR(1/J341*(Y341/H341),"0")</f>
        <v>0</v>
      </c>
    </row>
    <row r="342" spans="1:68" ht="27" customHeight="1" x14ac:dyDescent="0.25">
      <c r="A342" s="31" t="s">
        <v>564</v>
      </c>
      <c r="B342" s="31" t="s">
        <v>565</v>
      </c>
      <c r="C342" s="32">
        <v>4301060406</v>
      </c>
      <c r="D342" s="130">
        <v>4607091384482</v>
      </c>
      <c r="E342" s="130"/>
      <c r="F342" s="33">
        <v>1.3</v>
      </c>
      <c r="G342" s="34">
        <v>6</v>
      </c>
      <c r="H342" s="33">
        <v>7.8</v>
      </c>
      <c r="I342" s="33">
        <v>8.2940000000000005</v>
      </c>
      <c r="J342" s="34">
        <v>64</v>
      </c>
      <c r="K342" s="34" t="s">
        <v>118</v>
      </c>
      <c r="L342" s="34" t="s">
        <v>20</v>
      </c>
      <c r="M342" s="43" t="s">
        <v>86</v>
      </c>
      <c r="N342" s="43"/>
      <c r="O342" s="34">
        <v>30</v>
      </c>
      <c r="P342" s="1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2" s="132"/>
      <c r="R342" s="132"/>
      <c r="S342" s="132"/>
      <c r="T342" s="133"/>
      <c r="U342" s="59" t="s">
        <v>20</v>
      </c>
      <c r="V342" s="59" t="s">
        <v>20</v>
      </c>
      <c r="W342" s="60" t="s">
        <v>69</v>
      </c>
      <c r="X342" s="61">
        <v>250</v>
      </c>
      <c r="Y342" s="67">
        <f>IFERROR(IF(X342="",0,CEILING((X342/$H342),1)*$H342),"")</f>
        <v>257.39999999999998</v>
      </c>
      <c r="Z342" s="68">
        <f>IFERROR(IF(Y342=0,"",ROUNDUP(Y342/H342,0)*0.01898),"")</f>
        <v>0.62634000000000001</v>
      </c>
      <c r="AA342" s="69" t="s">
        <v>20</v>
      </c>
      <c r="AB342" s="70" t="s">
        <v>20</v>
      </c>
      <c r="AC342" s="71" t="s">
        <v>566</v>
      </c>
      <c r="AG342" s="74"/>
      <c r="AJ342" s="75" t="s">
        <v>20</v>
      </c>
      <c r="AK342" s="75">
        <v>0</v>
      </c>
      <c r="BB342" s="77" t="s">
        <v>1</v>
      </c>
      <c r="BM342" s="74">
        <f>IFERROR(X342*I342/H342,"0")</f>
        <v>265.83333333333331</v>
      </c>
      <c r="BN342" s="74">
        <f>IFERROR(Y342*I342/H342,"0")</f>
        <v>273.702</v>
      </c>
      <c r="BO342" s="74">
        <f>IFERROR(1/J342*(X342/H342),"0")</f>
        <v>0.50080128205128205</v>
      </c>
      <c r="BP342" s="74">
        <f>IFERROR(1/J342*(Y342/H342),"0")</f>
        <v>0.515625</v>
      </c>
    </row>
    <row r="343" spans="1:68" ht="16.5" hidden="1" customHeight="1" x14ac:dyDescent="0.25">
      <c r="A343" s="31" t="s">
        <v>567</v>
      </c>
      <c r="B343" s="31" t="s">
        <v>568</v>
      </c>
      <c r="C343" s="32">
        <v>4301060484</v>
      </c>
      <c r="D343" s="130">
        <v>4607091380897</v>
      </c>
      <c r="E343" s="130"/>
      <c r="F343" s="33">
        <v>1.4</v>
      </c>
      <c r="G343" s="34">
        <v>6</v>
      </c>
      <c r="H343" s="33">
        <v>8.4</v>
      </c>
      <c r="I343" s="33">
        <v>8.8940000000000001</v>
      </c>
      <c r="J343" s="34">
        <v>64</v>
      </c>
      <c r="K343" s="34" t="s">
        <v>118</v>
      </c>
      <c r="L343" s="34" t="s">
        <v>20</v>
      </c>
      <c r="M343" s="43" t="s">
        <v>80</v>
      </c>
      <c r="N343" s="43"/>
      <c r="O343" s="34">
        <v>30</v>
      </c>
      <c r="P343" s="13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3" s="132"/>
      <c r="R343" s="132"/>
      <c r="S343" s="132"/>
      <c r="T343" s="133"/>
      <c r="U343" s="59" t="s">
        <v>20</v>
      </c>
      <c r="V343" s="59" t="s">
        <v>20</v>
      </c>
      <c r="W343" s="60" t="s">
        <v>69</v>
      </c>
      <c r="X343" s="61">
        <v>0</v>
      </c>
      <c r="Y343" s="67">
        <f>IFERROR(IF(X343="",0,CEILING((X343/$H343),1)*$H343),"")</f>
        <v>0</v>
      </c>
      <c r="Z343" s="68" t="str">
        <f>IFERROR(IF(Y343=0,"",ROUNDUP(Y343/H343,0)*0.01898),"")</f>
        <v/>
      </c>
      <c r="AA343" s="69" t="s">
        <v>20</v>
      </c>
      <c r="AB343" s="70" t="s">
        <v>20</v>
      </c>
      <c r="AC343" s="71" t="s">
        <v>569</v>
      </c>
      <c r="AG343" s="74"/>
      <c r="AJ343" s="75" t="s">
        <v>20</v>
      </c>
      <c r="AK343" s="75">
        <v>0</v>
      </c>
      <c r="BB343" s="77" t="s">
        <v>1</v>
      </c>
      <c r="BM343" s="74">
        <f>IFERROR(X343*I343/H343,"0")</f>
        <v>0</v>
      </c>
      <c r="BN343" s="74">
        <f>IFERROR(Y343*I343/H343,"0")</f>
        <v>0</v>
      </c>
      <c r="BO343" s="74">
        <f>IFERROR(1/J343*(X343/H343),"0")</f>
        <v>0</v>
      </c>
      <c r="BP343" s="74">
        <f>IFERROR(1/J343*(Y343/H343),"0")</f>
        <v>0</v>
      </c>
    </row>
    <row r="344" spans="1:68" x14ac:dyDescent="0.2">
      <c r="A344" s="146"/>
      <c r="B344" s="146"/>
      <c r="C344" s="146"/>
      <c r="D344" s="146"/>
      <c r="E344" s="146"/>
      <c r="F344" s="146"/>
      <c r="G344" s="146"/>
      <c r="H344" s="146"/>
      <c r="I344" s="146"/>
      <c r="J344" s="146"/>
      <c r="K344" s="146"/>
      <c r="L344" s="146"/>
      <c r="M344" s="146"/>
      <c r="N344" s="146"/>
      <c r="O344" s="147"/>
      <c r="P344" s="142" t="s">
        <v>75</v>
      </c>
      <c r="Q344" s="143"/>
      <c r="R344" s="143"/>
      <c r="S344" s="143"/>
      <c r="T344" s="143"/>
      <c r="U344" s="143"/>
      <c r="V344" s="144"/>
      <c r="W344" s="62" t="s">
        <v>76</v>
      </c>
      <c r="X344" s="63">
        <f>IFERROR(X341/H341,"0")+IFERROR(X342/H342,"0")+IFERROR(X343/H343,"0")</f>
        <v>32.051282051282051</v>
      </c>
      <c r="Y344" s="63">
        <f>IFERROR(Y341/H341,"0")+IFERROR(Y342/H342,"0")+IFERROR(Y343/H343,"0")</f>
        <v>33</v>
      </c>
      <c r="Z344" s="63">
        <f>IFERROR(IF(Z341="",0,Z341),"0")+IFERROR(IF(Z342="",0,Z342),"0")+IFERROR(IF(Z343="",0,Z343),"0")</f>
        <v>0.62634000000000001</v>
      </c>
      <c r="AA344" s="72"/>
      <c r="AB344" s="72"/>
      <c r="AC344" s="72"/>
    </row>
    <row r="345" spans="1:68" x14ac:dyDescent="0.2">
      <c r="A345" s="146"/>
      <c r="B345" s="146"/>
      <c r="C345" s="146"/>
      <c r="D345" s="146"/>
      <c r="E345" s="146"/>
      <c r="F345" s="146"/>
      <c r="G345" s="146"/>
      <c r="H345" s="146"/>
      <c r="I345" s="146"/>
      <c r="J345" s="146"/>
      <c r="K345" s="146"/>
      <c r="L345" s="146"/>
      <c r="M345" s="146"/>
      <c r="N345" s="146"/>
      <c r="O345" s="147"/>
      <c r="P345" s="142" t="s">
        <v>75</v>
      </c>
      <c r="Q345" s="143"/>
      <c r="R345" s="143"/>
      <c r="S345" s="143"/>
      <c r="T345" s="143"/>
      <c r="U345" s="143"/>
      <c r="V345" s="144"/>
      <c r="W345" s="62" t="s">
        <v>69</v>
      </c>
      <c r="X345" s="63">
        <f>IFERROR(SUM(X341:X343),"0")</f>
        <v>250</v>
      </c>
      <c r="Y345" s="63">
        <f>IFERROR(SUM(Y341:Y343),"0")</f>
        <v>257.39999999999998</v>
      </c>
      <c r="Z345" s="62"/>
      <c r="AA345" s="72"/>
      <c r="AB345" s="72"/>
      <c r="AC345" s="72"/>
    </row>
    <row r="346" spans="1:68" ht="14.25" hidden="1" customHeight="1" x14ac:dyDescent="0.25">
      <c r="A346" s="129" t="s">
        <v>102</v>
      </c>
      <c r="B346" s="129"/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30"/>
      <c r="AB346" s="30"/>
      <c r="AC346" s="30"/>
    </row>
    <row r="347" spans="1:68" ht="27" hidden="1" customHeight="1" x14ac:dyDescent="0.25">
      <c r="A347" s="31" t="s">
        <v>570</v>
      </c>
      <c r="B347" s="31" t="s">
        <v>571</v>
      </c>
      <c r="C347" s="32">
        <v>4301030235</v>
      </c>
      <c r="D347" s="130">
        <v>4607091388381</v>
      </c>
      <c r="E347" s="130"/>
      <c r="F347" s="33">
        <v>0.38</v>
      </c>
      <c r="G347" s="34">
        <v>8</v>
      </c>
      <c r="H347" s="33">
        <v>3.04</v>
      </c>
      <c r="I347" s="33">
        <v>3.31</v>
      </c>
      <c r="J347" s="34">
        <v>132</v>
      </c>
      <c r="K347" s="34" t="s">
        <v>128</v>
      </c>
      <c r="L347" s="34" t="s">
        <v>20</v>
      </c>
      <c r="M347" s="43" t="s">
        <v>105</v>
      </c>
      <c r="N347" s="43"/>
      <c r="O347" s="34">
        <v>180</v>
      </c>
      <c r="P347" s="1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7" s="132"/>
      <c r="R347" s="132"/>
      <c r="S347" s="132"/>
      <c r="T347" s="133"/>
      <c r="U347" s="59" t="s">
        <v>20</v>
      </c>
      <c r="V347" s="59" t="s">
        <v>20</v>
      </c>
      <c r="W347" s="60" t="s">
        <v>69</v>
      </c>
      <c r="X347" s="61">
        <v>0</v>
      </c>
      <c r="Y347" s="67">
        <f>IFERROR(IF(X347="",0,CEILING((X347/$H347),1)*$H347),"")</f>
        <v>0</v>
      </c>
      <c r="Z347" s="68" t="str">
        <f>IFERROR(IF(Y347=0,"",ROUNDUP(Y347/H347,0)*0.00902),"")</f>
        <v/>
      </c>
      <c r="AA347" s="69" t="s">
        <v>20</v>
      </c>
      <c r="AB347" s="70" t="s">
        <v>20</v>
      </c>
      <c r="AC347" s="71" t="s">
        <v>572</v>
      </c>
      <c r="AG347" s="74"/>
      <c r="AJ347" s="75" t="s">
        <v>20</v>
      </c>
      <c r="AK347" s="75">
        <v>0</v>
      </c>
      <c r="BB347" s="77" t="s">
        <v>1</v>
      </c>
      <c r="BM347" s="74">
        <f>IFERROR(X347*I347/H347,"0")</f>
        <v>0</v>
      </c>
      <c r="BN347" s="74">
        <f>IFERROR(Y347*I347/H347,"0")</f>
        <v>0</v>
      </c>
      <c r="BO347" s="74">
        <f>IFERROR(1/J347*(X347/H347),"0")</f>
        <v>0</v>
      </c>
      <c r="BP347" s="74">
        <f>IFERROR(1/J347*(Y347/H347),"0")</f>
        <v>0</v>
      </c>
    </row>
    <row r="348" spans="1:68" ht="27" hidden="1" customHeight="1" x14ac:dyDescent="0.25">
      <c r="A348" s="31" t="s">
        <v>573</v>
      </c>
      <c r="B348" s="31" t="s">
        <v>574</v>
      </c>
      <c r="C348" s="32">
        <v>4301030232</v>
      </c>
      <c r="D348" s="130">
        <v>4607091388374</v>
      </c>
      <c r="E348" s="130"/>
      <c r="F348" s="33">
        <v>0.38</v>
      </c>
      <c r="G348" s="34">
        <v>8</v>
      </c>
      <c r="H348" s="33">
        <v>3.04</v>
      </c>
      <c r="I348" s="33">
        <v>3.27</v>
      </c>
      <c r="J348" s="34">
        <v>132</v>
      </c>
      <c r="K348" s="34" t="s">
        <v>128</v>
      </c>
      <c r="L348" s="34" t="s">
        <v>20</v>
      </c>
      <c r="M348" s="43" t="s">
        <v>105</v>
      </c>
      <c r="N348" s="43"/>
      <c r="O348" s="34">
        <v>180</v>
      </c>
      <c r="P348" s="13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8" s="132"/>
      <c r="R348" s="132"/>
      <c r="S348" s="132"/>
      <c r="T348" s="133"/>
      <c r="U348" s="59" t="s">
        <v>20</v>
      </c>
      <c r="V348" s="59" t="s">
        <v>20</v>
      </c>
      <c r="W348" s="60" t="s">
        <v>69</v>
      </c>
      <c r="X348" s="61">
        <v>0</v>
      </c>
      <c r="Y348" s="67">
        <f>IFERROR(IF(X348="",0,CEILING((X348/$H348),1)*$H348),"")</f>
        <v>0</v>
      </c>
      <c r="Z348" s="68" t="str">
        <f>IFERROR(IF(Y348=0,"",ROUNDUP(Y348/H348,0)*0.00902),"")</f>
        <v/>
      </c>
      <c r="AA348" s="69" t="s">
        <v>20</v>
      </c>
      <c r="AB348" s="70" t="s">
        <v>20</v>
      </c>
      <c r="AC348" s="71" t="s">
        <v>572</v>
      </c>
      <c r="AG348" s="74"/>
      <c r="AJ348" s="75" t="s">
        <v>20</v>
      </c>
      <c r="AK348" s="75">
        <v>0</v>
      </c>
      <c r="BB348" s="77" t="s">
        <v>1</v>
      </c>
      <c r="BM348" s="74">
        <f>IFERROR(X348*I348/H348,"0")</f>
        <v>0</v>
      </c>
      <c r="BN348" s="74">
        <f>IFERROR(Y348*I348/H348,"0")</f>
        <v>0</v>
      </c>
      <c r="BO348" s="74">
        <f>IFERROR(1/J348*(X348/H348),"0")</f>
        <v>0</v>
      </c>
      <c r="BP348" s="74">
        <f>IFERROR(1/J348*(Y348/H348),"0")</f>
        <v>0</v>
      </c>
    </row>
    <row r="349" spans="1:68" ht="27" hidden="1" customHeight="1" x14ac:dyDescent="0.25">
      <c r="A349" s="31" t="s">
        <v>575</v>
      </c>
      <c r="B349" s="31" t="s">
        <v>576</v>
      </c>
      <c r="C349" s="32">
        <v>4301032015</v>
      </c>
      <c r="D349" s="130">
        <v>4607091383102</v>
      </c>
      <c r="E349" s="130"/>
      <c r="F349" s="33">
        <v>0.17</v>
      </c>
      <c r="G349" s="34">
        <v>15</v>
      </c>
      <c r="H349" s="33">
        <v>2.5499999999999998</v>
      </c>
      <c r="I349" s="33">
        <v>2.9550000000000001</v>
      </c>
      <c r="J349" s="34">
        <v>182</v>
      </c>
      <c r="K349" s="34" t="s">
        <v>67</v>
      </c>
      <c r="L349" s="34" t="s">
        <v>20</v>
      </c>
      <c r="M349" s="43" t="s">
        <v>105</v>
      </c>
      <c r="N349" s="43"/>
      <c r="O349" s="34">
        <v>180</v>
      </c>
      <c r="P349" s="1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9" s="132"/>
      <c r="R349" s="132"/>
      <c r="S349" s="132"/>
      <c r="T349" s="133"/>
      <c r="U349" s="59" t="s">
        <v>20</v>
      </c>
      <c r="V349" s="59" t="s">
        <v>20</v>
      </c>
      <c r="W349" s="60" t="s">
        <v>69</v>
      </c>
      <c r="X349" s="61">
        <v>0</v>
      </c>
      <c r="Y349" s="67">
        <f>IFERROR(IF(X349="",0,CEILING((X349/$H349),1)*$H349),"")</f>
        <v>0</v>
      </c>
      <c r="Z349" s="68" t="str">
        <f>IFERROR(IF(Y349=0,"",ROUNDUP(Y349/H349,0)*0.00651),"")</f>
        <v/>
      </c>
      <c r="AA349" s="69" t="s">
        <v>20</v>
      </c>
      <c r="AB349" s="70" t="s">
        <v>20</v>
      </c>
      <c r="AC349" s="71" t="s">
        <v>572</v>
      </c>
      <c r="AG349" s="74"/>
      <c r="AJ349" s="75" t="s">
        <v>20</v>
      </c>
      <c r="AK349" s="75">
        <v>0</v>
      </c>
      <c r="BB349" s="77" t="s">
        <v>1</v>
      </c>
      <c r="BM349" s="74">
        <f>IFERROR(X349*I349/H349,"0")</f>
        <v>0</v>
      </c>
      <c r="BN349" s="74">
        <f>IFERROR(Y349*I349/H349,"0")</f>
        <v>0</v>
      </c>
      <c r="BO349" s="74">
        <f>IFERROR(1/J349*(X349/H349),"0")</f>
        <v>0</v>
      </c>
      <c r="BP349" s="74">
        <f>IFERROR(1/J349*(Y349/H349),"0")</f>
        <v>0</v>
      </c>
    </row>
    <row r="350" spans="1:68" ht="27" hidden="1" customHeight="1" x14ac:dyDescent="0.25">
      <c r="A350" s="31" t="s">
        <v>577</v>
      </c>
      <c r="B350" s="31" t="s">
        <v>578</v>
      </c>
      <c r="C350" s="32">
        <v>4301030233</v>
      </c>
      <c r="D350" s="130">
        <v>4607091388404</v>
      </c>
      <c r="E350" s="130"/>
      <c r="F350" s="33">
        <v>0.17</v>
      </c>
      <c r="G350" s="34">
        <v>15</v>
      </c>
      <c r="H350" s="33">
        <v>2.5499999999999998</v>
      </c>
      <c r="I350" s="33">
        <v>2.88</v>
      </c>
      <c r="J350" s="34">
        <v>182</v>
      </c>
      <c r="K350" s="34" t="s">
        <v>67</v>
      </c>
      <c r="L350" s="34" t="s">
        <v>20</v>
      </c>
      <c r="M350" s="43" t="s">
        <v>105</v>
      </c>
      <c r="N350" s="43"/>
      <c r="O350" s="34">
        <v>180</v>
      </c>
      <c r="P350" s="1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0" s="132"/>
      <c r="R350" s="132"/>
      <c r="S350" s="132"/>
      <c r="T350" s="133"/>
      <c r="U350" s="59" t="s">
        <v>20</v>
      </c>
      <c r="V350" s="59" t="s">
        <v>20</v>
      </c>
      <c r="W350" s="60" t="s">
        <v>69</v>
      </c>
      <c r="X350" s="61">
        <v>0</v>
      </c>
      <c r="Y350" s="67">
        <f>IFERROR(IF(X350="",0,CEILING((X350/$H350),1)*$H350),"")</f>
        <v>0</v>
      </c>
      <c r="Z350" s="68" t="str">
        <f>IFERROR(IF(Y350=0,"",ROUNDUP(Y350/H350,0)*0.00651),"")</f>
        <v/>
      </c>
      <c r="AA350" s="69" t="s">
        <v>20</v>
      </c>
      <c r="AB350" s="70" t="s">
        <v>20</v>
      </c>
      <c r="AC350" s="71" t="s">
        <v>572</v>
      </c>
      <c r="AG350" s="74"/>
      <c r="AJ350" s="75" t="s">
        <v>20</v>
      </c>
      <c r="AK350" s="75">
        <v>0</v>
      </c>
      <c r="BB350" s="77" t="s">
        <v>1</v>
      </c>
      <c r="BM350" s="74">
        <f>IFERROR(X350*I350/H350,"0")</f>
        <v>0</v>
      </c>
      <c r="BN350" s="74">
        <f>IFERROR(Y350*I350/H350,"0")</f>
        <v>0</v>
      </c>
      <c r="BO350" s="74">
        <f>IFERROR(1/J350*(X350/H350),"0")</f>
        <v>0</v>
      </c>
      <c r="BP350" s="74">
        <f>IFERROR(1/J350*(Y350/H350),"0")</f>
        <v>0</v>
      </c>
    </row>
    <row r="351" spans="1:68" hidden="1" x14ac:dyDescent="0.2">
      <c r="A351" s="146"/>
      <c r="B351" s="146"/>
      <c r="C351" s="146"/>
      <c r="D351" s="146"/>
      <c r="E351" s="146"/>
      <c r="F351" s="146"/>
      <c r="G351" s="146"/>
      <c r="H351" s="146"/>
      <c r="I351" s="146"/>
      <c r="J351" s="146"/>
      <c r="K351" s="146"/>
      <c r="L351" s="146"/>
      <c r="M351" s="146"/>
      <c r="N351" s="146"/>
      <c r="O351" s="147"/>
      <c r="P351" s="142" t="s">
        <v>75</v>
      </c>
      <c r="Q351" s="143"/>
      <c r="R351" s="143"/>
      <c r="S351" s="143"/>
      <c r="T351" s="143"/>
      <c r="U351" s="143"/>
      <c r="V351" s="144"/>
      <c r="W351" s="62" t="s">
        <v>76</v>
      </c>
      <c r="X351" s="63">
        <f>IFERROR(X347/H347,"0")+IFERROR(X348/H348,"0")+IFERROR(X349/H349,"0")+IFERROR(X350/H350,"0")</f>
        <v>0</v>
      </c>
      <c r="Y351" s="63">
        <f>IFERROR(Y347/H347,"0")+IFERROR(Y348/H348,"0")+IFERROR(Y349/H349,"0")+IFERROR(Y350/H350,"0")</f>
        <v>0</v>
      </c>
      <c r="Z351" s="63">
        <f>IFERROR(IF(Z347="",0,Z347),"0")+IFERROR(IF(Z348="",0,Z348),"0")+IFERROR(IF(Z349="",0,Z349),"0")+IFERROR(IF(Z350="",0,Z350),"0")</f>
        <v>0</v>
      </c>
      <c r="AA351" s="72"/>
      <c r="AB351" s="72"/>
      <c r="AC351" s="72"/>
    </row>
    <row r="352" spans="1:68" hidden="1" x14ac:dyDescent="0.2">
      <c r="A352" s="146"/>
      <c r="B352" s="146"/>
      <c r="C352" s="146"/>
      <c r="D352" s="146"/>
      <c r="E352" s="146"/>
      <c r="F352" s="146"/>
      <c r="G352" s="146"/>
      <c r="H352" s="146"/>
      <c r="I352" s="146"/>
      <c r="J352" s="146"/>
      <c r="K352" s="146"/>
      <c r="L352" s="146"/>
      <c r="M352" s="146"/>
      <c r="N352" s="146"/>
      <c r="O352" s="147"/>
      <c r="P352" s="142" t="s">
        <v>75</v>
      </c>
      <c r="Q352" s="143"/>
      <c r="R352" s="143"/>
      <c r="S352" s="143"/>
      <c r="T352" s="143"/>
      <c r="U352" s="143"/>
      <c r="V352" s="144"/>
      <c r="W352" s="62" t="s">
        <v>69</v>
      </c>
      <c r="X352" s="63">
        <f>IFERROR(SUM(X347:X350),"0")</f>
        <v>0</v>
      </c>
      <c r="Y352" s="63">
        <f>IFERROR(SUM(Y347:Y350),"0")</f>
        <v>0</v>
      </c>
      <c r="Z352" s="62"/>
      <c r="AA352" s="72"/>
      <c r="AB352" s="72"/>
      <c r="AC352" s="72"/>
    </row>
    <row r="353" spans="1:68" ht="14.25" hidden="1" customHeight="1" x14ac:dyDescent="0.25">
      <c r="A353" s="129" t="s">
        <v>579</v>
      </c>
      <c r="B353" s="129"/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30"/>
      <c r="AB353" s="30"/>
      <c r="AC353" s="30"/>
    </row>
    <row r="354" spans="1:68" ht="16.5" customHeight="1" x14ac:dyDescent="0.25">
      <c r="A354" s="31" t="s">
        <v>580</v>
      </c>
      <c r="B354" s="31" t="s">
        <v>581</v>
      </c>
      <c r="C354" s="32">
        <v>4301180007</v>
      </c>
      <c r="D354" s="130">
        <v>4680115881808</v>
      </c>
      <c r="E354" s="130"/>
      <c r="F354" s="33">
        <v>0.1</v>
      </c>
      <c r="G354" s="34">
        <v>20</v>
      </c>
      <c r="H354" s="33">
        <v>2</v>
      </c>
      <c r="I354" s="33">
        <v>2.2400000000000002</v>
      </c>
      <c r="J354" s="34">
        <v>238</v>
      </c>
      <c r="K354" s="34" t="s">
        <v>67</v>
      </c>
      <c r="L354" s="34" t="s">
        <v>20</v>
      </c>
      <c r="M354" s="43" t="s">
        <v>582</v>
      </c>
      <c r="N354" s="43"/>
      <c r="O354" s="34">
        <v>730</v>
      </c>
      <c r="P354" s="1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4" s="132"/>
      <c r="R354" s="132"/>
      <c r="S354" s="132"/>
      <c r="T354" s="133"/>
      <c r="U354" s="59" t="s">
        <v>20</v>
      </c>
      <c r="V354" s="59" t="s">
        <v>20</v>
      </c>
      <c r="W354" s="60" t="s">
        <v>69</v>
      </c>
      <c r="X354" s="61">
        <v>50</v>
      </c>
      <c r="Y354" s="67">
        <f>IFERROR(IF(X354="",0,CEILING((X354/$H354),1)*$H354),"")</f>
        <v>50</v>
      </c>
      <c r="Z354" s="68">
        <f>IFERROR(IF(Y354=0,"",ROUNDUP(Y354/H354,0)*0.00474),"")</f>
        <v>0.11850000000000001</v>
      </c>
      <c r="AA354" s="69" t="s">
        <v>20</v>
      </c>
      <c r="AB354" s="70" t="s">
        <v>20</v>
      </c>
      <c r="AC354" s="71" t="s">
        <v>583</v>
      </c>
      <c r="AG354" s="74"/>
      <c r="AJ354" s="75" t="s">
        <v>20</v>
      </c>
      <c r="AK354" s="75">
        <v>0</v>
      </c>
      <c r="BB354" s="77" t="s">
        <v>1</v>
      </c>
      <c r="BM354" s="74">
        <f>IFERROR(X354*I354/H354,"0")</f>
        <v>56.000000000000007</v>
      </c>
      <c r="BN354" s="74">
        <f>IFERROR(Y354*I354/H354,"0")</f>
        <v>56.000000000000007</v>
      </c>
      <c r="BO354" s="74">
        <f>IFERROR(1/J354*(X354/H354),"0")</f>
        <v>0.10504201680672269</v>
      </c>
      <c r="BP354" s="74">
        <f>IFERROR(1/J354*(Y354/H354),"0")</f>
        <v>0.10504201680672269</v>
      </c>
    </row>
    <row r="355" spans="1:68" ht="27" customHeight="1" x14ac:dyDescent="0.25">
      <c r="A355" s="31" t="s">
        <v>584</v>
      </c>
      <c r="B355" s="31" t="s">
        <v>585</v>
      </c>
      <c r="C355" s="32">
        <v>4301180006</v>
      </c>
      <c r="D355" s="130">
        <v>4680115881822</v>
      </c>
      <c r="E355" s="130"/>
      <c r="F355" s="33">
        <v>0.1</v>
      </c>
      <c r="G355" s="34">
        <v>20</v>
      </c>
      <c r="H355" s="33">
        <v>2</v>
      </c>
      <c r="I355" s="33">
        <v>2.2400000000000002</v>
      </c>
      <c r="J355" s="34">
        <v>238</v>
      </c>
      <c r="K355" s="34" t="s">
        <v>67</v>
      </c>
      <c r="L355" s="34" t="s">
        <v>20</v>
      </c>
      <c r="M355" s="43" t="s">
        <v>582</v>
      </c>
      <c r="N355" s="43"/>
      <c r="O355" s="34">
        <v>730</v>
      </c>
      <c r="P355" s="1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5" s="132"/>
      <c r="R355" s="132"/>
      <c r="S355" s="132"/>
      <c r="T355" s="133"/>
      <c r="U355" s="59" t="s">
        <v>20</v>
      </c>
      <c r="V355" s="59" t="s">
        <v>20</v>
      </c>
      <c r="W355" s="60" t="s">
        <v>69</v>
      </c>
      <c r="X355" s="61">
        <v>50</v>
      </c>
      <c r="Y355" s="67">
        <f>IFERROR(IF(X355="",0,CEILING((X355/$H355),1)*$H355),"")</f>
        <v>50</v>
      </c>
      <c r="Z355" s="68">
        <f>IFERROR(IF(Y355=0,"",ROUNDUP(Y355/H355,0)*0.00474),"")</f>
        <v>0.11850000000000001</v>
      </c>
      <c r="AA355" s="69" t="s">
        <v>20</v>
      </c>
      <c r="AB355" s="70" t="s">
        <v>20</v>
      </c>
      <c r="AC355" s="71" t="s">
        <v>583</v>
      </c>
      <c r="AG355" s="74"/>
      <c r="AJ355" s="75" t="s">
        <v>20</v>
      </c>
      <c r="AK355" s="75">
        <v>0</v>
      </c>
      <c r="BB355" s="77" t="s">
        <v>1</v>
      </c>
      <c r="BM355" s="74">
        <f>IFERROR(X355*I355/H355,"0")</f>
        <v>56.000000000000007</v>
      </c>
      <c r="BN355" s="74">
        <f>IFERROR(Y355*I355/H355,"0")</f>
        <v>56.000000000000007</v>
      </c>
      <c r="BO355" s="74">
        <f>IFERROR(1/J355*(X355/H355),"0")</f>
        <v>0.10504201680672269</v>
      </c>
      <c r="BP355" s="74">
        <f>IFERROR(1/J355*(Y355/H355),"0")</f>
        <v>0.10504201680672269</v>
      </c>
    </row>
    <row r="356" spans="1:68" ht="27" customHeight="1" x14ac:dyDescent="0.25">
      <c r="A356" s="31" t="s">
        <v>586</v>
      </c>
      <c r="B356" s="31" t="s">
        <v>587</v>
      </c>
      <c r="C356" s="32">
        <v>4301180001</v>
      </c>
      <c r="D356" s="130">
        <v>4680115880016</v>
      </c>
      <c r="E356" s="130"/>
      <c r="F356" s="33">
        <v>0.1</v>
      </c>
      <c r="G356" s="34">
        <v>20</v>
      </c>
      <c r="H356" s="33">
        <v>2</v>
      </c>
      <c r="I356" s="33">
        <v>2.2400000000000002</v>
      </c>
      <c r="J356" s="34">
        <v>238</v>
      </c>
      <c r="K356" s="34" t="s">
        <v>67</v>
      </c>
      <c r="L356" s="34" t="s">
        <v>20</v>
      </c>
      <c r="M356" s="43" t="s">
        <v>582</v>
      </c>
      <c r="N356" s="43"/>
      <c r="O356" s="34">
        <v>730</v>
      </c>
      <c r="P356" s="1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6" s="132"/>
      <c r="R356" s="132"/>
      <c r="S356" s="132"/>
      <c r="T356" s="133"/>
      <c r="U356" s="59" t="s">
        <v>20</v>
      </c>
      <c r="V356" s="59" t="s">
        <v>20</v>
      </c>
      <c r="W356" s="60" t="s">
        <v>69</v>
      </c>
      <c r="X356" s="61">
        <v>50</v>
      </c>
      <c r="Y356" s="67">
        <f>IFERROR(IF(X356="",0,CEILING((X356/$H356),1)*$H356),"")</f>
        <v>50</v>
      </c>
      <c r="Z356" s="68">
        <f>IFERROR(IF(Y356=0,"",ROUNDUP(Y356/H356,0)*0.00474),"")</f>
        <v>0.11850000000000001</v>
      </c>
      <c r="AA356" s="69" t="s">
        <v>20</v>
      </c>
      <c r="AB356" s="70" t="s">
        <v>20</v>
      </c>
      <c r="AC356" s="71" t="s">
        <v>583</v>
      </c>
      <c r="AG356" s="74"/>
      <c r="AJ356" s="75" t="s">
        <v>20</v>
      </c>
      <c r="AK356" s="75">
        <v>0</v>
      </c>
      <c r="BB356" s="77" t="s">
        <v>1</v>
      </c>
      <c r="BM356" s="74">
        <f>IFERROR(X356*I356/H356,"0")</f>
        <v>56.000000000000007</v>
      </c>
      <c r="BN356" s="74">
        <f>IFERROR(Y356*I356/H356,"0")</f>
        <v>56.000000000000007</v>
      </c>
      <c r="BO356" s="74">
        <f>IFERROR(1/J356*(X356/H356),"0")</f>
        <v>0.10504201680672269</v>
      </c>
      <c r="BP356" s="74">
        <f>IFERROR(1/J356*(Y356/H356),"0")</f>
        <v>0.10504201680672269</v>
      </c>
    </row>
    <row r="357" spans="1:68" x14ac:dyDescent="0.2">
      <c r="A357" s="146"/>
      <c r="B357" s="146"/>
      <c r="C357" s="146"/>
      <c r="D357" s="146"/>
      <c r="E357" s="146"/>
      <c r="F357" s="146"/>
      <c r="G357" s="146"/>
      <c r="H357" s="146"/>
      <c r="I357" s="146"/>
      <c r="J357" s="146"/>
      <c r="K357" s="146"/>
      <c r="L357" s="146"/>
      <c r="M357" s="146"/>
      <c r="N357" s="146"/>
      <c r="O357" s="147"/>
      <c r="P357" s="142" t="s">
        <v>75</v>
      </c>
      <c r="Q357" s="143"/>
      <c r="R357" s="143"/>
      <c r="S357" s="143"/>
      <c r="T357" s="143"/>
      <c r="U357" s="143"/>
      <c r="V357" s="144"/>
      <c r="W357" s="62" t="s">
        <v>76</v>
      </c>
      <c r="X357" s="63">
        <f>IFERROR(X354/H354,"0")+IFERROR(X355/H355,"0")+IFERROR(X356/H356,"0")</f>
        <v>75</v>
      </c>
      <c r="Y357" s="63">
        <f>IFERROR(Y354/H354,"0")+IFERROR(Y355/H355,"0")+IFERROR(Y356/H356,"0")</f>
        <v>75</v>
      </c>
      <c r="Z357" s="63">
        <f>IFERROR(IF(Z354="",0,Z354),"0")+IFERROR(IF(Z355="",0,Z355),"0")+IFERROR(IF(Z356="",0,Z356),"0")</f>
        <v>0.35550000000000004</v>
      </c>
      <c r="AA357" s="72"/>
      <c r="AB357" s="72"/>
      <c r="AC357" s="72"/>
    </row>
    <row r="358" spans="1:68" x14ac:dyDescent="0.2">
      <c r="A358" s="146"/>
      <c r="B358" s="146"/>
      <c r="C358" s="146"/>
      <c r="D358" s="146"/>
      <c r="E358" s="146"/>
      <c r="F358" s="146"/>
      <c r="G358" s="146"/>
      <c r="H358" s="146"/>
      <c r="I358" s="146"/>
      <c r="J358" s="146"/>
      <c r="K358" s="146"/>
      <c r="L358" s="146"/>
      <c r="M358" s="146"/>
      <c r="N358" s="146"/>
      <c r="O358" s="147"/>
      <c r="P358" s="142" t="s">
        <v>75</v>
      </c>
      <c r="Q358" s="143"/>
      <c r="R358" s="143"/>
      <c r="S358" s="143"/>
      <c r="T358" s="143"/>
      <c r="U358" s="143"/>
      <c r="V358" s="144"/>
      <c r="W358" s="62" t="s">
        <v>69</v>
      </c>
      <c r="X358" s="63">
        <f>IFERROR(SUM(X354:X356),"0")</f>
        <v>150</v>
      </c>
      <c r="Y358" s="63">
        <f>IFERROR(SUM(Y354:Y356),"0")</f>
        <v>150</v>
      </c>
      <c r="Z358" s="62"/>
      <c r="AA358" s="72"/>
      <c r="AB358" s="72"/>
      <c r="AC358" s="72"/>
    </row>
    <row r="359" spans="1:68" ht="16.5" hidden="1" customHeight="1" x14ac:dyDescent="0.25">
      <c r="A359" s="128" t="s">
        <v>588</v>
      </c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29"/>
      <c r="AB359" s="29"/>
      <c r="AC359" s="29"/>
    </row>
    <row r="360" spans="1:68" ht="14.25" hidden="1" customHeight="1" x14ac:dyDescent="0.25">
      <c r="A360" s="129" t="s">
        <v>77</v>
      </c>
      <c r="B360" s="129"/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30"/>
      <c r="AB360" s="30"/>
      <c r="AC360" s="30"/>
    </row>
    <row r="361" spans="1:68" ht="27" hidden="1" customHeight="1" x14ac:dyDescent="0.25">
      <c r="A361" s="31" t="s">
        <v>589</v>
      </c>
      <c r="B361" s="31" t="s">
        <v>590</v>
      </c>
      <c r="C361" s="32">
        <v>4301051489</v>
      </c>
      <c r="D361" s="130">
        <v>4607091387919</v>
      </c>
      <c r="E361" s="130"/>
      <c r="F361" s="33">
        <v>1.35</v>
      </c>
      <c r="G361" s="34">
        <v>6</v>
      </c>
      <c r="H361" s="33">
        <v>8.1</v>
      </c>
      <c r="I361" s="33">
        <v>8.5939999999999994</v>
      </c>
      <c r="J361" s="34">
        <v>64</v>
      </c>
      <c r="K361" s="34" t="s">
        <v>118</v>
      </c>
      <c r="L361" s="34" t="s">
        <v>20</v>
      </c>
      <c r="M361" s="43" t="s">
        <v>80</v>
      </c>
      <c r="N361" s="43"/>
      <c r="O361" s="34">
        <v>45</v>
      </c>
      <c r="P361" s="1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1" s="132"/>
      <c r="R361" s="132"/>
      <c r="S361" s="132"/>
      <c r="T361" s="133"/>
      <c r="U361" s="59" t="s">
        <v>20</v>
      </c>
      <c r="V361" s="59" t="s">
        <v>20</v>
      </c>
      <c r="W361" s="60" t="s">
        <v>69</v>
      </c>
      <c r="X361" s="61">
        <v>0</v>
      </c>
      <c r="Y361" s="67">
        <f>IFERROR(IF(X361="",0,CEILING((X361/$H361),1)*$H361),"")</f>
        <v>0</v>
      </c>
      <c r="Z361" s="68" t="str">
        <f>IFERROR(IF(Y361=0,"",ROUNDUP(Y361/H361,0)*0.01898),"")</f>
        <v/>
      </c>
      <c r="AA361" s="69" t="s">
        <v>20</v>
      </c>
      <c r="AB361" s="70" t="s">
        <v>20</v>
      </c>
      <c r="AC361" s="71" t="s">
        <v>591</v>
      </c>
      <c r="AG361" s="74"/>
      <c r="AJ361" s="75" t="s">
        <v>20</v>
      </c>
      <c r="AK361" s="75">
        <v>0</v>
      </c>
      <c r="BB361" s="77" t="s">
        <v>1</v>
      </c>
      <c r="BM361" s="74">
        <f>IFERROR(X361*I361/H361,"0")</f>
        <v>0</v>
      </c>
      <c r="BN361" s="74">
        <f>IFERROR(Y361*I361/H361,"0")</f>
        <v>0</v>
      </c>
      <c r="BO361" s="74">
        <f>IFERROR(1/J361*(X361/H361),"0")</f>
        <v>0</v>
      </c>
      <c r="BP361" s="74">
        <f>IFERROR(1/J361*(Y361/H361),"0")</f>
        <v>0</v>
      </c>
    </row>
    <row r="362" spans="1:68" ht="27" customHeight="1" x14ac:dyDescent="0.25">
      <c r="A362" s="31" t="s">
        <v>592</v>
      </c>
      <c r="B362" s="31" t="s">
        <v>593</v>
      </c>
      <c r="C362" s="32">
        <v>4301051461</v>
      </c>
      <c r="D362" s="130">
        <v>4680115883604</v>
      </c>
      <c r="E362" s="130"/>
      <c r="F362" s="33">
        <v>0.35</v>
      </c>
      <c r="G362" s="34">
        <v>6</v>
      </c>
      <c r="H362" s="33">
        <v>2.1</v>
      </c>
      <c r="I362" s="33">
        <v>2.3519999999999999</v>
      </c>
      <c r="J362" s="34">
        <v>182</v>
      </c>
      <c r="K362" s="34" t="s">
        <v>67</v>
      </c>
      <c r="L362" s="34" t="s">
        <v>20</v>
      </c>
      <c r="M362" s="43" t="s">
        <v>86</v>
      </c>
      <c r="N362" s="43"/>
      <c r="O362" s="34">
        <v>45</v>
      </c>
      <c r="P362" s="1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2" s="132"/>
      <c r="R362" s="132"/>
      <c r="S362" s="132"/>
      <c r="T362" s="133"/>
      <c r="U362" s="59" t="s">
        <v>20</v>
      </c>
      <c r="V362" s="59" t="s">
        <v>20</v>
      </c>
      <c r="W362" s="60" t="s">
        <v>69</v>
      </c>
      <c r="X362" s="61">
        <v>100</v>
      </c>
      <c r="Y362" s="67">
        <f>IFERROR(IF(X362="",0,CEILING((X362/$H362),1)*$H362),"")</f>
        <v>100.80000000000001</v>
      </c>
      <c r="Z362" s="68">
        <f>IFERROR(IF(Y362=0,"",ROUNDUP(Y362/H362,0)*0.00651),"")</f>
        <v>0.31247999999999998</v>
      </c>
      <c r="AA362" s="69" t="s">
        <v>20</v>
      </c>
      <c r="AB362" s="70" t="s">
        <v>20</v>
      </c>
      <c r="AC362" s="71" t="s">
        <v>594</v>
      </c>
      <c r="AG362" s="74"/>
      <c r="AJ362" s="75" t="s">
        <v>20</v>
      </c>
      <c r="AK362" s="75">
        <v>0</v>
      </c>
      <c r="BB362" s="77" t="s">
        <v>1</v>
      </c>
      <c r="BM362" s="74">
        <f>IFERROR(X362*I362/H362,"0")</f>
        <v>111.99999999999999</v>
      </c>
      <c r="BN362" s="74">
        <f>IFERROR(Y362*I362/H362,"0")</f>
        <v>112.896</v>
      </c>
      <c r="BO362" s="74">
        <f>IFERROR(1/J362*(X362/H362),"0")</f>
        <v>0.26164311878597596</v>
      </c>
      <c r="BP362" s="74">
        <f>IFERROR(1/J362*(Y362/H362),"0")</f>
        <v>0.26373626373626374</v>
      </c>
    </row>
    <row r="363" spans="1:68" ht="27" customHeight="1" x14ac:dyDescent="0.25">
      <c r="A363" s="31" t="s">
        <v>595</v>
      </c>
      <c r="B363" s="31" t="s">
        <v>596</v>
      </c>
      <c r="C363" s="32">
        <v>4301051864</v>
      </c>
      <c r="D363" s="130">
        <v>4680115883567</v>
      </c>
      <c r="E363" s="130"/>
      <c r="F363" s="33">
        <v>0.35</v>
      </c>
      <c r="G363" s="34">
        <v>6</v>
      </c>
      <c r="H363" s="33">
        <v>2.1</v>
      </c>
      <c r="I363" s="33">
        <v>2.34</v>
      </c>
      <c r="J363" s="34">
        <v>182</v>
      </c>
      <c r="K363" s="34" t="s">
        <v>67</v>
      </c>
      <c r="L363" s="34" t="s">
        <v>20</v>
      </c>
      <c r="M363" s="43" t="s">
        <v>80</v>
      </c>
      <c r="N363" s="43"/>
      <c r="O363" s="34">
        <v>40</v>
      </c>
      <c r="P363" s="1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3" s="132"/>
      <c r="R363" s="132"/>
      <c r="S363" s="132"/>
      <c r="T363" s="133"/>
      <c r="U363" s="59" t="s">
        <v>20</v>
      </c>
      <c r="V363" s="59" t="s">
        <v>20</v>
      </c>
      <c r="W363" s="60" t="s">
        <v>69</v>
      </c>
      <c r="X363" s="61">
        <v>50</v>
      </c>
      <c r="Y363" s="67">
        <f>IFERROR(IF(X363="",0,CEILING((X363/$H363),1)*$H363),"")</f>
        <v>50.400000000000006</v>
      </c>
      <c r="Z363" s="68">
        <f>IFERROR(IF(Y363=0,"",ROUNDUP(Y363/H363,0)*0.00651),"")</f>
        <v>0.15623999999999999</v>
      </c>
      <c r="AA363" s="69" t="s">
        <v>20</v>
      </c>
      <c r="AB363" s="70" t="s">
        <v>20</v>
      </c>
      <c r="AC363" s="71" t="s">
        <v>597</v>
      </c>
      <c r="AG363" s="74"/>
      <c r="AJ363" s="75" t="s">
        <v>20</v>
      </c>
      <c r="AK363" s="75">
        <v>0</v>
      </c>
      <c r="BB363" s="77" t="s">
        <v>1</v>
      </c>
      <c r="BM363" s="74">
        <f>IFERROR(X363*I363/H363,"0")</f>
        <v>55.714285714285715</v>
      </c>
      <c r="BN363" s="74">
        <f>IFERROR(Y363*I363/H363,"0")</f>
        <v>56.160000000000004</v>
      </c>
      <c r="BO363" s="74">
        <f>IFERROR(1/J363*(X363/H363),"0")</f>
        <v>0.13082155939298798</v>
      </c>
      <c r="BP363" s="74">
        <f>IFERROR(1/J363*(Y363/H363),"0")</f>
        <v>0.13186813186813187</v>
      </c>
    </row>
    <row r="364" spans="1:68" x14ac:dyDescent="0.2">
      <c r="A364" s="146"/>
      <c r="B364" s="146"/>
      <c r="C364" s="146"/>
      <c r="D364" s="146"/>
      <c r="E364" s="146"/>
      <c r="F364" s="146"/>
      <c r="G364" s="146"/>
      <c r="H364" s="146"/>
      <c r="I364" s="146"/>
      <c r="J364" s="146"/>
      <c r="K364" s="146"/>
      <c r="L364" s="146"/>
      <c r="M364" s="146"/>
      <c r="N364" s="146"/>
      <c r="O364" s="147"/>
      <c r="P364" s="142" t="s">
        <v>75</v>
      </c>
      <c r="Q364" s="143"/>
      <c r="R364" s="143"/>
      <c r="S364" s="143"/>
      <c r="T364" s="143"/>
      <c r="U364" s="143"/>
      <c r="V364" s="144"/>
      <c r="W364" s="62" t="s">
        <v>76</v>
      </c>
      <c r="X364" s="63">
        <f>IFERROR(X361/H361,"0")+IFERROR(X362/H362,"0")+IFERROR(X363/H363,"0")</f>
        <v>71.428571428571431</v>
      </c>
      <c r="Y364" s="63">
        <f>IFERROR(Y361/H361,"0")+IFERROR(Y362/H362,"0")+IFERROR(Y363/H363,"0")</f>
        <v>72</v>
      </c>
      <c r="Z364" s="63">
        <f>IFERROR(IF(Z361="",0,Z361),"0")+IFERROR(IF(Z362="",0,Z362),"0")+IFERROR(IF(Z363="",0,Z363),"0")</f>
        <v>0.46871999999999997</v>
      </c>
      <c r="AA364" s="72"/>
      <c r="AB364" s="72"/>
      <c r="AC364" s="72"/>
    </row>
    <row r="365" spans="1:68" x14ac:dyDescent="0.2">
      <c r="A365" s="146"/>
      <c r="B365" s="146"/>
      <c r="C365" s="146"/>
      <c r="D365" s="146"/>
      <c r="E365" s="146"/>
      <c r="F365" s="146"/>
      <c r="G365" s="146"/>
      <c r="H365" s="146"/>
      <c r="I365" s="146"/>
      <c r="J365" s="146"/>
      <c r="K365" s="146"/>
      <c r="L365" s="146"/>
      <c r="M365" s="146"/>
      <c r="N365" s="146"/>
      <c r="O365" s="147"/>
      <c r="P365" s="142" t="s">
        <v>75</v>
      </c>
      <c r="Q365" s="143"/>
      <c r="R365" s="143"/>
      <c r="S365" s="143"/>
      <c r="T365" s="143"/>
      <c r="U365" s="143"/>
      <c r="V365" s="144"/>
      <c r="W365" s="62" t="s">
        <v>69</v>
      </c>
      <c r="X365" s="63">
        <f>IFERROR(SUM(X361:X363),"0")</f>
        <v>150</v>
      </c>
      <c r="Y365" s="63">
        <f>IFERROR(SUM(Y361:Y363),"0")</f>
        <v>151.20000000000002</v>
      </c>
      <c r="Z365" s="62"/>
      <c r="AA365" s="72"/>
      <c r="AB365" s="72"/>
      <c r="AC365" s="72"/>
    </row>
    <row r="366" spans="1:68" ht="27.75" hidden="1" customHeight="1" x14ac:dyDescent="0.2">
      <c r="A366" s="127" t="s">
        <v>598</v>
      </c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  <c r="AA366" s="66"/>
      <c r="AB366" s="66"/>
      <c r="AC366" s="66"/>
    </row>
    <row r="367" spans="1:68" ht="16.5" hidden="1" customHeight="1" x14ac:dyDescent="0.25">
      <c r="A367" s="128" t="s">
        <v>599</v>
      </c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29"/>
      <c r="AB367" s="29"/>
      <c r="AC367" s="29"/>
    </row>
    <row r="368" spans="1:68" ht="14.25" hidden="1" customHeight="1" x14ac:dyDescent="0.25">
      <c r="A368" s="129" t="s">
        <v>115</v>
      </c>
      <c r="B368" s="129"/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30"/>
      <c r="AB368" s="30"/>
      <c r="AC368" s="30"/>
    </row>
    <row r="369" spans="1:68" ht="37.5" customHeight="1" x14ac:dyDescent="0.25">
      <c r="A369" s="31" t="s">
        <v>600</v>
      </c>
      <c r="B369" s="31" t="s">
        <v>601</v>
      </c>
      <c r="C369" s="32">
        <v>4301011869</v>
      </c>
      <c r="D369" s="130">
        <v>4680115884847</v>
      </c>
      <c r="E369" s="130"/>
      <c r="F369" s="33">
        <v>2.5</v>
      </c>
      <c r="G369" s="34">
        <v>6</v>
      </c>
      <c r="H369" s="33">
        <v>15</v>
      </c>
      <c r="I369" s="33">
        <v>15.47</v>
      </c>
      <c r="J369" s="34">
        <v>48</v>
      </c>
      <c r="K369" s="34" t="s">
        <v>118</v>
      </c>
      <c r="L369" s="34" t="s">
        <v>20</v>
      </c>
      <c r="M369" s="43" t="s">
        <v>68</v>
      </c>
      <c r="N369" s="43"/>
      <c r="O369" s="34">
        <v>60</v>
      </c>
      <c r="P369" s="1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9" s="132"/>
      <c r="R369" s="132"/>
      <c r="S369" s="132"/>
      <c r="T369" s="133"/>
      <c r="U369" s="59" t="s">
        <v>20</v>
      </c>
      <c r="V369" s="59" t="s">
        <v>20</v>
      </c>
      <c r="W369" s="60" t="s">
        <v>69</v>
      </c>
      <c r="X369" s="61">
        <v>1000</v>
      </c>
      <c r="Y369" s="67">
        <f t="shared" ref="Y369:Y375" si="47">IFERROR(IF(X369="",0,CEILING((X369/$H369),1)*$H369),"")</f>
        <v>1005</v>
      </c>
      <c r="Z369" s="68">
        <f>IFERROR(IF(Y369=0,"",ROUNDUP(Y369/H369,0)*0.02175),"")</f>
        <v>1.4572499999999999</v>
      </c>
      <c r="AA369" s="69" t="s">
        <v>20</v>
      </c>
      <c r="AB369" s="70" t="s">
        <v>20</v>
      </c>
      <c r="AC369" s="71" t="s">
        <v>602</v>
      </c>
      <c r="AG369" s="74"/>
      <c r="AJ369" s="75" t="s">
        <v>20</v>
      </c>
      <c r="AK369" s="75">
        <v>0</v>
      </c>
      <c r="BB369" s="77" t="s">
        <v>1</v>
      </c>
      <c r="BM369" s="74">
        <f t="shared" ref="BM369:BM375" si="48">IFERROR(X369*I369/H369,"0")</f>
        <v>1031.3333333333333</v>
      </c>
      <c r="BN369" s="74">
        <f t="shared" ref="BN369:BN375" si="49">IFERROR(Y369*I369/H369,"0")</f>
        <v>1036.49</v>
      </c>
      <c r="BO369" s="74">
        <f t="shared" ref="BO369:BO375" si="50">IFERROR(1/J369*(X369/H369),"0")</f>
        <v>1.3888888888888888</v>
      </c>
      <c r="BP369" s="74">
        <f t="shared" ref="BP369:BP375" si="51">IFERROR(1/J369*(Y369/H369),"0")</f>
        <v>1.3958333333333333</v>
      </c>
    </row>
    <row r="370" spans="1:68" ht="27" customHeight="1" x14ac:dyDescent="0.25">
      <c r="A370" s="31" t="s">
        <v>603</v>
      </c>
      <c r="B370" s="31" t="s">
        <v>604</v>
      </c>
      <c r="C370" s="32">
        <v>4301012083</v>
      </c>
      <c r="D370" s="130">
        <v>4680115884854</v>
      </c>
      <c r="E370" s="130"/>
      <c r="F370" s="33">
        <v>2.5</v>
      </c>
      <c r="G370" s="34">
        <v>6</v>
      </c>
      <c r="H370" s="33">
        <v>15</v>
      </c>
      <c r="I370" s="33">
        <v>15.47</v>
      </c>
      <c r="J370" s="34">
        <v>48</v>
      </c>
      <c r="K370" s="34" t="s">
        <v>118</v>
      </c>
      <c r="L370" s="34" t="s">
        <v>20</v>
      </c>
      <c r="M370" s="43" t="s">
        <v>119</v>
      </c>
      <c r="N370" s="43"/>
      <c r="O370" s="34">
        <v>60</v>
      </c>
      <c r="P370" s="1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0" s="132"/>
      <c r="R370" s="132"/>
      <c r="S370" s="132"/>
      <c r="T370" s="133"/>
      <c r="U370" s="59" t="s">
        <v>20</v>
      </c>
      <c r="V370" s="59" t="s">
        <v>20</v>
      </c>
      <c r="W370" s="60" t="s">
        <v>69</v>
      </c>
      <c r="X370" s="61">
        <v>200</v>
      </c>
      <c r="Y370" s="67">
        <f t="shared" si="47"/>
        <v>210</v>
      </c>
      <c r="Z370" s="68">
        <f>IFERROR(IF(Y370=0,"",ROUNDUP(Y370/H370,0)*0.02175),"")</f>
        <v>0.30449999999999999</v>
      </c>
      <c r="AA370" s="69" t="s">
        <v>20</v>
      </c>
      <c r="AB370" s="70" t="s">
        <v>20</v>
      </c>
      <c r="AC370" s="71" t="s">
        <v>605</v>
      </c>
      <c r="AG370" s="74"/>
      <c r="AJ370" s="75" t="s">
        <v>20</v>
      </c>
      <c r="AK370" s="75">
        <v>0</v>
      </c>
      <c r="BB370" s="77" t="s">
        <v>1</v>
      </c>
      <c r="BM370" s="74">
        <f t="shared" si="48"/>
        <v>206.26666666666668</v>
      </c>
      <c r="BN370" s="74">
        <f t="shared" si="49"/>
        <v>216.58</v>
      </c>
      <c r="BO370" s="74">
        <f t="shared" si="50"/>
        <v>0.27777777777777779</v>
      </c>
      <c r="BP370" s="74">
        <f t="shared" si="51"/>
        <v>0.29166666666666663</v>
      </c>
    </row>
    <row r="371" spans="1:68" ht="27" hidden="1" customHeight="1" x14ac:dyDescent="0.25">
      <c r="A371" s="31" t="s">
        <v>606</v>
      </c>
      <c r="B371" s="31" t="s">
        <v>607</v>
      </c>
      <c r="C371" s="32">
        <v>4301012215</v>
      </c>
      <c r="D371" s="130">
        <v>4680115887046</v>
      </c>
      <c r="E371" s="130"/>
      <c r="F371" s="33">
        <v>2.5</v>
      </c>
      <c r="G371" s="34">
        <v>6</v>
      </c>
      <c r="H371" s="33">
        <v>15</v>
      </c>
      <c r="I371" s="33">
        <v>15.47</v>
      </c>
      <c r="J371" s="34">
        <v>48</v>
      </c>
      <c r="K371" s="34" t="s">
        <v>118</v>
      </c>
      <c r="L371" s="34" t="s">
        <v>20</v>
      </c>
      <c r="M371" s="43" t="s">
        <v>80</v>
      </c>
      <c r="N371" s="43"/>
      <c r="O371" s="34">
        <v>60</v>
      </c>
      <c r="P371" s="13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71" s="132"/>
      <c r="R371" s="132"/>
      <c r="S371" s="132"/>
      <c r="T371" s="133"/>
      <c r="U371" s="59" t="s">
        <v>20</v>
      </c>
      <c r="V371" s="59" t="s">
        <v>20</v>
      </c>
      <c r="W371" s="60" t="s">
        <v>69</v>
      </c>
      <c r="X371" s="61">
        <v>0</v>
      </c>
      <c r="Y371" s="67">
        <f t="shared" si="47"/>
        <v>0</v>
      </c>
      <c r="Z371" s="68" t="str">
        <f>IFERROR(IF(Y371=0,"",ROUNDUP(Y371/H371,0)*0.02175),"")</f>
        <v/>
      </c>
      <c r="AA371" s="69" t="s">
        <v>20</v>
      </c>
      <c r="AB371" s="70" t="s">
        <v>20</v>
      </c>
      <c r="AC371" s="71" t="s">
        <v>608</v>
      </c>
      <c r="AG371" s="74"/>
      <c r="AJ371" s="75" t="s">
        <v>20</v>
      </c>
      <c r="AK371" s="75">
        <v>0</v>
      </c>
      <c r="BB371" s="77" t="s">
        <v>1</v>
      </c>
      <c r="BM371" s="74">
        <f t="shared" si="48"/>
        <v>0</v>
      </c>
      <c r="BN371" s="74">
        <f t="shared" si="49"/>
        <v>0</v>
      </c>
      <c r="BO371" s="74">
        <f t="shared" si="50"/>
        <v>0</v>
      </c>
      <c r="BP371" s="74">
        <f t="shared" si="51"/>
        <v>0</v>
      </c>
    </row>
    <row r="372" spans="1:68" ht="37.5" customHeight="1" x14ac:dyDescent="0.25">
      <c r="A372" s="31" t="s">
        <v>609</v>
      </c>
      <c r="B372" s="31" t="s">
        <v>610</v>
      </c>
      <c r="C372" s="32">
        <v>4301011867</v>
      </c>
      <c r="D372" s="130">
        <v>4680115884830</v>
      </c>
      <c r="E372" s="130"/>
      <c r="F372" s="33">
        <v>2.5</v>
      </c>
      <c r="G372" s="34">
        <v>6</v>
      </c>
      <c r="H372" s="33">
        <v>15</v>
      </c>
      <c r="I372" s="33">
        <v>15.47</v>
      </c>
      <c r="J372" s="34">
        <v>48</v>
      </c>
      <c r="K372" s="34" t="s">
        <v>118</v>
      </c>
      <c r="L372" s="34" t="s">
        <v>20</v>
      </c>
      <c r="M372" s="43" t="s">
        <v>68</v>
      </c>
      <c r="N372" s="43"/>
      <c r="O372" s="34">
        <v>60</v>
      </c>
      <c r="P372" s="1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2" s="132"/>
      <c r="R372" s="132"/>
      <c r="S372" s="132"/>
      <c r="T372" s="133"/>
      <c r="U372" s="59" t="s">
        <v>20</v>
      </c>
      <c r="V372" s="59" t="s">
        <v>20</v>
      </c>
      <c r="W372" s="60" t="s">
        <v>69</v>
      </c>
      <c r="X372" s="61">
        <v>500</v>
      </c>
      <c r="Y372" s="67">
        <f t="shared" si="47"/>
        <v>510</v>
      </c>
      <c r="Z372" s="68">
        <f>IFERROR(IF(Y372=0,"",ROUNDUP(Y372/H372,0)*0.02175),"")</f>
        <v>0.73949999999999994</v>
      </c>
      <c r="AA372" s="69" t="s">
        <v>20</v>
      </c>
      <c r="AB372" s="70" t="s">
        <v>20</v>
      </c>
      <c r="AC372" s="71" t="s">
        <v>611</v>
      </c>
      <c r="AG372" s="74"/>
      <c r="AJ372" s="75" t="s">
        <v>20</v>
      </c>
      <c r="AK372" s="75">
        <v>0</v>
      </c>
      <c r="BB372" s="77" t="s">
        <v>1</v>
      </c>
      <c r="BM372" s="74">
        <f t="shared" si="48"/>
        <v>515.66666666666663</v>
      </c>
      <c r="BN372" s="74">
        <f t="shared" si="49"/>
        <v>525.98</v>
      </c>
      <c r="BO372" s="74">
        <f t="shared" si="50"/>
        <v>0.69444444444444442</v>
      </c>
      <c r="BP372" s="74">
        <f t="shared" si="51"/>
        <v>0.70833333333333326</v>
      </c>
    </row>
    <row r="373" spans="1:68" ht="27" hidden="1" customHeight="1" x14ac:dyDescent="0.25">
      <c r="A373" s="31" t="s">
        <v>612</v>
      </c>
      <c r="B373" s="31" t="s">
        <v>613</v>
      </c>
      <c r="C373" s="32">
        <v>4301011433</v>
      </c>
      <c r="D373" s="130">
        <v>4680115882638</v>
      </c>
      <c r="E373" s="130"/>
      <c r="F373" s="33">
        <v>0.4</v>
      </c>
      <c r="G373" s="34">
        <v>10</v>
      </c>
      <c r="H373" s="33">
        <v>4</v>
      </c>
      <c r="I373" s="33">
        <v>4.1900000000000004</v>
      </c>
      <c r="J373" s="34">
        <v>132</v>
      </c>
      <c r="K373" s="34" t="s">
        <v>128</v>
      </c>
      <c r="L373" s="34" t="s">
        <v>20</v>
      </c>
      <c r="M373" s="43" t="s">
        <v>119</v>
      </c>
      <c r="N373" s="43"/>
      <c r="O373" s="34">
        <v>90</v>
      </c>
      <c r="P373" s="13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3" s="132"/>
      <c r="R373" s="132"/>
      <c r="S373" s="132"/>
      <c r="T373" s="133"/>
      <c r="U373" s="59" t="s">
        <v>20</v>
      </c>
      <c r="V373" s="59" t="s">
        <v>20</v>
      </c>
      <c r="W373" s="60" t="s">
        <v>69</v>
      </c>
      <c r="X373" s="61">
        <v>0</v>
      </c>
      <c r="Y373" s="67">
        <f t="shared" si="47"/>
        <v>0</v>
      </c>
      <c r="Z373" s="68" t="str">
        <f>IFERROR(IF(Y373=0,"",ROUNDUP(Y373/H373,0)*0.00902),"")</f>
        <v/>
      </c>
      <c r="AA373" s="69" t="s">
        <v>20</v>
      </c>
      <c r="AB373" s="70" t="s">
        <v>20</v>
      </c>
      <c r="AC373" s="71" t="s">
        <v>614</v>
      </c>
      <c r="AG373" s="74"/>
      <c r="AJ373" s="75" t="s">
        <v>20</v>
      </c>
      <c r="AK373" s="75">
        <v>0</v>
      </c>
      <c r="BB373" s="77" t="s">
        <v>1</v>
      </c>
      <c r="BM373" s="74">
        <f t="shared" si="48"/>
        <v>0</v>
      </c>
      <c r="BN373" s="74">
        <f t="shared" si="49"/>
        <v>0</v>
      </c>
      <c r="BO373" s="74">
        <f t="shared" si="50"/>
        <v>0</v>
      </c>
      <c r="BP373" s="74">
        <f t="shared" si="51"/>
        <v>0</v>
      </c>
    </row>
    <row r="374" spans="1:68" ht="27" hidden="1" customHeight="1" x14ac:dyDescent="0.25">
      <c r="A374" s="31" t="s">
        <v>615</v>
      </c>
      <c r="B374" s="31" t="s">
        <v>616</v>
      </c>
      <c r="C374" s="32">
        <v>4301011952</v>
      </c>
      <c r="D374" s="130">
        <v>4680115884922</v>
      </c>
      <c r="E374" s="130"/>
      <c r="F374" s="33">
        <v>0.5</v>
      </c>
      <c r="G374" s="34">
        <v>10</v>
      </c>
      <c r="H374" s="33">
        <v>5</v>
      </c>
      <c r="I374" s="33">
        <v>5.19</v>
      </c>
      <c r="J374" s="34">
        <v>132</v>
      </c>
      <c r="K374" s="34" t="s">
        <v>128</v>
      </c>
      <c r="L374" s="34" t="s">
        <v>20</v>
      </c>
      <c r="M374" s="43" t="s">
        <v>68</v>
      </c>
      <c r="N374" s="43"/>
      <c r="O374" s="34">
        <v>60</v>
      </c>
      <c r="P374" s="1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4" s="132"/>
      <c r="R374" s="132"/>
      <c r="S374" s="132"/>
      <c r="T374" s="133"/>
      <c r="U374" s="59" t="s">
        <v>20</v>
      </c>
      <c r="V374" s="59" t="s">
        <v>20</v>
      </c>
      <c r="W374" s="60" t="s">
        <v>69</v>
      </c>
      <c r="X374" s="61">
        <v>0</v>
      </c>
      <c r="Y374" s="67">
        <f t="shared" si="47"/>
        <v>0</v>
      </c>
      <c r="Z374" s="68" t="str">
        <f>IFERROR(IF(Y374=0,"",ROUNDUP(Y374/H374,0)*0.00902),"")</f>
        <v/>
      </c>
      <c r="AA374" s="69" t="s">
        <v>20</v>
      </c>
      <c r="AB374" s="70" t="s">
        <v>20</v>
      </c>
      <c r="AC374" s="71" t="s">
        <v>617</v>
      </c>
      <c r="AG374" s="74"/>
      <c r="AJ374" s="75" t="s">
        <v>20</v>
      </c>
      <c r="AK374" s="75">
        <v>0</v>
      </c>
      <c r="BB374" s="77" t="s">
        <v>1</v>
      </c>
      <c r="BM374" s="74">
        <f t="shared" si="48"/>
        <v>0</v>
      </c>
      <c r="BN374" s="74">
        <f t="shared" si="49"/>
        <v>0</v>
      </c>
      <c r="BO374" s="74">
        <f t="shared" si="50"/>
        <v>0</v>
      </c>
      <c r="BP374" s="74">
        <f t="shared" si="51"/>
        <v>0</v>
      </c>
    </row>
    <row r="375" spans="1:68" ht="37.5" hidden="1" customHeight="1" x14ac:dyDescent="0.25">
      <c r="A375" s="31" t="s">
        <v>618</v>
      </c>
      <c r="B375" s="31" t="s">
        <v>619</v>
      </c>
      <c r="C375" s="32">
        <v>4301011868</v>
      </c>
      <c r="D375" s="130">
        <v>4680115884861</v>
      </c>
      <c r="E375" s="130"/>
      <c r="F375" s="33">
        <v>0.5</v>
      </c>
      <c r="G375" s="34">
        <v>10</v>
      </c>
      <c r="H375" s="33">
        <v>5</v>
      </c>
      <c r="I375" s="33">
        <v>5.19</v>
      </c>
      <c r="J375" s="34">
        <v>132</v>
      </c>
      <c r="K375" s="34" t="s">
        <v>128</v>
      </c>
      <c r="L375" s="34" t="s">
        <v>20</v>
      </c>
      <c r="M375" s="43" t="s">
        <v>68</v>
      </c>
      <c r="N375" s="43"/>
      <c r="O375" s="34">
        <v>60</v>
      </c>
      <c r="P375" s="1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5" s="132"/>
      <c r="R375" s="132"/>
      <c r="S375" s="132"/>
      <c r="T375" s="133"/>
      <c r="U375" s="59" t="s">
        <v>20</v>
      </c>
      <c r="V375" s="59" t="s">
        <v>20</v>
      </c>
      <c r="W375" s="60" t="s">
        <v>69</v>
      </c>
      <c r="X375" s="61">
        <v>0</v>
      </c>
      <c r="Y375" s="67">
        <f t="shared" si="47"/>
        <v>0</v>
      </c>
      <c r="Z375" s="68" t="str">
        <f>IFERROR(IF(Y375=0,"",ROUNDUP(Y375/H375,0)*0.00902),"")</f>
        <v/>
      </c>
      <c r="AA375" s="69" t="s">
        <v>20</v>
      </c>
      <c r="AB375" s="70" t="s">
        <v>20</v>
      </c>
      <c r="AC375" s="71" t="s">
        <v>611</v>
      </c>
      <c r="AG375" s="74"/>
      <c r="AJ375" s="75" t="s">
        <v>20</v>
      </c>
      <c r="AK375" s="75">
        <v>0</v>
      </c>
      <c r="BB375" s="77" t="s">
        <v>1</v>
      </c>
      <c r="BM375" s="74">
        <f t="shared" si="48"/>
        <v>0</v>
      </c>
      <c r="BN375" s="74">
        <f t="shared" si="49"/>
        <v>0</v>
      </c>
      <c r="BO375" s="74">
        <f t="shared" si="50"/>
        <v>0</v>
      </c>
      <c r="BP375" s="74">
        <f t="shared" si="51"/>
        <v>0</v>
      </c>
    </row>
    <row r="376" spans="1:68" x14ac:dyDescent="0.2">
      <c r="A376" s="146"/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7"/>
      <c r="P376" s="142" t="s">
        <v>75</v>
      </c>
      <c r="Q376" s="143"/>
      <c r="R376" s="143"/>
      <c r="S376" s="143"/>
      <c r="T376" s="143"/>
      <c r="U376" s="143"/>
      <c r="V376" s="144"/>
      <c r="W376" s="62" t="s">
        <v>76</v>
      </c>
      <c r="X376" s="63">
        <f>IFERROR(X369/H369,"0")+IFERROR(X370/H370,"0")+IFERROR(X371/H371,"0")+IFERROR(X372/H372,"0")+IFERROR(X373/H373,"0")+IFERROR(X374/H374,"0")+IFERROR(X375/H375,"0")</f>
        <v>113.33333333333334</v>
      </c>
      <c r="Y376" s="63">
        <f>IFERROR(Y369/H369,"0")+IFERROR(Y370/H370,"0")+IFERROR(Y371/H371,"0")+IFERROR(Y372/H372,"0")+IFERROR(Y373/H373,"0")+IFERROR(Y374/H374,"0")+IFERROR(Y375/H375,"0")</f>
        <v>115</v>
      </c>
      <c r="Z376" s="63">
        <f>IFERROR(IF(Z369="",0,Z369),"0")+IFERROR(IF(Z370="",0,Z370),"0")+IFERROR(IF(Z371="",0,Z371),"0")+IFERROR(IF(Z372="",0,Z372),"0")+IFERROR(IF(Z373="",0,Z373),"0")+IFERROR(IF(Z374="",0,Z374),"0")+IFERROR(IF(Z375="",0,Z375),"0")</f>
        <v>2.5012499999999998</v>
      </c>
      <c r="AA376" s="72"/>
      <c r="AB376" s="72"/>
      <c r="AC376" s="72"/>
    </row>
    <row r="377" spans="1:68" x14ac:dyDescent="0.2">
      <c r="A377" s="146"/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7"/>
      <c r="P377" s="142" t="s">
        <v>75</v>
      </c>
      <c r="Q377" s="143"/>
      <c r="R377" s="143"/>
      <c r="S377" s="143"/>
      <c r="T377" s="143"/>
      <c r="U377" s="143"/>
      <c r="V377" s="144"/>
      <c r="W377" s="62" t="s">
        <v>69</v>
      </c>
      <c r="X377" s="63">
        <f>IFERROR(SUM(X369:X375),"0")</f>
        <v>1700</v>
      </c>
      <c r="Y377" s="63">
        <f>IFERROR(SUM(Y369:Y375),"0")</f>
        <v>1725</v>
      </c>
      <c r="Z377" s="62"/>
      <c r="AA377" s="72"/>
      <c r="AB377" s="72"/>
      <c r="AC377" s="72"/>
    </row>
    <row r="378" spans="1:68" ht="14.25" hidden="1" customHeight="1" x14ac:dyDescent="0.25">
      <c r="A378" s="129" t="s">
        <v>154</v>
      </c>
      <c r="B378" s="129"/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30"/>
      <c r="AB378" s="30"/>
      <c r="AC378" s="30"/>
    </row>
    <row r="379" spans="1:68" ht="27" customHeight="1" x14ac:dyDescent="0.25">
      <c r="A379" s="31" t="s">
        <v>620</v>
      </c>
      <c r="B379" s="31" t="s">
        <v>621</v>
      </c>
      <c r="C379" s="32">
        <v>4301020178</v>
      </c>
      <c r="D379" s="130">
        <v>4607091383980</v>
      </c>
      <c r="E379" s="130"/>
      <c r="F379" s="33">
        <v>2.5</v>
      </c>
      <c r="G379" s="34">
        <v>6</v>
      </c>
      <c r="H379" s="33">
        <v>15</v>
      </c>
      <c r="I379" s="33">
        <v>15.47</v>
      </c>
      <c r="J379" s="34">
        <v>48</v>
      </c>
      <c r="K379" s="34" t="s">
        <v>118</v>
      </c>
      <c r="L379" s="34" t="s">
        <v>20</v>
      </c>
      <c r="M379" s="43" t="s">
        <v>119</v>
      </c>
      <c r="N379" s="43"/>
      <c r="O379" s="34">
        <v>50</v>
      </c>
      <c r="P379" s="13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9" s="132"/>
      <c r="R379" s="132"/>
      <c r="S379" s="132"/>
      <c r="T379" s="133"/>
      <c r="U379" s="59" t="s">
        <v>20</v>
      </c>
      <c r="V379" s="59" t="s">
        <v>20</v>
      </c>
      <c r="W379" s="60" t="s">
        <v>69</v>
      </c>
      <c r="X379" s="61">
        <v>700</v>
      </c>
      <c r="Y379" s="67">
        <f>IFERROR(IF(X379="",0,CEILING((X379/$H379),1)*$H379),"")</f>
        <v>705</v>
      </c>
      <c r="Z379" s="68">
        <f>IFERROR(IF(Y379=0,"",ROUNDUP(Y379/H379,0)*0.02175),"")</f>
        <v>1.0222499999999999</v>
      </c>
      <c r="AA379" s="69" t="s">
        <v>20</v>
      </c>
      <c r="AB379" s="70" t="s">
        <v>20</v>
      </c>
      <c r="AC379" s="71" t="s">
        <v>622</v>
      </c>
      <c r="AG379" s="74"/>
      <c r="AJ379" s="75" t="s">
        <v>20</v>
      </c>
      <c r="AK379" s="75">
        <v>0</v>
      </c>
      <c r="BB379" s="77" t="s">
        <v>1</v>
      </c>
      <c r="BM379" s="74">
        <f>IFERROR(X379*I379/H379,"0")</f>
        <v>721.93333333333328</v>
      </c>
      <c r="BN379" s="74">
        <f>IFERROR(Y379*I379/H379,"0")</f>
        <v>727.09</v>
      </c>
      <c r="BO379" s="74">
        <f>IFERROR(1/J379*(X379/H379),"0")</f>
        <v>0.9722222222222221</v>
      </c>
      <c r="BP379" s="74">
        <f>IFERROR(1/J379*(Y379/H379),"0")</f>
        <v>0.97916666666666663</v>
      </c>
    </row>
    <row r="380" spans="1:68" ht="27" hidden="1" customHeight="1" x14ac:dyDescent="0.25">
      <c r="A380" s="31" t="s">
        <v>623</v>
      </c>
      <c r="B380" s="31" t="s">
        <v>624</v>
      </c>
      <c r="C380" s="32">
        <v>4301020179</v>
      </c>
      <c r="D380" s="130">
        <v>4607091384178</v>
      </c>
      <c r="E380" s="130"/>
      <c r="F380" s="33">
        <v>0.4</v>
      </c>
      <c r="G380" s="34">
        <v>10</v>
      </c>
      <c r="H380" s="33">
        <v>4</v>
      </c>
      <c r="I380" s="33">
        <v>4.1900000000000004</v>
      </c>
      <c r="J380" s="34">
        <v>132</v>
      </c>
      <c r="K380" s="34" t="s">
        <v>128</v>
      </c>
      <c r="L380" s="34" t="s">
        <v>20</v>
      </c>
      <c r="M380" s="43" t="s">
        <v>119</v>
      </c>
      <c r="N380" s="43"/>
      <c r="O380" s="34">
        <v>50</v>
      </c>
      <c r="P380" s="1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0" s="132"/>
      <c r="R380" s="132"/>
      <c r="S380" s="132"/>
      <c r="T380" s="133"/>
      <c r="U380" s="59" t="s">
        <v>20</v>
      </c>
      <c r="V380" s="59" t="s">
        <v>20</v>
      </c>
      <c r="W380" s="60" t="s">
        <v>69</v>
      </c>
      <c r="X380" s="61">
        <v>0</v>
      </c>
      <c r="Y380" s="67">
        <f>IFERROR(IF(X380="",0,CEILING((X380/$H380),1)*$H380),"")</f>
        <v>0</v>
      </c>
      <c r="Z380" s="68" t="str">
        <f>IFERROR(IF(Y380=0,"",ROUNDUP(Y380/H380,0)*0.00902),"")</f>
        <v/>
      </c>
      <c r="AA380" s="69" t="s">
        <v>20</v>
      </c>
      <c r="AB380" s="70" t="s">
        <v>20</v>
      </c>
      <c r="AC380" s="71" t="s">
        <v>625</v>
      </c>
      <c r="AG380" s="74"/>
      <c r="AJ380" s="75" t="s">
        <v>20</v>
      </c>
      <c r="AK380" s="75">
        <v>0</v>
      </c>
      <c r="BB380" s="77" t="s">
        <v>1</v>
      </c>
      <c r="BM380" s="74">
        <f>IFERROR(X380*I380/H380,"0")</f>
        <v>0</v>
      </c>
      <c r="BN380" s="74">
        <f>IFERROR(Y380*I380/H380,"0")</f>
        <v>0</v>
      </c>
      <c r="BO380" s="74">
        <f>IFERROR(1/J380*(X380/H380),"0")</f>
        <v>0</v>
      </c>
      <c r="BP380" s="74">
        <f>IFERROR(1/J380*(Y380/H380),"0")</f>
        <v>0</v>
      </c>
    </row>
    <row r="381" spans="1:68" x14ac:dyDescent="0.2">
      <c r="A381" s="146"/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7"/>
      <c r="P381" s="142" t="s">
        <v>75</v>
      </c>
      <c r="Q381" s="143"/>
      <c r="R381" s="143"/>
      <c r="S381" s="143"/>
      <c r="T381" s="143"/>
      <c r="U381" s="143"/>
      <c r="V381" s="144"/>
      <c r="W381" s="62" t="s">
        <v>76</v>
      </c>
      <c r="X381" s="63">
        <f>IFERROR(X379/H379,"0")+IFERROR(X380/H380,"0")</f>
        <v>46.666666666666664</v>
      </c>
      <c r="Y381" s="63">
        <f>IFERROR(Y379/H379,"0")+IFERROR(Y380/H380,"0")</f>
        <v>47</v>
      </c>
      <c r="Z381" s="63">
        <f>IFERROR(IF(Z379="",0,Z379),"0")+IFERROR(IF(Z380="",0,Z380),"0")</f>
        <v>1.0222499999999999</v>
      </c>
      <c r="AA381" s="72"/>
      <c r="AB381" s="72"/>
      <c r="AC381" s="72"/>
    </row>
    <row r="382" spans="1:68" x14ac:dyDescent="0.2">
      <c r="A382" s="146"/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7"/>
      <c r="P382" s="142" t="s">
        <v>75</v>
      </c>
      <c r="Q382" s="143"/>
      <c r="R382" s="143"/>
      <c r="S382" s="143"/>
      <c r="T382" s="143"/>
      <c r="U382" s="143"/>
      <c r="V382" s="144"/>
      <c r="W382" s="62" t="s">
        <v>69</v>
      </c>
      <c r="X382" s="63">
        <f>IFERROR(SUM(X379:X380),"0")</f>
        <v>700</v>
      </c>
      <c r="Y382" s="63">
        <f>IFERROR(SUM(Y379:Y380),"0")</f>
        <v>705</v>
      </c>
      <c r="Z382" s="62"/>
      <c r="AA382" s="72"/>
      <c r="AB382" s="72"/>
      <c r="AC382" s="72"/>
    </row>
    <row r="383" spans="1:68" ht="14.25" hidden="1" customHeight="1" x14ac:dyDescent="0.25">
      <c r="A383" s="129" t="s">
        <v>77</v>
      </c>
      <c r="B383" s="129"/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30"/>
      <c r="AB383" s="30"/>
      <c r="AC383" s="30"/>
    </row>
    <row r="384" spans="1:68" ht="27" hidden="1" customHeight="1" x14ac:dyDescent="0.25">
      <c r="A384" s="31" t="s">
        <v>626</v>
      </c>
      <c r="B384" s="31" t="s">
        <v>627</v>
      </c>
      <c r="C384" s="32">
        <v>4301051903</v>
      </c>
      <c r="D384" s="130">
        <v>4607091383928</v>
      </c>
      <c r="E384" s="130"/>
      <c r="F384" s="33">
        <v>1.5</v>
      </c>
      <c r="G384" s="34">
        <v>6</v>
      </c>
      <c r="H384" s="33">
        <v>9</v>
      </c>
      <c r="I384" s="33">
        <v>9.5</v>
      </c>
      <c r="J384" s="34">
        <v>64</v>
      </c>
      <c r="K384" s="34" t="s">
        <v>118</v>
      </c>
      <c r="L384" s="34" t="s">
        <v>20</v>
      </c>
      <c r="M384" s="43" t="s">
        <v>86</v>
      </c>
      <c r="N384" s="43"/>
      <c r="O384" s="34">
        <v>40</v>
      </c>
      <c r="P384" s="1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4" s="132"/>
      <c r="R384" s="132"/>
      <c r="S384" s="132"/>
      <c r="T384" s="133"/>
      <c r="U384" s="59" t="s">
        <v>20</v>
      </c>
      <c r="V384" s="59" t="s">
        <v>20</v>
      </c>
      <c r="W384" s="60" t="s">
        <v>69</v>
      </c>
      <c r="X384" s="61">
        <v>0</v>
      </c>
      <c r="Y384" s="67">
        <f>IFERROR(IF(X384="",0,CEILING((X384/$H384),1)*$H384),"")</f>
        <v>0</v>
      </c>
      <c r="Z384" s="68" t="str">
        <f>IFERROR(IF(Y384=0,"",ROUNDUP(Y384/H384,0)*0.01898),"")</f>
        <v/>
      </c>
      <c r="AA384" s="69" t="s">
        <v>20</v>
      </c>
      <c r="AB384" s="70" t="s">
        <v>20</v>
      </c>
      <c r="AC384" s="71" t="s">
        <v>628</v>
      </c>
      <c r="AG384" s="74"/>
      <c r="AJ384" s="75" t="s">
        <v>20</v>
      </c>
      <c r="AK384" s="75">
        <v>0</v>
      </c>
      <c r="BB384" s="77" t="s">
        <v>1</v>
      </c>
      <c r="BM384" s="74">
        <f>IFERROR(X384*I384/H384,"0")</f>
        <v>0</v>
      </c>
      <c r="BN384" s="74">
        <f>IFERROR(Y384*I384/H384,"0")</f>
        <v>0</v>
      </c>
      <c r="BO384" s="74">
        <f>IFERROR(1/J384*(X384/H384),"0")</f>
        <v>0</v>
      </c>
      <c r="BP384" s="74">
        <f>IFERROR(1/J384*(Y384/H384),"0")</f>
        <v>0</v>
      </c>
    </row>
    <row r="385" spans="1:68" ht="27" hidden="1" customHeight="1" x14ac:dyDescent="0.25">
      <c r="A385" s="31" t="s">
        <v>629</v>
      </c>
      <c r="B385" s="31" t="s">
        <v>630</v>
      </c>
      <c r="C385" s="32">
        <v>4301051897</v>
      </c>
      <c r="D385" s="130">
        <v>4607091384260</v>
      </c>
      <c r="E385" s="130"/>
      <c r="F385" s="33">
        <v>1.5</v>
      </c>
      <c r="G385" s="34">
        <v>6</v>
      </c>
      <c r="H385" s="33">
        <v>9</v>
      </c>
      <c r="I385" s="33">
        <v>9.4939999999999998</v>
      </c>
      <c r="J385" s="34">
        <v>64</v>
      </c>
      <c r="K385" s="34" t="s">
        <v>118</v>
      </c>
      <c r="L385" s="34" t="s">
        <v>20</v>
      </c>
      <c r="M385" s="43" t="s">
        <v>86</v>
      </c>
      <c r="N385" s="43"/>
      <c r="O385" s="34">
        <v>40</v>
      </c>
      <c r="P385" s="13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5" s="132"/>
      <c r="R385" s="132"/>
      <c r="S385" s="132"/>
      <c r="T385" s="133"/>
      <c r="U385" s="59" t="s">
        <v>20</v>
      </c>
      <c r="V385" s="59" t="s">
        <v>20</v>
      </c>
      <c r="W385" s="60" t="s">
        <v>69</v>
      </c>
      <c r="X385" s="61">
        <v>0</v>
      </c>
      <c r="Y385" s="67">
        <f>IFERROR(IF(X385="",0,CEILING((X385/$H385),1)*$H385),"")</f>
        <v>0</v>
      </c>
      <c r="Z385" s="68" t="str">
        <f>IFERROR(IF(Y385=0,"",ROUNDUP(Y385/H385,0)*0.01898),"")</f>
        <v/>
      </c>
      <c r="AA385" s="69" t="s">
        <v>20</v>
      </c>
      <c r="AB385" s="70" t="s">
        <v>20</v>
      </c>
      <c r="AC385" s="71" t="s">
        <v>631</v>
      </c>
      <c r="AG385" s="74"/>
      <c r="AJ385" s="75" t="s">
        <v>20</v>
      </c>
      <c r="AK385" s="75">
        <v>0</v>
      </c>
      <c r="BB385" s="77" t="s">
        <v>1</v>
      </c>
      <c r="BM385" s="74">
        <f>IFERROR(X385*I385/H385,"0")</f>
        <v>0</v>
      </c>
      <c r="BN385" s="74">
        <f>IFERROR(Y385*I385/H385,"0")</f>
        <v>0</v>
      </c>
      <c r="BO385" s="74">
        <f>IFERROR(1/J385*(X385/H385),"0")</f>
        <v>0</v>
      </c>
      <c r="BP385" s="74">
        <f>IFERROR(1/J385*(Y385/H385),"0")</f>
        <v>0</v>
      </c>
    </row>
    <row r="386" spans="1:68" hidden="1" x14ac:dyDescent="0.2">
      <c r="A386" s="146"/>
      <c r="B386" s="146"/>
      <c r="C386" s="146"/>
      <c r="D386" s="146"/>
      <c r="E386" s="146"/>
      <c r="F386" s="146"/>
      <c r="G386" s="146"/>
      <c r="H386" s="146"/>
      <c r="I386" s="146"/>
      <c r="J386" s="146"/>
      <c r="K386" s="146"/>
      <c r="L386" s="146"/>
      <c r="M386" s="146"/>
      <c r="N386" s="146"/>
      <c r="O386" s="147"/>
      <c r="P386" s="142" t="s">
        <v>75</v>
      </c>
      <c r="Q386" s="143"/>
      <c r="R386" s="143"/>
      <c r="S386" s="143"/>
      <c r="T386" s="143"/>
      <c r="U386" s="143"/>
      <c r="V386" s="144"/>
      <c r="W386" s="62" t="s">
        <v>76</v>
      </c>
      <c r="X386" s="63">
        <f>IFERROR(X384/H384,"0")+IFERROR(X385/H385,"0")</f>
        <v>0</v>
      </c>
      <c r="Y386" s="63">
        <f>IFERROR(Y384/H384,"0")+IFERROR(Y385/H385,"0")</f>
        <v>0</v>
      </c>
      <c r="Z386" s="63">
        <f>IFERROR(IF(Z384="",0,Z384),"0")+IFERROR(IF(Z385="",0,Z385),"0")</f>
        <v>0</v>
      </c>
      <c r="AA386" s="72"/>
      <c r="AB386" s="72"/>
      <c r="AC386" s="72"/>
    </row>
    <row r="387" spans="1:68" hidden="1" x14ac:dyDescent="0.2">
      <c r="A387" s="146"/>
      <c r="B387" s="146"/>
      <c r="C387" s="146"/>
      <c r="D387" s="146"/>
      <c r="E387" s="146"/>
      <c r="F387" s="146"/>
      <c r="G387" s="146"/>
      <c r="H387" s="146"/>
      <c r="I387" s="146"/>
      <c r="J387" s="146"/>
      <c r="K387" s="146"/>
      <c r="L387" s="146"/>
      <c r="M387" s="146"/>
      <c r="N387" s="146"/>
      <c r="O387" s="147"/>
      <c r="P387" s="142" t="s">
        <v>75</v>
      </c>
      <c r="Q387" s="143"/>
      <c r="R387" s="143"/>
      <c r="S387" s="143"/>
      <c r="T387" s="143"/>
      <c r="U387" s="143"/>
      <c r="V387" s="144"/>
      <c r="W387" s="62" t="s">
        <v>69</v>
      </c>
      <c r="X387" s="63">
        <f>IFERROR(SUM(X384:X385),"0")</f>
        <v>0</v>
      </c>
      <c r="Y387" s="63">
        <f>IFERROR(SUM(Y384:Y385),"0")</f>
        <v>0</v>
      </c>
      <c r="Z387" s="62"/>
      <c r="AA387" s="72"/>
      <c r="AB387" s="72"/>
      <c r="AC387" s="72"/>
    </row>
    <row r="388" spans="1:68" ht="14.25" hidden="1" customHeight="1" x14ac:dyDescent="0.25">
      <c r="A388" s="129" t="s">
        <v>179</v>
      </c>
      <c r="B388" s="129"/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30"/>
      <c r="AB388" s="30"/>
      <c r="AC388" s="30"/>
    </row>
    <row r="389" spans="1:68" ht="16.5" customHeight="1" x14ac:dyDescent="0.25">
      <c r="A389" s="31" t="s">
        <v>632</v>
      </c>
      <c r="B389" s="31" t="s">
        <v>633</v>
      </c>
      <c r="C389" s="32">
        <v>4301060524</v>
      </c>
      <c r="D389" s="130">
        <v>4607091384673</v>
      </c>
      <c r="E389" s="130"/>
      <c r="F389" s="33">
        <v>1.5</v>
      </c>
      <c r="G389" s="34">
        <v>6</v>
      </c>
      <c r="H389" s="33">
        <v>9</v>
      </c>
      <c r="I389" s="33">
        <v>9.4939999999999998</v>
      </c>
      <c r="J389" s="34">
        <v>64</v>
      </c>
      <c r="K389" s="34" t="s">
        <v>118</v>
      </c>
      <c r="L389" s="34" t="s">
        <v>20</v>
      </c>
      <c r="M389" s="43" t="s">
        <v>86</v>
      </c>
      <c r="N389" s="43"/>
      <c r="O389" s="34">
        <v>40</v>
      </c>
      <c r="P389" s="1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9" s="132"/>
      <c r="R389" s="132"/>
      <c r="S389" s="132"/>
      <c r="T389" s="133"/>
      <c r="U389" s="59" t="s">
        <v>20</v>
      </c>
      <c r="V389" s="59" t="s">
        <v>20</v>
      </c>
      <c r="W389" s="60" t="s">
        <v>69</v>
      </c>
      <c r="X389" s="61">
        <v>100</v>
      </c>
      <c r="Y389" s="67">
        <f>IFERROR(IF(X389="",0,CEILING((X389/$H389),1)*$H389),"")</f>
        <v>108</v>
      </c>
      <c r="Z389" s="68">
        <f>IFERROR(IF(Y389=0,"",ROUNDUP(Y389/H389,0)*0.01898),"")</f>
        <v>0.22776000000000002</v>
      </c>
      <c r="AA389" s="69" t="s">
        <v>20</v>
      </c>
      <c r="AB389" s="70" t="s">
        <v>20</v>
      </c>
      <c r="AC389" s="71" t="s">
        <v>634</v>
      </c>
      <c r="AG389" s="74"/>
      <c r="AJ389" s="75" t="s">
        <v>20</v>
      </c>
      <c r="AK389" s="75">
        <v>0</v>
      </c>
      <c r="BB389" s="77" t="s">
        <v>1</v>
      </c>
      <c r="BM389" s="74">
        <f>IFERROR(X389*I389/H389,"0")</f>
        <v>105.48888888888888</v>
      </c>
      <c r="BN389" s="74">
        <f>IFERROR(Y389*I389/H389,"0")</f>
        <v>113.92799999999998</v>
      </c>
      <c r="BO389" s="74">
        <f>IFERROR(1/J389*(X389/H389),"0")</f>
        <v>0.1736111111111111</v>
      </c>
      <c r="BP389" s="74">
        <f>IFERROR(1/J389*(Y389/H389),"0")</f>
        <v>0.1875</v>
      </c>
    </row>
    <row r="390" spans="1:68" x14ac:dyDescent="0.2">
      <c r="A390" s="146"/>
      <c r="B390" s="146"/>
      <c r="C390" s="146"/>
      <c r="D390" s="146"/>
      <c r="E390" s="146"/>
      <c r="F390" s="146"/>
      <c r="G390" s="146"/>
      <c r="H390" s="146"/>
      <c r="I390" s="146"/>
      <c r="J390" s="146"/>
      <c r="K390" s="146"/>
      <c r="L390" s="146"/>
      <c r="M390" s="146"/>
      <c r="N390" s="146"/>
      <c r="O390" s="147"/>
      <c r="P390" s="142" t="s">
        <v>75</v>
      </c>
      <c r="Q390" s="143"/>
      <c r="R390" s="143"/>
      <c r="S390" s="143"/>
      <c r="T390" s="143"/>
      <c r="U390" s="143"/>
      <c r="V390" s="144"/>
      <c r="W390" s="62" t="s">
        <v>76</v>
      </c>
      <c r="X390" s="63">
        <f>IFERROR(X389/H389,"0")</f>
        <v>11.111111111111111</v>
      </c>
      <c r="Y390" s="63">
        <f>IFERROR(Y389/H389,"0")</f>
        <v>12</v>
      </c>
      <c r="Z390" s="63">
        <f>IFERROR(IF(Z389="",0,Z389),"0")</f>
        <v>0.22776000000000002</v>
      </c>
      <c r="AA390" s="72"/>
      <c r="AB390" s="72"/>
      <c r="AC390" s="72"/>
    </row>
    <row r="391" spans="1:68" x14ac:dyDescent="0.2">
      <c r="A391" s="146"/>
      <c r="B391" s="146"/>
      <c r="C391" s="146"/>
      <c r="D391" s="146"/>
      <c r="E391" s="146"/>
      <c r="F391" s="146"/>
      <c r="G391" s="146"/>
      <c r="H391" s="146"/>
      <c r="I391" s="146"/>
      <c r="J391" s="146"/>
      <c r="K391" s="146"/>
      <c r="L391" s="146"/>
      <c r="M391" s="146"/>
      <c r="N391" s="146"/>
      <c r="O391" s="147"/>
      <c r="P391" s="142" t="s">
        <v>75</v>
      </c>
      <c r="Q391" s="143"/>
      <c r="R391" s="143"/>
      <c r="S391" s="143"/>
      <c r="T391" s="143"/>
      <c r="U391" s="143"/>
      <c r="V391" s="144"/>
      <c r="W391" s="62" t="s">
        <v>69</v>
      </c>
      <c r="X391" s="63">
        <f>IFERROR(SUM(X389:X389),"0")</f>
        <v>100</v>
      </c>
      <c r="Y391" s="63">
        <f>IFERROR(SUM(Y389:Y389),"0")</f>
        <v>108</v>
      </c>
      <c r="Z391" s="62"/>
      <c r="AA391" s="72"/>
      <c r="AB391" s="72"/>
      <c r="AC391" s="72"/>
    </row>
    <row r="392" spans="1:68" ht="16.5" hidden="1" customHeight="1" x14ac:dyDescent="0.25">
      <c r="A392" s="128" t="s">
        <v>635</v>
      </c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29"/>
      <c r="AB392" s="29"/>
      <c r="AC392" s="29"/>
    </row>
    <row r="393" spans="1:68" ht="14.25" hidden="1" customHeight="1" x14ac:dyDescent="0.25">
      <c r="A393" s="129" t="s">
        <v>115</v>
      </c>
      <c r="B393" s="129"/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30"/>
      <c r="AB393" s="30"/>
      <c r="AC393" s="30"/>
    </row>
    <row r="394" spans="1:68" ht="37.5" customHeight="1" x14ac:dyDescent="0.25">
      <c r="A394" s="31" t="s">
        <v>636</v>
      </c>
      <c r="B394" s="31" t="s">
        <v>637</v>
      </c>
      <c r="C394" s="32">
        <v>4301011875</v>
      </c>
      <c r="D394" s="130">
        <v>4680115884885</v>
      </c>
      <c r="E394" s="130"/>
      <c r="F394" s="33">
        <v>0.8</v>
      </c>
      <c r="G394" s="34">
        <v>15</v>
      </c>
      <c r="H394" s="33">
        <v>12</v>
      </c>
      <c r="I394" s="33">
        <v>12.41</v>
      </c>
      <c r="J394" s="34">
        <v>64</v>
      </c>
      <c r="K394" s="34" t="s">
        <v>118</v>
      </c>
      <c r="L394" s="34" t="s">
        <v>20</v>
      </c>
      <c r="M394" s="43" t="s">
        <v>68</v>
      </c>
      <c r="N394" s="43"/>
      <c r="O394" s="34">
        <v>60</v>
      </c>
      <c r="P394" s="13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4" s="132"/>
      <c r="R394" s="132"/>
      <c r="S394" s="132"/>
      <c r="T394" s="133"/>
      <c r="U394" s="59" t="s">
        <v>20</v>
      </c>
      <c r="V394" s="59" t="s">
        <v>20</v>
      </c>
      <c r="W394" s="60" t="s">
        <v>69</v>
      </c>
      <c r="X394" s="61">
        <v>200</v>
      </c>
      <c r="Y394" s="67">
        <f>IFERROR(IF(X394="",0,CEILING((X394/$H394),1)*$H394),"")</f>
        <v>204</v>
      </c>
      <c r="Z394" s="68">
        <f>IFERROR(IF(Y394=0,"",ROUNDUP(Y394/H394,0)*0.01898),"")</f>
        <v>0.32266</v>
      </c>
      <c r="AA394" s="69" t="s">
        <v>20</v>
      </c>
      <c r="AB394" s="70" t="s">
        <v>20</v>
      </c>
      <c r="AC394" s="71" t="s">
        <v>638</v>
      </c>
      <c r="AG394" s="74"/>
      <c r="AJ394" s="75" t="s">
        <v>20</v>
      </c>
      <c r="AK394" s="75">
        <v>0</v>
      </c>
      <c r="BB394" s="77" t="s">
        <v>1</v>
      </c>
      <c r="BM394" s="74">
        <f>IFERROR(X394*I394/H394,"0")</f>
        <v>206.83333333333334</v>
      </c>
      <c r="BN394" s="74">
        <f>IFERROR(Y394*I394/H394,"0")</f>
        <v>210.97</v>
      </c>
      <c r="BO394" s="74">
        <f>IFERROR(1/J394*(X394/H394),"0")</f>
        <v>0.26041666666666669</v>
      </c>
      <c r="BP394" s="74">
        <f>IFERROR(1/J394*(Y394/H394),"0")</f>
        <v>0.265625</v>
      </c>
    </row>
    <row r="395" spans="1:68" ht="37.5" hidden="1" customHeight="1" x14ac:dyDescent="0.25">
      <c r="A395" s="31" t="s">
        <v>639</v>
      </c>
      <c r="B395" s="31" t="s">
        <v>640</v>
      </c>
      <c r="C395" s="32">
        <v>4301011871</v>
      </c>
      <c r="D395" s="130">
        <v>4680115884908</v>
      </c>
      <c r="E395" s="130"/>
      <c r="F395" s="33">
        <v>0.4</v>
      </c>
      <c r="G395" s="34">
        <v>10</v>
      </c>
      <c r="H395" s="33">
        <v>4</v>
      </c>
      <c r="I395" s="33">
        <v>4.1900000000000004</v>
      </c>
      <c r="J395" s="34">
        <v>132</v>
      </c>
      <c r="K395" s="34" t="s">
        <v>128</v>
      </c>
      <c r="L395" s="34" t="s">
        <v>20</v>
      </c>
      <c r="M395" s="43" t="s">
        <v>68</v>
      </c>
      <c r="N395" s="43"/>
      <c r="O395" s="34">
        <v>60</v>
      </c>
      <c r="P395" s="1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5" s="132"/>
      <c r="R395" s="132"/>
      <c r="S395" s="132"/>
      <c r="T395" s="133"/>
      <c r="U395" s="59" t="s">
        <v>20</v>
      </c>
      <c r="V395" s="59" t="s">
        <v>20</v>
      </c>
      <c r="W395" s="60" t="s">
        <v>69</v>
      </c>
      <c r="X395" s="61">
        <v>0</v>
      </c>
      <c r="Y395" s="67">
        <f>IFERROR(IF(X395="",0,CEILING((X395/$H395),1)*$H395),"")</f>
        <v>0</v>
      </c>
      <c r="Z395" s="68" t="str">
        <f>IFERROR(IF(Y395=0,"",ROUNDUP(Y395/H395,0)*0.00902),"")</f>
        <v/>
      </c>
      <c r="AA395" s="69" t="s">
        <v>20</v>
      </c>
      <c r="AB395" s="70" t="s">
        <v>20</v>
      </c>
      <c r="AC395" s="71" t="s">
        <v>638</v>
      </c>
      <c r="AG395" s="74"/>
      <c r="AJ395" s="75" t="s">
        <v>20</v>
      </c>
      <c r="AK395" s="75">
        <v>0</v>
      </c>
      <c r="BB395" s="77" t="s">
        <v>1</v>
      </c>
      <c r="BM395" s="74">
        <f>IFERROR(X395*I395/H395,"0")</f>
        <v>0</v>
      </c>
      <c r="BN395" s="74">
        <f>IFERROR(Y395*I395/H395,"0")</f>
        <v>0</v>
      </c>
      <c r="BO395" s="74">
        <f>IFERROR(1/J395*(X395/H395),"0")</f>
        <v>0</v>
      </c>
      <c r="BP395" s="74">
        <f>IFERROR(1/J395*(Y395/H395),"0")</f>
        <v>0</v>
      </c>
    </row>
    <row r="396" spans="1:68" x14ac:dyDescent="0.2">
      <c r="A396" s="146"/>
      <c r="B396" s="146"/>
      <c r="C396" s="146"/>
      <c r="D396" s="146"/>
      <c r="E396" s="146"/>
      <c r="F396" s="146"/>
      <c r="G396" s="146"/>
      <c r="H396" s="146"/>
      <c r="I396" s="146"/>
      <c r="J396" s="146"/>
      <c r="K396" s="146"/>
      <c r="L396" s="146"/>
      <c r="M396" s="146"/>
      <c r="N396" s="146"/>
      <c r="O396" s="147"/>
      <c r="P396" s="142" t="s">
        <v>75</v>
      </c>
      <c r="Q396" s="143"/>
      <c r="R396" s="143"/>
      <c r="S396" s="143"/>
      <c r="T396" s="143"/>
      <c r="U396" s="143"/>
      <c r="V396" s="144"/>
      <c r="W396" s="62" t="s">
        <v>76</v>
      </c>
      <c r="X396" s="63">
        <f>IFERROR(X394/H394,"0")+IFERROR(X395/H395,"0")</f>
        <v>16.666666666666668</v>
      </c>
      <c r="Y396" s="63">
        <f>IFERROR(Y394/H394,"0")+IFERROR(Y395/H395,"0")</f>
        <v>17</v>
      </c>
      <c r="Z396" s="63">
        <f>IFERROR(IF(Z394="",0,Z394),"0")+IFERROR(IF(Z395="",0,Z395),"0")</f>
        <v>0.32266</v>
      </c>
      <c r="AA396" s="72"/>
      <c r="AB396" s="72"/>
      <c r="AC396" s="72"/>
    </row>
    <row r="397" spans="1:68" x14ac:dyDescent="0.2">
      <c r="A397" s="146"/>
      <c r="B397" s="146"/>
      <c r="C397" s="146"/>
      <c r="D397" s="146"/>
      <c r="E397" s="146"/>
      <c r="F397" s="146"/>
      <c r="G397" s="146"/>
      <c r="H397" s="146"/>
      <c r="I397" s="146"/>
      <c r="J397" s="146"/>
      <c r="K397" s="146"/>
      <c r="L397" s="146"/>
      <c r="M397" s="146"/>
      <c r="N397" s="146"/>
      <c r="O397" s="147"/>
      <c r="P397" s="142" t="s">
        <v>75</v>
      </c>
      <c r="Q397" s="143"/>
      <c r="R397" s="143"/>
      <c r="S397" s="143"/>
      <c r="T397" s="143"/>
      <c r="U397" s="143"/>
      <c r="V397" s="144"/>
      <c r="W397" s="62" t="s">
        <v>69</v>
      </c>
      <c r="X397" s="63">
        <f>IFERROR(SUM(X394:X395),"0")</f>
        <v>200</v>
      </c>
      <c r="Y397" s="63">
        <f>IFERROR(SUM(Y394:Y395),"0")</f>
        <v>204</v>
      </c>
      <c r="Z397" s="62"/>
      <c r="AA397" s="72"/>
      <c r="AB397" s="72"/>
      <c r="AC397" s="72"/>
    </row>
    <row r="398" spans="1:68" ht="14.25" hidden="1" customHeight="1" x14ac:dyDescent="0.25">
      <c r="A398" s="129" t="s">
        <v>64</v>
      </c>
      <c r="B398" s="129"/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30"/>
      <c r="AB398" s="30"/>
      <c r="AC398" s="30"/>
    </row>
    <row r="399" spans="1:68" ht="27" hidden="1" customHeight="1" x14ac:dyDescent="0.25">
      <c r="A399" s="31" t="s">
        <v>641</v>
      </c>
      <c r="B399" s="31" t="s">
        <v>642</v>
      </c>
      <c r="C399" s="32">
        <v>4301031457</v>
      </c>
      <c r="D399" s="130">
        <v>4607091384802</v>
      </c>
      <c r="E399" s="130"/>
      <c r="F399" s="33">
        <v>0.7</v>
      </c>
      <c r="G399" s="34">
        <v>6</v>
      </c>
      <c r="H399" s="33">
        <v>4.2</v>
      </c>
      <c r="I399" s="33">
        <v>4.45</v>
      </c>
      <c r="J399" s="34">
        <v>132</v>
      </c>
      <c r="K399" s="34" t="s">
        <v>128</v>
      </c>
      <c r="L399" s="34" t="s">
        <v>20</v>
      </c>
      <c r="M399" s="43" t="s">
        <v>68</v>
      </c>
      <c r="N399" s="43"/>
      <c r="O399" s="34">
        <v>50</v>
      </c>
      <c r="P399" s="1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9" s="132"/>
      <c r="R399" s="132"/>
      <c r="S399" s="132"/>
      <c r="T399" s="133"/>
      <c r="U399" s="59" t="s">
        <v>20</v>
      </c>
      <c r="V399" s="59" t="s">
        <v>20</v>
      </c>
      <c r="W399" s="60" t="s">
        <v>69</v>
      </c>
      <c r="X399" s="61">
        <v>0</v>
      </c>
      <c r="Y399" s="67">
        <f>IFERROR(IF(X399="",0,CEILING((X399/$H399),1)*$H399),"")</f>
        <v>0</v>
      </c>
      <c r="Z399" s="68" t="str">
        <f>IFERROR(IF(Y399=0,"",ROUNDUP(Y399/H399,0)*0.00902),"")</f>
        <v/>
      </c>
      <c r="AA399" s="69" t="s">
        <v>20</v>
      </c>
      <c r="AB399" s="70" t="s">
        <v>20</v>
      </c>
      <c r="AC399" s="71" t="s">
        <v>643</v>
      </c>
      <c r="AG399" s="74"/>
      <c r="AJ399" s="75" t="s">
        <v>20</v>
      </c>
      <c r="AK399" s="75">
        <v>0</v>
      </c>
      <c r="BB399" s="77" t="s">
        <v>1</v>
      </c>
      <c r="BM399" s="74">
        <f>IFERROR(X399*I399/H399,"0")</f>
        <v>0</v>
      </c>
      <c r="BN399" s="74">
        <f>IFERROR(Y399*I399/H399,"0")</f>
        <v>0</v>
      </c>
      <c r="BO399" s="74">
        <f>IFERROR(1/J399*(X399/H399),"0")</f>
        <v>0</v>
      </c>
      <c r="BP399" s="74">
        <f>IFERROR(1/J399*(Y399/H399),"0")</f>
        <v>0</v>
      </c>
    </row>
    <row r="400" spans="1:68" hidden="1" x14ac:dyDescent="0.2">
      <c r="A400" s="146"/>
      <c r="B400" s="146"/>
      <c r="C400" s="146"/>
      <c r="D400" s="146"/>
      <c r="E400" s="146"/>
      <c r="F400" s="146"/>
      <c r="G400" s="146"/>
      <c r="H400" s="146"/>
      <c r="I400" s="146"/>
      <c r="J400" s="146"/>
      <c r="K400" s="146"/>
      <c r="L400" s="146"/>
      <c r="M400" s="146"/>
      <c r="N400" s="146"/>
      <c r="O400" s="147"/>
      <c r="P400" s="142" t="s">
        <v>75</v>
      </c>
      <c r="Q400" s="143"/>
      <c r="R400" s="143"/>
      <c r="S400" s="143"/>
      <c r="T400" s="143"/>
      <c r="U400" s="143"/>
      <c r="V400" s="144"/>
      <c r="W400" s="62" t="s">
        <v>76</v>
      </c>
      <c r="X400" s="63">
        <f>IFERROR(X399/H399,"0")</f>
        <v>0</v>
      </c>
      <c r="Y400" s="63">
        <f>IFERROR(Y399/H399,"0")</f>
        <v>0</v>
      </c>
      <c r="Z400" s="63">
        <f>IFERROR(IF(Z399="",0,Z399),"0")</f>
        <v>0</v>
      </c>
      <c r="AA400" s="72"/>
      <c r="AB400" s="72"/>
      <c r="AC400" s="72"/>
    </row>
    <row r="401" spans="1:68" hidden="1" x14ac:dyDescent="0.2">
      <c r="A401" s="146"/>
      <c r="B401" s="146"/>
      <c r="C401" s="146"/>
      <c r="D401" s="146"/>
      <c r="E401" s="146"/>
      <c r="F401" s="146"/>
      <c r="G401" s="146"/>
      <c r="H401" s="146"/>
      <c r="I401" s="146"/>
      <c r="J401" s="146"/>
      <c r="K401" s="146"/>
      <c r="L401" s="146"/>
      <c r="M401" s="146"/>
      <c r="N401" s="146"/>
      <c r="O401" s="147"/>
      <c r="P401" s="142" t="s">
        <v>75</v>
      </c>
      <c r="Q401" s="143"/>
      <c r="R401" s="143"/>
      <c r="S401" s="143"/>
      <c r="T401" s="143"/>
      <c r="U401" s="143"/>
      <c r="V401" s="144"/>
      <c r="W401" s="62" t="s">
        <v>69</v>
      </c>
      <c r="X401" s="63">
        <f>IFERROR(SUM(X399:X399),"0")</f>
        <v>0</v>
      </c>
      <c r="Y401" s="63">
        <f>IFERROR(SUM(Y399:Y399),"0")</f>
        <v>0</v>
      </c>
      <c r="Z401" s="62"/>
      <c r="AA401" s="72"/>
      <c r="AB401" s="72"/>
      <c r="AC401" s="72"/>
    </row>
    <row r="402" spans="1:68" ht="14.25" hidden="1" customHeight="1" x14ac:dyDescent="0.25">
      <c r="A402" s="129" t="s">
        <v>77</v>
      </c>
      <c r="B402" s="129"/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30"/>
      <c r="AB402" s="30"/>
      <c r="AC402" s="30"/>
    </row>
    <row r="403" spans="1:68" ht="27" customHeight="1" x14ac:dyDescent="0.25">
      <c r="A403" s="31" t="s">
        <v>644</v>
      </c>
      <c r="B403" s="31" t="s">
        <v>645</v>
      </c>
      <c r="C403" s="32">
        <v>4301051899</v>
      </c>
      <c r="D403" s="130">
        <v>4607091384246</v>
      </c>
      <c r="E403" s="130"/>
      <c r="F403" s="33">
        <v>1.5</v>
      </c>
      <c r="G403" s="34">
        <v>6</v>
      </c>
      <c r="H403" s="33">
        <v>9</v>
      </c>
      <c r="I403" s="33">
        <v>9.4939999999999998</v>
      </c>
      <c r="J403" s="34">
        <v>64</v>
      </c>
      <c r="K403" s="34" t="s">
        <v>118</v>
      </c>
      <c r="L403" s="34" t="s">
        <v>20</v>
      </c>
      <c r="M403" s="43" t="s">
        <v>86</v>
      </c>
      <c r="N403" s="43"/>
      <c r="O403" s="34">
        <v>40</v>
      </c>
      <c r="P403" s="13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3" s="132"/>
      <c r="R403" s="132"/>
      <c r="S403" s="132"/>
      <c r="T403" s="133"/>
      <c r="U403" s="59" t="s">
        <v>20</v>
      </c>
      <c r="V403" s="59" t="s">
        <v>20</v>
      </c>
      <c r="W403" s="60" t="s">
        <v>69</v>
      </c>
      <c r="X403" s="61">
        <v>1000</v>
      </c>
      <c r="Y403" s="67">
        <f>IFERROR(IF(X403="",0,CEILING((X403/$H403),1)*$H403),"")</f>
        <v>1008</v>
      </c>
      <c r="Z403" s="68">
        <f>IFERROR(IF(Y403=0,"",ROUNDUP(Y403/H403,0)*0.01898),"")</f>
        <v>2.1257600000000001</v>
      </c>
      <c r="AA403" s="69" t="s">
        <v>20</v>
      </c>
      <c r="AB403" s="70" t="s">
        <v>20</v>
      </c>
      <c r="AC403" s="71" t="s">
        <v>646</v>
      </c>
      <c r="AG403" s="74"/>
      <c r="AJ403" s="75" t="s">
        <v>20</v>
      </c>
      <c r="AK403" s="75">
        <v>0</v>
      </c>
      <c r="BB403" s="77" t="s">
        <v>1</v>
      </c>
      <c r="BM403" s="74">
        <f>IFERROR(X403*I403/H403,"0")</f>
        <v>1054.8888888888889</v>
      </c>
      <c r="BN403" s="74">
        <f>IFERROR(Y403*I403/H403,"0")</f>
        <v>1063.328</v>
      </c>
      <c r="BO403" s="74">
        <f>IFERROR(1/J403*(X403/H403),"0")</f>
        <v>1.7361111111111112</v>
      </c>
      <c r="BP403" s="74">
        <f>IFERROR(1/J403*(Y403/H403),"0")</f>
        <v>1.75</v>
      </c>
    </row>
    <row r="404" spans="1:68" ht="27" customHeight="1" x14ac:dyDescent="0.25">
      <c r="A404" s="31" t="s">
        <v>647</v>
      </c>
      <c r="B404" s="31" t="s">
        <v>648</v>
      </c>
      <c r="C404" s="32">
        <v>4301052069</v>
      </c>
      <c r="D404" s="130">
        <v>4607091384253</v>
      </c>
      <c r="E404" s="130"/>
      <c r="F404" s="33">
        <v>0.4</v>
      </c>
      <c r="G404" s="34">
        <v>6</v>
      </c>
      <c r="H404" s="33">
        <v>2.4</v>
      </c>
      <c r="I404" s="33">
        <v>2.6640000000000001</v>
      </c>
      <c r="J404" s="34">
        <v>182</v>
      </c>
      <c r="K404" s="34" t="s">
        <v>67</v>
      </c>
      <c r="L404" s="34" t="s">
        <v>20</v>
      </c>
      <c r="M404" s="43" t="s">
        <v>86</v>
      </c>
      <c r="N404" s="43"/>
      <c r="O404" s="34">
        <v>40</v>
      </c>
      <c r="P404" s="13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4" s="132"/>
      <c r="R404" s="132"/>
      <c r="S404" s="132"/>
      <c r="T404" s="133"/>
      <c r="U404" s="59" t="s">
        <v>20</v>
      </c>
      <c r="V404" s="59" t="s">
        <v>20</v>
      </c>
      <c r="W404" s="60" t="s">
        <v>69</v>
      </c>
      <c r="X404" s="61">
        <v>150</v>
      </c>
      <c r="Y404" s="67">
        <f>IFERROR(IF(X404="",0,CEILING((X404/$H404),1)*$H404),"")</f>
        <v>151.19999999999999</v>
      </c>
      <c r="Z404" s="68">
        <f>IFERROR(IF(Y404=0,"",ROUNDUP(Y404/H404,0)*0.00651),"")</f>
        <v>0.41012999999999999</v>
      </c>
      <c r="AA404" s="69" t="s">
        <v>20</v>
      </c>
      <c r="AB404" s="70" t="s">
        <v>20</v>
      </c>
      <c r="AC404" s="71" t="s">
        <v>649</v>
      </c>
      <c r="AG404" s="74"/>
      <c r="AJ404" s="75" t="s">
        <v>20</v>
      </c>
      <c r="AK404" s="75">
        <v>0</v>
      </c>
      <c r="BB404" s="77" t="s">
        <v>1</v>
      </c>
      <c r="BM404" s="74">
        <f>IFERROR(X404*I404/H404,"0")</f>
        <v>166.50000000000003</v>
      </c>
      <c r="BN404" s="74">
        <f>IFERROR(Y404*I404/H404,"0")</f>
        <v>167.83200000000002</v>
      </c>
      <c r="BO404" s="74">
        <f>IFERROR(1/J404*(X404/H404),"0")</f>
        <v>0.34340659340659341</v>
      </c>
      <c r="BP404" s="74">
        <f>IFERROR(1/J404*(Y404/H404),"0")</f>
        <v>0.3461538461538462</v>
      </c>
    </row>
    <row r="405" spans="1:68" ht="27" hidden="1" customHeight="1" x14ac:dyDescent="0.25">
      <c r="A405" s="31" t="s">
        <v>647</v>
      </c>
      <c r="B405" s="31" t="s">
        <v>650</v>
      </c>
      <c r="C405" s="32">
        <v>4301051660</v>
      </c>
      <c r="D405" s="130">
        <v>4607091384253</v>
      </c>
      <c r="E405" s="130"/>
      <c r="F405" s="33">
        <v>0.4</v>
      </c>
      <c r="G405" s="34">
        <v>6</v>
      </c>
      <c r="H405" s="33">
        <v>2.4</v>
      </c>
      <c r="I405" s="33">
        <v>2.6640000000000001</v>
      </c>
      <c r="J405" s="34">
        <v>182</v>
      </c>
      <c r="K405" s="34" t="s">
        <v>67</v>
      </c>
      <c r="L405" s="34" t="s">
        <v>20</v>
      </c>
      <c r="M405" s="43" t="s">
        <v>86</v>
      </c>
      <c r="N405" s="43"/>
      <c r="O405" s="34">
        <v>40</v>
      </c>
      <c r="P405" s="13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5" s="132"/>
      <c r="R405" s="132"/>
      <c r="S405" s="132"/>
      <c r="T405" s="133"/>
      <c r="U405" s="59" t="s">
        <v>20</v>
      </c>
      <c r="V405" s="59" t="s">
        <v>20</v>
      </c>
      <c r="W405" s="60" t="s">
        <v>69</v>
      </c>
      <c r="X405" s="61">
        <v>0</v>
      </c>
      <c r="Y405" s="67">
        <f>IFERROR(IF(X405="",0,CEILING((X405/$H405),1)*$H405),"")</f>
        <v>0</v>
      </c>
      <c r="Z405" s="68" t="str">
        <f>IFERROR(IF(Y405=0,"",ROUNDUP(Y405/H405,0)*0.00651),"")</f>
        <v/>
      </c>
      <c r="AA405" s="69" t="s">
        <v>20</v>
      </c>
      <c r="AB405" s="70" t="s">
        <v>20</v>
      </c>
      <c r="AC405" s="71" t="s">
        <v>646</v>
      </c>
      <c r="AG405" s="74"/>
      <c r="AJ405" s="75" t="s">
        <v>20</v>
      </c>
      <c r="AK405" s="75">
        <v>0</v>
      </c>
      <c r="BB405" s="77" t="s">
        <v>1</v>
      </c>
      <c r="BM405" s="74">
        <f>IFERROR(X405*I405/H405,"0")</f>
        <v>0</v>
      </c>
      <c r="BN405" s="74">
        <f>IFERROR(Y405*I405/H405,"0")</f>
        <v>0</v>
      </c>
      <c r="BO405" s="74">
        <f>IFERROR(1/J405*(X405/H405),"0")</f>
        <v>0</v>
      </c>
      <c r="BP405" s="74">
        <f>IFERROR(1/J405*(Y405/H405),"0")</f>
        <v>0</v>
      </c>
    </row>
    <row r="406" spans="1:68" x14ac:dyDescent="0.2">
      <c r="A406" s="146"/>
      <c r="B406" s="146"/>
      <c r="C406" s="146"/>
      <c r="D406" s="146"/>
      <c r="E406" s="146"/>
      <c r="F406" s="146"/>
      <c r="G406" s="146"/>
      <c r="H406" s="146"/>
      <c r="I406" s="146"/>
      <c r="J406" s="146"/>
      <c r="K406" s="146"/>
      <c r="L406" s="146"/>
      <c r="M406" s="146"/>
      <c r="N406" s="146"/>
      <c r="O406" s="147"/>
      <c r="P406" s="142" t="s">
        <v>75</v>
      </c>
      <c r="Q406" s="143"/>
      <c r="R406" s="143"/>
      <c r="S406" s="143"/>
      <c r="T406" s="143"/>
      <c r="U406" s="143"/>
      <c r="V406" s="144"/>
      <c r="W406" s="62" t="s">
        <v>76</v>
      </c>
      <c r="X406" s="63">
        <f>IFERROR(X403/H403,"0")+IFERROR(X404/H404,"0")+IFERROR(X405/H405,"0")</f>
        <v>173.61111111111111</v>
      </c>
      <c r="Y406" s="63">
        <f>IFERROR(Y403/H403,"0")+IFERROR(Y404/H404,"0")+IFERROR(Y405/H405,"0")</f>
        <v>175</v>
      </c>
      <c r="Z406" s="63">
        <f>IFERROR(IF(Z403="",0,Z403),"0")+IFERROR(IF(Z404="",0,Z404),"0")+IFERROR(IF(Z405="",0,Z405),"0")</f>
        <v>2.5358900000000002</v>
      </c>
      <c r="AA406" s="72"/>
      <c r="AB406" s="72"/>
      <c r="AC406" s="72"/>
    </row>
    <row r="407" spans="1:68" x14ac:dyDescent="0.2">
      <c r="A407" s="146"/>
      <c r="B407" s="146"/>
      <c r="C407" s="146"/>
      <c r="D407" s="146"/>
      <c r="E407" s="146"/>
      <c r="F407" s="146"/>
      <c r="G407" s="146"/>
      <c r="H407" s="146"/>
      <c r="I407" s="146"/>
      <c r="J407" s="146"/>
      <c r="K407" s="146"/>
      <c r="L407" s="146"/>
      <c r="M407" s="146"/>
      <c r="N407" s="146"/>
      <c r="O407" s="147"/>
      <c r="P407" s="142" t="s">
        <v>75</v>
      </c>
      <c r="Q407" s="143"/>
      <c r="R407" s="143"/>
      <c r="S407" s="143"/>
      <c r="T407" s="143"/>
      <c r="U407" s="143"/>
      <c r="V407" s="144"/>
      <c r="W407" s="62" t="s">
        <v>69</v>
      </c>
      <c r="X407" s="63">
        <f>IFERROR(SUM(X403:X405),"0")</f>
        <v>1150</v>
      </c>
      <c r="Y407" s="63">
        <f>IFERROR(SUM(Y403:Y405),"0")</f>
        <v>1159.2</v>
      </c>
      <c r="Z407" s="62"/>
      <c r="AA407" s="72"/>
      <c r="AB407" s="72"/>
      <c r="AC407" s="72"/>
    </row>
    <row r="408" spans="1:68" ht="27.75" hidden="1" customHeight="1" x14ac:dyDescent="0.2">
      <c r="A408" s="127" t="s">
        <v>651</v>
      </c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  <c r="AA408" s="66"/>
      <c r="AB408" s="66"/>
      <c r="AC408" s="66"/>
    </row>
    <row r="409" spans="1:68" ht="16.5" hidden="1" customHeight="1" x14ac:dyDescent="0.25">
      <c r="A409" s="128" t="s">
        <v>652</v>
      </c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29"/>
      <c r="AB409" s="29"/>
      <c r="AC409" s="29"/>
    </row>
    <row r="410" spans="1:68" ht="14.25" hidden="1" customHeight="1" x14ac:dyDescent="0.25">
      <c r="A410" s="129" t="s">
        <v>64</v>
      </c>
      <c r="B410" s="129"/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30"/>
      <c r="AB410" s="30"/>
      <c r="AC410" s="30"/>
    </row>
    <row r="411" spans="1:68" ht="27" hidden="1" customHeight="1" x14ac:dyDescent="0.25">
      <c r="A411" s="31" t="s">
        <v>653</v>
      </c>
      <c r="B411" s="31" t="s">
        <v>654</v>
      </c>
      <c r="C411" s="32">
        <v>4301031405</v>
      </c>
      <c r="D411" s="130">
        <v>4680115886100</v>
      </c>
      <c r="E411" s="130"/>
      <c r="F411" s="33">
        <v>0.9</v>
      </c>
      <c r="G411" s="34">
        <v>6</v>
      </c>
      <c r="H411" s="33">
        <v>5.4</v>
      </c>
      <c r="I411" s="33">
        <v>5.59</v>
      </c>
      <c r="J411" s="34">
        <v>132</v>
      </c>
      <c r="K411" s="34" t="s">
        <v>128</v>
      </c>
      <c r="L411" s="34" t="s">
        <v>20</v>
      </c>
      <c r="M411" s="43" t="s">
        <v>68</v>
      </c>
      <c r="N411" s="43"/>
      <c r="O411" s="34">
        <v>50</v>
      </c>
      <c r="P411" s="1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1" s="132"/>
      <c r="R411" s="132"/>
      <c r="S411" s="132"/>
      <c r="T411" s="133"/>
      <c r="U411" s="59" t="s">
        <v>20</v>
      </c>
      <c r="V411" s="59" t="s">
        <v>20</v>
      </c>
      <c r="W411" s="60" t="s">
        <v>69</v>
      </c>
      <c r="X411" s="61">
        <v>0</v>
      </c>
      <c r="Y411" s="67">
        <f t="shared" ref="Y411:Y419" si="52">IFERROR(IF(X411="",0,CEILING((X411/$H411),1)*$H411),"")</f>
        <v>0</v>
      </c>
      <c r="Z411" s="68" t="str">
        <f>IFERROR(IF(Y411=0,"",ROUNDUP(Y411/H411,0)*0.00902),"")</f>
        <v/>
      </c>
      <c r="AA411" s="69" t="s">
        <v>20</v>
      </c>
      <c r="AB411" s="70" t="s">
        <v>20</v>
      </c>
      <c r="AC411" s="71" t="s">
        <v>655</v>
      </c>
      <c r="AG411" s="74"/>
      <c r="AJ411" s="75" t="s">
        <v>20</v>
      </c>
      <c r="AK411" s="75">
        <v>0</v>
      </c>
      <c r="BB411" s="77" t="s">
        <v>1</v>
      </c>
      <c r="BM411" s="74">
        <f t="shared" ref="BM411:BM419" si="53">IFERROR(X411*I411/H411,"0")</f>
        <v>0</v>
      </c>
      <c r="BN411" s="74">
        <f t="shared" ref="BN411:BN419" si="54">IFERROR(Y411*I411/H411,"0")</f>
        <v>0</v>
      </c>
      <c r="BO411" s="74">
        <f t="shared" ref="BO411:BO419" si="55">IFERROR(1/J411*(X411/H411),"0")</f>
        <v>0</v>
      </c>
      <c r="BP411" s="74">
        <f t="shared" ref="BP411:BP419" si="56">IFERROR(1/J411*(Y411/H411),"0")</f>
        <v>0</v>
      </c>
    </row>
    <row r="412" spans="1:68" ht="27" hidden="1" customHeight="1" x14ac:dyDescent="0.25">
      <c r="A412" s="31" t="s">
        <v>656</v>
      </c>
      <c r="B412" s="31" t="s">
        <v>657</v>
      </c>
      <c r="C412" s="32">
        <v>4301031406</v>
      </c>
      <c r="D412" s="130">
        <v>4680115886117</v>
      </c>
      <c r="E412" s="130"/>
      <c r="F412" s="33">
        <v>0.9</v>
      </c>
      <c r="G412" s="34">
        <v>6</v>
      </c>
      <c r="H412" s="33">
        <v>5.4</v>
      </c>
      <c r="I412" s="33">
        <v>5.59</v>
      </c>
      <c r="J412" s="34">
        <v>132</v>
      </c>
      <c r="K412" s="34" t="s">
        <v>128</v>
      </c>
      <c r="L412" s="34" t="s">
        <v>20</v>
      </c>
      <c r="M412" s="43" t="s">
        <v>68</v>
      </c>
      <c r="N412" s="43"/>
      <c r="O412" s="34">
        <v>50</v>
      </c>
      <c r="P412" s="13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2" s="132"/>
      <c r="R412" s="132"/>
      <c r="S412" s="132"/>
      <c r="T412" s="133"/>
      <c r="U412" s="59" t="s">
        <v>20</v>
      </c>
      <c r="V412" s="59" t="s">
        <v>20</v>
      </c>
      <c r="W412" s="60" t="s">
        <v>69</v>
      </c>
      <c r="X412" s="61">
        <v>0</v>
      </c>
      <c r="Y412" s="67">
        <f t="shared" si="52"/>
        <v>0</v>
      </c>
      <c r="Z412" s="68" t="str">
        <f>IFERROR(IF(Y412=0,"",ROUNDUP(Y412/H412,0)*0.00902),"")</f>
        <v/>
      </c>
      <c r="AA412" s="69" t="s">
        <v>20</v>
      </c>
      <c r="AB412" s="70" t="s">
        <v>20</v>
      </c>
      <c r="AC412" s="71" t="s">
        <v>658</v>
      </c>
      <c r="AG412" s="74"/>
      <c r="AJ412" s="75" t="s">
        <v>20</v>
      </c>
      <c r="AK412" s="75">
        <v>0</v>
      </c>
      <c r="BB412" s="77" t="s">
        <v>1</v>
      </c>
      <c r="BM412" s="74">
        <f t="shared" si="53"/>
        <v>0</v>
      </c>
      <c r="BN412" s="74">
        <f t="shared" si="54"/>
        <v>0</v>
      </c>
      <c r="BO412" s="74">
        <f t="shared" si="55"/>
        <v>0</v>
      </c>
      <c r="BP412" s="74">
        <f t="shared" si="56"/>
        <v>0</v>
      </c>
    </row>
    <row r="413" spans="1:68" ht="27" hidden="1" customHeight="1" x14ac:dyDescent="0.25">
      <c r="A413" s="31" t="s">
        <v>659</v>
      </c>
      <c r="B413" s="31" t="s">
        <v>660</v>
      </c>
      <c r="C413" s="32">
        <v>4301031402</v>
      </c>
      <c r="D413" s="130">
        <v>4680115886124</v>
      </c>
      <c r="E413" s="130"/>
      <c r="F413" s="33">
        <v>0.9</v>
      </c>
      <c r="G413" s="34">
        <v>6</v>
      </c>
      <c r="H413" s="33">
        <v>5.4</v>
      </c>
      <c r="I413" s="33">
        <v>5.59</v>
      </c>
      <c r="J413" s="34">
        <v>132</v>
      </c>
      <c r="K413" s="34" t="s">
        <v>128</v>
      </c>
      <c r="L413" s="34" t="s">
        <v>20</v>
      </c>
      <c r="M413" s="43" t="s">
        <v>68</v>
      </c>
      <c r="N413" s="43"/>
      <c r="O413" s="34">
        <v>50</v>
      </c>
      <c r="P413" s="13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3" s="132"/>
      <c r="R413" s="132"/>
      <c r="S413" s="132"/>
      <c r="T413" s="133"/>
      <c r="U413" s="59" t="s">
        <v>20</v>
      </c>
      <c r="V413" s="59" t="s">
        <v>20</v>
      </c>
      <c r="W413" s="60" t="s">
        <v>69</v>
      </c>
      <c r="X413" s="61">
        <v>0</v>
      </c>
      <c r="Y413" s="67">
        <f t="shared" si="52"/>
        <v>0</v>
      </c>
      <c r="Z413" s="68" t="str">
        <f>IFERROR(IF(Y413=0,"",ROUNDUP(Y413/H413,0)*0.00902),"")</f>
        <v/>
      </c>
      <c r="AA413" s="69" t="s">
        <v>20</v>
      </c>
      <c r="AB413" s="70" t="s">
        <v>20</v>
      </c>
      <c r="AC413" s="71" t="s">
        <v>661</v>
      </c>
      <c r="AG413" s="74"/>
      <c r="AJ413" s="75" t="s">
        <v>20</v>
      </c>
      <c r="AK413" s="75">
        <v>0</v>
      </c>
      <c r="BB413" s="77" t="s">
        <v>1</v>
      </c>
      <c r="BM413" s="74">
        <f t="shared" si="53"/>
        <v>0</v>
      </c>
      <c r="BN413" s="74">
        <f t="shared" si="54"/>
        <v>0</v>
      </c>
      <c r="BO413" s="74">
        <f t="shared" si="55"/>
        <v>0</v>
      </c>
      <c r="BP413" s="74">
        <f t="shared" si="56"/>
        <v>0</v>
      </c>
    </row>
    <row r="414" spans="1:68" ht="27" hidden="1" customHeight="1" x14ac:dyDescent="0.25">
      <c r="A414" s="31" t="s">
        <v>662</v>
      </c>
      <c r="B414" s="31" t="s">
        <v>663</v>
      </c>
      <c r="C414" s="32">
        <v>4301031366</v>
      </c>
      <c r="D414" s="130">
        <v>4680115883147</v>
      </c>
      <c r="E414" s="130"/>
      <c r="F414" s="33">
        <v>0.28000000000000003</v>
      </c>
      <c r="G414" s="34">
        <v>6</v>
      </c>
      <c r="H414" s="33">
        <v>1.68</v>
      </c>
      <c r="I414" s="33">
        <v>1.81</v>
      </c>
      <c r="J414" s="34">
        <v>234</v>
      </c>
      <c r="K414" s="34" t="s">
        <v>73</v>
      </c>
      <c r="L414" s="34" t="s">
        <v>20</v>
      </c>
      <c r="M414" s="43" t="s">
        <v>68</v>
      </c>
      <c r="N414" s="43"/>
      <c r="O414" s="34">
        <v>50</v>
      </c>
      <c r="P414" s="13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4" s="132"/>
      <c r="R414" s="132"/>
      <c r="S414" s="132"/>
      <c r="T414" s="133"/>
      <c r="U414" s="59" t="s">
        <v>20</v>
      </c>
      <c r="V414" s="59" t="s">
        <v>20</v>
      </c>
      <c r="W414" s="60" t="s">
        <v>69</v>
      </c>
      <c r="X414" s="61">
        <v>0</v>
      </c>
      <c r="Y414" s="67">
        <f t="shared" si="52"/>
        <v>0</v>
      </c>
      <c r="Z414" s="68" t="str">
        <f t="shared" ref="Z414:Z419" si="57">IFERROR(IF(Y414=0,"",ROUNDUP(Y414/H414,0)*0.00502),"")</f>
        <v/>
      </c>
      <c r="AA414" s="69" t="s">
        <v>20</v>
      </c>
      <c r="AB414" s="70" t="s">
        <v>20</v>
      </c>
      <c r="AC414" s="71" t="s">
        <v>655</v>
      </c>
      <c r="AG414" s="74"/>
      <c r="AJ414" s="75" t="s">
        <v>20</v>
      </c>
      <c r="AK414" s="75">
        <v>0</v>
      </c>
      <c r="BB414" s="77" t="s">
        <v>1</v>
      </c>
      <c r="BM414" s="74">
        <f t="shared" si="53"/>
        <v>0</v>
      </c>
      <c r="BN414" s="74">
        <f t="shared" si="54"/>
        <v>0</v>
      </c>
      <c r="BO414" s="74">
        <f t="shared" si="55"/>
        <v>0</v>
      </c>
      <c r="BP414" s="74">
        <f t="shared" si="56"/>
        <v>0</v>
      </c>
    </row>
    <row r="415" spans="1:68" ht="27" hidden="1" customHeight="1" x14ac:dyDescent="0.25">
      <c r="A415" s="31" t="s">
        <v>664</v>
      </c>
      <c r="B415" s="31" t="s">
        <v>665</v>
      </c>
      <c r="C415" s="32">
        <v>4301031362</v>
      </c>
      <c r="D415" s="130">
        <v>4607091384338</v>
      </c>
      <c r="E415" s="130"/>
      <c r="F415" s="33">
        <v>0.35</v>
      </c>
      <c r="G415" s="34">
        <v>6</v>
      </c>
      <c r="H415" s="33">
        <v>2.1</v>
      </c>
      <c r="I415" s="33">
        <v>2.23</v>
      </c>
      <c r="J415" s="34">
        <v>234</v>
      </c>
      <c r="K415" s="34" t="s">
        <v>73</v>
      </c>
      <c r="L415" s="34" t="s">
        <v>20</v>
      </c>
      <c r="M415" s="43" t="s">
        <v>68</v>
      </c>
      <c r="N415" s="43"/>
      <c r="O415" s="34">
        <v>50</v>
      </c>
      <c r="P415" s="1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5" s="132"/>
      <c r="R415" s="132"/>
      <c r="S415" s="132"/>
      <c r="T415" s="133"/>
      <c r="U415" s="59" t="s">
        <v>20</v>
      </c>
      <c r="V415" s="59" t="s">
        <v>20</v>
      </c>
      <c r="W415" s="60" t="s">
        <v>69</v>
      </c>
      <c r="X415" s="61">
        <v>0</v>
      </c>
      <c r="Y415" s="67">
        <f t="shared" si="52"/>
        <v>0</v>
      </c>
      <c r="Z415" s="68" t="str">
        <f t="shared" si="57"/>
        <v/>
      </c>
      <c r="AA415" s="69" t="s">
        <v>20</v>
      </c>
      <c r="AB415" s="70" t="s">
        <v>20</v>
      </c>
      <c r="AC415" s="71" t="s">
        <v>655</v>
      </c>
      <c r="AG415" s="74"/>
      <c r="AJ415" s="75" t="s">
        <v>20</v>
      </c>
      <c r="AK415" s="75">
        <v>0</v>
      </c>
      <c r="BB415" s="77" t="s">
        <v>1</v>
      </c>
      <c r="BM415" s="74">
        <f t="shared" si="53"/>
        <v>0</v>
      </c>
      <c r="BN415" s="74">
        <f t="shared" si="54"/>
        <v>0</v>
      </c>
      <c r="BO415" s="74">
        <f t="shared" si="55"/>
        <v>0</v>
      </c>
      <c r="BP415" s="74">
        <f t="shared" si="56"/>
        <v>0</v>
      </c>
    </row>
    <row r="416" spans="1:68" ht="37.5" hidden="1" customHeight="1" x14ac:dyDescent="0.25">
      <c r="A416" s="31" t="s">
        <v>666</v>
      </c>
      <c r="B416" s="31" t="s">
        <v>667</v>
      </c>
      <c r="C416" s="32">
        <v>4301031361</v>
      </c>
      <c r="D416" s="130">
        <v>4607091389524</v>
      </c>
      <c r="E416" s="130"/>
      <c r="F416" s="33">
        <v>0.35</v>
      </c>
      <c r="G416" s="34">
        <v>6</v>
      </c>
      <c r="H416" s="33">
        <v>2.1</v>
      </c>
      <c r="I416" s="33">
        <v>2.23</v>
      </c>
      <c r="J416" s="34">
        <v>234</v>
      </c>
      <c r="K416" s="34" t="s">
        <v>73</v>
      </c>
      <c r="L416" s="34" t="s">
        <v>20</v>
      </c>
      <c r="M416" s="43" t="s">
        <v>68</v>
      </c>
      <c r="N416" s="43"/>
      <c r="O416" s="34">
        <v>50</v>
      </c>
      <c r="P416" s="13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6" s="132"/>
      <c r="R416" s="132"/>
      <c r="S416" s="132"/>
      <c r="T416" s="133"/>
      <c r="U416" s="59" t="s">
        <v>20</v>
      </c>
      <c r="V416" s="59" t="s">
        <v>20</v>
      </c>
      <c r="W416" s="60" t="s">
        <v>69</v>
      </c>
      <c r="X416" s="61">
        <v>0</v>
      </c>
      <c r="Y416" s="67">
        <f t="shared" si="52"/>
        <v>0</v>
      </c>
      <c r="Z416" s="68" t="str">
        <f t="shared" si="57"/>
        <v/>
      </c>
      <c r="AA416" s="69" t="s">
        <v>20</v>
      </c>
      <c r="AB416" s="70" t="s">
        <v>20</v>
      </c>
      <c r="AC416" s="71" t="s">
        <v>668</v>
      </c>
      <c r="AG416" s="74"/>
      <c r="AJ416" s="75" t="s">
        <v>20</v>
      </c>
      <c r="AK416" s="75">
        <v>0</v>
      </c>
      <c r="BB416" s="77" t="s">
        <v>1</v>
      </c>
      <c r="BM416" s="74">
        <f t="shared" si="53"/>
        <v>0</v>
      </c>
      <c r="BN416" s="74">
        <f t="shared" si="54"/>
        <v>0</v>
      </c>
      <c r="BO416" s="74">
        <f t="shared" si="55"/>
        <v>0</v>
      </c>
      <c r="BP416" s="74">
        <f t="shared" si="56"/>
        <v>0</v>
      </c>
    </row>
    <row r="417" spans="1:68" ht="27" hidden="1" customHeight="1" x14ac:dyDescent="0.25">
      <c r="A417" s="31" t="s">
        <v>669</v>
      </c>
      <c r="B417" s="31" t="s">
        <v>670</v>
      </c>
      <c r="C417" s="32">
        <v>4301031364</v>
      </c>
      <c r="D417" s="130">
        <v>4680115883161</v>
      </c>
      <c r="E417" s="130"/>
      <c r="F417" s="33">
        <v>0.28000000000000003</v>
      </c>
      <c r="G417" s="34">
        <v>6</v>
      </c>
      <c r="H417" s="33">
        <v>1.68</v>
      </c>
      <c r="I417" s="33">
        <v>1.81</v>
      </c>
      <c r="J417" s="34">
        <v>234</v>
      </c>
      <c r="K417" s="34" t="s">
        <v>73</v>
      </c>
      <c r="L417" s="34" t="s">
        <v>20</v>
      </c>
      <c r="M417" s="43" t="s">
        <v>68</v>
      </c>
      <c r="N417" s="43"/>
      <c r="O417" s="34">
        <v>50</v>
      </c>
      <c r="P417" s="1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7" s="132"/>
      <c r="R417" s="132"/>
      <c r="S417" s="132"/>
      <c r="T417" s="133"/>
      <c r="U417" s="59" t="s">
        <v>20</v>
      </c>
      <c r="V417" s="59" t="s">
        <v>20</v>
      </c>
      <c r="W417" s="60" t="s">
        <v>69</v>
      </c>
      <c r="X417" s="61">
        <v>0</v>
      </c>
      <c r="Y417" s="67">
        <f t="shared" si="52"/>
        <v>0</v>
      </c>
      <c r="Z417" s="68" t="str">
        <f t="shared" si="57"/>
        <v/>
      </c>
      <c r="AA417" s="69" t="s">
        <v>20</v>
      </c>
      <c r="AB417" s="70" t="s">
        <v>20</v>
      </c>
      <c r="AC417" s="71" t="s">
        <v>671</v>
      </c>
      <c r="AG417" s="74"/>
      <c r="AJ417" s="75" t="s">
        <v>20</v>
      </c>
      <c r="AK417" s="75">
        <v>0</v>
      </c>
      <c r="BB417" s="77" t="s">
        <v>1</v>
      </c>
      <c r="BM417" s="74">
        <f t="shared" si="53"/>
        <v>0</v>
      </c>
      <c r="BN417" s="74">
        <f t="shared" si="54"/>
        <v>0</v>
      </c>
      <c r="BO417" s="74">
        <f t="shared" si="55"/>
        <v>0</v>
      </c>
      <c r="BP417" s="74">
        <f t="shared" si="56"/>
        <v>0</v>
      </c>
    </row>
    <row r="418" spans="1:68" ht="27" hidden="1" customHeight="1" x14ac:dyDescent="0.25">
      <c r="A418" s="31" t="s">
        <v>672</v>
      </c>
      <c r="B418" s="31" t="s">
        <v>673</v>
      </c>
      <c r="C418" s="32">
        <v>4301031358</v>
      </c>
      <c r="D418" s="130">
        <v>4607091389531</v>
      </c>
      <c r="E418" s="130"/>
      <c r="F418" s="33">
        <v>0.35</v>
      </c>
      <c r="G418" s="34">
        <v>6</v>
      </c>
      <c r="H418" s="33">
        <v>2.1</v>
      </c>
      <c r="I418" s="33">
        <v>2.23</v>
      </c>
      <c r="J418" s="34">
        <v>234</v>
      </c>
      <c r="K418" s="34" t="s">
        <v>73</v>
      </c>
      <c r="L418" s="34" t="s">
        <v>20</v>
      </c>
      <c r="M418" s="43" t="s">
        <v>68</v>
      </c>
      <c r="N418" s="43"/>
      <c r="O418" s="34">
        <v>50</v>
      </c>
      <c r="P418" s="1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8" s="132"/>
      <c r="R418" s="132"/>
      <c r="S418" s="132"/>
      <c r="T418" s="133"/>
      <c r="U418" s="59" t="s">
        <v>20</v>
      </c>
      <c r="V418" s="59" t="s">
        <v>20</v>
      </c>
      <c r="W418" s="60" t="s">
        <v>69</v>
      </c>
      <c r="X418" s="61">
        <v>0</v>
      </c>
      <c r="Y418" s="67">
        <f t="shared" si="52"/>
        <v>0</v>
      </c>
      <c r="Z418" s="68" t="str">
        <f t="shared" si="57"/>
        <v/>
      </c>
      <c r="AA418" s="69" t="s">
        <v>20</v>
      </c>
      <c r="AB418" s="70" t="s">
        <v>20</v>
      </c>
      <c r="AC418" s="71" t="s">
        <v>674</v>
      </c>
      <c r="AG418" s="74"/>
      <c r="AJ418" s="75" t="s">
        <v>20</v>
      </c>
      <c r="AK418" s="75">
        <v>0</v>
      </c>
      <c r="BB418" s="77" t="s">
        <v>1</v>
      </c>
      <c r="BM418" s="74">
        <f t="shared" si="53"/>
        <v>0</v>
      </c>
      <c r="BN418" s="74">
        <f t="shared" si="54"/>
        <v>0</v>
      </c>
      <c r="BO418" s="74">
        <f t="shared" si="55"/>
        <v>0</v>
      </c>
      <c r="BP418" s="74">
        <f t="shared" si="56"/>
        <v>0</v>
      </c>
    </row>
    <row r="419" spans="1:68" ht="37.5" hidden="1" customHeight="1" x14ac:dyDescent="0.25">
      <c r="A419" s="31" t="s">
        <v>675</v>
      </c>
      <c r="B419" s="31" t="s">
        <v>676</v>
      </c>
      <c r="C419" s="32">
        <v>4301031360</v>
      </c>
      <c r="D419" s="130">
        <v>4607091384345</v>
      </c>
      <c r="E419" s="130"/>
      <c r="F419" s="33">
        <v>0.35</v>
      </c>
      <c r="G419" s="34">
        <v>6</v>
      </c>
      <c r="H419" s="33">
        <v>2.1</v>
      </c>
      <c r="I419" s="33">
        <v>2.23</v>
      </c>
      <c r="J419" s="34">
        <v>234</v>
      </c>
      <c r="K419" s="34" t="s">
        <v>73</v>
      </c>
      <c r="L419" s="34" t="s">
        <v>20</v>
      </c>
      <c r="M419" s="43" t="s">
        <v>68</v>
      </c>
      <c r="N419" s="43"/>
      <c r="O419" s="34">
        <v>50</v>
      </c>
      <c r="P419" s="1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9" s="132"/>
      <c r="R419" s="132"/>
      <c r="S419" s="132"/>
      <c r="T419" s="133"/>
      <c r="U419" s="59" t="s">
        <v>20</v>
      </c>
      <c r="V419" s="59" t="s">
        <v>20</v>
      </c>
      <c r="W419" s="60" t="s">
        <v>69</v>
      </c>
      <c r="X419" s="61">
        <v>0</v>
      </c>
      <c r="Y419" s="67">
        <f t="shared" si="52"/>
        <v>0</v>
      </c>
      <c r="Z419" s="68" t="str">
        <f t="shared" si="57"/>
        <v/>
      </c>
      <c r="AA419" s="69" t="s">
        <v>20</v>
      </c>
      <c r="AB419" s="70" t="s">
        <v>20</v>
      </c>
      <c r="AC419" s="71" t="s">
        <v>671</v>
      </c>
      <c r="AG419" s="74"/>
      <c r="AJ419" s="75" t="s">
        <v>20</v>
      </c>
      <c r="AK419" s="75">
        <v>0</v>
      </c>
      <c r="BB419" s="77" t="s">
        <v>1</v>
      </c>
      <c r="BM419" s="74">
        <f t="shared" si="53"/>
        <v>0</v>
      </c>
      <c r="BN419" s="74">
        <f t="shared" si="54"/>
        <v>0</v>
      </c>
      <c r="BO419" s="74">
        <f t="shared" si="55"/>
        <v>0</v>
      </c>
      <c r="BP419" s="74">
        <f t="shared" si="56"/>
        <v>0</v>
      </c>
    </row>
    <row r="420" spans="1:68" hidden="1" x14ac:dyDescent="0.2">
      <c r="A420" s="146"/>
      <c r="B420" s="146"/>
      <c r="C420" s="146"/>
      <c r="D420" s="146"/>
      <c r="E420" s="146"/>
      <c r="F420" s="146"/>
      <c r="G420" s="146"/>
      <c r="H420" s="146"/>
      <c r="I420" s="146"/>
      <c r="J420" s="146"/>
      <c r="K420" s="146"/>
      <c r="L420" s="146"/>
      <c r="M420" s="146"/>
      <c r="N420" s="146"/>
      <c r="O420" s="147"/>
      <c r="P420" s="142" t="s">
        <v>75</v>
      </c>
      <c r="Q420" s="143"/>
      <c r="R420" s="143"/>
      <c r="S420" s="143"/>
      <c r="T420" s="143"/>
      <c r="U420" s="143"/>
      <c r="V420" s="144"/>
      <c r="W420" s="62" t="s">
        <v>76</v>
      </c>
      <c r="X420" s="63">
        <f>IFERROR(X411/H411,"0")+IFERROR(X412/H412,"0")+IFERROR(X413/H413,"0")+IFERROR(X414/H414,"0")+IFERROR(X415/H415,"0")+IFERROR(X416/H416,"0")+IFERROR(X417/H417,"0")+IFERROR(X418/H418,"0")+IFERROR(X419/H419,"0")</f>
        <v>0</v>
      </c>
      <c r="Y420" s="63">
        <f>IFERROR(Y411/H411,"0")+IFERROR(Y412/H412,"0")+IFERROR(Y413/H413,"0")+IFERROR(Y414/H414,"0")+IFERROR(Y415/H415,"0")+IFERROR(Y416/H416,"0")+IFERROR(Y417/H417,"0")+IFERROR(Y418/H418,"0")+IFERROR(Y419/H419,"0")</f>
        <v>0</v>
      </c>
      <c r="Z420" s="63">
        <f>IFERROR(IF(Z411="",0,Z411),"0")+IFERROR(IF(Z412="",0,Z412),"0")+IFERROR(IF(Z413="",0,Z413),"0")+IFERROR(IF(Z414="",0,Z414),"0")+IFERROR(IF(Z415="",0,Z415),"0")+IFERROR(IF(Z416="",0,Z416),"0")+IFERROR(IF(Z417="",0,Z417),"0")+IFERROR(IF(Z418="",0,Z418),"0")+IFERROR(IF(Z419="",0,Z419),"0")</f>
        <v>0</v>
      </c>
      <c r="AA420" s="72"/>
      <c r="AB420" s="72"/>
      <c r="AC420" s="72"/>
    </row>
    <row r="421" spans="1:68" hidden="1" x14ac:dyDescent="0.2">
      <c r="A421" s="146"/>
      <c r="B421" s="146"/>
      <c r="C421" s="146"/>
      <c r="D421" s="146"/>
      <c r="E421" s="146"/>
      <c r="F421" s="146"/>
      <c r="G421" s="146"/>
      <c r="H421" s="146"/>
      <c r="I421" s="146"/>
      <c r="J421" s="146"/>
      <c r="K421" s="146"/>
      <c r="L421" s="146"/>
      <c r="M421" s="146"/>
      <c r="N421" s="146"/>
      <c r="O421" s="147"/>
      <c r="P421" s="142" t="s">
        <v>75</v>
      </c>
      <c r="Q421" s="143"/>
      <c r="R421" s="143"/>
      <c r="S421" s="143"/>
      <c r="T421" s="143"/>
      <c r="U421" s="143"/>
      <c r="V421" s="144"/>
      <c r="W421" s="62" t="s">
        <v>69</v>
      </c>
      <c r="X421" s="63">
        <f>IFERROR(SUM(X411:X419),"0")</f>
        <v>0</v>
      </c>
      <c r="Y421" s="63">
        <f>IFERROR(SUM(Y411:Y419),"0")</f>
        <v>0</v>
      </c>
      <c r="Z421" s="62"/>
      <c r="AA421" s="72"/>
      <c r="AB421" s="72"/>
      <c r="AC421" s="72"/>
    </row>
    <row r="422" spans="1:68" ht="14.25" hidden="1" customHeight="1" x14ac:dyDescent="0.25">
      <c r="A422" s="129" t="s">
        <v>77</v>
      </c>
      <c r="B422" s="129"/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30"/>
      <c r="AB422" s="30"/>
      <c r="AC422" s="30"/>
    </row>
    <row r="423" spans="1:68" ht="27" hidden="1" customHeight="1" x14ac:dyDescent="0.25">
      <c r="A423" s="31" t="s">
        <v>677</v>
      </c>
      <c r="B423" s="31" t="s">
        <v>678</v>
      </c>
      <c r="C423" s="32">
        <v>4301051284</v>
      </c>
      <c r="D423" s="130">
        <v>4607091384352</v>
      </c>
      <c r="E423" s="130"/>
      <c r="F423" s="33">
        <v>0.6</v>
      </c>
      <c r="G423" s="34">
        <v>4</v>
      </c>
      <c r="H423" s="33">
        <v>2.4</v>
      </c>
      <c r="I423" s="33">
        <v>2.6259999999999999</v>
      </c>
      <c r="J423" s="34">
        <v>132</v>
      </c>
      <c r="K423" s="34" t="s">
        <v>128</v>
      </c>
      <c r="L423" s="34" t="s">
        <v>20</v>
      </c>
      <c r="M423" s="43" t="s">
        <v>86</v>
      </c>
      <c r="N423" s="43"/>
      <c r="O423" s="34">
        <v>45</v>
      </c>
      <c r="P423" s="13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3" s="132"/>
      <c r="R423" s="132"/>
      <c r="S423" s="132"/>
      <c r="T423" s="133"/>
      <c r="U423" s="59" t="s">
        <v>20</v>
      </c>
      <c r="V423" s="59" t="s">
        <v>20</v>
      </c>
      <c r="W423" s="60" t="s">
        <v>69</v>
      </c>
      <c r="X423" s="61">
        <v>0</v>
      </c>
      <c r="Y423" s="67">
        <f>IFERROR(IF(X423="",0,CEILING((X423/$H423),1)*$H423),"")</f>
        <v>0</v>
      </c>
      <c r="Z423" s="68" t="str">
        <f>IFERROR(IF(Y423=0,"",ROUNDUP(Y423/H423,0)*0.00902),"")</f>
        <v/>
      </c>
      <c r="AA423" s="69" t="s">
        <v>20</v>
      </c>
      <c r="AB423" s="70" t="s">
        <v>20</v>
      </c>
      <c r="AC423" s="71" t="s">
        <v>679</v>
      </c>
      <c r="AG423" s="74"/>
      <c r="AJ423" s="75" t="s">
        <v>20</v>
      </c>
      <c r="AK423" s="75">
        <v>0</v>
      </c>
      <c r="BB423" s="77" t="s">
        <v>1</v>
      </c>
      <c r="BM423" s="74">
        <f>IFERROR(X423*I423/H423,"0")</f>
        <v>0</v>
      </c>
      <c r="BN423" s="74">
        <f>IFERROR(Y423*I423/H423,"0")</f>
        <v>0</v>
      </c>
      <c r="BO423" s="74">
        <f>IFERROR(1/J423*(X423/H423),"0")</f>
        <v>0</v>
      </c>
      <c r="BP423" s="74">
        <f>IFERROR(1/J423*(Y423/H423),"0")</f>
        <v>0</v>
      </c>
    </row>
    <row r="424" spans="1:68" ht="27" hidden="1" customHeight="1" x14ac:dyDescent="0.25">
      <c r="A424" s="31" t="s">
        <v>680</v>
      </c>
      <c r="B424" s="31" t="s">
        <v>681</v>
      </c>
      <c r="C424" s="32">
        <v>4301051431</v>
      </c>
      <c r="D424" s="130">
        <v>4607091389654</v>
      </c>
      <c r="E424" s="130"/>
      <c r="F424" s="33">
        <v>0.33</v>
      </c>
      <c r="G424" s="34">
        <v>6</v>
      </c>
      <c r="H424" s="33">
        <v>1.98</v>
      </c>
      <c r="I424" s="33">
        <v>2.238</v>
      </c>
      <c r="J424" s="34">
        <v>182</v>
      </c>
      <c r="K424" s="34" t="s">
        <v>67</v>
      </c>
      <c r="L424" s="34" t="s">
        <v>20</v>
      </c>
      <c r="M424" s="43" t="s">
        <v>86</v>
      </c>
      <c r="N424" s="43"/>
      <c r="O424" s="34">
        <v>45</v>
      </c>
      <c r="P424" s="13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4" s="132"/>
      <c r="R424" s="132"/>
      <c r="S424" s="132"/>
      <c r="T424" s="133"/>
      <c r="U424" s="59" t="s">
        <v>20</v>
      </c>
      <c r="V424" s="59" t="s">
        <v>20</v>
      </c>
      <c r="W424" s="60" t="s">
        <v>69</v>
      </c>
      <c r="X424" s="61">
        <v>0</v>
      </c>
      <c r="Y424" s="67">
        <f>IFERROR(IF(X424="",0,CEILING((X424/$H424),1)*$H424),"")</f>
        <v>0</v>
      </c>
      <c r="Z424" s="68" t="str">
        <f>IFERROR(IF(Y424=0,"",ROUNDUP(Y424/H424,0)*0.00651),"")</f>
        <v/>
      </c>
      <c r="AA424" s="69" t="s">
        <v>20</v>
      </c>
      <c r="AB424" s="70" t="s">
        <v>20</v>
      </c>
      <c r="AC424" s="71" t="s">
        <v>682</v>
      </c>
      <c r="AG424" s="74"/>
      <c r="AJ424" s="75" t="s">
        <v>20</v>
      </c>
      <c r="AK424" s="75">
        <v>0</v>
      </c>
      <c r="BB424" s="77" t="s">
        <v>1</v>
      </c>
      <c r="BM424" s="74">
        <f>IFERROR(X424*I424/H424,"0")</f>
        <v>0</v>
      </c>
      <c r="BN424" s="74">
        <f>IFERROR(Y424*I424/H424,"0")</f>
        <v>0</v>
      </c>
      <c r="BO424" s="74">
        <f>IFERROR(1/J424*(X424/H424),"0")</f>
        <v>0</v>
      </c>
      <c r="BP424" s="74">
        <f>IFERROR(1/J424*(Y424/H424),"0")</f>
        <v>0</v>
      </c>
    </row>
    <row r="425" spans="1:68" hidden="1" x14ac:dyDescent="0.2">
      <c r="A425" s="146"/>
      <c r="B425" s="146"/>
      <c r="C425" s="146"/>
      <c r="D425" s="146"/>
      <c r="E425" s="146"/>
      <c r="F425" s="146"/>
      <c r="G425" s="146"/>
      <c r="H425" s="146"/>
      <c r="I425" s="146"/>
      <c r="J425" s="146"/>
      <c r="K425" s="146"/>
      <c r="L425" s="146"/>
      <c r="M425" s="146"/>
      <c r="N425" s="146"/>
      <c r="O425" s="147"/>
      <c r="P425" s="142" t="s">
        <v>75</v>
      </c>
      <c r="Q425" s="143"/>
      <c r="R425" s="143"/>
      <c r="S425" s="143"/>
      <c r="T425" s="143"/>
      <c r="U425" s="143"/>
      <c r="V425" s="144"/>
      <c r="W425" s="62" t="s">
        <v>76</v>
      </c>
      <c r="X425" s="63">
        <f>IFERROR(X423/H423,"0")+IFERROR(X424/H424,"0")</f>
        <v>0</v>
      </c>
      <c r="Y425" s="63">
        <f>IFERROR(Y423/H423,"0")+IFERROR(Y424/H424,"0")</f>
        <v>0</v>
      </c>
      <c r="Z425" s="63">
        <f>IFERROR(IF(Z423="",0,Z423),"0")+IFERROR(IF(Z424="",0,Z424),"0")</f>
        <v>0</v>
      </c>
      <c r="AA425" s="72"/>
      <c r="AB425" s="72"/>
      <c r="AC425" s="72"/>
    </row>
    <row r="426" spans="1:68" hidden="1" x14ac:dyDescent="0.2">
      <c r="A426" s="146"/>
      <c r="B426" s="146"/>
      <c r="C426" s="146"/>
      <c r="D426" s="146"/>
      <c r="E426" s="146"/>
      <c r="F426" s="146"/>
      <c r="G426" s="146"/>
      <c r="H426" s="146"/>
      <c r="I426" s="146"/>
      <c r="J426" s="146"/>
      <c r="K426" s="146"/>
      <c r="L426" s="146"/>
      <c r="M426" s="146"/>
      <c r="N426" s="146"/>
      <c r="O426" s="147"/>
      <c r="P426" s="142" t="s">
        <v>75</v>
      </c>
      <c r="Q426" s="143"/>
      <c r="R426" s="143"/>
      <c r="S426" s="143"/>
      <c r="T426" s="143"/>
      <c r="U426" s="143"/>
      <c r="V426" s="144"/>
      <c r="W426" s="62" t="s">
        <v>69</v>
      </c>
      <c r="X426" s="63">
        <f>IFERROR(SUM(X423:X424),"0")</f>
        <v>0</v>
      </c>
      <c r="Y426" s="63">
        <f>IFERROR(SUM(Y423:Y424),"0")</f>
        <v>0</v>
      </c>
      <c r="Z426" s="62"/>
      <c r="AA426" s="72"/>
      <c r="AB426" s="72"/>
      <c r="AC426" s="72"/>
    </row>
    <row r="427" spans="1:68" ht="16.5" hidden="1" customHeight="1" x14ac:dyDescent="0.25">
      <c r="A427" s="128" t="s">
        <v>683</v>
      </c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29"/>
      <c r="AB427" s="29"/>
      <c r="AC427" s="29"/>
    </row>
    <row r="428" spans="1:68" ht="14.25" hidden="1" customHeight="1" x14ac:dyDescent="0.25">
      <c r="A428" s="129" t="s">
        <v>154</v>
      </c>
      <c r="B428" s="129"/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30"/>
      <c r="AB428" s="30"/>
      <c r="AC428" s="30"/>
    </row>
    <row r="429" spans="1:68" ht="27" hidden="1" customHeight="1" x14ac:dyDescent="0.25">
      <c r="A429" s="31" t="s">
        <v>684</v>
      </c>
      <c r="B429" s="31" t="s">
        <v>685</v>
      </c>
      <c r="C429" s="32">
        <v>4301020319</v>
      </c>
      <c r="D429" s="130">
        <v>4680115885240</v>
      </c>
      <c r="E429" s="130"/>
      <c r="F429" s="33">
        <v>0.35</v>
      </c>
      <c r="G429" s="34">
        <v>6</v>
      </c>
      <c r="H429" s="33">
        <v>2.1</v>
      </c>
      <c r="I429" s="33">
        <v>2.31</v>
      </c>
      <c r="J429" s="34">
        <v>182</v>
      </c>
      <c r="K429" s="34" t="s">
        <v>67</v>
      </c>
      <c r="L429" s="34" t="s">
        <v>20</v>
      </c>
      <c r="M429" s="43" t="s">
        <v>68</v>
      </c>
      <c r="N429" s="43"/>
      <c r="O429" s="34">
        <v>40</v>
      </c>
      <c r="P429" s="1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9" s="132"/>
      <c r="R429" s="132"/>
      <c r="S429" s="132"/>
      <c r="T429" s="133"/>
      <c r="U429" s="59" t="s">
        <v>20</v>
      </c>
      <c r="V429" s="59" t="s">
        <v>20</v>
      </c>
      <c r="W429" s="60" t="s">
        <v>69</v>
      </c>
      <c r="X429" s="61">
        <v>0</v>
      </c>
      <c r="Y429" s="67">
        <f>IFERROR(IF(X429="",0,CEILING((X429/$H429),1)*$H429),"")</f>
        <v>0</v>
      </c>
      <c r="Z429" s="68" t="str">
        <f>IFERROR(IF(Y429=0,"",ROUNDUP(Y429/H429,0)*0.00651),"")</f>
        <v/>
      </c>
      <c r="AA429" s="69" t="s">
        <v>20</v>
      </c>
      <c r="AB429" s="70" t="s">
        <v>20</v>
      </c>
      <c r="AC429" s="71" t="s">
        <v>686</v>
      </c>
      <c r="AG429" s="74"/>
      <c r="AJ429" s="75" t="s">
        <v>20</v>
      </c>
      <c r="AK429" s="75">
        <v>0</v>
      </c>
      <c r="BB429" s="77" t="s">
        <v>1</v>
      </c>
      <c r="BM429" s="74">
        <f>IFERROR(X429*I429/H429,"0")</f>
        <v>0</v>
      </c>
      <c r="BN429" s="74">
        <f>IFERROR(Y429*I429/H429,"0")</f>
        <v>0</v>
      </c>
      <c r="BO429" s="74">
        <f>IFERROR(1/J429*(X429/H429),"0")</f>
        <v>0</v>
      </c>
      <c r="BP429" s="74">
        <f>IFERROR(1/J429*(Y429/H429),"0")</f>
        <v>0</v>
      </c>
    </row>
    <row r="430" spans="1:68" hidden="1" x14ac:dyDescent="0.2">
      <c r="A430" s="146"/>
      <c r="B430" s="146"/>
      <c r="C430" s="146"/>
      <c r="D430" s="146"/>
      <c r="E430" s="146"/>
      <c r="F430" s="146"/>
      <c r="G430" s="146"/>
      <c r="H430" s="146"/>
      <c r="I430" s="146"/>
      <c r="J430" s="146"/>
      <c r="K430" s="146"/>
      <c r="L430" s="146"/>
      <c r="M430" s="146"/>
      <c r="N430" s="146"/>
      <c r="O430" s="147"/>
      <c r="P430" s="142" t="s">
        <v>75</v>
      </c>
      <c r="Q430" s="143"/>
      <c r="R430" s="143"/>
      <c r="S430" s="143"/>
      <c r="T430" s="143"/>
      <c r="U430" s="143"/>
      <c r="V430" s="144"/>
      <c r="W430" s="62" t="s">
        <v>76</v>
      </c>
      <c r="X430" s="63">
        <f>IFERROR(X429/H429,"0")</f>
        <v>0</v>
      </c>
      <c r="Y430" s="63">
        <f>IFERROR(Y429/H429,"0")</f>
        <v>0</v>
      </c>
      <c r="Z430" s="63">
        <f>IFERROR(IF(Z429="",0,Z429),"0")</f>
        <v>0</v>
      </c>
      <c r="AA430" s="72"/>
      <c r="AB430" s="72"/>
      <c r="AC430" s="72"/>
    </row>
    <row r="431" spans="1:68" hidden="1" x14ac:dyDescent="0.2">
      <c r="A431" s="146"/>
      <c r="B431" s="146"/>
      <c r="C431" s="146"/>
      <c r="D431" s="146"/>
      <c r="E431" s="146"/>
      <c r="F431" s="146"/>
      <c r="G431" s="146"/>
      <c r="H431" s="146"/>
      <c r="I431" s="146"/>
      <c r="J431" s="146"/>
      <c r="K431" s="146"/>
      <c r="L431" s="146"/>
      <c r="M431" s="146"/>
      <c r="N431" s="146"/>
      <c r="O431" s="147"/>
      <c r="P431" s="142" t="s">
        <v>75</v>
      </c>
      <c r="Q431" s="143"/>
      <c r="R431" s="143"/>
      <c r="S431" s="143"/>
      <c r="T431" s="143"/>
      <c r="U431" s="143"/>
      <c r="V431" s="144"/>
      <c r="W431" s="62" t="s">
        <v>69</v>
      </c>
      <c r="X431" s="63">
        <f>IFERROR(SUM(X429:X429),"0")</f>
        <v>0</v>
      </c>
      <c r="Y431" s="63">
        <f>IFERROR(SUM(Y429:Y429),"0")</f>
        <v>0</v>
      </c>
      <c r="Z431" s="62"/>
      <c r="AA431" s="72"/>
      <c r="AB431" s="72"/>
      <c r="AC431" s="72"/>
    </row>
    <row r="432" spans="1:68" ht="14.25" hidden="1" customHeight="1" x14ac:dyDescent="0.25">
      <c r="A432" s="129" t="s">
        <v>64</v>
      </c>
      <c r="B432" s="129"/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30"/>
      <c r="AB432" s="30"/>
      <c r="AC432" s="30"/>
    </row>
    <row r="433" spans="1:68" ht="27" hidden="1" customHeight="1" x14ac:dyDescent="0.25">
      <c r="A433" s="31" t="s">
        <v>687</v>
      </c>
      <c r="B433" s="31" t="s">
        <v>688</v>
      </c>
      <c r="C433" s="32">
        <v>4301031403</v>
      </c>
      <c r="D433" s="130">
        <v>4680115886094</v>
      </c>
      <c r="E433" s="130"/>
      <c r="F433" s="33">
        <v>0.9</v>
      </c>
      <c r="G433" s="34">
        <v>6</v>
      </c>
      <c r="H433" s="33">
        <v>5.4</v>
      </c>
      <c r="I433" s="33">
        <v>5.59</v>
      </c>
      <c r="J433" s="34">
        <v>132</v>
      </c>
      <c r="K433" s="34" t="s">
        <v>128</v>
      </c>
      <c r="L433" s="34" t="s">
        <v>20</v>
      </c>
      <c r="M433" s="43" t="s">
        <v>119</v>
      </c>
      <c r="N433" s="43"/>
      <c r="O433" s="34">
        <v>50</v>
      </c>
      <c r="P433" s="13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3" s="132"/>
      <c r="R433" s="132"/>
      <c r="S433" s="132"/>
      <c r="T433" s="133"/>
      <c r="U433" s="59" t="s">
        <v>20</v>
      </c>
      <c r="V433" s="59" t="s">
        <v>20</v>
      </c>
      <c r="W433" s="60" t="s">
        <v>69</v>
      </c>
      <c r="X433" s="61">
        <v>0</v>
      </c>
      <c r="Y433" s="67">
        <f>IFERROR(IF(X433="",0,CEILING((X433/$H433),1)*$H433),"")</f>
        <v>0</v>
      </c>
      <c r="Z433" s="68" t="str">
        <f>IFERROR(IF(Y433=0,"",ROUNDUP(Y433/H433,0)*0.00902),"")</f>
        <v/>
      </c>
      <c r="AA433" s="69" t="s">
        <v>20</v>
      </c>
      <c r="AB433" s="70" t="s">
        <v>20</v>
      </c>
      <c r="AC433" s="71" t="s">
        <v>689</v>
      </c>
      <c r="AG433" s="74"/>
      <c r="AJ433" s="75" t="s">
        <v>20</v>
      </c>
      <c r="AK433" s="75">
        <v>0</v>
      </c>
      <c r="BB433" s="77" t="s">
        <v>1</v>
      </c>
      <c r="BM433" s="74">
        <f>IFERROR(X433*I433/H433,"0")</f>
        <v>0</v>
      </c>
      <c r="BN433" s="74">
        <f>IFERROR(Y433*I433/H433,"0")</f>
        <v>0</v>
      </c>
      <c r="BO433" s="74">
        <f>IFERROR(1/J433*(X433/H433),"0")</f>
        <v>0</v>
      </c>
      <c r="BP433" s="74">
        <f>IFERROR(1/J433*(Y433/H433),"0")</f>
        <v>0</v>
      </c>
    </row>
    <row r="434" spans="1:68" ht="27" hidden="1" customHeight="1" x14ac:dyDescent="0.25">
      <c r="A434" s="31" t="s">
        <v>690</v>
      </c>
      <c r="B434" s="31" t="s">
        <v>691</v>
      </c>
      <c r="C434" s="32">
        <v>4301031373</v>
      </c>
      <c r="D434" s="130">
        <v>4680115880771</v>
      </c>
      <c r="E434" s="130"/>
      <c r="F434" s="33">
        <v>0.28000000000000003</v>
      </c>
      <c r="G434" s="34">
        <v>6</v>
      </c>
      <c r="H434" s="33">
        <v>1.68</v>
      </c>
      <c r="I434" s="33">
        <v>1.81</v>
      </c>
      <c r="J434" s="34">
        <v>234</v>
      </c>
      <c r="K434" s="34" t="s">
        <v>73</v>
      </c>
      <c r="L434" s="34" t="s">
        <v>20</v>
      </c>
      <c r="M434" s="43" t="s">
        <v>68</v>
      </c>
      <c r="N434" s="43"/>
      <c r="O434" s="34">
        <v>50</v>
      </c>
      <c r="P434" s="1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4" s="132"/>
      <c r="R434" s="132"/>
      <c r="S434" s="132"/>
      <c r="T434" s="133"/>
      <c r="U434" s="59" t="s">
        <v>20</v>
      </c>
      <c r="V434" s="59" t="s">
        <v>20</v>
      </c>
      <c r="W434" s="60" t="s">
        <v>69</v>
      </c>
      <c r="X434" s="61">
        <v>0</v>
      </c>
      <c r="Y434" s="67">
        <f>IFERROR(IF(X434="",0,CEILING((X434/$H434),1)*$H434),"")</f>
        <v>0</v>
      </c>
      <c r="Z434" s="68" t="str">
        <f>IFERROR(IF(Y434=0,"",ROUNDUP(Y434/H434,0)*0.00502),"")</f>
        <v/>
      </c>
      <c r="AA434" s="69" t="s">
        <v>20</v>
      </c>
      <c r="AB434" s="70" t="s">
        <v>20</v>
      </c>
      <c r="AC434" s="71" t="s">
        <v>692</v>
      </c>
      <c r="AG434" s="74"/>
      <c r="AJ434" s="75" t="s">
        <v>20</v>
      </c>
      <c r="AK434" s="75">
        <v>0</v>
      </c>
      <c r="BB434" s="77" t="s">
        <v>1</v>
      </c>
      <c r="BM434" s="74">
        <f>IFERROR(X434*I434/H434,"0")</f>
        <v>0</v>
      </c>
      <c r="BN434" s="74">
        <f>IFERROR(Y434*I434/H434,"0")</f>
        <v>0</v>
      </c>
      <c r="BO434" s="74">
        <f>IFERROR(1/J434*(X434/H434),"0")</f>
        <v>0</v>
      </c>
      <c r="BP434" s="74">
        <f>IFERROR(1/J434*(Y434/H434),"0")</f>
        <v>0</v>
      </c>
    </row>
    <row r="435" spans="1:68" ht="27" hidden="1" customHeight="1" x14ac:dyDescent="0.25">
      <c r="A435" s="31" t="s">
        <v>693</v>
      </c>
      <c r="B435" s="31" t="s">
        <v>694</v>
      </c>
      <c r="C435" s="32">
        <v>4301031359</v>
      </c>
      <c r="D435" s="130">
        <v>4607091389500</v>
      </c>
      <c r="E435" s="130"/>
      <c r="F435" s="33">
        <v>0.35</v>
      </c>
      <c r="G435" s="34">
        <v>6</v>
      </c>
      <c r="H435" s="33">
        <v>2.1</v>
      </c>
      <c r="I435" s="33">
        <v>2.23</v>
      </c>
      <c r="J435" s="34">
        <v>234</v>
      </c>
      <c r="K435" s="34" t="s">
        <v>73</v>
      </c>
      <c r="L435" s="34" t="s">
        <v>20</v>
      </c>
      <c r="M435" s="43" t="s">
        <v>68</v>
      </c>
      <c r="N435" s="43"/>
      <c r="O435" s="34">
        <v>50</v>
      </c>
      <c r="P435" s="13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5" s="132"/>
      <c r="R435" s="132"/>
      <c r="S435" s="132"/>
      <c r="T435" s="133"/>
      <c r="U435" s="59" t="s">
        <v>20</v>
      </c>
      <c r="V435" s="59" t="s">
        <v>20</v>
      </c>
      <c r="W435" s="60" t="s">
        <v>69</v>
      </c>
      <c r="X435" s="61">
        <v>0</v>
      </c>
      <c r="Y435" s="67">
        <f>IFERROR(IF(X435="",0,CEILING((X435/$H435),1)*$H435),"")</f>
        <v>0</v>
      </c>
      <c r="Z435" s="68" t="str">
        <f>IFERROR(IF(Y435=0,"",ROUNDUP(Y435/H435,0)*0.00502),"")</f>
        <v/>
      </c>
      <c r="AA435" s="69" t="s">
        <v>20</v>
      </c>
      <c r="AB435" s="70" t="s">
        <v>20</v>
      </c>
      <c r="AC435" s="71" t="s">
        <v>692</v>
      </c>
      <c r="AG435" s="74"/>
      <c r="AJ435" s="75" t="s">
        <v>20</v>
      </c>
      <c r="AK435" s="75">
        <v>0</v>
      </c>
      <c r="BB435" s="77" t="s">
        <v>1</v>
      </c>
      <c r="BM435" s="74">
        <f>IFERROR(X435*I435/H435,"0")</f>
        <v>0</v>
      </c>
      <c r="BN435" s="74">
        <f>IFERROR(Y435*I435/H435,"0")</f>
        <v>0</v>
      </c>
      <c r="BO435" s="74">
        <f>IFERROR(1/J435*(X435/H435),"0")</f>
        <v>0</v>
      </c>
      <c r="BP435" s="74">
        <f>IFERROR(1/J435*(Y435/H435),"0")</f>
        <v>0</v>
      </c>
    </row>
    <row r="436" spans="1:68" hidden="1" x14ac:dyDescent="0.2">
      <c r="A436" s="146"/>
      <c r="B436" s="146"/>
      <c r="C436" s="146"/>
      <c r="D436" s="146"/>
      <c r="E436" s="146"/>
      <c r="F436" s="146"/>
      <c r="G436" s="146"/>
      <c r="H436" s="146"/>
      <c r="I436" s="146"/>
      <c r="J436" s="146"/>
      <c r="K436" s="146"/>
      <c r="L436" s="146"/>
      <c r="M436" s="146"/>
      <c r="N436" s="146"/>
      <c r="O436" s="147"/>
      <c r="P436" s="142" t="s">
        <v>75</v>
      </c>
      <c r="Q436" s="143"/>
      <c r="R436" s="143"/>
      <c r="S436" s="143"/>
      <c r="T436" s="143"/>
      <c r="U436" s="143"/>
      <c r="V436" s="144"/>
      <c r="W436" s="62" t="s">
        <v>76</v>
      </c>
      <c r="X436" s="63">
        <f>IFERROR(X433/H433,"0")+IFERROR(X434/H434,"0")+IFERROR(X435/H435,"0")</f>
        <v>0</v>
      </c>
      <c r="Y436" s="63">
        <f>IFERROR(Y433/H433,"0")+IFERROR(Y434/H434,"0")+IFERROR(Y435/H435,"0")</f>
        <v>0</v>
      </c>
      <c r="Z436" s="63">
        <f>IFERROR(IF(Z433="",0,Z433),"0")+IFERROR(IF(Z434="",0,Z434),"0")+IFERROR(IF(Z435="",0,Z435),"0")</f>
        <v>0</v>
      </c>
      <c r="AA436" s="72"/>
      <c r="AB436" s="72"/>
      <c r="AC436" s="72"/>
    </row>
    <row r="437" spans="1:68" hidden="1" x14ac:dyDescent="0.2">
      <c r="A437" s="146"/>
      <c r="B437" s="146"/>
      <c r="C437" s="146"/>
      <c r="D437" s="146"/>
      <c r="E437" s="146"/>
      <c r="F437" s="146"/>
      <c r="G437" s="146"/>
      <c r="H437" s="146"/>
      <c r="I437" s="146"/>
      <c r="J437" s="146"/>
      <c r="K437" s="146"/>
      <c r="L437" s="146"/>
      <c r="M437" s="146"/>
      <c r="N437" s="146"/>
      <c r="O437" s="147"/>
      <c r="P437" s="142" t="s">
        <v>75</v>
      </c>
      <c r="Q437" s="143"/>
      <c r="R437" s="143"/>
      <c r="S437" s="143"/>
      <c r="T437" s="143"/>
      <c r="U437" s="143"/>
      <c r="V437" s="144"/>
      <c r="W437" s="62" t="s">
        <v>69</v>
      </c>
      <c r="X437" s="63">
        <f>IFERROR(SUM(X433:X435),"0")</f>
        <v>0</v>
      </c>
      <c r="Y437" s="63">
        <f>IFERROR(SUM(Y433:Y435),"0")</f>
        <v>0</v>
      </c>
      <c r="Z437" s="62"/>
      <c r="AA437" s="72"/>
      <c r="AB437" s="72"/>
      <c r="AC437" s="72"/>
    </row>
    <row r="438" spans="1:68" ht="16.5" hidden="1" customHeight="1" x14ac:dyDescent="0.25">
      <c r="A438" s="128" t="s">
        <v>695</v>
      </c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29"/>
      <c r="AB438" s="29"/>
      <c r="AC438" s="29"/>
    </row>
    <row r="439" spans="1:68" ht="14.25" hidden="1" customHeight="1" x14ac:dyDescent="0.25">
      <c r="A439" s="129" t="s">
        <v>64</v>
      </c>
      <c r="B439" s="129"/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30"/>
      <c r="AB439" s="30"/>
      <c r="AC439" s="30"/>
    </row>
    <row r="440" spans="1:68" ht="27" hidden="1" customHeight="1" x14ac:dyDescent="0.25">
      <c r="A440" s="31" t="s">
        <v>696</v>
      </c>
      <c r="B440" s="31" t="s">
        <v>697</v>
      </c>
      <c r="C440" s="32">
        <v>4301031347</v>
      </c>
      <c r="D440" s="130">
        <v>4680115885110</v>
      </c>
      <c r="E440" s="130"/>
      <c r="F440" s="33">
        <v>0.2</v>
      </c>
      <c r="G440" s="34">
        <v>6</v>
      </c>
      <c r="H440" s="33">
        <v>1.2</v>
      </c>
      <c r="I440" s="33">
        <v>2.1</v>
      </c>
      <c r="J440" s="34">
        <v>182</v>
      </c>
      <c r="K440" s="34" t="s">
        <v>67</v>
      </c>
      <c r="L440" s="34" t="s">
        <v>20</v>
      </c>
      <c r="M440" s="43" t="s">
        <v>68</v>
      </c>
      <c r="N440" s="43"/>
      <c r="O440" s="34">
        <v>50</v>
      </c>
      <c r="P440" s="1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40" s="132"/>
      <c r="R440" s="132"/>
      <c r="S440" s="132"/>
      <c r="T440" s="133"/>
      <c r="U440" s="59" t="s">
        <v>20</v>
      </c>
      <c r="V440" s="59" t="s">
        <v>20</v>
      </c>
      <c r="W440" s="60" t="s">
        <v>69</v>
      </c>
      <c r="X440" s="61">
        <v>0</v>
      </c>
      <c r="Y440" s="67">
        <f>IFERROR(IF(X440="",0,CEILING((X440/$H440),1)*$H440),"")</f>
        <v>0</v>
      </c>
      <c r="Z440" s="68" t="str">
        <f>IFERROR(IF(Y440=0,"",ROUNDUP(Y440/H440,0)*0.00651),"")</f>
        <v/>
      </c>
      <c r="AA440" s="69" t="s">
        <v>20</v>
      </c>
      <c r="AB440" s="70" t="s">
        <v>20</v>
      </c>
      <c r="AC440" s="71" t="s">
        <v>698</v>
      </c>
      <c r="AG440" s="74"/>
      <c r="AJ440" s="75" t="s">
        <v>20</v>
      </c>
      <c r="AK440" s="75">
        <v>0</v>
      </c>
      <c r="BB440" s="77" t="s">
        <v>1</v>
      </c>
      <c r="BM440" s="74">
        <f>IFERROR(X440*I440/H440,"0")</f>
        <v>0</v>
      </c>
      <c r="BN440" s="74">
        <f>IFERROR(Y440*I440/H440,"0")</f>
        <v>0</v>
      </c>
      <c r="BO440" s="74">
        <f>IFERROR(1/J440*(X440/H440),"0")</f>
        <v>0</v>
      </c>
      <c r="BP440" s="74">
        <f>IFERROR(1/J440*(Y440/H440),"0")</f>
        <v>0</v>
      </c>
    </row>
    <row r="441" spans="1:68" hidden="1" x14ac:dyDescent="0.2">
      <c r="A441" s="146"/>
      <c r="B441" s="146"/>
      <c r="C441" s="146"/>
      <c r="D441" s="146"/>
      <c r="E441" s="146"/>
      <c r="F441" s="146"/>
      <c r="G441" s="146"/>
      <c r="H441" s="146"/>
      <c r="I441" s="146"/>
      <c r="J441" s="146"/>
      <c r="K441" s="146"/>
      <c r="L441" s="146"/>
      <c r="M441" s="146"/>
      <c r="N441" s="146"/>
      <c r="O441" s="147"/>
      <c r="P441" s="142" t="s">
        <v>75</v>
      </c>
      <c r="Q441" s="143"/>
      <c r="R441" s="143"/>
      <c r="S441" s="143"/>
      <c r="T441" s="143"/>
      <c r="U441" s="143"/>
      <c r="V441" s="144"/>
      <c r="W441" s="62" t="s">
        <v>76</v>
      </c>
      <c r="X441" s="63">
        <f>IFERROR(X440/H440,"0")</f>
        <v>0</v>
      </c>
      <c r="Y441" s="63">
        <f>IFERROR(Y440/H440,"0")</f>
        <v>0</v>
      </c>
      <c r="Z441" s="63">
        <f>IFERROR(IF(Z440="",0,Z440),"0")</f>
        <v>0</v>
      </c>
      <c r="AA441" s="72"/>
      <c r="AB441" s="72"/>
      <c r="AC441" s="72"/>
    </row>
    <row r="442" spans="1:68" hidden="1" x14ac:dyDescent="0.2">
      <c r="A442" s="146"/>
      <c r="B442" s="146"/>
      <c r="C442" s="146"/>
      <c r="D442" s="146"/>
      <c r="E442" s="146"/>
      <c r="F442" s="146"/>
      <c r="G442" s="146"/>
      <c r="H442" s="146"/>
      <c r="I442" s="146"/>
      <c r="J442" s="146"/>
      <c r="K442" s="146"/>
      <c r="L442" s="146"/>
      <c r="M442" s="146"/>
      <c r="N442" s="146"/>
      <c r="O442" s="147"/>
      <c r="P442" s="142" t="s">
        <v>75</v>
      </c>
      <c r="Q442" s="143"/>
      <c r="R442" s="143"/>
      <c r="S442" s="143"/>
      <c r="T442" s="143"/>
      <c r="U442" s="143"/>
      <c r="V442" s="144"/>
      <c r="W442" s="62" t="s">
        <v>69</v>
      </c>
      <c r="X442" s="63">
        <f>IFERROR(SUM(X440:X440),"0")</f>
        <v>0</v>
      </c>
      <c r="Y442" s="63">
        <f>IFERROR(SUM(Y440:Y440),"0")</f>
        <v>0</v>
      </c>
      <c r="Z442" s="62"/>
      <c r="AA442" s="72"/>
      <c r="AB442" s="72"/>
      <c r="AC442" s="72"/>
    </row>
    <row r="443" spans="1:68" ht="27.75" hidden="1" customHeight="1" x14ac:dyDescent="0.2">
      <c r="A443" s="127" t="s">
        <v>699</v>
      </c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  <c r="AA443" s="66"/>
      <c r="AB443" s="66"/>
      <c r="AC443" s="66"/>
    </row>
    <row r="444" spans="1:68" ht="16.5" hidden="1" customHeight="1" x14ac:dyDescent="0.25">
      <c r="A444" s="128" t="s">
        <v>699</v>
      </c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29"/>
      <c r="AB444" s="29"/>
      <c r="AC444" s="29"/>
    </row>
    <row r="445" spans="1:68" ht="14.25" hidden="1" customHeight="1" x14ac:dyDescent="0.25">
      <c r="A445" s="129" t="s">
        <v>115</v>
      </c>
      <c r="B445" s="129"/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30"/>
      <c r="AB445" s="30"/>
      <c r="AC445" s="30"/>
    </row>
    <row r="446" spans="1:68" ht="27" hidden="1" customHeight="1" x14ac:dyDescent="0.25">
      <c r="A446" s="31" t="s">
        <v>700</v>
      </c>
      <c r="B446" s="31" t="s">
        <v>701</v>
      </c>
      <c r="C446" s="32">
        <v>4301011795</v>
      </c>
      <c r="D446" s="130">
        <v>4607091389067</v>
      </c>
      <c r="E446" s="130"/>
      <c r="F446" s="33">
        <v>0.88</v>
      </c>
      <c r="G446" s="34">
        <v>6</v>
      </c>
      <c r="H446" s="33">
        <v>5.28</v>
      </c>
      <c r="I446" s="33">
        <v>5.63</v>
      </c>
      <c r="J446" s="34">
        <v>104</v>
      </c>
      <c r="K446" s="34" t="s">
        <v>118</v>
      </c>
      <c r="L446" s="34" t="s">
        <v>20</v>
      </c>
      <c r="M446" s="43" t="s">
        <v>119</v>
      </c>
      <c r="N446" s="43"/>
      <c r="O446" s="34">
        <v>60</v>
      </c>
      <c r="P446" s="1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6" s="132"/>
      <c r="R446" s="132"/>
      <c r="S446" s="132"/>
      <c r="T446" s="133"/>
      <c r="U446" s="59" t="s">
        <v>20</v>
      </c>
      <c r="V446" s="59" t="s">
        <v>20</v>
      </c>
      <c r="W446" s="60" t="s">
        <v>69</v>
      </c>
      <c r="X446" s="61">
        <v>0</v>
      </c>
      <c r="Y446" s="67">
        <f t="shared" ref="Y446:Y457" si="58">IFERROR(IF(X446="",0,CEILING((X446/$H446),1)*$H446),"")</f>
        <v>0</v>
      </c>
      <c r="Z446" s="68" t="str">
        <f t="shared" ref="Z446:Z452" si="59">IFERROR(IF(Y446=0,"",ROUNDUP(Y446/H446,0)*0.01196),"")</f>
        <v/>
      </c>
      <c r="AA446" s="69" t="s">
        <v>20</v>
      </c>
      <c r="AB446" s="70" t="s">
        <v>20</v>
      </c>
      <c r="AC446" s="71" t="s">
        <v>120</v>
      </c>
      <c r="AG446" s="74"/>
      <c r="AJ446" s="75" t="s">
        <v>20</v>
      </c>
      <c r="AK446" s="75">
        <v>0</v>
      </c>
      <c r="BB446" s="77" t="s">
        <v>1</v>
      </c>
      <c r="BM446" s="74">
        <f t="shared" ref="BM446:BM457" si="60">IFERROR(X446*I446/H446,"0")</f>
        <v>0</v>
      </c>
      <c r="BN446" s="74">
        <f t="shared" ref="BN446:BN457" si="61">IFERROR(Y446*I446/H446,"0")</f>
        <v>0</v>
      </c>
      <c r="BO446" s="74">
        <f t="shared" ref="BO446:BO457" si="62">IFERROR(1/J446*(X446/H446),"0")</f>
        <v>0</v>
      </c>
      <c r="BP446" s="74">
        <f t="shared" ref="BP446:BP457" si="63">IFERROR(1/J446*(Y446/H446),"0")</f>
        <v>0</v>
      </c>
    </row>
    <row r="447" spans="1:68" ht="27" hidden="1" customHeight="1" x14ac:dyDescent="0.25">
      <c r="A447" s="31" t="s">
        <v>702</v>
      </c>
      <c r="B447" s="31" t="s">
        <v>703</v>
      </c>
      <c r="C447" s="32">
        <v>4301012210</v>
      </c>
      <c r="D447" s="130">
        <v>4607091383522</v>
      </c>
      <c r="E447" s="130"/>
      <c r="F447" s="33">
        <v>0.88</v>
      </c>
      <c r="G447" s="34">
        <v>6</v>
      </c>
      <c r="H447" s="33">
        <v>5.28</v>
      </c>
      <c r="I447" s="33">
        <v>5.63</v>
      </c>
      <c r="J447" s="34">
        <v>104</v>
      </c>
      <c r="K447" s="34" t="s">
        <v>118</v>
      </c>
      <c r="L447" s="34" t="s">
        <v>20</v>
      </c>
      <c r="M447" s="43" t="s">
        <v>119</v>
      </c>
      <c r="N447" s="43"/>
      <c r="O447" s="34">
        <v>60</v>
      </c>
      <c r="P447" s="13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7" s="132"/>
      <c r="R447" s="132"/>
      <c r="S447" s="132"/>
      <c r="T447" s="133"/>
      <c r="U447" s="59" t="s">
        <v>20</v>
      </c>
      <c r="V447" s="59" t="s">
        <v>20</v>
      </c>
      <c r="W447" s="60" t="s">
        <v>69</v>
      </c>
      <c r="X447" s="61">
        <v>0</v>
      </c>
      <c r="Y447" s="67">
        <f t="shared" si="58"/>
        <v>0</v>
      </c>
      <c r="Z447" s="68" t="str">
        <f t="shared" si="59"/>
        <v/>
      </c>
      <c r="AA447" s="69" t="s">
        <v>20</v>
      </c>
      <c r="AB447" s="70" t="s">
        <v>20</v>
      </c>
      <c r="AC447" s="71" t="s">
        <v>704</v>
      </c>
      <c r="AG447" s="74"/>
      <c r="AJ447" s="75" t="s">
        <v>20</v>
      </c>
      <c r="AK447" s="75">
        <v>0</v>
      </c>
      <c r="BB447" s="77" t="s">
        <v>1</v>
      </c>
      <c r="BM447" s="74">
        <f t="shared" si="60"/>
        <v>0</v>
      </c>
      <c r="BN447" s="74">
        <f t="shared" si="61"/>
        <v>0</v>
      </c>
      <c r="BO447" s="74">
        <f t="shared" si="62"/>
        <v>0</v>
      </c>
      <c r="BP447" s="74">
        <f t="shared" si="63"/>
        <v>0</v>
      </c>
    </row>
    <row r="448" spans="1:68" ht="27" customHeight="1" x14ac:dyDescent="0.25">
      <c r="A448" s="31" t="s">
        <v>702</v>
      </c>
      <c r="B448" s="31" t="s">
        <v>705</v>
      </c>
      <c r="C448" s="32">
        <v>4301012145</v>
      </c>
      <c r="D448" s="130">
        <v>4607091383522</v>
      </c>
      <c r="E448" s="130"/>
      <c r="F448" s="33">
        <v>0.88</v>
      </c>
      <c r="G448" s="34">
        <v>6</v>
      </c>
      <c r="H448" s="33">
        <v>5.28</v>
      </c>
      <c r="I448" s="33">
        <v>5.63</v>
      </c>
      <c r="J448" s="34">
        <v>104</v>
      </c>
      <c r="K448" s="34" t="s">
        <v>118</v>
      </c>
      <c r="L448" s="34" t="s">
        <v>20</v>
      </c>
      <c r="M448" s="43" t="s">
        <v>119</v>
      </c>
      <c r="N448" s="43"/>
      <c r="O448" s="34">
        <v>60</v>
      </c>
      <c r="P448" s="1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48" s="132"/>
      <c r="R448" s="132"/>
      <c r="S448" s="132"/>
      <c r="T448" s="133"/>
      <c r="U448" s="59" t="s">
        <v>20</v>
      </c>
      <c r="V448" s="59" t="s">
        <v>20</v>
      </c>
      <c r="W448" s="60" t="s">
        <v>69</v>
      </c>
      <c r="X448" s="61">
        <v>1000</v>
      </c>
      <c r="Y448" s="67">
        <f t="shared" si="58"/>
        <v>1003.2</v>
      </c>
      <c r="Z448" s="68">
        <f t="shared" si="59"/>
        <v>2.2724000000000002</v>
      </c>
      <c r="AA448" s="69" t="s">
        <v>20</v>
      </c>
      <c r="AB448" s="70" t="s">
        <v>20</v>
      </c>
      <c r="AC448" s="71" t="s">
        <v>704</v>
      </c>
      <c r="AG448" s="74"/>
      <c r="AJ448" s="75" t="s">
        <v>20</v>
      </c>
      <c r="AK448" s="75">
        <v>0</v>
      </c>
      <c r="BB448" s="77" t="s">
        <v>1</v>
      </c>
      <c r="BM448" s="74">
        <f t="shared" si="60"/>
        <v>1066.2878787878788</v>
      </c>
      <c r="BN448" s="74">
        <f t="shared" si="61"/>
        <v>1069.7</v>
      </c>
      <c r="BO448" s="74">
        <f t="shared" si="62"/>
        <v>1.821095571095571</v>
      </c>
      <c r="BP448" s="74">
        <f t="shared" si="63"/>
        <v>1.8269230769230771</v>
      </c>
    </row>
    <row r="449" spans="1:68" ht="27" customHeight="1" x14ac:dyDescent="0.25">
      <c r="A449" s="31" t="s">
        <v>706</v>
      </c>
      <c r="B449" s="31" t="s">
        <v>707</v>
      </c>
      <c r="C449" s="32">
        <v>4301011961</v>
      </c>
      <c r="D449" s="130">
        <v>4680115885271</v>
      </c>
      <c r="E449" s="130"/>
      <c r="F449" s="33">
        <v>0.88</v>
      </c>
      <c r="G449" s="34">
        <v>6</v>
      </c>
      <c r="H449" s="33">
        <v>5.28</v>
      </c>
      <c r="I449" s="33">
        <v>5.63</v>
      </c>
      <c r="J449" s="34">
        <v>104</v>
      </c>
      <c r="K449" s="34" t="s">
        <v>118</v>
      </c>
      <c r="L449" s="34" t="s">
        <v>20</v>
      </c>
      <c r="M449" s="43" t="s">
        <v>119</v>
      </c>
      <c r="N449" s="43"/>
      <c r="O449" s="34">
        <v>60</v>
      </c>
      <c r="P449" s="13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9" s="132"/>
      <c r="R449" s="132"/>
      <c r="S449" s="132"/>
      <c r="T449" s="133"/>
      <c r="U449" s="59" t="s">
        <v>20</v>
      </c>
      <c r="V449" s="59" t="s">
        <v>20</v>
      </c>
      <c r="W449" s="60" t="s">
        <v>69</v>
      </c>
      <c r="X449" s="61">
        <v>200</v>
      </c>
      <c r="Y449" s="67">
        <f t="shared" si="58"/>
        <v>200.64000000000001</v>
      </c>
      <c r="Z449" s="68">
        <f t="shared" si="59"/>
        <v>0.45448</v>
      </c>
      <c r="AA449" s="69" t="s">
        <v>20</v>
      </c>
      <c r="AB449" s="70" t="s">
        <v>20</v>
      </c>
      <c r="AC449" s="71" t="s">
        <v>708</v>
      </c>
      <c r="AG449" s="74"/>
      <c r="AJ449" s="75" t="s">
        <v>20</v>
      </c>
      <c r="AK449" s="75">
        <v>0</v>
      </c>
      <c r="BB449" s="77" t="s">
        <v>1</v>
      </c>
      <c r="BM449" s="74">
        <f t="shared" si="60"/>
        <v>213.25757575757575</v>
      </c>
      <c r="BN449" s="74">
        <f t="shared" si="61"/>
        <v>213.94</v>
      </c>
      <c r="BO449" s="74">
        <f t="shared" si="62"/>
        <v>0.36421911421911418</v>
      </c>
      <c r="BP449" s="74">
        <f t="shared" si="63"/>
        <v>0.36538461538461542</v>
      </c>
    </row>
    <row r="450" spans="1:68" ht="27" hidden="1" customHeight="1" x14ac:dyDescent="0.25">
      <c r="A450" s="31" t="s">
        <v>709</v>
      </c>
      <c r="B450" s="31" t="s">
        <v>710</v>
      </c>
      <c r="C450" s="32">
        <v>4301011376</v>
      </c>
      <c r="D450" s="130">
        <v>4680115885226</v>
      </c>
      <c r="E450" s="130"/>
      <c r="F450" s="33">
        <v>0.88</v>
      </c>
      <c r="G450" s="34">
        <v>6</v>
      </c>
      <c r="H450" s="33">
        <v>5.28</v>
      </c>
      <c r="I450" s="33">
        <v>5.63</v>
      </c>
      <c r="J450" s="34">
        <v>104</v>
      </c>
      <c r="K450" s="34" t="s">
        <v>118</v>
      </c>
      <c r="L450" s="34" t="s">
        <v>20</v>
      </c>
      <c r="M450" s="43" t="s">
        <v>86</v>
      </c>
      <c r="N450" s="43"/>
      <c r="O450" s="34">
        <v>60</v>
      </c>
      <c r="P450" s="1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50" s="132"/>
      <c r="R450" s="132"/>
      <c r="S450" s="132"/>
      <c r="T450" s="133"/>
      <c r="U450" s="59" t="s">
        <v>20</v>
      </c>
      <c r="V450" s="59" t="s">
        <v>20</v>
      </c>
      <c r="W450" s="60" t="s">
        <v>69</v>
      </c>
      <c r="X450" s="61">
        <v>0</v>
      </c>
      <c r="Y450" s="67">
        <f t="shared" si="58"/>
        <v>0</v>
      </c>
      <c r="Z450" s="68" t="str">
        <f t="shared" si="59"/>
        <v/>
      </c>
      <c r="AA450" s="69" t="s">
        <v>20</v>
      </c>
      <c r="AB450" s="70" t="s">
        <v>20</v>
      </c>
      <c r="AC450" s="71" t="s">
        <v>711</v>
      </c>
      <c r="AG450" s="74"/>
      <c r="AJ450" s="75" t="s">
        <v>20</v>
      </c>
      <c r="AK450" s="75">
        <v>0</v>
      </c>
      <c r="BB450" s="77" t="s">
        <v>1</v>
      </c>
      <c r="BM450" s="74">
        <f t="shared" si="60"/>
        <v>0</v>
      </c>
      <c r="BN450" s="74">
        <f t="shared" si="61"/>
        <v>0</v>
      </c>
      <c r="BO450" s="74">
        <f t="shared" si="62"/>
        <v>0</v>
      </c>
      <c r="BP450" s="74">
        <f t="shared" si="63"/>
        <v>0</v>
      </c>
    </row>
    <row r="451" spans="1:68" ht="16.5" hidden="1" customHeight="1" x14ac:dyDescent="0.25">
      <c r="A451" s="31" t="s">
        <v>712</v>
      </c>
      <c r="B451" s="31" t="s">
        <v>713</v>
      </c>
      <c r="C451" s="32">
        <v>4301011774</v>
      </c>
      <c r="D451" s="130">
        <v>4680115884502</v>
      </c>
      <c r="E451" s="130"/>
      <c r="F451" s="33">
        <v>0.88</v>
      </c>
      <c r="G451" s="34">
        <v>6</v>
      </c>
      <c r="H451" s="33">
        <v>5.28</v>
      </c>
      <c r="I451" s="33">
        <v>5.63</v>
      </c>
      <c r="J451" s="34">
        <v>104</v>
      </c>
      <c r="K451" s="34" t="s">
        <v>118</v>
      </c>
      <c r="L451" s="34" t="s">
        <v>20</v>
      </c>
      <c r="M451" s="43" t="s">
        <v>119</v>
      </c>
      <c r="N451" s="43"/>
      <c r="O451" s="34">
        <v>60</v>
      </c>
      <c r="P451" s="13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51" s="132"/>
      <c r="R451" s="132"/>
      <c r="S451" s="132"/>
      <c r="T451" s="133"/>
      <c r="U451" s="59" t="s">
        <v>20</v>
      </c>
      <c r="V451" s="59" t="s">
        <v>20</v>
      </c>
      <c r="W451" s="60" t="s">
        <v>69</v>
      </c>
      <c r="X451" s="61">
        <v>0</v>
      </c>
      <c r="Y451" s="67">
        <f t="shared" si="58"/>
        <v>0</v>
      </c>
      <c r="Z451" s="68" t="str">
        <f t="shared" si="59"/>
        <v/>
      </c>
      <c r="AA451" s="69" t="s">
        <v>20</v>
      </c>
      <c r="AB451" s="70" t="s">
        <v>20</v>
      </c>
      <c r="AC451" s="71" t="s">
        <v>714</v>
      </c>
      <c r="AG451" s="74"/>
      <c r="AJ451" s="75" t="s">
        <v>20</v>
      </c>
      <c r="AK451" s="75">
        <v>0</v>
      </c>
      <c r="BB451" s="77" t="s">
        <v>1</v>
      </c>
      <c r="BM451" s="74">
        <f t="shared" si="60"/>
        <v>0</v>
      </c>
      <c r="BN451" s="74">
        <f t="shared" si="61"/>
        <v>0</v>
      </c>
      <c r="BO451" s="74">
        <f t="shared" si="62"/>
        <v>0</v>
      </c>
      <c r="BP451" s="74">
        <f t="shared" si="63"/>
        <v>0</v>
      </c>
    </row>
    <row r="452" spans="1:68" ht="27" customHeight="1" x14ac:dyDescent="0.25">
      <c r="A452" s="31" t="s">
        <v>715</v>
      </c>
      <c r="B452" s="31" t="s">
        <v>716</v>
      </c>
      <c r="C452" s="32">
        <v>4301011771</v>
      </c>
      <c r="D452" s="130">
        <v>4607091389104</v>
      </c>
      <c r="E452" s="130"/>
      <c r="F452" s="33">
        <v>0.88</v>
      </c>
      <c r="G452" s="34">
        <v>6</v>
      </c>
      <c r="H452" s="33">
        <v>5.28</v>
      </c>
      <c r="I452" s="33">
        <v>5.63</v>
      </c>
      <c r="J452" s="34">
        <v>104</v>
      </c>
      <c r="K452" s="34" t="s">
        <v>118</v>
      </c>
      <c r="L452" s="34" t="s">
        <v>20</v>
      </c>
      <c r="M452" s="43" t="s">
        <v>119</v>
      </c>
      <c r="N452" s="43"/>
      <c r="O452" s="34">
        <v>60</v>
      </c>
      <c r="P452" s="13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52" s="132"/>
      <c r="R452" s="132"/>
      <c r="S452" s="132"/>
      <c r="T452" s="133"/>
      <c r="U452" s="59" t="s">
        <v>20</v>
      </c>
      <c r="V452" s="59" t="s">
        <v>20</v>
      </c>
      <c r="W452" s="60" t="s">
        <v>69</v>
      </c>
      <c r="X452" s="61">
        <v>1000</v>
      </c>
      <c r="Y452" s="67">
        <f t="shared" si="58"/>
        <v>1003.2</v>
      </c>
      <c r="Z452" s="68">
        <f t="shared" si="59"/>
        <v>2.2724000000000002</v>
      </c>
      <c r="AA452" s="69" t="s">
        <v>20</v>
      </c>
      <c r="AB452" s="70" t="s">
        <v>20</v>
      </c>
      <c r="AC452" s="71" t="s">
        <v>717</v>
      </c>
      <c r="AG452" s="74"/>
      <c r="AJ452" s="75" t="s">
        <v>20</v>
      </c>
      <c r="AK452" s="75">
        <v>0</v>
      </c>
      <c r="BB452" s="77" t="s">
        <v>1</v>
      </c>
      <c r="BM452" s="74">
        <f t="shared" si="60"/>
        <v>1066.2878787878788</v>
      </c>
      <c r="BN452" s="74">
        <f t="shared" si="61"/>
        <v>1069.7</v>
      </c>
      <c r="BO452" s="74">
        <f t="shared" si="62"/>
        <v>1.821095571095571</v>
      </c>
      <c r="BP452" s="74">
        <f t="shared" si="63"/>
        <v>1.8269230769230771</v>
      </c>
    </row>
    <row r="453" spans="1:68" ht="27" hidden="1" customHeight="1" x14ac:dyDescent="0.25">
      <c r="A453" s="31" t="s">
        <v>718</v>
      </c>
      <c r="B453" s="31" t="s">
        <v>719</v>
      </c>
      <c r="C453" s="32">
        <v>4301012125</v>
      </c>
      <c r="D453" s="130">
        <v>4680115886391</v>
      </c>
      <c r="E453" s="130"/>
      <c r="F453" s="33">
        <v>0.4</v>
      </c>
      <c r="G453" s="34">
        <v>6</v>
      </c>
      <c r="H453" s="33">
        <v>2.4</v>
      </c>
      <c r="I453" s="33">
        <v>2.58</v>
      </c>
      <c r="J453" s="34">
        <v>182</v>
      </c>
      <c r="K453" s="34" t="s">
        <v>67</v>
      </c>
      <c r="L453" s="34" t="s">
        <v>20</v>
      </c>
      <c r="M453" s="43" t="s">
        <v>86</v>
      </c>
      <c r="N453" s="43"/>
      <c r="O453" s="34">
        <v>60</v>
      </c>
      <c r="P453" s="1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53" s="132"/>
      <c r="R453" s="132"/>
      <c r="S453" s="132"/>
      <c r="T453" s="133"/>
      <c r="U453" s="59" t="s">
        <v>20</v>
      </c>
      <c r="V453" s="59" t="s">
        <v>20</v>
      </c>
      <c r="W453" s="60" t="s">
        <v>69</v>
      </c>
      <c r="X453" s="61">
        <v>0</v>
      </c>
      <c r="Y453" s="67">
        <f t="shared" si="58"/>
        <v>0</v>
      </c>
      <c r="Z453" s="68" t="str">
        <f>IFERROR(IF(Y453=0,"",ROUNDUP(Y453/H453,0)*0.00651),"")</f>
        <v/>
      </c>
      <c r="AA453" s="69" t="s">
        <v>20</v>
      </c>
      <c r="AB453" s="70" t="s">
        <v>20</v>
      </c>
      <c r="AC453" s="71" t="s">
        <v>120</v>
      </c>
      <c r="AG453" s="74"/>
      <c r="AJ453" s="75" t="s">
        <v>20</v>
      </c>
      <c r="AK453" s="75">
        <v>0</v>
      </c>
      <c r="BB453" s="77" t="s">
        <v>1</v>
      </c>
      <c r="BM453" s="74">
        <f t="shared" si="60"/>
        <v>0</v>
      </c>
      <c r="BN453" s="74">
        <f t="shared" si="61"/>
        <v>0</v>
      </c>
      <c r="BO453" s="74">
        <f t="shared" si="62"/>
        <v>0</v>
      </c>
      <c r="BP453" s="74">
        <f t="shared" si="63"/>
        <v>0</v>
      </c>
    </row>
    <row r="454" spans="1:68" ht="27" hidden="1" customHeight="1" x14ac:dyDescent="0.25">
      <c r="A454" s="31" t="s">
        <v>720</v>
      </c>
      <c r="B454" s="31" t="s">
        <v>721</v>
      </c>
      <c r="C454" s="32">
        <v>4301012035</v>
      </c>
      <c r="D454" s="130">
        <v>4680115880603</v>
      </c>
      <c r="E454" s="130"/>
      <c r="F454" s="33">
        <v>0.6</v>
      </c>
      <c r="G454" s="34">
        <v>8</v>
      </c>
      <c r="H454" s="33">
        <v>4.8</v>
      </c>
      <c r="I454" s="33">
        <v>6.91</v>
      </c>
      <c r="J454" s="34">
        <v>132</v>
      </c>
      <c r="K454" s="34" t="s">
        <v>128</v>
      </c>
      <c r="L454" s="34" t="s">
        <v>20</v>
      </c>
      <c r="M454" s="43" t="s">
        <v>119</v>
      </c>
      <c r="N454" s="43"/>
      <c r="O454" s="34">
        <v>60</v>
      </c>
      <c r="P454" s="13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4" s="132"/>
      <c r="R454" s="132"/>
      <c r="S454" s="132"/>
      <c r="T454" s="133"/>
      <c r="U454" s="59" t="s">
        <v>20</v>
      </c>
      <c r="V454" s="59" t="s">
        <v>20</v>
      </c>
      <c r="W454" s="60" t="s">
        <v>69</v>
      </c>
      <c r="X454" s="61">
        <v>0</v>
      </c>
      <c r="Y454" s="67">
        <f t="shared" si="58"/>
        <v>0</v>
      </c>
      <c r="Z454" s="68" t="str">
        <f>IFERROR(IF(Y454=0,"",ROUNDUP(Y454/H454,0)*0.00902),"")</f>
        <v/>
      </c>
      <c r="AA454" s="69" t="s">
        <v>20</v>
      </c>
      <c r="AB454" s="70" t="s">
        <v>20</v>
      </c>
      <c r="AC454" s="71" t="s">
        <v>120</v>
      </c>
      <c r="AG454" s="74"/>
      <c r="AJ454" s="75" t="s">
        <v>20</v>
      </c>
      <c r="AK454" s="75">
        <v>0</v>
      </c>
      <c r="BB454" s="77" t="s">
        <v>1</v>
      </c>
      <c r="BM454" s="74">
        <f t="shared" si="60"/>
        <v>0</v>
      </c>
      <c r="BN454" s="74">
        <f t="shared" si="61"/>
        <v>0</v>
      </c>
      <c r="BO454" s="74">
        <f t="shared" si="62"/>
        <v>0</v>
      </c>
      <c r="BP454" s="74">
        <f t="shared" si="63"/>
        <v>0</v>
      </c>
    </row>
    <row r="455" spans="1:68" ht="27" hidden="1" customHeight="1" x14ac:dyDescent="0.25">
      <c r="A455" s="31" t="s">
        <v>722</v>
      </c>
      <c r="B455" s="31" t="s">
        <v>723</v>
      </c>
      <c r="C455" s="32">
        <v>4301012036</v>
      </c>
      <c r="D455" s="130">
        <v>4680115882782</v>
      </c>
      <c r="E455" s="130"/>
      <c r="F455" s="33">
        <v>0.6</v>
      </c>
      <c r="G455" s="34">
        <v>8</v>
      </c>
      <c r="H455" s="33">
        <v>4.8</v>
      </c>
      <c r="I455" s="33">
        <v>6.91</v>
      </c>
      <c r="J455" s="34">
        <v>132</v>
      </c>
      <c r="K455" s="34" t="s">
        <v>128</v>
      </c>
      <c r="L455" s="34" t="s">
        <v>20</v>
      </c>
      <c r="M455" s="43" t="s">
        <v>119</v>
      </c>
      <c r="N455" s="43"/>
      <c r="O455" s="34">
        <v>60</v>
      </c>
      <c r="P455" s="13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5" s="132"/>
      <c r="R455" s="132"/>
      <c r="S455" s="132"/>
      <c r="T455" s="133"/>
      <c r="U455" s="59" t="s">
        <v>20</v>
      </c>
      <c r="V455" s="59" t="s">
        <v>20</v>
      </c>
      <c r="W455" s="60" t="s">
        <v>69</v>
      </c>
      <c r="X455" s="61">
        <v>0</v>
      </c>
      <c r="Y455" s="67">
        <f t="shared" si="58"/>
        <v>0</v>
      </c>
      <c r="Z455" s="68" t="str">
        <f>IFERROR(IF(Y455=0,"",ROUNDUP(Y455/H455,0)*0.00902),"")</f>
        <v/>
      </c>
      <c r="AA455" s="69" t="s">
        <v>20</v>
      </c>
      <c r="AB455" s="70" t="s">
        <v>20</v>
      </c>
      <c r="AC455" s="71" t="s">
        <v>708</v>
      </c>
      <c r="AG455" s="74"/>
      <c r="AJ455" s="75" t="s">
        <v>20</v>
      </c>
      <c r="AK455" s="75">
        <v>0</v>
      </c>
      <c r="BB455" s="77" t="s">
        <v>1</v>
      </c>
      <c r="BM455" s="74">
        <f t="shared" si="60"/>
        <v>0</v>
      </c>
      <c r="BN455" s="74">
        <f t="shared" si="61"/>
        <v>0</v>
      </c>
      <c r="BO455" s="74">
        <f t="shared" si="62"/>
        <v>0</v>
      </c>
      <c r="BP455" s="74">
        <f t="shared" si="63"/>
        <v>0</v>
      </c>
    </row>
    <row r="456" spans="1:68" ht="27" hidden="1" customHeight="1" x14ac:dyDescent="0.25">
      <c r="A456" s="31" t="s">
        <v>724</v>
      </c>
      <c r="B456" s="31" t="s">
        <v>725</v>
      </c>
      <c r="C456" s="32">
        <v>4301012050</v>
      </c>
      <c r="D456" s="130">
        <v>4680115885479</v>
      </c>
      <c r="E456" s="130"/>
      <c r="F456" s="33">
        <v>0.4</v>
      </c>
      <c r="G456" s="34">
        <v>6</v>
      </c>
      <c r="H456" s="33">
        <v>2.4</v>
      </c>
      <c r="I456" s="33">
        <v>2.58</v>
      </c>
      <c r="J456" s="34">
        <v>182</v>
      </c>
      <c r="K456" s="34" t="s">
        <v>67</v>
      </c>
      <c r="L456" s="34" t="s">
        <v>20</v>
      </c>
      <c r="M456" s="43" t="s">
        <v>119</v>
      </c>
      <c r="N456" s="43"/>
      <c r="O456" s="34">
        <v>60</v>
      </c>
      <c r="P456" s="13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6" s="132"/>
      <c r="R456" s="132"/>
      <c r="S456" s="132"/>
      <c r="T456" s="133"/>
      <c r="U456" s="59" t="s">
        <v>20</v>
      </c>
      <c r="V456" s="59" t="s">
        <v>20</v>
      </c>
      <c r="W456" s="60" t="s">
        <v>69</v>
      </c>
      <c r="X456" s="61">
        <v>0</v>
      </c>
      <c r="Y456" s="67">
        <f t="shared" si="58"/>
        <v>0</v>
      </c>
      <c r="Z456" s="68" t="str">
        <f>IFERROR(IF(Y456=0,"",ROUNDUP(Y456/H456,0)*0.00651),"")</f>
        <v/>
      </c>
      <c r="AA456" s="69" t="s">
        <v>20</v>
      </c>
      <c r="AB456" s="70" t="s">
        <v>20</v>
      </c>
      <c r="AC456" s="71" t="s">
        <v>717</v>
      </c>
      <c r="AG456" s="74"/>
      <c r="AJ456" s="75" t="s">
        <v>20</v>
      </c>
      <c r="AK456" s="75">
        <v>0</v>
      </c>
      <c r="BB456" s="77" t="s">
        <v>1</v>
      </c>
      <c r="BM456" s="74">
        <f t="shared" si="60"/>
        <v>0</v>
      </c>
      <c r="BN456" s="74">
        <f t="shared" si="61"/>
        <v>0</v>
      </c>
      <c r="BO456" s="74">
        <f t="shared" si="62"/>
        <v>0</v>
      </c>
      <c r="BP456" s="74">
        <f t="shared" si="63"/>
        <v>0</v>
      </c>
    </row>
    <row r="457" spans="1:68" ht="27" customHeight="1" x14ac:dyDescent="0.25">
      <c r="A457" s="31" t="s">
        <v>726</v>
      </c>
      <c r="B457" s="31" t="s">
        <v>727</v>
      </c>
      <c r="C457" s="32">
        <v>4301012034</v>
      </c>
      <c r="D457" s="130">
        <v>4607091389982</v>
      </c>
      <c r="E457" s="130"/>
      <c r="F457" s="33">
        <v>0.6</v>
      </c>
      <c r="G457" s="34">
        <v>8</v>
      </c>
      <c r="H457" s="33">
        <v>4.8</v>
      </c>
      <c r="I457" s="33">
        <v>6.91</v>
      </c>
      <c r="J457" s="34">
        <v>132</v>
      </c>
      <c r="K457" s="34" t="s">
        <v>128</v>
      </c>
      <c r="L457" s="34" t="s">
        <v>20</v>
      </c>
      <c r="M457" s="43" t="s">
        <v>119</v>
      </c>
      <c r="N457" s="43"/>
      <c r="O457" s="34">
        <v>60</v>
      </c>
      <c r="P457" s="13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7" s="132"/>
      <c r="R457" s="132"/>
      <c r="S457" s="132"/>
      <c r="T457" s="133"/>
      <c r="U457" s="59" t="s">
        <v>20</v>
      </c>
      <c r="V457" s="59" t="s">
        <v>20</v>
      </c>
      <c r="W457" s="60" t="s">
        <v>69</v>
      </c>
      <c r="X457" s="61">
        <v>300</v>
      </c>
      <c r="Y457" s="67">
        <f t="shared" si="58"/>
        <v>302.39999999999998</v>
      </c>
      <c r="Z457" s="68">
        <f>IFERROR(IF(Y457=0,"",ROUNDUP(Y457/H457,0)*0.00902),"")</f>
        <v>0.56825999999999999</v>
      </c>
      <c r="AA457" s="69" t="s">
        <v>20</v>
      </c>
      <c r="AB457" s="70" t="s">
        <v>20</v>
      </c>
      <c r="AC457" s="71" t="s">
        <v>717</v>
      </c>
      <c r="AG457" s="74"/>
      <c r="AJ457" s="75" t="s">
        <v>20</v>
      </c>
      <c r="AK457" s="75">
        <v>0</v>
      </c>
      <c r="BB457" s="77" t="s">
        <v>1</v>
      </c>
      <c r="BM457" s="74">
        <f t="shared" si="60"/>
        <v>431.875</v>
      </c>
      <c r="BN457" s="74">
        <f t="shared" si="61"/>
        <v>435.33</v>
      </c>
      <c r="BO457" s="74">
        <f t="shared" si="62"/>
        <v>0.47348484848484851</v>
      </c>
      <c r="BP457" s="74">
        <f t="shared" si="63"/>
        <v>0.47727272727272729</v>
      </c>
    </row>
    <row r="458" spans="1:68" x14ac:dyDescent="0.2">
      <c r="A458" s="146"/>
      <c r="B458" s="146"/>
      <c r="C458" s="146"/>
      <c r="D458" s="146"/>
      <c r="E458" s="146"/>
      <c r="F458" s="146"/>
      <c r="G458" s="146"/>
      <c r="H458" s="146"/>
      <c r="I458" s="146"/>
      <c r="J458" s="146"/>
      <c r="K458" s="146"/>
      <c r="L458" s="146"/>
      <c r="M458" s="146"/>
      <c r="N458" s="146"/>
      <c r="O458" s="147"/>
      <c r="P458" s="142" t="s">
        <v>75</v>
      </c>
      <c r="Q458" s="143"/>
      <c r="R458" s="143"/>
      <c r="S458" s="143"/>
      <c r="T458" s="143"/>
      <c r="U458" s="143"/>
      <c r="V458" s="144"/>
      <c r="W458" s="62" t="s">
        <v>76</v>
      </c>
      <c r="X458" s="63">
        <f>IFERROR(X446/H446,"0")+IFERROR(X447/H447,"0")+IFERROR(X448/H448,"0")+IFERROR(X449/H449,"0")+IFERROR(X450/H450,"0")+IFERROR(X451/H451,"0")+IFERROR(X452/H452,"0")+IFERROR(X453/H453,"0")+IFERROR(X454/H454,"0")+IFERROR(X455/H455,"0")+IFERROR(X456/H456,"0")+IFERROR(X457/H457,"0")</f>
        <v>479.16666666666663</v>
      </c>
      <c r="Y458" s="63">
        <f>IFERROR(Y446/H446,"0")+IFERROR(Y447/H447,"0")+IFERROR(Y448/H448,"0")+IFERROR(Y449/H449,"0")+IFERROR(Y450/H450,"0")+IFERROR(Y451/H451,"0")+IFERROR(Y452/H452,"0")+IFERROR(Y453/H453,"0")+IFERROR(Y454/H454,"0")+IFERROR(Y455/H455,"0")+IFERROR(Y456/H456,"0")+IFERROR(Y457/H457,"0")</f>
        <v>481</v>
      </c>
      <c r="Z458" s="63">
        <f>IFERROR(IF(Z446="",0,Z446),"0")+IFERROR(IF(Z447="",0,Z447),"0")+IFERROR(IF(Z448="",0,Z448),"0")+IFERROR(IF(Z449="",0,Z449),"0")+IFERROR(IF(Z450="",0,Z450),"0")+IFERROR(IF(Z451="",0,Z451),"0")+IFERROR(IF(Z452="",0,Z452),"0")+IFERROR(IF(Z453="",0,Z453),"0")+IFERROR(IF(Z454="",0,Z454),"0")+IFERROR(IF(Z455="",0,Z455),"0")+IFERROR(IF(Z456="",0,Z456),"0")+IFERROR(IF(Z457="",0,Z457),"0")</f>
        <v>5.567540000000001</v>
      </c>
      <c r="AA458" s="72"/>
      <c r="AB458" s="72"/>
      <c r="AC458" s="72"/>
    </row>
    <row r="459" spans="1:68" x14ac:dyDescent="0.2">
      <c r="A459" s="146"/>
      <c r="B459" s="146"/>
      <c r="C459" s="146"/>
      <c r="D459" s="146"/>
      <c r="E459" s="146"/>
      <c r="F459" s="146"/>
      <c r="G459" s="146"/>
      <c r="H459" s="146"/>
      <c r="I459" s="146"/>
      <c r="J459" s="146"/>
      <c r="K459" s="146"/>
      <c r="L459" s="146"/>
      <c r="M459" s="146"/>
      <c r="N459" s="146"/>
      <c r="O459" s="147"/>
      <c r="P459" s="142" t="s">
        <v>75</v>
      </c>
      <c r="Q459" s="143"/>
      <c r="R459" s="143"/>
      <c r="S459" s="143"/>
      <c r="T459" s="143"/>
      <c r="U459" s="143"/>
      <c r="V459" s="144"/>
      <c r="W459" s="62" t="s">
        <v>69</v>
      </c>
      <c r="X459" s="63">
        <f>IFERROR(SUM(X446:X457),"0")</f>
        <v>2500</v>
      </c>
      <c r="Y459" s="63">
        <f>IFERROR(SUM(Y446:Y457),"0")</f>
        <v>2509.44</v>
      </c>
      <c r="Z459" s="62"/>
      <c r="AA459" s="72"/>
      <c r="AB459" s="72"/>
      <c r="AC459" s="72"/>
    </row>
    <row r="460" spans="1:68" ht="14.25" hidden="1" customHeight="1" x14ac:dyDescent="0.25">
      <c r="A460" s="129" t="s">
        <v>154</v>
      </c>
      <c r="B460" s="129"/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30"/>
      <c r="AB460" s="30"/>
      <c r="AC460" s="30"/>
    </row>
    <row r="461" spans="1:68" ht="16.5" customHeight="1" x14ac:dyDescent="0.25">
      <c r="A461" s="31" t="s">
        <v>728</v>
      </c>
      <c r="B461" s="31" t="s">
        <v>729</v>
      </c>
      <c r="C461" s="32">
        <v>4301020334</v>
      </c>
      <c r="D461" s="130">
        <v>4607091388930</v>
      </c>
      <c r="E461" s="130"/>
      <c r="F461" s="33">
        <v>0.88</v>
      </c>
      <c r="G461" s="34">
        <v>6</v>
      </c>
      <c r="H461" s="33">
        <v>5.28</v>
      </c>
      <c r="I461" s="33">
        <v>5.63</v>
      </c>
      <c r="J461" s="34">
        <v>104</v>
      </c>
      <c r="K461" s="34" t="s">
        <v>118</v>
      </c>
      <c r="L461" s="34" t="s">
        <v>20</v>
      </c>
      <c r="M461" s="43" t="s">
        <v>86</v>
      </c>
      <c r="N461" s="43"/>
      <c r="O461" s="34">
        <v>70</v>
      </c>
      <c r="P461" s="1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61" s="132"/>
      <c r="R461" s="132"/>
      <c r="S461" s="132"/>
      <c r="T461" s="133"/>
      <c r="U461" s="59" t="s">
        <v>20</v>
      </c>
      <c r="V461" s="59" t="s">
        <v>20</v>
      </c>
      <c r="W461" s="60" t="s">
        <v>69</v>
      </c>
      <c r="X461" s="61">
        <v>300</v>
      </c>
      <c r="Y461" s="67">
        <f>IFERROR(IF(X461="",0,CEILING((X461/$H461),1)*$H461),"")</f>
        <v>300.96000000000004</v>
      </c>
      <c r="Z461" s="68">
        <f>IFERROR(IF(Y461=0,"",ROUNDUP(Y461/H461,0)*0.01196),"")</f>
        <v>0.68171999999999999</v>
      </c>
      <c r="AA461" s="69" t="s">
        <v>20</v>
      </c>
      <c r="AB461" s="70" t="s">
        <v>20</v>
      </c>
      <c r="AC461" s="71" t="s">
        <v>730</v>
      </c>
      <c r="AG461" s="74"/>
      <c r="AJ461" s="75" t="s">
        <v>20</v>
      </c>
      <c r="AK461" s="75">
        <v>0</v>
      </c>
      <c r="BB461" s="77" t="s">
        <v>1</v>
      </c>
      <c r="BM461" s="74">
        <f>IFERROR(X461*I461/H461,"0")</f>
        <v>319.88636363636363</v>
      </c>
      <c r="BN461" s="74">
        <f>IFERROR(Y461*I461/H461,"0")</f>
        <v>320.91000000000003</v>
      </c>
      <c r="BO461" s="74">
        <f>IFERROR(1/J461*(X461/H461),"0")</f>
        <v>0.54632867132867136</v>
      </c>
      <c r="BP461" s="74">
        <f>IFERROR(1/J461*(Y461/H461),"0")</f>
        <v>0.54807692307692313</v>
      </c>
    </row>
    <row r="462" spans="1:68" ht="16.5" hidden="1" customHeight="1" x14ac:dyDescent="0.25">
      <c r="A462" s="31" t="s">
        <v>731</v>
      </c>
      <c r="B462" s="31" t="s">
        <v>732</v>
      </c>
      <c r="C462" s="32">
        <v>4301020374</v>
      </c>
      <c r="D462" s="130">
        <v>4680115886407</v>
      </c>
      <c r="E462" s="130"/>
      <c r="F462" s="33">
        <v>0.4</v>
      </c>
      <c r="G462" s="34">
        <v>6</v>
      </c>
      <c r="H462" s="33">
        <v>2.4</v>
      </c>
      <c r="I462" s="33">
        <v>2.58</v>
      </c>
      <c r="J462" s="34">
        <v>182</v>
      </c>
      <c r="K462" s="34" t="s">
        <v>67</v>
      </c>
      <c r="L462" s="34" t="s">
        <v>20</v>
      </c>
      <c r="M462" s="43" t="s">
        <v>119</v>
      </c>
      <c r="N462" s="43"/>
      <c r="O462" s="34">
        <v>70</v>
      </c>
      <c r="P462" s="13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62" s="132"/>
      <c r="R462" s="132"/>
      <c r="S462" s="132"/>
      <c r="T462" s="133"/>
      <c r="U462" s="59" t="s">
        <v>20</v>
      </c>
      <c r="V462" s="59" t="s">
        <v>20</v>
      </c>
      <c r="W462" s="60" t="s">
        <v>69</v>
      </c>
      <c r="X462" s="61">
        <v>0</v>
      </c>
      <c r="Y462" s="67">
        <f>IFERROR(IF(X462="",0,CEILING((X462/$H462),1)*$H462),"")</f>
        <v>0</v>
      </c>
      <c r="Z462" s="68" t="str">
        <f>IFERROR(IF(Y462=0,"",ROUNDUP(Y462/H462,0)*0.00651),"")</f>
        <v/>
      </c>
      <c r="AA462" s="69" t="s">
        <v>20</v>
      </c>
      <c r="AB462" s="70" t="s">
        <v>20</v>
      </c>
      <c r="AC462" s="71" t="s">
        <v>730</v>
      </c>
      <c r="AG462" s="74"/>
      <c r="AJ462" s="75" t="s">
        <v>20</v>
      </c>
      <c r="AK462" s="75">
        <v>0</v>
      </c>
      <c r="BB462" s="77" t="s">
        <v>1</v>
      </c>
      <c r="BM462" s="74">
        <f>IFERROR(X462*I462/H462,"0")</f>
        <v>0</v>
      </c>
      <c r="BN462" s="74">
        <f>IFERROR(Y462*I462/H462,"0")</f>
        <v>0</v>
      </c>
      <c r="BO462" s="74">
        <f>IFERROR(1/J462*(X462/H462),"0")</f>
        <v>0</v>
      </c>
      <c r="BP462" s="74">
        <f>IFERROR(1/J462*(Y462/H462),"0")</f>
        <v>0</v>
      </c>
    </row>
    <row r="463" spans="1:68" ht="16.5" hidden="1" customHeight="1" x14ac:dyDescent="0.25">
      <c r="A463" s="31" t="s">
        <v>733</v>
      </c>
      <c r="B463" s="31" t="s">
        <v>734</v>
      </c>
      <c r="C463" s="32">
        <v>4301020385</v>
      </c>
      <c r="D463" s="130">
        <v>4680115880054</v>
      </c>
      <c r="E463" s="130"/>
      <c r="F463" s="33">
        <v>0.6</v>
      </c>
      <c r="G463" s="34">
        <v>8</v>
      </c>
      <c r="H463" s="33">
        <v>4.8</v>
      </c>
      <c r="I463" s="33">
        <v>6.91</v>
      </c>
      <c r="J463" s="34">
        <v>132</v>
      </c>
      <c r="K463" s="34" t="s">
        <v>128</v>
      </c>
      <c r="L463" s="34" t="s">
        <v>20</v>
      </c>
      <c r="M463" s="43" t="s">
        <v>119</v>
      </c>
      <c r="N463" s="43"/>
      <c r="O463" s="34">
        <v>70</v>
      </c>
      <c r="P463" s="13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63" s="132"/>
      <c r="R463" s="132"/>
      <c r="S463" s="132"/>
      <c r="T463" s="133"/>
      <c r="U463" s="59" t="s">
        <v>20</v>
      </c>
      <c r="V463" s="59" t="s">
        <v>20</v>
      </c>
      <c r="W463" s="60" t="s">
        <v>69</v>
      </c>
      <c r="X463" s="61">
        <v>0</v>
      </c>
      <c r="Y463" s="67">
        <f>IFERROR(IF(X463="",0,CEILING((X463/$H463),1)*$H463),"")</f>
        <v>0</v>
      </c>
      <c r="Z463" s="68" t="str">
        <f>IFERROR(IF(Y463=0,"",ROUNDUP(Y463/H463,0)*0.00902),"")</f>
        <v/>
      </c>
      <c r="AA463" s="69" t="s">
        <v>20</v>
      </c>
      <c r="AB463" s="70" t="s">
        <v>20</v>
      </c>
      <c r="AC463" s="71" t="s">
        <v>730</v>
      </c>
      <c r="AG463" s="74"/>
      <c r="AJ463" s="75" t="s">
        <v>20</v>
      </c>
      <c r="AK463" s="75">
        <v>0</v>
      </c>
      <c r="BB463" s="77" t="s">
        <v>1</v>
      </c>
      <c r="BM463" s="74">
        <f>IFERROR(X463*I463/H463,"0")</f>
        <v>0</v>
      </c>
      <c r="BN463" s="74">
        <f>IFERROR(Y463*I463/H463,"0")</f>
        <v>0</v>
      </c>
      <c r="BO463" s="74">
        <f>IFERROR(1/J463*(X463/H463),"0")</f>
        <v>0</v>
      </c>
      <c r="BP463" s="74">
        <f>IFERROR(1/J463*(Y463/H463),"0")</f>
        <v>0</v>
      </c>
    </row>
    <row r="464" spans="1:68" x14ac:dyDescent="0.2">
      <c r="A464" s="146"/>
      <c r="B464" s="146"/>
      <c r="C464" s="146"/>
      <c r="D464" s="146"/>
      <c r="E464" s="146"/>
      <c r="F464" s="146"/>
      <c r="G464" s="146"/>
      <c r="H464" s="146"/>
      <c r="I464" s="146"/>
      <c r="J464" s="146"/>
      <c r="K464" s="146"/>
      <c r="L464" s="146"/>
      <c r="M464" s="146"/>
      <c r="N464" s="146"/>
      <c r="O464" s="147"/>
      <c r="P464" s="142" t="s">
        <v>75</v>
      </c>
      <c r="Q464" s="143"/>
      <c r="R464" s="143"/>
      <c r="S464" s="143"/>
      <c r="T464" s="143"/>
      <c r="U464" s="143"/>
      <c r="V464" s="144"/>
      <c r="W464" s="62" t="s">
        <v>76</v>
      </c>
      <c r="X464" s="63">
        <f>IFERROR(X461/H461,"0")+IFERROR(X462/H462,"0")+IFERROR(X463/H463,"0")</f>
        <v>56.818181818181813</v>
      </c>
      <c r="Y464" s="63">
        <f>IFERROR(Y461/H461,"0")+IFERROR(Y462/H462,"0")+IFERROR(Y463/H463,"0")</f>
        <v>57.000000000000007</v>
      </c>
      <c r="Z464" s="63">
        <f>IFERROR(IF(Z461="",0,Z461),"0")+IFERROR(IF(Z462="",0,Z462),"0")+IFERROR(IF(Z463="",0,Z463),"0")</f>
        <v>0.68171999999999999</v>
      </c>
      <c r="AA464" s="72"/>
      <c r="AB464" s="72"/>
      <c r="AC464" s="72"/>
    </row>
    <row r="465" spans="1:68" x14ac:dyDescent="0.2">
      <c r="A465" s="146"/>
      <c r="B465" s="146"/>
      <c r="C465" s="146"/>
      <c r="D465" s="146"/>
      <c r="E465" s="146"/>
      <c r="F465" s="146"/>
      <c r="G465" s="146"/>
      <c r="H465" s="146"/>
      <c r="I465" s="146"/>
      <c r="J465" s="146"/>
      <c r="K465" s="146"/>
      <c r="L465" s="146"/>
      <c r="M465" s="146"/>
      <c r="N465" s="146"/>
      <c r="O465" s="147"/>
      <c r="P465" s="142" t="s">
        <v>75</v>
      </c>
      <c r="Q465" s="143"/>
      <c r="R465" s="143"/>
      <c r="S465" s="143"/>
      <c r="T465" s="143"/>
      <c r="U465" s="143"/>
      <c r="V465" s="144"/>
      <c r="W465" s="62" t="s">
        <v>69</v>
      </c>
      <c r="X465" s="63">
        <f>IFERROR(SUM(X461:X463),"0")</f>
        <v>300</v>
      </c>
      <c r="Y465" s="63">
        <f>IFERROR(SUM(Y461:Y463),"0")</f>
        <v>300.96000000000004</v>
      </c>
      <c r="Z465" s="62"/>
      <c r="AA465" s="72"/>
      <c r="AB465" s="72"/>
      <c r="AC465" s="72"/>
    </row>
    <row r="466" spans="1:68" ht="14.25" hidden="1" customHeight="1" x14ac:dyDescent="0.25">
      <c r="A466" s="129" t="s">
        <v>64</v>
      </c>
      <c r="B466" s="129"/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30"/>
      <c r="AB466" s="30"/>
      <c r="AC466" s="30"/>
    </row>
    <row r="467" spans="1:68" ht="27" customHeight="1" x14ac:dyDescent="0.25">
      <c r="A467" s="31" t="s">
        <v>735</v>
      </c>
      <c r="B467" s="31" t="s">
        <v>736</v>
      </c>
      <c r="C467" s="32">
        <v>4301031349</v>
      </c>
      <c r="D467" s="130">
        <v>4680115883116</v>
      </c>
      <c r="E467" s="130"/>
      <c r="F467" s="33">
        <v>0.88</v>
      </c>
      <c r="G467" s="34">
        <v>6</v>
      </c>
      <c r="H467" s="33">
        <v>5.28</v>
      </c>
      <c r="I467" s="33">
        <v>5.63</v>
      </c>
      <c r="J467" s="34">
        <v>104</v>
      </c>
      <c r="K467" s="34" t="s">
        <v>118</v>
      </c>
      <c r="L467" s="34" t="s">
        <v>20</v>
      </c>
      <c r="M467" s="43" t="s">
        <v>119</v>
      </c>
      <c r="N467" s="43"/>
      <c r="O467" s="34">
        <v>70</v>
      </c>
      <c r="P467" s="13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7" s="132"/>
      <c r="R467" s="132"/>
      <c r="S467" s="132"/>
      <c r="T467" s="133"/>
      <c r="U467" s="59" t="s">
        <v>20</v>
      </c>
      <c r="V467" s="59" t="s">
        <v>20</v>
      </c>
      <c r="W467" s="60" t="s">
        <v>69</v>
      </c>
      <c r="X467" s="61">
        <v>100</v>
      </c>
      <c r="Y467" s="67">
        <f t="shared" ref="Y467:Y473" si="64">IFERROR(IF(X467="",0,CEILING((X467/$H467),1)*$H467),"")</f>
        <v>100.32000000000001</v>
      </c>
      <c r="Z467" s="68">
        <f>IFERROR(IF(Y467=0,"",ROUNDUP(Y467/H467,0)*0.01196),"")</f>
        <v>0.22724</v>
      </c>
      <c r="AA467" s="69" t="s">
        <v>20</v>
      </c>
      <c r="AB467" s="70" t="s">
        <v>20</v>
      </c>
      <c r="AC467" s="71" t="s">
        <v>737</v>
      </c>
      <c r="AG467" s="74"/>
      <c r="AJ467" s="75" t="s">
        <v>20</v>
      </c>
      <c r="AK467" s="75">
        <v>0</v>
      </c>
      <c r="BB467" s="77" t="s">
        <v>1</v>
      </c>
      <c r="BM467" s="74">
        <f t="shared" ref="BM467:BM473" si="65">IFERROR(X467*I467/H467,"0")</f>
        <v>106.62878787878788</v>
      </c>
      <c r="BN467" s="74">
        <f t="shared" ref="BN467:BN473" si="66">IFERROR(Y467*I467/H467,"0")</f>
        <v>106.97</v>
      </c>
      <c r="BO467" s="74">
        <f t="shared" ref="BO467:BO473" si="67">IFERROR(1/J467*(X467/H467),"0")</f>
        <v>0.18210955710955709</v>
      </c>
      <c r="BP467" s="74">
        <f t="shared" ref="BP467:BP473" si="68">IFERROR(1/J467*(Y467/H467),"0")</f>
        <v>0.18269230769230771</v>
      </c>
    </row>
    <row r="468" spans="1:68" ht="27" customHeight="1" x14ac:dyDescent="0.25">
      <c r="A468" s="31" t="s">
        <v>738</v>
      </c>
      <c r="B468" s="31" t="s">
        <v>739</v>
      </c>
      <c r="C468" s="32">
        <v>4301031350</v>
      </c>
      <c r="D468" s="130">
        <v>4680115883093</v>
      </c>
      <c r="E468" s="130"/>
      <c r="F468" s="33">
        <v>0.88</v>
      </c>
      <c r="G468" s="34">
        <v>6</v>
      </c>
      <c r="H468" s="33">
        <v>5.28</v>
      </c>
      <c r="I468" s="33">
        <v>5.63</v>
      </c>
      <c r="J468" s="34">
        <v>104</v>
      </c>
      <c r="K468" s="34" t="s">
        <v>118</v>
      </c>
      <c r="L468" s="34" t="s">
        <v>20</v>
      </c>
      <c r="M468" s="43" t="s">
        <v>68</v>
      </c>
      <c r="N468" s="43"/>
      <c r="O468" s="34">
        <v>70</v>
      </c>
      <c r="P468" s="1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8" s="132"/>
      <c r="R468" s="132"/>
      <c r="S468" s="132"/>
      <c r="T468" s="133"/>
      <c r="U468" s="59" t="s">
        <v>20</v>
      </c>
      <c r="V468" s="59" t="s">
        <v>20</v>
      </c>
      <c r="W468" s="60" t="s">
        <v>69</v>
      </c>
      <c r="X468" s="61">
        <v>200</v>
      </c>
      <c r="Y468" s="67">
        <f t="shared" si="64"/>
        <v>200.64000000000001</v>
      </c>
      <c r="Z468" s="68">
        <f>IFERROR(IF(Y468=0,"",ROUNDUP(Y468/H468,0)*0.01196),"")</f>
        <v>0.45448</v>
      </c>
      <c r="AA468" s="69" t="s">
        <v>20</v>
      </c>
      <c r="AB468" s="70" t="s">
        <v>20</v>
      </c>
      <c r="AC468" s="71" t="s">
        <v>740</v>
      </c>
      <c r="AG468" s="74"/>
      <c r="AJ468" s="75" t="s">
        <v>20</v>
      </c>
      <c r="AK468" s="75">
        <v>0</v>
      </c>
      <c r="BB468" s="77" t="s">
        <v>1</v>
      </c>
      <c r="BM468" s="74">
        <f t="shared" si="65"/>
        <v>213.25757575757575</v>
      </c>
      <c r="BN468" s="74">
        <f t="shared" si="66"/>
        <v>213.94</v>
      </c>
      <c r="BO468" s="74">
        <f t="shared" si="67"/>
        <v>0.36421911421911418</v>
      </c>
      <c r="BP468" s="74">
        <f t="shared" si="68"/>
        <v>0.36538461538461542</v>
      </c>
    </row>
    <row r="469" spans="1:68" ht="27" customHeight="1" x14ac:dyDescent="0.25">
      <c r="A469" s="31" t="s">
        <v>741</v>
      </c>
      <c r="B469" s="31" t="s">
        <v>742</v>
      </c>
      <c r="C469" s="32">
        <v>4301031353</v>
      </c>
      <c r="D469" s="130">
        <v>4680115883109</v>
      </c>
      <c r="E469" s="130"/>
      <c r="F469" s="33">
        <v>0.88</v>
      </c>
      <c r="G469" s="34">
        <v>6</v>
      </c>
      <c r="H469" s="33">
        <v>5.28</v>
      </c>
      <c r="I469" s="33">
        <v>5.63</v>
      </c>
      <c r="J469" s="34">
        <v>104</v>
      </c>
      <c r="K469" s="34" t="s">
        <v>118</v>
      </c>
      <c r="L469" s="34" t="s">
        <v>20</v>
      </c>
      <c r="M469" s="43" t="s">
        <v>68</v>
      </c>
      <c r="N469" s="43"/>
      <c r="O469" s="34">
        <v>70</v>
      </c>
      <c r="P469" s="1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9" s="132"/>
      <c r="R469" s="132"/>
      <c r="S469" s="132"/>
      <c r="T469" s="133"/>
      <c r="U469" s="59" t="s">
        <v>20</v>
      </c>
      <c r="V469" s="59" t="s">
        <v>20</v>
      </c>
      <c r="W469" s="60" t="s">
        <v>69</v>
      </c>
      <c r="X469" s="61">
        <v>500</v>
      </c>
      <c r="Y469" s="67">
        <f t="shared" si="64"/>
        <v>501.6</v>
      </c>
      <c r="Z469" s="68">
        <f>IFERROR(IF(Y469=0,"",ROUNDUP(Y469/H469,0)*0.01196),"")</f>
        <v>1.1362000000000001</v>
      </c>
      <c r="AA469" s="69" t="s">
        <v>20</v>
      </c>
      <c r="AB469" s="70" t="s">
        <v>20</v>
      </c>
      <c r="AC469" s="71" t="s">
        <v>743</v>
      </c>
      <c r="AG469" s="74"/>
      <c r="AJ469" s="75" t="s">
        <v>20</v>
      </c>
      <c r="AK469" s="75">
        <v>0</v>
      </c>
      <c r="BB469" s="77" t="s">
        <v>1</v>
      </c>
      <c r="BM469" s="74">
        <f t="shared" si="65"/>
        <v>533.14393939393938</v>
      </c>
      <c r="BN469" s="74">
        <f t="shared" si="66"/>
        <v>534.85</v>
      </c>
      <c r="BO469" s="74">
        <f t="shared" si="67"/>
        <v>0.91054778554778548</v>
      </c>
      <c r="BP469" s="74">
        <f t="shared" si="68"/>
        <v>0.91346153846153855</v>
      </c>
    </row>
    <row r="470" spans="1:68" ht="27" hidden="1" customHeight="1" x14ac:dyDescent="0.25">
      <c r="A470" s="31" t="s">
        <v>744</v>
      </c>
      <c r="B470" s="31" t="s">
        <v>745</v>
      </c>
      <c r="C470" s="32">
        <v>4301031419</v>
      </c>
      <c r="D470" s="130">
        <v>4680115882072</v>
      </c>
      <c r="E470" s="130"/>
      <c r="F470" s="33">
        <v>0.6</v>
      </c>
      <c r="G470" s="34">
        <v>8</v>
      </c>
      <c r="H470" s="33">
        <v>4.8</v>
      </c>
      <c r="I470" s="33">
        <v>6.91</v>
      </c>
      <c r="J470" s="34">
        <v>132</v>
      </c>
      <c r="K470" s="34" t="s">
        <v>128</v>
      </c>
      <c r="L470" s="34" t="s">
        <v>20</v>
      </c>
      <c r="M470" s="43" t="s">
        <v>119</v>
      </c>
      <c r="N470" s="43"/>
      <c r="O470" s="34">
        <v>70</v>
      </c>
      <c r="P470" s="13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70" s="132"/>
      <c r="R470" s="132"/>
      <c r="S470" s="132"/>
      <c r="T470" s="133"/>
      <c r="U470" s="59" t="s">
        <v>20</v>
      </c>
      <c r="V470" s="59" t="s">
        <v>20</v>
      </c>
      <c r="W470" s="60" t="s">
        <v>69</v>
      </c>
      <c r="X470" s="61">
        <v>0</v>
      </c>
      <c r="Y470" s="67">
        <f t="shared" si="64"/>
        <v>0</v>
      </c>
      <c r="Z470" s="68" t="str">
        <f>IFERROR(IF(Y470=0,"",ROUNDUP(Y470/H470,0)*0.00902),"")</f>
        <v/>
      </c>
      <c r="AA470" s="69" t="s">
        <v>20</v>
      </c>
      <c r="AB470" s="70" t="s">
        <v>20</v>
      </c>
      <c r="AC470" s="71" t="s">
        <v>737</v>
      </c>
      <c r="AG470" s="74"/>
      <c r="AJ470" s="75" t="s">
        <v>20</v>
      </c>
      <c r="AK470" s="75">
        <v>0</v>
      </c>
      <c r="BB470" s="77" t="s">
        <v>1</v>
      </c>
      <c r="BM470" s="74">
        <f t="shared" si="65"/>
        <v>0</v>
      </c>
      <c r="BN470" s="74">
        <f t="shared" si="66"/>
        <v>0</v>
      </c>
      <c r="BO470" s="74">
        <f t="shared" si="67"/>
        <v>0</v>
      </c>
      <c r="BP470" s="74">
        <f t="shared" si="68"/>
        <v>0</v>
      </c>
    </row>
    <row r="471" spans="1:68" ht="27" hidden="1" customHeight="1" x14ac:dyDescent="0.25">
      <c r="A471" s="31" t="s">
        <v>746</v>
      </c>
      <c r="B471" s="31" t="s">
        <v>747</v>
      </c>
      <c r="C471" s="32">
        <v>4301031352</v>
      </c>
      <c r="D471" s="130">
        <v>4680115882102</v>
      </c>
      <c r="E471" s="130"/>
      <c r="F471" s="33">
        <v>0.6</v>
      </c>
      <c r="G471" s="34">
        <v>6</v>
      </c>
      <c r="H471" s="33">
        <v>3.6</v>
      </c>
      <c r="I471" s="33">
        <v>3.79</v>
      </c>
      <c r="J471" s="34">
        <v>132</v>
      </c>
      <c r="K471" s="34" t="s">
        <v>128</v>
      </c>
      <c r="L471" s="34" t="s">
        <v>20</v>
      </c>
      <c r="M471" s="43" t="s">
        <v>68</v>
      </c>
      <c r="N471" s="43"/>
      <c r="O471" s="34">
        <v>70</v>
      </c>
      <c r="P471" s="13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71" s="132"/>
      <c r="R471" s="132"/>
      <c r="S471" s="132"/>
      <c r="T471" s="133"/>
      <c r="U471" s="59" t="s">
        <v>20</v>
      </c>
      <c r="V471" s="59" t="s">
        <v>20</v>
      </c>
      <c r="W471" s="60" t="s">
        <v>69</v>
      </c>
      <c r="X471" s="61">
        <v>0</v>
      </c>
      <c r="Y471" s="67">
        <f t="shared" si="64"/>
        <v>0</v>
      </c>
      <c r="Z471" s="68" t="str">
        <f>IFERROR(IF(Y471=0,"",ROUNDUP(Y471/H471,0)*0.00902),"")</f>
        <v/>
      </c>
      <c r="AA471" s="69" t="s">
        <v>20</v>
      </c>
      <c r="AB471" s="70" t="s">
        <v>20</v>
      </c>
      <c r="AC471" s="71" t="s">
        <v>740</v>
      </c>
      <c r="AG471" s="74"/>
      <c r="AJ471" s="75" t="s">
        <v>20</v>
      </c>
      <c r="AK471" s="75">
        <v>0</v>
      </c>
      <c r="BB471" s="77" t="s">
        <v>1</v>
      </c>
      <c r="BM471" s="74">
        <f t="shared" si="65"/>
        <v>0</v>
      </c>
      <c r="BN471" s="74">
        <f t="shared" si="66"/>
        <v>0</v>
      </c>
      <c r="BO471" s="74">
        <f t="shared" si="67"/>
        <v>0</v>
      </c>
      <c r="BP471" s="74">
        <f t="shared" si="68"/>
        <v>0</v>
      </c>
    </row>
    <row r="472" spans="1:68" ht="27" hidden="1" customHeight="1" x14ac:dyDescent="0.25">
      <c r="A472" s="31" t="s">
        <v>746</v>
      </c>
      <c r="B472" s="31" t="s">
        <v>748</v>
      </c>
      <c r="C472" s="32">
        <v>4301031418</v>
      </c>
      <c r="D472" s="130">
        <v>4680115882102</v>
      </c>
      <c r="E472" s="130"/>
      <c r="F472" s="33">
        <v>0.6</v>
      </c>
      <c r="G472" s="34">
        <v>8</v>
      </c>
      <c r="H472" s="33">
        <v>4.8</v>
      </c>
      <c r="I472" s="33">
        <v>6.67</v>
      </c>
      <c r="J472" s="34">
        <v>132</v>
      </c>
      <c r="K472" s="34" t="s">
        <v>128</v>
      </c>
      <c r="L472" s="34" t="s">
        <v>20</v>
      </c>
      <c r="M472" s="43" t="s">
        <v>68</v>
      </c>
      <c r="N472" s="43"/>
      <c r="O472" s="34">
        <v>70</v>
      </c>
      <c r="P472" s="1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72" s="132"/>
      <c r="R472" s="132"/>
      <c r="S472" s="132"/>
      <c r="T472" s="133"/>
      <c r="U472" s="59" t="s">
        <v>20</v>
      </c>
      <c r="V472" s="59" t="s">
        <v>20</v>
      </c>
      <c r="W472" s="60" t="s">
        <v>69</v>
      </c>
      <c r="X472" s="61">
        <v>0</v>
      </c>
      <c r="Y472" s="67">
        <f t="shared" si="64"/>
        <v>0</v>
      </c>
      <c r="Z472" s="68" t="str">
        <f>IFERROR(IF(Y472=0,"",ROUNDUP(Y472/H472,0)*0.00902),"")</f>
        <v/>
      </c>
      <c r="AA472" s="69" t="s">
        <v>20</v>
      </c>
      <c r="AB472" s="70" t="s">
        <v>20</v>
      </c>
      <c r="AC472" s="71" t="s">
        <v>740</v>
      </c>
      <c r="AG472" s="74"/>
      <c r="AJ472" s="75" t="s">
        <v>20</v>
      </c>
      <c r="AK472" s="75">
        <v>0</v>
      </c>
      <c r="BB472" s="77" t="s">
        <v>1</v>
      </c>
      <c r="BM472" s="74">
        <f t="shared" si="65"/>
        <v>0</v>
      </c>
      <c r="BN472" s="74">
        <f t="shared" si="66"/>
        <v>0</v>
      </c>
      <c r="BO472" s="74">
        <f t="shared" si="67"/>
        <v>0</v>
      </c>
      <c r="BP472" s="74">
        <f t="shared" si="68"/>
        <v>0</v>
      </c>
    </row>
    <row r="473" spans="1:68" ht="27" hidden="1" customHeight="1" x14ac:dyDescent="0.25">
      <c r="A473" s="31" t="s">
        <v>749</v>
      </c>
      <c r="B473" s="31" t="s">
        <v>750</v>
      </c>
      <c r="C473" s="32">
        <v>4301031417</v>
      </c>
      <c r="D473" s="130">
        <v>4680115882096</v>
      </c>
      <c r="E473" s="130"/>
      <c r="F473" s="33">
        <v>0.6</v>
      </c>
      <c r="G473" s="34">
        <v>8</v>
      </c>
      <c r="H473" s="33">
        <v>4.8</v>
      </c>
      <c r="I473" s="33">
        <v>6.67</v>
      </c>
      <c r="J473" s="34">
        <v>132</v>
      </c>
      <c r="K473" s="34" t="s">
        <v>128</v>
      </c>
      <c r="L473" s="34" t="s">
        <v>20</v>
      </c>
      <c r="M473" s="43" t="s">
        <v>68</v>
      </c>
      <c r="N473" s="43"/>
      <c r="O473" s="34">
        <v>70</v>
      </c>
      <c r="P473" s="1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73" s="132"/>
      <c r="R473" s="132"/>
      <c r="S473" s="132"/>
      <c r="T473" s="133"/>
      <c r="U473" s="59" t="s">
        <v>20</v>
      </c>
      <c r="V473" s="59" t="s">
        <v>20</v>
      </c>
      <c r="W473" s="60" t="s">
        <v>69</v>
      </c>
      <c r="X473" s="61">
        <v>0</v>
      </c>
      <c r="Y473" s="67">
        <f t="shared" si="64"/>
        <v>0</v>
      </c>
      <c r="Z473" s="68" t="str">
        <f>IFERROR(IF(Y473=0,"",ROUNDUP(Y473/H473,0)*0.00902),"")</f>
        <v/>
      </c>
      <c r="AA473" s="69" t="s">
        <v>20</v>
      </c>
      <c r="AB473" s="70" t="s">
        <v>20</v>
      </c>
      <c r="AC473" s="71" t="s">
        <v>743</v>
      </c>
      <c r="AG473" s="74"/>
      <c r="AJ473" s="75" t="s">
        <v>20</v>
      </c>
      <c r="AK473" s="75">
        <v>0</v>
      </c>
      <c r="BB473" s="77" t="s">
        <v>1</v>
      </c>
      <c r="BM473" s="74">
        <f t="shared" si="65"/>
        <v>0</v>
      </c>
      <c r="BN473" s="74">
        <f t="shared" si="66"/>
        <v>0</v>
      </c>
      <c r="BO473" s="74">
        <f t="shared" si="67"/>
        <v>0</v>
      </c>
      <c r="BP473" s="74">
        <f t="shared" si="68"/>
        <v>0</v>
      </c>
    </row>
    <row r="474" spans="1:68" x14ac:dyDescent="0.2">
      <c r="A474" s="146"/>
      <c r="B474" s="146"/>
      <c r="C474" s="146"/>
      <c r="D474" s="146"/>
      <c r="E474" s="146"/>
      <c r="F474" s="146"/>
      <c r="G474" s="146"/>
      <c r="H474" s="146"/>
      <c r="I474" s="146"/>
      <c r="J474" s="146"/>
      <c r="K474" s="146"/>
      <c r="L474" s="146"/>
      <c r="M474" s="146"/>
      <c r="N474" s="146"/>
      <c r="O474" s="147"/>
      <c r="P474" s="142" t="s">
        <v>75</v>
      </c>
      <c r="Q474" s="143"/>
      <c r="R474" s="143"/>
      <c r="S474" s="143"/>
      <c r="T474" s="143"/>
      <c r="U474" s="143"/>
      <c r="V474" s="144"/>
      <c r="W474" s="62" t="s">
        <v>76</v>
      </c>
      <c r="X474" s="63">
        <f>IFERROR(X467/H467,"0")+IFERROR(X468/H468,"0")+IFERROR(X469/H469,"0")+IFERROR(X470/H470,"0")+IFERROR(X471/H471,"0")+IFERROR(X472/H472,"0")+IFERROR(X473/H473,"0")</f>
        <v>151.5151515151515</v>
      </c>
      <c r="Y474" s="63">
        <f>IFERROR(Y467/H467,"0")+IFERROR(Y468/H468,"0")+IFERROR(Y469/H469,"0")+IFERROR(Y470/H470,"0")+IFERROR(Y471/H471,"0")+IFERROR(Y472/H472,"0")+IFERROR(Y473/H473,"0")</f>
        <v>152</v>
      </c>
      <c r="Z474" s="63">
        <f>IFERROR(IF(Z467="",0,Z467),"0")+IFERROR(IF(Z468="",0,Z468),"0")+IFERROR(IF(Z469="",0,Z469),"0")+IFERROR(IF(Z470="",0,Z470),"0")+IFERROR(IF(Z471="",0,Z471),"0")+IFERROR(IF(Z472="",0,Z472),"0")+IFERROR(IF(Z473="",0,Z473),"0")</f>
        <v>1.81792</v>
      </c>
      <c r="AA474" s="72"/>
      <c r="AB474" s="72"/>
      <c r="AC474" s="72"/>
    </row>
    <row r="475" spans="1:68" x14ac:dyDescent="0.2">
      <c r="A475" s="146"/>
      <c r="B475" s="146"/>
      <c r="C475" s="146"/>
      <c r="D475" s="146"/>
      <c r="E475" s="146"/>
      <c r="F475" s="146"/>
      <c r="G475" s="146"/>
      <c r="H475" s="146"/>
      <c r="I475" s="146"/>
      <c r="J475" s="146"/>
      <c r="K475" s="146"/>
      <c r="L475" s="146"/>
      <c r="M475" s="146"/>
      <c r="N475" s="146"/>
      <c r="O475" s="147"/>
      <c r="P475" s="142" t="s">
        <v>75</v>
      </c>
      <c r="Q475" s="143"/>
      <c r="R475" s="143"/>
      <c r="S475" s="143"/>
      <c r="T475" s="143"/>
      <c r="U475" s="143"/>
      <c r="V475" s="144"/>
      <c r="W475" s="62" t="s">
        <v>69</v>
      </c>
      <c r="X475" s="63">
        <f>IFERROR(SUM(X467:X473),"0")</f>
        <v>800</v>
      </c>
      <c r="Y475" s="63">
        <f>IFERROR(SUM(Y467:Y473),"0")</f>
        <v>802.56000000000006</v>
      </c>
      <c r="Z475" s="62"/>
      <c r="AA475" s="72"/>
      <c r="AB475" s="72"/>
      <c r="AC475" s="72"/>
    </row>
    <row r="476" spans="1:68" ht="27.75" hidden="1" customHeight="1" x14ac:dyDescent="0.2">
      <c r="A476" s="127" t="s">
        <v>751</v>
      </c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  <c r="AA476" s="66"/>
      <c r="AB476" s="66"/>
      <c r="AC476" s="66"/>
    </row>
    <row r="477" spans="1:68" ht="16.5" hidden="1" customHeight="1" x14ac:dyDescent="0.25">
      <c r="A477" s="128" t="s">
        <v>751</v>
      </c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29"/>
      <c r="AB477" s="29"/>
      <c r="AC477" s="29"/>
    </row>
    <row r="478" spans="1:68" ht="14.25" hidden="1" customHeight="1" x14ac:dyDescent="0.25">
      <c r="A478" s="129" t="s">
        <v>115</v>
      </c>
      <c r="B478" s="129"/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30"/>
      <c r="AB478" s="30"/>
      <c r="AC478" s="30"/>
    </row>
    <row r="479" spans="1:68" ht="27" hidden="1" customHeight="1" x14ac:dyDescent="0.25">
      <c r="A479" s="31" t="s">
        <v>752</v>
      </c>
      <c r="B479" s="31" t="s">
        <v>753</v>
      </c>
      <c r="C479" s="32">
        <v>4301011763</v>
      </c>
      <c r="D479" s="130">
        <v>4640242181011</v>
      </c>
      <c r="E479" s="130"/>
      <c r="F479" s="33">
        <v>1.35</v>
      </c>
      <c r="G479" s="34">
        <v>8</v>
      </c>
      <c r="H479" s="33">
        <v>10.8</v>
      </c>
      <c r="I479" s="33">
        <v>11.21</v>
      </c>
      <c r="J479" s="34">
        <v>64</v>
      </c>
      <c r="K479" s="34" t="s">
        <v>118</v>
      </c>
      <c r="L479" s="34" t="s">
        <v>20</v>
      </c>
      <c r="M479" s="43" t="s">
        <v>86</v>
      </c>
      <c r="N479" s="43"/>
      <c r="O479" s="34">
        <v>55</v>
      </c>
      <c r="P479" s="13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9" s="132"/>
      <c r="R479" s="132"/>
      <c r="S479" s="132"/>
      <c r="T479" s="133"/>
      <c r="U479" s="59" t="s">
        <v>20</v>
      </c>
      <c r="V479" s="59" t="s">
        <v>20</v>
      </c>
      <c r="W479" s="60" t="s">
        <v>69</v>
      </c>
      <c r="X479" s="61">
        <v>0</v>
      </c>
      <c r="Y479" s="67">
        <f>IFERROR(IF(X479="",0,CEILING((X479/$H479),1)*$H479),"")</f>
        <v>0</v>
      </c>
      <c r="Z479" s="68" t="str">
        <f>IFERROR(IF(Y479=0,"",ROUNDUP(Y479/H479,0)*0.01898),"")</f>
        <v/>
      </c>
      <c r="AA479" s="69" t="s">
        <v>20</v>
      </c>
      <c r="AB479" s="70" t="s">
        <v>20</v>
      </c>
      <c r="AC479" s="71" t="s">
        <v>754</v>
      </c>
      <c r="AG479" s="74"/>
      <c r="AJ479" s="75" t="s">
        <v>20</v>
      </c>
      <c r="AK479" s="75">
        <v>0</v>
      </c>
      <c r="BB479" s="77" t="s">
        <v>1</v>
      </c>
      <c r="BM479" s="74">
        <f>IFERROR(X479*I479/H479,"0")</f>
        <v>0</v>
      </c>
      <c r="BN479" s="74">
        <f>IFERROR(Y479*I479/H479,"0")</f>
        <v>0</v>
      </c>
      <c r="BO479" s="74">
        <f>IFERROR(1/J479*(X479/H479),"0")</f>
        <v>0</v>
      </c>
      <c r="BP479" s="74">
        <f>IFERROR(1/J479*(Y479/H479),"0")</f>
        <v>0</v>
      </c>
    </row>
    <row r="480" spans="1:68" ht="27" customHeight="1" x14ac:dyDescent="0.25">
      <c r="A480" s="31" t="s">
        <v>755</v>
      </c>
      <c r="B480" s="31" t="s">
        <v>756</v>
      </c>
      <c r="C480" s="32">
        <v>4301011584</v>
      </c>
      <c r="D480" s="130">
        <v>4640242180564</v>
      </c>
      <c r="E480" s="130"/>
      <c r="F480" s="33">
        <v>1.5</v>
      </c>
      <c r="G480" s="34">
        <v>8</v>
      </c>
      <c r="H480" s="33">
        <v>12</v>
      </c>
      <c r="I480" s="33">
        <v>12.41</v>
      </c>
      <c r="J480" s="34">
        <v>64</v>
      </c>
      <c r="K480" s="34" t="s">
        <v>118</v>
      </c>
      <c r="L480" s="34" t="s">
        <v>20</v>
      </c>
      <c r="M480" s="43" t="s">
        <v>119</v>
      </c>
      <c r="N480" s="43"/>
      <c r="O480" s="34">
        <v>50</v>
      </c>
      <c r="P480" s="13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80" s="132"/>
      <c r="R480" s="132"/>
      <c r="S480" s="132"/>
      <c r="T480" s="133"/>
      <c r="U480" s="59" t="s">
        <v>20</v>
      </c>
      <c r="V480" s="59" t="s">
        <v>20</v>
      </c>
      <c r="W480" s="60" t="s">
        <v>69</v>
      </c>
      <c r="X480" s="61">
        <v>100</v>
      </c>
      <c r="Y480" s="67">
        <f>IFERROR(IF(X480="",0,CEILING((X480/$H480),1)*$H480),"")</f>
        <v>108</v>
      </c>
      <c r="Z480" s="68">
        <f>IFERROR(IF(Y480=0,"",ROUNDUP(Y480/H480,0)*0.01898),"")</f>
        <v>0.17082</v>
      </c>
      <c r="AA480" s="69" t="s">
        <v>20</v>
      </c>
      <c r="AB480" s="70" t="s">
        <v>20</v>
      </c>
      <c r="AC480" s="71" t="s">
        <v>757</v>
      </c>
      <c r="AG480" s="74"/>
      <c r="AJ480" s="75" t="s">
        <v>20</v>
      </c>
      <c r="AK480" s="75">
        <v>0</v>
      </c>
      <c r="BB480" s="77" t="s">
        <v>1</v>
      </c>
      <c r="BM480" s="74">
        <f>IFERROR(X480*I480/H480,"0")</f>
        <v>103.41666666666667</v>
      </c>
      <c r="BN480" s="74">
        <f>IFERROR(Y480*I480/H480,"0")</f>
        <v>111.69</v>
      </c>
      <c r="BO480" s="74">
        <f>IFERROR(1/J480*(X480/H480),"0")</f>
        <v>0.13020833333333334</v>
      </c>
      <c r="BP480" s="74">
        <f>IFERROR(1/J480*(Y480/H480),"0")</f>
        <v>0.140625</v>
      </c>
    </row>
    <row r="481" spans="1:68" ht="27" hidden="1" customHeight="1" x14ac:dyDescent="0.25">
      <c r="A481" s="31" t="s">
        <v>758</v>
      </c>
      <c r="B481" s="31" t="s">
        <v>759</v>
      </c>
      <c r="C481" s="32">
        <v>4301011764</v>
      </c>
      <c r="D481" s="130">
        <v>4640242181189</v>
      </c>
      <c r="E481" s="130"/>
      <c r="F481" s="33">
        <v>0.4</v>
      </c>
      <c r="G481" s="34">
        <v>10</v>
      </c>
      <c r="H481" s="33">
        <v>4</v>
      </c>
      <c r="I481" s="33">
        <v>4.1900000000000004</v>
      </c>
      <c r="J481" s="34">
        <v>132</v>
      </c>
      <c r="K481" s="34" t="s">
        <v>128</v>
      </c>
      <c r="L481" s="34" t="s">
        <v>20</v>
      </c>
      <c r="M481" s="43" t="s">
        <v>86</v>
      </c>
      <c r="N481" s="43"/>
      <c r="O481" s="34">
        <v>55</v>
      </c>
      <c r="P481" s="13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81" s="132"/>
      <c r="R481" s="132"/>
      <c r="S481" s="132"/>
      <c r="T481" s="133"/>
      <c r="U481" s="59" t="s">
        <v>20</v>
      </c>
      <c r="V481" s="59" t="s">
        <v>20</v>
      </c>
      <c r="W481" s="60" t="s">
        <v>69</v>
      </c>
      <c r="X481" s="61">
        <v>0</v>
      </c>
      <c r="Y481" s="67">
        <f>IFERROR(IF(X481="",0,CEILING((X481/$H481),1)*$H481),"")</f>
        <v>0</v>
      </c>
      <c r="Z481" s="68" t="str">
        <f>IFERROR(IF(Y481=0,"",ROUNDUP(Y481/H481,0)*0.00902),"")</f>
        <v/>
      </c>
      <c r="AA481" s="69" t="s">
        <v>20</v>
      </c>
      <c r="AB481" s="70" t="s">
        <v>20</v>
      </c>
      <c r="AC481" s="71" t="s">
        <v>754</v>
      </c>
      <c r="AG481" s="74"/>
      <c r="AJ481" s="75" t="s">
        <v>20</v>
      </c>
      <c r="AK481" s="75">
        <v>0</v>
      </c>
      <c r="BB481" s="77" t="s">
        <v>1</v>
      </c>
      <c r="BM481" s="74">
        <f>IFERROR(X481*I481/H481,"0")</f>
        <v>0</v>
      </c>
      <c r="BN481" s="74">
        <f>IFERROR(Y481*I481/H481,"0")</f>
        <v>0</v>
      </c>
      <c r="BO481" s="74">
        <f>IFERROR(1/J481*(X481/H481),"0")</f>
        <v>0</v>
      </c>
      <c r="BP481" s="74">
        <f>IFERROR(1/J481*(Y481/H481),"0")</f>
        <v>0</v>
      </c>
    </row>
    <row r="482" spans="1:68" x14ac:dyDescent="0.2">
      <c r="A482" s="146"/>
      <c r="B482" s="146"/>
      <c r="C482" s="146"/>
      <c r="D482" s="146"/>
      <c r="E482" s="146"/>
      <c r="F482" s="146"/>
      <c r="G482" s="146"/>
      <c r="H482" s="146"/>
      <c r="I482" s="146"/>
      <c r="J482" s="146"/>
      <c r="K482" s="146"/>
      <c r="L482" s="146"/>
      <c r="M482" s="146"/>
      <c r="N482" s="146"/>
      <c r="O482" s="147"/>
      <c r="P482" s="142" t="s">
        <v>75</v>
      </c>
      <c r="Q482" s="143"/>
      <c r="R482" s="143"/>
      <c r="S482" s="143"/>
      <c r="T482" s="143"/>
      <c r="U482" s="143"/>
      <c r="V482" s="144"/>
      <c r="W482" s="62" t="s">
        <v>76</v>
      </c>
      <c r="X482" s="63">
        <f>IFERROR(X479/H479,"0")+IFERROR(X480/H480,"0")+IFERROR(X481/H481,"0")</f>
        <v>8.3333333333333339</v>
      </c>
      <c r="Y482" s="63">
        <f>IFERROR(Y479/H479,"0")+IFERROR(Y480/H480,"0")+IFERROR(Y481/H481,"0")</f>
        <v>9</v>
      </c>
      <c r="Z482" s="63">
        <f>IFERROR(IF(Z479="",0,Z479),"0")+IFERROR(IF(Z480="",0,Z480),"0")+IFERROR(IF(Z481="",0,Z481),"0")</f>
        <v>0.17082</v>
      </c>
      <c r="AA482" s="72"/>
      <c r="AB482" s="72"/>
      <c r="AC482" s="72"/>
    </row>
    <row r="483" spans="1:68" x14ac:dyDescent="0.2">
      <c r="A483" s="146"/>
      <c r="B483" s="146"/>
      <c r="C483" s="146"/>
      <c r="D483" s="146"/>
      <c r="E483" s="146"/>
      <c r="F483" s="146"/>
      <c r="G483" s="146"/>
      <c r="H483" s="146"/>
      <c r="I483" s="146"/>
      <c r="J483" s="146"/>
      <c r="K483" s="146"/>
      <c r="L483" s="146"/>
      <c r="M483" s="146"/>
      <c r="N483" s="146"/>
      <c r="O483" s="147"/>
      <c r="P483" s="142" t="s">
        <v>75</v>
      </c>
      <c r="Q483" s="143"/>
      <c r="R483" s="143"/>
      <c r="S483" s="143"/>
      <c r="T483" s="143"/>
      <c r="U483" s="143"/>
      <c r="V483" s="144"/>
      <c r="W483" s="62" t="s">
        <v>69</v>
      </c>
      <c r="X483" s="63">
        <f>IFERROR(SUM(X479:X481),"0")</f>
        <v>100</v>
      </c>
      <c r="Y483" s="63">
        <f>IFERROR(SUM(Y479:Y481),"0")</f>
        <v>108</v>
      </c>
      <c r="Z483" s="62"/>
      <c r="AA483" s="72"/>
      <c r="AB483" s="72"/>
      <c r="AC483" s="72"/>
    </row>
    <row r="484" spans="1:68" ht="14.25" hidden="1" customHeight="1" x14ac:dyDescent="0.25">
      <c r="A484" s="129" t="s">
        <v>154</v>
      </c>
      <c r="B484" s="129"/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30"/>
      <c r="AB484" s="30"/>
      <c r="AC484" s="30"/>
    </row>
    <row r="485" spans="1:68" ht="27" hidden="1" customHeight="1" x14ac:dyDescent="0.25">
      <c r="A485" s="31" t="s">
        <v>760</v>
      </c>
      <c r="B485" s="31" t="s">
        <v>761</v>
      </c>
      <c r="C485" s="32">
        <v>4301020400</v>
      </c>
      <c r="D485" s="130">
        <v>4640242180519</v>
      </c>
      <c r="E485" s="130"/>
      <c r="F485" s="33">
        <v>1.5</v>
      </c>
      <c r="G485" s="34">
        <v>8</v>
      </c>
      <c r="H485" s="33">
        <v>12</v>
      </c>
      <c r="I485" s="33">
        <v>12.41</v>
      </c>
      <c r="J485" s="34">
        <v>64</v>
      </c>
      <c r="K485" s="34" t="s">
        <v>118</v>
      </c>
      <c r="L485" s="34" t="s">
        <v>20</v>
      </c>
      <c r="M485" s="43" t="s">
        <v>119</v>
      </c>
      <c r="N485" s="43"/>
      <c r="O485" s="34">
        <v>50</v>
      </c>
      <c r="P485" s="13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5" s="132"/>
      <c r="R485" s="132"/>
      <c r="S485" s="132"/>
      <c r="T485" s="133"/>
      <c r="U485" s="59" t="s">
        <v>20</v>
      </c>
      <c r="V485" s="59" t="s">
        <v>20</v>
      </c>
      <c r="W485" s="60" t="s">
        <v>69</v>
      </c>
      <c r="X485" s="61">
        <v>0</v>
      </c>
      <c r="Y485" s="67">
        <f>IFERROR(IF(X485="",0,CEILING((X485/$H485),1)*$H485),"")</f>
        <v>0</v>
      </c>
      <c r="Z485" s="68" t="str">
        <f>IFERROR(IF(Y485=0,"",ROUNDUP(Y485/H485,0)*0.01898),"")</f>
        <v/>
      </c>
      <c r="AA485" s="69" t="s">
        <v>20</v>
      </c>
      <c r="AB485" s="70" t="s">
        <v>20</v>
      </c>
      <c r="AC485" s="71" t="s">
        <v>762</v>
      </c>
      <c r="AG485" s="74"/>
      <c r="AJ485" s="75" t="s">
        <v>20</v>
      </c>
      <c r="AK485" s="75">
        <v>0</v>
      </c>
      <c r="BB485" s="77" t="s">
        <v>1</v>
      </c>
      <c r="BM485" s="74">
        <f>IFERROR(X485*I485/H485,"0")</f>
        <v>0</v>
      </c>
      <c r="BN485" s="74">
        <f>IFERROR(Y485*I485/H485,"0")</f>
        <v>0</v>
      </c>
      <c r="BO485" s="74">
        <f>IFERROR(1/J485*(X485/H485),"0")</f>
        <v>0</v>
      </c>
      <c r="BP485" s="74">
        <f>IFERROR(1/J485*(Y485/H485),"0")</f>
        <v>0</v>
      </c>
    </row>
    <row r="486" spans="1:68" hidden="1" x14ac:dyDescent="0.2">
      <c r="A486" s="146"/>
      <c r="B486" s="146"/>
      <c r="C486" s="146"/>
      <c r="D486" s="146"/>
      <c r="E486" s="146"/>
      <c r="F486" s="146"/>
      <c r="G486" s="146"/>
      <c r="H486" s="146"/>
      <c r="I486" s="146"/>
      <c r="J486" s="146"/>
      <c r="K486" s="146"/>
      <c r="L486" s="146"/>
      <c r="M486" s="146"/>
      <c r="N486" s="146"/>
      <c r="O486" s="147"/>
      <c r="P486" s="142" t="s">
        <v>75</v>
      </c>
      <c r="Q486" s="143"/>
      <c r="R486" s="143"/>
      <c r="S486" s="143"/>
      <c r="T486" s="143"/>
      <c r="U486" s="143"/>
      <c r="V486" s="144"/>
      <c r="W486" s="62" t="s">
        <v>76</v>
      </c>
      <c r="X486" s="63">
        <f>IFERROR(X485/H485,"0")</f>
        <v>0</v>
      </c>
      <c r="Y486" s="63">
        <f>IFERROR(Y485/H485,"0")</f>
        <v>0</v>
      </c>
      <c r="Z486" s="63">
        <f>IFERROR(IF(Z485="",0,Z485),"0")</f>
        <v>0</v>
      </c>
      <c r="AA486" s="72"/>
      <c r="AB486" s="72"/>
      <c r="AC486" s="72"/>
    </row>
    <row r="487" spans="1:68" hidden="1" x14ac:dyDescent="0.2">
      <c r="A487" s="146"/>
      <c r="B487" s="146"/>
      <c r="C487" s="146"/>
      <c r="D487" s="146"/>
      <c r="E487" s="146"/>
      <c r="F487" s="146"/>
      <c r="G487" s="146"/>
      <c r="H487" s="146"/>
      <c r="I487" s="146"/>
      <c r="J487" s="146"/>
      <c r="K487" s="146"/>
      <c r="L487" s="146"/>
      <c r="M487" s="146"/>
      <c r="N487" s="146"/>
      <c r="O487" s="147"/>
      <c r="P487" s="142" t="s">
        <v>75</v>
      </c>
      <c r="Q487" s="143"/>
      <c r="R487" s="143"/>
      <c r="S487" s="143"/>
      <c r="T487" s="143"/>
      <c r="U487" s="143"/>
      <c r="V487" s="144"/>
      <c r="W487" s="62" t="s">
        <v>69</v>
      </c>
      <c r="X487" s="63">
        <f>IFERROR(SUM(X485:X485),"0")</f>
        <v>0</v>
      </c>
      <c r="Y487" s="63">
        <f>IFERROR(SUM(Y485:Y485),"0")</f>
        <v>0</v>
      </c>
      <c r="Z487" s="62"/>
      <c r="AA487" s="72"/>
      <c r="AB487" s="72"/>
      <c r="AC487" s="72"/>
    </row>
    <row r="488" spans="1:68" ht="14.25" hidden="1" customHeight="1" x14ac:dyDescent="0.25">
      <c r="A488" s="129" t="s">
        <v>64</v>
      </c>
      <c r="B488" s="129"/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30"/>
      <c r="AB488" s="30"/>
      <c r="AC488" s="30"/>
    </row>
    <row r="489" spans="1:68" ht="27" hidden="1" customHeight="1" x14ac:dyDescent="0.25">
      <c r="A489" s="31" t="s">
        <v>763</v>
      </c>
      <c r="B489" s="31" t="s">
        <v>764</v>
      </c>
      <c r="C489" s="32">
        <v>4301031467</v>
      </c>
      <c r="D489" s="130">
        <v>4640242180595</v>
      </c>
      <c r="E489" s="130"/>
      <c r="F489" s="33">
        <v>0.8</v>
      </c>
      <c r="G489" s="34">
        <v>6</v>
      </c>
      <c r="H489" s="33">
        <v>4.8</v>
      </c>
      <c r="I489" s="33">
        <v>5.05</v>
      </c>
      <c r="J489" s="34">
        <v>132</v>
      </c>
      <c r="K489" s="34" t="s">
        <v>128</v>
      </c>
      <c r="L489" s="34" t="s">
        <v>20</v>
      </c>
      <c r="M489" s="43" t="s">
        <v>68</v>
      </c>
      <c r="N489" s="43"/>
      <c r="O489" s="34">
        <v>40</v>
      </c>
      <c r="P489" s="131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9" s="132"/>
      <c r="R489" s="132"/>
      <c r="S489" s="132"/>
      <c r="T489" s="133"/>
      <c r="U489" s="59" t="s">
        <v>20</v>
      </c>
      <c r="V489" s="59" t="s">
        <v>20</v>
      </c>
      <c r="W489" s="60" t="s">
        <v>69</v>
      </c>
      <c r="X489" s="61">
        <v>0</v>
      </c>
      <c r="Y489" s="67">
        <f>IFERROR(IF(X489="",0,CEILING((X489/$H489),1)*$H489),"")</f>
        <v>0</v>
      </c>
      <c r="Z489" s="68" t="str">
        <f>IFERROR(IF(Y489=0,"",ROUNDUP(Y489/H489,0)*0.00902),"")</f>
        <v/>
      </c>
      <c r="AA489" s="69" t="s">
        <v>20</v>
      </c>
      <c r="AB489" s="70" t="s">
        <v>20</v>
      </c>
      <c r="AC489" s="71" t="s">
        <v>765</v>
      </c>
      <c r="AG489" s="74"/>
      <c r="AJ489" s="75" t="s">
        <v>20</v>
      </c>
      <c r="AK489" s="75">
        <v>0</v>
      </c>
      <c r="BB489" s="77" t="s">
        <v>1</v>
      </c>
      <c r="BM489" s="74">
        <f>IFERROR(X489*I489/H489,"0")</f>
        <v>0</v>
      </c>
      <c r="BN489" s="74">
        <f>IFERROR(Y489*I489/H489,"0")</f>
        <v>0</v>
      </c>
      <c r="BO489" s="74">
        <f>IFERROR(1/J489*(X489/H489),"0")</f>
        <v>0</v>
      </c>
      <c r="BP489" s="74">
        <f>IFERROR(1/J489*(Y489/H489),"0")</f>
        <v>0</v>
      </c>
    </row>
    <row r="490" spans="1:68" hidden="1" x14ac:dyDescent="0.2">
      <c r="A490" s="146"/>
      <c r="B490" s="146"/>
      <c r="C490" s="146"/>
      <c r="D490" s="146"/>
      <c r="E490" s="146"/>
      <c r="F490" s="146"/>
      <c r="G490" s="146"/>
      <c r="H490" s="146"/>
      <c r="I490" s="146"/>
      <c r="J490" s="146"/>
      <c r="K490" s="146"/>
      <c r="L490" s="146"/>
      <c r="M490" s="146"/>
      <c r="N490" s="146"/>
      <c r="O490" s="147"/>
      <c r="P490" s="142" t="s">
        <v>75</v>
      </c>
      <c r="Q490" s="143"/>
      <c r="R490" s="143"/>
      <c r="S490" s="143"/>
      <c r="T490" s="143"/>
      <c r="U490" s="143"/>
      <c r="V490" s="144"/>
      <c r="W490" s="62" t="s">
        <v>76</v>
      </c>
      <c r="X490" s="63">
        <f>IFERROR(X489/H489,"0")</f>
        <v>0</v>
      </c>
      <c r="Y490" s="63">
        <f>IFERROR(Y489/H489,"0")</f>
        <v>0</v>
      </c>
      <c r="Z490" s="63">
        <f>IFERROR(IF(Z489="",0,Z489),"0")</f>
        <v>0</v>
      </c>
      <c r="AA490" s="72"/>
      <c r="AB490" s="72"/>
      <c r="AC490" s="72"/>
    </row>
    <row r="491" spans="1:68" hidden="1" x14ac:dyDescent="0.2">
      <c r="A491" s="146"/>
      <c r="B491" s="146"/>
      <c r="C491" s="146"/>
      <c r="D491" s="146"/>
      <c r="E491" s="146"/>
      <c r="F491" s="146"/>
      <c r="G491" s="146"/>
      <c r="H491" s="146"/>
      <c r="I491" s="146"/>
      <c r="J491" s="146"/>
      <c r="K491" s="146"/>
      <c r="L491" s="146"/>
      <c r="M491" s="146"/>
      <c r="N491" s="146"/>
      <c r="O491" s="147"/>
      <c r="P491" s="142" t="s">
        <v>75</v>
      </c>
      <c r="Q491" s="143"/>
      <c r="R491" s="143"/>
      <c r="S491" s="143"/>
      <c r="T491" s="143"/>
      <c r="U491" s="143"/>
      <c r="V491" s="144"/>
      <c r="W491" s="62" t="s">
        <v>69</v>
      </c>
      <c r="X491" s="63">
        <f>IFERROR(SUM(X489:X489),"0")</f>
        <v>0</v>
      </c>
      <c r="Y491" s="63">
        <f>IFERROR(SUM(Y489:Y489),"0")</f>
        <v>0</v>
      </c>
      <c r="Z491" s="62"/>
      <c r="AA491" s="72"/>
      <c r="AB491" s="72"/>
      <c r="AC491" s="72"/>
    </row>
    <row r="492" spans="1:68" ht="14.25" hidden="1" customHeight="1" x14ac:dyDescent="0.25">
      <c r="A492" s="129" t="s">
        <v>77</v>
      </c>
      <c r="B492" s="129"/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30"/>
      <c r="AB492" s="30"/>
      <c r="AC492" s="30"/>
    </row>
    <row r="493" spans="1:68" ht="27" customHeight="1" x14ac:dyDescent="0.25">
      <c r="A493" s="31" t="s">
        <v>766</v>
      </c>
      <c r="B493" s="31" t="s">
        <v>767</v>
      </c>
      <c r="C493" s="32">
        <v>4301052046</v>
      </c>
      <c r="D493" s="130">
        <v>4640242180533</v>
      </c>
      <c r="E493" s="130"/>
      <c r="F493" s="33">
        <v>1.5</v>
      </c>
      <c r="G493" s="34">
        <v>6</v>
      </c>
      <c r="H493" s="33">
        <v>9</v>
      </c>
      <c r="I493" s="33">
        <v>9.4939999999999998</v>
      </c>
      <c r="J493" s="34">
        <v>64</v>
      </c>
      <c r="K493" s="34" t="s">
        <v>118</v>
      </c>
      <c r="L493" s="34" t="s">
        <v>20</v>
      </c>
      <c r="M493" s="43" t="s">
        <v>80</v>
      </c>
      <c r="N493" s="43"/>
      <c r="O493" s="34">
        <v>45</v>
      </c>
      <c r="P493" s="13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93" s="132"/>
      <c r="R493" s="132"/>
      <c r="S493" s="132"/>
      <c r="T493" s="133"/>
      <c r="U493" s="59" t="s">
        <v>20</v>
      </c>
      <c r="V493" s="59" t="s">
        <v>20</v>
      </c>
      <c r="W493" s="60" t="s">
        <v>69</v>
      </c>
      <c r="X493" s="61">
        <v>300</v>
      </c>
      <c r="Y493" s="67">
        <f>IFERROR(IF(X493="",0,CEILING((X493/$H493),1)*$H493),"")</f>
        <v>306</v>
      </c>
      <c r="Z493" s="68">
        <f>IFERROR(IF(Y493=0,"",ROUNDUP(Y493/H493,0)*0.01898),"")</f>
        <v>0.64532</v>
      </c>
      <c r="AA493" s="69" t="s">
        <v>20</v>
      </c>
      <c r="AB493" s="70" t="s">
        <v>20</v>
      </c>
      <c r="AC493" s="71" t="s">
        <v>768</v>
      </c>
      <c r="AG493" s="74"/>
      <c r="AJ493" s="75" t="s">
        <v>20</v>
      </c>
      <c r="AK493" s="75">
        <v>0</v>
      </c>
      <c r="BB493" s="77" t="s">
        <v>1</v>
      </c>
      <c r="BM493" s="74">
        <f>IFERROR(X493*I493/H493,"0")</f>
        <v>316.46666666666664</v>
      </c>
      <c r="BN493" s="74">
        <f>IFERROR(Y493*I493/H493,"0")</f>
        <v>322.79599999999999</v>
      </c>
      <c r="BO493" s="74">
        <f>IFERROR(1/J493*(X493/H493),"0")</f>
        <v>0.52083333333333337</v>
      </c>
      <c r="BP493" s="74">
        <f>IFERROR(1/J493*(Y493/H493),"0")</f>
        <v>0.53125</v>
      </c>
    </row>
    <row r="494" spans="1:68" x14ac:dyDescent="0.2">
      <c r="A494" s="146"/>
      <c r="B494" s="146"/>
      <c r="C494" s="146"/>
      <c r="D494" s="146"/>
      <c r="E494" s="146"/>
      <c r="F494" s="146"/>
      <c r="G494" s="146"/>
      <c r="H494" s="146"/>
      <c r="I494" s="146"/>
      <c r="J494" s="146"/>
      <c r="K494" s="146"/>
      <c r="L494" s="146"/>
      <c r="M494" s="146"/>
      <c r="N494" s="146"/>
      <c r="O494" s="147"/>
      <c r="P494" s="142" t="s">
        <v>75</v>
      </c>
      <c r="Q494" s="143"/>
      <c r="R494" s="143"/>
      <c r="S494" s="143"/>
      <c r="T494" s="143"/>
      <c r="U494" s="143"/>
      <c r="V494" s="144"/>
      <c r="W494" s="62" t="s">
        <v>76</v>
      </c>
      <c r="X494" s="63">
        <f>IFERROR(X493/H493,"0")</f>
        <v>33.333333333333336</v>
      </c>
      <c r="Y494" s="63">
        <f>IFERROR(Y493/H493,"0")</f>
        <v>34</v>
      </c>
      <c r="Z494" s="63">
        <f>IFERROR(IF(Z493="",0,Z493),"0")</f>
        <v>0.64532</v>
      </c>
      <c r="AA494" s="72"/>
      <c r="AB494" s="72"/>
      <c r="AC494" s="72"/>
    </row>
    <row r="495" spans="1:68" x14ac:dyDescent="0.2">
      <c r="A495" s="146"/>
      <c r="B495" s="146"/>
      <c r="C495" s="146"/>
      <c r="D495" s="146"/>
      <c r="E495" s="146"/>
      <c r="F495" s="146"/>
      <c r="G495" s="146"/>
      <c r="H495" s="146"/>
      <c r="I495" s="146"/>
      <c r="J495" s="146"/>
      <c r="K495" s="146"/>
      <c r="L495" s="146"/>
      <c r="M495" s="146"/>
      <c r="N495" s="146"/>
      <c r="O495" s="147"/>
      <c r="P495" s="142" t="s">
        <v>75</v>
      </c>
      <c r="Q495" s="143"/>
      <c r="R495" s="143"/>
      <c r="S495" s="143"/>
      <c r="T495" s="143"/>
      <c r="U495" s="143"/>
      <c r="V495" s="144"/>
      <c r="W495" s="62" t="s">
        <v>69</v>
      </c>
      <c r="X495" s="63">
        <f>IFERROR(SUM(X493:X493),"0")</f>
        <v>300</v>
      </c>
      <c r="Y495" s="63">
        <f>IFERROR(SUM(Y493:Y493),"0")</f>
        <v>306</v>
      </c>
      <c r="Z495" s="62"/>
      <c r="AA495" s="72"/>
      <c r="AB495" s="72"/>
      <c r="AC495" s="72"/>
    </row>
    <row r="496" spans="1:68" ht="14.25" hidden="1" customHeight="1" x14ac:dyDescent="0.25">
      <c r="A496" s="129" t="s">
        <v>179</v>
      </c>
      <c r="B496" s="129"/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30"/>
      <c r="AB496" s="30"/>
      <c r="AC496" s="30"/>
    </row>
    <row r="497" spans="1:68" ht="27" hidden="1" customHeight="1" x14ac:dyDescent="0.25">
      <c r="A497" s="31" t="s">
        <v>769</v>
      </c>
      <c r="B497" s="31" t="s">
        <v>770</v>
      </c>
      <c r="C497" s="32">
        <v>4301060491</v>
      </c>
      <c r="D497" s="130">
        <v>4640242180120</v>
      </c>
      <c r="E497" s="130"/>
      <c r="F497" s="33">
        <v>1.5</v>
      </c>
      <c r="G497" s="34">
        <v>6</v>
      </c>
      <c r="H497" s="33">
        <v>9</v>
      </c>
      <c r="I497" s="33">
        <v>9.41</v>
      </c>
      <c r="J497" s="34">
        <v>64</v>
      </c>
      <c r="K497" s="34" t="s">
        <v>118</v>
      </c>
      <c r="L497" s="34" t="s">
        <v>20</v>
      </c>
      <c r="M497" s="43" t="s">
        <v>86</v>
      </c>
      <c r="N497" s="43"/>
      <c r="O497" s="34">
        <v>40</v>
      </c>
      <c r="P497" s="13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7" s="132"/>
      <c r="R497" s="132"/>
      <c r="S497" s="132"/>
      <c r="T497" s="133"/>
      <c r="U497" s="59" t="s">
        <v>20</v>
      </c>
      <c r="V497" s="59" t="s">
        <v>20</v>
      </c>
      <c r="W497" s="60" t="s">
        <v>69</v>
      </c>
      <c r="X497" s="61">
        <v>0</v>
      </c>
      <c r="Y497" s="67">
        <f>IFERROR(IF(X497="",0,CEILING((X497/$H497),1)*$H497),"")</f>
        <v>0</v>
      </c>
      <c r="Z497" s="68" t="str">
        <f>IFERROR(IF(Y497=0,"",ROUNDUP(Y497/H497,0)*0.01898),"")</f>
        <v/>
      </c>
      <c r="AA497" s="69" t="s">
        <v>20</v>
      </c>
      <c r="AB497" s="70" t="s">
        <v>20</v>
      </c>
      <c r="AC497" s="71" t="s">
        <v>771</v>
      </c>
      <c r="AG497" s="74"/>
      <c r="AJ497" s="75" t="s">
        <v>20</v>
      </c>
      <c r="AK497" s="75">
        <v>0</v>
      </c>
      <c r="BB497" s="77" t="s">
        <v>1</v>
      </c>
      <c r="BM497" s="74">
        <f>IFERROR(X497*I497/H497,"0")</f>
        <v>0</v>
      </c>
      <c r="BN497" s="74">
        <f>IFERROR(Y497*I497/H497,"0")</f>
        <v>0</v>
      </c>
      <c r="BO497" s="74">
        <f>IFERROR(1/J497*(X497/H497),"0")</f>
        <v>0</v>
      </c>
      <c r="BP497" s="74">
        <f>IFERROR(1/J497*(Y497/H497),"0")</f>
        <v>0</v>
      </c>
    </row>
    <row r="498" spans="1:68" ht="27" hidden="1" customHeight="1" x14ac:dyDescent="0.25">
      <c r="A498" s="31" t="s">
        <v>772</v>
      </c>
      <c r="B498" s="31" t="s">
        <v>773</v>
      </c>
      <c r="C498" s="32">
        <v>4301060493</v>
      </c>
      <c r="D498" s="130">
        <v>4640242180137</v>
      </c>
      <c r="E498" s="130"/>
      <c r="F498" s="33">
        <v>1.5</v>
      </c>
      <c r="G498" s="34">
        <v>6</v>
      </c>
      <c r="H498" s="33">
        <v>9</v>
      </c>
      <c r="I498" s="33">
        <v>9.41</v>
      </c>
      <c r="J498" s="34">
        <v>64</v>
      </c>
      <c r="K498" s="34" t="s">
        <v>118</v>
      </c>
      <c r="L498" s="34" t="s">
        <v>20</v>
      </c>
      <c r="M498" s="43" t="s">
        <v>86</v>
      </c>
      <c r="N498" s="43"/>
      <c r="O498" s="34">
        <v>40</v>
      </c>
      <c r="P498" s="13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8" s="132"/>
      <c r="R498" s="132"/>
      <c r="S498" s="132"/>
      <c r="T498" s="133"/>
      <c r="U498" s="59" t="s">
        <v>20</v>
      </c>
      <c r="V498" s="59" t="s">
        <v>20</v>
      </c>
      <c r="W498" s="60" t="s">
        <v>69</v>
      </c>
      <c r="X498" s="61">
        <v>0</v>
      </c>
      <c r="Y498" s="67">
        <f>IFERROR(IF(X498="",0,CEILING((X498/$H498),1)*$H498),"")</f>
        <v>0</v>
      </c>
      <c r="Z498" s="68" t="str">
        <f>IFERROR(IF(Y498=0,"",ROUNDUP(Y498/H498,0)*0.01898),"")</f>
        <v/>
      </c>
      <c r="AA498" s="69" t="s">
        <v>20</v>
      </c>
      <c r="AB498" s="70" t="s">
        <v>20</v>
      </c>
      <c r="AC498" s="71" t="s">
        <v>774</v>
      </c>
      <c r="AG498" s="74"/>
      <c r="AJ498" s="75" t="s">
        <v>20</v>
      </c>
      <c r="AK498" s="75">
        <v>0</v>
      </c>
      <c r="BB498" s="77" t="s">
        <v>1</v>
      </c>
      <c r="BM498" s="74">
        <f>IFERROR(X498*I498/H498,"0")</f>
        <v>0</v>
      </c>
      <c r="BN498" s="74">
        <f>IFERROR(Y498*I498/H498,"0")</f>
        <v>0</v>
      </c>
      <c r="BO498" s="74">
        <f>IFERROR(1/J498*(X498/H498),"0")</f>
        <v>0</v>
      </c>
      <c r="BP498" s="74">
        <f>IFERROR(1/J498*(Y498/H498),"0")</f>
        <v>0</v>
      </c>
    </row>
    <row r="499" spans="1:68" hidden="1" x14ac:dyDescent="0.2">
      <c r="A499" s="146"/>
      <c r="B499" s="146"/>
      <c r="C499" s="146"/>
      <c r="D499" s="146"/>
      <c r="E499" s="146"/>
      <c r="F499" s="146"/>
      <c r="G499" s="146"/>
      <c r="H499" s="146"/>
      <c r="I499" s="146"/>
      <c r="J499" s="146"/>
      <c r="K499" s="146"/>
      <c r="L499" s="146"/>
      <c r="M499" s="146"/>
      <c r="N499" s="146"/>
      <c r="O499" s="147"/>
      <c r="P499" s="142" t="s">
        <v>75</v>
      </c>
      <c r="Q499" s="143"/>
      <c r="R499" s="143"/>
      <c r="S499" s="143"/>
      <c r="T499" s="143"/>
      <c r="U499" s="143"/>
      <c r="V499" s="144"/>
      <c r="W499" s="62" t="s">
        <v>76</v>
      </c>
      <c r="X499" s="63">
        <f>IFERROR(X497/H497,"0")+IFERROR(X498/H498,"0")</f>
        <v>0</v>
      </c>
      <c r="Y499" s="63">
        <f>IFERROR(Y497/H497,"0")+IFERROR(Y498/H498,"0")</f>
        <v>0</v>
      </c>
      <c r="Z499" s="63">
        <f>IFERROR(IF(Z497="",0,Z497),"0")+IFERROR(IF(Z498="",0,Z498),"0")</f>
        <v>0</v>
      </c>
      <c r="AA499" s="72"/>
      <c r="AB499" s="72"/>
      <c r="AC499" s="72"/>
    </row>
    <row r="500" spans="1:68" hidden="1" x14ac:dyDescent="0.2">
      <c r="A500" s="146"/>
      <c r="B500" s="146"/>
      <c r="C500" s="146"/>
      <c r="D500" s="146"/>
      <c r="E500" s="146"/>
      <c r="F500" s="146"/>
      <c r="G500" s="146"/>
      <c r="H500" s="146"/>
      <c r="I500" s="146"/>
      <c r="J500" s="146"/>
      <c r="K500" s="146"/>
      <c r="L500" s="146"/>
      <c r="M500" s="146"/>
      <c r="N500" s="146"/>
      <c r="O500" s="147"/>
      <c r="P500" s="142" t="s">
        <v>75</v>
      </c>
      <c r="Q500" s="143"/>
      <c r="R500" s="143"/>
      <c r="S500" s="143"/>
      <c r="T500" s="143"/>
      <c r="U500" s="143"/>
      <c r="V500" s="144"/>
      <c r="W500" s="62" t="s">
        <v>69</v>
      </c>
      <c r="X500" s="63">
        <f>IFERROR(SUM(X497:X498),"0")</f>
        <v>0</v>
      </c>
      <c r="Y500" s="63">
        <f>IFERROR(SUM(Y497:Y498),"0")</f>
        <v>0</v>
      </c>
      <c r="Z500" s="62"/>
      <c r="AA500" s="72"/>
      <c r="AB500" s="72"/>
      <c r="AC500" s="72"/>
    </row>
    <row r="501" spans="1:68" ht="16.5" hidden="1" customHeight="1" x14ac:dyDescent="0.25">
      <c r="A501" s="128" t="s">
        <v>775</v>
      </c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29"/>
      <c r="AB501" s="29"/>
      <c r="AC501" s="29"/>
    </row>
    <row r="502" spans="1:68" ht="14.25" hidden="1" customHeight="1" x14ac:dyDescent="0.25">
      <c r="A502" s="129" t="s">
        <v>154</v>
      </c>
      <c r="B502" s="129"/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30"/>
      <c r="AB502" s="30"/>
      <c r="AC502" s="30"/>
    </row>
    <row r="503" spans="1:68" ht="27" hidden="1" customHeight="1" x14ac:dyDescent="0.25">
      <c r="A503" s="31" t="s">
        <v>776</v>
      </c>
      <c r="B503" s="31" t="s">
        <v>777</v>
      </c>
      <c r="C503" s="32">
        <v>4301020314</v>
      </c>
      <c r="D503" s="130">
        <v>4640242180090</v>
      </c>
      <c r="E503" s="130"/>
      <c r="F503" s="33">
        <v>1.5</v>
      </c>
      <c r="G503" s="34">
        <v>8</v>
      </c>
      <c r="H503" s="33">
        <v>12</v>
      </c>
      <c r="I503" s="33">
        <v>12.41</v>
      </c>
      <c r="J503" s="34">
        <v>64</v>
      </c>
      <c r="K503" s="34" t="s">
        <v>118</v>
      </c>
      <c r="L503" s="34" t="s">
        <v>20</v>
      </c>
      <c r="M503" s="43" t="s">
        <v>119</v>
      </c>
      <c r="N503" s="43"/>
      <c r="O503" s="34">
        <v>50</v>
      </c>
      <c r="P503" s="1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503" s="132"/>
      <c r="R503" s="132"/>
      <c r="S503" s="132"/>
      <c r="T503" s="133"/>
      <c r="U503" s="59" t="s">
        <v>20</v>
      </c>
      <c r="V503" s="59" t="s">
        <v>20</v>
      </c>
      <c r="W503" s="60" t="s">
        <v>69</v>
      </c>
      <c r="X503" s="61">
        <v>0</v>
      </c>
      <c r="Y503" s="67">
        <f>IFERROR(IF(X503="",0,CEILING((X503/$H503),1)*$H503),"")</f>
        <v>0</v>
      </c>
      <c r="Z503" s="68" t="str">
        <f>IFERROR(IF(Y503=0,"",ROUNDUP(Y503/H503,0)*0.01898),"")</f>
        <v/>
      </c>
      <c r="AA503" s="69" t="s">
        <v>20</v>
      </c>
      <c r="AB503" s="70" t="s">
        <v>20</v>
      </c>
      <c r="AC503" s="71" t="s">
        <v>778</v>
      </c>
      <c r="AG503" s="74"/>
      <c r="AJ503" s="75" t="s">
        <v>20</v>
      </c>
      <c r="AK503" s="75">
        <v>0</v>
      </c>
      <c r="BB503" s="77" t="s">
        <v>1</v>
      </c>
      <c r="BM503" s="74">
        <f>IFERROR(X503*I503/H503,"0")</f>
        <v>0</v>
      </c>
      <c r="BN503" s="74">
        <f>IFERROR(Y503*I503/H503,"0")</f>
        <v>0</v>
      </c>
      <c r="BO503" s="74">
        <f>IFERROR(1/J503*(X503/H503),"0")</f>
        <v>0</v>
      </c>
      <c r="BP503" s="74">
        <f>IFERROR(1/J503*(Y503/H503),"0")</f>
        <v>0</v>
      </c>
    </row>
    <row r="504" spans="1:68" hidden="1" x14ac:dyDescent="0.2">
      <c r="A504" s="146"/>
      <c r="B504" s="146"/>
      <c r="C504" s="146"/>
      <c r="D504" s="146"/>
      <c r="E504" s="146"/>
      <c r="F504" s="146"/>
      <c r="G504" s="146"/>
      <c r="H504" s="146"/>
      <c r="I504" s="146"/>
      <c r="J504" s="146"/>
      <c r="K504" s="146"/>
      <c r="L504" s="146"/>
      <c r="M504" s="146"/>
      <c r="N504" s="146"/>
      <c r="O504" s="147"/>
      <c r="P504" s="142" t="s">
        <v>75</v>
      </c>
      <c r="Q504" s="143"/>
      <c r="R504" s="143"/>
      <c r="S504" s="143"/>
      <c r="T504" s="143"/>
      <c r="U504" s="143"/>
      <c r="V504" s="144"/>
      <c r="W504" s="62" t="s">
        <v>76</v>
      </c>
      <c r="X504" s="63">
        <f>IFERROR(X503/H503,"0")</f>
        <v>0</v>
      </c>
      <c r="Y504" s="63">
        <f>IFERROR(Y503/H503,"0")</f>
        <v>0</v>
      </c>
      <c r="Z504" s="63">
        <f>IFERROR(IF(Z503="",0,Z503),"0")</f>
        <v>0</v>
      </c>
      <c r="AA504" s="72"/>
      <c r="AB504" s="72"/>
      <c r="AC504" s="72"/>
    </row>
    <row r="505" spans="1:68" hidden="1" x14ac:dyDescent="0.2">
      <c r="A505" s="146"/>
      <c r="B505" s="146"/>
      <c r="C505" s="146"/>
      <c r="D505" s="146"/>
      <c r="E505" s="146"/>
      <c r="F505" s="146"/>
      <c r="G505" s="146"/>
      <c r="H505" s="146"/>
      <c r="I505" s="146"/>
      <c r="J505" s="146"/>
      <c r="K505" s="146"/>
      <c r="L505" s="146"/>
      <c r="M505" s="146"/>
      <c r="N505" s="146"/>
      <c r="O505" s="147"/>
      <c r="P505" s="142" t="s">
        <v>75</v>
      </c>
      <c r="Q505" s="143"/>
      <c r="R505" s="143"/>
      <c r="S505" s="143"/>
      <c r="T505" s="143"/>
      <c r="U505" s="143"/>
      <c r="V505" s="144"/>
      <c r="W505" s="62" t="s">
        <v>69</v>
      </c>
      <c r="X505" s="63">
        <f>IFERROR(SUM(X503:X503),"0")</f>
        <v>0</v>
      </c>
      <c r="Y505" s="63">
        <f>IFERROR(SUM(Y503:Y503),"0")</f>
        <v>0</v>
      </c>
      <c r="Z505" s="62"/>
      <c r="AA505" s="72"/>
      <c r="AB505" s="72"/>
      <c r="AC505" s="72"/>
    </row>
    <row r="506" spans="1:68" ht="15" customHeight="1" x14ac:dyDescent="0.2">
      <c r="A506" s="146"/>
      <c r="B506" s="146"/>
      <c r="C506" s="146"/>
      <c r="D506" s="146"/>
      <c r="E506" s="146"/>
      <c r="F506" s="146"/>
      <c r="G506" s="146"/>
      <c r="H506" s="146"/>
      <c r="I506" s="146"/>
      <c r="J506" s="146"/>
      <c r="K506" s="146"/>
      <c r="L506" s="146"/>
      <c r="M506" s="146"/>
      <c r="N506" s="146"/>
      <c r="O506" s="148"/>
      <c r="P506" s="157" t="s">
        <v>779</v>
      </c>
      <c r="Q506" s="158"/>
      <c r="R506" s="158"/>
      <c r="S506" s="158"/>
      <c r="T506" s="158"/>
      <c r="U506" s="158"/>
      <c r="V506" s="159"/>
      <c r="W506" s="62" t="s">
        <v>69</v>
      </c>
      <c r="X506" s="63">
        <f>IFERROR(X25+X35+X39+X45+X54+X58+X68+X75+X79+X86+X91+X99+X106+X115+X122+X129+X133+X139+X144+X149+X155+X159+X172+X176+X182+X198+X204+X208+X214+X219+X230+X242+X247+X258+X262+X266+X274+X283+X291+X298+X305+X310+X322+X332+X339+X345+X352+X358+X365+X377+X382+X387+X391+X397+X401+X407+X421+X426+X431+X437+X442+X459+X465+X475+X483+X487+X491+X495+X500+X505,"0")</f>
        <v>13000</v>
      </c>
      <c r="Y506" s="63">
        <f>IFERROR(Y25+Y35+Y39+Y45+Y54+Y58+Y68+Y75+Y79+Y86+Y91+Y99+Y106+Y115+Y122+Y129+Y133+Y139+Y144+Y149+Y155+Y159+Y172+Y176+Y182+Y198+Y204+Y208+Y214+Y219+Y230+Y242+Y247+Y258+Y262+Y266+Y274+Y283+Y291+Y298+Y305+Y310+Y322+Y332+Y339+Y345+Y352+Y358+Y365+Y377+Y382+Y387+Y391+Y397+Y401+Y407+Y421+Y426+Y431+Y437+Y442+Y459+Y465+Y475+Y483+Y487+Y491+Y495+Y500+Y505,"0")</f>
        <v>13139.839999999998</v>
      </c>
      <c r="Z506" s="62"/>
      <c r="AA506" s="72"/>
      <c r="AB506" s="72"/>
      <c r="AC506" s="72"/>
    </row>
    <row r="507" spans="1:68" x14ac:dyDescent="0.2">
      <c r="A507" s="146"/>
      <c r="B507" s="146"/>
      <c r="C507" s="146"/>
      <c r="D507" s="146"/>
      <c r="E507" s="146"/>
      <c r="F507" s="146"/>
      <c r="G507" s="146"/>
      <c r="H507" s="146"/>
      <c r="I507" s="146"/>
      <c r="J507" s="146"/>
      <c r="K507" s="146"/>
      <c r="L507" s="146"/>
      <c r="M507" s="146"/>
      <c r="N507" s="146"/>
      <c r="O507" s="148"/>
      <c r="P507" s="157" t="s">
        <v>780</v>
      </c>
      <c r="Q507" s="158"/>
      <c r="R507" s="158"/>
      <c r="S507" s="158"/>
      <c r="T507" s="158"/>
      <c r="U507" s="158"/>
      <c r="V507" s="159"/>
      <c r="W507" s="62" t="s">
        <v>69</v>
      </c>
      <c r="X507" s="63">
        <f>IFERROR(SUM(BM22:BM503),"0")</f>
        <v>13925.573119951569</v>
      </c>
      <c r="Y507" s="63">
        <f>IFERROR(SUM(BN22:BN503),"0")</f>
        <v>14073.650000000001</v>
      </c>
      <c r="Z507" s="62"/>
      <c r="AA507" s="72"/>
      <c r="AB507" s="72"/>
      <c r="AC507" s="72"/>
    </row>
    <row r="508" spans="1:68" x14ac:dyDescent="0.2">
      <c r="A508" s="146"/>
      <c r="B508" s="146"/>
      <c r="C508" s="146"/>
      <c r="D508" s="146"/>
      <c r="E508" s="146"/>
      <c r="F508" s="146"/>
      <c r="G508" s="146"/>
      <c r="H508" s="146"/>
      <c r="I508" s="146"/>
      <c r="J508" s="146"/>
      <c r="K508" s="146"/>
      <c r="L508" s="146"/>
      <c r="M508" s="146"/>
      <c r="N508" s="146"/>
      <c r="O508" s="148"/>
      <c r="P508" s="157" t="s">
        <v>781</v>
      </c>
      <c r="Q508" s="158"/>
      <c r="R508" s="158"/>
      <c r="S508" s="158"/>
      <c r="T508" s="158"/>
      <c r="U508" s="158"/>
      <c r="V508" s="159"/>
      <c r="W508" s="62" t="s">
        <v>782</v>
      </c>
      <c r="X508" s="78">
        <f>ROUNDUP(SUM(BO22:BO503),0)</f>
        <v>24</v>
      </c>
      <c r="Y508" s="78">
        <f>ROUNDUP(SUM(BP22:BP503),0)</f>
        <v>24</v>
      </c>
      <c r="Z508" s="62"/>
      <c r="AA508" s="72"/>
      <c r="AB508" s="72"/>
      <c r="AC508" s="72"/>
    </row>
    <row r="509" spans="1:68" x14ac:dyDescent="0.2">
      <c r="A509" s="146"/>
      <c r="B509" s="146"/>
      <c r="C509" s="146"/>
      <c r="D509" s="146"/>
      <c r="E509" s="146"/>
      <c r="F509" s="146"/>
      <c r="G509" s="146"/>
      <c r="H509" s="146"/>
      <c r="I509" s="146"/>
      <c r="J509" s="146"/>
      <c r="K509" s="146"/>
      <c r="L509" s="146"/>
      <c r="M509" s="146"/>
      <c r="N509" s="146"/>
      <c r="O509" s="148"/>
      <c r="P509" s="157" t="s">
        <v>783</v>
      </c>
      <c r="Q509" s="158"/>
      <c r="R509" s="158"/>
      <c r="S509" s="158"/>
      <c r="T509" s="158"/>
      <c r="U509" s="158"/>
      <c r="V509" s="159"/>
      <c r="W509" s="62" t="s">
        <v>69</v>
      </c>
      <c r="X509" s="63">
        <f>GrossWeightTotal+PalletQtyTotal*25</f>
        <v>14525.573119951569</v>
      </c>
      <c r="Y509" s="63">
        <f>GrossWeightTotalR+PalletQtyTotalR*25</f>
        <v>14673.650000000001</v>
      </c>
      <c r="Z509" s="62"/>
      <c r="AA509" s="72"/>
      <c r="AB509" s="72"/>
      <c r="AC509" s="72"/>
    </row>
    <row r="510" spans="1:68" x14ac:dyDescent="0.2">
      <c r="A510" s="146"/>
      <c r="B510" s="146"/>
      <c r="C510" s="146"/>
      <c r="D510" s="146"/>
      <c r="E510" s="146"/>
      <c r="F510" s="146"/>
      <c r="G510" s="146"/>
      <c r="H510" s="146"/>
      <c r="I510" s="146"/>
      <c r="J510" s="146"/>
      <c r="K510" s="146"/>
      <c r="L510" s="146"/>
      <c r="M510" s="146"/>
      <c r="N510" s="146"/>
      <c r="O510" s="148"/>
      <c r="P510" s="157" t="s">
        <v>784</v>
      </c>
      <c r="Q510" s="158"/>
      <c r="R510" s="158"/>
      <c r="S510" s="158"/>
      <c r="T510" s="158"/>
      <c r="U510" s="158"/>
      <c r="V510" s="159"/>
      <c r="W510" s="62" t="s">
        <v>782</v>
      </c>
      <c r="X510" s="63">
        <f>IFERROR(X24+X34+X38+X44+X53+X57+X67+X74+X78+X85+X90+X98+X105+X114+X121+X128+X132+X138+X143+X148+X154+X158+X171+X175+X181+X197+X203+X207+X213+X218+X229+X241+X246+X257+X261+X265+X273+X282+X290+X297+X304+X309+X321+X331+X338+X344+X351+X357+X364+X376+X381+X386+X390+X396+X400+X406+X420+X425+X430+X436+X441+X458+X464+X474+X482+X486+X490+X494+X499+X504,"0")</f>
        <v>2521.9322966305731</v>
      </c>
      <c r="Y510" s="63">
        <f>IFERROR(Y24+Y34+Y38+Y44+Y53+Y57+Y67+Y74+Y78+Y85+Y90+Y98+Y105+Y114+Y121+Y128+Y132+Y138+Y143+Y148+Y154+Y158+Y171+Y175+Y181+Y197+Y203+Y207+Y213+Y218+Y229+Y241+Y246+Y257+Y261+Y265+Y273+Y282+Y290+Y297+Y304+Y309+Y321+Y331+Y338+Y344+Y351+Y357+Y364+Y376+Y381+Y386+Y390+Y396+Y400+Y406+Y420+Y425+Y430+Y436+Y441+Y458+Y464+Y474+Y482+Y486+Y490+Y494+Y499+Y504,"0")</f>
        <v>2543</v>
      </c>
      <c r="Z510" s="62"/>
      <c r="AA510" s="72"/>
      <c r="AB510" s="72"/>
      <c r="AC510" s="72"/>
    </row>
    <row r="511" spans="1:68" ht="14.25" hidden="1" x14ac:dyDescent="0.2">
      <c r="A511" s="146"/>
      <c r="B511" s="146"/>
      <c r="C511" s="146"/>
      <c r="D511" s="146"/>
      <c r="E511" s="146"/>
      <c r="F511" s="146"/>
      <c r="G511" s="146"/>
      <c r="H511" s="146"/>
      <c r="I511" s="146"/>
      <c r="J511" s="146"/>
      <c r="K511" s="146"/>
      <c r="L511" s="146"/>
      <c r="M511" s="146"/>
      <c r="N511" s="146"/>
      <c r="O511" s="148"/>
      <c r="P511" s="157" t="s">
        <v>785</v>
      </c>
      <c r="Q511" s="158"/>
      <c r="R511" s="158"/>
      <c r="S511" s="158"/>
      <c r="T511" s="158"/>
      <c r="U511" s="158"/>
      <c r="V511" s="159"/>
      <c r="W511" s="79" t="s">
        <v>786</v>
      </c>
      <c r="X511" s="62"/>
      <c r="Y511" s="62"/>
      <c r="Z511" s="62">
        <f>IFERROR(Z24+Z34+Z38+Z44+Z53+Z57+Z67+Z74+Z78+Z85+Z90+Z98+Z105+Z114+Z121+Z128+Z132+Z138+Z143+Z148+Z154+Z158+Z171+Z175+Z181+Z197+Z203+Z207+Z213+Z218+Z229+Z241+Z246+Z257+Z261+Z265+Z273+Z282+Z290+Z297+Z304+Z309+Z321+Z331+Z338+Z344+Z351+Z357+Z364+Z376+Z381+Z386+Z390+Z396+Z400+Z406+Z420+Z425+Z430+Z436+Z441+Z458+Z464+Z474+Z482+Z486+Z490+Z494+Z499+Z504,"0")</f>
        <v>27.721039999999999</v>
      </c>
      <c r="AA511" s="72"/>
      <c r="AB511" s="72"/>
      <c r="AC511" s="72"/>
    </row>
    <row r="513" spans="1:32" ht="25.5" x14ac:dyDescent="0.2">
      <c r="A513" s="80" t="s">
        <v>787</v>
      </c>
      <c r="B513" s="81" t="s">
        <v>63</v>
      </c>
      <c r="C513" s="81" t="s">
        <v>108</v>
      </c>
      <c r="D513" s="149" t="s">
        <v>113</v>
      </c>
      <c r="E513" s="149" t="s">
        <v>113</v>
      </c>
      <c r="F513" s="149" t="s">
        <v>113</v>
      </c>
      <c r="G513" s="149" t="s">
        <v>113</v>
      </c>
      <c r="H513" s="149" t="s">
        <v>113</v>
      </c>
      <c r="I513" s="149" t="s">
        <v>113</v>
      </c>
      <c r="J513" s="149" t="s">
        <v>299</v>
      </c>
      <c r="K513" s="149" t="s">
        <v>299</v>
      </c>
      <c r="L513" s="149" t="s">
        <v>299</v>
      </c>
      <c r="M513" s="149" t="s">
        <v>299</v>
      </c>
      <c r="N513" s="150"/>
      <c r="O513" s="149" t="s">
        <v>299</v>
      </c>
      <c r="P513" s="149" t="s">
        <v>299</v>
      </c>
      <c r="Q513" s="149" t="s">
        <v>299</v>
      </c>
      <c r="R513" s="149" t="s">
        <v>299</v>
      </c>
      <c r="S513" s="149" t="s">
        <v>299</v>
      </c>
      <c r="T513" s="149" t="s">
        <v>598</v>
      </c>
      <c r="U513" s="149" t="s">
        <v>598</v>
      </c>
      <c r="V513" s="149" t="s">
        <v>651</v>
      </c>
      <c r="W513" s="149" t="s">
        <v>651</v>
      </c>
      <c r="X513" s="149" t="s">
        <v>651</v>
      </c>
      <c r="Y513" s="81" t="s">
        <v>699</v>
      </c>
      <c r="Z513" s="149" t="s">
        <v>751</v>
      </c>
      <c r="AA513" s="149" t="s">
        <v>751</v>
      </c>
      <c r="AB513" s="1"/>
      <c r="AC513" s="1"/>
      <c r="AF513" s="4"/>
    </row>
    <row r="514" spans="1:32" ht="14.25" customHeight="1" x14ac:dyDescent="0.2">
      <c r="A514" s="151" t="s">
        <v>788</v>
      </c>
      <c r="B514" s="149" t="s">
        <v>63</v>
      </c>
      <c r="C514" s="149" t="s">
        <v>109</v>
      </c>
      <c r="D514" s="149" t="s">
        <v>114</v>
      </c>
      <c r="E514" s="149" t="s">
        <v>135</v>
      </c>
      <c r="F514" s="149" t="s">
        <v>186</v>
      </c>
      <c r="G514" s="149" t="s">
        <v>208</v>
      </c>
      <c r="H514" s="149" t="s">
        <v>245</v>
      </c>
      <c r="I514" s="149" t="s">
        <v>113</v>
      </c>
      <c r="J514" s="149" t="s">
        <v>300</v>
      </c>
      <c r="K514" s="149" t="s">
        <v>352</v>
      </c>
      <c r="L514" s="149" t="s">
        <v>412</v>
      </c>
      <c r="M514" s="149" t="s">
        <v>451</v>
      </c>
      <c r="N514" s="4"/>
      <c r="O514" s="149" t="s">
        <v>468</v>
      </c>
      <c r="P514" s="149" t="s">
        <v>479</v>
      </c>
      <c r="Q514" s="149" t="s">
        <v>488</v>
      </c>
      <c r="R514" s="149" t="s">
        <v>504</v>
      </c>
      <c r="S514" s="149" t="s">
        <v>588</v>
      </c>
      <c r="T514" s="149" t="s">
        <v>599</v>
      </c>
      <c r="U514" s="149" t="s">
        <v>635</v>
      </c>
      <c r="V514" s="149" t="s">
        <v>652</v>
      </c>
      <c r="W514" s="149" t="s">
        <v>683</v>
      </c>
      <c r="X514" s="149" t="s">
        <v>695</v>
      </c>
      <c r="Y514" s="149" t="s">
        <v>699</v>
      </c>
      <c r="Z514" s="149" t="s">
        <v>751</v>
      </c>
      <c r="AA514" s="149" t="s">
        <v>775</v>
      </c>
      <c r="AB514" s="1"/>
      <c r="AC514" s="1"/>
      <c r="AF514" s="4"/>
    </row>
    <row r="515" spans="1:32" x14ac:dyDescent="0.2">
      <c r="A515" s="152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4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  <c r="AB515" s="1"/>
      <c r="AC515" s="1"/>
      <c r="AF515" s="4"/>
    </row>
    <row r="516" spans="1:32" ht="16.5" x14ac:dyDescent="0.2">
      <c r="A516" s="80" t="s">
        <v>789</v>
      </c>
      <c r="B516" s="82">
        <f>IFERROR(Y22*1,"0")+IFERROR(Y23*1,"0")+IFERROR(Y27*1,"0")+IFERROR(Y28*1,"0")+IFERROR(Y29*1,"0")+IFERROR(Y30*1,"0")+IFERROR(Y31*1,"0")+IFERROR(Y32*1,"0")+IFERROR(Y33*1,"0")+IFERROR(Y37*1,"0")</f>
        <v>0</v>
      </c>
      <c r="C516" s="82">
        <f>IFERROR(Y43*1,"0")</f>
        <v>0</v>
      </c>
      <c r="D516" s="82">
        <f>IFERROR(Y49*1,"0")+IFERROR(Y50*1,"0")+IFERROR(Y51*1,"0")+IFERROR(Y52*1,"0")+IFERROR(Y56*1,"0")</f>
        <v>402.40000000000003</v>
      </c>
      <c r="E516" s="82">
        <f>IFERROR(Y61*1,"0")+IFERROR(Y62*1,"0")+IFERROR(Y63*1,"0")+IFERROR(Y64*1,"0")+IFERROR(Y65*1,"0")+IFERROR(Y66*1,"0")+IFERROR(Y70*1,"0")+IFERROR(Y71*1,"0")+IFERROR(Y72*1,"0")+IFERROR(Y73*1,"0")+IFERROR(Y77*1,"0")+IFERROR(Y81*1,"0")+IFERROR(Y82*1,"0")+IFERROR(Y83*1,"0")+IFERROR(Y84*1,"0")+IFERROR(Y88*1,"0")+IFERROR(Y89*1,"0")</f>
        <v>202.5</v>
      </c>
      <c r="F516" s="82">
        <f>IFERROR(Y94*1,"0")+IFERROR(Y95*1,"0")+IFERROR(Y96*1,"0")+IFERROR(Y97*1,"0")+IFERROR(Y101*1,"0")+IFERROR(Y102*1,"0")+IFERROR(Y103*1,"0")+IFERROR(Y104*1,"0")</f>
        <v>561.78000000000009</v>
      </c>
      <c r="G516" s="82">
        <f>IFERROR(Y109*1,"0")+IFERROR(Y110*1,"0")+IFERROR(Y111*1,"0")+IFERROR(Y112*1,"0")+IFERROR(Y113*1,"0")+IFERROR(Y117*1,"0")+IFERROR(Y118*1,"0")+IFERROR(Y119*1,"0")+IFERROR(Y120*1,"0")+IFERROR(Y124*1,"0")+IFERROR(Y125*1,"0")+IFERROR(Y126*1,"0")+IFERROR(Y127*1,"0")+IFERROR(Y131*1,"0")</f>
        <v>855.90000000000009</v>
      </c>
      <c r="H516" s="82">
        <f>IFERROR(Y136*1,"0")+IFERROR(Y137*1,"0")+IFERROR(Y141*1,"0")+IFERROR(Y142*1,"0")+IFERROR(Y146*1,"0")+IFERROR(Y147*1,"0")</f>
        <v>203.2</v>
      </c>
      <c r="I516" s="82">
        <f>IFERROR(Y152*1,"0")+IFERROR(Y153*1,"0")+IFERROR(Y157*1,"0")+IFERROR(Y161*1,"0")+IFERROR(Y162*1,"0")+IFERROR(Y163*1,"0")+IFERROR(Y164*1,"0")+IFERROR(Y165*1,"0")+IFERROR(Y166*1,"0")+IFERROR(Y167*1,"0")+IFERROR(Y168*1,"0")+IFERROR(Y169*1,"0")+IFERROR(Y170*1,"0")+IFERROR(Y174*1,"0")</f>
        <v>0</v>
      </c>
      <c r="J516" s="82">
        <f>IFERROR(Y180*1,"0")+IFERROR(Y184*1,"0")+IFERROR(Y185*1,"0")+IFERROR(Y186*1,"0")+IFERROR(Y187*1,"0")+IFERROR(Y188*1,"0")+IFERROR(Y189*1,"0")+IFERROR(Y190*1,"0")+IFERROR(Y191*1,"0")+IFERROR(Y192*1,"0")+IFERROR(Y193*1,"0")+IFERROR(Y194*1,"0")+IFERROR(Y195*1,"0")+IFERROR(Y196*1,"0")+IFERROR(Y200*1,"0")+IFERROR(Y201*1,"0")+IFERROR(Y202*1,"0")+IFERROR(Y206*1,"0")</f>
        <v>0</v>
      </c>
      <c r="K516" s="82">
        <f>IFERROR(Y211*1,"0")+IFERROR(Y212*1,"0")+IFERROR(Y216*1,"0")+IFERROR(Y217*1,"0")+IFERROR(Y221*1,"0")+IFERROR(Y222*1,"0")+IFERROR(Y223*1,"0")+IFERROR(Y224*1,"0")+IFERROR(Y225*1,"0")+IFERROR(Y226*1,"0")+IFERROR(Y227*1,"0")+IFERROR(Y228*1,"0")+IFERROR(Y232*1,"0")+IFERROR(Y233*1,"0")+IFERROR(Y234*1,"0")+IFERROR(Y235*1,"0")+IFERROR(Y236*1,"0")+IFERROR(Y237*1,"0")+IFERROR(Y238*1,"0")+IFERROR(Y239*1,"0")+IFERROR(Y240*1,"0")+IFERROR(Y244*1,"0")+IFERROR(Y245*1,"0")</f>
        <v>2427.2999999999997</v>
      </c>
      <c r="L516" s="82">
        <f>IFERROR(Y250*1,"0")+IFERROR(Y251*1,"0")+IFERROR(Y252*1,"0")+IFERROR(Y253*1,"0")+IFERROR(Y254*1,"0")+IFERROR(Y255*1,"0")+IFERROR(Y256*1,"0")+IFERROR(Y260*1,"0")+IFERROR(Y264*1,"0")+IFERROR(Y268*1,"0")+IFERROR(Y269*1,"0")+IFERROR(Y270*1,"0")+IFERROR(Y271*1,"0")+IFERROR(Y272*1,"0")</f>
        <v>0</v>
      </c>
      <c r="M516" s="82">
        <f>IFERROR(Y277*1,"0")+IFERROR(Y278*1,"0")+IFERROR(Y279*1,"0")+IFERROR(Y280*1,"0")+IFERROR(Y281*1,"0")</f>
        <v>0</v>
      </c>
      <c r="N516" s="4"/>
      <c r="O516" s="82">
        <f>IFERROR(Y286*1,"0")+IFERROR(Y287*1,"0")+IFERROR(Y288*1,"0")+IFERROR(Y289*1,"0")</f>
        <v>0</v>
      </c>
      <c r="P516" s="82">
        <f>IFERROR(Y294*1,"0")+IFERROR(Y295*1,"0")+IFERROR(Y296*1,"0")</f>
        <v>0</v>
      </c>
      <c r="Q516" s="82">
        <f>IFERROR(Y301*1,"0")+IFERROR(Y302*1,"0")+IFERROR(Y303*1,"0")+IFERROR(Y307*1,"0")+IFERROR(Y308*1,"0")</f>
        <v>0</v>
      </c>
      <c r="R516" s="82">
        <f>IFERROR(Y313*1,"0")+IFERROR(Y314*1,"0")+IFERROR(Y315*1,"0")+IFERROR(Y316*1,"0")+IFERROR(Y317*1,"0")+IFERROR(Y318*1,"0")+IFERROR(Y319*1,"0")+IFERROR(Y320*1,"0")+IFERROR(Y324*1,"0")+IFERROR(Y325*1,"0")+IFERROR(Y326*1,"0")+IFERROR(Y327*1,"0")+IFERROR(Y328*1,"0")+IFERROR(Y329*1,"0")+IFERROR(Y330*1,"0")+IFERROR(Y334*1,"0")+IFERROR(Y335*1,"0")+IFERROR(Y336*1,"0")+IFERROR(Y337*1,"0")+IFERROR(Y341*1,"0")+IFERROR(Y342*1,"0")+IFERROR(Y343*1,"0")+IFERROR(Y347*1,"0")+IFERROR(Y348*1,"0")+IFERROR(Y349*1,"0")+IFERROR(Y350*1,"0")+IFERROR(Y354*1,"0")+IFERROR(Y355*1,"0")+IFERROR(Y356*1,"0")</f>
        <v>407.4</v>
      </c>
      <c r="S516" s="82">
        <f>IFERROR(Y361*1,"0")+IFERROR(Y362*1,"0")+IFERROR(Y363*1,"0")</f>
        <v>151.20000000000002</v>
      </c>
      <c r="T516" s="82">
        <f>IFERROR(Y369*1,"0")+IFERROR(Y370*1,"0")+IFERROR(Y371*1,"0")+IFERROR(Y372*1,"0")+IFERROR(Y373*1,"0")+IFERROR(Y374*1,"0")+IFERROR(Y375*1,"0")+IFERROR(Y379*1,"0")+IFERROR(Y380*1,"0")+IFERROR(Y384*1,"0")+IFERROR(Y385*1,"0")+IFERROR(Y389*1,"0")</f>
        <v>2538</v>
      </c>
      <c r="U516" s="82">
        <f>IFERROR(Y394*1,"0")+IFERROR(Y395*1,"0")+IFERROR(Y399*1,"0")+IFERROR(Y403*1,"0")+IFERROR(Y404*1,"0")+IFERROR(Y405*1,"0")</f>
        <v>1363.2</v>
      </c>
      <c r="V516" s="82">
        <f>IFERROR(Y411*1,"0")+IFERROR(Y412*1,"0")+IFERROR(Y413*1,"0")+IFERROR(Y414*1,"0")+IFERROR(Y415*1,"0")+IFERROR(Y416*1,"0")+IFERROR(Y417*1,"0")+IFERROR(Y418*1,"0")+IFERROR(Y419*1,"0")+IFERROR(Y423*1,"0")+IFERROR(Y424*1,"0")</f>
        <v>0</v>
      </c>
      <c r="W516" s="82">
        <f>IFERROR(Y429*1,"0")+IFERROR(Y433*1,"0")+IFERROR(Y434*1,"0")+IFERROR(Y435*1,"0")</f>
        <v>0</v>
      </c>
      <c r="X516" s="82">
        <f>IFERROR(Y440*1,"0")</f>
        <v>0</v>
      </c>
      <c r="Y516" s="82">
        <f>IFERROR(Y446*1,"0")+IFERROR(Y447*1,"0")+IFERROR(Y448*1,"0")+IFERROR(Y449*1,"0")+IFERROR(Y450*1,"0")+IFERROR(Y451*1,"0")+IFERROR(Y452*1,"0")+IFERROR(Y453*1,"0")+IFERROR(Y454*1,"0")+IFERROR(Y455*1,"0")+IFERROR(Y456*1,"0")+IFERROR(Y457*1,"0")+IFERROR(Y461*1,"0")+IFERROR(Y462*1,"0")+IFERROR(Y463*1,"0")+IFERROR(Y467*1,"0")+IFERROR(Y468*1,"0")+IFERROR(Y469*1,"0")+IFERROR(Y470*1,"0")+IFERROR(Y471*1,"0")+IFERROR(Y472*1,"0")+IFERROR(Y473*1,"0")</f>
        <v>3612.96</v>
      </c>
      <c r="Z516" s="82">
        <f>IFERROR(Y479*1,"0")+IFERROR(Y480*1,"0")+IFERROR(Y481*1,"0")+IFERROR(Y485*1,"0")+IFERROR(Y489*1,"0")+IFERROR(Y493*1,"0")+IFERROR(Y497*1,"0")+IFERROR(Y498*1,"0")</f>
        <v>414</v>
      </c>
      <c r="AA516" s="82">
        <f>IFERROR(Y503*1,"0")</f>
        <v>0</v>
      </c>
      <c r="AB516" s="1"/>
      <c r="AC516" s="1"/>
      <c r="AF516" s="4"/>
    </row>
  </sheetData>
  <sheetProtection algorithmName="SHA-512" hashValue="/Sl7d8a2CGOOCvc9NsB0tl8Yk792RQdi1TX0xx8wMYVkUSvWNW3uL8zSmylHdys/9mUlEhzPjr6S8O299Jpkkg==" saltValue="9EFch3T9OtMcc5QdJIc+MA==" spinCount="100000" sheet="1" objects="1" scenarios="1" sort="0" autoFilter="0" pivotTables="0"/>
  <autoFilter ref="A18:AF511" xr:uid="{00000000-0009-0000-0000-000000000000}">
    <filterColumn colId="23">
      <filters>
        <filter val="1 000,00"/>
        <filter val="1 150,00"/>
        <filter val="1 700,00"/>
        <filter val="100,00"/>
        <filter val="11,11"/>
        <filter val="111,67"/>
        <filter val="113,33"/>
        <filter val="13 000,00"/>
        <filter val="13 925,57"/>
        <filter val="13,89"/>
        <filter val="14 525,57"/>
        <filter val="150,00"/>
        <filter val="151,52"/>
        <filter val="16,67"/>
        <filter val="173,61"/>
        <filter val="2 000,00"/>
        <filter val="2 500,00"/>
        <filter val="2 521,93"/>
        <filter val="200,00"/>
        <filter val="209,88"/>
        <filter val="24"/>
        <filter val="250,00"/>
        <filter val="300,00"/>
        <filter val="31,25"/>
        <filter val="32,05"/>
        <filter val="33,33"/>
        <filter val="35,71"/>
        <filter val="400,00"/>
        <filter val="44,44"/>
        <filter val="450,00"/>
        <filter val="46,67"/>
        <filter val="479,17"/>
        <filter val="50,00"/>
        <filter val="500,00"/>
        <filter val="52,78"/>
        <filter val="56,82"/>
        <filter val="669,94"/>
        <filter val="700,00"/>
        <filter val="71,43"/>
        <filter val="74,07"/>
        <filter val="75,00"/>
        <filter val="8,33"/>
        <filter val="800,00"/>
        <filter val="9,26"/>
      </filters>
    </filterColumn>
  </autoFilter>
  <mergeCells count="905">
    <mergeCell ref="AD17:AF18"/>
    <mergeCell ref="A24:O25"/>
    <mergeCell ref="A34:O35"/>
    <mergeCell ref="A38:O39"/>
    <mergeCell ref="A44:O45"/>
    <mergeCell ref="A53:O54"/>
    <mergeCell ref="A57:O58"/>
    <mergeCell ref="A67:O68"/>
    <mergeCell ref="A74:O75"/>
    <mergeCell ref="P74:V74"/>
    <mergeCell ref="P75:V75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D56:E56"/>
    <mergeCell ref="P56:T56"/>
    <mergeCell ref="P57:V57"/>
    <mergeCell ref="P58:V58"/>
    <mergeCell ref="X514:X515"/>
    <mergeCell ref="Y17:Y18"/>
    <mergeCell ref="Y514:Y515"/>
    <mergeCell ref="Z17:Z18"/>
    <mergeCell ref="Z514:Z515"/>
    <mergeCell ref="AA17:AA18"/>
    <mergeCell ref="AA514:AA515"/>
    <mergeCell ref="AB17:AB18"/>
    <mergeCell ref="AC17:AC18"/>
    <mergeCell ref="A492:Z492"/>
    <mergeCell ref="D493:E493"/>
    <mergeCell ref="P493:T493"/>
    <mergeCell ref="A490:O491"/>
    <mergeCell ref="D481:E481"/>
    <mergeCell ref="P481:T481"/>
    <mergeCell ref="P482:V482"/>
    <mergeCell ref="P483:V483"/>
    <mergeCell ref="A484:Z484"/>
    <mergeCell ref="D485:E485"/>
    <mergeCell ref="P485:T485"/>
    <mergeCell ref="P486:V486"/>
    <mergeCell ref="P487:V487"/>
    <mergeCell ref="A482:O483"/>
    <mergeCell ref="A486:O487"/>
    <mergeCell ref="P514:P515"/>
    <mergeCell ref="Q514:Q515"/>
    <mergeCell ref="R514:R515"/>
    <mergeCell ref="S514:S515"/>
    <mergeCell ref="T514:T515"/>
    <mergeCell ref="U514:U515"/>
    <mergeCell ref="V514:V515"/>
    <mergeCell ref="W17:W18"/>
    <mergeCell ref="W514:W515"/>
    <mergeCell ref="P17:T18"/>
    <mergeCell ref="P510:V510"/>
    <mergeCell ref="P511:V511"/>
    <mergeCell ref="P503:T503"/>
    <mergeCell ref="P504:V504"/>
    <mergeCell ref="P505:V505"/>
    <mergeCell ref="P506:V506"/>
    <mergeCell ref="P507:V507"/>
    <mergeCell ref="P508:V508"/>
    <mergeCell ref="P509:V509"/>
    <mergeCell ref="A488:Z488"/>
    <mergeCell ref="D489:E489"/>
    <mergeCell ref="P489:T489"/>
    <mergeCell ref="P490:V490"/>
    <mergeCell ref="P491:V491"/>
    <mergeCell ref="J514:J515"/>
    <mergeCell ref="K17:K18"/>
    <mergeCell ref="K514:K515"/>
    <mergeCell ref="L17:L18"/>
    <mergeCell ref="L514:L515"/>
    <mergeCell ref="M17:M18"/>
    <mergeCell ref="M514:M515"/>
    <mergeCell ref="N17:N18"/>
    <mergeCell ref="O17:O18"/>
    <mergeCell ref="O514:O515"/>
    <mergeCell ref="A78:O79"/>
    <mergeCell ref="A85:O86"/>
    <mergeCell ref="A90:O91"/>
    <mergeCell ref="A98:O99"/>
    <mergeCell ref="A105:O106"/>
    <mergeCell ref="A114:O115"/>
    <mergeCell ref="A121:O122"/>
    <mergeCell ref="A128:O129"/>
    <mergeCell ref="A132:O133"/>
    <mergeCell ref="A138:O139"/>
    <mergeCell ref="A143:O144"/>
    <mergeCell ref="A148:O149"/>
    <mergeCell ref="A154:O155"/>
    <mergeCell ref="A158:O159"/>
    <mergeCell ref="D513:I513"/>
    <mergeCell ref="J513:S513"/>
    <mergeCell ref="T513:U513"/>
    <mergeCell ref="V513:X513"/>
    <mergeCell ref="Z513:AA513"/>
    <mergeCell ref="A17:A18"/>
    <mergeCell ref="A514:A515"/>
    <mergeCell ref="B17:B18"/>
    <mergeCell ref="B514:B515"/>
    <mergeCell ref="C17:C18"/>
    <mergeCell ref="C514:C515"/>
    <mergeCell ref="D514:D515"/>
    <mergeCell ref="E514:E515"/>
    <mergeCell ref="F17:F18"/>
    <mergeCell ref="F514:F515"/>
    <mergeCell ref="G17:G18"/>
    <mergeCell ref="G514:G515"/>
    <mergeCell ref="H17:H18"/>
    <mergeCell ref="H514:H515"/>
    <mergeCell ref="I17:I18"/>
    <mergeCell ref="I514:I515"/>
    <mergeCell ref="J17:J18"/>
    <mergeCell ref="A502:Z502"/>
    <mergeCell ref="D503:E503"/>
    <mergeCell ref="A504:O505"/>
    <mergeCell ref="A506:O511"/>
    <mergeCell ref="P495:V495"/>
    <mergeCell ref="A496:Z496"/>
    <mergeCell ref="D497:E497"/>
    <mergeCell ref="P497:T497"/>
    <mergeCell ref="D498:E498"/>
    <mergeCell ref="P498:T498"/>
    <mergeCell ref="P499:V499"/>
    <mergeCell ref="P500:V500"/>
    <mergeCell ref="A501:Z501"/>
    <mergeCell ref="A494:O495"/>
    <mergeCell ref="A499:O500"/>
    <mergeCell ref="P494:V494"/>
    <mergeCell ref="P474:V474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A474:O475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P464:V464"/>
    <mergeCell ref="P465:V465"/>
    <mergeCell ref="A466:Z466"/>
    <mergeCell ref="D467:E467"/>
    <mergeCell ref="P467:T467"/>
    <mergeCell ref="D468:E468"/>
    <mergeCell ref="P468:T468"/>
    <mergeCell ref="A464:O465"/>
    <mergeCell ref="D457:E457"/>
    <mergeCell ref="P457:T457"/>
    <mergeCell ref="P458:V458"/>
    <mergeCell ref="P459:V459"/>
    <mergeCell ref="A460:Z460"/>
    <mergeCell ref="D461:E461"/>
    <mergeCell ref="P461:T461"/>
    <mergeCell ref="D462:E462"/>
    <mergeCell ref="P462:T462"/>
    <mergeCell ref="A458:O459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D456:E456"/>
    <mergeCell ref="P456:T45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39:Z439"/>
    <mergeCell ref="D440:E440"/>
    <mergeCell ref="P440:T440"/>
    <mergeCell ref="P441:V441"/>
    <mergeCell ref="P442:V442"/>
    <mergeCell ref="A443:Z443"/>
    <mergeCell ref="A444:Z444"/>
    <mergeCell ref="A445:Z445"/>
    <mergeCell ref="D446:E446"/>
    <mergeCell ref="P446:T446"/>
    <mergeCell ref="A441:O442"/>
    <mergeCell ref="D433:E433"/>
    <mergeCell ref="P433:T433"/>
    <mergeCell ref="D434:E434"/>
    <mergeCell ref="P434:T434"/>
    <mergeCell ref="D435:E435"/>
    <mergeCell ref="P435:T435"/>
    <mergeCell ref="P436:V436"/>
    <mergeCell ref="P437:V437"/>
    <mergeCell ref="A438:Z438"/>
    <mergeCell ref="A436:O437"/>
    <mergeCell ref="P425:V425"/>
    <mergeCell ref="P426:V426"/>
    <mergeCell ref="A427:Z427"/>
    <mergeCell ref="A428:Z428"/>
    <mergeCell ref="D429:E429"/>
    <mergeCell ref="P429:T429"/>
    <mergeCell ref="P430:V430"/>
    <mergeCell ref="P431:V431"/>
    <mergeCell ref="A432:Z432"/>
    <mergeCell ref="A425:O426"/>
    <mergeCell ref="A430:O431"/>
    <mergeCell ref="D419:E419"/>
    <mergeCell ref="P419:T419"/>
    <mergeCell ref="P420:V420"/>
    <mergeCell ref="P421:V421"/>
    <mergeCell ref="A422:Z422"/>
    <mergeCell ref="D423:E423"/>
    <mergeCell ref="P423:T423"/>
    <mergeCell ref="D424:E424"/>
    <mergeCell ref="P424:T424"/>
    <mergeCell ref="A420:O421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A408:Z408"/>
    <mergeCell ref="A409:Z409"/>
    <mergeCell ref="A410:Z410"/>
    <mergeCell ref="D411:E411"/>
    <mergeCell ref="P411:T411"/>
    <mergeCell ref="D412:E412"/>
    <mergeCell ref="P412:T412"/>
    <mergeCell ref="D413:E413"/>
    <mergeCell ref="P413:T413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P407:V407"/>
    <mergeCell ref="A406:O407"/>
    <mergeCell ref="D395:E395"/>
    <mergeCell ref="P395:T395"/>
    <mergeCell ref="P396:V396"/>
    <mergeCell ref="P397:V397"/>
    <mergeCell ref="A398:Z398"/>
    <mergeCell ref="D399:E399"/>
    <mergeCell ref="P399:T399"/>
    <mergeCell ref="P400:V400"/>
    <mergeCell ref="P401:V401"/>
    <mergeCell ref="A396:O397"/>
    <mergeCell ref="A400:O401"/>
    <mergeCell ref="A388:Z388"/>
    <mergeCell ref="D389:E389"/>
    <mergeCell ref="P389:T389"/>
    <mergeCell ref="P390:V390"/>
    <mergeCell ref="P391:V391"/>
    <mergeCell ref="A392:Z392"/>
    <mergeCell ref="A393:Z393"/>
    <mergeCell ref="D394:E394"/>
    <mergeCell ref="P394:T394"/>
    <mergeCell ref="A390:O391"/>
    <mergeCell ref="P381:V381"/>
    <mergeCell ref="P382:V382"/>
    <mergeCell ref="A383:Z383"/>
    <mergeCell ref="D384:E384"/>
    <mergeCell ref="P384:T384"/>
    <mergeCell ref="D385:E385"/>
    <mergeCell ref="P385:T385"/>
    <mergeCell ref="P386:V386"/>
    <mergeCell ref="P387:V387"/>
    <mergeCell ref="A381:O382"/>
    <mergeCell ref="A386:O387"/>
    <mergeCell ref="D375:E375"/>
    <mergeCell ref="P375:T375"/>
    <mergeCell ref="P376:V376"/>
    <mergeCell ref="P377:V377"/>
    <mergeCell ref="A378:Z378"/>
    <mergeCell ref="D379:E379"/>
    <mergeCell ref="P379:T379"/>
    <mergeCell ref="D380:E380"/>
    <mergeCell ref="P380:T380"/>
    <mergeCell ref="A376:O377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3:E363"/>
    <mergeCell ref="P363:T363"/>
    <mergeCell ref="P364:V364"/>
    <mergeCell ref="P365:V365"/>
    <mergeCell ref="A366:Z366"/>
    <mergeCell ref="A367:Z367"/>
    <mergeCell ref="A368:Z368"/>
    <mergeCell ref="D369:E369"/>
    <mergeCell ref="P369:T369"/>
    <mergeCell ref="A364:O365"/>
    <mergeCell ref="D356:E356"/>
    <mergeCell ref="P356:T356"/>
    <mergeCell ref="P357:V357"/>
    <mergeCell ref="P358:V358"/>
    <mergeCell ref="A359:Z359"/>
    <mergeCell ref="A360:Z360"/>
    <mergeCell ref="D361:E361"/>
    <mergeCell ref="P361:T361"/>
    <mergeCell ref="D362:E362"/>
    <mergeCell ref="P362:T362"/>
    <mergeCell ref="A357:O358"/>
    <mergeCell ref="D350:E350"/>
    <mergeCell ref="P350:T350"/>
    <mergeCell ref="P351:V351"/>
    <mergeCell ref="P352:V352"/>
    <mergeCell ref="A353:Z353"/>
    <mergeCell ref="D354:E354"/>
    <mergeCell ref="P354:T354"/>
    <mergeCell ref="D355:E355"/>
    <mergeCell ref="P355:T355"/>
    <mergeCell ref="A351:O352"/>
    <mergeCell ref="P344:V344"/>
    <mergeCell ref="P345:V345"/>
    <mergeCell ref="A346:Z346"/>
    <mergeCell ref="D347:E347"/>
    <mergeCell ref="P347:T347"/>
    <mergeCell ref="D348:E348"/>
    <mergeCell ref="P348:T348"/>
    <mergeCell ref="D349:E349"/>
    <mergeCell ref="P349:T349"/>
    <mergeCell ref="A344:O345"/>
    <mergeCell ref="P338:V338"/>
    <mergeCell ref="P339:V339"/>
    <mergeCell ref="A340:Z340"/>
    <mergeCell ref="D341:E341"/>
    <mergeCell ref="P341:T341"/>
    <mergeCell ref="D342:E342"/>
    <mergeCell ref="P342:T342"/>
    <mergeCell ref="D343:E343"/>
    <mergeCell ref="P343:T343"/>
    <mergeCell ref="A338:O339"/>
    <mergeCell ref="P332:V332"/>
    <mergeCell ref="A333:Z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31:O332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P321:V321"/>
    <mergeCell ref="P322:V322"/>
    <mergeCell ref="A323:Z323"/>
    <mergeCell ref="D324:E324"/>
    <mergeCell ref="P324:T324"/>
    <mergeCell ref="D325:E325"/>
    <mergeCell ref="P325:T325"/>
    <mergeCell ref="D326:E326"/>
    <mergeCell ref="P326:T326"/>
    <mergeCell ref="A321:O322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09:V309"/>
    <mergeCell ref="P310:V310"/>
    <mergeCell ref="A311:Z311"/>
    <mergeCell ref="A312:Z312"/>
    <mergeCell ref="D313:E313"/>
    <mergeCell ref="P313:T313"/>
    <mergeCell ref="D314:E314"/>
    <mergeCell ref="P314:T314"/>
    <mergeCell ref="D315:E315"/>
    <mergeCell ref="P315:T315"/>
    <mergeCell ref="A309:O310"/>
    <mergeCell ref="D303:E303"/>
    <mergeCell ref="P303:T303"/>
    <mergeCell ref="P304:V304"/>
    <mergeCell ref="P305:V305"/>
    <mergeCell ref="A306:Z306"/>
    <mergeCell ref="D307:E307"/>
    <mergeCell ref="P307:T307"/>
    <mergeCell ref="D308:E308"/>
    <mergeCell ref="P308:T308"/>
    <mergeCell ref="A304:O305"/>
    <mergeCell ref="D296:E296"/>
    <mergeCell ref="P296:T296"/>
    <mergeCell ref="P297:V297"/>
    <mergeCell ref="P298:V298"/>
    <mergeCell ref="A299:Z299"/>
    <mergeCell ref="A300:Z300"/>
    <mergeCell ref="D301:E301"/>
    <mergeCell ref="P301:T301"/>
    <mergeCell ref="D302:E302"/>
    <mergeCell ref="P302:T302"/>
    <mergeCell ref="A297:O298"/>
    <mergeCell ref="D289:E289"/>
    <mergeCell ref="P289:T289"/>
    <mergeCell ref="P290:V290"/>
    <mergeCell ref="P291:V291"/>
    <mergeCell ref="A292:Z292"/>
    <mergeCell ref="A293:Z293"/>
    <mergeCell ref="D294:E294"/>
    <mergeCell ref="P294:T294"/>
    <mergeCell ref="D295:E295"/>
    <mergeCell ref="P295:T295"/>
    <mergeCell ref="A290:O291"/>
    <mergeCell ref="P283:V283"/>
    <mergeCell ref="A284:Z284"/>
    <mergeCell ref="A285:Z285"/>
    <mergeCell ref="D286:E286"/>
    <mergeCell ref="P286:T286"/>
    <mergeCell ref="D287:E287"/>
    <mergeCell ref="P287:T287"/>
    <mergeCell ref="D288:E288"/>
    <mergeCell ref="P288:T288"/>
    <mergeCell ref="A282:O283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D271:E271"/>
    <mergeCell ref="P271:T271"/>
    <mergeCell ref="D272:E272"/>
    <mergeCell ref="P272:T272"/>
    <mergeCell ref="P273:V273"/>
    <mergeCell ref="P274:V274"/>
    <mergeCell ref="A275:Z275"/>
    <mergeCell ref="A276:Z276"/>
    <mergeCell ref="D277:E277"/>
    <mergeCell ref="P277:T277"/>
    <mergeCell ref="A273:O274"/>
    <mergeCell ref="P265:V265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A265:O266"/>
    <mergeCell ref="P257:V257"/>
    <mergeCell ref="P258:V258"/>
    <mergeCell ref="A259:Z259"/>
    <mergeCell ref="D260:E260"/>
    <mergeCell ref="P260:T260"/>
    <mergeCell ref="P261:V261"/>
    <mergeCell ref="P262:V262"/>
    <mergeCell ref="A263:Z263"/>
    <mergeCell ref="D264:E264"/>
    <mergeCell ref="P264:T264"/>
    <mergeCell ref="A257:O258"/>
    <mergeCell ref="A261:O262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45:E245"/>
    <mergeCell ref="P245:T245"/>
    <mergeCell ref="P246:V246"/>
    <mergeCell ref="P247:V247"/>
    <mergeCell ref="A248:Z248"/>
    <mergeCell ref="A249:Z249"/>
    <mergeCell ref="D250:E250"/>
    <mergeCell ref="P250:T250"/>
    <mergeCell ref="D251:E251"/>
    <mergeCell ref="P251:T251"/>
    <mergeCell ref="A246:O247"/>
    <mergeCell ref="D239:E239"/>
    <mergeCell ref="P239:T239"/>
    <mergeCell ref="D240:E240"/>
    <mergeCell ref="P240:T240"/>
    <mergeCell ref="P241:V241"/>
    <mergeCell ref="P242:V242"/>
    <mergeCell ref="A243:Z243"/>
    <mergeCell ref="D244:E244"/>
    <mergeCell ref="P244:T244"/>
    <mergeCell ref="A241:O242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P229:V229"/>
    <mergeCell ref="P230:V230"/>
    <mergeCell ref="A231:Z231"/>
    <mergeCell ref="D232:E232"/>
    <mergeCell ref="P232:T232"/>
    <mergeCell ref="D233:E233"/>
    <mergeCell ref="P233:T233"/>
    <mergeCell ref="A229:O230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17:E217"/>
    <mergeCell ref="P217:T217"/>
    <mergeCell ref="P218:V218"/>
    <mergeCell ref="P219:V219"/>
    <mergeCell ref="A220:Z220"/>
    <mergeCell ref="D221:E221"/>
    <mergeCell ref="P221:T221"/>
    <mergeCell ref="D222:E222"/>
    <mergeCell ref="P222:T222"/>
    <mergeCell ref="A218:O219"/>
    <mergeCell ref="D211:E211"/>
    <mergeCell ref="P211:T211"/>
    <mergeCell ref="D212:E212"/>
    <mergeCell ref="P212:T212"/>
    <mergeCell ref="P213:V213"/>
    <mergeCell ref="P214:V214"/>
    <mergeCell ref="A215:Z215"/>
    <mergeCell ref="D216:E216"/>
    <mergeCell ref="P216:T216"/>
    <mergeCell ref="A213:O214"/>
    <mergeCell ref="P203:V203"/>
    <mergeCell ref="P204:V204"/>
    <mergeCell ref="A205:Z205"/>
    <mergeCell ref="D206:E206"/>
    <mergeCell ref="P206:T206"/>
    <mergeCell ref="P207:V207"/>
    <mergeCell ref="P208:V208"/>
    <mergeCell ref="A209:Z209"/>
    <mergeCell ref="A210:Z210"/>
    <mergeCell ref="A203:O204"/>
    <mergeCell ref="A207:O208"/>
    <mergeCell ref="P197:V197"/>
    <mergeCell ref="P198:V198"/>
    <mergeCell ref="A199:Z199"/>
    <mergeCell ref="D200:E200"/>
    <mergeCell ref="P200:T200"/>
    <mergeCell ref="D201:E201"/>
    <mergeCell ref="P201:T201"/>
    <mergeCell ref="D202:E202"/>
    <mergeCell ref="P202:T202"/>
    <mergeCell ref="A197:O198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96:E196"/>
    <mergeCell ref="P196:T19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81:V181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A181:O182"/>
    <mergeCell ref="D174:E174"/>
    <mergeCell ref="P174:T174"/>
    <mergeCell ref="P175:V175"/>
    <mergeCell ref="P176:V176"/>
    <mergeCell ref="A177:Z177"/>
    <mergeCell ref="A178:Z178"/>
    <mergeCell ref="A179:Z179"/>
    <mergeCell ref="D180:E180"/>
    <mergeCell ref="P180:T180"/>
    <mergeCell ref="A175:O176"/>
    <mergeCell ref="D168:E168"/>
    <mergeCell ref="P168:T168"/>
    <mergeCell ref="D169:E169"/>
    <mergeCell ref="P169:T169"/>
    <mergeCell ref="D170:E170"/>
    <mergeCell ref="P170:T170"/>
    <mergeCell ref="P171:V171"/>
    <mergeCell ref="P172:V172"/>
    <mergeCell ref="A173:Z173"/>
    <mergeCell ref="A171:O17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57:E157"/>
    <mergeCell ref="P157:T157"/>
    <mergeCell ref="P158:V158"/>
    <mergeCell ref="P159:V159"/>
    <mergeCell ref="A160:Z160"/>
    <mergeCell ref="D161:E161"/>
    <mergeCell ref="P161:T161"/>
    <mergeCell ref="D162:E162"/>
    <mergeCell ref="P162:T162"/>
    <mergeCell ref="A150:Z150"/>
    <mergeCell ref="A151:Z151"/>
    <mergeCell ref="D152:E152"/>
    <mergeCell ref="P152:T152"/>
    <mergeCell ref="D153:E153"/>
    <mergeCell ref="P153:T153"/>
    <mergeCell ref="P154:V154"/>
    <mergeCell ref="P155:V155"/>
    <mergeCell ref="A156:Z156"/>
    <mergeCell ref="P143:V143"/>
    <mergeCell ref="P144:V144"/>
    <mergeCell ref="A145:Z145"/>
    <mergeCell ref="D146:E146"/>
    <mergeCell ref="P146:T146"/>
    <mergeCell ref="D147:E147"/>
    <mergeCell ref="P147:T147"/>
    <mergeCell ref="P148:V148"/>
    <mergeCell ref="P149:V149"/>
    <mergeCell ref="D137:E137"/>
    <mergeCell ref="P137:T137"/>
    <mergeCell ref="P138:V138"/>
    <mergeCell ref="P139:V139"/>
    <mergeCell ref="A140:Z140"/>
    <mergeCell ref="D141:E141"/>
    <mergeCell ref="P141:T141"/>
    <mergeCell ref="D142:E142"/>
    <mergeCell ref="P142:T142"/>
    <mergeCell ref="P129:V129"/>
    <mergeCell ref="A130:Z130"/>
    <mergeCell ref="D131:E131"/>
    <mergeCell ref="P131:T131"/>
    <mergeCell ref="P132:V132"/>
    <mergeCell ref="P133:V133"/>
    <mergeCell ref="A134:Z134"/>
    <mergeCell ref="A135:Z135"/>
    <mergeCell ref="D136:E136"/>
    <mergeCell ref="P136:T136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D118:E118"/>
    <mergeCell ref="P118:T118"/>
    <mergeCell ref="D119:E119"/>
    <mergeCell ref="P119:T119"/>
    <mergeCell ref="D120:E120"/>
    <mergeCell ref="P120:T120"/>
    <mergeCell ref="P121:V121"/>
    <mergeCell ref="P122:V122"/>
    <mergeCell ref="A123:Z123"/>
    <mergeCell ref="D112:E112"/>
    <mergeCell ref="P112:T112"/>
    <mergeCell ref="D113:E113"/>
    <mergeCell ref="P113:T113"/>
    <mergeCell ref="P114:V114"/>
    <mergeCell ref="P115:V115"/>
    <mergeCell ref="A116:Z116"/>
    <mergeCell ref="D117:E117"/>
    <mergeCell ref="P117:T117"/>
    <mergeCell ref="P106:V106"/>
    <mergeCell ref="A107:Z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D95:E95"/>
    <mergeCell ref="P95:T95"/>
    <mergeCell ref="D96:E96"/>
    <mergeCell ref="P96:T96"/>
    <mergeCell ref="D97:E97"/>
    <mergeCell ref="P97:T97"/>
    <mergeCell ref="P98:V98"/>
    <mergeCell ref="P99:V99"/>
    <mergeCell ref="A100:Z100"/>
    <mergeCell ref="D88:E88"/>
    <mergeCell ref="P88:T88"/>
    <mergeCell ref="D89:E89"/>
    <mergeCell ref="P89:T89"/>
    <mergeCell ref="P90:V90"/>
    <mergeCell ref="P91:V91"/>
    <mergeCell ref="A92:Z92"/>
    <mergeCell ref="A93:Z93"/>
    <mergeCell ref="D94:E94"/>
    <mergeCell ref="P94:T94"/>
    <mergeCell ref="D82:E82"/>
    <mergeCell ref="P82:T82"/>
    <mergeCell ref="D83:E83"/>
    <mergeCell ref="P83:T83"/>
    <mergeCell ref="D84:E84"/>
    <mergeCell ref="P84:T84"/>
    <mergeCell ref="P85:V85"/>
    <mergeCell ref="P86:V86"/>
    <mergeCell ref="A87:Z87"/>
    <mergeCell ref="A76:Z76"/>
    <mergeCell ref="D77:E77"/>
    <mergeCell ref="P77:T77"/>
    <mergeCell ref="P78:V78"/>
    <mergeCell ref="P79:V79"/>
    <mergeCell ref="A80:Z80"/>
    <mergeCell ref="D81:E81"/>
    <mergeCell ref="P81:T81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A59:Z59"/>
    <mergeCell ref="A60:Z60"/>
    <mergeCell ref="D61:E61"/>
    <mergeCell ref="P61:T61"/>
    <mergeCell ref="D62:E62"/>
    <mergeCell ref="P62:T62"/>
    <mergeCell ref="D50:E50"/>
    <mergeCell ref="P50:T50"/>
    <mergeCell ref="D51:E51"/>
    <mergeCell ref="P51:T51"/>
    <mergeCell ref="D52:E52"/>
    <mergeCell ref="P52:T52"/>
    <mergeCell ref="P53:V53"/>
    <mergeCell ref="P54:V54"/>
    <mergeCell ref="A55:Z55"/>
    <mergeCell ref="D43:E43"/>
    <mergeCell ref="P43:T43"/>
    <mergeCell ref="P44:V44"/>
    <mergeCell ref="P45:V45"/>
    <mergeCell ref="A46:Z46"/>
    <mergeCell ref="A47:Z47"/>
    <mergeCell ref="A48:Z48"/>
    <mergeCell ref="D49:E49"/>
    <mergeCell ref="P49:T49"/>
    <mergeCell ref="P35:V35"/>
    <mergeCell ref="A36:Z36"/>
    <mergeCell ref="D37:E37"/>
    <mergeCell ref="P37:T37"/>
    <mergeCell ref="P38:V38"/>
    <mergeCell ref="P39:V39"/>
    <mergeCell ref="A40:Z40"/>
    <mergeCell ref="A41:Z41"/>
    <mergeCell ref="A42:Z42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P24:V24"/>
    <mergeCell ref="P25:V25"/>
    <mergeCell ref="A26:Z26"/>
    <mergeCell ref="D27:E27"/>
    <mergeCell ref="P27:T27"/>
    <mergeCell ref="D28:E28"/>
    <mergeCell ref="P28:T28"/>
    <mergeCell ref="D29:E29"/>
    <mergeCell ref="P29:T29"/>
    <mergeCell ref="A20:Z20"/>
    <mergeCell ref="A21:Z21"/>
    <mergeCell ref="D22:E22"/>
    <mergeCell ref="P22:T22"/>
    <mergeCell ref="X17:X18"/>
    <mergeCell ref="P15:T16"/>
    <mergeCell ref="D17:E18"/>
    <mergeCell ref="D23:E23"/>
    <mergeCell ref="P23:T23"/>
    <mergeCell ref="A12:M12"/>
    <mergeCell ref="Q12:R12"/>
    <mergeCell ref="V12:W12"/>
    <mergeCell ref="A13:M13"/>
    <mergeCell ref="Q13:R13"/>
    <mergeCell ref="A14:M14"/>
    <mergeCell ref="A15:M15"/>
    <mergeCell ref="U17:V17"/>
    <mergeCell ref="A19:Z19"/>
    <mergeCell ref="T6:U9"/>
    <mergeCell ref="V6:W9"/>
    <mergeCell ref="A10:C10"/>
    <mergeCell ref="D10:E10"/>
    <mergeCell ref="F10:G10"/>
    <mergeCell ref="H10:M10"/>
    <mergeCell ref="Q10:R10"/>
    <mergeCell ref="V10:W10"/>
    <mergeCell ref="Q11:R11"/>
    <mergeCell ref="V11:W11"/>
    <mergeCell ref="A6:C6"/>
    <mergeCell ref="D6:M6"/>
    <mergeCell ref="Q6:R6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A5:C5"/>
    <mergeCell ref="D5:E5"/>
    <mergeCell ref="F5:G5"/>
    <mergeCell ref="H5:M5"/>
    <mergeCell ref="Q5:R5"/>
    <mergeCell ref="T5:U5"/>
    <mergeCell ref="P2:W3"/>
    <mergeCell ref="V5:W5"/>
  </mergeCells>
  <conditionalFormatting sqref="D9:G10">
    <cfRule type="expression" dxfId="1" priority="2" stopIfTrue="1">
      <formula>IF($V$5="самовывоз",1,0)</formula>
    </cfRule>
  </conditionalFormatting>
  <conditionalFormatting sqref="H9:I9">
    <cfRule type="expression" dxfId="0" priority="6" stopIfTrue="1">
      <formula>IF($V$5="самовывоз",1,0)</formula>
    </cfRule>
  </conditionalFormatting>
  <dataValidations count="17"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allowBlank="1" showInputMessage="1" showErrorMessage="1" sqref="D6:N6" xr:uid="{00000000-0002-0000-0000-000002000000}">
      <formula1>DeliveryAdressList</formula1>
    </dataValidation>
    <dataValidation type="list" allowBlank="1" showInputMessage="1" showErrorMessage="1" sqref="D8:L8" xr:uid="{00000000-0002-0000-0000-000003000000}">
      <formula1>CHOOSE($D$7,UnloadAdressList0001,UnloadAdressList0002,UnloadAdressList0003,UnloadAdressList0004)</formula1>
    </dataValidation>
    <dataValidation type="list" allowBlank="1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allowBlank="1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allowBlank="1" showInputMessage="1" showErrorMessage="1" sqref="D10:E10" xr:uid="{00000000-0002-0000-0000-000008000000}">
      <formula1>IF(TypeProxy="Уполномоченное лицо",NumProxySet,null)</formula1>
    </dataValidation>
    <dataValidation allowBlank="1" showInputMessage="1" showErrorMessage="1" prompt="Введите код клиента в системе Axapta" sqref="V10" xr:uid="{00000000-0002-0000-0000-000009000000}"/>
    <dataValidation type="list" allowBlank="1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allowBlank="1" showInputMessage="1" showErrorMessage="1" sqref="V12" xr:uid="{00000000-0002-0000-0000-00000B000000}">
      <formula1>DeliveryConditionsList</formula1>
    </dataValidation>
    <dataValidation type="list" allowBlank="1" showInputMessage="1" showErrorMessage="1" sqref="X16:AC16" xr:uid="{00000000-0002-0000-0000-00000C000000}">
      <formula1>"80-60,60-40,40-10,70-10"</formula1>
    </dataValidation>
    <dataValidation allowBlank="1" showInputMessage="1" showErrorMessage="1" error="укажите вес, кратный весу коробки" sqref="Z22:AC22" xr:uid="{00000000-0002-0000-0000-00000D000000}"/>
    <dataValidation allowBlank="1" showInputMessage="1" showErrorMessage="1" prompt="День недели загрузки. Считается сам." sqref="Q6:Q7" xr:uid="{00000000-0002-0000-0000-00000E000000}"/>
    <dataValidation allowBlank="1" showInputMessage="1" showErrorMessage="1" prompt="Введите название вашей фирмы." sqref="V6:V7" xr:uid="{00000000-0002-0000-0000-00000F000000}"/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10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  <headerFooter alignWithMargins="0"/>
  <ignoredErrors>
    <ignoredError sqref="J9 H9 Q6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790</v>
      </c>
      <c r="H1" s="1"/>
    </row>
    <row r="3" spans="2:8" x14ac:dyDescent="0.2">
      <c r="B3" s="2" t="s">
        <v>791</v>
      </c>
      <c r="C3" s="2" t="s">
        <v>20</v>
      </c>
      <c r="D3" s="2" t="s">
        <v>20</v>
      </c>
      <c r="E3" s="2" t="s">
        <v>20</v>
      </c>
    </row>
    <row r="4" spans="2:8" x14ac:dyDescent="0.2">
      <c r="B4" s="2" t="s">
        <v>12</v>
      </c>
      <c r="C4" s="2" t="s">
        <v>20</v>
      </c>
      <c r="D4" s="2" t="s">
        <v>20</v>
      </c>
      <c r="E4" s="2" t="s">
        <v>20</v>
      </c>
    </row>
    <row r="6" spans="2:8" x14ac:dyDescent="0.2">
      <c r="B6" s="2" t="s">
        <v>792</v>
      </c>
      <c r="C6" s="2" t="s">
        <v>793</v>
      </c>
      <c r="D6" s="2" t="s">
        <v>794</v>
      </c>
      <c r="E6" s="2" t="s">
        <v>20</v>
      </c>
    </row>
    <row r="7" spans="2:8" x14ac:dyDescent="0.2">
      <c r="B7" s="2" t="s">
        <v>795</v>
      </c>
      <c r="C7" s="2" t="s">
        <v>796</v>
      </c>
      <c r="D7" s="2" t="s">
        <v>797</v>
      </c>
      <c r="E7" s="2" t="s">
        <v>20</v>
      </c>
    </row>
    <row r="8" spans="2:8" x14ac:dyDescent="0.2">
      <c r="B8" s="2" t="s">
        <v>798</v>
      </c>
      <c r="C8" s="2" t="s">
        <v>799</v>
      </c>
      <c r="D8" s="2" t="s">
        <v>800</v>
      </c>
      <c r="E8" s="2" t="s">
        <v>20</v>
      </c>
    </row>
    <row r="9" spans="2:8" x14ac:dyDescent="0.2">
      <c r="B9" s="2" t="s">
        <v>14</v>
      </c>
      <c r="C9" s="2" t="s">
        <v>801</v>
      </c>
      <c r="D9" s="2" t="s">
        <v>802</v>
      </c>
      <c r="E9" s="2" t="s">
        <v>20</v>
      </c>
    </row>
    <row r="11" spans="2:8" x14ac:dyDescent="0.2">
      <c r="B11" s="2" t="s">
        <v>803</v>
      </c>
      <c r="C11" s="2" t="s">
        <v>793</v>
      </c>
      <c r="D11" s="2" t="s">
        <v>20</v>
      </c>
      <c r="E11" s="2" t="s">
        <v>20</v>
      </c>
    </row>
    <row r="13" spans="2:8" x14ac:dyDescent="0.2">
      <c r="B13" s="2" t="s">
        <v>804</v>
      </c>
      <c r="C13" s="2" t="s">
        <v>796</v>
      </c>
      <c r="D13" s="2" t="s">
        <v>20</v>
      </c>
      <c r="E13" s="2" t="s">
        <v>20</v>
      </c>
    </row>
    <row r="15" spans="2:8" x14ac:dyDescent="0.2">
      <c r="B15" s="2" t="s">
        <v>805</v>
      </c>
      <c r="C15" s="2" t="s">
        <v>799</v>
      </c>
      <c r="D15" s="2" t="s">
        <v>20</v>
      </c>
      <c r="E15" s="2" t="s">
        <v>20</v>
      </c>
    </row>
    <row r="17" spans="2:5" x14ac:dyDescent="0.2">
      <c r="B17" s="2" t="s">
        <v>806</v>
      </c>
      <c r="C17" s="2" t="s">
        <v>801</v>
      </c>
      <c r="D17" s="2" t="s">
        <v>20</v>
      </c>
      <c r="E17" s="2" t="s">
        <v>20</v>
      </c>
    </row>
    <row r="19" spans="2:5" x14ac:dyDescent="0.2">
      <c r="B19" s="2" t="s">
        <v>807</v>
      </c>
      <c r="C19" s="2" t="s">
        <v>20</v>
      </c>
      <c r="D19" s="2" t="s">
        <v>20</v>
      </c>
      <c r="E19" s="2" t="s">
        <v>20</v>
      </c>
    </row>
    <row r="20" spans="2:5" x14ac:dyDescent="0.2">
      <c r="B20" s="2" t="s">
        <v>808</v>
      </c>
      <c r="C20" s="2" t="s">
        <v>20</v>
      </c>
      <c r="D20" s="2" t="s">
        <v>20</v>
      </c>
      <c r="E20" s="2" t="s">
        <v>20</v>
      </c>
    </row>
    <row r="21" spans="2:5" x14ac:dyDescent="0.2">
      <c r="B21" s="2" t="s">
        <v>809</v>
      </c>
      <c r="C21" s="2" t="s">
        <v>20</v>
      </c>
      <c r="D21" s="2" t="s">
        <v>20</v>
      </c>
      <c r="E21" s="2" t="s">
        <v>20</v>
      </c>
    </row>
    <row r="22" spans="2:5" x14ac:dyDescent="0.2">
      <c r="B22" s="2" t="s">
        <v>810</v>
      </c>
      <c r="C22" s="2" t="s">
        <v>20</v>
      </c>
      <c r="D22" s="2" t="s">
        <v>20</v>
      </c>
      <c r="E22" s="2" t="s">
        <v>20</v>
      </c>
    </row>
    <row r="23" spans="2:5" x14ac:dyDescent="0.2">
      <c r="B23" s="2" t="s">
        <v>811</v>
      </c>
      <c r="C23" s="2" t="s">
        <v>20</v>
      </c>
      <c r="D23" s="2" t="s">
        <v>20</v>
      </c>
      <c r="E23" s="2" t="s">
        <v>20</v>
      </c>
    </row>
    <row r="24" spans="2:5" x14ac:dyDescent="0.2">
      <c r="B24" s="2" t="s">
        <v>812</v>
      </c>
      <c r="C24" s="2" t="s">
        <v>20</v>
      </c>
      <c r="D24" s="2" t="s">
        <v>20</v>
      </c>
      <c r="E24" s="2" t="s">
        <v>20</v>
      </c>
    </row>
    <row r="25" spans="2:5" x14ac:dyDescent="0.2">
      <c r="B25" s="2" t="s">
        <v>813</v>
      </c>
      <c r="C25" s="2" t="s">
        <v>20</v>
      </c>
      <c r="D25" s="2" t="s">
        <v>20</v>
      </c>
      <c r="E25" s="2" t="s">
        <v>20</v>
      </c>
    </row>
    <row r="26" spans="2:5" x14ac:dyDescent="0.2">
      <c r="B26" s="2" t="s">
        <v>814</v>
      </c>
      <c r="C26" s="2" t="s">
        <v>20</v>
      </c>
      <c r="D26" s="2" t="s">
        <v>20</v>
      </c>
      <c r="E26" s="2" t="s">
        <v>20</v>
      </c>
    </row>
    <row r="27" spans="2:5" x14ac:dyDescent="0.2">
      <c r="B27" s="2" t="s">
        <v>815</v>
      </c>
      <c r="C27" s="2" t="s">
        <v>20</v>
      </c>
      <c r="D27" s="2" t="s">
        <v>20</v>
      </c>
      <c r="E27" s="2" t="s">
        <v>20</v>
      </c>
    </row>
    <row r="28" spans="2:5" x14ac:dyDescent="0.2">
      <c r="B28" s="2" t="s">
        <v>816</v>
      </c>
      <c r="C28" s="2" t="s">
        <v>20</v>
      </c>
      <c r="D28" s="2" t="s">
        <v>20</v>
      </c>
      <c r="E28" s="2" t="s">
        <v>20</v>
      </c>
    </row>
    <row r="29" spans="2:5" x14ac:dyDescent="0.2">
      <c r="B29" s="2" t="s">
        <v>817</v>
      </c>
      <c r="C29" s="2" t="s">
        <v>20</v>
      </c>
      <c r="D29" s="2" t="s">
        <v>20</v>
      </c>
      <c r="E29" s="2" t="s">
        <v>20</v>
      </c>
    </row>
  </sheetData>
  <sheetProtection algorithmName="SHA-512" hashValue="EIhPG078tFsIzrxa/HrDUZFeSYKpZHNB0hmJhuF9jFYw3Tdx+V2qOWV8VJI+wxsgcotxStW67+LoWZFiTcDfPA==" saltValue="/jU2gA5OT+w1TGaaC/sH1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/>
</ds:datastoreItem>
</file>

<file path=customXml/itemProps3.xml><?xml version="1.0" encoding="utf-8"?>
<ds:datastoreItem xmlns:ds="http://schemas.openxmlformats.org/officeDocument/2006/customXml" ds:itemID="{36407DDB-7AD7-47BE-9510-621E920C3D44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1023</vt:i4>
      </vt:variant>
    </vt:vector>
  </HeadingPairs>
  <TitlesOfParts>
    <vt:vector size="10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2021-11-12T12:13:00Z</dcterms:created>
  <dcterms:modified xsi:type="dcterms:W3CDTF">2026-08-19T15:19:49Z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42A958A018834D758083DC82239E6253_13</vt:lpwstr>
  </property>
  <property fmtid="{D5CDD505-2E9C-101B-9397-08002B2CF9AE}" pid="4" name="KSOProductBuildVer">
    <vt:lpwstr>1049-12.2.0.23196</vt:lpwstr>
  </property>
</Properties>
</file>