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CDCD82-7AED-4F04-B8D9-194F73C479A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P481" i="2"/>
  <c r="BO480" i="2"/>
  <c r="BM480" i="2"/>
  <c r="Y480" i="2"/>
  <c r="BP480" i="2" s="1"/>
  <c r="P480" i="2"/>
  <c r="X478" i="2"/>
  <c r="X477" i="2"/>
  <c r="BO476" i="2"/>
  <c r="BM476" i="2"/>
  <c r="Y476" i="2"/>
  <c r="Y477" i="2" s="1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BN467" i="2" s="1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P459" i="2"/>
  <c r="BO458" i="2"/>
  <c r="BM458" i="2"/>
  <c r="Y458" i="2"/>
  <c r="Y463" i="2" s="1"/>
  <c r="P458" i="2"/>
  <c r="X454" i="2"/>
  <c r="X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X417" i="2"/>
  <c r="X416" i="2"/>
  <c r="BO415" i="2"/>
  <c r="BM415" i="2"/>
  <c r="Y415" i="2"/>
  <c r="BP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P407" i="2"/>
  <c r="X405" i="2"/>
  <c r="X404" i="2"/>
  <c r="BO403" i="2"/>
  <c r="BM403" i="2"/>
  <c r="Y403" i="2"/>
  <c r="Z403" i="2" s="1"/>
  <c r="Z404" i="2" s="1"/>
  <c r="P403" i="2"/>
  <c r="X400" i="2"/>
  <c r="X399" i="2"/>
  <c r="BO398" i="2"/>
  <c r="BM398" i="2"/>
  <c r="Y398" i="2"/>
  <c r="BP398" i="2" s="1"/>
  <c r="P398" i="2"/>
  <c r="BO397" i="2"/>
  <c r="BM397" i="2"/>
  <c r="Y397" i="2"/>
  <c r="Y400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Z390" i="2" s="1"/>
  <c r="P390" i="2"/>
  <c r="BO389" i="2"/>
  <c r="BM389" i="2"/>
  <c r="Y389" i="2"/>
  <c r="Z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Y371" i="2" s="1"/>
  <c r="P368" i="2"/>
  <c r="X365" i="2"/>
  <c r="X364" i="2"/>
  <c r="BO363" i="2"/>
  <c r="BM363" i="2"/>
  <c r="Y363" i="2"/>
  <c r="Y365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N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BP335" i="2" s="1"/>
  <c r="P335" i="2"/>
  <c r="X332" i="2"/>
  <c r="X331" i="2"/>
  <c r="BO330" i="2"/>
  <c r="BM330" i="2"/>
  <c r="Y330" i="2"/>
  <c r="P330" i="2"/>
  <c r="BO329" i="2"/>
  <c r="BM329" i="2"/>
  <c r="Y329" i="2"/>
  <c r="Z329" i="2" s="1"/>
  <c r="P329" i="2"/>
  <c r="BO328" i="2"/>
  <c r="BM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X305" i="2"/>
  <c r="X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P289" i="2"/>
  <c r="X286" i="2"/>
  <c r="X285" i="2"/>
  <c r="BO284" i="2"/>
  <c r="BM284" i="2"/>
  <c r="Y284" i="2"/>
  <c r="Z284" i="2" s="1"/>
  <c r="Z285" i="2" s="1"/>
  <c r="P284" i="2"/>
  <c r="X282" i="2"/>
  <c r="X281" i="2"/>
  <c r="BO280" i="2"/>
  <c r="BM280" i="2"/>
  <c r="Y280" i="2"/>
  <c r="P280" i="2"/>
  <c r="BO279" i="2"/>
  <c r="BM279" i="2"/>
  <c r="Y279" i="2"/>
  <c r="P279" i="2"/>
  <c r="X276" i="2"/>
  <c r="X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P264" i="2"/>
  <c r="X261" i="2"/>
  <c r="X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BN247" i="2" s="1"/>
  <c r="P247" i="2"/>
  <c r="BO246" i="2"/>
  <c r="BM246" i="2"/>
  <c r="Y246" i="2"/>
  <c r="P246" i="2"/>
  <c r="X244" i="2"/>
  <c r="X243" i="2"/>
  <c r="BO242" i="2"/>
  <c r="BM242" i="2"/>
  <c r="Y242" i="2"/>
  <c r="P242" i="2"/>
  <c r="X240" i="2"/>
  <c r="X239" i="2"/>
  <c r="BO238" i="2"/>
  <c r="BM238" i="2"/>
  <c r="Y238" i="2"/>
  <c r="Z238" i="2" s="1"/>
  <c r="Z239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P225" i="2"/>
  <c r="X222" i="2"/>
  <c r="X221" i="2"/>
  <c r="BO220" i="2"/>
  <c r="BM220" i="2"/>
  <c r="Y220" i="2"/>
  <c r="Z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Z207" i="2" s="1"/>
  <c r="P207" i="2"/>
  <c r="X205" i="2"/>
  <c r="X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Z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P196" i="2"/>
  <c r="X194" i="2"/>
  <c r="X193" i="2"/>
  <c r="BO192" i="2"/>
  <c r="BM192" i="2"/>
  <c r="Y192" i="2"/>
  <c r="P192" i="2"/>
  <c r="BO191" i="2"/>
  <c r="BM191" i="2"/>
  <c r="Y191" i="2"/>
  <c r="BP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Y188" i="2" s="1"/>
  <c r="P186" i="2"/>
  <c r="X183" i="2"/>
  <c r="X182" i="2"/>
  <c r="BO181" i="2"/>
  <c r="BM181" i="2"/>
  <c r="Y181" i="2"/>
  <c r="Z181" i="2" s="1"/>
  <c r="Z182" i="2" s="1"/>
  <c r="P181" i="2"/>
  <c r="X179" i="2"/>
  <c r="X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P169" i="2"/>
  <c r="BO168" i="2"/>
  <c r="BM168" i="2"/>
  <c r="Y168" i="2"/>
  <c r="P168" i="2"/>
  <c r="BO167" i="2"/>
  <c r="BM167" i="2"/>
  <c r="Y167" i="2"/>
  <c r="Z167" i="2" s="1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P163" i="2" s="1"/>
  <c r="P163" i="2"/>
  <c r="X161" i="2"/>
  <c r="X160" i="2"/>
  <c r="BO159" i="2"/>
  <c r="BM159" i="2"/>
  <c r="Y159" i="2"/>
  <c r="Z159" i="2" s="1"/>
  <c r="Z160" i="2" s="1"/>
  <c r="P159" i="2"/>
  <c r="X155" i="2"/>
  <c r="X154" i="2"/>
  <c r="BO153" i="2"/>
  <c r="BM153" i="2"/>
  <c r="Y153" i="2"/>
  <c r="X151" i="2"/>
  <c r="X150" i="2"/>
  <c r="BO149" i="2"/>
  <c r="BM149" i="2"/>
  <c r="Y149" i="2"/>
  <c r="P149" i="2"/>
  <c r="BO148" i="2"/>
  <c r="BM148" i="2"/>
  <c r="Y148" i="2"/>
  <c r="P148" i="2"/>
  <c r="BO147" i="2"/>
  <c r="BM147" i="2"/>
  <c r="Y147" i="2"/>
  <c r="BP147" i="2" s="1"/>
  <c r="P147" i="2"/>
  <c r="X145" i="2"/>
  <c r="X144" i="2"/>
  <c r="BO143" i="2"/>
  <c r="BM143" i="2"/>
  <c r="Y143" i="2"/>
  <c r="Z143" i="2" s="1"/>
  <c r="P143" i="2"/>
  <c r="BO142" i="2"/>
  <c r="BM142" i="2"/>
  <c r="Y142" i="2"/>
  <c r="Z142" i="2" s="1"/>
  <c r="P142" i="2"/>
  <c r="BO141" i="2"/>
  <c r="BM141" i="2"/>
  <c r="Y141" i="2"/>
  <c r="BP141" i="2" s="1"/>
  <c r="P141" i="2"/>
  <c r="X138" i="2"/>
  <c r="X137" i="2"/>
  <c r="BO136" i="2"/>
  <c r="BM136" i="2"/>
  <c r="Y136" i="2"/>
  <c r="P136" i="2"/>
  <c r="BO135" i="2"/>
  <c r="BM135" i="2"/>
  <c r="Y135" i="2"/>
  <c r="BP135" i="2" s="1"/>
  <c r="P135" i="2"/>
  <c r="X133" i="2"/>
  <c r="X132" i="2"/>
  <c r="BO131" i="2"/>
  <c r="BM131" i="2"/>
  <c r="Y131" i="2"/>
  <c r="P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P125" i="2"/>
  <c r="X122" i="2"/>
  <c r="X121" i="2"/>
  <c r="BO120" i="2"/>
  <c r="BM120" i="2"/>
  <c r="Y120" i="2"/>
  <c r="BP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Z114" i="2" s="1"/>
  <c r="P114" i="2"/>
  <c r="BO113" i="2"/>
  <c r="BM113" i="2"/>
  <c r="Y113" i="2"/>
  <c r="P113" i="2"/>
  <c r="X111" i="2"/>
  <c r="X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Z100" i="2" s="1"/>
  <c r="P100" i="2"/>
  <c r="X97" i="2"/>
  <c r="X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BP92" i="2" s="1"/>
  <c r="P92" i="2"/>
  <c r="X90" i="2"/>
  <c r="X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Z66" i="2" s="1"/>
  <c r="P66" i="2"/>
  <c r="X64" i="2"/>
  <c r="X63" i="2"/>
  <c r="BO62" i="2"/>
  <c r="BM62" i="2"/>
  <c r="Y62" i="2"/>
  <c r="Z62" i="2" s="1"/>
  <c r="P62" i="2"/>
  <c r="BO61" i="2"/>
  <c r="BM61" i="2"/>
  <c r="Y61" i="2"/>
  <c r="BP61" i="2" s="1"/>
  <c r="P61" i="2"/>
  <c r="BO60" i="2"/>
  <c r="BM60" i="2"/>
  <c r="Y60" i="2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Z52" i="2" s="1"/>
  <c r="P52" i="2"/>
  <c r="BO51" i="2"/>
  <c r="BM51" i="2"/>
  <c r="Y51" i="2"/>
  <c r="P51" i="2"/>
  <c r="X48" i="2"/>
  <c r="X47" i="2"/>
  <c r="BO46" i="2"/>
  <c r="BM46" i="2"/>
  <c r="Y46" i="2"/>
  <c r="P46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Z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F10" i="2" s="1"/>
  <c r="D7" i="2"/>
  <c r="Q6" i="2"/>
  <c r="P2" i="2"/>
  <c r="A10" i="2" l="1"/>
  <c r="Z92" i="2"/>
  <c r="BN92" i="2"/>
  <c r="BP214" i="2"/>
  <c r="Z22" i="2"/>
  <c r="Z23" i="2" s="1"/>
  <c r="BN22" i="2"/>
  <c r="BP22" i="2"/>
  <c r="Y23" i="2"/>
  <c r="Z26" i="2"/>
  <c r="BN26" i="2"/>
  <c r="Z147" i="2"/>
  <c r="BN147" i="2"/>
  <c r="Y151" i="2"/>
  <c r="Z388" i="2"/>
  <c r="BN388" i="2"/>
  <c r="Z442" i="2"/>
  <c r="BN442" i="2"/>
  <c r="Z67" i="2"/>
  <c r="BN67" i="2"/>
  <c r="BP108" i="2"/>
  <c r="Z187" i="2"/>
  <c r="BN187" i="2"/>
  <c r="Z197" i="2"/>
  <c r="BN197" i="2"/>
  <c r="Z307" i="2"/>
  <c r="Z347" i="2"/>
  <c r="BN347" i="2"/>
  <c r="Z410" i="2"/>
  <c r="Z461" i="2"/>
  <c r="Z75" i="2"/>
  <c r="BP130" i="2"/>
  <c r="BP170" i="2"/>
  <c r="BP203" i="2"/>
  <c r="Z250" i="2"/>
  <c r="BN250" i="2"/>
  <c r="Z299" i="2"/>
  <c r="BN299" i="2"/>
  <c r="Y326" i="2"/>
  <c r="Z359" i="2"/>
  <c r="BN359" i="2"/>
  <c r="Z398" i="2"/>
  <c r="BN398" i="2"/>
  <c r="Z428" i="2"/>
  <c r="Z452" i="2"/>
  <c r="BP476" i="2"/>
  <c r="Z480" i="2"/>
  <c r="Z335" i="2"/>
  <c r="BN335" i="2"/>
  <c r="X489" i="2"/>
  <c r="BP41" i="2"/>
  <c r="Z61" i="2"/>
  <c r="BN61" i="2"/>
  <c r="BP73" i="2"/>
  <c r="Y83" i="2"/>
  <c r="Z94" i="2"/>
  <c r="BN94" i="2"/>
  <c r="Z103" i="2"/>
  <c r="BN103" i="2"/>
  <c r="Z141" i="2"/>
  <c r="Z144" i="2" s="1"/>
  <c r="BN141" i="2"/>
  <c r="Z199" i="2"/>
  <c r="BN199" i="2"/>
  <c r="Z219" i="2"/>
  <c r="BN219" i="2"/>
  <c r="Z230" i="2"/>
  <c r="BN230" i="2"/>
  <c r="BP247" i="2"/>
  <c r="BP258" i="2"/>
  <c r="Z292" i="2"/>
  <c r="BN292" i="2"/>
  <c r="Z293" i="2"/>
  <c r="BN293" i="2"/>
  <c r="BP302" i="2"/>
  <c r="Z309" i="2"/>
  <c r="BN309" i="2"/>
  <c r="Z324" i="2"/>
  <c r="BN324" i="2"/>
  <c r="Z343" i="2"/>
  <c r="BN343" i="2"/>
  <c r="BP344" i="2"/>
  <c r="Z353" i="2"/>
  <c r="BN353" i="2"/>
  <c r="BP354" i="2"/>
  <c r="Y355" i="2"/>
  <c r="Y356" i="2"/>
  <c r="Z363" i="2"/>
  <c r="Z364" i="2" s="1"/>
  <c r="BN363" i="2"/>
  <c r="BP363" i="2"/>
  <c r="Y364" i="2"/>
  <c r="Z392" i="2"/>
  <c r="BN392" i="2"/>
  <c r="Z424" i="2"/>
  <c r="BN424" i="2"/>
  <c r="Z430" i="2"/>
  <c r="BN430" i="2"/>
  <c r="Z444" i="2"/>
  <c r="BN444" i="2"/>
  <c r="Z458" i="2"/>
  <c r="BP467" i="2"/>
  <c r="Y488" i="2"/>
  <c r="BN27" i="2"/>
  <c r="BP27" i="2"/>
  <c r="Y47" i="2"/>
  <c r="BP46" i="2"/>
  <c r="BN46" i="2"/>
  <c r="Z46" i="2"/>
  <c r="Z47" i="2" s="1"/>
  <c r="Y48" i="2"/>
  <c r="BP51" i="2"/>
  <c r="BN51" i="2"/>
  <c r="Z51" i="2"/>
  <c r="Y77" i="2"/>
  <c r="Z72" i="2"/>
  <c r="BP76" i="2"/>
  <c r="Z76" i="2"/>
  <c r="BN88" i="2"/>
  <c r="BP88" i="2"/>
  <c r="BN95" i="2"/>
  <c r="BP95" i="2"/>
  <c r="Y96" i="2"/>
  <c r="BP101" i="2"/>
  <c r="BN101" i="2"/>
  <c r="Z101" i="2"/>
  <c r="BP113" i="2"/>
  <c r="BN113" i="2"/>
  <c r="Z113" i="2"/>
  <c r="BN131" i="2"/>
  <c r="BP131" i="2"/>
  <c r="BP136" i="2"/>
  <c r="BN136" i="2"/>
  <c r="Z136" i="2"/>
  <c r="BP149" i="2"/>
  <c r="BN149" i="2"/>
  <c r="Z149" i="2"/>
  <c r="BN164" i="2"/>
  <c r="BP164" i="2"/>
  <c r="BP166" i="2"/>
  <c r="BN166" i="2"/>
  <c r="Z166" i="2"/>
  <c r="BN171" i="2"/>
  <c r="BP171" i="2"/>
  <c r="BP176" i="2"/>
  <c r="BN176" i="2"/>
  <c r="Z176" i="2"/>
  <c r="BN198" i="2"/>
  <c r="BN212" i="2"/>
  <c r="BP212" i="2"/>
  <c r="BN213" i="2"/>
  <c r="BP213" i="2"/>
  <c r="Z221" i="2"/>
  <c r="BP303" i="2"/>
  <c r="BN303" i="2"/>
  <c r="Z303" i="2"/>
  <c r="BN389" i="2"/>
  <c r="BP389" i="2"/>
  <c r="BP443" i="2"/>
  <c r="Z443" i="2"/>
  <c r="BN481" i="2"/>
  <c r="BP481" i="2"/>
  <c r="X491" i="2"/>
  <c r="X490" i="2"/>
  <c r="Z34" i="2"/>
  <c r="Z35" i="2" s="1"/>
  <c r="BN34" i="2"/>
  <c r="BP34" i="2"/>
  <c r="Y36" i="2"/>
  <c r="BN56" i="2"/>
  <c r="BN62" i="2"/>
  <c r="BP62" i="2"/>
  <c r="BN74" i="2"/>
  <c r="BP74" i="2"/>
  <c r="Y78" i="2"/>
  <c r="Y104" i="2"/>
  <c r="Y105" i="2"/>
  <c r="Y121" i="2"/>
  <c r="Y122" i="2"/>
  <c r="Y128" i="2"/>
  <c r="Y127" i="2"/>
  <c r="BP126" i="2"/>
  <c r="BN126" i="2"/>
  <c r="Z126" i="2"/>
  <c r="BN142" i="2"/>
  <c r="BP142" i="2"/>
  <c r="Y150" i="2"/>
  <c r="BP169" i="2"/>
  <c r="Z169" i="2"/>
  <c r="BN181" i="2"/>
  <c r="BP181" i="2"/>
  <c r="Y182" i="2"/>
  <c r="Y183" i="2"/>
  <c r="BP186" i="2"/>
  <c r="Z186" i="2"/>
  <c r="BP209" i="2"/>
  <c r="BN209" i="2"/>
  <c r="Z209" i="2"/>
  <c r="Y243" i="2"/>
  <c r="BP242" i="2"/>
  <c r="BN242" i="2"/>
  <c r="Z242" i="2"/>
  <c r="Z243" i="2" s="1"/>
  <c r="Y244" i="2"/>
  <c r="BN246" i="2"/>
  <c r="BP246" i="2"/>
  <c r="BN256" i="2"/>
  <c r="Z256" i="2"/>
  <c r="BN257" i="2"/>
  <c r="BP257" i="2"/>
  <c r="BP289" i="2"/>
  <c r="BN289" i="2"/>
  <c r="Z289" i="2"/>
  <c r="BN322" i="2"/>
  <c r="BP322" i="2"/>
  <c r="BN323" i="2"/>
  <c r="Y332" i="2"/>
  <c r="BP328" i="2"/>
  <c r="BN328" i="2"/>
  <c r="Z328" i="2"/>
  <c r="BP346" i="2"/>
  <c r="Z346" i="2"/>
  <c r="BN358" i="2"/>
  <c r="Y360" i="2"/>
  <c r="BP369" i="2"/>
  <c r="Z369" i="2"/>
  <c r="BP407" i="2"/>
  <c r="BN407" i="2"/>
  <c r="Z407" i="2"/>
  <c r="BN425" i="2"/>
  <c r="BP425" i="2"/>
  <c r="BN52" i="2"/>
  <c r="BP52" i="2"/>
  <c r="Y132" i="2"/>
  <c r="Y133" i="2"/>
  <c r="BN135" i="2"/>
  <c r="Y137" i="2"/>
  <c r="Y138" i="2"/>
  <c r="BN165" i="2"/>
  <c r="J499" i="2"/>
  <c r="BN208" i="2"/>
  <c r="BP215" i="2"/>
  <c r="Z215" i="2"/>
  <c r="BN228" i="2"/>
  <c r="BP228" i="2"/>
  <c r="BN229" i="2"/>
  <c r="BN234" i="2"/>
  <c r="BP234" i="2"/>
  <c r="BP248" i="2"/>
  <c r="BN248" i="2"/>
  <c r="Z248" i="2"/>
  <c r="BP249" i="2"/>
  <c r="Z249" i="2"/>
  <c r="BP264" i="2"/>
  <c r="BN264" i="2"/>
  <c r="Z264" i="2"/>
  <c r="O499" i="2"/>
  <c r="BN273" i="2"/>
  <c r="Z273" i="2"/>
  <c r="BN274" i="2"/>
  <c r="Y276" i="2"/>
  <c r="BP280" i="2"/>
  <c r="BN280" i="2"/>
  <c r="Z280" i="2"/>
  <c r="BN298" i="2"/>
  <c r="BN308" i="2"/>
  <c r="Y312" i="2"/>
  <c r="Y313" i="2"/>
  <c r="BP321" i="2"/>
  <c r="BN321" i="2"/>
  <c r="Z321" i="2"/>
  <c r="BP337" i="2"/>
  <c r="BN337" i="2"/>
  <c r="Z337" i="2"/>
  <c r="BP349" i="2"/>
  <c r="BN349" i="2"/>
  <c r="Z349" i="2"/>
  <c r="Y395" i="2"/>
  <c r="BP386" i="2"/>
  <c r="BN386" i="2"/>
  <c r="Z386" i="2"/>
  <c r="BN393" i="2"/>
  <c r="Y416" i="2"/>
  <c r="Y417" i="2"/>
  <c r="BP422" i="2"/>
  <c r="BN422" i="2"/>
  <c r="Z422" i="2"/>
  <c r="BN429" i="2"/>
  <c r="Z435" i="2"/>
  <c r="Y439" i="2"/>
  <c r="Y438" i="2"/>
  <c r="BN435" i="2"/>
  <c r="BP435" i="2"/>
  <c r="BN445" i="2"/>
  <c r="BP445" i="2"/>
  <c r="Y454" i="2"/>
  <c r="Y453" i="2"/>
  <c r="BP450" i="2"/>
  <c r="BN450" i="2"/>
  <c r="Z450" i="2"/>
  <c r="BN459" i="2"/>
  <c r="BP459" i="2"/>
  <c r="BN476" i="2"/>
  <c r="Y478" i="2"/>
  <c r="Z476" i="2"/>
  <c r="Z477" i="2" s="1"/>
  <c r="Y236" i="2"/>
  <c r="BN225" i="2"/>
  <c r="BP225" i="2"/>
  <c r="BN267" i="2"/>
  <c r="BN329" i="2"/>
  <c r="BP329" i="2"/>
  <c r="R499" i="2"/>
  <c r="Y338" i="2"/>
  <c r="Y339" i="2"/>
  <c r="BP452" i="2"/>
  <c r="Y482" i="2"/>
  <c r="Y483" i="2"/>
  <c r="BP53" i="2"/>
  <c r="BN53" i="2"/>
  <c r="Y118" i="2"/>
  <c r="Y117" i="2"/>
  <c r="BP114" i="2"/>
  <c r="BN114" i="2"/>
  <c r="Y161" i="2"/>
  <c r="Y160" i="2"/>
  <c r="I499" i="2"/>
  <c r="BP200" i="2"/>
  <c r="BN200" i="2"/>
  <c r="Y286" i="2"/>
  <c r="Y285" i="2"/>
  <c r="BP284" i="2"/>
  <c r="BP378" i="2"/>
  <c r="BN378" i="2"/>
  <c r="X499" i="2"/>
  <c r="Y433" i="2"/>
  <c r="Y432" i="2"/>
  <c r="BP421" i="2"/>
  <c r="BN421" i="2"/>
  <c r="Z421" i="2"/>
  <c r="BP168" i="2"/>
  <c r="BN168" i="2"/>
  <c r="Z168" i="2"/>
  <c r="Y269" i="2"/>
  <c r="BP265" i="2"/>
  <c r="Y268" i="2"/>
  <c r="BN265" i="2"/>
  <c r="M499" i="2"/>
  <c r="Z317" i="2"/>
  <c r="Z378" i="2"/>
  <c r="Z265" i="2"/>
  <c r="Y281" i="2"/>
  <c r="P499" i="2"/>
  <c r="BP279" i="2"/>
  <c r="BP348" i="2"/>
  <c r="BN348" i="2"/>
  <c r="Z348" i="2"/>
  <c r="Y90" i="2"/>
  <c r="Z109" i="2"/>
  <c r="BN159" i="2"/>
  <c r="Y178" i="2"/>
  <c r="BN177" i="2"/>
  <c r="BP177" i="2"/>
  <c r="Y240" i="2"/>
  <c r="Y239" i="2"/>
  <c r="Z279" i="2"/>
  <c r="BN284" i="2"/>
  <c r="BN317" i="2"/>
  <c r="Z345" i="2"/>
  <c r="BN410" i="2"/>
  <c r="Y305" i="2"/>
  <c r="Y304" i="2"/>
  <c r="BP373" i="2"/>
  <c r="BN373" i="2"/>
  <c r="BP431" i="2"/>
  <c r="BN431" i="2"/>
  <c r="D499" i="2"/>
  <c r="BN68" i="2"/>
  <c r="Z68" i="2"/>
  <c r="BN109" i="2"/>
  <c r="BP115" i="2"/>
  <c r="BN115" i="2"/>
  <c r="Z115" i="2"/>
  <c r="BP159" i="2"/>
  <c r="Z192" i="2"/>
  <c r="Y217" i="2"/>
  <c r="Y216" i="2"/>
  <c r="L499" i="2"/>
  <c r="Z259" i="2"/>
  <c r="BN279" i="2"/>
  <c r="Z297" i="2"/>
  <c r="BP300" i="2"/>
  <c r="BN300" i="2"/>
  <c r="BN345" i="2"/>
  <c r="Z373" i="2"/>
  <c r="Z431" i="2"/>
  <c r="Y469" i="2"/>
  <c r="BP465" i="2"/>
  <c r="Y468" i="2"/>
  <c r="BN465" i="2"/>
  <c r="E499" i="2"/>
  <c r="BP86" i="2"/>
  <c r="Y89" i="2"/>
  <c r="BN86" i="2"/>
  <c r="Y172" i="2"/>
  <c r="BP210" i="2"/>
  <c r="BN210" i="2"/>
  <c r="Y235" i="2"/>
  <c r="BP226" i="2"/>
  <c r="BN226" i="2"/>
  <c r="K499" i="2"/>
  <c r="BN238" i="2"/>
  <c r="BN428" i="2"/>
  <c r="Z465" i="2"/>
  <c r="BP60" i="2"/>
  <c r="Y64" i="2"/>
  <c r="Y173" i="2"/>
  <c r="BN192" i="2"/>
  <c r="BN259" i="2"/>
  <c r="BN297" i="2"/>
  <c r="Y370" i="2"/>
  <c r="T499" i="2"/>
  <c r="BP368" i="2"/>
  <c r="BP446" i="2"/>
  <c r="Z446" i="2"/>
  <c r="BN446" i="2"/>
  <c r="Z60" i="2"/>
  <c r="BP68" i="2"/>
  <c r="BN80" i="2"/>
  <c r="BP80" i="2"/>
  <c r="BN169" i="2"/>
  <c r="BN207" i="2"/>
  <c r="Z233" i="2"/>
  <c r="BP238" i="2"/>
  <c r="Q499" i="2"/>
  <c r="Z368" i="2"/>
  <c r="Z387" i="2"/>
  <c r="BP390" i="2"/>
  <c r="BN390" i="2"/>
  <c r="BN42" i="2"/>
  <c r="Y63" i="2"/>
  <c r="Y179" i="2"/>
  <c r="BP192" i="2"/>
  <c r="BP297" i="2"/>
  <c r="Y319" i="2"/>
  <c r="BP315" i="2"/>
  <c r="Y318" i="2"/>
  <c r="BN315" i="2"/>
  <c r="Y380" i="2"/>
  <c r="Y412" i="2"/>
  <c r="BP408" i="2"/>
  <c r="Y411" i="2"/>
  <c r="BN408" i="2"/>
  <c r="BN443" i="2"/>
  <c r="BP460" i="2"/>
  <c r="BN460" i="2"/>
  <c r="Y473" i="2"/>
  <c r="BP472" i="2"/>
  <c r="Z42" i="2"/>
  <c r="Z30" i="2"/>
  <c r="C499" i="2"/>
  <c r="Z55" i="2"/>
  <c r="Y111" i="2"/>
  <c r="Z116" i="2"/>
  <c r="Z202" i="2"/>
  <c r="BP207" i="2"/>
  <c r="BN233" i="2"/>
  <c r="BP256" i="2"/>
  <c r="BP273" i="2"/>
  <c r="Z315" i="2"/>
  <c r="BN368" i="2"/>
  <c r="BN387" i="2"/>
  <c r="Z408" i="2"/>
  <c r="Z460" i="2"/>
  <c r="Z472" i="2"/>
  <c r="G499" i="2"/>
  <c r="BN125" i="2"/>
  <c r="Z125" i="2"/>
  <c r="BP30" i="2"/>
  <c r="Y70" i="2"/>
  <c r="BN102" i="2"/>
  <c r="Z102" i="2"/>
  <c r="Y155" i="2"/>
  <c r="Y154" i="2"/>
  <c r="Z153" i="2"/>
  <c r="Z154" i="2" s="1"/>
  <c r="BN153" i="2"/>
  <c r="Y222" i="2"/>
  <c r="Y221" i="2"/>
  <c r="BP220" i="2"/>
  <c r="BN220" i="2"/>
  <c r="Z267" i="2"/>
  <c r="BP336" i="2"/>
  <c r="BN336" i="2"/>
  <c r="Z336" i="2"/>
  <c r="BN60" i="2"/>
  <c r="BN55" i="2"/>
  <c r="BP93" i="2"/>
  <c r="Y97" i="2"/>
  <c r="BN116" i="2"/>
  <c r="BP125" i="2"/>
  <c r="BN202" i="2"/>
  <c r="Y381" i="2"/>
  <c r="V499" i="2"/>
  <c r="Y405" i="2"/>
  <c r="Y404" i="2"/>
  <c r="BP403" i="2"/>
  <c r="Z423" i="2"/>
  <c r="BP426" i="2"/>
  <c r="BN426" i="2"/>
  <c r="BN472" i="2"/>
  <c r="Y58" i="2"/>
  <c r="Y205" i="2"/>
  <c r="BP310" i="2"/>
  <c r="BN310" i="2"/>
  <c r="Y350" i="2"/>
  <c r="Y375" i="2"/>
  <c r="Y448" i="2"/>
  <c r="Y447" i="2"/>
  <c r="BP441" i="2"/>
  <c r="BN441" i="2"/>
  <c r="Z441" i="2"/>
  <c r="X493" i="2"/>
  <c r="Y32" i="2"/>
  <c r="BN75" i="2"/>
  <c r="Z88" i="2"/>
  <c r="BP102" i="2"/>
  <c r="BP153" i="2"/>
  <c r="Z164" i="2"/>
  <c r="BN167" i="2"/>
  <c r="BP167" i="2"/>
  <c r="Z310" i="2"/>
  <c r="Y394" i="2"/>
  <c r="U499" i="2"/>
  <c r="BP385" i="2"/>
  <c r="BN385" i="2"/>
  <c r="Z385" i="2"/>
  <c r="Y399" i="2"/>
  <c r="BP397" i="2"/>
  <c r="BN423" i="2"/>
  <c r="B499" i="2"/>
  <c r="BP81" i="2"/>
  <c r="Z81" i="2"/>
  <c r="Z82" i="2" s="1"/>
  <c r="BN81" i="2"/>
  <c r="BN148" i="2"/>
  <c r="Z148" i="2"/>
  <c r="BN72" i="2"/>
  <c r="BN93" i="2"/>
  <c r="Y295" i="2"/>
  <c r="Y294" i="2"/>
  <c r="BP290" i="2"/>
  <c r="BN290" i="2"/>
  <c r="Z302" i="2"/>
  <c r="BN307" i="2"/>
  <c r="BP330" i="2"/>
  <c r="BN330" i="2"/>
  <c r="Z397" i="2"/>
  <c r="BN403" i="2"/>
  <c r="Z467" i="2"/>
  <c r="BP148" i="2"/>
  <c r="BP231" i="2"/>
  <c r="BN231" i="2"/>
  <c r="Y251" i="2"/>
  <c r="Y282" i="2"/>
  <c r="Z290" i="2"/>
  <c r="Z322" i="2"/>
  <c r="Y325" i="2"/>
  <c r="Z330" i="2"/>
  <c r="Y351" i="2"/>
  <c r="Y376" i="2"/>
  <c r="BP28" i="2"/>
  <c r="BN28" i="2"/>
  <c r="Y31" i="2"/>
  <c r="BP72" i="2"/>
  <c r="Y82" i="2"/>
  <c r="F499" i="2"/>
  <c r="Y144" i="2"/>
  <c r="BP143" i="2"/>
  <c r="BN143" i="2"/>
  <c r="H499" i="2"/>
  <c r="BN215" i="2"/>
  <c r="Z231" i="2"/>
  <c r="BN397" i="2"/>
  <c r="BP436" i="2"/>
  <c r="BN436" i="2"/>
  <c r="Y462" i="2"/>
  <c r="Y361" i="2"/>
  <c r="Z451" i="2"/>
  <c r="Y193" i="2"/>
  <c r="Z107" i="2"/>
  <c r="Z170" i="2"/>
  <c r="Z213" i="2"/>
  <c r="Z234" i="2"/>
  <c r="F9" i="2"/>
  <c r="Z40" i="2"/>
  <c r="Z73" i="2"/>
  <c r="Z130" i="2"/>
  <c r="Z203" i="2"/>
  <c r="Z246" i="2"/>
  <c r="Z257" i="2"/>
  <c r="H9" i="2"/>
  <c r="Z56" i="2"/>
  <c r="Z135" i="2"/>
  <c r="Z165" i="2"/>
  <c r="Z175" i="2"/>
  <c r="Y189" i="2"/>
  <c r="Z198" i="2"/>
  <c r="Z208" i="2"/>
  <c r="Z229" i="2"/>
  <c r="Y252" i="2"/>
  <c r="Z274" i="2"/>
  <c r="Z298" i="2"/>
  <c r="Z308" i="2"/>
  <c r="Z323" i="2"/>
  <c r="Z358" i="2"/>
  <c r="Z393" i="2"/>
  <c r="Z429" i="2"/>
  <c r="BN451" i="2"/>
  <c r="Z486" i="2"/>
  <c r="Z487" i="2" s="1"/>
  <c r="J9" i="2"/>
  <c r="BN40" i="2"/>
  <c r="Y43" i="2"/>
  <c r="BN107" i="2"/>
  <c r="Y110" i="2"/>
  <c r="Y194" i="2"/>
  <c r="Y260" i="2"/>
  <c r="BN458" i="2"/>
  <c r="BN480" i="2"/>
  <c r="S499" i="2"/>
  <c r="Y474" i="2"/>
  <c r="BN486" i="2"/>
  <c r="Y331" i="2"/>
  <c r="Z374" i="2"/>
  <c r="Z409" i="2"/>
  <c r="BP458" i="2"/>
  <c r="Z466" i="2"/>
  <c r="Z29" i="2"/>
  <c r="Y44" i="2"/>
  <c r="Z54" i="2"/>
  <c r="BN66" i="2"/>
  <c r="Y69" i="2"/>
  <c r="BN76" i="2"/>
  <c r="Z87" i="2"/>
  <c r="BN100" i="2"/>
  <c r="Z120" i="2"/>
  <c r="Z121" i="2" s="1"/>
  <c r="Z163" i="2"/>
  <c r="BP175" i="2"/>
  <c r="BN186" i="2"/>
  <c r="Z196" i="2"/>
  <c r="Z227" i="2"/>
  <c r="BN249" i="2"/>
  <c r="Y261" i="2"/>
  <c r="Z272" i="2"/>
  <c r="Z316" i="2"/>
  <c r="BN346" i="2"/>
  <c r="BN369" i="2"/>
  <c r="Z379" i="2"/>
  <c r="Z391" i="2"/>
  <c r="Z415" i="2"/>
  <c r="Z416" i="2" s="1"/>
  <c r="Z427" i="2"/>
  <c r="Z437" i="2"/>
  <c r="BN461" i="2"/>
  <c r="Z471" i="2"/>
  <c r="BP486" i="2"/>
  <c r="Z201" i="2"/>
  <c r="Z301" i="2"/>
  <c r="BN232" i="2"/>
  <c r="BN266" i="2"/>
  <c r="BN311" i="2"/>
  <c r="BN374" i="2"/>
  <c r="BN409" i="2"/>
  <c r="BN466" i="2"/>
  <c r="W499" i="2"/>
  <c r="Z232" i="2"/>
  <c r="Z255" i="2"/>
  <c r="Z266" i="2"/>
  <c r="Z291" i="2"/>
  <c r="Z311" i="2"/>
  <c r="BN191" i="2"/>
  <c r="BN201" i="2"/>
  <c r="Y204" i="2"/>
  <c r="BN211" i="2"/>
  <c r="BN255" i="2"/>
  <c r="BN291" i="2"/>
  <c r="BN301" i="2"/>
  <c r="BN29" i="2"/>
  <c r="Z41" i="2"/>
  <c r="BN54" i="2"/>
  <c r="Y57" i="2"/>
  <c r="BP66" i="2"/>
  <c r="Z74" i="2"/>
  <c r="BN87" i="2"/>
  <c r="BP100" i="2"/>
  <c r="Z108" i="2"/>
  <c r="BN120" i="2"/>
  <c r="Z131" i="2"/>
  <c r="Y145" i="2"/>
  <c r="BN163" i="2"/>
  <c r="Z171" i="2"/>
  <c r="BN196" i="2"/>
  <c r="Z214" i="2"/>
  <c r="BN227" i="2"/>
  <c r="Z247" i="2"/>
  <c r="Z258" i="2"/>
  <c r="BN272" i="2"/>
  <c r="Y275" i="2"/>
  <c r="BN316" i="2"/>
  <c r="Z344" i="2"/>
  <c r="Z354" i="2"/>
  <c r="BN379" i="2"/>
  <c r="BN391" i="2"/>
  <c r="BN415" i="2"/>
  <c r="BN427" i="2"/>
  <c r="BN437" i="2"/>
  <c r="Z459" i="2"/>
  <c r="BN471" i="2"/>
  <c r="Z481" i="2"/>
  <c r="Y487" i="2"/>
  <c r="Z191" i="2"/>
  <c r="Z211" i="2"/>
  <c r="Y499" i="2"/>
  <c r="BP196" i="2"/>
  <c r="Z225" i="2"/>
  <c r="Z482" i="2" l="1"/>
  <c r="Z188" i="2"/>
  <c r="Z96" i="2"/>
  <c r="Z69" i="2"/>
  <c r="Z355" i="2"/>
  <c r="Z360" i="2"/>
  <c r="Z178" i="2"/>
  <c r="Z399" i="2"/>
  <c r="Z338" i="2"/>
  <c r="Z117" i="2"/>
  <c r="Z370" i="2"/>
  <c r="Z216" i="2"/>
  <c r="Z350" i="2"/>
  <c r="Z453" i="2"/>
  <c r="Z331" i="2"/>
  <c r="Z150" i="2"/>
  <c r="Z63" i="2"/>
  <c r="Z281" i="2"/>
  <c r="X492" i="2"/>
  <c r="Z193" i="2"/>
  <c r="Z104" i="2"/>
  <c r="Z127" i="2"/>
  <c r="Y493" i="2"/>
  <c r="Y490" i="2"/>
  <c r="Z325" i="2"/>
  <c r="Z260" i="2"/>
  <c r="Z438" i="2"/>
  <c r="Z275" i="2"/>
  <c r="Z89" i="2"/>
  <c r="Z57" i="2"/>
  <c r="Z31" i="2"/>
  <c r="Z312" i="2"/>
  <c r="Z137" i="2"/>
  <c r="Z251" i="2"/>
  <c r="Z132" i="2"/>
  <c r="Z294" i="2"/>
  <c r="Y491" i="2"/>
  <c r="Z375" i="2"/>
  <c r="Z394" i="2"/>
  <c r="Z304" i="2"/>
  <c r="Z432" i="2"/>
  <c r="Z43" i="2"/>
  <c r="Z411" i="2"/>
  <c r="Z268" i="2"/>
  <c r="Z380" i="2"/>
  <c r="Z172" i="2"/>
  <c r="Y489" i="2"/>
  <c r="Z318" i="2"/>
  <c r="Z110" i="2"/>
  <c r="Z447" i="2"/>
  <c r="Z235" i="2"/>
  <c r="Z77" i="2"/>
  <c r="Z204" i="2"/>
  <c r="Z473" i="2"/>
  <c r="Z462" i="2"/>
  <c r="Z468" i="2"/>
  <c r="Y492" i="2" l="1"/>
  <c r="Z494" i="2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<sst xmlns="http://schemas.openxmlformats.org/spreadsheetml/2006/main" count="3606" uniqueCount="771">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</sst>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6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58" t="s">
        <v>26</v>
      </c>
      <c r="E1" s="858"/>
      <c r="F1" s="858"/>
      <c r="G1" s="14" t="s">
        <v>66</v>
      </c>
      <c r="H1" s="858" t="s">
        <v>46</v>
      </c>
      <c r="I1" s="858"/>
      <c r="J1" s="858"/>
      <c r="K1" s="858"/>
      <c r="L1" s="858"/>
      <c r="M1" s="858"/>
      <c r="N1" s="858"/>
      <c r="O1" s="858"/>
      <c r="P1" s="858"/>
      <c r="Q1" s="858"/>
      <c r="R1" s="859" t="s">
        <v>67</v>
      </c>
      <c r="S1" s="860"/>
      <c r="T1" s="8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1"/>
      <c r="R2" s="861"/>
      <c r="S2" s="861"/>
      <c r="T2" s="861"/>
      <c r="U2" s="861"/>
      <c r="V2" s="861"/>
      <c r="W2" s="8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1"/>
      <c r="Q3" s="861"/>
      <c r="R3" s="861"/>
      <c r="S3" s="861"/>
      <c r="T3" s="861"/>
      <c r="U3" s="861"/>
      <c r="V3" s="861"/>
      <c r="W3" s="8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0" t="s">
        <v>8</v>
      </c>
      <c r="B5" s="840"/>
      <c r="C5" s="840"/>
      <c r="D5" s="862"/>
      <c r="E5" s="862"/>
      <c r="F5" s="863" t="s">
        <v>14</v>
      </c>
      <c r="G5" s="863"/>
      <c r="H5" s="862"/>
      <c r="I5" s="862"/>
      <c r="J5" s="862"/>
      <c r="K5" s="862"/>
      <c r="L5" s="862"/>
      <c r="M5" s="862"/>
      <c r="N5" s="72"/>
      <c r="P5" s="27" t="s">
        <v>4</v>
      </c>
      <c r="Q5" s="864"/>
      <c r="R5" s="864"/>
      <c r="T5" s="865" t="s">
        <v>3</v>
      </c>
      <c r="U5" s="866"/>
      <c r="V5" s="867" t="s">
        <v>742</v>
      </c>
      <c r="W5" s="868"/>
      <c r="AB5" s="59"/>
      <c r="AC5" s="59"/>
      <c r="AD5" s="59"/>
      <c r="AE5" s="59"/>
    </row>
    <row r="6" spans="1:32" s="17" customFormat="1" ht="24" customHeight="1" x14ac:dyDescent="0.2">
      <c r="A6" s="840" t="s">
        <v>1</v>
      </c>
      <c r="B6" s="840"/>
      <c r="C6" s="840"/>
      <c r="D6" s="841" t="s">
        <v>753</v>
      </c>
      <c r="E6" s="841"/>
      <c r="F6" s="841"/>
      <c r="G6" s="841"/>
      <c r="H6" s="841"/>
      <c r="I6" s="841"/>
      <c r="J6" s="841"/>
      <c r="K6" s="841"/>
      <c r="L6" s="841"/>
      <c r="M6" s="841"/>
      <c r="N6" s="73"/>
      <c r="P6" s="27" t="s">
        <v>27</v>
      </c>
      <c r="Q6" s="842" t="str">
        <f>IF(Q5=0," ",CHOOSE(WEEKDAY(Q5,2),"Понедельник","Вторник","Среда","Четверг","Пятница","Суббота","Воскресенье"))</f>
        <v xml:space="preserve"> </v>
      </c>
      <c r="R6" s="842"/>
      <c r="T6" s="843" t="s">
        <v>5</v>
      </c>
      <c r="U6" s="844"/>
      <c r="V6" s="845" t="s">
        <v>69</v>
      </c>
      <c r="W6" s="84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1" t="str">
        <f>IFERROR(VLOOKUP(DeliveryAddress,Table,3,0),1)</f>
        <v>4</v>
      </c>
      <c r="E7" s="852"/>
      <c r="F7" s="852"/>
      <c r="G7" s="852"/>
      <c r="H7" s="852"/>
      <c r="I7" s="852"/>
      <c r="J7" s="852"/>
      <c r="K7" s="852"/>
      <c r="L7" s="852"/>
      <c r="M7" s="853"/>
      <c r="N7" s="74"/>
      <c r="P7" s="29"/>
      <c r="Q7" s="48"/>
      <c r="R7" s="48"/>
      <c r="T7" s="843"/>
      <c r="U7" s="844"/>
      <c r="V7" s="847"/>
      <c r="W7" s="848"/>
      <c r="AB7" s="59"/>
      <c r="AC7" s="59"/>
      <c r="AD7" s="59"/>
      <c r="AE7" s="59"/>
    </row>
    <row r="8" spans="1:32" s="17" customFormat="1" ht="25.5" customHeight="1" x14ac:dyDescent="0.2">
      <c r="A8" s="854" t="s">
        <v>57</v>
      </c>
      <c r="B8" s="854"/>
      <c r="C8" s="854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75"/>
      <c r="P8" s="27" t="s">
        <v>11</v>
      </c>
      <c r="Q8" s="838"/>
      <c r="R8" s="838"/>
      <c r="T8" s="843"/>
      <c r="U8" s="844"/>
      <c r="V8" s="847"/>
      <c r="W8" s="848"/>
      <c r="AB8" s="59"/>
      <c r="AC8" s="59"/>
      <c r="AD8" s="59"/>
      <c r="AE8" s="59"/>
    </row>
    <row r="9" spans="1:32" s="17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0"/>
      <c r="C9" s="830"/>
      <c r="D9" s="831" t="s">
        <v>45</v>
      </c>
      <c r="E9" s="832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0"/>
      <c r="H9" s="856" t="str">
        <f>IF(AND($A$9="Тип доверенности/получателя при получении в адресе перегруза:",$D$9="Разовая доверенность"),"Введите ФИО","")</f>
        <v/>
      </c>
      <c r="I9" s="856"/>
      <c r="J9" s="8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6"/>
      <c r="L9" s="856"/>
      <c r="M9" s="856"/>
      <c r="N9" s="70"/>
      <c r="P9" s="31" t="s">
        <v>15</v>
      </c>
      <c r="Q9" s="857">
        <v>46035</v>
      </c>
      <c r="R9" s="857"/>
      <c r="T9" s="843"/>
      <c r="U9" s="844"/>
      <c r="V9" s="849"/>
      <c r="W9" s="85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0"/>
      <c r="C10" s="830"/>
      <c r="D10" s="831"/>
      <c r="E10" s="832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0"/>
      <c r="H10" s="833" t="str">
        <f>IFERROR(VLOOKUP($D$10,Proxy,2,FALSE),"")</f>
        <v/>
      </c>
      <c r="I10" s="833"/>
      <c r="J10" s="833"/>
      <c r="K10" s="833"/>
      <c r="L10" s="833"/>
      <c r="M10" s="833"/>
      <c r="N10" s="71"/>
      <c r="P10" s="31" t="s">
        <v>32</v>
      </c>
      <c r="Q10" s="834">
        <v>0.54166666666666663</v>
      </c>
      <c r="R10" s="834"/>
      <c r="U10" s="29" t="s">
        <v>12</v>
      </c>
      <c r="V10" s="835" t="s">
        <v>70</v>
      </c>
      <c r="W10" s="83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37"/>
      <c r="R11" s="837"/>
      <c r="U11" s="29" t="s">
        <v>28</v>
      </c>
      <c r="V11" s="816" t="s">
        <v>54</v>
      </c>
      <c r="W11" s="81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15" t="s">
        <v>71</v>
      </c>
      <c r="B12" s="815"/>
      <c r="C12" s="815"/>
      <c r="D12" s="815"/>
      <c r="E12" s="815"/>
      <c r="F12" s="815"/>
      <c r="G12" s="815"/>
      <c r="H12" s="815"/>
      <c r="I12" s="815"/>
      <c r="J12" s="815"/>
      <c r="K12" s="815"/>
      <c r="L12" s="815"/>
      <c r="M12" s="815"/>
      <c r="N12" s="76"/>
      <c r="P12" s="27" t="s">
        <v>30</v>
      </c>
      <c r="Q12" s="838"/>
      <c r="R12" s="838"/>
      <c r="S12" s="28"/>
      <c r="T12"/>
      <c r="U12" s="29" t="s">
        <v>45</v>
      </c>
      <c r="V12" s="839"/>
      <c r="W12" s="839"/>
      <c r="X12"/>
      <c r="AB12" s="59"/>
      <c r="AC12" s="59"/>
      <c r="AD12" s="59"/>
      <c r="AE12" s="59"/>
    </row>
    <row r="13" spans="1:32" s="17" customFormat="1" ht="23.25" customHeight="1" x14ac:dyDescent="0.2">
      <c r="A13" s="815" t="s">
        <v>72</v>
      </c>
      <c r="B13" s="815"/>
      <c r="C13" s="815"/>
      <c r="D13" s="815"/>
      <c r="E13" s="815"/>
      <c r="F13" s="815"/>
      <c r="G13" s="815"/>
      <c r="H13" s="815"/>
      <c r="I13" s="815"/>
      <c r="J13" s="815"/>
      <c r="K13" s="815"/>
      <c r="L13" s="815"/>
      <c r="M13" s="815"/>
      <c r="N13" s="76"/>
      <c r="O13" s="31"/>
      <c r="P13" s="31" t="s">
        <v>31</v>
      </c>
      <c r="Q13" s="816"/>
      <c r="R13" s="81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15" t="s">
        <v>73</v>
      </c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5"/>
      <c r="M14" s="81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17" t="s">
        <v>74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7"/>
      <c r="N15" s="77"/>
      <c r="O15"/>
      <c r="P15" s="818" t="s">
        <v>60</v>
      </c>
      <c r="Q15" s="818"/>
      <c r="R15" s="818"/>
      <c r="S15" s="818"/>
      <c r="T15" s="8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9"/>
      <c r="Q16" s="819"/>
      <c r="R16" s="819"/>
      <c r="S16" s="819"/>
      <c r="T16" s="8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1" t="s">
        <v>58</v>
      </c>
      <c r="B17" s="801" t="s">
        <v>48</v>
      </c>
      <c r="C17" s="822" t="s">
        <v>47</v>
      </c>
      <c r="D17" s="824" t="s">
        <v>49</v>
      </c>
      <c r="E17" s="825"/>
      <c r="F17" s="801" t="s">
        <v>21</v>
      </c>
      <c r="G17" s="801" t="s">
        <v>24</v>
      </c>
      <c r="H17" s="801" t="s">
        <v>22</v>
      </c>
      <c r="I17" s="801" t="s">
        <v>23</v>
      </c>
      <c r="J17" s="801" t="s">
        <v>16</v>
      </c>
      <c r="K17" s="801" t="s">
        <v>65</v>
      </c>
      <c r="L17" s="801" t="s">
        <v>63</v>
      </c>
      <c r="M17" s="801" t="s">
        <v>2</v>
      </c>
      <c r="N17" s="801" t="s">
        <v>62</v>
      </c>
      <c r="O17" s="801" t="s">
        <v>25</v>
      </c>
      <c r="P17" s="824" t="s">
        <v>17</v>
      </c>
      <c r="Q17" s="828"/>
      <c r="R17" s="828"/>
      <c r="S17" s="828"/>
      <c r="T17" s="825"/>
      <c r="U17" s="820" t="s">
        <v>55</v>
      </c>
      <c r="V17" s="821"/>
      <c r="W17" s="801" t="s">
        <v>6</v>
      </c>
      <c r="X17" s="801" t="s">
        <v>41</v>
      </c>
      <c r="Y17" s="803" t="s">
        <v>53</v>
      </c>
      <c r="Z17" s="805" t="s">
        <v>18</v>
      </c>
      <c r="AA17" s="807" t="s">
        <v>59</v>
      </c>
      <c r="AB17" s="807" t="s">
        <v>19</v>
      </c>
      <c r="AC17" s="807" t="s">
        <v>64</v>
      </c>
      <c r="AD17" s="809" t="s">
        <v>56</v>
      </c>
      <c r="AE17" s="810"/>
      <c r="AF17" s="811"/>
      <c r="AG17" s="82"/>
      <c r="BD17" s="81" t="s">
        <v>61</v>
      </c>
    </row>
    <row r="18" spans="1:68" ht="14.25" customHeight="1" x14ac:dyDescent="0.2">
      <c r="A18" s="802"/>
      <c r="B18" s="802"/>
      <c r="C18" s="823"/>
      <c r="D18" s="826"/>
      <c r="E18" s="827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26"/>
      <c r="Q18" s="829"/>
      <c r="R18" s="829"/>
      <c r="S18" s="829"/>
      <c r="T18" s="827"/>
      <c r="U18" s="83" t="s">
        <v>44</v>
      </c>
      <c r="V18" s="83" t="s">
        <v>43</v>
      </c>
      <c r="W18" s="802"/>
      <c r="X18" s="802"/>
      <c r="Y18" s="804"/>
      <c r="Z18" s="806"/>
      <c r="AA18" s="808"/>
      <c r="AB18" s="808"/>
      <c r="AC18" s="808"/>
      <c r="AD18" s="812"/>
      <c r="AE18" s="813"/>
      <c r="AF18" s="814"/>
      <c r="AG18" s="82"/>
      <c r="BD18" s="81"/>
    </row>
    <row r="19" spans="1:68" ht="27.75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70" t="s">
        <v>75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65"/>
      <c r="AB20" s="65"/>
      <c r="AC20" s="79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555">
        <v>4680115886643</v>
      </c>
      <c r="E22" s="5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7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562"/>
      <c r="B23" s="562"/>
      <c r="C23" s="562"/>
      <c r="D23" s="562"/>
      <c r="E23" s="562"/>
      <c r="F23" s="562"/>
      <c r="G23" s="562"/>
      <c r="H23" s="562"/>
      <c r="I23" s="562"/>
      <c r="J23" s="562"/>
      <c r="K23" s="562"/>
      <c r="L23" s="562"/>
      <c r="M23" s="562"/>
      <c r="N23" s="562"/>
      <c r="O23" s="563"/>
      <c r="P23" s="559" t="s">
        <v>40</v>
      </c>
      <c r="Q23" s="560"/>
      <c r="R23" s="560"/>
      <c r="S23" s="560"/>
      <c r="T23" s="560"/>
      <c r="U23" s="560"/>
      <c r="V23" s="56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554" t="s">
        <v>82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555">
        <v>4680115885912</v>
      </c>
      <c r="E26" s="55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80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555">
        <v>4607091388237</v>
      </c>
      <c r="E27" s="55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7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555">
        <v>4680115887350</v>
      </c>
      <c r="E28" s="55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7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555">
        <v>4680115885905</v>
      </c>
      <c r="E29" s="5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7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555">
        <v>4607091388244</v>
      </c>
      <c r="E30" s="555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79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62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59" t="s">
        <v>40</v>
      </c>
      <c r="Q31" s="560"/>
      <c r="R31" s="560"/>
      <c r="S31" s="560"/>
      <c r="T31" s="560"/>
      <c r="U31" s="560"/>
      <c r="V31" s="56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59" t="s">
        <v>40</v>
      </c>
      <c r="Q32" s="560"/>
      <c r="R32" s="560"/>
      <c r="S32" s="560"/>
      <c r="T32" s="560"/>
      <c r="U32" s="560"/>
      <c r="V32" s="56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554" t="s">
        <v>100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555">
        <v>4607091388503</v>
      </c>
      <c r="E34" s="555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62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59" t="s">
        <v>40</v>
      </c>
      <c r="Q35" s="560"/>
      <c r="R35" s="560"/>
      <c r="S35" s="560"/>
      <c r="T35" s="560"/>
      <c r="U35" s="560"/>
      <c r="V35" s="561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59" t="s">
        <v>40</v>
      </c>
      <c r="Q36" s="560"/>
      <c r="R36" s="560"/>
      <c r="S36" s="560"/>
      <c r="T36" s="560"/>
      <c r="U36" s="560"/>
      <c r="V36" s="561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79" t="s">
        <v>106</v>
      </c>
      <c r="B37" s="579"/>
      <c r="C37" s="579"/>
      <c r="D37" s="579"/>
      <c r="E37" s="579"/>
      <c r="F37" s="579"/>
      <c r="G37" s="579"/>
      <c r="H37" s="579"/>
      <c r="I37" s="579"/>
      <c r="J37" s="579"/>
      <c r="K37" s="579"/>
      <c r="L37" s="579"/>
      <c r="M37" s="579"/>
      <c r="N37" s="579"/>
      <c r="O37" s="579"/>
      <c r="P37" s="579"/>
      <c r="Q37" s="579"/>
      <c r="R37" s="579"/>
      <c r="S37" s="579"/>
      <c r="T37" s="579"/>
      <c r="U37" s="579"/>
      <c r="V37" s="579"/>
      <c r="W37" s="579"/>
      <c r="X37" s="579"/>
      <c r="Y37" s="579"/>
      <c r="Z37" s="579"/>
      <c r="AA37" s="54"/>
      <c r="AB37" s="54"/>
      <c r="AC37" s="54"/>
    </row>
    <row r="38" spans="1:68" ht="16.5" customHeight="1" x14ac:dyDescent="0.25">
      <c r="A38" s="570" t="s">
        <v>107</v>
      </c>
      <c r="B38" s="570"/>
      <c r="C38" s="570"/>
      <c r="D38" s="570"/>
      <c r="E38" s="570"/>
      <c r="F38" s="570"/>
      <c r="G38" s="570"/>
      <c r="H38" s="570"/>
      <c r="I38" s="570"/>
      <c r="J38" s="570"/>
      <c r="K38" s="570"/>
      <c r="L38" s="570"/>
      <c r="M38" s="570"/>
      <c r="N38" s="570"/>
      <c r="O38" s="570"/>
      <c r="P38" s="570"/>
      <c r="Q38" s="570"/>
      <c r="R38" s="570"/>
      <c r="S38" s="570"/>
      <c r="T38" s="570"/>
      <c r="U38" s="570"/>
      <c r="V38" s="570"/>
      <c r="W38" s="570"/>
      <c r="X38" s="570"/>
      <c r="Y38" s="570"/>
      <c r="Z38" s="570"/>
      <c r="AA38" s="65"/>
      <c r="AB38" s="65"/>
      <c r="AC38" s="79"/>
    </row>
    <row r="39" spans="1:68" ht="14.25" customHeight="1" x14ac:dyDescent="0.25">
      <c r="A39" s="554" t="s">
        <v>108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555">
        <v>4607091385670</v>
      </c>
      <c r="E40" s="555"/>
      <c r="F40" s="62">
        <v>1.35</v>
      </c>
      <c r="G40" s="37">
        <v>8</v>
      </c>
      <c r="H40" s="62">
        <v>10.8</v>
      </c>
      <c r="I40" s="62">
        <v>11.234999999999999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555">
        <v>4607091385687</v>
      </c>
      <c r="E41" s="555"/>
      <c r="F41" s="62">
        <v>0.4</v>
      </c>
      <c r="G41" s="37">
        <v>10</v>
      </c>
      <c r="H41" s="62">
        <v>4</v>
      </c>
      <c r="I41" s="62">
        <v>4.21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555">
        <v>4680115882539</v>
      </c>
      <c r="E42" s="555"/>
      <c r="F42" s="62">
        <v>0.37</v>
      </c>
      <c r="G42" s="37">
        <v>10</v>
      </c>
      <c r="H42" s="62">
        <v>3.7</v>
      </c>
      <c r="I42" s="62">
        <v>3.91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7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62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59" t="s">
        <v>40</v>
      </c>
      <c r="Q43" s="560"/>
      <c r="R43" s="560"/>
      <c r="S43" s="560"/>
      <c r="T43" s="560"/>
      <c r="U43" s="560"/>
      <c r="V43" s="561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59" t="s">
        <v>40</v>
      </c>
      <c r="Q44" s="560"/>
      <c r="R44" s="560"/>
      <c r="S44" s="560"/>
      <c r="T44" s="560"/>
      <c r="U44" s="560"/>
      <c r="V44" s="561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554" t="s">
        <v>82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555">
        <v>4680115884915</v>
      </c>
      <c r="E46" s="555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78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62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59" t="s">
        <v>40</v>
      </c>
      <c r="Q47" s="560"/>
      <c r="R47" s="560"/>
      <c r="S47" s="560"/>
      <c r="T47" s="560"/>
      <c r="U47" s="560"/>
      <c r="V47" s="561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59" t="s">
        <v>40</v>
      </c>
      <c r="Q48" s="560"/>
      <c r="R48" s="560"/>
      <c r="S48" s="560"/>
      <c r="T48" s="560"/>
      <c r="U48" s="560"/>
      <c r="V48" s="561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0" t="s">
        <v>122</v>
      </c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0"/>
      <c r="P49" s="570"/>
      <c r="Q49" s="570"/>
      <c r="R49" s="570"/>
      <c r="S49" s="570"/>
      <c r="T49" s="570"/>
      <c r="U49" s="570"/>
      <c r="V49" s="570"/>
      <c r="W49" s="570"/>
      <c r="X49" s="570"/>
      <c r="Y49" s="570"/>
      <c r="Z49" s="570"/>
      <c r="AA49" s="65"/>
      <c r="AB49" s="65"/>
      <c r="AC49" s="79"/>
    </row>
    <row r="50" spans="1:68" ht="14.25" customHeight="1" x14ac:dyDescent="0.25">
      <c r="A50" s="554" t="s">
        <v>108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555">
        <v>4680115885882</v>
      </c>
      <c r="E51" s="555"/>
      <c r="F51" s="62">
        <v>1.4</v>
      </c>
      <c r="G51" s="37">
        <v>8</v>
      </c>
      <c r="H51" s="62">
        <v>11.2</v>
      </c>
      <c r="I51" s="62">
        <v>11.635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555">
        <v>4680115881426</v>
      </c>
      <c r="E52" s="555"/>
      <c r="F52" s="62">
        <v>1.35</v>
      </c>
      <c r="G52" s="37">
        <v>8</v>
      </c>
      <c r="H52" s="62">
        <v>10.8</v>
      </c>
      <c r="I52" s="62">
        <v>11.234999999999999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78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9" t="s">
        <v>45</v>
      </c>
      <c r="V52" s="39" t="s">
        <v>45</v>
      </c>
      <c r="W52" s="40" t="s">
        <v>0</v>
      </c>
      <c r="X52" s="58">
        <v>86.4</v>
      </c>
      <c r="Y52" s="55">
        <f t="shared" si="0"/>
        <v>86.4</v>
      </c>
      <c r="Z52" s="41">
        <f>IFERROR(IF(Y52=0,"",ROUNDUP(Y52/H52,0)*0.01898),"")</f>
        <v>0.15184</v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89.88</v>
      </c>
      <c r="BN52" s="78">
        <f t="shared" si="2"/>
        <v>89.88</v>
      </c>
      <c r="BO52" s="78">
        <f t="shared" si="3"/>
        <v>0.125</v>
      </c>
      <c r="BP52" s="78">
        <f t="shared" si="4"/>
        <v>0.125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555">
        <v>4680115880283</v>
      </c>
      <c r="E53" s="555"/>
      <c r="F53" s="62">
        <v>0.6</v>
      </c>
      <c r="G53" s="37">
        <v>8</v>
      </c>
      <c r="H53" s="62">
        <v>4.8</v>
      </c>
      <c r="I53" s="62">
        <v>5.01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555">
        <v>4680115881525</v>
      </c>
      <c r="E54" s="555"/>
      <c r="F54" s="62">
        <v>0.4</v>
      </c>
      <c r="G54" s="37">
        <v>10</v>
      </c>
      <c r="H54" s="62">
        <v>4</v>
      </c>
      <c r="I54" s="62">
        <v>4.21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7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555">
        <v>4680115885899</v>
      </c>
      <c r="E55" s="555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555">
        <v>4680115881419</v>
      </c>
      <c r="E56" s="555"/>
      <c r="F56" s="62">
        <v>0.45</v>
      </c>
      <c r="G56" s="37">
        <v>10</v>
      </c>
      <c r="H56" s="62">
        <v>4.5</v>
      </c>
      <c r="I56" s="62">
        <v>4.71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62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59" t="s">
        <v>40</v>
      </c>
      <c r="Q57" s="560"/>
      <c r="R57" s="560"/>
      <c r="S57" s="560"/>
      <c r="T57" s="560"/>
      <c r="U57" s="560"/>
      <c r="V57" s="561"/>
      <c r="W57" s="42" t="s">
        <v>39</v>
      </c>
      <c r="X57" s="43">
        <f>IFERROR(X51/H51,"0")+IFERROR(X52/H52,"0")+IFERROR(X53/H53,"0")+IFERROR(X54/H54,"0")+IFERROR(X55/H55,"0")+IFERROR(X56/H56,"0")</f>
        <v>8</v>
      </c>
      <c r="Y57" s="43">
        <f>IFERROR(Y51/H51,"0")+IFERROR(Y52/H52,"0")+IFERROR(Y53/H53,"0")+IFERROR(Y54/H54,"0")+IFERROR(Y55/H55,"0")+IFERROR(Y56/H56,"0")</f>
        <v>8</v>
      </c>
      <c r="Z57" s="43">
        <f>IFERROR(IF(Z51="",0,Z51),"0")+IFERROR(IF(Z52="",0,Z52),"0")+IFERROR(IF(Z53="",0,Z53),"0")+IFERROR(IF(Z54="",0,Z54),"0")+IFERROR(IF(Z55="",0,Z55),"0")+IFERROR(IF(Z56="",0,Z56),"0")</f>
        <v>0.15184</v>
      </c>
      <c r="AA57" s="67"/>
      <c r="AB57" s="67"/>
      <c r="AC57" s="67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59" t="s">
        <v>40</v>
      </c>
      <c r="Q58" s="560"/>
      <c r="R58" s="560"/>
      <c r="S58" s="560"/>
      <c r="T58" s="560"/>
      <c r="U58" s="560"/>
      <c r="V58" s="561"/>
      <c r="W58" s="42" t="s">
        <v>0</v>
      </c>
      <c r="X58" s="43">
        <f>IFERROR(SUM(X51:X56),"0")</f>
        <v>86.4</v>
      </c>
      <c r="Y58" s="43">
        <f>IFERROR(SUM(Y51:Y56),"0")</f>
        <v>86.4</v>
      </c>
      <c r="Z58" s="42"/>
      <c r="AA58" s="67"/>
      <c r="AB58" s="67"/>
      <c r="AC58" s="67"/>
    </row>
    <row r="59" spans="1:68" ht="14.25" customHeight="1" x14ac:dyDescent="0.25">
      <c r="A59" s="554" t="s">
        <v>141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555">
        <v>4680115881440</v>
      </c>
      <c r="E60" s="555"/>
      <c r="F60" s="62">
        <v>1.35</v>
      </c>
      <c r="G60" s="37">
        <v>8</v>
      </c>
      <c r="H60" s="62">
        <v>10.8</v>
      </c>
      <c r="I60" s="62">
        <v>11.234999999999999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78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555">
        <v>4680115885950</v>
      </c>
      <c r="E61" s="555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555">
        <v>4680115881433</v>
      </c>
      <c r="E62" s="555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78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62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59" t="s">
        <v>40</v>
      </c>
      <c r="Q63" s="560"/>
      <c r="R63" s="560"/>
      <c r="S63" s="560"/>
      <c r="T63" s="560"/>
      <c r="U63" s="560"/>
      <c r="V63" s="561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59" t="s">
        <v>40</v>
      </c>
      <c r="Q64" s="560"/>
      <c r="R64" s="560"/>
      <c r="S64" s="560"/>
      <c r="T64" s="560"/>
      <c r="U64" s="560"/>
      <c r="V64" s="561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54" t="s">
        <v>76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555">
        <v>4680115885073</v>
      </c>
      <c r="E66" s="555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7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555">
        <v>4680115885059</v>
      </c>
      <c r="E67" s="55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77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555">
        <v>4680115885097</v>
      </c>
      <c r="E68" s="55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59" t="s">
        <v>40</v>
      </c>
      <c r="Q69" s="560"/>
      <c r="R69" s="560"/>
      <c r="S69" s="560"/>
      <c r="T69" s="560"/>
      <c r="U69" s="560"/>
      <c r="V69" s="561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554" t="s">
        <v>82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66"/>
      <c r="AB71" s="66"/>
      <c r="AC71" s="80"/>
    </row>
    <row r="72" spans="1:68" ht="16.5" customHeight="1" x14ac:dyDescent="0.25">
      <c r="A72" s="63" t="s">
        <v>158</v>
      </c>
      <c r="B72" s="63" t="s">
        <v>159</v>
      </c>
      <c r="C72" s="36">
        <v>4301051838</v>
      </c>
      <c r="D72" s="555">
        <v>4680115881891</v>
      </c>
      <c r="E72" s="555"/>
      <c r="F72" s="62">
        <v>1.4</v>
      </c>
      <c r="G72" s="37">
        <v>6</v>
      </c>
      <c r="H72" s="62">
        <v>8.4</v>
      </c>
      <c r="I72" s="62">
        <v>8.9190000000000005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40</v>
      </c>
      <c r="P72" s="77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161</v>
      </c>
      <c r="B73" s="63" t="s">
        <v>162</v>
      </c>
      <c r="C73" s="36">
        <v>4301051846</v>
      </c>
      <c r="D73" s="555">
        <v>4680115885769</v>
      </c>
      <c r="E73" s="555"/>
      <c r="F73" s="62">
        <v>1.4</v>
      </c>
      <c r="G73" s="37">
        <v>6</v>
      </c>
      <c r="H73" s="62">
        <v>8.4</v>
      </c>
      <c r="I73" s="62">
        <v>8.8350000000000009</v>
      </c>
      <c r="J73" s="37">
        <v>64</v>
      </c>
      <c r="K73" s="37" t="s">
        <v>113</v>
      </c>
      <c r="L73" s="37" t="s">
        <v>45</v>
      </c>
      <c r="M73" s="38" t="s">
        <v>86</v>
      </c>
      <c r="N73" s="38"/>
      <c r="O73" s="37">
        <v>45</v>
      </c>
      <c r="P73" s="77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164</v>
      </c>
      <c r="B74" s="63" t="s">
        <v>165</v>
      </c>
      <c r="C74" s="36">
        <v>4301051837</v>
      </c>
      <c r="D74" s="555">
        <v>4680115884311</v>
      </c>
      <c r="E74" s="55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40</v>
      </c>
      <c r="P74" s="7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4301051844</v>
      </c>
      <c r="D75" s="555">
        <v>4680115885929</v>
      </c>
      <c r="E75" s="55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45</v>
      </c>
      <c r="P75" s="77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168</v>
      </c>
      <c r="B76" s="63" t="s">
        <v>169</v>
      </c>
      <c r="C76" s="36">
        <v>4301051929</v>
      </c>
      <c r="D76" s="555">
        <v>4680115884403</v>
      </c>
      <c r="E76" s="55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87</v>
      </c>
      <c r="L76" s="37" t="s">
        <v>45</v>
      </c>
      <c r="M76" s="38" t="s">
        <v>86</v>
      </c>
      <c r="N76" s="38"/>
      <c r="O76" s="37">
        <v>40</v>
      </c>
      <c r="P76" s="77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170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2" t="s">
        <v>39</v>
      </c>
      <c r="X77" s="43">
        <f>IFERROR(X72/H72,"0")+IFERROR(X73/H73,"0")+IFERROR(X74/H74,"0")+IFERROR(X75/H75,"0")+IFERROR(X76/H76,"0")</f>
        <v>0</v>
      </c>
      <c r="Y77" s="43">
        <f>IFERROR(Y72/H72,"0")+IFERROR(Y73/H73,"0")+IFERROR(Y74/H74,"0")+IFERROR(Y75/H75,"0")+IFERROR(Y76/H76,"0")</f>
        <v>0</v>
      </c>
      <c r="Z77" s="43">
        <f>IFERROR(IF(Z72="",0,Z72),"0")+IFERROR(IF(Z73="",0,Z73),"0")+IFERROR(IF(Z74="",0,Z74),"0")+IFERROR(IF(Z75="",0,Z75),"0")+IFERROR(IF(Z76="",0,Z76),"0")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2" t="s">
        <v>0</v>
      </c>
      <c r="X78" s="43">
        <f>IFERROR(SUM(X72:X76),"0")</f>
        <v>0</v>
      </c>
      <c r="Y78" s="43">
        <f>IFERROR(SUM(Y72:Y76),"0")</f>
        <v>0</v>
      </c>
      <c r="Z78" s="42"/>
      <c r="AA78" s="67"/>
      <c r="AB78" s="67"/>
      <c r="AC78" s="67"/>
    </row>
    <row r="79" spans="1:68" ht="14.25" customHeight="1" x14ac:dyDescent="0.25">
      <c r="A79" s="554" t="s">
        <v>171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6"/>
      <c r="AB79" s="66"/>
      <c r="AC79" s="80"/>
    </row>
    <row r="80" spans="1:68" ht="27" customHeight="1" x14ac:dyDescent="0.25">
      <c r="A80" s="63" t="s">
        <v>172</v>
      </c>
      <c r="B80" s="63" t="s">
        <v>173</v>
      </c>
      <c r="C80" s="36">
        <v>4301060455</v>
      </c>
      <c r="D80" s="555">
        <v>4680115881532</v>
      </c>
      <c r="E80" s="555"/>
      <c r="F80" s="62">
        <v>1.3</v>
      </c>
      <c r="G80" s="37">
        <v>6</v>
      </c>
      <c r="H80" s="62">
        <v>7.8</v>
      </c>
      <c r="I80" s="62">
        <v>8.2349999999999994</v>
      </c>
      <c r="J80" s="37">
        <v>64</v>
      </c>
      <c r="K80" s="37" t="s">
        <v>113</v>
      </c>
      <c r="L80" s="37" t="s">
        <v>45</v>
      </c>
      <c r="M80" s="38" t="s">
        <v>94</v>
      </c>
      <c r="N80" s="38"/>
      <c r="O80" s="37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174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65.88</v>
      </c>
      <c r="BN80" s="78">
        <f>IFERROR(Y80*I80/H80,"0")</f>
        <v>65.88</v>
      </c>
      <c r="BO80" s="78">
        <f>IFERROR(1/J80*(X80/H80),"0")</f>
        <v>0.125</v>
      </c>
      <c r="BP80" s="78">
        <f>IFERROR(1/J80*(Y80/H80),"0")</f>
        <v>0.125</v>
      </c>
    </row>
    <row r="81" spans="1:68" ht="27" customHeight="1" x14ac:dyDescent="0.25">
      <c r="A81" s="63" t="s">
        <v>175</v>
      </c>
      <c r="B81" s="63" t="s">
        <v>176</v>
      </c>
      <c r="C81" s="36">
        <v>4301060351</v>
      </c>
      <c r="D81" s="555">
        <v>4680115881464</v>
      </c>
      <c r="E81" s="555"/>
      <c r="F81" s="62">
        <v>0.4</v>
      </c>
      <c r="G81" s="37">
        <v>6</v>
      </c>
      <c r="H81" s="62">
        <v>2.4</v>
      </c>
      <c r="I81" s="62">
        <v>2.61</v>
      </c>
      <c r="J81" s="37">
        <v>132</v>
      </c>
      <c r="K81" s="37" t="s">
        <v>116</v>
      </c>
      <c r="L81" s="37" t="s">
        <v>45</v>
      </c>
      <c r="M81" s="38" t="s">
        <v>86</v>
      </c>
      <c r="N81" s="38"/>
      <c r="O81" s="37">
        <v>30</v>
      </c>
      <c r="P81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177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customHeight="1" x14ac:dyDescent="0.25">
      <c r="A84" s="570" t="s">
        <v>178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65"/>
      <c r="AB84" s="65"/>
      <c r="AC84" s="79"/>
    </row>
    <row r="85" spans="1:68" ht="14.25" customHeight="1" x14ac:dyDescent="0.25">
      <c r="A85" s="554" t="s">
        <v>108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6"/>
      <c r="AB85" s="66"/>
      <c r="AC85" s="80"/>
    </row>
    <row r="86" spans="1:68" ht="27" customHeight="1" x14ac:dyDescent="0.25">
      <c r="A86" s="63" t="s">
        <v>179</v>
      </c>
      <c r="B86" s="63" t="s">
        <v>180</v>
      </c>
      <c r="C86" s="36">
        <v>4301011468</v>
      </c>
      <c r="D86" s="555">
        <v>4680115881327</v>
      </c>
      <c r="E86" s="555"/>
      <c r="F86" s="62">
        <v>1.35</v>
      </c>
      <c r="G86" s="37">
        <v>8</v>
      </c>
      <c r="H86" s="62">
        <v>10.8</v>
      </c>
      <c r="I86" s="62">
        <v>11.234999999999999</v>
      </c>
      <c r="J86" s="37">
        <v>64</v>
      </c>
      <c r="K86" s="37" t="s">
        <v>113</v>
      </c>
      <c r="L86" s="37" t="s">
        <v>45</v>
      </c>
      <c r="M86" s="38" t="s">
        <v>94</v>
      </c>
      <c r="N86" s="38"/>
      <c r="O86" s="37">
        <v>50</v>
      </c>
      <c r="P86" s="7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4301011476</v>
      </c>
      <c r="D87" s="555">
        <v>4680115881518</v>
      </c>
      <c r="E87" s="555"/>
      <c r="F87" s="62">
        <v>0.4</v>
      </c>
      <c r="G87" s="37">
        <v>10</v>
      </c>
      <c r="H87" s="62">
        <v>4</v>
      </c>
      <c r="I87" s="62">
        <v>4.21</v>
      </c>
      <c r="J87" s="37">
        <v>132</v>
      </c>
      <c r="K87" s="37" t="s">
        <v>116</v>
      </c>
      <c r="L87" s="37" t="s">
        <v>45</v>
      </c>
      <c r="M87" s="38" t="s">
        <v>86</v>
      </c>
      <c r="N87" s="38"/>
      <c r="O87" s="37">
        <v>50</v>
      </c>
      <c r="P87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184</v>
      </c>
      <c r="B88" s="63" t="s">
        <v>185</v>
      </c>
      <c r="C88" s="36">
        <v>4301011443</v>
      </c>
      <c r="D88" s="555">
        <v>4680115881303</v>
      </c>
      <c r="E88" s="555"/>
      <c r="F88" s="62">
        <v>0.45</v>
      </c>
      <c r="G88" s="37">
        <v>10</v>
      </c>
      <c r="H88" s="62">
        <v>4.5</v>
      </c>
      <c r="I88" s="62">
        <v>4.71</v>
      </c>
      <c r="J88" s="37">
        <v>132</v>
      </c>
      <c r="K88" s="37" t="s">
        <v>116</v>
      </c>
      <c r="L88" s="37" t="s">
        <v>45</v>
      </c>
      <c r="M88" s="38" t="s">
        <v>94</v>
      </c>
      <c r="N88" s="38"/>
      <c r="O88" s="37">
        <v>50</v>
      </c>
      <c r="P88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181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59" t="s">
        <v>40</v>
      </c>
      <c r="Q89" s="560"/>
      <c r="R89" s="560"/>
      <c r="S89" s="560"/>
      <c r="T89" s="560"/>
      <c r="U89" s="560"/>
      <c r="V89" s="561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554" t="s">
        <v>82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66"/>
      <c r="AB91" s="66"/>
      <c r="AC91" s="80"/>
    </row>
    <row r="92" spans="1:68" ht="16.5" customHeight="1" x14ac:dyDescent="0.25">
      <c r="A92" s="63" t="s">
        <v>186</v>
      </c>
      <c r="B92" s="63" t="s">
        <v>187</v>
      </c>
      <c r="C92" s="36">
        <v>4301051712</v>
      </c>
      <c r="D92" s="555">
        <v>4607091386967</v>
      </c>
      <c r="E92" s="555"/>
      <c r="F92" s="62">
        <v>1.35</v>
      </c>
      <c r="G92" s="37">
        <v>6</v>
      </c>
      <c r="H92" s="62">
        <v>8.1</v>
      </c>
      <c r="I92" s="62">
        <v>8.6189999999999998</v>
      </c>
      <c r="J92" s="37">
        <v>64</v>
      </c>
      <c r="K92" s="37" t="s">
        <v>113</v>
      </c>
      <c r="L92" s="37" t="s">
        <v>45</v>
      </c>
      <c r="M92" s="38" t="s">
        <v>94</v>
      </c>
      <c r="N92" s="38"/>
      <c r="O92" s="37">
        <v>45</v>
      </c>
      <c r="P92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9" t="s">
        <v>45</v>
      </c>
      <c r="V92" s="39" t="s">
        <v>45</v>
      </c>
      <c r="W92" s="40" t="s">
        <v>0</v>
      </c>
      <c r="X92" s="58">
        <v>64.8</v>
      </c>
      <c r="Y92" s="55">
        <f>IFERROR(IF(X92="",0,CEILING((X92/$H92),1)*$H92),"")</f>
        <v>64.8</v>
      </c>
      <c r="Z92" s="41">
        <f>IFERROR(IF(Y92=0,"",ROUNDUP(Y92/H92,0)*0.01898),"")</f>
        <v>0.15184</v>
      </c>
      <c r="AA92" s="68" t="s">
        <v>45</v>
      </c>
      <c r="AB92" s="69" t="s">
        <v>45</v>
      </c>
      <c r="AC92" s="152" t="s">
        <v>188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68.951999999999998</v>
      </c>
      <c r="BN92" s="78">
        <f>IFERROR(Y92*I92/H92,"0")</f>
        <v>68.951999999999998</v>
      </c>
      <c r="BO92" s="78">
        <f>IFERROR(1/J92*(X92/H92),"0")</f>
        <v>0.125</v>
      </c>
      <c r="BP92" s="78">
        <f>IFERROR(1/J92*(Y92/H92),"0")</f>
        <v>0.125</v>
      </c>
    </row>
    <row r="93" spans="1:68" ht="27" customHeight="1" x14ac:dyDescent="0.25">
      <c r="A93" s="63" t="s">
        <v>189</v>
      </c>
      <c r="B93" s="63" t="s">
        <v>190</v>
      </c>
      <c r="C93" s="36">
        <v>4301051788</v>
      </c>
      <c r="D93" s="555">
        <v>4680115884953</v>
      </c>
      <c r="E93" s="55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87</v>
      </c>
      <c r="L93" s="37" t="s">
        <v>45</v>
      </c>
      <c r="M93" s="38" t="s">
        <v>86</v>
      </c>
      <c r="N93" s="38"/>
      <c r="O93" s="37">
        <v>45</v>
      </c>
      <c r="P93" s="7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192</v>
      </c>
      <c r="B94" s="63" t="s">
        <v>193</v>
      </c>
      <c r="C94" s="36">
        <v>4301051718</v>
      </c>
      <c r="D94" s="555">
        <v>4607091385731</v>
      </c>
      <c r="E94" s="55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87</v>
      </c>
      <c r="L94" s="37" t="s">
        <v>45</v>
      </c>
      <c r="M94" s="38" t="s">
        <v>94</v>
      </c>
      <c r="N94" s="38"/>
      <c r="O94" s="37">
        <v>45</v>
      </c>
      <c r="P94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188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194</v>
      </c>
      <c r="B95" s="63" t="s">
        <v>195</v>
      </c>
      <c r="C95" s="36">
        <v>4301051438</v>
      </c>
      <c r="D95" s="555">
        <v>4680115880894</v>
      </c>
      <c r="E95" s="55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87</v>
      </c>
      <c r="L95" s="37" t="s">
        <v>45</v>
      </c>
      <c r="M95" s="38" t="s">
        <v>86</v>
      </c>
      <c r="N95" s="38"/>
      <c r="O95" s="37">
        <v>45</v>
      </c>
      <c r="P95" s="7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196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59" t="s">
        <v>40</v>
      </c>
      <c r="Q96" s="560"/>
      <c r="R96" s="560"/>
      <c r="S96" s="560"/>
      <c r="T96" s="560"/>
      <c r="U96" s="560"/>
      <c r="V96" s="561"/>
      <c r="W96" s="42" t="s">
        <v>39</v>
      </c>
      <c r="X96" s="43">
        <f>IFERROR(X92/H92,"0")+IFERROR(X93/H93,"0")+IFERROR(X94/H94,"0")+IFERROR(X95/H95,"0")</f>
        <v>8</v>
      </c>
      <c r="Y96" s="43">
        <f>IFERROR(Y92/H92,"0")+IFERROR(Y93/H93,"0")+IFERROR(Y94/H94,"0")+IFERROR(Y95/H95,"0")</f>
        <v>8</v>
      </c>
      <c r="Z96" s="43">
        <f>IFERROR(IF(Z92="",0,Z92),"0")+IFERROR(IF(Z93="",0,Z93),"0")+IFERROR(IF(Z94="",0,Z94),"0")+IFERROR(IF(Z95="",0,Z95),"0")</f>
        <v>0.15184</v>
      </c>
      <c r="AA96" s="67"/>
      <c r="AB96" s="67"/>
      <c r="AC96" s="67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2" t="s">
        <v>0</v>
      </c>
      <c r="X97" s="43">
        <f>IFERROR(SUM(X92:X95),"0")</f>
        <v>64.8</v>
      </c>
      <c r="Y97" s="43">
        <f>IFERROR(SUM(Y92:Y95),"0")</f>
        <v>64.8</v>
      </c>
      <c r="Z97" s="42"/>
      <c r="AA97" s="67"/>
      <c r="AB97" s="67"/>
      <c r="AC97" s="67"/>
    </row>
    <row r="98" spans="1:68" ht="16.5" customHeight="1" x14ac:dyDescent="0.25">
      <c r="A98" s="570" t="s">
        <v>197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65"/>
      <c r="AB98" s="65"/>
      <c r="AC98" s="79"/>
    </row>
    <row r="99" spans="1:68" ht="14.25" customHeight="1" x14ac:dyDescent="0.25">
      <c r="A99" s="554" t="s">
        <v>108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66"/>
      <c r="AB99" s="66"/>
      <c r="AC99" s="80"/>
    </row>
    <row r="100" spans="1:68" ht="37.5" customHeight="1" x14ac:dyDescent="0.25">
      <c r="A100" s="63" t="s">
        <v>198</v>
      </c>
      <c r="B100" s="63" t="s">
        <v>199</v>
      </c>
      <c r="C100" s="36">
        <v>4301011514</v>
      </c>
      <c r="D100" s="555">
        <v>4680115882133</v>
      </c>
      <c r="E100" s="555"/>
      <c r="F100" s="62">
        <v>1.35</v>
      </c>
      <c r="G100" s="37">
        <v>8</v>
      </c>
      <c r="H100" s="62">
        <v>10.8</v>
      </c>
      <c r="I100" s="62">
        <v>11.234999999999999</v>
      </c>
      <c r="J100" s="37">
        <v>64</v>
      </c>
      <c r="K100" s="37" t="s">
        <v>113</v>
      </c>
      <c r="L100" s="37" t="s">
        <v>45</v>
      </c>
      <c r="M100" s="38" t="s">
        <v>112</v>
      </c>
      <c r="N100" s="38"/>
      <c r="O100" s="37">
        <v>50</v>
      </c>
      <c r="P100" s="7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4301011417</v>
      </c>
      <c r="D101" s="555">
        <v>4680115880269</v>
      </c>
      <c r="E101" s="555"/>
      <c r="F101" s="62">
        <v>0.375</v>
      </c>
      <c r="G101" s="37">
        <v>10</v>
      </c>
      <c r="H101" s="62">
        <v>3.75</v>
      </c>
      <c r="I101" s="62">
        <v>3.96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4301011415</v>
      </c>
      <c r="D102" s="555">
        <v>4680115880429</v>
      </c>
      <c r="E102" s="555"/>
      <c r="F102" s="62">
        <v>0.45</v>
      </c>
      <c r="G102" s="37">
        <v>10</v>
      </c>
      <c r="H102" s="62">
        <v>4.5</v>
      </c>
      <c r="I102" s="62">
        <v>4.71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205</v>
      </c>
      <c r="B103" s="63" t="s">
        <v>206</v>
      </c>
      <c r="C103" s="36">
        <v>4301011462</v>
      </c>
      <c r="D103" s="555">
        <v>4680115881457</v>
      </c>
      <c r="E103" s="555"/>
      <c r="F103" s="62">
        <v>0.75</v>
      </c>
      <c r="G103" s="37">
        <v>6</v>
      </c>
      <c r="H103" s="62">
        <v>4.5</v>
      </c>
      <c r="I103" s="62">
        <v>4.71</v>
      </c>
      <c r="J103" s="37">
        <v>132</v>
      </c>
      <c r="K103" s="37" t="s">
        <v>116</v>
      </c>
      <c r="L103" s="37" t="s">
        <v>45</v>
      </c>
      <c r="M103" s="38" t="s">
        <v>86</v>
      </c>
      <c r="N103" s="38"/>
      <c r="O103" s="37">
        <v>50</v>
      </c>
      <c r="P103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200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562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59" t="s">
        <v>40</v>
      </c>
      <c r="Q104" s="560"/>
      <c r="R104" s="560"/>
      <c r="S104" s="560"/>
      <c r="T104" s="560"/>
      <c r="U104" s="560"/>
      <c r="V104" s="561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59" t="s">
        <v>40</v>
      </c>
      <c r="Q105" s="560"/>
      <c r="R105" s="560"/>
      <c r="S105" s="560"/>
      <c r="T105" s="560"/>
      <c r="U105" s="560"/>
      <c r="V105" s="561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554" t="s">
        <v>141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66"/>
      <c r="AB106" s="66"/>
      <c r="AC106" s="80"/>
    </row>
    <row r="107" spans="1:68" ht="16.5" customHeight="1" x14ac:dyDescent="0.25">
      <c r="A107" s="63" t="s">
        <v>207</v>
      </c>
      <c r="B107" s="63" t="s">
        <v>208</v>
      </c>
      <c r="C107" s="36">
        <v>4301020345</v>
      </c>
      <c r="D107" s="555">
        <v>4680115881488</v>
      </c>
      <c r="E107" s="555"/>
      <c r="F107" s="62">
        <v>1.35</v>
      </c>
      <c r="G107" s="37">
        <v>8</v>
      </c>
      <c r="H107" s="62">
        <v>10.8</v>
      </c>
      <c r="I107" s="62">
        <v>11.234999999999999</v>
      </c>
      <c r="J107" s="37">
        <v>64</v>
      </c>
      <c r="K107" s="37" t="s">
        <v>113</v>
      </c>
      <c r="L107" s="37" t="s">
        <v>45</v>
      </c>
      <c r="M107" s="38" t="s">
        <v>112</v>
      </c>
      <c r="N107" s="38"/>
      <c r="O107" s="37">
        <v>55</v>
      </c>
      <c r="P107" s="75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209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4301020346</v>
      </c>
      <c r="D108" s="555">
        <v>4680115882775</v>
      </c>
      <c r="E108" s="555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81</v>
      </c>
      <c r="L108" s="37" t="s">
        <v>45</v>
      </c>
      <c r="M108" s="38" t="s">
        <v>112</v>
      </c>
      <c r="N108" s="38"/>
      <c r="O108" s="37">
        <v>55</v>
      </c>
      <c r="P108" s="75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209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212</v>
      </c>
      <c r="B109" s="63" t="s">
        <v>213</v>
      </c>
      <c r="C109" s="36">
        <v>4301020344</v>
      </c>
      <c r="D109" s="555">
        <v>4680115880658</v>
      </c>
      <c r="E109" s="555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87</v>
      </c>
      <c r="L109" s="37" t="s">
        <v>45</v>
      </c>
      <c r="M109" s="38" t="s">
        <v>112</v>
      </c>
      <c r="N109" s="38"/>
      <c r="O109" s="37">
        <v>55</v>
      </c>
      <c r="P109" s="75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209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562"/>
      <c r="B110" s="562"/>
      <c r="C110" s="562"/>
      <c r="D110" s="562"/>
      <c r="E110" s="562"/>
      <c r="F110" s="562"/>
      <c r="G110" s="562"/>
      <c r="H110" s="562"/>
      <c r="I110" s="562"/>
      <c r="J110" s="562"/>
      <c r="K110" s="562"/>
      <c r="L110" s="562"/>
      <c r="M110" s="562"/>
      <c r="N110" s="562"/>
      <c r="O110" s="563"/>
      <c r="P110" s="559" t="s">
        <v>40</v>
      </c>
      <c r="Q110" s="560"/>
      <c r="R110" s="560"/>
      <c r="S110" s="560"/>
      <c r="T110" s="560"/>
      <c r="U110" s="560"/>
      <c r="V110" s="561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562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59" t="s">
        <v>40</v>
      </c>
      <c r="Q111" s="560"/>
      <c r="R111" s="560"/>
      <c r="S111" s="560"/>
      <c r="T111" s="560"/>
      <c r="U111" s="560"/>
      <c r="V111" s="561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554" t="s">
        <v>82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66"/>
      <c r="AB112" s="66"/>
      <c r="AC112" s="80"/>
    </row>
    <row r="113" spans="1:68" ht="16.5" customHeight="1" x14ac:dyDescent="0.25">
      <c r="A113" s="63" t="s">
        <v>214</v>
      </c>
      <c r="B113" s="63" t="s">
        <v>215</v>
      </c>
      <c r="C113" s="36">
        <v>4301051724</v>
      </c>
      <c r="D113" s="555">
        <v>4607091385168</v>
      </c>
      <c r="E113" s="555"/>
      <c r="F113" s="62">
        <v>1.35</v>
      </c>
      <c r="G113" s="37">
        <v>6</v>
      </c>
      <c r="H113" s="62">
        <v>8.1</v>
      </c>
      <c r="I113" s="62">
        <v>8.6129999999999995</v>
      </c>
      <c r="J113" s="37">
        <v>64</v>
      </c>
      <c r="K113" s="37" t="s">
        <v>113</v>
      </c>
      <c r="L113" s="37" t="s">
        <v>45</v>
      </c>
      <c r="M113" s="38" t="s">
        <v>94</v>
      </c>
      <c r="N113" s="38"/>
      <c r="O113" s="37">
        <v>45</v>
      </c>
      <c r="P113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9" t="s">
        <v>45</v>
      </c>
      <c r="V113" s="39" t="s">
        <v>45</v>
      </c>
      <c r="W113" s="40" t="s">
        <v>0</v>
      </c>
      <c r="X113" s="58">
        <v>64.8</v>
      </c>
      <c r="Y113" s="55">
        <f>IFERROR(IF(X113="",0,CEILING((X113/$H113),1)*$H113),"")</f>
        <v>64.8</v>
      </c>
      <c r="Z113" s="41">
        <f>IFERROR(IF(Y113=0,"",ROUNDUP(Y113/H113,0)*0.01898),"")</f>
        <v>0.15184</v>
      </c>
      <c r="AA113" s="68" t="s">
        <v>45</v>
      </c>
      <c r="AB113" s="69" t="s">
        <v>45</v>
      </c>
      <c r="AC113" s="174" t="s">
        <v>216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68.903999999999996</v>
      </c>
      <c r="BN113" s="78">
        <f>IFERROR(Y113*I113/H113,"0")</f>
        <v>68.903999999999996</v>
      </c>
      <c r="BO113" s="78">
        <f>IFERROR(1/J113*(X113/H113),"0")</f>
        <v>0.125</v>
      </c>
      <c r="BP113" s="78">
        <f>IFERROR(1/J113*(Y113/H113),"0")</f>
        <v>0.125</v>
      </c>
    </row>
    <row r="114" spans="1:68" ht="27" customHeight="1" x14ac:dyDescent="0.25">
      <c r="A114" s="63" t="s">
        <v>217</v>
      </c>
      <c r="B114" s="63" t="s">
        <v>218</v>
      </c>
      <c r="C114" s="36">
        <v>4301051730</v>
      </c>
      <c r="D114" s="555">
        <v>4607091383256</v>
      </c>
      <c r="E114" s="555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7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216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219</v>
      </c>
      <c r="B115" s="63" t="s">
        <v>220</v>
      </c>
      <c r="C115" s="36">
        <v>4301051721</v>
      </c>
      <c r="D115" s="555">
        <v>4607091385748</v>
      </c>
      <c r="E115" s="555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87</v>
      </c>
      <c r="L115" s="37" t="s">
        <v>45</v>
      </c>
      <c r="M115" s="38" t="s">
        <v>94</v>
      </c>
      <c r="N115" s="38"/>
      <c r="O115" s="37">
        <v>45</v>
      </c>
      <c r="P115" s="75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216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221</v>
      </c>
      <c r="B116" s="63" t="s">
        <v>222</v>
      </c>
      <c r="C116" s="36">
        <v>4301051740</v>
      </c>
      <c r="D116" s="555">
        <v>4680115884533</v>
      </c>
      <c r="E116" s="555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87</v>
      </c>
      <c r="L116" s="37" t="s">
        <v>45</v>
      </c>
      <c r="M116" s="38" t="s">
        <v>86</v>
      </c>
      <c r="N116" s="38"/>
      <c r="O116" s="37">
        <v>45</v>
      </c>
      <c r="P116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223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562"/>
      <c r="B117" s="562"/>
      <c r="C117" s="562"/>
      <c r="D117" s="562"/>
      <c r="E117" s="562"/>
      <c r="F117" s="562"/>
      <c r="G117" s="562"/>
      <c r="H117" s="562"/>
      <c r="I117" s="562"/>
      <c r="J117" s="562"/>
      <c r="K117" s="562"/>
      <c r="L117" s="562"/>
      <c r="M117" s="562"/>
      <c r="N117" s="562"/>
      <c r="O117" s="563"/>
      <c r="P117" s="559" t="s">
        <v>40</v>
      </c>
      <c r="Q117" s="560"/>
      <c r="R117" s="560"/>
      <c r="S117" s="560"/>
      <c r="T117" s="560"/>
      <c r="U117" s="560"/>
      <c r="V117" s="561"/>
      <c r="W117" s="42" t="s">
        <v>39</v>
      </c>
      <c r="X117" s="43">
        <f>IFERROR(X113/H113,"0")+IFERROR(X114/H114,"0")+IFERROR(X115/H115,"0")+IFERROR(X116/H116,"0")</f>
        <v>8</v>
      </c>
      <c r="Y117" s="43">
        <f>IFERROR(Y113/H113,"0")+IFERROR(Y114/H114,"0")+IFERROR(Y115/H115,"0")+IFERROR(Y116/H116,"0")</f>
        <v>8</v>
      </c>
      <c r="Z117" s="43">
        <f>IFERROR(IF(Z113="",0,Z113),"0")+IFERROR(IF(Z114="",0,Z114),"0")+IFERROR(IF(Z115="",0,Z115),"0")+IFERROR(IF(Z116="",0,Z116),"0")</f>
        <v>0.15184</v>
      </c>
      <c r="AA117" s="67"/>
      <c r="AB117" s="67"/>
      <c r="AC117" s="67"/>
    </row>
    <row r="118" spans="1:68" x14ac:dyDescent="0.2">
      <c r="A118" s="562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59" t="s">
        <v>40</v>
      </c>
      <c r="Q118" s="560"/>
      <c r="R118" s="560"/>
      <c r="S118" s="560"/>
      <c r="T118" s="560"/>
      <c r="U118" s="560"/>
      <c r="V118" s="561"/>
      <c r="W118" s="42" t="s">
        <v>0</v>
      </c>
      <c r="X118" s="43">
        <f>IFERROR(SUM(X113:X116),"0")</f>
        <v>64.8</v>
      </c>
      <c r="Y118" s="43">
        <f>IFERROR(SUM(Y113:Y116),"0")</f>
        <v>64.8</v>
      </c>
      <c r="Z118" s="42"/>
      <c r="AA118" s="67"/>
      <c r="AB118" s="67"/>
      <c r="AC118" s="67"/>
    </row>
    <row r="119" spans="1:68" ht="14.25" customHeight="1" x14ac:dyDescent="0.25">
      <c r="A119" s="554" t="s">
        <v>171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66"/>
      <c r="AB119" s="66"/>
      <c r="AC119" s="80"/>
    </row>
    <row r="120" spans="1:68" ht="16.5" customHeight="1" x14ac:dyDescent="0.25">
      <c r="A120" s="63" t="s">
        <v>224</v>
      </c>
      <c r="B120" s="63" t="s">
        <v>225</v>
      </c>
      <c r="C120" s="36">
        <v>4301060317</v>
      </c>
      <c r="D120" s="555">
        <v>4680115880238</v>
      </c>
      <c r="E120" s="555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87</v>
      </c>
      <c r="L120" s="37" t="s">
        <v>45</v>
      </c>
      <c r="M120" s="38" t="s">
        <v>86</v>
      </c>
      <c r="N120" s="38"/>
      <c r="O120" s="37">
        <v>40</v>
      </c>
      <c r="P120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226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562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59" t="s">
        <v>40</v>
      </c>
      <c r="Q122" s="560"/>
      <c r="R122" s="560"/>
      <c r="S122" s="560"/>
      <c r="T122" s="560"/>
      <c r="U122" s="560"/>
      <c r="V122" s="561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570" t="s">
        <v>227</v>
      </c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0"/>
      <c r="P123" s="570"/>
      <c r="Q123" s="570"/>
      <c r="R123" s="570"/>
      <c r="S123" s="570"/>
      <c r="T123" s="570"/>
      <c r="U123" s="570"/>
      <c r="V123" s="570"/>
      <c r="W123" s="570"/>
      <c r="X123" s="570"/>
      <c r="Y123" s="570"/>
      <c r="Z123" s="570"/>
      <c r="AA123" s="65"/>
      <c r="AB123" s="65"/>
      <c r="AC123" s="79"/>
    </row>
    <row r="124" spans="1:68" ht="14.25" customHeight="1" x14ac:dyDescent="0.25">
      <c r="A124" s="554" t="s">
        <v>108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66"/>
      <c r="AB124" s="66"/>
      <c r="AC124" s="80"/>
    </row>
    <row r="125" spans="1:68" ht="27" customHeight="1" x14ac:dyDescent="0.25">
      <c r="A125" s="63" t="s">
        <v>228</v>
      </c>
      <c r="B125" s="63" t="s">
        <v>229</v>
      </c>
      <c r="C125" s="36">
        <v>4301011562</v>
      </c>
      <c r="D125" s="555">
        <v>4680115882577</v>
      </c>
      <c r="E125" s="555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87</v>
      </c>
      <c r="L125" s="37" t="s">
        <v>45</v>
      </c>
      <c r="M125" s="38" t="s">
        <v>105</v>
      </c>
      <c r="N125" s="38"/>
      <c r="O125" s="37">
        <v>90</v>
      </c>
      <c r="P125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230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228</v>
      </c>
      <c r="B126" s="63" t="s">
        <v>231</v>
      </c>
      <c r="C126" s="36">
        <v>4301011564</v>
      </c>
      <c r="D126" s="555">
        <v>4680115882577</v>
      </c>
      <c r="E126" s="555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87</v>
      </c>
      <c r="L126" s="37" t="s">
        <v>45</v>
      </c>
      <c r="M126" s="38" t="s">
        <v>105</v>
      </c>
      <c r="N126" s="38"/>
      <c r="O126" s="37">
        <v>90</v>
      </c>
      <c r="P126" s="7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230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562"/>
      <c r="B127" s="562"/>
      <c r="C127" s="562"/>
      <c r="D127" s="562"/>
      <c r="E127" s="562"/>
      <c r="F127" s="562"/>
      <c r="G127" s="562"/>
      <c r="H127" s="562"/>
      <c r="I127" s="562"/>
      <c r="J127" s="562"/>
      <c r="K127" s="562"/>
      <c r="L127" s="562"/>
      <c r="M127" s="562"/>
      <c r="N127" s="562"/>
      <c r="O127" s="563"/>
      <c r="P127" s="559" t="s">
        <v>40</v>
      </c>
      <c r="Q127" s="560"/>
      <c r="R127" s="560"/>
      <c r="S127" s="560"/>
      <c r="T127" s="560"/>
      <c r="U127" s="560"/>
      <c r="V127" s="561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562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59" t="s">
        <v>40</v>
      </c>
      <c r="Q128" s="560"/>
      <c r="R128" s="560"/>
      <c r="S128" s="560"/>
      <c r="T128" s="560"/>
      <c r="U128" s="560"/>
      <c r="V128" s="561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554" t="s">
        <v>76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66"/>
      <c r="AB129" s="66"/>
      <c r="AC129" s="80"/>
    </row>
    <row r="130" spans="1:68" ht="27" customHeight="1" x14ac:dyDescent="0.25">
      <c r="A130" s="63" t="s">
        <v>232</v>
      </c>
      <c r="B130" s="63" t="s">
        <v>233</v>
      </c>
      <c r="C130" s="36">
        <v>4301031235</v>
      </c>
      <c r="D130" s="555">
        <v>4680115883444</v>
      </c>
      <c r="E130" s="555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87</v>
      </c>
      <c r="L130" s="37" t="s">
        <v>45</v>
      </c>
      <c r="M130" s="38" t="s">
        <v>105</v>
      </c>
      <c r="N130" s="38"/>
      <c r="O130" s="37">
        <v>90</v>
      </c>
      <c r="P130" s="7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234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232</v>
      </c>
      <c r="B131" s="63" t="s">
        <v>235</v>
      </c>
      <c r="C131" s="36">
        <v>4301031234</v>
      </c>
      <c r="D131" s="555">
        <v>4680115883444</v>
      </c>
      <c r="E131" s="555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87</v>
      </c>
      <c r="L131" s="37" t="s">
        <v>45</v>
      </c>
      <c r="M131" s="38" t="s">
        <v>105</v>
      </c>
      <c r="N131" s="38"/>
      <c r="O131" s="37">
        <v>90</v>
      </c>
      <c r="P131" s="74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234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562"/>
      <c r="B132" s="562"/>
      <c r="C132" s="562"/>
      <c r="D132" s="562"/>
      <c r="E132" s="562"/>
      <c r="F132" s="562"/>
      <c r="G132" s="562"/>
      <c r="H132" s="562"/>
      <c r="I132" s="562"/>
      <c r="J132" s="562"/>
      <c r="K132" s="562"/>
      <c r="L132" s="562"/>
      <c r="M132" s="562"/>
      <c r="N132" s="562"/>
      <c r="O132" s="563"/>
      <c r="P132" s="559" t="s">
        <v>40</v>
      </c>
      <c r="Q132" s="560"/>
      <c r="R132" s="560"/>
      <c r="S132" s="560"/>
      <c r="T132" s="560"/>
      <c r="U132" s="560"/>
      <c r="V132" s="561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562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59" t="s">
        <v>40</v>
      </c>
      <c r="Q133" s="560"/>
      <c r="R133" s="560"/>
      <c r="S133" s="560"/>
      <c r="T133" s="560"/>
      <c r="U133" s="560"/>
      <c r="V133" s="561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554" t="s">
        <v>82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66"/>
      <c r="AB134" s="66"/>
      <c r="AC134" s="80"/>
    </row>
    <row r="135" spans="1:68" ht="16.5" customHeight="1" x14ac:dyDescent="0.25">
      <c r="A135" s="63" t="s">
        <v>236</v>
      </c>
      <c r="B135" s="63" t="s">
        <v>237</v>
      </c>
      <c r="C135" s="36">
        <v>4301051477</v>
      </c>
      <c r="D135" s="555">
        <v>4680115882584</v>
      </c>
      <c r="E135" s="555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87</v>
      </c>
      <c r="L135" s="37" t="s">
        <v>45</v>
      </c>
      <c r="M135" s="38" t="s">
        <v>105</v>
      </c>
      <c r="N135" s="38"/>
      <c r="O135" s="37">
        <v>60</v>
      </c>
      <c r="P135" s="7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230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236</v>
      </c>
      <c r="B136" s="63" t="s">
        <v>238</v>
      </c>
      <c r="C136" s="36">
        <v>4301051476</v>
      </c>
      <c r="D136" s="555">
        <v>4680115882584</v>
      </c>
      <c r="E136" s="555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87</v>
      </c>
      <c r="L136" s="37" t="s">
        <v>45</v>
      </c>
      <c r="M136" s="38" t="s">
        <v>105</v>
      </c>
      <c r="N136" s="38"/>
      <c r="O136" s="37">
        <v>60</v>
      </c>
      <c r="P136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230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562"/>
      <c r="B137" s="562"/>
      <c r="C137" s="562"/>
      <c r="D137" s="562"/>
      <c r="E137" s="562"/>
      <c r="F137" s="562"/>
      <c r="G137" s="562"/>
      <c r="H137" s="562"/>
      <c r="I137" s="562"/>
      <c r="J137" s="562"/>
      <c r="K137" s="562"/>
      <c r="L137" s="562"/>
      <c r="M137" s="562"/>
      <c r="N137" s="562"/>
      <c r="O137" s="563"/>
      <c r="P137" s="559" t="s">
        <v>40</v>
      </c>
      <c r="Q137" s="560"/>
      <c r="R137" s="560"/>
      <c r="S137" s="560"/>
      <c r="T137" s="560"/>
      <c r="U137" s="560"/>
      <c r="V137" s="561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562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59" t="s">
        <v>40</v>
      </c>
      <c r="Q138" s="560"/>
      <c r="R138" s="560"/>
      <c r="S138" s="560"/>
      <c r="T138" s="560"/>
      <c r="U138" s="560"/>
      <c r="V138" s="561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570" t="s">
        <v>106</v>
      </c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0"/>
      <c r="P139" s="570"/>
      <c r="Q139" s="570"/>
      <c r="R139" s="570"/>
      <c r="S139" s="570"/>
      <c r="T139" s="570"/>
      <c r="U139" s="570"/>
      <c r="V139" s="570"/>
      <c r="W139" s="570"/>
      <c r="X139" s="570"/>
      <c r="Y139" s="570"/>
      <c r="Z139" s="570"/>
      <c r="AA139" s="65"/>
      <c r="AB139" s="65"/>
      <c r="AC139" s="79"/>
    </row>
    <row r="140" spans="1:68" ht="14.25" customHeight="1" x14ac:dyDescent="0.25">
      <c r="A140" s="554" t="s">
        <v>108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66"/>
      <c r="AB140" s="66"/>
      <c r="AC140" s="80"/>
    </row>
    <row r="141" spans="1:68" ht="27" customHeight="1" x14ac:dyDescent="0.25">
      <c r="A141" s="63" t="s">
        <v>239</v>
      </c>
      <c r="B141" s="63" t="s">
        <v>240</v>
      </c>
      <c r="C141" s="36">
        <v>4301012244</v>
      </c>
      <c r="D141" s="555">
        <v>4680115887374</v>
      </c>
      <c r="E141" s="555"/>
      <c r="F141" s="62">
        <v>1.6</v>
      </c>
      <c r="G141" s="37">
        <v>8</v>
      </c>
      <c r="H141" s="62">
        <v>12.8</v>
      </c>
      <c r="I141" s="62">
        <v>13.234999999999999</v>
      </c>
      <c r="J141" s="37">
        <v>64</v>
      </c>
      <c r="K141" s="37" t="s">
        <v>113</v>
      </c>
      <c r="L141" s="37" t="s">
        <v>45</v>
      </c>
      <c r="M141" s="38" t="s">
        <v>112</v>
      </c>
      <c r="N141" s="38"/>
      <c r="O141" s="37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242</v>
      </c>
      <c r="AC141" s="196" t="s">
        <v>241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243</v>
      </c>
      <c r="B142" s="63" t="s">
        <v>244</v>
      </c>
      <c r="C142" s="36">
        <v>4301011705</v>
      </c>
      <c r="D142" s="555">
        <v>4607091384604</v>
      </c>
      <c r="E142" s="555"/>
      <c r="F142" s="62">
        <v>0.4</v>
      </c>
      <c r="G142" s="37">
        <v>10</v>
      </c>
      <c r="H142" s="62">
        <v>4</v>
      </c>
      <c r="I142" s="62">
        <v>4.21</v>
      </c>
      <c r="J142" s="37">
        <v>132</v>
      </c>
      <c r="K142" s="37" t="s">
        <v>116</v>
      </c>
      <c r="L142" s="37" t="s">
        <v>45</v>
      </c>
      <c r="M142" s="38" t="s">
        <v>112</v>
      </c>
      <c r="N142" s="38"/>
      <c r="O142" s="37">
        <v>50</v>
      </c>
      <c r="P142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245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246</v>
      </c>
      <c r="B143" s="63" t="s">
        <v>247</v>
      </c>
      <c r="C143" s="36">
        <v>4301012179</v>
      </c>
      <c r="D143" s="555">
        <v>4680115886810</v>
      </c>
      <c r="E143" s="555"/>
      <c r="F143" s="62">
        <v>0.3</v>
      </c>
      <c r="G143" s="37">
        <v>10</v>
      </c>
      <c r="H143" s="62">
        <v>3</v>
      </c>
      <c r="I143" s="62">
        <v>3.18</v>
      </c>
      <c r="J143" s="37">
        <v>182</v>
      </c>
      <c r="K143" s="37" t="s">
        <v>87</v>
      </c>
      <c r="L143" s="37" t="s">
        <v>45</v>
      </c>
      <c r="M143" s="38" t="s">
        <v>112</v>
      </c>
      <c r="N143" s="38"/>
      <c r="O143" s="37">
        <v>55</v>
      </c>
      <c r="P143" s="74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45</v>
      </c>
      <c r="AB143" s="69" t="s">
        <v>45</v>
      </c>
      <c r="AC143" s="200" t="s">
        <v>248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562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59" t="s">
        <v>40</v>
      </c>
      <c r="Q144" s="560"/>
      <c r="R144" s="560"/>
      <c r="S144" s="560"/>
      <c r="T144" s="560"/>
      <c r="U144" s="560"/>
      <c r="V144" s="561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59" t="s">
        <v>40</v>
      </c>
      <c r="Q145" s="560"/>
      <c r="R145" s="560"/>
      <c r="S145" s="560"/>
      <c r="T145" s="560"/>
      <c r="U145" s="560"/>
      <c r="V145" s="561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4.25" customHeight="1" x14ac:dyDescent="0.25">
      <c r="A146" s="554" t="s">
        <v>76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66"/>
      <c r="AB146" s="66"/>
      <c r="AC146" s="80"/>
    </row>
    <row r="147" spans="1:68" ht="16.5" customHeight="1" x14ac:dyDescent="0.25">
      <c r="A147" s="63" t="s">
        <v>249</v>
      </c>
      <c r="B147" s="63" t="s">
        <v>250</v>
      </c>
      <c r="C147" s="36">
        <v>4301030895</v>
      </c>
      <c r="D147" s="555">
        <v>4607091387667</v>
      </c>
      <c r="E147" s="555"/>
      <c r="F147" s="62">
        <v>0.9</v>
      </c>
      <c r="G147" s="37">
        <v>10</v>
      </c>
      <c r="H147" s="62">
        <v>9</v>
      </c>
      <c r="I147" s="62">
        <v>9.5850000000000009</v>
      </c>
      <c r="J147" s="37">
        <v>64</v>
      </c>
      <c r="K147" s="37" t="s">
        <v>113</v>
      </c>
      <c r="L147" s="37" t="s">
        <v>45</v>
      </c>
      <c r="M147" s="38" t="s">
        <v>112</v>
      </c>
      <c r="N147" s="38"/>
      <c r="O147" s="37">
        <v>40</v>
      </c>
      <c r="P147" s="7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251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252</v>
      </c>
      <c r="B148" s="63" t="s">
        <v>253</v>
      </c>
      <c r="C148" s="36">
        <v>4301030961</v>
      </c>
      <c r="D148" s="555">
        <v>4607091387636</v>
      </c>
      <c r="E148" s="555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87</v>
      </c>
      <c r="L148" s="37" t="s">
        <v>45</v>
      </c>
      <c r="M148" s="38" t="s">
        <v>80</v>
      </c>
      <c r="N148" s="38"/>
      <c r="O148" s="37">
        <v>40</v>
      </c>
      <c r="P148" s="74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254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255</v>
      </c>
      <c r="B149" s="63" t="s">
        <v>256</v>
      </c>
      <c r="C149" s="36">
        <v>4301030963</v>
      </c>
      <c r="D149" s="555">
        <v>4607091382426</v>
      </c>
      <c r="E149" s="555"/>
      <c r="F149" s="62">
        <v>0.9</v>
      </c>
      <c r="G149" s="37">
        <v>10</v>
      </c>
      <c r="H149" s="62">
        <v>9</v>
      </c>
      <c r="I149" s="62">
        <v>9.5850000000000009</v>
      </c>
      <c r="J149" s="37">
        <v>64</v>
      </c>
      <c r="K149" s="37" t="s">
        <v>113</v>
      </c>
      <c r="L149" s="37" t="s">
        <v>45</v>
      </c>
      <c r="M149" s="38" t="s">
        <v>80</v>
      </c>
      <c r="N149" s="38"/>
      <c r="O149" s="37">
        <v>40</v>
      </c>
      <c r="P149" s="74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257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562"/>
      <c r="B150" s="562"/>
      <c r="C150" s="562"/>
      <c r="D150" s="562"/>
      <c r="E150" s="562"/>
      <c r="F150" s="562"/>
      <c r="G150" s="562"/>
      <c r="H150" s="562"/>
      <c r="I150" s="562"/>
      <c r="J150" s="562"/>
      <c r="K150" s="562"/>
      <c r="L150" s="562"/>
      <c r="M150" s="562"/>
      <c r="N150" s="562"/>
      <c r="O150" s="563"/>
      <c r="P150" s="559" t="s">
        <v>40</v>
      </c>
      <c r="Q150" s="560"/>
      <c r="R150" s="560"/>
      <c r="S150" s="560"/>
      <c r="T150" s="560"/>
      <c r="U150" s="560"/>
      <c r="V150" s="561"/>
      <c r="W150" s="42" t="s">
        <v>39</v>
      </c>
      <c r="X150" s="43">
        <f>IFERROR(X147/H147,"0")+IFERROR(X148/H148,"0")+IFERROR(X149/H149,"0")</f>
        <v>0</v>
      </c>
      <c r="Y150" s="43">
        <f>IFERROR(Y147/H147,"0")+IFERROR(Y148/H148,"0")+IFERROR(Y149/H149,"0")</f>
        <v>0</v>
      </c>
      <c r="Z150" s="43">
        <f>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562"/>
      <c r="B151" s="562"/>
      <c r="C151" s="562"/>
      <c r="D151" s="562"/>
      <c r="E151" s="562"/>
      <c r="F151" s="562"/>
      <c r="G151" s="562"/>
      <c r="H151" s="562"/>
      <c r="I151" s="562"/>
      <c r="J151" s="562"/>
      <c r="K151" s="562"/>
      <c r="L151" s="562"/>
      <c r="M151" s="562"/>
      <c r="N151" s="562"/>
      <c r="O151" s="563"/>
      <c r="P151" s="559" t="s">
        <v>40</v>
      </c>
      <c r="Q151" s="560"/>
      <c r="R151" s="560"/>
      <c r="S151" s="560"/>
      <c r="T151" s="560"/>
      <c r="U151" s="560"/>
      <c r="V151" s="561"/>
      <c r="W151" s="42" t="s">
        <v>0</v>
      </c>
      <c r="X151" s="43">
        <f>IFERROR(SUM(X147:X149),"0")</f>
        <v>0</v>
      </c>
      <c r="Y151" s="43">
        <f>IFERROR(SUM(Y147:Y149),"0")</f>
        <v>0</v>
      </c>
      <c r="Z151" s="42"/>
      <c r="AA151" s="67"/>
      <c r="AB151" s="67"/>
      <c r="AC151" s="67"/>
    </row>
    <row r="152" spans="1:68" ht="14.25" customHeight="1" x14ac:dyDescent="0.25">
      <c r="A152" s="554" t="s">
        <v>82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66"/>
      <c r="AB152" s="66"/>
      <c r="AC152" s="80"/>
    </row>
    <row r="153" spans="1:68" ht="27" customHeight="1" x14ac:dyDescent="0.25">
      <c r="A153" s="63" t="s">
        <v>258</v>
      </c>
      <c r="B153" s="63" t="s">
        <v>259</v>
      </c>
      <c r="C153" s="36">
        <v>4301052064</v>
      </c>
      <c r="D153" s="555">
        <v>4680115887459</v>
      </c>
      <c r="E153" s="555"/>
      <c r="F153" s="62">
        <v>0.3</v>
      </c>
      <c r="G153" s="37">
        <v>6</v>
      </c>
      <c r="H153" s="62">
        <v>1.8</v>
      </c>
      <c r="I153" s="62">
        <v>2.0579999999999998</v>
      </c>
      <c r="J153" s="37">
        <v>182</v>
      </c>
      <c r="K153" s="37" t="s">
        <v>87</v>
      </c>
      <c r="L153" s="37" t="s">
        <v>45</v>
      </c>
      <c r="M153" s="38" t="s">
        <v>86</v>
      </c>
      <c r="N153" s="38"/>
      <c r="O153" s="37">
        <v>45</v>
      </c>
      <c r="P153" s="739" t="s">
        <v>260</v>
      </c>
      <c r="Q153" s="557"/>
      <c r="R153" s="557"/>
      <c r="S153" s="557"/>
      <c r="T153" s="55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45</v>
      </c>
      <c r="AB153" s="69" t="s">
        <v>242</v>
      </c>
      <c r="AC153" s="208" t="s">
        <v>261</v>
      </c>
      <c r="AG153" s="78"/>
      <c r="AJ153" s="84" t="s">
        <v>45</v>
      </c>
      <c r="AK153" s="84">
        <v>0</v>
      </c>
      <c r="BB153" s="209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27.75" customHeight="1" x14ac:dyDescent="0.2">
      <c r="A156" s="579" t="s">
        <v>262</v>
      </c>
      <c r="B156" s="579"/>
      <c r="C156" s="579"/>
      <c r="D156" s="579"/>
      <c r="E156" s="579"/>
      <c r="F156" s="579"/>
      <c r="G156" s="579"/>
      <c r="H156" s="579"/>
      <c r="I156" s="579"/>
      <c r="J156" s="579"/>
      <c r="K156" s="579"/>
      <c r="L156" s="579"/>
      <c r="M156" s="579"/>
      <c r="N156" s="579"/>
      <c r="O156" s="579"/>
      <c r="P156" s="579"/>
      <c r="Q156" s="579"/>
      <c r="R156" s="579"/>
      <c r="S156" s="579"/>
      <c r="T156" s="579"/>
      <c r="U156" s="579"/>
      <c r="V156" s="579"/>
      <c r="W156" s="579"/>
      <c r="X156" s="579"/>
      <c r="Y156" s="579"/>
      <c r="Z156" s="579"/>
      <c r="AA156" s="54"/>
      <c r="AB156" s="54"/>
      <c r="AC156" s="54"/>
    </row>
    <row r="157" spans="1:68" ht="16.5" customHeight="1" x14ac:dyDescent="0.25">
      <c r="A157" s="570" t="s">
        <v>263</v>
      </c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0"/>
      <c r="P157" s="570"/>
      <c r="Q157" s="570"/>
      <c r="R157" s="570"/>
      <c r="S157" s="570"/>
      <c r="T157" s="570"/>
      <c r="U157" s="570"/>
      <c r="V157" s="570"/>
      <c r="W157" s="570"/>
      <c r="X157" s="570"/>
      <c r="Y157" s="570"/>
      <c r="Z157" s="570"/>
      <c r="AA157" s="65"/>
      <c r="AB157" s="65"/>
      <c r="AC157" s="79"/>
    </row>
    <row r="158" spans="1:68" ht="14.25" customHeight="1" x14ac:dyDescent="0.25">
      <c r="A158" s="554" t="s">
        <v>141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66"/>
      <c r="AB158" s="66"/>
      <c r="AC158" s="80"/>
    </row>
    <row r="159" spans="1:68" ht="27" customHeight="1" x14ac:dyDescent="0.25">
      <c r="A159" s="63" t="s">
        <v>264</v>
      </c>
      <c r="B159" s="63" t="s">
        <v>265</v>
      </c>
      <c r="C159" s="36">
        <v>4301020323</v>
      </c>
      <c r="D159" s="555">
        <v>4680115886223</v>
      </c>
      <c r="E159" s="555"/>
      <c r="F159" s="62">
        <v>0.33</v>
      </c>
      <c r="G159" s="37">
        <v>6</v>
      </c>
      <c r="H159" s="62">
        <v>1.98</v>
      </c>
      <c r="I159" s="62">
        <v>2.08</v>
      </c>
      <c r="J159" s="37">
        <v>234</v>
      </c>
      <c r="K159" s="37" t="s">
        <v>81</v>
      </c>
      <c r="L159" s="37" t="s">
        <v>45</v>
      </c>
      <c r="M159" s="38" t="s">
        <v>80</v>
      </c>
      <c r="N159" s="38"/>
      <c r="O159" s="37">
        <v>40</v>
      </c>
      <c r="P159" s="73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IFERROR(IF(Y159=0,"",ROUNDUP(Y159/H159,0)*0.00502),"")</f>
        <v/>
      </c>
      <c r="AA159" s="68" t="s">
        <v>45</v>
      </c>
      <c r="AB159" s="69" t="s">
        <v>45</v>
      </c>
      <c r="AC159" s="210" t="s">
        <v>266</v>
      </c>
      <c r="AG159" s="78"/>
      <c r="AJ159" s="84" t="s">
        <v>45</v>
      </c>
      <c r="AK159" s="84">
        <v>0</v>
      </c>
      <c r="BB159" s="211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562"/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3"/>
      <c r="P160" s="559" t="s">
        <v>40</v>
      </c>
      <c r="Q160" s="560"/>
      <c r="R160" s="560"/>
      <c r="S160" s="560"/>
      <c r="T160" s="560"/>
      <c r="U160" s="560"/>
      <c r="V160" s="56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562"/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3"/>
      <c r="P161" s="559" t="s">
        <v>40</v>
      </c>
      <c r="Q161" s="560"/>
      <c r="R161" s="560"/>
      <c r="S161" s="560"/>
      <c r="T161" s="560"/>
      <c r="U161" s="560"/>
      <c r="V161" s="56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4.25" customHeight="1" x14ac:dyDescent="0.25">
      <c r="A162" s="554" t="s">
        <v>76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6"/>
      <c r="AB162" s="66"/>
      <c r="AC162" s="80"/>
    </row>
    <row r="163" spans="1:68" ht="27" customHeight="1" x14ac:dyDescent="0.25">
      <c r="A163" s="63" t="s">
        <v>267</v>
      </c>
      <c r="B163" s="63" t="s">
        <v>268</v>
      </c>
      <c r="C163" s="36">
        <v>4301031191</v>
      </c>
      <c r="D163" s="555">
        <v>4680115880993</v>
      </c>
      <c r="E163" s="555"/>
      <c r="F163" s="62">
        <v>0.7</v>
      </c>
      <c r="G163" s="37">
        <v>6</v>
      </c>
      <c r="H163" s="62">
        <v>4.2</v>
      </c>
      <c r="I163" s="62">
        <v>4.47</v>
      </c>
      <c r="J163" s="37">
        <v>132</v>
      </c>
      <c r="K163" s="37" t="s">
        <v>116</v>
      </c>
      <c r="L163" s="37" t="s">
        <v>45</v>
      </c>
      <c r="M163" s="38" t="s">
        <v>80</v>
      </c>
      <c r="N163" s="38"/>
      <c r="O163" s="37">
        <v>40</v>
      </c>
      <c r="P163" s="7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ref="Y163:Y171" si="5">IFERROR(IF(X163="",0,CEILING((X163/$H163),1)*$H163),"")</f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269</v>
      </c>
      <c r="AG163" s="78"/>
      <c r="AJ163" s="84" t="s">
        <v>45</v>
      </c>
      <c r="AK163" s="84">
        <v>0</v>
      </c>
      <c r="BB163" s="213" t="s">
        <v>66</v>
      </c>
      <c r="BM163" s="78">
        <f t="shared" ref="BM163:BM171" si="6">IFERROR(X163*I163/H163,"0")</f>
        <v>0</v>
      </c>
      <c r="BN163" s="78">
        <f t="shared" ref="BN163:BN171" si="7">IFERROR(Y163*I163/H163,"0")</f>
        <v>0</v>
      </c>
      <c r="BO163" s="78">
        <f t="shared" ref="BO163:BO171" si="8">IFERROR(1/J163*(X163/H163),"0")</f>
        <v>0</v>
      </c>
      <c r="BP163" s="78">
        <f t="shared" ref="BP163:BP171" si="9">IFERROR(1/J163*(Y163/H163),"0")</f>
        <v>0</v>
      </c>
    </row>
    <row r="164" spans="1:68" ht="27" customHeight="1" x14ac:dyDescent="0.25">
      <c r="A164" s="63" t="s">
        <v>270</v>
      </c>
      <c r="B164" s="63" t="s">
        <v>271</v>
      </c>
      <c r="C164" s="36">
        <v>4301031204</v>
      </c>
      <c r="D164" s="555">
        <v>4680115881761</v>
      </c>
      <c r="E164" s="555"/>
      <c r="F164" s="62">
        <v>0.7</v>
      </c>
      <c r="G164" s="37">
        <v>6</v>
      </c>
      <c r="H164" s="62">
        <v>4.2</v>
      </c>
      <c r="I164" s="62">
        <v>4.47</v>
      </c>
      <c r="J164" s="37">
        <v>132</v>
      </c>
      <c r="K164" s="37" t="s">
        <v>116</v>
      </c>
      <c r="L164" s="37" t="s">
        <v>45</v>
      </c>
      <c r="M164" s="38" t="s">
        <v>80</v>
      </c>
      <c r="N164" s="38"/>
      <c r="O164" s="37">
        <v>40</v>
      </c>
      <c r="P164" s="7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272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273</v>
      </c>
      <c r="B165" s="63" t="s">
        <v>274</v>
      </c>
      <c r="C165" s="36">
        <v>4301031201</v>
      </c>
      <c r="D165" s="555">
        <v>4680115881563</v>
      </c>
      <c r="E165" s="555"/>
      <c r="F165" s="62">
        <v>0.7</v>
      </c>
      <c r="G165" s="37">
        <v>6</v>
      </c>
      <c r="H165" s="62">
        <v>4.2</v>
      </c>
      <c r="I165" s="62">
        <v>4.41</v>
      </c>
      <c r="J165" s="37">
        <v>132</v>
      </c>
      <c r="K165" s="37" t="s">
        <v>116</v>
      </c>
      <c r="L165" s="37" t="s">
        <v>45</v>
      </c>
      <c r="M165" s="38" t="s">
        <v>80</v>
      </c>
      <c r="N165" s="38"/>
      <c r="O165" s="37">
        <v>40</v>
      </c>
      <c r="P165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275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276</v>
      </c>
      <c r="B166" s="63" t="s">
        <v>277</v>
      </c>
      <c r="C166" s="36">
        <v>4301031199</v>
      </c>
      <c r="D166" s="555">
        <v>4680115880986</v>
      </c>
      <c r="E166" s="555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81</v>
      </c>
      <c r="L166" s="37" t="s">
        <v>45</v>
      </c>
      <c r="M166" s="38" t="s">
        <v>80</v>
      </c>
      <c r="N166" s="38"/>
      <c r="O166" s="37">
        <v>40</v>
      </c>
      <c r="P166" s="7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269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278</v>
      </c>
      <c r="B167" s="63" t="s">
        <v>279</v>
      </c>
      <c r="C167" s="36">
        <v>4301031205</v>
      </c>
      <c r="D167" s="555">
        <v>4680115881785</v>
      </c>
      <c r="E167" s="555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81</v>
      </c>
      <c r="L167" s="37" t="s">
        <v>45</v>
      </c>
      <c r="M167" s="38" t="s">
        <v>80</v>
      </c>
      <c r="N167" s="38"/>
      <c r="O167" s="37">
        <v>40</v>
      </c>
      <c r="P167" s="7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272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280</v>
      </c>
      <c r="B168" s="63" t="s">
        <v>281</v>
      </c>
      <c r="C168" s="36">
        <v>4301031399</v>
      </c>
      <c r="D168" s="555">
        <v>4680115886537</v>
      </c>
      <c r="E168" s="555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81</v>
      </c>
      <c r="L168" s="37" t="s">
        <v>45</v>
      </c>
      <c r="M168" s="38" t="s">
        <v>80</v>
      </c>
      <c r="N168" s="38"/>
      <c r="O168" s="37">
        <v>40</v>
      </c>
      <c r="P168" s="73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282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283</v>
      </c>
      <c r="B169" s="63" t="s">
        <v>284</v>
      </c>
      <c r="C169" s="36">
        <v>4301031202</v>
      </c>
      <c r="D169" s="555">
        <v>4680115881679</v>
      </c>
      <c r="E169" s="555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81</v>
      </c>
      <c r="L169" s="37" t="s">
        <v>45</v>
      </c>
      <c r="M169" s="38" t="s">
        <v>80</v>
      </c>
      <c r="N169" s="38"/>
      <c r="O169" s="37">
        <v>40</v>
      </c>
      <c r="P16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275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285</v>
      </c>
      <c r="B170" s="63" t="s">
        <v>286</v>
      </c>
      <c r="C170" s="36">
        <v>4301031158</v>
      </c>
      <c r="D170" s="555">
        <v>4680115880191</v>
      </c>
      <c r="E170" s="555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87</v>
      </c>
      <c r="L170" s="37" t="s">
        <v>45</v>
      </c>
      <c r="M170" s="38" t="s">
        <v>80</v>
      </c>
      <c r="N170" s="38"/>
      <c r="O170" s="37">
        <v>40</v>
      </c>
      <c r="P170" s="7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275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287</v>
      </c>
      <c r="B171" s="63" t="s">
        <v>288</v>
      </c>
      <c r="C171" s="36">
        <v>4301031245</v>
      </c>
      <c r="D171" s="555">
        <v>4680115883963</v>
      </c>
      <c r="E171" s="555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81</v>
      </c>
      <c r="L171" s="37" t="s">
        <v>45</v>
      </c>
      <c r="M171" s="38" t="s">
        <v>80</v>
      </c>
      <c r="N171" s="38"/>
      <c r="O171" s="37">
        <v>40</v>
      </c>
      <c r="P171" s="7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289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562"/>
      <c r="B172" s="562"/>
      <c r="C172" s="562"/>
      <c r="D172" s="562"/>
      <c r="E172" s="562"/>
      <c r="F172" s="562"/>
      <c r="G172" s="562"/>
      <c r="H172" s="562"/>
      <c r="I172" s="562"/>
      <c r="J172" s="562"/>
      <c r="K172" s="562"/>
      <c r="L172" s="562"/>
      <c r="M172" s="562"/>
      <c r="N172" s="562"/>
      <c r="O172" s="563"/>
      <c r="P172" s="559" t="s">
        <v>40</v>
      </c>
      <c r="Q172" s="560"/>
      <c r="R172" s="560"/>
      <c r="S172" s="560"/>
      <c r="T172" s="560"/>
      <c r="U172" s="560"/>
      <c r="V172" s="561"/>
      <c r="W172" s="42" t="s">
        <v>39</v>
      </c>
      <c r="X172" s="43">
        <f>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562"/>
      <c r="B173" s="562"/>
      <c r="C173" s="562"/>
      <c r="D173" s="562"/>
      <c r="E173" s="562"/>
      <c r="F173" s="562"/>
      <c r="G173" s="562"/>
      <c r="H173" s="562"/>
      <c r="I173" s="562"/>
      <c r="J173" s="562"/>
      <c r="K173" s="562"/>
      <c r="L173" s="562"/>
      <c r="M173" s="562"/>
      <c r="N173" s="562"/>
      <c r="O173" s="563"/>
      <c r="P173" s="559" t="s">
        <v>40</v>
      </c>
      <c r="Q173" s="560"/>
      <c r="R173" s="560"/>
      <c r="S173" s="560"/>
      <c r="T173" s="560"/>
      <c r="U173" s="560"/>
      <c r="V173" s="561"/>
      <c r="W173" s="42" t="s">
        <v>0</v>
      </c>
      <c r="X173" s="43">
        <f>IFERROR(SUM(X163:X171),"0")</f>
        <v>0</v>
      </c>
      <c r="Y173" s="43">
        <f>IFERROR(SUM(Y163:Y171),"0")</f>
        <v>0</v>
      </c>
      <c r="Z173" s="42"/>
      <c r="AA173" s="67"/>
      <c r="AB173" s="67"/>
      <c r="AC173" s="67"/>
    </row>
    <row r="174" spans="1:68" ht="14.25" customHeight="1" x14ac:dyDescent="0.25">
      <c r="A174" s="554" t="s">
        <v>100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66"/>
      <c r="AB174" s="66"/>
      <c r="AC174" s="80"/>
    </row>
    <row r="175" spans="1:68" ht="27" customHeight="1" x14ac:dyDescent="0.25">
      <c r="A175" s="63" t="s">
        <v>290</v>
      </c>
      <c r="B175" s="63" t="s">
        <v>291</v>
      </c>
      <c r="C175" s="36">
        <v>4301032053</v>
      </c>
      <c r="D175" s="555">
        <v>4680115886780</v>
      </c>
      <c r="E175" s="555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294</v>
      </c>
      <c r="L175" s="37" t="s">
        <v>45</v>
      </c>
      <c r="M175" s="38" t="s">
        <v>293</v>
      </c>
      <c r="N175" s="38"/>
      <c r="O175" s="37">
        <v>60</v>
      </c>
      <c r="P175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295</v>
      </c>
      <c r="B176" s="63" t="s">
        <v>296</v>
      </c>
      <c r="C176" s="36">
        <v>4301032051</v>
      </c>
      <c r="D176" s="555">
        <v>4680115886742</v>
      </c>
      <c r="E176" s="555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294</v>
      </c>
      <c r="L176" s="37" t="s">
        <v>45</v>
      </c>
      <c r="M176" s="38" t="s">
        <v>293</v>
      </c>
      <c r="N176" s="38"/>
      <c r="O176" s="37">
        <v>90</v>
      </c>
      <c r="P176" s="7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297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298</v>
      </c>
      <c r="B177" s="63" t="s">
        <v>299</v>
      </c>
      <c r="C177" s="36">
        <v>4301032052</v>
      </c>
      <c r="D177" s="555">
        <v>4680115886766</v>
      </c>
      <c r="E177" s="555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294</v>
      </c>
      <c r="L177" s="37" t="s">
        <v>45</v>
      </c>
      <c r="M177" s="38" t="s">
        <v>293</v>
      </c>
      <c r="N177" s="38"/>
      <c r="O177" s="37">
        <v>90</v>
      </c>
      <c r="P177" s="7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297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562"/>
      <c r="B178" s="562"/>
      <c r="C178" s="562"/>
      <c r="D178" s="562"/>
      <c r="E178" s="562"/>
      <c r="F178" s="562"/>
      <c r="G178" s="562"/>
      <c r="H178" s="562"/>
      <c r="I178" s="562"/>
      <c r="J178" s="562"/>
      <c r="K178" s="562"/>
      <c r="L178" s="562"/>
      <c r="M178" s="562"/>
      <c r="N178" s="562"/>
      <c r="O178" s="563"/>
      <c r="P178" s="559" t="s">
        <v>40</v>
      </c>
      <c r="Q178" s="560"/>
      <c r="R178" s="560"/>
      <c r="S178" s="560"/>
      <c r="T178" s="560"/>
      <c r="U178" s="560"/>
      <c r="V178" s="561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562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59" t="s">
        <v>40</v>
      </c>
      <c r="Q179" s="560"/>
      <c r="R179" s="560"/>
      <c r="S179" s="560"/>
      <c r="T179" s="560"/>
      <c r="U179" s="560"/>
      <c r="V179" s="561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554" t="s">
        <v>300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66"/>
      <c r="AB180" s="66"/>
      <c r="AC180" s="80"/>
    </row>
    <row r="181" spans="1:68" ht="27" customHeight="1" x14ac:dyDescent="0.25">
      <c r="A181" s="63" t="s">
        <v>301</v>
      </c>
      <c r="B181" s="63" t="s">
        <v>302</v>
      </c>
      <c r="C181" s="36">
        <v>4301170013</v>
      </c>
      <c r="D181" s="555">
        <v>4680115886797</v>
      </c>
      <c r="E181" s="55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294</v>
      </c>
      <c r="L181" s="37" t="s">
        <v>45</v>
      </c>
      <c r="M181" s="38" t="s">
        <v>293</v>
      </c>
      <c r="N181" s="38"/>
      <c r="O181" s="37">
        <v>90</v>
      </c>
      <c r="P181" s="7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297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570" t="s">
        <v>303</v>
      </c>
      <c r="B184" s="570"/>
      <c r="C184" s="570"/>
      <c r="D184" s="570"/>
      <c r="E184" s="570"/>
      <c r="F184" s="570"/>
      <c r="G184" s="570"/>
      <c r="H184" s="570"/>
      <c r="I184" s="570"/>
      <c r="J184" s="570"/>
      <c r="K184" s="570"/>
      <c r="L184" s="570"/>
      <c r="M184" s="570"/>
      <c r="N184" s="570"/>
      <c r="O184" s="570"/>
      <c r="P184" s="570"/>
      <c r="Q184" s="570"/>
      <c r="R184" s="570"/>
      <c r="S184" s="570"/>
      <c r="T184" s="570"/>
      <c r="U184" s="570"/>
      <c r="V184" s="570"/>
      <c r="W184" s="570"/>
      <c r="X184" s="570"/>
      <c r="Y184" s="570"/>
      <c r="Z184" s="570"/>
      <c r="AA184" s="65"/>
      <c r="AB184" s="65"/>
      <c r="AC184" s="79"/>
    </row>
    <row r="185" spans="1:68" ht="14.25" customHeight="1" x14ac:dyDescent="0.25">
      <c r="A185" s="554" t="s">
        <v>108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66"/>
      <c r="AB185" s="66"/>
      <c r="AC185" s="80"/>
    </row>
    <row r="186" spans="1:68" ht="16.5" customHeight="1" x14ac:dyDescent="0.25">
      <c r="A186" s="63" t="s">
        <v>304</v>
      </c>
      <c r="B186" s="63" t="s">
        <v>305</v>
      </c>
      <c r="C186" s="36">
        <v>4301011450</v>
      </c>
      <c r="D186" s="555">
        <v>4680115881402</v>
      </c>
      <c r="E186" s="555"/>
      <c r="F186" s="62">
        <v>1.35</v>
      </c>
      <c r="G186" s="37">
        <v>8</v>
      </c>
      <c r="H186" s="62">
        <v>10.8</v>
      </c>
      <c r="I186" s="62">
        <v>11.234999999999999</v>
      </c>
      <c r="J186" s="37">
        <v>64</v>
      </c>
      <c r="K186" s="37" t="s">
        <v>113</v>
      </c>
      <c r="L186" s="37" t="s">
        <v>45</v>
      </c>
      <c r="M186" s="38" t="s">
        <v>112</v>
      </c>
      <c r="N186" s="38"/>
      <c r="O186" s="37">
        <v>55</v>
      </c>
      <c r="P186" s="7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306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307</v>
      </c>
      <c r="B187" s="63" t="s">
        <v>308</v>
      </c>
      <c r="C187" s="36">
        <v>4301011768</v>
      </c>
      <c r="D187" s="555">
        <v>4680115881396</v>
      </c>
      <c r="E187" s="555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87</v>
      </c>
      <c r="L187" s="37" t="s">
        <v>45</v>
      </c>
      <c r="M187" s="38" t="s">
        <v>112</v>
      </c>
      <c r="N187" s="38"/>
      <c r="O187" s="37">
        <v>55</v>
      </c>
      <c r="P187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306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554" t="s">
        <v>141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6"/>
      <c r="AB190" s="66"/>
      <c r="AC190" s="80"/>
    </row>
    <row r="191" spans="1:68" ht="16.5" customHeight="1" x14ac:dyDescent="0.25">
      <c r="A191" s="63" t="s">
        <v>309</v>
      </c>
      <c r="B191" s="63" t="s">
        <v>310</v>
      </c>
      <c r="C191" s="36">
        <v>4301020261</v>
      </c>
      <c r="D191" s="555">
        <v>4680115882935</v>
      </c>
      <c r="E191" s="555"/>
      <c r="F191" s="62">
        <v>1.35</v>
      </c>
      <c r="G191" s="37">
        <v>8</v>
      </c>
      <c r="H191" s="62">
        <v>10.8</v>
      </c>
      <c r="I191" s="62">
        <v>11.234999999999999</v>
      </c>
      <c r="J191" s="37">
        <v>64</v>
      </c>
      <c r="K191" s="37" t="s">
        <v>113</v>
      </c>
      <c r="L191" s="37" t="s">
        <v>45</v>
      </c>
      <c r="M191" s="38" t="s">
        <v>112</v>
      </c>
      <c r="N191" s="38"/>
      <c r="O191" s="37">
        <v>50</v>
      </c>
      <c r="P19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311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312</v>
      </c>
      <c r="B192" s="63" t="s">
        <v>313</v>
      </c>
      <c r="C192" s="36">
        <v>4301020220</v>
      </c>
      <c r="D192" s="555">
        <v>4680115880764</v>
      </c>
      <c r="E192" s="555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87</v>
      </c>
      <c r="L192" s="37" t="s">
        <v>45</v>
      </c>
      <c r="M192" s="38" t="s">
        <v>112</v>
      </c>
      <c r="N192" s="38"/>
      <c r="O192" s="37">
        <v>50</v>
      </c>
      <c r="P19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311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562"/>
      <c r="B194" s="562"/>
      <c r="C194" s="562"/>
      <c r="D194" s="562"/>
      <c r="E194" s="562"/>
      <c r="F194" s="562"/>
      <c r="G194" s="562"/>
      <c r="H194" s="562"/>
      <c r="I194" s="562"/>
      <c r="J194" s="562"/>
      <c r="K194" s="562"/>
      <c r="L194" s="562"/>
      <c r="M194" s="562"/>
      <c r="N194" s="562"/>
      <c r="O194" s="563"/>
      <c r="P194" s="559" t="s">
        <v>40</v>
      </c>
      <c r="Q194" s="560"/>
      <c r="R194" s="560"/>
      <c r="S194" s="560"/>
      <c r="T194" s="560"/>
      <c r="U194" s="560"/>
      <c r="V194" s="561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554" t="s">
        <v>76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6"/>
      <c r="AB195" s="66"/>
      <c r="AC195" s="80"/>
    </row>
    <row r="196" spans="1:68" ht="27" customHeight="1" x14ac:dyDescent="0.25">
      <c r="A196" s="63" t="s">
        <v>314</v>
      </c>
      <c r="B196" s="63" t="s">
        <v>315</v>
      </c>
      <c r="C196" s="36">
        <v>4301031224</v>
      </c>
      <c r="D196" s="555">
        <v>4680115882683</v>
      </c>
      <c r="E196" s="555"/>
      <c r="F196" s="62">
        <v>0.9</v>
      </c>
      <c r="G196" s="37">
        <v>6</v>
      </c>
      <c r="H196" s="62">
        <v>5.4</v>
      </c>
      <c r="I196" s="62">
        <v>5.61</v>
      </c>
      <c r="J196" s="37">
        <v>132</v>
      </c>
      <c r="K196" s="37" t="s">
        <v>116</v>
      </c>
      <c r="L196" s="37" t="s">
        <v>45</v>
      </c>
      <c r="M196" s="38" t="s">
        <v>80</v>
      </c>
      <c r="N196" s="38"/>
      <c r="O196" s="37">
        <v>40</v>
      </c>
      <c r="P196" s="7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316</v>
      </c>
      <c r="AG196" s="78"/>
      <c r="AJ196" s="84" t="s">
        <v>45</v>
      </c>
      <c r="AK196" s="84">
        <v>0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317</v>
      </c>
      <c r="B197" s="63" t="s">
        <v>318</v>
      </c>
      <c r="C197" s="36">
        <v>4301031230</v>
      </c>
      <c r="D197" s="555">
        <v>4680115882690</v>
      </c>
      <c r="E197" s="555"/>
      <c r="F197" s="62">
        <v>0.9</v>
      </c>
      <c r="G197" s="37">
        <v>6</v>
      </c>
      <c r="H197" s="62">
        <v>5.4</v>
      </c>
      <c r="I197" s="62">
        <v>5.61</v>
      </c>
      <c r="J197" s="37">
        <v>132</v>
      </c>
      <c r="K197" s="37" t="s">
        <v>116</v>
      </c>
      <c r="L197" s="37" t="s">
        <v>45</v>
      </c>
      <c r="M197" s="38" t="s">
        <v>80</v>
      </c>
      <c r="N197" s="38"/>
      <c r="O197" s="37">
        <v>40</v>
      </c>
      <c r="P197" s="7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319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320</v>
      </c>
      <c r="B198" s="63" t="s">
        <v>321</v>
      </c>
      <c r="C198" s="36">
        <v>4301031220</v>
      </c>
      <c r="D198" s="555">
        <v>4680115882669</v>
      </c>
      <c r="E198" s="555"/>
      <c r="F198" s="62">
        <v>0.9</v>
      </c>
      <c r="G198" s="37">
        <v>6</v>
      </c>
      <c r="H198" s="62">
        <v>5.4</v>
      </c>
      <c r="I198" s="62">
        <v>5.61</v>
      </c>
      <c r="J198" s="37">
        <v>132</v>
      </c>
      <c r="K198" s="37" t="s">
        <v>116</v>
      </c>
      <c r="L198" s="37" t="s">
        <v>45</v>
      </c>
      <c r="M198" s="38" t="s">
        <v>80</v>
      </c>
      <c r="N198" s="38"/>
      <c r="O198" s="37">
        <v>40</v>
      </c>
      <c r="P198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322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323</v>
      </c>
      <c r="B199" s="63" t="s">
        <v>324</v>
      </c>
      <c r="C199" s="36">
        <v>4301031221</v>
      </c>
      <c r="D199" s="555">
        <v>4680115882676</v>
      </c>
      <c r="E199" s="555"/>
      <c r="F199" s="62">
        <v>0.9</v>
      </c>
      <c r="G199" s="37">
        <v>6</v>
      </c>
      <c r="H199" s="62">
        <v>5.4</v>
      </c>
      <c r="I199" s="62">
        <v>5.61</v>
      </c>
      <c r="J199" s="37">
        <v>132</v>
      </c>
      <c r="K199" s="37" t="s">
        <v>116</v>
      </c>
      <c r="L199" s="37" t="s">
        <v>45</v>
      </c>
      <c r="M199" s="38" t="s">
        <v>80</v>
      </c>
      <c r="N199" s="38"/>
      <c r="O199" s="37">
        <v>40</v>
      </c>
      <c r="P199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325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326</v>
      </c>
      <c r="B200" s="63" t="s">
        <v>327</v>
      </c>
      <c r="C200" s="36">
        <v>4301031223</v>
      </c>
      <c r="D200" s="555">
        <v>4680115884014</v>
      </c>
      <c r="E200" s="555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81</v>
      </c>
      <c r="L200" s="37" t="s">
        <v>45</v>
      </c>
      <c r="M200" s="38" t="s">
        <v>80</v>
      </c>
      <c r="N200" s="38"/>
      <c r="O200" s="37">
        <v>40</v>
      </c>
      <c r="P200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316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328</v>
      </c>
      <c r="B201" s="63" t="s">
        <v>329</v>
      </c>
      <c r="C201" s="36">
        <v>4301031222</v>
      </c>
      <c r="D201" s="555">
        <v>4680115884007</v>
      </c>
      <c r="E201" s="555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81</v>
      </c>
      <c r="L201" s="37" t="s">
        <v>45</v>
      </c>
      <c r="M201" s="38" t="s">
        <v>80</v>
      </c>
      <c r="N201" s="38"/>
      <c r="O201" s="37">
        <v>40</v>
      </c>
      <c r="P201" s="7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319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330</v>
      </c>
      <c r="B202" s="63" t="s">
        <v>331</v>
      </c>
      <c r="C202" s="36">
        <v>4301031229</v>
      </c>
      <c r="D202" s="555">
        <v>4680115884038</v>
      </c>
      <c r="E202" s="555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81</v>
      </c>
      <c r="L202" s="37" t="s">
        <v>45</v>
      </c>
      <c r="M202" s="38" t="s">
        <v>80</v>
      </c>
      <c r="N202" s="38"/>
      <c r="O202" s="37">
        <v>40</v>
      </c>
      <c r="P202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322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332</v>
      </c>
      <c r="B203" s="63" t="s">
        <v>333</v>
      </c>
      <c r="C203" s="36">
        <v>4301031225</v>
      </c>
      <c r="D203" s="555">
        <v>4680115884021</v>
      </c>
      <c r="E203" s="555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81</v>
      </c>
      <c r="L203" s="37" t="s">
        <v>45</v>
      </c>
      <c r="M203" s="38" t="s">
        <v>80</v>
      </c>
      <c r="N203" s="38"/>
      <c r="O203" s="37">
        <v>40</v>
      </c>
      <c r="P203" s="7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325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562"/>
      <c r="B205" s="562"/>
      <c r="C205" s="562"/>
      <c r="D205" s="562"/>
      <c r="E205" s="562"/>
      <c r="F205" s="562"/>
      <c r="G205" s="562"/>
      <c r="H205" s="562"/>
      <c r="I205" s="562"/>
      <c r="J205" s="562"/>
      <c r="K205" s="562"/>
      <c r="L205" s="562"/>
      <c r="M205" s="562"/>
      <c r="N205" s="562"/>
      <c r="O205" s="563"/>
      <c r="P205" s="559" t="s">
        <v>40</v>
      </c>
      <c r="Q205" s="560"/>
      <c r="R205" s="560"/>
      <c r="S205" s="560"/>
      <c r="T205" s="560"/>
      <c r="U205" s="560"/>
      <c r="V205" s="561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554" t="s">
        <v>82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66"/>
      <c r="AB206" s="66"/>
      <c r="AC206" s="80"/>
    </row>
    <row r="207" spans="1:68" ht="27" customHeight="1" x14ac:dyDescent="0.25">
      <c r="A207" s="63" t="s">
        <v>334</v>
      </c>
      <c r="B207" s="63" t="s">
        <v>335</v>
      </c>
      <c r="C207" s="36">
        <v>4301051408</v>
      </c>
      <c r="D207" s="555">
        <v>4680115881594</v>
      </c>
      <c r="E207" s="555"/>
      <c r="F207" s="62">
        <v>1.35</v>
      </c>
      <c r="G207" s="37">
        <v>6</v>
      </c>
      <c r="H207" s="62">
        <v>8.1</v>
      </c>
      <c r="I207" s="62">
        <v>8.6189999999999998</v>
      </c>
      <c r="J207" s="37">
        <v>64</v>
      </c>
      <c r="K207" s="37" t="s">
        <v>113</v>
      </c>
      <c r="L207" s="37" t="s">
        <v>45</v>
      </c>
      <c r="M207" s="38" t="s">
        <v>86</v>
      </c>
      <c r="N207" s="38"/>
      <c r="O207" s="37">
        <v>40</v>
      </c>
      <c r="P207" s="7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336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337</v>
      </c>
      <c r="B208" s="63" t="s">
        <v>338</v>
      </c>
      <c r="C208" s="36">
        <v>4301051411</v>
      </c>
      <c r="D208" s="555">
        <v>4680115881617</v>
      </c>
      <c r="E208" s="555"/>
      <c r="F208" s="62">
        <v>1.35</v>
      </c>
      <c r="G208" s="37">
        <v>6</v>
      </c>
      <c r="H208" s="62">
        <v>8.1</v>
      </c>
      <c r="I208" s="62">
        <v>8.6010000000000009</v>
      </c>
      <c r="J208" s="37">
        <v>64</v>
      </c>
      <c r="K208" s="37" t="s">
        <v>113</v>
      </c>
      <c r="L208" s="37" t="s">
        <v>45</v>
      </c>
      <c r="M208" s="38" t="s">
        <v>86</v>
      </c>
      <c r="N208" s="38"/>
      <c r="O208" s="37">
        <v>40</v>
      </c>
      <c r="P208" s="7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339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340</v>
      </c>
      <c r="B209" s="63" t="s">
        <v>341</v>
      </c>
      <c r="C209" s="36">
        <v>4301051656</v>
      </c>
      <c r="D209" s="555">
        <v>4680115880573</v>
      </c>
      <c r="E209" s="555"/>
      <c r="F209" s="62">
        <v>1.45</v>
      </c>
      <c r="G209" s="37">
        <v>6</v>
      </c>
      <c r="H209" s="62">
        <v>8.6999999999999993</v>
      </c>
      <c r="I209" s="62">
        <v>9.2189999999999994</v>
      </c>
      <c r="J209" s="37">
        <v>64</v>
      </c>
      <c r="K209" s="37" t="s">
        <v>113</v>
      </c>
      <c r="L209" s="37" t="s">
        <v>45</v>
      </c>
      <c r="M209" s="38" t="s">
        <v>86</v>
      </c>
      <c r="N209" s="38"/>
      <c r="O209" s="37">
        <v>45</v>
      </c>
      <c r="P209" s="7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342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343</v>
      </c>
      <c r="B210" s="63" t="s">
        <v>344</v>
      </c>
      <c r="C210" s="36">
        <v>4301051407</v>
      </c>
      <c r="D210" s="555">
        <v>4680115882195</v>
      </c>
      <c r="E210" s="555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87</v>
      </c>
      <c r="L210" s="37" t="s">
        <v>45</v>
      </c>
      <c r="M210" s="38" t="s">
        <v>86</v>
      </c>
      <c r="N210" s="38"/>
      <c r="O210" s="37">
        <v>40</v>
      </c>
      <c r="P210" s="7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336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345</v>
      </c>
      <c r="B211" s="63" t="s">
        <v>346</v>
      </c>
      <c r="C211" s="36">
        <v>4301051752</v>
      </c>
      <c r="D211" s="555">
        <v>4680115882607</v>
      </c>
      <c r="E211" s="555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87</v>
      </c>
      <c r="L211" s="37" t="s">
        <v>45</v>
      </c>
      <c r="M211" s="38" t="s">
        <v>94</v>
      </c>
      <c r="N211" s="38"/>
      <c r="O211" s="37">
        <v>45</v>
      </c>
      <c r="P211" s="7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348</v>
      </c>
      <c r="B212" s="63" t="s">
        <v>349</v>
      </c>
      <c r="C212" s="36">
        <v>4301051666</v>
      </c>
      <c r="D212" s="555">
        <v>4680115880092</v>
      </c>
      <c r="E212" s="555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87</v>
      </c>
      <c r="L212" s="37" t="s">
        <v>45</v>
      </c>
      <c r="M212" s="38" t="s">
        <v>86</v>
      </c>
      <c r="N212" s="38"/>
      <c r="O212" s="37">
        <v>45</v>
      </c>
      <c r="P212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342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350</v>
      </c>
      <c r="B213" s="63" t="s">
        <v>351</v>
      </c>
      <c r="C213" s="36">
        <v>4301051668</v>
      </c>
      <c r="D213" s="555">
        <v>4680115880221</v>
      </c>
      <c r="E213" s="555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87</v>
      </c>
      <c r="L213" s="37" t="s">
        <v>45</v>
      </c>
      <c r="M213" s="38" t="s">
        <v>86</v>
      </c>
      <c r="N213" s="38"/>
      <c r="O213" s="37">
        <v>45</v>
      </c>
      <c r="P213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342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352</v>
      </c>
      <c r="B214" s="63" t="s">
        <v>353</v>
      </c>
      <c r="C214" s="36">
        <v>4301051945</v>
      </c>
      <c r="D214" s="555">
        <v>4680115880504</v>
      </c>
      <c r="E214" s="555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87</v>
      </c>
      <c r="L214" s="37" t="s">
        <v>45</v>
      </c>
      <c r="M214" s="38" t="s">
        <v>94</v>
      </c>
      <c r="N214" s="38"/>
      <c r="O214" s="37">
        <v>40</v>
      </c>
      <c r="P214" s="7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354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355</v>
      </c>
      <c r="B215" s="63" t="s">
        <v>356</v>
      </c>
      <c r="C215" s="36">
        <v>4301051410</v>
      </c>
      <c r="D215" s="555">
        <v>4680115882164</v>
      </c>
      <c r="E215" s="555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87</v>
      </c>
      <c r="L215" s="37" t="s">
        <v>45</v>
      </c>
      <c r="M215" s="38" t="s">
        <v>86</v>
      </c>
      <c r="N215" s="38"/>
      <c r="O215" s="37">
        <v>40</v>
      </c>
      <c r="P215" s="7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339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562"/>
      <c r="B216" s="562"/>
      <c r="C216" s="562"/>
      <c r="D216" s="562"/>
      <c r="E216" s="562"/>
      <c r="F216" s="562"/>
      <c r="G216" s="562"/>
      <c r="H216" s="562"/>
      <c r="I216" s="562"/>
      <c r="J216" s="562"/>
      <c r="K216" s="562"/>
      <c r="L216" s="562"/>
      <c r="M216" s="562"/>
      <c r="N216" s="562"/>
      <c r="O216" s="563"/>
      <c r="P216" s="559" t="s">
        <v>40</v>
      </c>
      <c r="Q216" s="560"/>
      <c r="R216" s="560"/>
      <c r="S216" s="560"/>
      <c r="T216" s="560"/>
      <c r="U216" s="560"/>
      <c r="V216" s="561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562"/>
      <c r="B217" s="562"/>
      <c r="C217" s="562"/>
      <c r="D217" s="562"/>
      <c r="E217" s="562"/>
      <c r="F217" s="562"/>
      <c r="G217" s="562"/>
      <c r="H217" s="562"/>
      <c r="I217" s="562"/>
      <c r="J217" s="562"/>
      <c r="K217" s="562"/>
      <c r="L217" s="562"/>
      <c r="M217" s="562"/>
      <c r="N217" s="562"/>
      <c r="O217" s="563"/>
      <c r="P217" s="559" t="s">
        <v>40</v>
      </c>
      <c r="Q217" s="560"/>
      <c r="R217" s="560"/>
      <c r="S217" s="560"/>
      <c r="T217" s="560"/>
      <c r="U217" s="560"/>
      <c r="V217" s="561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554" t="s">
        <v>171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66"/>
      <c r="AB218" s="66"/>
      <c r="AC218" s="80"/>
    </row>
    <row r="219" spans="1:68" ht="27" customHeight="1" x14ac:dyDescent="0.25">
      <c r="A219" s="63" t="s">
        <v>357</v>
      </c>
      <c r="B219" s="63" t="s">
        <v>358</v>
      </c>
      <c r="C219" s="36">
        <v>4301060463</v>
      </c>
      <c r="D219" s="555">
        <v>4680115880818</v>
      </c>
      <c r="E219" s="55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87</v>
      </c>
      <c r="L219" s="37" t="s">
        <v>45</v>
      </c>
      <c r="M219" s="38" t="s">
        <v>94</v>
      </c>
      <c r="N219" s="38"/>
      <c r="O219" s="37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359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360</v>
      </c>
      <c r="B220" s="63" t="s">
        <v>361</v>
      </c>
      <c r="C220" s="36">
        <v>4301060389</v>
      </c>
      <c r="D220" s="555">
        <v>4680115880801</v>
      </c>
      <c r="E220" s="555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87</v>
      </c>
      <c r="L220" s="37" t="s">
        <v>45</v>
      </c>
      <c r="M220" s="38" t="s">
        <v>86</v>
      </c>
      <c r="N220" s="38"/>
      <c r="O220" s="37">
        <v>40</v>
      </c>
      <c r="P220" s="7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362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562"/>
      <c r="B221" s="562"/>
      <c r="C221" s="562"/>
      <c r="D221" s="562"/>
      <c r="E221" s="562"/>
      <c r="F221" s="562"/>
      <c r="G221" s="562"/>
      <c r="H221" s="562"/>
      <c r="I221" s="562"/>
      <c r="J221" s="562"/>
      <c r="K221" s="562"/>
      <c r="L221" s="562"/>
      <c r="M221" s="562"/>
      <c r="N221" s="562"/>
      <c r="O221" s="563"/>
      <c r="P221" s="559" t="s">
        <v>40</v>
      </c>
      <c r="Q221" s="560"/>
      <c r="R221" s="560"/>
      <c r="S221" s="560"/>
      <c r="T221" s="560"/>
      <c r="U221" s="560"/>
      <c r="V221" s="561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562"/>
      <c r="B222" s="562"/>
      <c r="C222" s="562"/>
      <c r="D222" s="562"/>
      <c r="E222" s="562"/>
      <c r="F222" s="562"/>
      <c r="G222" s="562"/>
      <c r="H222" s="562"/>
      <c r="I222" s="562"/>
      <c r="J222" s="562"/>
      <c r="K222" s="562"/>
      <c r="L222" s="562"/>
      <c r="M222" s="562"/>
      <c r="N222" s="562"/>
      <c r="O222" s="563"/>
      <c r="P222" s="559" t="s">
        <v>40</v>
      </c>
      <c r="Q222" s="560"/>
      <c r="R222" s="560"/>
      <c r="S222" s="560"/>
      <c r="T222" s="560"/>
      <c r="U222" s="560"/>
      <c r="V222" s="561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570" t="s">
        <v>363</v>
      </c>
      <c r="B223" s="570"/>
      <c r="C223" s="570"/>
      <c r="D223" s="570"/>
      <c r="E223" s="570"/>
      <c r="F223" s="570"/>
      <c r="G223" s="570"/>
      <c r="H223" s="570"/>
      <c r="I223" s="570"/>
      <c r="J223" s="570"/>
      <c r="K223" s="570"/>
      <c r="L223" s="570"/>
      <c r="M223" s="570"/>
      <c r="N223" s="570"/>
      <c r="O223" s="570"/>
      <c r="P223" s="570"/>
      <c r="Q223" s="570"/>
      <c r="R223" s="570"/>
      <c r="S223" s="570"/>
      <c r="T223" s="570"/>
      <c r="U223" s="570"/>
      <c r="V223" s="570"/>
      <c r="W223" s="570"/>
      <c r="X223" s="570"/>
      <c r="Y223" s="570"/>
      <c r="Z223" s="570"/>
      <c r="AA223" s="65"/>
      <c r="AB223" s="65"/>
      <c r="AC223" s="79"/>
    </row>
    <row r="224" spans="1:68" ht="14.25" customHeight="1" x14ac:dyDescent="0.25">
      <c r="A224" s="554" t="s">
        <v>108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66"/>
      <c r="AB224" s="66"/>
      <c r="AC224" s="80"/>
    </row>
    <row r="225" spans="1:68" ht="27" customHeight="1" x14ac:dyDescent="0.25">
      <c r="A225" s="63" t="s">
        <v>364</v>
      </c>
      <c r="B225" s="63" t="s">
        <v>365</v>
      </c>
      <c r="C225" s="36">
        <v>4301011826</v>
      </c>
      <c r="D225" s="555">
        <v>4680115884137</v>
      </c>
      <c r="E225" s="555"/>
      <c r="F225" s="62">
        <v>1.45</v>
      </c>
      <c r="G225" s="37">
        <v>8</v>
      </c>
      <c r="H225" s="62">
        <v>11.6</v>
      </c>
      <c r="I225" s="62">
        <v>12.035</v>
      </c>
      <c r="J225" s="37">
        <v>64</v>
      </c>
      <c r="K225" s="37" t="s">
        <v>113</v>
      </c>
      <c r="L225" s="37" t="s">
        <v>45</v>
      </c>
      <c r="M225" s="38" t="s">
        <v>112</v>
      </c>
      <c r="N225" s="38"/>
      <c r="O225" s="37">
        <v>55</v>
      </c>
      <c r="P225" s="6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366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367</v>
      </c>
      <c r="B226" s="63" t="s">
        <v>368</v>
      </c>
      <c r="C226" s="36">
        <v>4301011724</v>
      </c>
      <c r="D226" s="555">
        <v>4680115884236</v>
      </c>
      <c r="E226" s="555"/>
      <c r="F226" s="62">
        <v>1.45</v>
      </c>
      <c r="G226" s="37">
        <v>8</v>
      </c>
      <c r="H226" s="62">
        <v>11.6</v>
      </c>
      <c r="I226" s="62">
        <v>12.035</v>
      </c>
      <c r="J226" s="37">
        <v>64</v>
      </c>
      <c r="K226" s="37" t="s">
        <v>113</v>
      </c>
      <c r="L226" s="37" t="s">
        <v>45</v>
      </c>
      <c r="M226" s="38" t="s">
        <v>112</v>
      </c>
      <c r="N226" s="38"/>
      <c r="O226" s="37">
        <v>55</v>
      </c>
      <c r="P226" s="6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369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370</v>
      </c>
      <c r="B227" s="63" t="s">
        <v>371</v>
      </c>
      <c r="C227" s="36">
        <v>4301011721</v>
      </c>
      <c r="D227" s="555">
        <v>4680115884175</v>
      </c>
      <c r="E227" s="555"/>
      <c r="F227" s="62">
        <v>1.45</v>
      </c>
      <c r="G227" s="37">
        <v>8</v>
      </c>
      <c r="H227" s="62">
        <v>11.6</v>
      </c>
      <c r="I227" s="62">
        <v>12.035</v>
      </c>
      <c r="J227" s="37">
        <v>64</v>
      </c>
      <c r="K227" s="37" t="s">
        <v>113</v>
      </c>
      <c r="L227" s="37" t="s">
        <v>45</v>
      </c>
      <c r="M227" s="38" t="s">
        <v>112</v>
      </c>
      <c r="N227" s="38"/>
      <c r="O227" s="37">
        <v>55</v>
      </c>
      <c r="P227" s="7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372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373</v>
      </c>
      <c r="B228" s="63" t="s">
        <v>374</v>
      </c>
      <c r="C228" s="36">
        <v>4301011824</v>
      </c>
      <c r="D228" s="555">
        <v>4680115884144</v>
      </c>
      <c r="E228" s="555"/>
      <c r="F228" s="62">
        <v>0.4</v>
      </c>
      <c r="G228" s="37">
        <v>10</v>
      </c>
      <c r="H228" s="62">
        <v>4</v>
      </c>
      <c r="I228" s="62">
        <v>4.21</v>
      </c>
      <c r="J228" s="37">
        <v>132</v>
      </c>
      <c r="K228" s="37" t="s">
        <v>116</v>
      </c>
      <c r="L228" s="37" t="s">
        <v>45</v>
      </c>
      <c r="M228" s="38" t="s">
        <v>112</v>
      </c>
      <c r="N228" s="38"/>
      <c r="O228" s="37">
        <v>55</v>
      </c>
      <c r="P228" s="7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366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373</v>
      </c>
      <c r="B229" s="63" t="s">
        <v>375</v>
      </c>
      <c r="C229" s="36">
        <v>4301012196</v>
      </c>
      <c r="D229" s="555">
        <v>4680115884144</v>
      </c>
      <c r="E229" s="555"/>
      <c r="F229" s="62">
        <v>0.4</v>
      </c>
      <c r="G229" s="37">
        <v>10</v>
      </c>
      <c r="H229" s="62">
        <v>4</v>
      </c>
      <c r="I229" s="62">
        <v>4.21</v>
      </c>
      <c r="J229" s="37">
        <v>132</v>
      </c>
      <c r="K229" s="37" t="s">
        <v>116</v>
      </c>
      <c r="L229" s="37" t="s">
        <v>45</v>
      </c>
      <c r="M229" s="38" t="s">
        <v>112</v>
      </c>
      <c r="N229" s="38"/>
      <c r="O229" s="37">
        <v>55</v>
      </c>
      <c r="P229" s="69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366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376</v>
      </c>
      <c r="B230" s="63" t="s">
        <v>377</v>
      </c>
      <c r="C230" s="36">
        <v>4301012149</v>
      </c>
      <c r="D230" s="555">
        <v>4680115886551</v>
      </c>
      <c r="E230" s="555"/>
      <c r="F230" s="62">
        <v>0.4</v>
      </c>
      <c r="G230" s="37">
        <v>10</v>
      </c>
      <c r="H230" s="62">
        <v>4</v>
      </c>
      <c r="I230" s="62">
        <v>4.21</v>
      </c>
      <c r="J230" s="37">
        <v>132</v>
      </c>
      <c r="K230" s="37" t="s">
        <v>116</v>
      </c>
      <c r="L230" s="37" t="s">
        <v>45</v>
      </c>
      <c r="M230" s="38" t="s">
        <v>112</v>
      </c>
      <c r="N230" s="38"/>
      <c r="O230" s="37">
        <v>55</v>
      </c>
      <c r="P230" s="6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378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379</v>
      </c>
      <c r="B231" s="63" t="s">
        <v>380</v>
      </c>
      <c r="C231" s="36">
        <v>4301011726</v>
      </c>
      <c r="D231" s="555">
        <v>4680115884182</v>
      </c>
      <c r="E231" s="555"/>
      <c r="F231" s="62">
        <v>0.37</v>
      </c>
      <c r="G231" s="37">
        <v>10</v>
      </c>
      <c r="H231" s="62">
        <v>3.7</v>
      </c>
      <c r="I231" s="62">
        <v>3.91</v>
      </c>
      <c r="J231" s="37">
        <v>132</v>
      </c>
      <c r="K231" s="37" t="s">
        <v>116</v>
      </c>
      <c r="L231" s="37" t="s">
        <v>45</v>
      </c>
      <c r="M231" s="38" t="s">
        <v>112</v>
      </c>
      <c r="N231" s="38"/>
      <c r="O231" s="37">
        <v>55</v>
      </c>
      <c r="P231" s="69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369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381</v>
      </c>
      <c r="B232" s="63" t="s">
        <v>382</v>
      </c>
      <c r="C232" s="36">
        <v>4301012228</v>
      </c>
      <c r="D232" s="555">
        <v>4680115887282</v>
      </c>
      <c r="E232" s="555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87</v>
      </c>
      <c r="L232" s="37" t="s">
        <v>45</v>
      </c>
      <c r="M232" s="38" t="s">
        <v>112</v>
      </c>
      <c r="N232" s="38"/>
      <c r="O232" s="37">
        <v>55</v>
      </c>
      <c r="P232" s="6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369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383</v>
      </c>
      <c r="B233" s="63" t="s">
        <v>384</v>
      </c>
      <c r="C233" s="36">
        <v>4301011722</v>
      </c>
      <c r="D233" s="555">
        <v>4680115884205</v>
      </c>
      <c r="E233" s="555"/>
      <c r="F233" s="62">
        <v>0.4</v>
      </c>
      <c r="G233" s="37">
        <v>10</v>
      </c>
      <c r="H233" s="62">
        <v>4</v>
      </c>
      <c r="I233" s="62">
        <v>4.21</v>
      </c>
      <c r="J233" s="37">
        <v>132</v>
      </c>
      <c r="K233" s="37" t="s">
        <v>116</v>
      </c>
      <c r="L233" s="37" t="s">
        <v>45</v>
      </c>
      <c r="M233" s="38" t="s">
        <v>112</v>
      </c>
      <c r="N233" s="38"/>
      <c r="O233" s="37">
        <v>55</v>
      </c>
      <c r="P233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372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383</v>
      </c>
      <c r="B234" s="63" t="s">
        <v>385</v>
      </c>
      <c r="C234" s="36">
        <v>4301012195</v>
      </c>
      <c r="D234" s="555">
        <v>4680115884205</v>
      </c>
      <c r="E234" s="555"/>
      <c r="F234" s="62">
        <v>0.4</v>
      </c>
      <c r="G234" s="37">
        <v>10</v>
      </c>
      <c r="H234" s="62">
        <v>4</v>
      </c>
      <c r="I234" s="62">
        <v>4.21</v>
      </c>
      <c r="J234" s="37">
        <v>132</v>
      </c>
      <c r="K234" s="37" t="s">
        <v>116</v>
      </c>
      <c r="L234" s="37" t="s">
        <v>45</v>
      </c>
      <c r="M234" s="38" t="s">
        <v>112</v>
      </c>
      <c r="N234" s="38"/>
      <c r="O234" s="37">
        <v>55</v>
      </c>
      <c r="P234" s="69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372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562"/>
      <c r="B235" s="562"/>
      <c r="C235" s="562"/>
      <c r="D235" s="562"/>
      <c r="E235" s="562"/>
      <c r="F235" s="562"/>
      <c r="G235" s="562"/>
      <c r="H235" s="562"/>
      <c r="I235" s="562"/>
      <c r="J235" s="562"/>
      <c r="K235" s="562"/>
      <c r="L235" s="562"/>
      <c r="M235" s="562"/>
      <c r="N235" s="562"/>
      <c r="O235" s="563"/>
      <c r="P235" s="559" t="s">
        <v>40</v>
      </c>
      <c r="Q235" s="560"/>
      <c r="R235" s="560"/>
      <c r="S235" s="560"/>
      <c r="T235" s="560"/>
      <c r="U235" s="560"/>
      <c r="V235" s="561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562"/>
      <c r="B236" s="562"/>
      <c r="C236" s="562"/>
      <c r="D236" s="562"/>
      <c r="E236" s="562"/>
      <c r="F236" s="562"/>
      <c r="G236" s="562"/>
      <c r="H236" s="562"/>
      <c r="I236" s="562"/>
      <c r="J236" s="562"/>
      <c r="K236" s="562"/>
      <c r="L236" s="562"/>
      <c r="M236" s="562"/>
      <c r="N236" s="562"/>
      <c r="O236" s="563"/>
      <c r="P236" s="559" t="s">
        <v>40</v>
      </c>
      <c r="Q236" s="560"/>
      <c r="R236" s="560"/>
      <c r="S236" s="560"/>
      <c r="T236" s="560"/>
      <c r="U236" s="560"/>
      <c r="V236" s="561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554" t="s">
        <v>141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66"/>
      <c r="AB237" s="66"/>
      <c r="AC237" s="80"/>
    </row>
    <row r="238" spans="1:68" ht="27" customHeight="1" x14ac:dyDescent="0.25">
      <c r="A238" s="63" t="s">
        <v>386</v>
      </c>
      <c r="B238" s="63" t="s">
        <v>387</v>
      </c>
      <c r="C238" s="36">
        <v>4301020377</v>
      </c>
      <c r="D238" s="555">
        <v>4680115885981</v>
      </c>
      <c r="E238" s="555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81</v>
      </c>
      <c r="L238" s="37" t="s">
        <v>45</v>
      </c>
      <c r="M238" s="38" t="s">
        <v>86</v>
      </c>
      <c r="N238" s="38"/>
      <c r="O238" s="37">
        <v>50</v>
      </c>
      <c r="P238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388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562"/>
      <c r="B239" s="562"/>
      <c r="C239" s="562"/>
      <c r="D239" s="562"/>
      <c r="E239" s="562"/>
      <c r="F239" s="562"/>
      <c r="G239" s="562"/>
      <c r="H239" s="562"/>
      <c r="I239" s="562"/>
      <c r="J239" s="562"/>
      <c r="K239" s="562"/>
      <c r="L239" s="562"/>
      <c r="M239" s="562"/>
      <c r="N239" s="562"/>
      <c r="O239" s="563"/>
      <c r="P239" s="559" t="s">
        <v>40</v>
      </c>
      <c r="Q239" s="560"/>
      <c r="R239" s="560"/>
      <c r="S239" s="560"/>
      <c r="T239" s="560"/>
      <c r="U239" s="560"/>
      <c r="V239" s="561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562"/>
      <c r="B240" s="562"/>
      <c r="C240" s="562"/>
      <c r="D240" s="562"/>
      <c r="E240" s="562"/>
      <c r="F240" s="562"/>
      <c r="G240" s="562"/>
      <c r="H240" s="562"/>
      <c r="I240" s="562"/>
      <c r="J240" s="562"/>
      <c r="K240" s="562"/>
      <c r="L240" s="562"/>
      <c r="M240" s="562"/>
      <c r="N240" s="562"/>
      <c r="O240" s="563"/>
      <c r="P240" s="559" t="s">
        <v>40</v>
      </c>
      <c r="Q240" s="560"/>
      <c r="R240" s="560"/>
      <c r="S240" s="560"/>
      <c r="T240" s="560"/>
      <c r="U240" s="560"/>
      <c r="V240" s="561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554" t="s">
        <v>389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66"/>
      <c r="AB241" s="66"/>
      <c r="AC241" s="80"/>
    </row>
    <row r="242" spans="1:68" ht="27" customHeight="1" x14ac:dyDescent="0.25">
      <c r="A242" s="63" t="s">
        <v>390</v>
      </c>
      <c r="B242" s="63" t="s">
        <v>391</v>
      </c>
      <c r="C242" s="36">
        <v>4301040362</v>
      </c>
      <c r="D242" s="555">
        <v>4680115886803</v>
      </c>
      <c r="E242" s="555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294</v>
      </c>
      <c r="L242" s="37" t="s">
        <v>45</v>
      </c>
      <c r="M242" s="38" t="s">
        <v>293</v>
      </c>
      <c r="N242" s="38"/>
      <c r="O242" s="37">
        <v>45</v>
      </c>
      <c r="P242" s="6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392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562"/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3"/>
      <c r="P244" s="559" t="s">
        <v>40</v>
      </c>
      <c r="Q244" s="560"/>
      <c r="R244" s="560"/>
      <c r="S244" s="560"/>
      <c r="T244" s="560"/>
      <c r="U244" s="560"/>
      <c r="V244" s="561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554" t="s">
        <v>393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66"/>
      <c r="AB245" s="66"/>
      <c r="AC245" s="80"/>
    </row>
    <row r="246" spans="1:68" ht="27" customHeight="1" x14ac:dyDescent="0.25">
      <c r="A246" s="63" t="s">
        <v>394</v>
      </c>
      <c r="B246" s="63" t="s">
        <v>395</v>
      </c>
      <c r="C246" s="36">
        <v>4301041004</v>
      </c>
      <c r="D246" s="555">
        <v>4680115886704</v>
      </c>
      <c r="E246" s="555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294</v>
      </c>
      <c r="L246" s="37" t="s">
        <v>45</v>
      </c>
      <c r="M246" s="38" t="s">
        <v>293</v>
      </c>
      <c r="N246" s="38"/>
      <c r="O246" s="37">
        <v>90</v>
      </c>
      <c r="P246" s="69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396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397</v>
      </c>
      <c r="B247" s="63" t="s">
        <v>398</v>
      </c>
      <c r="C247" s="36">
        <v>4301041008</v>
      </c>
      <c r="D247" s="555">
        <v>4680115886681</v>
      </c>
      <c r="E247" s="555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294</v>
      </c>
      <c r="L247" s="37" t="s">
        <v>45</v>
      </c>
      <c r="M247" s="38" t="s">
        <v>293</v>
      </c>
      <c r="N247" s="38"/>
      <c r="O247" s="37">
        <v>90</v>
      </c>
      <c r="P247" s="6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396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399</v>
      </c>
      <c r="B248" s="63" t="s">
        <v>400</v>
      </c>
      <c r="C248" s="36">
        <v>4301041007</v>
      </c>
      <c r="D248" s="555">
        <v>4680115886735</v>
      </c>
      <c r="E248" s="555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294</v>
      </c>
      <c r="L248" s="37" t="s">
        <v>45</v>
      </c>
      <c r="M248" s="38" t="s">
        <v>293</v>
      </c>
      <c r="N248" s="38"/>
      <c r="O248" s="37">
        <v>90</v>
      </c>
      <c r="P248" s="6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396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401</v>
      </c>
      <c r="B249" s="63" t="s">
        <v>402</v>
      </c>
      <c r="C249" s="36">
        <v>4301041006</v>
      </c>
      <c r="D249" s="555">
        <v>4680115886728</v>
      </c>
      <c r="E249" s="555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294</v>
      </c>
      <c r="L249" s="37" t="s">
        <v>45</v>
      </c>
      <c r="M249" s="38" t="s">
        <v>293</v>
      </c>
      <c r="N249" s="38"/>
      <c r="O249" s="37">
        <v>90</v>
      </c>
      <c r="P249" s="68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396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403</v>
      </c>
      <c r="B250" s="63" t="s">
        <v>404</v>
      </c>
      <c r="C250" s="36">
        <v>4301041005</v>
      </c>
      <c r="D250" s="555">
        <v>4680115886711</v>
      </c>
      <c r="E250" s="55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294</v>
      </c>
      <c r="L250" s="37" t="s">
        <v>45</v>
      </c>
      <c r="M250" s="38" t="s">
        <v>293</v>
      </c>
      <c r="N250" s="38"/>
      <c r="O250" s="37">
        <v>90</v>
      </c>
      <c r="P250" s="68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396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562"/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3"/>
      <c r="P252" s="559" t="s">
        <v>40</v>
      </c>
      <c r="Q252" s="560"/>
      <c r="R252" s="560"/>
      <c r="S252" s="560"/>
      <c r="T252" s="560"/>
      <c r="U252" s="560"/>
      <c r="V252" s="561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570" t="s">
        <v>405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65"/>
      <c r="AB253" s="65"/>
      <c r="AC253" s="79"/>
    </row>
    <row r="254" spans="1:68" ht="14.25" customHeight="1" x14ac:dyDescent="0.25">
      <c r="A254" s="554" t="s">
        <v>108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66"/>
      <c r="AB254" s="66"/>
      <c r="AC254" s="80"/>
    </row>
    <row r="255" spans="1:68" ht="27" customHeight="1" x14ac:dyDescent="0.25">
      <c r="A255" s="63" t="s">
        <v>406</v>
      </c>
      <c r="B255" s="63" t="s">
        <v>407</v>
      </c>
      <c r="C255" s="36">
        <v>4301011855</v>
      </c>
      <c r="D255" s="555">
        <v>4680115885837</v>
      </c>
      <c r="E255" s="555"/>
      <c r="F255" s="62">
        <v>1.35</v>
      </c>
      <c r="G255" s="37">
        <v>8</v>
      </c>
      <c r="H255" s="62">
        <v>10.8</v>
      </c>
      <c r="I255" s="62">
        <v>11.234999999999999</v>
      </c>
      <c r="J255" s="37">
        <v>64</v>
      </c>
      <c r="K255" s="37" t="s">
        <v>113</v>
      </c>
      <c r="L255" s="37" t="s">
        <v>45</v>
      </c>
      <c r="M255" s="38" t="s">
        <v>112</v>
      </c>
      <c r="N255" s="38"/>
      <c r="O255" s="37">
        <v>55</v>
      </c>
      <c r="P255" s="6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408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409</v>
      </c>
      <c r="B256" s="63" t="s">
        <v>410</v>
      </c>
      <c r="C256" s="36">
        <v>4301011853</v>
      </c>
      <c r="D256" s="555">
        <v>4680115885851</v>
      </c>
      <c r="E256" s="555"/>
      <c r="F256" s="62">
        <v>1.35</v>
      </c>
      <c r="G256" s="37">
        <v>8</v>
      </c>
      <c r="H256" s="62">
        <v>10.8</v>
      </c>
      <c r="I256" s="62">
        <v>11.234999999999999</v>
      </c>
      <c r="J256" s="37">
        <v>64</v>
      </c>
      <c r="K256" s="37" t="s">
        <v>113</v>
      </c>
      <c r="L256" s="37" t="s">
        <v>45</v>
      </c>
      <c r="M256" s="38" t="s">
        <v>112</v>
      </c>
      <c r="N256" s="38"/>
      <c r="O256" s="37">
        <v>55</v>
      </c>
      <c r="P256" s="68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411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412</v>
      </c>
      <c r="B257" s="63" t="s">
        <v>413</v>
      </c>
      <c r="C257" s="36">
        <v>4301011850</v>
      </c>
      <c r="D257" s="555">
        <v>4680115885806</v>
      </c>
      <c r="E257" s="555"/>
      <c r="F257" s="62">
        <v>1.35</v>
      </c>
      <c r="G257" s="37">
        <v>8</v>
      </c>
      <c r="H257" s="62">
        <v>10.8</v>
      </c>
      <c r="I257" s="62">
        <v>11.234999999999999</v>
      </c>
      <c r="J257" s="37">
        <v>64</v>
      </c>
      <c r="K257" s="37" t="s">
        <v>113</v>
      </c>
      <c r="L257" s="37" t="s">
        <v>45</v>
      </c>
      <c r="M257" s="38" t="s">
        <v>112</v>
      </c>
      <c r="N257" s="38"/>
      <c r="O257" s="37">
        <v>55</v>
      </c>
      <c r="P257" s="6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414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415</v>
      </c>
      <c r="B258" s="63" t="s">
        <v>416</v>
      </c>
      <c r="C258" s="36">
        <v>4301011852</v>
      </c>
      <c r="D258" s="555">
        <v>4680115885844</v>
      </c>
      <c r="E258" s="555"/>
      <c r="F258" s="62">
        <v>0.4</v>
      </c>
      <c r="G258" s="37">
        <v>10</v>
      </c>
      <c r="H258" s="62">
        <v>4</v>
      </c>
      <c r="I258" s="62">
        <v>4.21</v>
      </c>
      <c r="J258" s="37">
        <v>132</v>
      </c>
      <c r="K258" s="37" t="s">
        <v>116</v>
      </c>
      <c r="L258" s="37" t="s">
        <v>45</v>
      </c>
      <c r="M258" s="38" t="s">
        <v>112</v>
      </c>
      <c r="N258" s="38"/>
      <c r="O258" s="37">
        <v>55</v>
      </c>
      <c r="P258" s="6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417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418</v>
      </c>
      <c r="B259" s="63" t="s">
        <v>419</v>
      </c>
      <c r="C259" s="36">
        <v>4301011851</v>
      </c>
      <c r="D259" s="555">
        <v>4680115885820</v>
      </c>
      <c r="E259" s="555"/>
      <c r="F259" s="62">
        <v>0.4</v>
      </c>
      <c r="G259" s="37">
        <v>10</v>
      </c>
      <c r="H259" s="62">
        <v>4</v>
      </c>
      <c r="I259" s="62">
        <v>4.21</v>
      </c>
      <c r="J259" s="37">
        <v>132</v>
      </c>
      <c r="K259" s="37" t="s">
        <v>116</v>
      </c>
      <c r="L259" s="37" t="s">
        <v>45</v>
      </c>
      <c r="M259" s="38" t="s">
        <v>112</v>
      </c>
      <c r="N259" s="38"/>
      <c r="O259" s="37">
        <v>55</v>
      </c>
      <c r="P259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420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562"/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3"/>
      <c r="P260" s="559" t="s">
        <v>40</v>
      </c>
      <c r="Q260" s="560"/>
      <c r="R260" s="560"/>
      <c r="S260" s="560"/>
      <c r="T260" s="560"/>
      <c r="U260" s="560"/>
      <c r="V260" s="561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562"/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3"/>
      <c r="P261" s="559" t="s">
        <v>40</v>
      </c>
      <c r="Q261" s="560"/>
      <c r="R261" s="560"/>
      <c r="S261" s="560"/>
      <c r="T261" s="560"/>
      <c r="U261" s="560"/>
      <c r="V261" s="561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570" t="s">
        <v>421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65"/>
      <c r="AB262" s="65"/>
      <c r="AC262" s="79"/>
    </row>
    <row r="263" spans="1:68" ht="14.25" customHeight="1" x14ac:dyDescent="0.25">
      <c r="A263" s="554" t="s">
        <v>108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66"/>
      <c r="AB263" s="66"/>
      <c r="AC263" s="80"/>
    </row>
    <row r="264" spans="1:68" ht="27" customHeight="1" x14ac:dyDescent="0.25">
      <c r="A264" s="63" t="s">
        <v>422</v>
      </c>
      <c r="B264" s="63" t="s">
        <v>423</v>
      </c>
      <c r="C264" s="36">
        <v>4301011223</v>
      </c>
      <c r="D264" s="555">
        <v>4607091383423</v>
      </c>
      <c r="E264" s="555"/>
      <c r="F264" s="62">
        <v>1.35</v>
      </c>
      <c r="G264" s="37">
        <v>8</v>
      </c>
      <c r="H264" s="62">
        <v>10.8</v>
      </c>
      <c r="I264" s="62">
        <v>11.331</v>
      </c>
      <c r="J264" s="37">
        <v>64</v>
      </c>
      <c r="K264" s="37" t="s">
        <v>113</v>
      </c>
      <c r="L264" s="37" t="s">
        <v>45</v>
      </c>
      <c r="M264" s="38" t="s">
        <v>86</v>
      </c>
      <c r="N264" s="38"/>
      <c r="O264" s="37">
        <v>35</v>
      </c>
      <c r="P264" s="6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424</v>
      </c>
      <c r="B265" s="63" t="s">
        <v>425</v>
      </c>
      <c r="C265" s="36">
        <v>4301012199</v>
      </c>
      <c r="D265" s="555">
        <v>4680115886957</v>
      </c>
      <c r="E265" s="555"/>
      <c r="F265" s="62">
        <v>1.35</v>
      </c>
      <c r="G265" s="37">
        <v>8</v>
      </c>
      <c r="H265" s="62">
        <v>10.8</v>
      </c>
      <c r="I265" s="62">
        <v>11.234999999999999</v>
      </c>
      <c r="J265" s="37">
        <v>64</v>
      </c>
      <c r="K265" s="37" t="s">
        <v>113</v>
      </c>
      <c r="L265" s="37" t="s">
        <v>45</v>
      </c>
      <c r="M265" s="38" t="s">
        <v>86</v>
      </c>
      <c r="N265" s="38"/>
      <c r="O265" s="37">
        <v>30</v>
      </c>
      <c r="P265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426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427</v>
      </c>
      <c r="B266" s="63" t="s">
        <v>428</v>
      </c>
      <c r="C266" s="36">
        <v>4301012098</v>
      </c>
      <c r="D266" s="555">
        <v>4680115885660</v>
      </c>
      <c r="E266" s="555"/>
      <c r="F266" s="62">
        <v>1.35</v>
      </c>
      <c r="G266" s="37">
        <v>8</v>
      </c>
      <c r="H266" s="62">
        <v>10.8</v>
      </c>
      <c r="I266" s="62">
        <v>11.234999999999999</v>
      </c>
      <c r="J266" s="37">
        <v>64</v>
      </c>
      <c r="K266" s="37" t="s">
        <v>113</v>
      </c>
      <c r="L266" s="37" t="s">
        <v>45</v>
      </c>
      <c r="M266" s="38" t="s">
        <v>86</v>
      </c>
      <c r="N266" s="38"/>
      <c r="O266" s="37">
        <v>35</v>
      </c>
      <c r="P266" s="67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372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429</v>
      </c>
      <c r="B267" s="63" t="s">
        <v>430</v>
      </c>
      <c r="C267" s="36">
        <v>4301012176</v>
      </c>
      <c r="D267" s="555">
        <v>4680115886773</v>
      </c>
      <c r="E267" s="555"/>
      <c r="F267" s="62">
        <v>0.9</v>
      </c>
      <c r="G267" s="37">
        <v>10</v>
      </c>
      <c r="H267" s="62">
        <v>9</v>
      </c>
      <c r="I267" s="62">
        <v>9.4350000000000005</v>
      </c>
      <c r="J267" s="37">
        <v>64</v>
      </c>
      <c r="K267" s="37" t="s">
        <v>113</v>
      </c>
      <c r="L267" s="37" t="s">
        <v>45</v>
      </c>
      <c r="M267" s="38" t="s">
        <v>112</v>
      </c>
      <c r="N267" s="38"/>
      <c r="O267" s="37">
        <v>31</v>
      </c>
      <c r="P267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431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562"/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3"/>
      <c r="P269" s="559" t="s">
        <v>40</v>
      </c>
      <c r="Q269" s="560"/>
      <c r="R269" s="560"/>
      <c r="S269" s="560"/>
      <c r="T269" s="560"/>
      <c r="U269" s="560"/>
      <c r="V269" s="561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570" t="s">
        <v>432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65"/>
      <c r="AB270" s="65"/>
      <c r="AC270" s="79"/>
    </row>
    <row r="271" spans="1:68" ht="14.25" customHeight="1" x14ac:dyDescent="0.25">
      <c r="A271" s="554" t="s">
        <v>82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66"/>
      <c r="AB271" s="66"/>
      <c r="AC271" s="80"/>
    </row>
    <row r="272" spans="1:68" ht="27" customHeight="1" x14ac:dyDescent="0.25">
      <c r="A272" s="63" t="s">
        <v>433</v>
      </c>
      <c r="B272" s="63" t="s">
        <v>434</v>
      </c>
      <c r="C272" s="36">
        <v>4301051893</v>
      </c>
      <c r="D272" s="555">
        <v>4680115886186</v>
      </c>
      <c r="E272" s="555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87</v>
      </c>
      <c r="L272" s="37" t="s">
        <v>45</v>
      </c>
      <c r="M272" s="38" t="s">
        <v>86</v>
      </c>
      <c r="N272" s="38"/>
      <c r="O272" s="37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435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436</v>
      </c>
      <c r="B273" s="63" t="s">
        <v>437</v>
      </c>
      <c r="C273" s="36">
        <v>4301051795</v>
      </c>
      <c r="D273" s="555">
        <v>4680115881228</v>
      </c>
      <c r="E273" s="555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87</v>
      </c>
      <c r="L273" s="37" t="s">
        <v>45</v>
      </c>
      <c r="M273" s="38" t="s">
        <v>94</v>
      </c>
      <c r="N273" s="38"/>
      <c r="O273" s="37">
        <v>40</v>
      </c>
      <c r="P273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439</v>
      </c>
      <c r="B274" s="63" t="s">
        <v>440</v>
      </c>
      <c r="C274" s="36">
        <v>4301051388</v>
      </c>
      <c r="D274" s="555">
        <v>4680115881211</v>
      </c>
      <c r="E274" s="555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87</v>
      </c>
      <c r="L274" s="37" t="s">
        <v>45</v>
      </c>
      <c r="M274" s="38" t="s">
        <v>86</v>
      </c>
      <c r="N274" s="38"/>
      <c r="O274" s="37">
        <v>45</v>
      </c>
      <c r="P274" s="6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435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570" t="s">
        <v>441</v>
      </c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0"/>
      <c r="P277" s="570"/>
      <c r="Q277" s="570"/>
      <c r="R277" s="570"/>
      <c r="S277" s="570"/>
      <c r="T277" s="570"/>
      <c r="U277" s="570"/>
      <c r="V277" s="570"/>
      <c r="W277" s="570"/>
      <c r="X277" s="570"/>
      <c r="Y277" s="570"/>
      <c r="Z277" s="570"/>
      <c r="AA277" s="65"/>
      <c r="AB277" s="65"/>
      <c r="AC277" s="79"/>
    </row>
    <row r="278" spans="1:68" ht="14.25" customHeight="1" x14ac:dyDescent="0.25">
      <c r="A278" s="554" t="s">
        <v>76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6"/>
      <c r="AB278" s="66"/>
      <c r="AC278" s="80"/>
    </row>
    <row r="279" spans="1:68" ht="27" customHeight="1" x14ac:dyDescent="0.25">
      <c r="A279" s="63" t="s">
        <v>442</v>
      </c>
      <c r="B279" s="63" t="s">
        <v>443</v>
      </c>
      <c r="C279" s="36">
        <v>4301031307</v>
      </c>
      <c r="D279" s="555">
        <v>4680115880344</v>
      </c>
      <c r="E279" s="555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81</v>
      </c>
      <c r="L279" s="37" t="s">
        <v>45</v>
      </c>
      <c r="M279" s="38" t="s">
        <v>80</v>
      </c>
      <c r="N279" s="38"/>
      <c r="O279" s="37">
        <v>40</v>
      </c>
      <c r="P279" s="6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444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445</v>
      </c>
      <c r="B280" s="63" t="s">
        <v>446</v>
      </c>
      <c r="C280" s="36">
        <v>4301031429</v>
      </c>
      <c r="D280" s="555">
        <v>4680115886919</v>
      </c>
      <c r="E280" s="555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87</v>
      </c>
      <c r="L280" s="37" t="s">
        <v>45</v>
      </c>
      <c r="M280" s="38" t="s">
        <v>80</v>
      </c>
      <c r="N280" s="38"/>
      <c r="O280" s="37">
        <v>40</v>
      </c>
      <c r="P280" s="67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447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562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59" t="s">
        <v>40</v>
      </c>
      <c r="Q281" s="560"/>
      <c r="R281" s="560"/>
      <c r="S281" s="560"/>
      <c r="T281" s="560"/>
      <c r="U281" s="560"/>
      <c r="V281" s="561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554" t="s">
        <v>82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66"/>
      <c r="AB283" s="66"/>
      <c r="AC283" s="80"/>
    </row>
    <row r="284" spans="1:68" ht="37.5" customHeight="1" x14ac:dyDescent="0.25">
      <c r="A284" s="63" t="s">
        <v>448</v>
      </c>
      <c r="B284" s="63" t="s">
        <v>449</v>
      </c>
      <c r="C284" s="36">
        <v>4301051782</v>
      </c>
      <c r="D284" s="555">
        <v>4680115884618</v>
      </c>
      <c r="E284" s="555"/>
      <c r="F284" s="62">
        <v>0.6</v>
      </c>
      <c r="G284" s="37">
        <v>6</v>
      </c>
      <c r="H284" s="62">
        <v>3.6</v>
      </c>
      <c r="I284" s="62">
        <v>3.81</v>
      </c>
      <c r="J284" s="37">
        <v>132</v>
      </c>
      <c r="K284" s="37" t="s">
        <v>116</v>
      </c>
      <c r="L284" s="37" t="s">
        <v>45</v>
      </c>
      <c r="M284" s="38" t="s">
        <v>86</v>
      </c>
      <c r="N284" s="38"/>
      <c r="O284" s="37">
        <v>45</v>
      </c>
      <c r="P284" s="6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562"/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3"/>
      <c r="P285" s="559" t="s">
        <v>40</v>
      </c>
      <c r="Q285" s="560"/>
      <c r="R285" s="560"/>
      <c r="S285" s="560"/>
      <c r="T285" s="560"/>
      <c r="U285" s="560"/>
      <c r="V285" s="561"/>
      <c r="W285" s="42" t="s">
        <v>39</v>
      </c>
      <c r="X285" s="43">
        <f>IFERROR(X284/H284,"0")</f>
        <v>0</v>
      </c>
      <c r="Y285" s="43">
        <f>IFERROR(Y284/H284,"0")</f>
        <v>0</v>
      </c>
      <c r="Z285" s="43">
        <f>IFERROR(IF(Z284="",0,Z284),"0")</f>
        <v>0</v>
      </c>
      <c r="AA285" s="67"/>
      <c r="AB285" s="67"/>
      <c r="AC285" s="67"/>
    </row>
    <row r="286" spans="1:68" x14ac:dyDescent="0.2">
      <c r="A286" s="562"/>
      <c r="B286" s="562"/>
      <c r="C286" s="562"/>
      <c r="D286" s="562"/>
      <c r="E286" s="562"/>
      <c r="F286" s="562"/>
      <c r="G286" s="562"/>
      <c r="H286" s="562"/>
      <c r="I286" s="562"/>
      <c r="J286" s="562"/>
      <c r="K286" s="562"/>
      <c r="L286" s="562"/>
      <c r="M286" s="562"/>
      <c r="N286" s="562"/>
      <c r="O286" s="563"/>
      <c r="P286" s="559" t="s">
        <v>40</v>
      </c>
      <c r="Q286" s="560"/>
      <c r="R286" s="560"/>
      <c r="S286" s="560"/>
      <c r="T286" s="560"/>
      <c r="U286" s="560"/>
      <c r="V286" s="561"/>
      <c r="W286" s="42" t="s">
        <v>0</v>
      </c>
      <c r="X286" s="43">
        <f>IFERROR(SUM(X284:X284),"0")</f>
        <v>0</v>
      </c>
      <c r="Y286" s="43">
        <f>IFERROR(SUM(Y284:Y284),"0")</f>
        <v>0</v>
      </c>
      <c r="Z286" s="42"/>
      <c r="AA286" s="67"/>
      <c r="AB286" s="67"/>
      <c r="AC286" s="67"/>
    </row>
    <row r="287" spans="1:68" ht="16.5" customHeight="1" x14ac:dyDescent="0.25">
      <c r="A287" s="570" t="s">
        <v>451</v>
      </c>
      <c r="B287" s="570"/>
      <c r="C287" s="570"/>
      <c r="D287" s="570"/>
      <c r="E287" s="570"/>
      <c r="F287" s="570"/>
      <c r="G287" s="570"/>
      <c r="H287" s="570"/>
      <c r="I287" s="570"/>
      <c r="J287" s="570"/>
      <c r="K287" s="570"/>
      <c r="L287" s="570"/>
      <c r="M287" s="570"/>
      <c r="N287" s="570"/>
      <c r="O287" s="570"/>
      <c r="P287" s="570"/>
      <c r="Q287" s="570"/>
      <c r="R287" s="570"/>
      <c r="S287" s="570"/>
      <c r="T287" s="570"/>
      <c r="U287" s="570"/>
      <c r="V287" s="570"/>
      <c r="W287" s="570"/>
      <c r="X287" s="570"/>
      <c r="Y287" s="570"/>
      <c r="Z287" s="570"/>
      <c r="AA287" s="65"/>
      <c r="AB287" s="65"/>
      <c r="AC287" s="79"/>
    </row>
    <row r="288" spans="1:68" ht="14.25" customHeight="1" x14ac:dyDescent="0.25">
      <c r="A288" s="554" t="s">
        <v>108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66"/>
      <c r="AB288" s="66"/>
      <c r="AC288" s="80"/>
    </row>
    <row r="289" spans="1:68" ht="27" customHeight="1" x14ac:dyDescent="0.25">
      <c r="A289" s="63" t="s">
        <v>452</v>
      </c>
      <c r="B289" s="63" t="s">
        <v>453</v>
      </c>
      <c r="C289" s="36">
        <v>4301012024</v>
      </c>
      <c r="D289" s="555">
        <v>4680115885615</v>
      </c>
      <c r="E289" s="555"/>
      <c r="F289" s="62">
        <v>1.35</v>
      </c>
      <c r="G289" s="37">
        <v>8</v>
      </c>
      <c r="H289" s="62">
        <v>10.8</v>
      </c>
      <c r="I289" s="62">
        <v>11.234999999999999</v>
      </c>
      <c r="J289" s="37">
        <v>64</v>
      </c>
      <c r="K289" s="37" t="s">
        <v>113</v>
      </c>
      <c r="L289" s="37" t="s">
        <v>45</v>
      </c>
      <c r="M289" s="38" t="s">
        <v>86</v>
      </c>
      <c r="N289" s="38"/>
      <c r="O289" s="37">
        <v>55</v>
      </c>
      <c r="P289" s="67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454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455</v>
      </c>
      <c r="B290" s="63" t="s">
        <v>456</v>
      </c>
      <c r="C290" s="36">
        <v>4301011858</v>
      </c>
      <c r="D290" s="555">
        <v>4680115885646</v>
      </c>
      <c r="E290" s="555"/>
      <c r="F290" s="62">
        <v>1.35</v>
      </c>
      <c r="G290" s="37">
        <v>8</v>
      </c>
      <c r="H290" s="62">
        <v>10.8</v>
      </c>
      <c r="I290" s="62">
        <v>11.234999999999999</v>
      </c>
      <c r="J290" s="37">
        <v>64</v>
      </c>
      <c r="K290" s="37" t="s">
        <v>113</v>
      </c>
      <c r="L290" s="37" t="s">
        <v>45</v>
      </c>
      <c r="M290" s="38" t="s">
        <v>112</v>
      </c>
      <c r="N290" s="38"/>
      <c r="O290" s="37">
        <v>55</v>
      </c>
      <c r="P290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457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458</v>
      </c>
      <c r="B291" s="63" t="s">
        <v>459</v>
      </c>
      <c r="C291" s="36">
        <v>4301012016</v>
      </c>
      <c r="D291" s="555">
        <v>4680115885554</v>
      </c>
      <c r="E291" s="555"/>
      <c r="F291" s="62">
        <v>1.35</v>
      </c>
      <c r="G291" s="37">
        <v>8</v>
      </c>
      <c r="H291" s="62">
        <v>10.8</v>
      </c>
      <c r="I291" s="62">
        <v>11.234999999999999</v>
      </c>
      <c r="J291" s="37">
        <v>64</v>
      </c>
      <c r="K291" s="37" t="s">
        <v>113</v>
      </c>
      <c r="L291" s="37" t="s">
        <v>45</v>
      </c>
      <c r="M291" s="38" t="s">
        <v>86</v>
      </c>
      <c r="N291" s="38"/>
      <c r="O291" s="37">
        <v>55</v>
      </c>
      <c r="P291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461</v>
      </c>
      <c r="B292" s="63" t="s">
        <v>462</v>
      </c>
      <c r="C292" s="36">
        <v>4301011857</v>
      </c>
      <c r="D292" s="555">
        <v>4680115885622</v>
      </c>
      <c r="E292" s="555"/>
      <c r="F292" s="62">
        <v>0.4</v>
      </c>
      <c r="G292" s="37">
        <v>10</v>
      </c>
      <c r="H292" s="62">
        <v>4</v>
      </c>
      <c r="I292" s="62">
        <v>4.21</v>
      </c>
      <c r="J292" s="37">
        <v>132</v>
      </c>
      <c r="K292" s="37" t="s">
        <v>116</v>
      </c>
      <c r="L292" s="37" t="s">
        <v>45</v>
      </c>
      <c r="M292" s="38" t="s">
        <v>112</v>
      </c>
      <c r="N292" s="38"/>
      <c r="O292" s="37">
        <v>55</v>
      </c>
      <c r="P292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454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463</v>
      </c>
      <c r="B293" s="63" t="s">
        <v>464</v>
      </c>
      <c r="C293" s="36">
        <v>4301011859</v>
      </c>
      <c r="D293" s="555">
        <v>4680115885608</v>
      </c>
      <c r="E293" s="555"/>
      <c r="F293" s="62">
        <v>0.4</v>
      </c>
      <c r="G293" s="37">
        <v>10</v>
      </c>
      <c r="H293" s="62">
        <v>4</v>
      </c>
      <c r="I293" s="62">
        <v>4.21</v>
      </c>
      <c r="J293" s="37">
        <v>132</v>
      </c>
      <c r="K293" s="37" t="s">
        <v>116</v>
      </c>
      <c r="L293" s="37" t="s">
        <v>45</v>
      </c>
      <c r="M293" s="38" t="s">
        <v>112</v>
      </c>
      <c r="N293" s="38"/>
      <c r="O293" s="37">
        <v>55</v>
      </c>
      <c r="P293" s="6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465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562"/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3"/>
      <c r="P295" s="559" t="s">
        <v>40</v>
      </c>
      <c r="Q295" s="560"/>
      <c r="R295" s="560"/>
      <c r="S295" s="560"/>
      <c r="T295" s="560"/>
      <c r="U295" s="560"/>
      <c r="V295" s="561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554" t="s">
        <v>76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6"/>
      <c r="AB296" s="66"/>
      <c r="AC296" s="80"/>
    </row>
    <row r="297" spans="1:68" ht="27" customHeight="1" x14ac:dyDescent="0.25">
      <c r="A297" s="63" t="s">
        <v>466</v>
      </c>
      <c r="B297" s="63" t="s">
        <v>467</v>
      </c>
      <c r="C297" s="36">
        <v>4301030878</v>
      </c>
      <c r="D297" s="555">
        <v>4607091387193</v>
      </c>
      <c r="E297" s="555"/>
      <c r="F297" s="62">
        <v>0.7</v>
      </c>
      <c r="G297" s="37">
        <v>6</v>
      </c>
      <c r="H297" s="62">
        <v>4.2</v>
      </c>
      <c r="I297" s="62">
        <v>4.47</v>
      </c>
      <c r="J297" s="37">
        <v>132</v>
      </c>
      <c r="K297" s="37" t="s">
        <v>116</v>
      </c>
      <c r="L297" s="37" t="s">
        <v>45</v>
      </c>
      <c r="M297" s="38" t="s">
        <v>80</v>
      </c>
      <c r="N297" s="38"/>
      <c r="O297" s="37">
        <v>35</v>
      </c>
      <c r="P297" s="6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468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469</v>
      </c>
      <c r="B298" s="63" t="s">
        <v>470</v>
      </c>
      <c r="C298" s="36">
        <v>4301031153</v>
      </c>
      <c r="D298" s="555">
        <v>4607091387230</v>
      </c>
      <c r="E298" s="555"/>
      <c r="F298" s="62">
        <v>0.7</v>
      </c>
      <c r="G298" s="37">
        <v>6</v>
      </c>
      <c r="H298" s="62">
        <v>4.2</v>
      </c>
      <c r="I298" s="62">
        <v>4.47</v>
      </c>
      <c r="J298" s="37">
        <v>132</v>
      </c>
      <c r="K298" s="37" t="s">
        <v>116</v>
      </c>
      <c r="L298" s="37" t="s">
        <v>45</v>
      </c>
      <c r="M298" s="38" t="s">
        <v>80</v>
      </c>
      <c r="N298" s="38"/>
      <c r="O298" s="37">
        <v>40</v>
      </c>
      <c r="P298" s="6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471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472</v>
      </c>
      <c r="B299" s="63" t="s">
        <v>473</v>
      </c>
      <c r="C299" s="36">
        <v>4301031154</v>
      </c>
      <c r="D299" s="555">
        <v>4607091387292</v>
      </c>
      <c r="E299" s="555"/>
      <c r="F299" s="62">
        <v>0.73</v>
      </c>
      <c r="G299" s="37">
        <v>6</v>
      </c>
      <c r="H299" s="62">
        <v>4.38</v>
      </c>
      <c r="I299" s="62">
        <v>4.6500000000000004</v>
      </c>
      <c r="J299" s="37">
        <v>132</v>
      </c>
      <c r="K299" s="37" t="s">
        <v>116</v>
      </c>
      <c r="L299" s="37" t="s">
        <v>45</v>
      </c>
      <c r="M299" s="38" t="s">
        <v>80</v>
      </c>
      <c r="N299" s="38"/>
      <c r="O299" s="37">
        <v>45</v>
      </c>
      <c r="P299" s="6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474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475</v>
      </c>
      <c r="B300" s="63" t="s">
        <v>476</v>
      </c>
      <c r="C300" s="36">
        <v>4301031152</v>
      </c>
      <c r="D300" s="555">
        <v>4607091387285</v>
      </c>
      <c r="E300" s="555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81</v>
      </c>
      <c r="L300" s="37" t="s">
        <v>45</v>
      </c>
      <c r="M300" s="38" t="s">
        <v>80</v>
      </c>
      <c r="N300" s="38"/>
      <c r="O300" s="37">
        <v>40</v>
      </c>
      <c r="P300" s="6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471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477</v>
      </c>
      <c r="B301" s="63" t="s">
        <v>478</v>
      </c>
      <c r="C301" s="36">
        <v>4301031305</v>
      </c>
      <c r="D301" s="555">
        <v>4607091389845</v>
      </c>
      <c r="E301" s="555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81</v>
      </c>
      <c r="L301" s="37" t="s">
        <v>45</v>
      </c>
      <c r="M301" s="38" t="s">
        <v>80</v>
      </c>
      <c r="N301" s="38"/>
      <c r="O301" s="37">
        <v>40</v>
      </c>
      <c r="P301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479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480</v>
      </c>
      <c r="B302" s="63" t="s">
        <v>481</v>
      </c>
      <c r="C302" s="36">
        <v>4301031306</v>
      </c>
      <c r="D302" s="555">
        <v>4680115882881</v>
      </c>
      <c r="E302" s="555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81</v>
      </c>
      <c r="L302" s="37" t="s">
        <v>45</v>
      </c>
      <c r="M302" s="38" t="s">
        <v>80</v>
      </c>
      <c r="N302" s="38"/>
      <c r="O302" s="37">
        <v>40</v>
      </c>
      <c r="P302" s="65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479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482</v>
      </c>
      <c r="B303" s="63" t="s">
        <v>483</v>
      </c>
      <c r="C303" s="36">
        <v>4301031066</v>
      </c>
      <c r="D303" s="555">
        <v>4607091383836</v>
      </c>
      <c r="E303" s="555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87</v>
      </c>
      <c r="L303" s="37" t="s">
        <v>45</v>
      </c>
      <c r="M303" s="38" t="s">
        <v>80</v>
      </c>
      <c r="N303" s="38"/>
      <c r="O303" s="37">
        <v>40</v>
      </c>
      <c r="P303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484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562"/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3"/>
      <c r="P304" s="559" t="s">
        <v>40</v>
      </c>
      <c r="Q304" s="560"/>
      <c r="R304" s="560"/>
      <c r="S304" s="560"/>
      <c r="T304" s="560"/>
      <c r="U304" s="560"/>
      <c r="V304" s="56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562"/>
      <c r="B305" s="562"/>
      <c r="C305" s="562"/>
      <c r="D305" s="562"/>
      <c r="E305" s="562"/>
      <c r="F305" s="562"/>
      <c r="G305" s="562"/>
      <c r="H305" s="562"/>
      <c r="I305" s="562"/>
      <c r="J305" s="562"/>
      <c r="K305" s="562"/>
      <c r="L305" s="562"/>
      <c r="M305" s="562"/>
      <c r="N305" s="562"/>
      <c r="O305" s="563"/>
      <c r="P305" s="559" t="s">
        <v>40</v>
      </c>
      <c r="Q305" s="560"/>
      <c r="R305" s="560"/>
      <c r="S305" s="560"/>
      <c r="T305" s="560"/>
      <c r="U305" s="560"/>
      <c r="V305" s="56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554" t="s">
        <v>82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66"/>
      <c r="AB306" s="66"/>
      <c r="AC306" s="80"/>
    </row>
    <row r="307" spans="1:68" ht="27" customHeight="1" x14ac:dyDescent="0.25">
      <c r="A307" s="63" t="s">
        <v>485</v>
      </c>
      <c r="B307" s="63" t="s">
        <v>486</v>
      </c>
      <c r="C307" s="36">
        <v>4301051100</v>
      </c>
      <c r="D307" s="555">
        <v>4607091387766</v>
      </c>
      <c r="E307" s="555"/>
      <c r="F307" s="62">
        <v>1.3</v>
      </c>
      <c r="G307" s="37">
        <v>6</v>
      </c>
      <c r="H307" s="62">
        <v>7.8</v>
      </c>
      <c r="I307" s="62">
        <v>8.3130000000000006</v>
      </c>
      <c r="J307" s="37">
        <v>64</v>
      </c>
      <c r="K307" s="37" t="s">
        <v>113</v>
      </c>
      <c r="L307" s="37" t="s">
        <v>45</v>
      </c>
      <c r="M307" s="38" t="s">
        <v>86</v>
      </c>
      <c r="N307" s="38"/>
      <c r="O307" s="37">
        <v>40</v>
      </c>
      <c r="P307" s="6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487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488</v>
      </c>
      <c r="B308" s="63" t="s">
        <v>489</v>
      </c>
      <c r="C308" s="36">
        <v>4301051818</v>
      </c>
      <c r="D308" s="555">
        <v>4607091387957</v>
      </c>
      <c r="E308" s="555"/>
      <c r="F308" s="62">
        <v>1.3</v>
      </c>
      <c r="G308" s="37">
        <v>6</v>
      </c>
      <c r="H308" s="62">
        <v>7.8</v>
      </c>
      <c r="I308" s="62">
        <v>8.3190000000000008</v>
      </c>
      <c r="J308" s="37">
        <v>64</v>
      </c>
      <c r="K308" s="37" t="s">
        <v>113</v>
      </c>
      <c r="L308" s="37" t="s">
        <v>45</v>
      </c>
      <c r="M308" s="38" t="s">
        <v>86</v>
      </c>
      <c r="N308" s="38"/>
      <c r="O308" s="37">
        <v>40</v>
      </c>
      <c r="P308" s="6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490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491</v>
      </c>
      <c r="B309" s="63" t="s">
        <v>492</v>
      </c>
      <c r="C309" s="36">
        <v>4301051819</v>
      </c>
      <c r="D309" s="555">
        <v>4607091387964</v>
      </c>
      <c r="E309" s="555"/>
      <c r="F309" s="62">
        <v>1.35</v>
      </c>
      <c r="G309" s="37">
        <v>6</v>
      </c>
      <c r="H309" s="62">
        <v>8.1</v>
      </c>
      <c r="I309" s="62">
        <v>8.6010000000000009</v>
      </c>
      <c r="J309" s="37">
        <v>64</v>
      </c>
      <c r="K309" s="37" t="s">
        <v>113</v>
      </c>
      <c r="L309" s="37" t="s">
        <v>45</v>
      </c>
      <c r="M309" s="38" t="s">
        <v>86</v>
      </c>
      <c r="N309" s="38"/>
      <c r="O309" s="37">
        <v>40</v>
      </c>
      <c r="P309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493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494</v>
      </c>
      <c r="B310" s="63" t="s">
        <v>495</v>
      </c>
      <c r="C310" s="36">
        <v>4301051734</v>
      </c>
      <c r="D310" s="555">
        <v>4680115884588</v>
      </c>
      <c r="E310" s="555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87</v>
      </c>
      <c r="L310" s="37" t="s">
        <v>45</v>
      </c>
      <c r="M310" s="38" t="s">
        <v>86</v>
      </c>
      <c r="N310" s="38"/>
      <c r="O310" s="37">
        <v>40</v>
      </c>
      <c r="P310" s="65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496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497</v>
      </c>
      <c r="B311" s="63" t="s">
        <v>498</v>
      </c>
      <c r="C311" s="36">
        <v>4301051578</v>
      </c>
      <c r="D311" s="555">
        <v>4607091387513</v>
      </c>
      <c r="E311" s="555"/>
      <c r="F311" s="62">
        <v>0.45</v>
      </c>
      <c r="G311" s="37">
        <v>6</v>
      </c>
      <c r="H311" s="62">
        <v>2.7</v>
      </c>
      <c r="I311" s="62">
        <v>2.9580000000000002</v>
      </c>
      <c r="J311" s="37">
        <v>182</v>
      </c>
      <c r="K311" s="37" t="s">
        <v>87</v>
      </c>
      <c r="L311" s="37" t="s">
        <v>45</v>
      </c>
      <c r="M311" s="38" t="s">
        <v>94</v>
      </c>
      <c r="N311" s="38"/>
      <c r="O311" s="37">
        <v>40</v>
      </c>
      <c r="P311" s="65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499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2" t="s">
        <v>39</v>
      </c>
      <c r="X312" s="43">
        <f>IFERROR(X307/H307,"0")+IFERROR(X308/H308,"0")+IFERROR(X309/H309,"0")+IFERROR(X310/H310,"0")+IFERROR(X311/H311,"0")</f>
        <v>0</v>
      </c>
      <c r="Y312" s="43">
        <f>IFERROR(Y307/H307,"0")+IFERROR(Y308/H308,"0")+IFERROR(Y309/H309,"0")+IFERROR(Y310/H310,"0")+IFERROR(Y311/H311,"0")</f>
        <v>0</v>
      </c>
      <c r="Z312" s="43">
        <f>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2" t="s">
        <v>0</v>
      </c>
      <c r="X313" s="43">
        <f>IFERROR(SUM(X307:X311),"0")</f>
        <v>0</v>
      </c>
      <c r="Y313" s="43">
        <f>IFERROR(SUM(Y307:Y311),"0")</f>
        <v>0</v>
      </c>
      <c r="Z313" s="42"/>
      <c r="AA313" s="67"/>
      <c r="AB313" s="67"/>
      <c r="AC313" s="67"/>
    </row>
    <row r="314" spans="1:68" ht="14.25" customHeight="1" x14ac:dyDescent="0.25">
      <c r="A314" s="554" t="s">
        <v>171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6"/>
      <c r="AB314" s="66"/>
      <c r="AC314" s="80"/>
    </row>
    <row r="315" spans="1:68" ht="27" customHeight="1" x14ac:dyDescent="0.25">
      <c r="A315" s="63" t="s">
        <v>500</v>
      </c>
      <c r="B315" s="63" t="s">
        <v>501</v>
      </c>
      <c r="C315" s="36">
        <v>4301060387</v>
      </c>
      <c r="D315" s="555">
        <v>4607091380880</v>
      </c>
      <c r="E315" s="555"/>
      <c r="F315" s="62">
        <v>1.4</v>
      </c>
      <c r="G315" s="37">
        <v>6</v>
      </c>
      <c r="H315" s="62">
        <v>8.4</v>
      </c>
      <c r="I315" s="62">
        <v>8.9190000000000005</v>
      </c>
      <c r="J315" s="37">
        <v>64</v>
      </c>
      <c r="K315" s="37" t="s">
        <v>113</v>
      </c>
      <c r="L315" s="37" t="s">
        <v>45</v>
      </c>
      <c r="M315" s="38" t="s">
        <v>86</v>
      </c>
      <c r="N315" s="38"/>
      <c r="O315" s="37">
        <v>30</v>
      </c>
      <c r="P315" s="6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9" t="s">
        <v>45</v>
      </c>
      <c r="V315" s="39" t="s">
        <v>45</v>
      </c>
      <c r="W315" s="40" t="s">
        <v>0</v>
      </c>
      <c r="X315" s="58">
        <v>67.2</v>
      </c>
      <c r="Y315" s="55">
        <f>IFERROR(IF(X315="",0,CEILING((X315/$H315),1)*$H315),"")</f>
        <v>67.2</v>
      </c>
      <c r="Z315" s="41">
        <f>IFERROR(IF(Y315=0,"",ROUNDUP(Y315/H315,0)*0.01898),"")</f>
        <v>0.15184</v>
      </c>
      <c r="AA315" s="68" t="s">
        <v>45</v>
      </c>
      <c r="AB315" s="69" t="s">
        <v>45</v>
      </c>
      <c r="AC315" s="382" t="s">
        <v>502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71.352000000000004</v>
      </c>
      <c r="BN315" s="78">
        <f>IFERROR(Y315*I315/H315,"0")</f>
        <v>71.352000000000004</v>
      </c>
      <c r="BO315" s="78">
        <f>IFERROR(1/J315*(X315/H315),"0")</f>
        <v>0.125</v>
      </c>
      <c r="BP315" s="78">
        <f>IFERROR(1/J315*(Y315/H315),"0")</f>
        <v>0.125</v>
      </c>
    </row>
    <row r="316" spans="1:68" ht="27" customHeight="1" x14ac:dyDescent="0.25">
      <c r="A316" s="63" t="s">
        <v>503</v>
      </c>
      <c r="B316" s="63" t="s">
        <v>504</v>
      </c>
      <c r="C316" s="36">
        <v>4301060406</v>
      </c>
      <c r="D316" s="555">
        <v>4607091384482</v>
      </c>
      <c r="E316" s="555"/>
      <c r="F316" s="62">
        <v>1.3</v>
      </c>
      <c r="G316" s="37">
        <v>6</v>
      </c>
      <c r="H316" s="62">
        <v>7.8</v>
      </c>
      <c r="I316" s="62">
        <v>8.3190000000000008</v>
      </c>
      <c r="J316" s="37">
        <v>64</v>
      </c>
      <c r="K316" s="37" t="s">
        <v>113</v>
      </c>
      <c r="L316" s="37" t="s">
        <v>45</v>
      </c>
      <c r="M316" s="38" t="s">
        <v>86</v>
      </c>
      <c r="N316" s="38"/>
      <c r="O316" s="37">
        <v>30</v>
      </c>
      <c r="P316" s="6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9" t="s">
        <v>45</v>
      </c>
      <c r="V316" s="39" t="s">
        <v>45</v>
      </c>
      <c r="W316" s="40" t="s">
        <v>0</v>
      </c>
      <c r="X316" s="58">
        <v>124.8</v>
      </c>
      <c r="Y316" s="55">
        <f>IFERROR(IF(X316="",0,CEILING((X316/$H316),1)*$H316),"")</f>
        <v>124.8</v>
      </c>
      <c r="Z316" s="41">
        <f>IFERROR(IF(Y316=0,"",ROUNDUP(Y316/H316,0)*0.01898),"")</f>
        <v>0.30368000000000001</v>
      </c>
      <c r="AA316" s="68" t="s">
        <v>45</v>
      </c>
      <c r="AB316" s="69" t="s">
        <v>45</v>
      </c>
      <c r="AC316" s="384" t="s">
        <v>505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133.10400000000001</v>
      </c>
      <c r="BN316" s="78">
        <f>IFERROR(Y316*I316/H316,"0")</f>
        <v>133.10400000000001</v>
      </c>
      <c r="BO316" s="78">
        <f>IFERROR(1/J316*(X316/H316),"0")</f>
        <v>0.25</v>
      </c>
      <c r="BP316" s="78">
        <f>IFERROR(1/J316*(Y316/H316),"0")</f>
        <v>0.25</v>
      </c>
    </row>
    <row r="317" spans="1:68" ht="16.5" customHeight="1" x14ac:dyDescent="0.25">
      <c r="A317" s="63" t="s">
        <v>506</v>
      </c>
      <c r="B317" s="63" t="s">
        <v>507</v>
      </c>
      <c r="C317" s="36">
        <v>4301060484</v>
      </c>
      <c r="D317" s="555">
        <v>4607091380897</v>
      </c>
      <c r="E317" s="555"/>
      <c r="F317" s="62">
        <v>1.4</v>
      </c>
      <c r="G317" s="37">
        <v>6</v>
      </c>
      <c r="H317" s="62">
        <v>8.4</v>
      </c>
      <c r="I317" s="62">
        <v>8.9190000000000005</v>
      </c>
      <c r="J317" s="37">
        <v>64</v>
      </c>
      <c r="K317" s="37" t="s">
        <v>113</v>
      </c>
      <c r="L317" s="37" t="s">
        <v>45</v>
      </c>
      <c r="M317" s="38" t="s">
        <v>94</v>
      </c>
      <c r="N317" s="38"/>
      <c r="O317" s="37">
        <v>30</v>
      </c>
      <c r="P317" s="64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9" t="s">
        <v>45</v>
      </c>
      <c r="V317" s="39" t="s">
        <v>45</v>
      </c>
      <c r="W317" s="40" t="s">
        <v>0</v>
      </c>
      <c r="X317" s="58">
        <v>67.2</v>
      </c>
      <c r="Y317" s="55">
        <f>IFERROR(IF(X317="",0,CEILING((X317/$H317),1)*$H317),"")</f>
        <v>67.2</v>
      </c>
      <c r="Z317" s="41">
        <f>IFERROR(IF(Y317=0,"",ROUNDUP(Y317/H317,0)*0.01898),"")</f>
        <v>0.15184</v>
      </c>
      <c r="AA317" s="68" t="s">
        <v>45</v>
      </c>
      <c r="AB317" s="69" t="s">
        <v>45</v>
      </c>
      <c r="AC317" s="386" t="s">
        <v>508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71.352000000000004</v>
      </c>
      <c r="BN317" s="78">
        <f>IFERROR(Y317*I317/H317,"0")</f>
        <v>71.352000000000004</v>
      </c>
      <c r="BO317" s="78">
        <f>IFERROR(1/J317*(X317/H317),"0")</f>
        <v>0.125</v>
      </c>
      <c r="BP317" s="78">
        <f>IFERROR(1/J317*(Y317/H317),"0")</f>
        <v>0.125</v>
      </c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59" t="s">
        <v>40</v>
      </c>
      <c r="Q318" s="560"/>
      <c r="R318" s="560"/>
      <c r="S318" s="560"/>
      <c r="T318" s="560"/>
      <c r="U318" s="560"/>
      <c r="V318" s="561"/>
      <c r="W318" s="42" t="s">
        <v>39</v>
      </c>
      <c r="X318" s="43">
        <f>IFERROR(X315/H315,"0")+IFERROR(X316/H316,"0")+IFERROR(X317/H317,"0")</f>
        <v>32</v>
      </c>
      <c r="Y318" s="43">
        <f>IFERROR(Y315/H315,"0")+IFERROR(Y316/H316,"0")+IFERROR(Y317/H317,"0")</f>
        <v>32</v>
      </c>
      <c r="Z318" s="43">
        <f>IFERROR(IF(Z315="",0,Z315),"0")+IFERROR(IF(Z316="",0,Z316),"0")+IFERROR(IF(Z317="",0,Z317),"0")</f>
        <v>0.60736000000000001</v>
      </c>
      <c r="AA318" s="67"/>
      <c r="AB318" s="67"/>
      <c r="AC318" s="67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2" t="s">
        <v>0</v>
      </c>
      <c r="X319" s="43">
        <f>IFERROR(SUM(X315:X317),"0")</f>
        <v>259.2</v>
      </c>
      <c r="Y319" s="43">
        <f>IFERROR(SUM(Y315:Y317),"0")</f>
        <v>259.2</v>
      </c>
      <c r="Z319" s="42"/>
      <c r="AA319" s="67"/>
      <c r="AB319" s="67"/>
      <c r="AC319" s="67"/>
    </row>
    <row r="320" spans="1:68" ht="14.25" customHeight="1" x14ac:dyDescent="0.25">
      <c r="A320" s="554" t="s">
        <v>100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66"/>
      <c r="AB320" s="66"/>
      <c r="AC320" s="80"/>
    </row>
    <row r="321" spans="1:68" ht="27" customHeight="1" x14ac:dyDescent="0.25">
      <c r="A321" s="63" t="s">
        <v>509</v>
      </c>
      <c r="B321" s="63" t="s">
        <v>510</v>
      </c>
      <c r="C321" s="36">
        <v>4301030235</v>
      </c>
      <c r="D321" s="555">
        <v>4607091388381</v>
      </c>
      <c r="E321" s="555"/>
      <c r="F321" s="62">
        <v>0.38</v>
      </c>
      <c r="G321" s="37">
        <v>8</v>
      </c>
      <c r="H321" s="62">
        <v>3.04</v>
      </c>
      <c r="I321" s="62">
        <v>3.33</v>
      </c>
      <c r="J321" s="37">
        <v>132</v>
      </c>
      <c r="K321" s="37" t="s">
        <v>116</v>
      </c>
      <c r="L321" s="37" t="s">
        <v>45</v>
      </c>
      <c r="M321" s="38" t="s">
        <v>105</v>
      </c>
      <c r="N321" s="38"/>
      <c r="O321" s="37">
        <v>180</v>
      </c>
      <c r="P321" s="6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511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512</v>
      </c>
      <c r="B322" s="63" t="s">
        <v>513</v>
      </c>
      <c r="C322" s="36">
        <v>4301030232</v>
      </c>
      <c r="D322" s="555">
        <v>4607091388374</v>
      </c>
      <c r="E322" s="555"/>
      <c r="F322" s="62">
        <v>0.38</v>
      </c>
      <c r="G322" s="37">
        <v>8</v>
      </c>
      <c r="H322" s="62">
        <v>3.04</v>
      </c>
      <c r="I322" s="62">
        <v>3.29</v>
      </c>
      <c r="J322" s="37">
        <v>132</v>
      </c>
      <c r="K322" s="37" t="s">
        <v>116</v>
      </c>
      <c r="L322" s="37" t="s">
        <v>45</v>
      </c>
      <c r="M322" s="38" t="s">
        <v>105</v>
      </c>
      <c r="N322" s="38"/>
      <c r="O322" s="37">
        <v>180</v>
      </c>
      <c r="P322" s="650" t="s">
        <v>514</v>
      </c>
      <c r="Q322" s="557"/>
      <c r="R322" s="557"/>
      <c r="S322" s="557"/>
      <c r="T322" s="55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515</v>
      </c>
      <c r="B323" s="63" t="s">
        <v>516</v>
      </c>
      <c r="C323" s="36">
        <v>4301032015</v>
      </c>
      <c r="D323" s="555">
        <v>4607091383102</v>
      </c>
      <c r="E323" s="555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87</v>
      </c>
      <c r="L323" s="37" t="s">
        <v>45</v>
      </c>
      <c r="M323" s="38" t="s">
        <v>105</v>
      </c>
      <c r="N323" s="38"/>
      <c r="O323" s="37">
        <v>180</v>
      </c>
      <c r="P323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518</v>
      </c>
      <c r="B324" s="63" t="s">
        <v>519</v>
      </c>
      <c r="C324" s="36">
        <v>4301030233</v>
      </c>
      <c r="D324" s="555">
        <v>4607091388404</v>
      </c>
      <c r="E324" s="555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87</v>
      </c>
      <c r="L324" s="37" t="s">
        <v>45</v>
      </c>
      <c r="M324" s="38" t="s">
        <v>105</v>
      </c>
      <c r="N324" s="38"/>
      <c r="O324" s="37">
        <v>180</v>
      </c>
      <c r="P324" s="6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511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554" t="s">
        <v>520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6"/>
      <c r="AB327" s="66"/>
      <c r="AC327" s="80"/>
    </row>
    <row r="328" spans="1:68" ht="16.5" customHeight="1" x14ac:dyDescent="0.25">
      <c r="A328" s="63" t="s">
        <v>521</v>
      </c>
      <c r="B328" s="63" t="s">
        <v>522</v>
      </c>
      <c r="C328" s="36">
        <v>4301180007</v>
      </c>
      <c r="D328" s="555">
        <v>4680115881808</v>
      </c>
      <c r="E328" s="555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87</v>
      </c>
      <c r="L328" s="37" t="s">
        <v>45</v>
      </c>
      <c r="M328" s="38" t="s">
        <v>524</v>
      </c>
      <c r="N328" s="38"/>
      <c r="O328" s="37">
        <v>730</v>
      </c>
      <c r="P328" s="6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523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525</v>
      </c>
      <c r="B329" s="63" t="s">
        <v>526</v>
      </c>
      <c r="C329" s="36">
        <v>4301180006</v>
      </c>
      <c r="D329" s="555">
        <v>4680115881822</v>
      </c>
      <c r="E329" s="555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87</v>
      </c>
      <c r="L329" s="37" t="s">
        <v>45</v>
      </c>
      <c r="M329" s="38" t="s">
        <v>524</v>
      </c>
      <c r="N329" s="38"/>
      <c r="O329" s="37">
        <v>730</v>
      </c>
      <c r="P329" s="64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527</v>
      </c>
      <c r="B330" s="63" t="s">
        <v>528</v>
      </c>
      <c r="C330" s="36">
        <v>4301180001</v>
      </c>
      <c r="D330" s="555">
        <v>4680115880016</v>
      </c>
      <c r="E330" s="555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87</v>
      </c>
      <c r="L330" s="37" t="s">
        <v>45</v>
      </c>
      <c r="M330" s="38" t="s">
        <v>524</v>
      </c>
      <c r="N330" s="38"/>
      <c r="O330" s="37">
        <v>730</v>
      </c>
      <c r="P330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59" t="s">
        <v>40</v>
      </c>
      <c r="Q331" s="560"/>
      <c r="R331" s="560"/>
      <c r="S331" s="560"/>
      <c r="T331" s="560"/>
      <c r="U331" s="560"/>
      <c r="V331" s="561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570" t="s">
        <v>529</v>
      </c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0"/>
      <c r="P333" s="570"/>
      <c r="Q333" s="570"/>
      <c r="R333" s="570"/>
      <c r="S333" s="570"/>
      <c r="T333" s="570"/>
      <c r="U333" s="570"/>
      <c r="V333" s="570"/>
      <c r="W333" s="570"/>
      <c r="X333" s="570"/>
      <c r="Y333" s="570"/>
      <c r="Z333" s="570"/>
      <c r="AA333" s="65"/>
      <c r="AB333" s="65"/>
      <c r="AC333" s="79"/>
    </row>
    <row r="334" spans="1:68" ht="14.25" customHeight="1" x14ac:dyDescent="0.25">
      <c r="A334" s="554" t="s">
        <v>82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6"/>
      <c r="AB334" s="66"/>
      <c r="AC334" s="80"/>
    </row>
    <row r="335" spans="1:68" ht="27" customHeight="1" x14ac:dyDescent="0.25">
      <c r="A335" s="63" t="s">
        <v>530</v>
      </c>
      <c r="B335" s="63" t="s">
        <v>531</v>
      </c>
      <c r="C335" s="36">
        <v>4301051489</v>
      </c>
      <c r="D335" s="555">
        <v>4607091387919</v>
      </c>
      <c r="E335" s="555"/>
      <c r="F335" s="62">
        <v>1.35</v>
      </c>
      <c r="G335" s="37">
        <v>6</v>
      </c>
      <c r="H335" s="62">
        <v>8.1</v>
      </c>
      <c r="I335" s="62">
        <v>8.6189999999999998</v>
      </c>
      <c r="J335" s="37">
        <v>64</v>
      </c>
      <c r="K335" s="37" t="s">
        <v>113</v>
      </c>
      <c r="L335" s="37" t="s">
        <v>45</v>
      </c>
      <c r="M335" s="38" t="s">
        <v>94</v>
      </c>
      <c r="N335" s="38"/>
      <c r="O335" s="37">
        <v>45</v>
      </c>
      <c r="P335" s="6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9" t="s">
        <v>45</v>
      </c>
      <c r="V335" s="39" t="s">
        <v>45</v>
      </c>
      <c r="W335" s="40" t="s">
        <v>0</v>
      </c>
      <c r="X335" s="58">
        <v>64.8</v>
      </c>
      <c r="Y335" s="55">
        <f>IFERROR(IF(X335="",0,CEILING((X335/$H335),1)*$H335),"")</f>
        <v>64.8</v>
      </c>
      <c r="Z335" s="41">
        <f>IFERROR(IF(Y335=0,"",ROUNDUP(Y335/H335,0)*0.01898),"")</f>
        <v>0.15184</v>
      </c>
      <c r="AA335" s="68" t="s">
        <v>45</v>
      </c>
      <c r="AB335" s="69" t="s">
        <v>45</v>
      </c>
      <c r="AC335" s="402" t="s">
        <v>532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68.951999999999998</v>
      </c>
      <c r="BN335" s="78">
        <f>IFERROR(Y335*I335/H335,"0")</f>
        <v>68.951999999999998</v>
      </c>
      <c r="BO335" s="78">
        <f>IFERROR(1/J335*(X335/H335),"0")</f>
        <v>0.125</v>
      </c>
      <c r="BP335" s="78">
        <f>IFERROR(1/J335*(Y335/H335),"0")</f>
        <v>0.125</v>
      </c>
    </row>
    <row r="336" spans="1:68" ht="27" customHeight="1" x14ac:dyDescent="0.25">
      <c r="A336" s="63" t="s">
        <v>533</v>
      </c>
      <c r="B336" s="63" t="s">
        <v>534</v>
      </c>
      <c r="C336" s="36">
        <v>4301051461</v>
      </c>
      <c r="D336" s="555">
        <v>4680115883604</v>
      </c>
      <c r="E336" s="555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87</v>
      </c>
      <c r="L336" s="37" t="s">
        <v>45</v>
      </c>
      <c r="M336" s="38" t="s">
        <v>86</v>
      </c>
      <c r="N336" s="38"/>
      <c r="O336" s="37">
        <v>45</v>
      </c>
      <c r="P336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535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536</v>
      </c>
      <c r="B337" s="63" t="s">
        <v>537</v>
      </c>
      <c r="C337" s="36">
        <v>4301051864</v>
      </c>
      <c r="D337" s="555">
        <v>4680115883567</v>
      </c>
      <c r="E337" s="555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87</v>
      </c>
      <c r="L337" s="37" t="s">
        <v>45</v>
      </c>
      <c r="M337" s="38" t="s">
        <v>94</v>
      </c>
      <c r="N337" s="38"/>
      <c r="O337" s="37">
        <v>40</v>
      </c>
      <c r="P337" s="6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538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2" t="s">
        <v>39</v>
      </c>
      <c r="X338" s="43">
        <f>IFERROR(X335/H335,"0")+IFERROR(X336/H336,"0")+IFERROR(X337/H337,"0")</f>
        <v>8</v>
      </c>
      <c r="Y338" s="43">
        <f>IFERROR(Y335/H335,"0")+IFERROR(Y336/H336,"0")+IFERROR(Y337/H337,"0")</f>
        <v>8</v>
      </c>
      <c r="Z338" s="43">
        <f>IFERROR(IF(Z335="",0,Z335),"0")+IFERROR(IF(Z336="",0,Z336),"0")+IFERROR(IF(Z337="",0,Z337),"0")</f>
        <v>0.15184</v>
      </c>
      <c r="AA338" s="67"/>
      <c r="AB338" s="67"/>
      <c r="AC338" s="67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2" t="s">
        <v>0</v>
      </c>
      <c r="X339" s="43">
        <f>IFERROR(SUM(X335:X337),"0")</f>
        <v>64.8</v>
      </c>
      <c r="Y339" s="43">
        <f>IFERROR(SUM(Y335:Y337),"0")</f>
        <v>64.8</v>
      </c>
      <c r="Z339" s="42"/>
      <c r="AA339" s="67"/>
      <c r="AB339" s="67"/>
      <c r="AC339" s="67"/>
    </row>
    <row r="340" spans="1:68" ht="27.75" customHeight="1" x14ac:dyDescent="0.2">
      <c r="A340" s="579" t="s">
        <v>539</v>
      </c>
      <c r="B340" s="579"/>
      <c r="C340" s="579"/>
      <c r="D340" s="579"/>
      <c r="E340" s="579"/>
      <c r="F340" s="579"/>
      <c r="G340" s="579"/>
      <c r="H340" s="579"/>
      <c r="I340" s="579"/>
      <c r="J340" s="579"/>
      <c r="K340" s="579"/>
      <c r="L340" s="579"/>
      <c r="M340" s="579"/>
      <c r="N340" s="579"/>
      <c r="O340" s="579"/>
      <c r="P340" s="579"/>
      <c r="Q340" s="579"/>
      <c r="R340" s="579"/>
      <c r="S340" s="579"/>
      <c r="T340" s="579"/>
      <c r="U340" s="579"/>
      <c r="V340" s="579"/>
      <c r="W340" s="579"/>
      <c r="X340" s="579"/>
      <c r="Y340" s="579"/>
      <c r="Z340" s="579"/>
      <c r="AA340" s="54"/>
      <c r="AB340" s="54"/>
      <c r="AC340" s="54"/>
    </row>
    <row r="341" spans="1:68" ht="16.5" customHeight="1" x14ac:dyDescent="0.25">
      <c r="A341" s="570" t="s">
        <v>540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65"/>
      <c r="AB341" s="65"/>
      <c r="AC341" s="79"/>
    </row>
    <row r="342" spans="1:68" ht="14.25" customHeight="1" x14ac:dyDescent="0.25">
      <c r="A342" s="554" t="s">
        <v>108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66"/>
      <c r="AB342" s="66"/>
      <c r="AC342" s="80"/>
    </row>
    <row r="343" spans="1:68" ht="37.5" customHeight="1" x14ac:dyDescent="0.25">
      <c r="A343" s="63" t="s">
        <v>541</v>
      </c>
      <c r="B343" s="63" t="s">
        <v>542</v>
      </c>
      <c r="C343" s="36">
        <v>4301011869</v>
      </c>
      <c r="D343" s="555">
        <v>4680115884847</v>
      </c>
      <c r="E343" s="555"/>
      <c r="F343" s="62">
        <v>2.5</v>
      </c>
      <c r="G343" s="37">
        <v>6</v>
      </c>
      <c r="H343" s="62">
        <v>15</v>
      </c>
      <c r="I343" s="62">
        <v>15.48</v>
      </c>
      <c r="J343" s="37">
        <v>48</v>
      </c>
      <c r="K343" s="37" t="s">
        <v>113</v>
      </c>
      <c r="L343" s="37" t="s">
        <v>45</v>
      </c>
      <c r="M343" s="38" t="s">
        <v>80</v>
      </c>
      <c r="N343" s="38"/>
      <c r="O343" s="37">
        <v>60</v>
      </c>
      <c r="P343" s="6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9" t="s">
        <v>45</v>
      </c>
      <c r="V343" s="39" t="s">
        <v>45</v>
      </c>
      <c r="W343" s="40" t="s">
        <v>0</v>
      </c>
      <c r="X343" s="58">
        <v>120</v>
      </c>
      <c r="Y343" s="55">
        <f t="shared" ref="Y343:Y349" si="31">IFERROR(IF(X343="",0,CEILING((X343/$H343),1)*$H343),"")</f>
        <v>120</v>
      </c>
      <c r="Z343" s="41">
        <f>IFERROR(IF(Y343=0,"",ROUNDUP(Y343/H343,0)*0.02175),"")</f>
        <v>0.17399999999999999</v>
      </c>
      <c r="AA343" s="68" t="s">
        <v>45</v>
      </c>
      <c r="AB343" s="69" t="s">
        <v>45</v>
      </c>
      <c r="AC343" s="408" t="s">
        <v>543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2">IFERROR(X343*I343/H343,"0")</f>
        <v>123.84</v>
      </c>
      <c r="BN343" s="78">
        <f t="shared" ref="BN343:BN349" si="33">IFERROR(Y343*I343/H343,"0")</f>
        <v>123.84</v>
      </c>
      <c r="BO343" s="78">
        <f t="shared" ref="BO343:BO349" si="34">IFERROR(1/J343*(X343/H343),"0")</f>
        <v>0.16666666666666666</v>
      </c>
      <c r="BP343" s="78">
        <f t="shared" ref="BP343:BP349" si="35">IFERROR(1/J343*(Y343/H343),"0")</f>
        <v>0.16666666666666666</v>
      </c>
    </row>
    <row r="344" spans="1:68" ht="27" customHeight="1" x14ac:dyDescent="0.25">
      <c r="A344" s="63" t="s">
        <v>544</v>
      </c>
      <c r="B344" s="63" t="s">
        <v>545</v>
      </c>
      <c r="C344" s="36">
        <v>4301011870</v>
      </c>
      <c r="D344" s="555">
        <v>4680115884854</v>
      </c>
      <c r="E344" s="555"/>
      <c r="F344" s="62">
        <v>2.5</v>
      </c>
      <c r="G344" s="37">
        <v>6</v>
      </c>
      <c r="H344" s="62">
        <v>15</v>
      </c>
      <c r="I344" s="62">
        <v>15.48</v>
      </c>
      <c r="J344" s="37">
        <v>48</v>
      </c>
      <c r="K344" s="37" t="s">
        <v>113</v>
      </c>
      <c r="L344" s="37" t="s">
        <v>45</v>
      </c>
      <c r="M344" s="38" t="s">
        <v>80</v>
      </c>
      <c r="N344" s="38"/>
      <c r="O344" s="37">
        <v>60</v>
      </c>
      <c r="P344" s="6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546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547</v>
      </c>
      <c r="B345" s="63" t="s">
        <v>548</v>
      </c>
      <c r="C345" s="36">
        <v>4301011832</v>
      </c>
      <c r="D345" s="555">
        <v>4607091383997</v>
      </c>
      <c r="E345" s="555"/>
      <c r="F345" s="62">
        <v>2.5</v>
      </c>
      <c r="G345" s="37">
        <v>6</v>
      </c>
      <c r="H345" s="62">
        <v>15</v>
      </c>
      <c r="I345" s="62">
        <v>15.48</v>
      </c>
      <c r="J345" s="37">
        <v>48</v>
      </c>
      <c r="K345" s="37" t="s">
        <v>113</v>
      </c>
      <c r="L345" s="37" t="s">
        <v>45</v>
      </c>
      <c r="M345" s="38" t="s">
        <v>94</v>
      </c>
      <c r="N345" s="38"/>
      <c r="O345" s="37">
        <v>60</v>
      </c>
      <c r="P345" s="63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549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37.5" customHeight="1" x14ac:dyDescent="0.25">
      <c r="A346" s="63" t="s">
        <v>550</v>
      </c>
      <c r="B346" s="63" t="s">
        <v>551</v>
      </c>
      <c r="C346" s="36">
        <v>4301011867</v>
      </c>
      <c r="D346" s="555">
        <v>4680115884830</v>
      </c>
      <c r="E346" s="555"/>
      <c r="F346" s="62">
        <v>2.5</v>
      </c>
      <c r="G346" s="37">
        <v>6</v>
      </c>
      <c r="H346" s="62">
        <v>15</v>
      </c>
      <c r="I346" s="62">
        <v>15.48</v>
      </c>
      <c r="J346" s="37">
        <v>48</v>
      </c>
      <c r="K346" s="37" t="s">
        <v>113</v>
      </c>
      <c r="L346" s="37" t="s">
        <v>45</v>
      </c>
      <c r="M346" s="38" t="s">
        <v>80</v>
      </c>
      <c r="N346" s="38"/>
      <c r="O346" s="37">
        <v>60</v>
      </c>
      <c r="P346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9" t="s">
        <v>45</v>
      </c>
      <c r="V346" s="39" t="s">
        <v>45</v>
      </c>
      <c r="W346" s="40" t="s">
        <v>0</v>
      </c>
      <c r="X346" s="58">
        <v>120</v>
      </c>
      <c r="Y346" s="55">
        <f t="shared" si="31"/>
        <v>120</v>
      </c>
      <c r="Z346" s="41">
        <f>IFERROR(IF(Y346=0,"",ROUNDUP(Y346/H346,0)*0.02175),"")</f>
        <v>0.17399999999999999</v>
      </c>
      <c r="AA346" s="68" t="s">
        <v>45</v>
      </c>
      <c r="AB346" s="69" t="s">
        <v>45</v>
      </c>
      <c r="AC346" s="414" t="s">
        <v>552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123.84</v>
      </c>
      <c r="BN346" s="78">
        <f t="shared" si="33"/>
        <v>123.84</v>
      </c>
      <c r="BO346" s="78">
        <f t="shared" si="34"/>
        <v>0.16666666666666666</v>
      </c>
      <c r="BP346" s="78">
        <f t="shared" si="35"/>
        <v>0.16666666666666666</v>
      </c>
    </row>
    <row r="347" spans="1:68" ht="27" customHeight="1" x14ac:dyDescent="0.25">
      <c r="A347" s="63" t="s">
        <v>553</v>
      </c>
      <c r="B347" s="63" t="s">
        <v>554</v>
      </c>
      <c r="C347" s="36">
        <v>4301011433</v>
      </c>
      <c r="D347" s="555">
        <v>4680115882638</v>
      </c>
      <c r="E347" s="555"/>
      <c r="F347" s="62">
        <v>0.4</v>
      </c>
      <c r="G347" s="37">
        <v>10</v>
      </c>
      <c r="H347" s="62">
        <v>4</v>
      </c>
      <c r="I347" s="62">
        <v>4.21</v>
      </c>
      <c r="J347" s="37">
        <v>132</v>
      </c>
      <c r="K347" s="37" t="s">
        <v>116</v>
      </c>
      <c r="L347" s="37" t="s">
        <v>45</v>
      </c>
      <c r="M347" s="38" t="s">
        <v>112</v>
      </c>
      <c r="N347" s="38"/>
      <c r="O347" s="37">
        <v>90</v>
      </c>
      <c r="P347" s="6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555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556</v>
      </c>
      <c r="B348" s="63" t="s">
        <v>557</v>
      </c>
      <c r="C348" s="36">
        <v>4301011952</v>
      </c>
      <c r="D348" s="555">
        <v>4680115884922</v>
      </c>
      <c r="E348" s="555"/>
      <c r="F348" s="62">
        <v>0.5</v>
      </c>
      <c r="G348" s="37">
        <v>10</v>
      </c>
      <c r="H348" s="62">
        <v>5</v>
      </c>
      <c r="I348" s="62">
        <v>5.21</v>
      </c>
      <c r="J348" s="37">
        <v>132</v>
      </c>
      <c r="K348" s="37" t="s">
        <v>116</v>
      </c>
      <c r="L348" s="37" t="s">
        <v>45</v>
      </c>
      <c r="M348" s="38" t="s">
        <v>80</v>
      </c>
      <c r="N348" s="38"/>
      <c r="O348" s="37">
        <v>60</v>
      </c>
      <c r="P348" s="6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546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558</v>
      </c>
      <c r="B349" s="63" t="s">
        <v>559</v>
      </c>
      <c r="C349" s="36">
        <v>4301011868</v>
      </c>
      <c r="D349" s="555">
        <v>4680115884861</v>
      </c>
      <c r="E349" s="555"/>
      <c r="F349" s="62">
        <v>0.5</v>
      </c>
      <c r="G349" s="37">
        <v>10</v>
      </c>
      <c r="H349" s="62">
        <v>5</v>
      </c>
      <c r="I349" s="62">
        <v>5.21</v>
      </c>
      <c r="J349" s="37">
        <v>132</v>
      </c>
      <c r="K349" s="37" t="s">
        <v>116</v>
      </c>
      <c r="L349" s="37" t="s">
        <v>45</v>
      </c>
      <c r="M349" s="38" t="s">
        <v>80</v>
      </c>
      <c r="N349" s="38"/>
      <c r="O349" s="37">
        <v>60</v>
      </c>
      <c r="P349" s="6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552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562"/>
      <c r="B350" s="562"/>
      <c r="C350" s="562"/>
      <c r="D350" s="562"/>
      <c r="E350" s="562"/>
      <c r="F350" s="562"/>
      <c r="G350" s="562"/>
      <c r="H350" s="562"/>
      <c r="I350" s="562"/>
      <c r="J350" s="562"/>
      <c r="K350" s="562"/>
      <c r="L350" s="562"/>
      <c r="M350" s="562"/>
      <c r="N350" s="562"/>
      <c r="O350" s="563"/>
      <c r="P350" s="559" t="s">
        <v>40</v>
      </c>
      <c r="Q350" s="560"/>
      <c r="R350" s="560"/>
      <c r="S350" s="560"/>
      <c r="T350" s="560"/>
      <c r="U350" s="560"/>
      <c r="V350" s="561"/>
      <c r="W350" s="42" t="s">
        <v>39</v>
      </c>
      <c r="X350" s="43">
        <f>IFERROR(X343/H343,"0")+IFERROR(X344/H344,"0")+IFERROR(X345/H345,"0")+IFERROR(X346/H346,"0")+IFERROR(X347/H347,"0")+IFERROR(X348/H348,"0")+IFERROR(X349/H349,"0")</f>
        <v>16</v>
      </c>
      <c r="Y350" s="43">
        <f>IFERROR(Y343/H343,"0")+IFERROR(Y344/H344,"0")+IFERROR(Y345/H345,"0")+IFERROR(Y346/H346,"0")+IFERROR(Y347/H347,"0")+IFERROR(Y348/H348,"0")+IFERROR(Y349/H349,"0")</f>
        <v>16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0.34799999999999998</v>
      </c>
      <c r="AA350" s="67"/>
      <c r="AB350" s="67"/>
      <c r="AC350" s="67"/>
    </row>
    <row r="351" spans="1:68" x14ac:dyDescent="0.2">
      <c r="A351" s="562"/>
      <c r="B351" s="562"/>
      <c r="C351" s="562"/>
      <c r="D351" s="562"/>
      <c r="E351" s="562"/>
      <c r="F351" s="562"/>
      <c r="G351" s="562"/>
      <c r="H351" s="562"/>
      <c r="I351" s="562"/>
      <c r="J351" s="562"/>
      <c r="K351" s="562"/>
      <c r="L351" s="562"/>
      <c r="M351" s="562"/>
      <c r="N351" s="562"/>
      <c r="O351" s="563"/>
      <c r="P351" s="559" t="s">
        <v>40</v>
      </c>
      <c r="Q351" s="560"/>
      <c r="R351" s="560"/>
      <c r="S351" s="560"/>
      <c r="T351" s="560"/>
      <c r="U351" s="560"/>
      <c r="V351" s="561"/>
      <c r="W351" s="42" t="s">
        <v>0</v>
      </c>
      <c r="X351" s="43">
        <f>IFERROR(SUM(X343:X349),"0")</f>
        <v>240</v>
      </c>
      <c r="Y351" s="43">
        <f>IFERROR(SUM(Y343:Y349),"0")</f>
        <v>240</v>
      </c>
      <c r="Z351" s="42"/>
      <c r="AA351" s="67"/>
      <c r="AB351" s="67"/>
      <c r="AC351" s="67"/>
    </row>
    <row r="352" spans="1:68" ht="14.25" customHeight="1" x14ac:dyDescent="0.25">
      <c r="A352" s="554" t="s">
        <v>141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66"/>
      <c r="AB352" s="66"/>
      <c r="AC352" s="80"/>
    </row>
    <row r="353" spans="1:68" ht="27" customHeight="1" x14ac:dyDescent="0.25">
      <c r="A353" s="63" t="s">
        <v>560</v>
      </c>
      <c r="B353" s="63" t="s">
        <v>561</v>
      </c>
      <c r="C353" s="36">
        <v>4301020178</v>
      </c>
      <c r="D353" s="555">
        <v>4607091383980</v>
      </c>
      <c r="E353" s="555"/>
      <c r="F353" s="62">
        <v>2.5</v>
      </c>
      <c r="G353" s="37">
        <v>6</v>
      </c>
      <c r="H353" s="62">
        <v>15</v>
      </c>
      <c r="I353" s="62">
        <v>15.48</v>
      </c>
      <c r="J353" s="37">
        <v>48</v>
      </c>
      <c r="K353" s="37" t="s">
        <v>113</v>
      </c>
      <c r="L353" s="37" t="s">
        <v>45</v>
      </c>
      <c r="M353" s="38" t="s">
        <v>112</v>
      </c>
      <c r="N353" s="38"/>
      <c r="O353" s="37">
        <v>50</v>
      </c>
      <c r="P353" s="6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9" t="s">
        <v>45</v>
      </c>
      <c r="V353" s="39" t="s">
        <v>45</v>
      </c>
      <c r="W353" s="40" t="s">
        <v>0</v>
      </c>
      <c r="X353" s="58">
        <v>120</v>
      </c>
      <c r="Y353" s="55">
        <f>IFERROR(IF(X353="",0,CEILING((X353/$H353),1)*$H353),"")</f>
        <v>120</v>
      </c>
      <c r="Z353" s="41">
        <f>IFERROR(IF(Y353=0,"",ROUNDUP(Y353/H353,0)*0.02175),"")</f>
        <v>0.17399999999999999</v>
      </c>
      <c r="AA353" s="68" t="s">
        <v>45</v>
      </c>
      <c r="AB353" s="69" t="s">
        <v>45</v>
      </c>
      <c r="AC353" s="422" t="s">
        <v>562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123.84</v>
      </c>
      <c r="BN353" s="78">
        <f>IFERROR(Y353*I353/H353,"0")</f>
        <v>123.84</v>
      </c>
      <c r="BO353" s="78">
        <f>IFERROR(1/J353*(X353/H353),"0")</f>
        <v>0.16666666666666666</v>
      </c>
      <c r="BP353" s="78">
        <f>IFERROR(1/J353*(Y353/H353),"0")</f>
        <v>0.16666666666666666</v>
      </c>
    </row>
    <row r="354" spans="1:68" ht="16.5" customHeight="1" x14ac:dyDescent="0.25">
      <c r="A354" s="63" t="s">
        <v>563</v>
      </c>
      <c r="B354" s="63" t="s">
        <v>564</v>
      </c>
      <c r="C354" s="36">
        <v>4301020179</v>
      </c>
      <c r="D354" s="555">
        <v>4607091384178</v>
      </c>
      <c r="E354" s="555"/>
      <c r="F354" s="62">
        <v>0.4</v>
      </c>
      <c r="G354" s="37">
        <v>10</v>
      </c>
      <c r="H354" s="62">
        <v>4</v>
      </c>
      <c r="I354" s="62">
        <v>4.21</v>
      </c>
      <c r="J354" s="37">
        <v>132</v>
      </c>
      <c r="K354" s="37" t="s">
        <v>116</v>
      </c>
      <c r="L354" s="37" t="s">
        <v>45</v>
      </c>
      <c r="M354" s="38" t="s">
        <v>112</v>
      </c>
      <c r="N354" s="38"/>
      <c r="O354" s="37">
        <v>50</v>
      </c>
      <c r="P354" s="6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562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562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63"/>
      <c r="P355" s="559" t="s">
        <v>40</v>
      </c>
      <c r="Q355" s="560"/>
      <c r="R355" s="560"/>
      <c r="S355" s="560"/>
      <c r="T355" s="560"/>
      <c r="U355" s="560"/>
      <c r="V355" s="561"/>
      <c r="W355" s="42" t="s">
        <v>39</v>
      </c>
      <c r="X355" s="43">
        <f>IFERROR(X353/H353,"0")+IFERROR(X354/H354,"0")</f>
        <v>8</v>
      </c>
      <c r="Y355" s="43">
        <f>IFERROR(Y353/H353,"0")+IFERROR(Y354/H354,"0")</f>
        <v>8</v>
      </c>
      <c r="Z355" s="43">
        <f>IFERROR(IF(Z353="",0,Z353),"0")+IFERROR(IF(Z354="",0,Z354),"0")</f>
        <v>0.17399999999999999</v>
      </c>
      <c r="AA355" s="67"/>
      <c r="AB355" s="67"/>
      <c r="AC355" s="67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59" t="s">
        <v>40</v>
      </c>
      <c r="Q356" s="560"/>
      <c r="R356" s="560"/>
      <c r="S356" s="560"/>
      <c r="T356" s="560"/>
      <c r="U356" s="560"/>
      <c r="V356" s="561"/>
      <c r="W356" s="42" t="s">
        <v>0</v>
      </c>
      <c r="X356" s="43">
        <f>IFERROR(SUM(X353:X354),"0")</f>
        <v>120</v>
      </c>
      <c r="Y356" s="43">
        <f>IFERROR(SUM(Y353:Y354),"0")</f>
        <v>120</v>
      </c>
      <c r="Z356" s="42"/>
      <c r="AA356" s="67"/>
      <c r="AB356" s="67"/>
      <c r="AC356" s="67"/>
    </row>
    <row r="357" spans="1:68" ht="14.25" customHeight="1" x14ac:dyDescent="0.25">
      <c r="A357" s="554" t="s">
        <v>82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66"/>
      <c r="AB357" s="66"/>
      <c r="AC357" s="80"/>
    </row>
    <row r="358" spans="1:68" ht="27" customHeight="1" x14ac:dyDescent="0.25">
      <c r="A358" s="63" t="s">
        <v>565</v>
      </c>
      <c r="B358" s="63" t="s">
        <v>566</v>
      </c>
      <c r="C358" s="36">
        <v>4301051903</v>
      </c>
      <c r="D358" s="555">
        <v>4607091383928</v>
      </c>
      <c r="E358" s="555"/>
      <c r="F358" s="62">
        <v>1.5</v>
      </c>
      <c r="G358" s="37">
        <v>6</v>
      </c>
      <c r="H358" s="62">
        <v>9</v>
      </c>
      <c r="I358" s="62">
        <v>9.5250000000000004</v>
      </c>
      <c r="J358" s="37">
        <v>64</v>
      </c>
      <c r="K358" s="37" t="s">
        <v>113</v>
      </c>
      <c r="L358" s="37" t="s">
        <v>45</v>
      </c>
      <c r="M358" s="38" t="s">
        <v>86</v>
      </c>
      <c r="N358" s="38"/>
      <c r="O358" s="37">
        <v>40</v>
      </c>
      <c r="P358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567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568</v>
      </c>
      <c r="B359" s="63" t="s">
        <v>569</v>
      </c>
      <c r="C359" s="36">
        <v>4301051897</v>
      </c>
      <c r="D359" s="555">
        <v>4607091384260</v>
      </c>
      <c r="E359" s="555"/>
      <c r="F359" s="62">
        <v>1.5</v>
      </c>
      <c r="G359" s="37">
        <v>6</v>
      </c>
      <c r="H359" s="62">
        <v>9</v>
      </c>
      <c r="I359" s="62">
        <v>9.5190000000000001</v>
      </c>
      <c r="J359" s="37">
        <v>64</v>
      </c>
      <c r="K359" s="37" t="s">
        <v>113</v>
      </c>
      <c r="L359" s="37" t="s">
        <v>45</v>
      </c>
      <c r="M359" s="38" t="s">
        <v>86</v>
      </c>
      <c r="N359" s="38"/>
      <c r="O359" s="37">
        <v>40</v>
      </c>
      <c r="P359" s="6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570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562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63"/>
      <c r="P360" s="559" t="s">
        <v>40</v>
      </c>
      <c r="Q360" s="560"/>
      <c r="R360" s="560"/>
      <c r="S360" s="560"/>
      <c r="T360" s="560"/>
      <c r="U360" s="560"/>
      <c r="V360" s="561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59" t="s">
        <v>40</v>
      </c>
      <c r="Q361" s="560"/>
      <c r="R361" s="560"/>
      <c r="S361" s="560"/>
      <c r="T361" s="560"/>
      <c r="U361" s="560"/>
      <c r="V361" s="561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554" t="s">
        <v>171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66"/>
      <c r="AB362" s="66"/>
      <c r="AC362" s="80"/>
    </row>
    <row r="363" spans="1:68" ht="16.5" customHeight="1" x14ac:dyDescent="0.25">
      <c r="A363" s="63" t="s">
        <v>571</v>
      </c>
      <c r="B363" s="63" t="s">
        <v>572</v>
      </c>
      <c r="C363" s="36">
        <v>4301060524</v>
      </c>
      <c r="D363" s="555">
        <v>4607091384673</v>
      </c>
      <c r="E363" s="555"/>
      <c r="F363" s="62">
        <v>1.5</v>
      </c>
      <c r="G363" s="37">
        <v>6</v>
      </c>
      <c r="H363" s="62">
        <v>9</v>
      </c>
      <c r="I363" s="62">
        <v>9.5190000000000001</v>
      </c>
      <c r="J363" s="37">
        <v>64</v>
      </c>
      <c r="K363" s="37" t="s">
        <v>113</v>
      </c>
      <c r="L363" s="37" t="s">
        <v>45</v>
      </c>
      <c r="M363" s="38" t="s">
        <v>86</v>
      </c>
      <c r="N363" s="38"/>
      <c r="O363" s="37">
        <v>40</v>
      </c>
      <c r="P363" s="6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573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562"/>
      <c r="B364" s="562"/>
      <c r="C364" s="562"/>
      <c r="D364" s="562"/>
      <c r="E364" s="562"/>
      <c r="F364" s="562"/>
      <c r="G364" s="562"/>
      <c r="H364" s="562"/>
      <c r="I364" s="562"/>
      <c r="J364" s="562"/>
      <c r="K364" s="562"/>
      <c r="L364" s="562"/>
      <c r="M364" s="562"/>
      <c r="N364" s="562"/>
      <c r="O364" s="563"/>
      <c r="P364" s="559" t="s">
        <v>40</v>
      </c>
      <c r="Q364" s="560"/>
      <c r="R364" s="560"/>
      <c r="S364" s="560"/>
      <c r="T364" s="560"/>
      <c r="U364" s="560"/>
      <c r="V364" s="561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562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63"/>
      <c r="P365" s="559" t="s">
        <v>40</v>
      </c>
      <c r="Q365" s="560"/>
      <c r="R365" s="560"/>
      <c r="S365" s="560"/>
      <c r="T365" s="560"/>
      <c r="U365" s="560"/>
      <c r="V365" s="561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570" t="s">
        <v>574</v>
      </c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0"/>
      <c r="P366" s="570"/>
      <c r="Q366" s="570"/>
      <c r="R366" s="570"/>
      <c r="S366" s="570"/>
      <c r="T366" s="570"/>
      <c r="U366" s="570"/>
      <c r="V366" s="570"/>
      <c r="W366" s="570"/>
      <c r="X366" s="570"/>
      <c r="Y366" s="570"/>
      <c r="Z366" s="570"/>
      <c r="AA366" s="65"/>
      <c r="AB366" s="65"/>
      <c r="AC366" s="79"/>
    </row>
    <row r="367" spans="1:68" ht="14.25" customHeight="1" x14ac:dyDescent="0.25">
      <c r="A367" s="554" t="s">
        <v>108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66"/>
      <c r="AB367" s="66"/>
      <c r="AC367" s="80"/>
    </row>
    <row r="368" spans="1:68" ht="37.5" customHeight="1" x14ac:dyDescent="0.25">
      <c r="A368" s="63" t="s">
        <v>575</v>
      </c>
      <c r="B368" s="63" t="s">
        <v>576</v>
      </c>
      <c r="C368" s="36">
        <v>4301011875</v>
      </c>
      <c r="D368" s="555">
        <v>4680115884885</v>
      </c>
      <c r="E368" s="555"/>
      <c r="F368" s="62">
        <v>0.8</v>
      </c>
      <c r="G368" s="37">
        <v>15</v>
      </c>
      <c r="H368" s="62">
        <v>12</v>
      </c>
      <c r="I368" s="62">
        <v>12.435</v>
      </c>
      <c r="J368" s="37">
        <v>64</v>
      </c>
      <c r="K368" s="37" t="s">
        <v>113</v>
      </c>
      <c r="L368" s="37" t="s">
        <v>45</v>
      </c>
      <c r="M368" s="38" t="s">
        <v>80</v>
      </c>
      <c r="N368" s="38"/>
      <c r="O368" s="37">
        <v>60</v>
      </c>
      <c r="P368" s="6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577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578</v>
      </c>
      <c r="B369" s="63" t="s">
        <v>579</v>
      </c>
      <c r="C369" s="36">
        <v>4301011871</v>
      </c>
      <c r="D369" s="555">
        <v>4680115884908</v>
      </c>
      <c r="E369" s="555"/>
      <c r="F369" s="62">
        <v>0.4</v>
      </c>
      <c r="G369" s="37">
        <v>10</v>
      </c>
      <c r="H369" s="62">
        <v>4</v>
      </c>
      <c r="I369" s="62">
        <v>4.21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60</v>
      </c>
      <c r="P369" s="62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577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59" t="s">
        <v>40</v>
      </c>
      <c r="Q370" s="560"/>
      <c r="R370" s="560"/>
      <c r="S370" s="560"/>
      <c r="T370" s="560"/>
      <c r="U370" s="560"/>
      <c r="V370" s="561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554" t="s">
        <v>76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66"/>
      <c r="AB372" s="66"/>
      <c r="AC372" s="80"/>
    </row>
    <row r="373" spans="1:68" ht="27" customHeight="1" x14ac:dyDescent="0.25">
      <c r="A373" s="63" t="s">
        <v>580</v>
      </c>
      <c r="B373" s="63" t="s">
        <v>581</v>
      </c>
      <c r="C373" s="36">
        <v>4301031303</v>
      </c>
      <c r="D373" s="555">
        <v>4607091384802</v>
      </c>
      <c r="E373" s="555"/>
      <c r="F373" s="62">
        <v>0.73</v>
      </c>
      <c r="G373" s="37">
        <v>6</v>
      </c>
      <c r="H373" s="62">
        <v>4.38</v>
      </c>
      <c r="I373" s="62">
        <v>4.6500000000000004</v>
      </c>
      <c r="J373" s="37">
        <v>132</v>
      </c>
      <c r="K373" s="37" t="s">
        <v>116</v>
      </c>
      <c r="L373" s="37" t="s">
        <v>45</v>
      </c>
      <c r="M373" s="38" t="s">
        <v>80</v>
      </c>
      <c r="N373" s="38"/>
      <c r="O373" s="37">
        <v>35</v>
      </c>
      <c r="P373" s="62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582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580</v>
      </c>
      <c r="B374" s="63" t="s">
        <v>583</v>
      </c>
      <c r="C374" s="36">
        <v>4301031457</v>
      </c>
      <c r="D374" s="555">
        <v>4607091384802</v>
      </c>
      <c r="E374" s="555"/>
      <c r="F374" s="62">
        <v>0.7</v>
      </c>
      <c r="G374" s="37">
        <v>6</v>
      </c>
      <c r="H374" s="62">
        <v>4.2</v>
      </c>
      <c r="I374" s="62">
        <v>4.47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50</v>
      </c>
      <c r="P374" s="6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584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562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63"/>
      <c r="P375" s="559" t="s">
        <v>40</v>
      </c>
      <c r="Q375" s="560"/>
      <c r="R375" s="560"/>
      <c r="S375" s="560"/>
      <c r="T375" s="560"/>
      <c r="U375" s="560"/>
      <c r="V375" s="561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59" t="s">
        <v>40</v>
      </c>
      <c r="Q376" s="560"/>
      <c r="R376" s="560"/>
      <c r="S376" s="560"/>
      <c r="T376" s="560"/>
      <c r="U376" s="560"/>
      <c r="V376" s="561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554" t="s">
        <v>82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66"/>
      <c r="AB377" s="66"/>
      <c r="AC377" s="80"/>
    </row>
    <row r="378" spans="1:68" ht="27" customHeight="1" x14ac:dyDescent="0.25">
      <c r="A378" s="63" t="s">
        <v>585</v>
      </c>
      <c r="B378" s="63" t="s">
        <v>586</v>
      </c>
      <c r="C378" s="36">
        <v>4301051899</v>
      </c>
      <c r="D378" s="555">
        <v>4607091384246</v>
      </c>
      <c r="E378" s="555"/>
      <c r="F378" s="62">
        <v>1.5</v>
      </c>
      <c r="G378" s="37">
        <v>6</v>
      </c>
      <c r="H378" s="62">
        <v>9</v>
      </c>
      <c r="I378" s="62">
        <v>9.5190000000000001</v>
      </c>
      <c r="J378" s="37">
        <v>64</v>
      </c>
      <c r="K378" s="37" t="s">
        <v>113</v>
      </c>
      <c r="L378" s="37" t="s">
        <v>45</v>
      </c>
      <c r="M378" s="38" t="s">
        <v>86</v>
      </c>
      <c r="N378" s="38"/>
      <c r="O378" s="37">
        <v>40</v>
      </c>
      <c r="P378" s="6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9" t="s">
        <v>45</v>
      </c>
      <c r="V378" s="39" t="s">
        <v>45</v>
      </c>
      <c r="W378" s="40" t="s">
        <v>0</v>
      </c>
      <c r="X378" s="58">
        <v>72</v>
      </c>
      <c r="Y378" s="55">
        <f>IFERROR(IF(X378="",0,CEILING((X378/$H378),1)*$H378),"")</f>
        <v>72</v>
      </c>
      <c r="Z378" s="41">
        <f>IFERROR(IF(Y378=0,"",ROUNDUP(Y378/H378,0)*0.01898),"")</f>
        <v>0.15184</v>
      </c>
      <c r="AA378" s="68" t="s">
        <v>45</v>
      </c>
      <c r="AB378" s="69" t="s">
        <v>45</v>
      </c>
      <c r="AC378" s="440" t="s">
        <v>587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76.152000000000001</v>
      </c>
      <c r="BN378" s="78">
        <f>IFERROR(Y378*I378/H378,"0")</f>
        <v>76.152000000000001</v>
      </c>
      <c r="BO378" s="78">
        <f>IFERROR(1/J378*(X378/H378),"0")</f>
        <v>0.125</v>
      </c>
      <c r="BP378" s="78">
        <f>IFERROR(1/J378*(Y378/H378),"0")</f>
        <v>0.125</v>
      </c>
    </row>
    <row r="379" spans="1:68" ht="27" customHeight="1" x14ac:dyDescent="0.25">
      <c r="A379" s="63" t="s">
        <v>588</v>
      </c>
      <c r="B379" s="63" t="s">
        <v>589</v>
      </c>
      <c r="C379" s="36">
        <v>4301051660</v>
      </c>
      <c r="D379" s="555">
        <v>4607091384253</v>
      </c>
      <c r="E379" s="555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87</v>
      </c>
      <c r="L379" s="37" t="s">
        <v>45</v>
      </c>
      <c r="M379" s="38" t="s">
        <v>86</v>
      </c>
      <c r="N379" s="38"/>
      <c r="O379" s="37">
        <v>40</v>
      </c>
      <c r="P379" s="62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9" t="s">
        <v>45</v>
      </c>
      <c r="V379" s="39" t="s">
        <v>45</v>
      </c>
      <c r="W379" s="40" t="s">
        <v>0</v>
      </c>
      <c r="X379" s="58">
        <v>67.2</v>
      </c>
      <c r="Y379" s="55">
        <f>IFERROR(IF(X379="",0,CEILING((X379/$H379),1)*$H379),"")</f>
        <v>67.2</v>
      </c>
      <c r="Z379" s="41">
        <f>IFERROR(IF(Y379=0,"",ROUNDUP(Y379/H379,0)*0.00651),"")</f>
        <v>0.18228</v>
      </c>
      <c r="AA379" s="68" t="s">
        <v>45</v>
      </c>
      <c r="AB379" s="69" t="s">
        <v>45</v>
      </c>
      <c r="AC379" s="442" t="s">
        <v>587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74.592000000000013</v>
      </c>
      <c r="BN379" s="78">
        <f>IFERROR(Y379*I379/H379,"0")</f>
        <v>74.592000000000013</v>
      </c>
      <c r="BO379" s="78">
        <f>IFERROR(1/J379*(X379/H379),"0")</f>
        <v>0.15384615384615388</v>
      </c>
      <c r="BP379" s="78">
        <f>IFERROR(1/J379*(Y379/H379),"0")</f>
        <v>0.15384615384615388</v>
      </c>
    </row>
    <row r="380" spans="1:68" x14ac:dyDescent="0.2">
      <c r="A380" s="562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63"/>
      <c r="P380" s="559" t="s">
        <v>40</v>
      </c>
      <c r="Q380" s="560"/>
      <c r="R380" s="560"/>
      <c r="S380" s="560"/>
      <c r="T380" s="560"/>
      <c r="U380" s="560"/>
      <c r="V380" s="561"/>
      <c r="W380" s="42" t="s">
        <v>39</v>
      </c>
      <c r="X380" s="43">
        <f>IFERROR(X378/H378,"0")+IFERROR(X379/H379,"0")</f>
        <v>36</v>
      </c>
      <c r="Y380" s="43">
        <f>IFERROR(Y378/H378,"0")+IFERROR(Y379/H379,"0")</f>
        <v>36</v>
      </c>
      <c r="Z380" s="43">
        <f>IFERROR(IF(Z378="",0,Z378),"0")+IFERROR(IF(Z379="",0,Z379),"0")</f>
        <v>0.33411999999999997</v>
      </c>
      <c r="AA380" s="67"/>
      <c r="AB380" s="67"/>
      <c r="AC380" s="67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2" t="s">
        <v>0</v>
      </c>
      <c r="X381" s="43">
        <f>IFERROR(SUM(X378:X379),"0")</f>
        <v>139.19999999999999</v>
      </c>
      <c r="Y381" s="43">
        <f>IFERROR(SUM(Y378:Y379),"0")</f>
        <v>139.19999999999999</v>
      </c>
      <c r="Z381" s="42"/>
      <c r="AA381" s="67"/>
      <c r="AB381" s="67"/>
      <c r="AC381" s="67"/>
    </row>
    <row r="382" spans="1:68" ht="27.75" customHeight="1" x14ac:dyDescent="0.2">
      <c r="A382" s="579" t="s">
        <v>590</v>
      </c>
      <c r="B382" s="579"/>
      <c r="C382" s="579"/>
      <c r="D382" s="579"/>
      <c r="E382" s="579"/>
      <c r="F382" s="579"/>
      <c r="G382" s="579"/>
      <c r="H382" s="579"/>
      <c r="I382" s="579"/>
      <c r="J382" s="579"/>
      <c r="K382" s="579"/>
      <c r="L382" s="579"/>
      <c r="M382" s="579"/>
      <c r="N382" s="579"/>
      <c r="O382" s="579"/>
      <c r="P382" s="579"/>
      <c r="Q382" s="579"/>
      <c r="R382" s="579"/>
      <c r="S382" s="579"/>
      <c r="T382" s="579"/>
      <c r="U382" s="579"/>
      <c r="V382" s="579"/>
      <c r="W382" s="579"/>
      <c r="X382" s="579"/>
      <c r="Y382" s="579"/>
      <c r="Z382" s="579"/>
      <c r="AA382" s="54"/>
      <c r="AB382" s="54"/>
      <c r="AC382" s="54"/>
    </row>
    <row r="383" spans="1:68" ht="16.5" customHeight="1" x14ac:dyDescent="0.25">
      <c r="A383" s="570" t="s">
        <v>591</v>
      </c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0"/>
      <c r="P383" s="570"/>
      <c r="Q383" s="570"/>
      <c r="R383" s="570"/>
      <c r="S383" s="570"/>
      <c r="T383" s="570"/>
      <c r="U383" s="570"/>
      <c r="V383" s="570"/>
      <c r="W383" s="570"/>
      <c r="X383" s="570"/>
      <c r="Y383" s="570"/>
      <c r="Z383" s="570"/>
      <c r="AA383" s="65"/>
      <c r="AB383" s="65"/>
      <c r="AC383" s="79"/>
    </row>
    <row r="384" spans="1:68" ht="14.25" customHeight="1" x14ac:dyDescent="0.25">
      <c r="A384" s="554" t="s">
        <v>76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66"/>
      <c r="AB384" s="66"/>
      <c r="AC384" s="80"/>
    </row>
    <row r="385" spans="1:68" ht="27" customHeight="1" x14ac:dyDescent="0.25">
      <c r="A385" s="63" t="s">
        <v>592</v>
      </c>
      <c r="B385" s="63" t="s">
        <v>593</v>
      </c>
      <c r="C385" s="36">
        <v>4301031405</v>
      </c>
      <c r="D385" s="555">
        <v>4680115886100</v>
      </c>
      <c r="E385" s="555"/>
      <c r="F385" s="62">
        <v>0.9</v>
      </c>
      <c r="G385" s="37">
        <v>6</v>
      </c>
      <c r="H385" s="62">
        <v>5.4</v>
      </c>
      <c r="I385" s="62">
        <v>5.61</v>
      </c>
      <c r="J385" s="37">
        <v>132</v>
      </c>
      <c r="K385" s="37" t="s">
        <v>116</v>
      </c>
      <c r="L385" s="37" t="s">
        <v>45</v>
      </c>
      <c r="M385" s="38" t="s">
        <v>80</v>
      </c>
      <c r="N385" s="38"/>
      <c r="O385" s="37">
        <v>50</v>
      </c>
      <c r="P385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594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595</v>
      </c>
      <c r="B386" s="63" t="s">
        <v>596</v>
      </c>
      <c r="C386" s="36">
        <v>4301031406</v>
      </c>
      <c r="D386" s="555">
        <v>4680115886117</v>
      </c>
      <c r="E386" s="555"/>
      <c r="F386" s="62">
        <v>0.9</v>
      </c>
      <c r="G386" s="37">
        <v>6</v>
      </c>
      <c r="H386" s="62">
        <v>5.4</v>
      </c>
      <c r="I386" s="62">
        <v>5.61</v>
      </c>
      <c r="J386" s="37">
        <v>132</v>
      </c>
      <c r="K386" s="37" t="s">
        <v>116</v>
      </c>
      <c r="L386" s="37" t="s">
        <v>45</v>
      </c>
      <c r="M386" s="38" t="s">
        <v>80</v>
      </c>
      <c r="N386" s="38"/>
      <c r="O386" s="37">
        <v>50</v>
      </c>
      <c r="P386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597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598</v>
      </c>
      <c r="B387" s="63" t="s">
        <v>599</v>
      </c>
      <c r="C387" s="36">
        <v>4301031402</v>
      </c>
      <c r="D387" s="555">
        <v>4680115886124</v>
      </c>
      <c r="E387" s="555"/>
      <c r="F387" s="62">
        <v>0.9</v>
      </c>
      <c r="G387" s="37">
        <v>6</v>
      </c>
      <c r="H387" s="62">
        <v>5.4</v>
      </c>
      <c r="I387" s="62">
        <v>5.61</v>
      </c>
      <c r="J387" s="37">
        <v>132</v>
      </c>
      <c r="K387" s="37" t="s">
        <v>116</v>
      </c>
      <c r="L387" s="37" t="s">
        <v>45</v>
      </c>
      <c r="M387" s="38" t="s">
        <v>80</v>
      </c>
      <c r="N387" s="38"/>
      <c r="O387" s="37">
        <v>50</v>
      </c>
      <c r="P387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601</v>
      </c>
      <c r="B388" s="63" t="s">
        <v>602</v>
      </c>
      <c r="C388" s="36">
        <v>4301031366</v>
      </c>
      <c r="D388" s="555">
        <v>4680115883147</v>
      </c>
      <c r="E388" s="555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81</v>
      </c>
      <c r="L388" s="37" t="s">
        <v>45</v>
      </c>
      <c r="M388" s="38" t="s">
        <v>80</v>
      </c>
      <c r="N388" s="38"/>
      <c r="O388" s="37">
        <v>50</v>
      </c>
      <c r="P388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594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603</v>
      </c>
      <c r="B389" s="63" t="s">
        <v>604</v>
      </c>
      <c r="C389" s="36">
        <v>4301031362</v>
      </c>
      <c r="D389" s="555">
        <v>4607091384338</v>
      </c>
      <c r="E389" s="555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81</v>
      </c>
      <c r="L389" s="37" t="s">
        <v>45</v>
      </c>
      <c r="M389" s="38" t="s">
        <v>80</v>
      </c>
      <c r="N389" s="38"/>
      <c r="O389" s="37">
        <v>50</v>
      </c>
      <c r="P389" s="6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594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605</v>
      </c>
      <c r="B390" s="63" t="s">
        <v>606</v>
      </c>
      <c r="C390" s="36">
        <v>4301031361</v>
      </c>
      <c r="D390" s="555">
        <v>4607091389524</v>
      </c>
      <c r="E390" s="555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81</v>
      </c>
      <c r="L390" s="37" t="s">
        <v>45</v>
      </c>
      <c r="M390" s="38" t="s">
        <v>80</v>
      </c>
      <c r="N390" s="38"/>
      <c r="O390" s="37">
        <v>50</v>
      </c>
      <c r="P390" s="6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607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608</v>
      </c>
      <c r="B391" s="63" t="s">
        <v>609</v>
      </c>
      <c r="C391" s="36">
        <v>4301031364</v>
      </c>
      <c r="D391" s="555">
        <v>4680115883161</v>
      </c>
      <c r="E391" s="555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81</v>
      </c>
      <c r="L391" s="37" t="s">
        <v>45</v>
      </c>
      <c r="M391" s="38" t="s">
        <v>80</v>
      </c>
      <c r="N391" s="38"/>
      <c r="O391" s="37">
        <v>50</v>
      </c>
      <c r="P391" s="6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610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611</v>
      </c>
      <c r="B392" s="63" t="s">
        <v>612</v>
      </c>
      <c r="C392" s="36">
        <v>4301031358</v>
      </c>
      <c r="D392" s="555">
        <v>4607091389531</v>
      </c>
      <c r="E392" s="555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6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614</v>
      </c>
      <c r="B393" s="63" t="s">
        <v>615</v>
      </c>
      <c r="C393" s="36">
        <v>4301031360</v>
      </c>
      <c r="D393" s="555">
        <v>4607091384345</v>
      </c>
      <c r="E393" s="55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6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562"/>
      <c r="B394" s="562"/>
      <c r="C394" s="562"/>
      <c r="D394" s="562"/>
      <c r="E394" s="562"/>
      <c r="F394" s="562"/>
      <c r="G394" s="562"/>
      <c r="H394" s="562"/>
      <c r="I394" s="562"/>
      <c r="J394" s="562"/>
      <c r="K394" s="562"/>
      <c r="L394" s="562"/>
      <c r="M394" s="562"/>
      <c r="N394" s="562"/>
      <c r="O394" s="563"/>
      <c r="P394" s="559" t="s">
        <v>40</v>
      </c>
      <c r="Q394" s="560"/>
      <c r="R394" s="560"/>
      <c r="S394" s="560"/>
      <c r="T394" s="560"/>
      <c r="U394" s="560"/>
      <c r="V394" s="561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562"/>
      <c r="B395" s="562"/>
      <c r="C395" s="562"/>
      <c r="D395" s="562"/>
      <c r="E395" s="562"/>
      <c r="F395" s="562"/>
      <c r="G395" s="562"/>
      <c r="H395" s="562"/>
      <c r="I395" s="562"/>
      <c r="J395" s="562"/>
      <c r="K395" s="562"/>
      <c r="L395" s="562"/>
      <c r="M395" s="562"/>
      <c r="N395" s="562"/>
      <c r="O395" s="563"/>
      <c r="P395" s="559" t="s">
        <v>40</v>
      </c>
      <c r="Q395" s="560"/>
      <c r="R395" s="560"/>
      <c r="S395" s="560"/>
      <c r="T395" s="560"/>
      <c r="U395" s="560"/>
      <c r="V395" s="561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554" t="s">
        <v>82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66"/>
      <c r="AB396" s="66"/>
      <c r="AC396" s="80"/>
    </row>
    <row r="397" spans="1:68" ht="27" customHeight="1" x14ac:dyDescent="0.25">
      <c r="A397" s="63" t="s">
        <v>616</v>
      </c>
      <c r="B397" s="63" t="s">
        <v>617</v>
      </c>
      <c r="C397" s="36">
        <v>4301051284</v>
      </c>
      <c r="D397" s="555">
        <v>4607091384352</v>
      </c>
      <c r="E397" s="555"/>
      <c r="F397" s="62">
        <v>0.6</v>
      </c>
      <c r="G397" s="37">
        <v>4</v>
      </c>
      <c r="H397" s="62">
        <v>2.4</v>
      </c>
      <c r="I397" s="62">
        <v>2.6459999999999999</v>
      </c>
      <c r="J397" s="37">
        <v>132</v>
      </c>
      <c r="K397" s="37" t="s">
        <v>116</v>
      </c>
      <c r="L397" s="37" t="s">
        <v>45</v>
      </c>
      <c r="M397" s="38" t="s">
        <v>86</v>
      </c>
      <c r="N397" s="38"/>
      <c r="O397" s="37">
        <v>45</v>
      </c>
      <c r="P397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618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619</v>
      </c>
      <c r="B398" s="63" t="s">
        <v>620</v>
      </c>
      <c r="C398" s="36">
        <v>4301051431</v>
      </c>
      <c r="D398" s="555">
        <v>4607091389654</v>
      </c>
      <c r="E398" s="555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87</v>
      </c>
      <c r="L398" s="37" t="s">
        <v>45</v>
      </c>
      <c r="M398" s="38" t="s">
        <v>86</v>
      </c>
      <c r="N398" s="38"/>
      <c r="O398" s="37">
        <v>45</v>
      </c>
      <c r="P398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621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562"/>
      <c r="B399" s="562"/>
      <c r="C399" s="562"/>
      <c r="D399" s="562"/>
      <c r="E399" s="562"/>
      <c r="F399" s="562"/>
      <c r="G399" s="562"/>
      <c r="H399" s="562"/>
      <c r="I399" s="562"/>
      <c r="J399" s="562"/>
      <c r="K399" s="562"/>
      <c r="L399" s="562"/>
      <c r="M399" s="562"/>
      <c r="N399" s="562"/>
      <c r="O399" s="563"/>
      <c r="P399" s="559" t="s">
        <v>40</v>
      </c>
      <c r="Q399" s="560"/>
      <c r="R399" s="560"/>
      <c r="S399" s="560"/>
      <c r="T399" s="560"/>
      <c r="U399" s="560"/>
      <c r="V399" s="561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562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63"/>
      <c r="P400" s="559" t="s">
        <v>40</v>
      </c>
      <c r="Q400" s="560"/>
      <c r="R400" s="560"/>
      <c r="S400" s="560"/>
      <c r="T400" s="560"/>
      <c r="U400" s="560"/>
      <c r="V400" s="561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570" t="s">
        <v>622</v>
      </c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0"/>
      <c r="P401" s="570"/>
      <c r="Q401" s="570"/>
      <c r="R401" s="570"/>
      <c r="S401" s="570"/>
      <c r="T401" s="570"/>
      <c r="U401" s="570"/>
      <c r="V401" s="570"/>
      <c r="W401" s="570"/>
      <c r="X401" s="570"/>
      <c r="Y401" s="570"/>
      <c r="Z401" s="570"/>
      <c r="AA401" s="65"/>
      <c r="AB401" s="65"/>
      <c r="AC401" s="79"/>
    </row>
    <row r="402" spans="1:68" ht="14.25" customHeight="1" x14ac:dyDescent="0.25">
      <c r="A402" s="554" t="s">
        <v>141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66"/>
      <c r="AB402" s="66"/>
      <c r="AC402" s="80"/>
    </row>
    <row r="403" spans="1:68" ht="27" customHeight="1" x14ac:dyDescent="0.25">
      <c r="A403" s="63" t="s">
        <v>623</v>
      </c>
      <c r="B403" s="63" t="s">
        <v>624</v>
      </c>
      <c r="C403" s="36">
        <v>4301020319</v>
      </c>
      <c r="D403" s="555">
        <v>4680115885240</v>
      </c>
      <c r="E403" s="555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87</v>
      </c>
      <c r="L403" s="37" t="s">
        <v>45</v>
      </c>
      <c r="M403" s="38" t="s">
        <v>80</v>
      </c>
      <c r="N403" s="38"/>
      <c r="O403" s="37">
        <v>40</v>
      </c>
      <c r="P403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625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562"/>
      <c r="B404" s="562"/>
      <c r="C404" s="562"/>
      <c r="D404" s="562"/>
      <c r="E404" s="562"/>
      <c r="F404" s="562"/>
      <c r="G404" s="562"/>
      <c r="H404" s="562"/>
      <c r="I404" s="562"/>
      <c r="J404" s="562"/>
      <c r="K404" s="562"/>
      <c r="L404" s="562"/>
      <c r="M404" s="562"/>
      <c r="N404" s="562"/>
      <c r="O404" s="563"/>
      <c r="P404" s="559" t="s">
        <v>40</v>
      </c>
      <c r="Q404" s="560"/>
      <c r="R404" s="560"/>
      <c r="S404" s="560"/>
      <c r="T404" s="560"/>
      <c r="U404" s="560"/>
      <c r="V404" s="561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562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63"/>
      <c r="P405" s="559" t="s">
        <v>40</v>
      </c>
      <c r="Q405" s="560"/>
      <c r="R405" s="560"/>
      <c r="S405" s="560"/>
      <c r="T405" s="560"/>
      <c r="U405" s="560"/>
      <c r="V405" s="561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554" t="s">
        <v>76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66"/>
      <c r="AB406" s="66"/>
      <c r="AC406" s="80"/>
    </row>
    <row r="407" spans="1:68" ht="27" customHeight="1" x14ac:dyDescent="0.25">
      <c r="A407" s="63" t="s">
        <v>626</v>
      </c>
      <c r="B407" s="63" t="s">
        <v>627</v>
      </c>
      <c r="C407" s="36">
        <v>4301031403</v>
      </c>
      <c r="D407" s="555">
        <v>4680115886094</v>
      </c>
      <c r="E407" s="555"/>
      <c r="F407" s="62">
        <v>0.9</v>
      </c>
      <c r="G407" s="37">
        <v>6</v>
      </c>
      <c r="H407" s="62">
        <v>5.4</v>
      </c>
      <c r="I407" s="62">
        <v>5.61</v>
      </c>
      <c r="J407" s="37">
        <v>132</v>
      </c>
      <c r="K407" s="37" t="s">
        <v>116</v>
      </c>
      <c r="L407" s="37" t="s">
        <v>45</v>
      </c>
      <c r="M407" s="38" t="s">
        <v>112</v>
      </c>
      <c r="N407" s="38"/>
      <c r="O407" s="37">
        <v>50</v>
      </c>
      <c r="P407" s="6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628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629</v>
      </c>
      <c r="B408" s="63" t="s">
        <v>630</v>
      </c>
      <c r="C408" s="36">
        <v>4301031363</v>
      </c>
      <c r="D408" s="555">
        <v>4607091389425</v>
      </c>
      <c r="E408" s="555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81</v>
      </c>
      <c r="L408" s="37" t="s">
        <v>45</v>
      </c>
      <c r="M408" s="38" t="s">
        <v>80</v>
      </c>
      <c r="N408" s="38"/>
      <c r="O408" s="37">
        <v>50</v>
      </c>
      <c r="P408" s="6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631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632</v>
      </c>
      <c r="B409" s="63" t="s">
        <v>633</v>
      </c>
      <c r="C409" s="36">
        <v>4301031373</v>
      </c>
      <c r="D409" s="555">
        <v>4680115880771</v>
      </c>
      <c r="E409" s="555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81</v>
      </c>
      <c r="L409" s="37" t="s">
        <v>45</v>
      </c>
      <c r="M409" s="38" t="s">
        <v>80</v>
      </c>
      <c r="N409" s="38"/>
      <c r="O409" s="37">
        <v>50</v>
      </c>
      <c r="P409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634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635</v>
      </c>
      <c r="B410" s="63" t="s">
        <v>636</v>
      </c>
      <c r="C410" s="36">
        <v>4301031359</v>
      </c>
      <c r="D410" s="555">
        <v>4607091389500</v>
      </c>
      <c r="E410" s="555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81</v>
      </c>
      <c r="L410" s="37" t="s">
        <v>45</v>
      </c>
      <c r="M410" s="38" t="s">
        <v>80</v>
      </c>
      <c r="N410" s="38"/>
      <c r="O410" s="37">
        <v>50</v>
      </c>
      <c r="P410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634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570" t="s">
        <v>637</v>
      </c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0"/>
      <c r="P413" s="570"/>
      <c r="Q413" s="570"/>
      <c r="R413" s="570"/>
      <c r="S413" s="570"/>
      <c r="T413" s="570"/>
      <c r="U413" s="570"/>
      <c r="V413" s="570"/>
      <c r="W413" s="570"/>
      <c r="X413" s="570"/>
      <c r="Y413" s="570"/>
      <c r="Z413" s="570"/>
      <c r="AA413" s="65"/>
      <c r="AB413" s="65"/>
      <c r="AC413" s="79"/>
    </row>
    <row r="414" spans="1:68" ht="14.25" customHeight="1" x14ac:dyDescent="0.25">
      <c r="A414" s="554" t="s">
        <v>76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66"/>
      <c r="AB414" s="66"/>
      <c r="AC414" s="80"/>
    </row>
    <row r="415" spans="1:68" ht="27" customHeight="1" x14ac:dyDescent="0.25">
      <c r="A415" s="63" t="s">
        <v>638</v>
      </c>
      <c r="B415" s="63" t="s">
        <v>639</v>
      </c>
      <c r="C415" s="36">
        <v>4301031347</v>
      </c>
      <c r="D415" s="555">
        <v>4680115885110</v>
      </c>
      <c r="E415" s="555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87</v>
      </c>
      <c r="L415" s="37" t="s">
        <v>45</v>
      </c>
      <c r="M415" s="38" t="s">
        <v>80</v>
      </c>
      <c r="N415" s="38"/>
      <c r="O415" s="37">
        <v>50</v>
      </c>
      <c r="P415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640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562"/>
      <c r="B416" s="562"/>
      <c r="C416" s="562"/>
      <c r="D416" s="562"/>
      <c r="E416" s="562"/>
      <c r="F416" s="562"/>
      <c r="G416" s="562"/>
      <c r="H416" s="562"/>
      <c r="I416" s="562"/>
      <c r="J416" s="562"/>
      <c r="K416" s="562"/>
      <c r="L416" s="562"/>
      <c r="M416" s="562"/>
      <c r="N416" s="562"/>
      <c r="O416" s="563"/>
      <c r="P416" s="559" t="s">
        <v>40</v>
      </c>
      <c r="Q416" s="560"/>
      <c r="R416" s="560"/>
      <c r="S416" s="560"/>
      <c r="T416" s="560"/>
      <c r="U416" s="560"/>
      <c r="V416" s="561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579" t="s">
        <v>641</v>
      </c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79"/>
      <c r="P418" s="579"/>
      <c r="Q418" s="579"/>
      <c r="R418" s="579"/>
      <c r="S418" s="579"/>
      <c r="T418" s="579"/>
      <c r="U418" s="579"/>
      <c r="V418" s="579"/>
      <c r="W418" s="579"/>
      <c r="X418" s="579"/>
      <c r="Y418" s="579"/>
      <c r="Z418" s="579"/>
      <c r="AA418" s="54"/>
      <c r="AB418" s="54"/>
      <c r="AC418" s="54"/>
    </row>
    <row r="419" spans="1:68" ht="16.5" customHeight="1" x14ac:dyDescent="0.25">
      <c r="A419" s="570" t="s">
        <v>641</v>
      </c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0"/>
      <c r="P419" s="570"/>
      <c r="Q419" s="570"/>
      <c r="R419" s="570"/>
      <c r="S419" s="570"/>
      <c r="T419" s="570"/>
      <c r="U419" s="570"/>
      <c r="V419" s="570"/>
      <c r="W419" s="570"/>
      <c r="X419" s="570"/>
      <c r="Y419" s="570"/>
      <c r="Z419" s="570"/>
      <c r="AA419" s="65"/>
      <c r="AB419" s="65"/>
      <c r="AC419" s="79"/>
    </row>
    <row r="420" spans="1:68" ht="14.25" customHeight="1" x14ac:dyDescent="0.25">
      <c r="A420" s="554" t="s">
        <v>108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6"/>
      <c r="AB420" s="66"/>
      <c r="AC420" s="80"/>
    </row>
    <row r="421" spans="1:68" ht="27" customHeight="1" x14ac:dyDescent="0.25">
      <c r="A421" s="63" t="s">
        <v>642</v>
      </c>
      <c r="B421" s="63" t="s">
        <v>643</v>
      </c>
      <c r="C421" s="36">
        <v>4301011795</v>
      </c>
      <c r="D421" s="555">
        <v>4607091389067</v>
      </c>
      <c r="E421" s="555"/>
      <c r="F421" s="62">
        <v>0.88</v>
      </c>
      <c r="G421" s="37">
        <v>6</v>
      </c>
      <c r="H421" s="62">
        <v>5.28</v>
      </c>
      <c r="I421" s="62">
        <v>5.64</v>
      </c>
      <c r="J421" s="37">
        <v>104</v>
      </c>
      <c r="K421" s="37" t="s">
        <v>113</v>
      </c>
      <c r="L421" s="37" t="s">
        <v>45</v>
      </c>
      <c r="M421" s="38" t="s">
        <v>112</v>
      </c>
      <c r="N421" s="38"/>
      <c r="O421" s="37">
        <v>60</v>
      </c>
      <c r="P421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111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644</v>
      </c>
      <c r="B422" s="63" t="s">
        <v>645</v>
      </c>
      <c r="C422" s="36">
        <v>4301011961</v>
      </c>
      <c r="D422" s="555">
        <v>4680115885271</v>
      </c>
      <c r="E422" s="555"/>
      <c r="F422" s="62">
        <v>0.88</v>
      </c>
      <c r="G422" s="37">
        <v>6</v>
      </c>
      <c r="H422" s="62">
        <v>5.28</v>
      </c>
      <c r="I422" s="62">
        <v>5.64</v>
      </c>
      <c r="J422" s="37">
        <v>104</v>
      </c>
      <c r="K422" s="37" t="s">
        <v>113</v>
      </c>
      <c r="L422" s="37" t="s">
        <v>45</v>
      </c>
      <c r="M422" s="38" t="s">
        <v>112</v>
      </c>
      <c r="N422" s="38"/>
      <c r="O422" s="37">
        <v>60</v>
      </c>
      <c r="P422" s="6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646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647</v>
      </c>
      <c r="B423" s="63" t="s">
        <v>648</v>
      </c>
      <c r="C423" s="36">
        <v>4301011376</v>
      </c>
      <c r="D423" s="555">
        <v>4680115885226</v>
      </c>
      <c r="E423" s="555"/>
      <c r="F423" s="62">
        <v>0.88</v>
      </c>
      <c r="G423" s="37">
        <v>6</v>
      </c>
      <c r="H423" s="62">
        <v>5.28</v>
      </c>
      <c r="I423" s="62">
        <v>5.64</v>
      </c>
      <c r="J423" s="37">
        <v>104</v>
      </c>
      <c r="K423" s="37" t="s">
        <v>113</v>
      </c>
      <c r="L423" s="37" t="s">
        <v>45</v>
      </c>
      <c r="M423" s="38" t="s">
        <v>86</v>
      </c>
      <c r="N423" s="38"/>
      <c r="O423" s="37">
        <v>60</v>
      </c>
      <c r="P423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9" t="s">
        <v>45</v>
      </c>
      <c r="V423" s="39" t="s">
        <v>45</v>
      </c>
      <c r="W423" s="40" t="s">
        <v>0</v>
      </c>
      <c r="X423" s="58">
        <v>42.24</v>
      </c>
      <c r="Y423" s="55">
        <f t="shared" si="42"/>
        <v>42.24</v>
      </c>
      <c r="Z423" s="41">
        <f t="shared" si="43"/>
        <v>9.5680000000000001E-2</v>
      </c>
      <c r="AA423" s="68" t="s">
        <v>45</v>
      </c>
      <c r="AB423" s="69" t="s">
        <v>45</v>
      </c>
      <c r="AC423" s="482" t="s">
        <v>649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45.12</v>
      </c>
      <c r="BN423" s="78">
        <f t="shared" si="45"/>
        <v>45.12</v>
      </c>
      <c r="BO423" s="78">
        <f t="shared" si="46"/>
        <v>7.6923076923076927E-2</v>
      </c>
      <c r="BP423" s="78">
        <f t="shared" si="47"/>
        <v>7.6923076923076927E-2</v>
      </c>
    </row>
    <row r="424" spans="1:68" ht="27" customHeight="1" x14ac:dyDescent="0.25">
      <c r="A424" s="63" t="s">
        <v>650</v>
      </c>
      <c r="B424" s="63" t="s">
        <v>651</v>
      </c>
      <c r="C424" s="36">
        <v>4301012145</v>
      </c>
      <c r="D424" s="555">
        <v>4607091383522</v>
      </c>
      <c r="E424" s="555"/>
      <c r="F424" s="62">
        <v>0.88</v>
      </c>
      <c r="G424" s="37">
        <v>6</v>
      </c>
      <c r="H424" s="62">
        <v>5.28</v>
      </c>
      <c r="I424" s="62">
        <v>5.64</v>
      </c>
      <c r="J424" s="37">
        <v>104</v>
      </c>
      <c r="K424" s="37" t="s">
        <v>113</v>
      </c>
      <c r="L424" s="37" t="s">
        <v>45</v>
      </c>
      <c r="M424" s="38" t="s">
        <v>112</v>
      </c>
      <c r="N424" s="38"/>
      <c r="O424" s="37">
        <v>60</v>
      </c>
      <c r="P424" s="6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652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653</v>
      </c>
      <c r="B425" s="63" t="s">
        <v>654</v>
      </c>
      <c r="C425" s="36">
        <v>4301011774</v>
      </c>
      <c r="D425" s="555">
        <v>4680115884502</v>
      </c>
      <c r="E425" s="555"/>
      <c r="F425" s="62">
        <v>0.88</v>
      </c>
      <c r="G425" s="37">
        <v>6</v>
      </c>
      <c r="H425" s="62">
        <v>5.28</v>
      </c>
      <c r="I425" s="62">
        <v>5.64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60</v>
      </c>
      <c r="P425" s="5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655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656</v>
      </c>
      <c r="B426" s="63" t="s">
        <v>657</v>
      </c>
      <c r="C426" s="36">
        <v>4301011771</v>
      </c>
      <c r="D426" s="555">
        <v>4607091389104</v>
      </c>
      <c r="E426" s="555"/>
      <c r="F426" s="62">
        <v>0.88</v>
      </c>
      <c r="G426" s="37">
        <v>6</v>
      </c>
      <c r="H426" s="62">
        <v>5.28</v>
      </c>
      <c r="I426" s="62">
        <v>5.64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5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9" t="s">
        <v>45</v>
      </c>
      <c r="V426" s="39" t="s">
        <v>45</v>
      </c>
      <c r="W426" s="40" t="s">
        <v>0</v>
      </c>
      <c r="X426" s="58">
        <v>84.48</v>
      </c>
      <c r="Y426" s="55">
        <f t="shared" si="42"/>
        <v>84.48</v>
      </c>
      <c r="Z426" s="41">
        <f t="shared" si="43"/>
        <v>0.19136</v>
      </c>
      <c r="AA426" s="68" t="s">
        <v>45</v>
      </c>
      <c r="AB426" s="69" t="s">
        <v>45</v>
      </c>
      <c r="AC426" s="488" t="s">
        <v>658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90.24</v>
      </c>
      <c r="BN426" s="78">
        <f t="shared" si="45"/>
        <v>90.24</v>
      </c>
      <c r="BO426" s="78">
        <f t="shared" si="46"/>
        <v>0.15384615384615385</v>
      </c>
      <c r="BP426" s="78">
        <f t="shared" si="47"/>
        <v>0.15384615384615385</v>
      </c>
    </row>
    <row r="427" spans="1:68" ht="27" customHeight="1" x14ac:dyDescent="0.25">
      <c r="A427" s="63" t="s">
        <v>659</v>
      </c>
      <c r="B427" s="63" t="s">
        <v>660</v>
      </c>
      <c r="C427" s="36">
        <v>4301012125</v>
      </c>
      <c r="D427" s="555">
        <v>4680115886391</v>
      </c>
      <c r="E427" s="555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87</v>
      </c>
      <c r="L427" s="37" t="s">
        <v>45</v>
      </c>
      <c r="M427" s="38" t="s">
        <v>86</v>
      </c>
      <c r="N427" s="38"/>
      <c r="O427" s="37">
        <v>60</v>
      </c>
      <c r="P427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111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661</v>
      </c>
      <c r="B428" s="63" t="s">
        <v>662</v>
      </c>
      <c r="C428" s="36">
        <v>4301012035</v>
      </c>
      <c r="D428" s="555">
        <v>4680115880603</v>
      </c>
      <c r="E428" s="555"/>
      <c r="F428" s="62">
        <v>0.6</v>
      </c>
      <c r="G428" s="37">
        <v>8</v>
      </c>
      <c r="H428" s="62">
        <v>4.8</v>
      </c>
      <c r="I428" s="62">
        <v>6.93</v>
      </c>
      <c r="J428" s="37">
        <v>132</v>
      </c>
      <c r="K428" s="37" t="s">
        <v>116</v>
      </c>
      <c r="L428" s="37" t="s">
        <v>45</v>
      </c>
      <c r="M428" s="38" t="s">
        <v>112</v>
      </c>
      <c r="N428" s="38"/>
      <c r="O428" s="37">
        <v>60</v>
      </c>
      <c r="P428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663</v>
      </c>
      <c r="B429" s="63" t="s">
        <v>664</v>
      </c>
      <c r="C429" s="36">
        <v>4301012036</v>
      </c>
      <c r="D429" s="555">
        <v>4680115882782</v>
      </c>
      <c r="E429" s="555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116</v>
      </c>
      <c r="L429" s="37" t="s">
        <v>45</v>
      </c>
      <c r="M429" s="38" t="s">
        <v>112</v>
      </c>
      <c r="N429" s="38"/>
      <c r="O429" s="37">
        <v>60</v>
      </c>
      <c r="P429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646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665</v>
      </c>
      <c r="B430" s="63" t="s">
        <v>666</v>
      </c>
      <c r="C430" s="36">
        <v>4301012050</v>
      </c>
      <c r="D430" s="555">
        <v>4680115885479</v>
      </c>
      <c r="E430" s="555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87</v>
      </c>
      <c r="L430" s="37" t="s">
        <v>45</v>
      </c>
      <c r="M430" s="38" t="s">
        <v>112</v>
      </c>
      <c r="N430" s="38"/>
      <c r="O430" s="37">
        <v>60</v>
      </c>
      <c r="P430" s="59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667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668</v>
      </c>
      <c r="B431" s="63" t="s">
        <v>669</v>
      </c>
      <c r="C431" s="36">
        <v>4301012034</v>
      </c>
      <c r="D431" s="555">
        <v>4607091389982</v>
      </c>
      <c r="E431" s="555"/>
      <c r="F431" s="62">
        <v>0.6</v>
      </c>
      <c r="G431" s="37">
        <v>8</v>
      </c>
      <c r="H431" s="62">
        <v>4.8</v>
      </c>
      <c r="I431" s="62">
        <v>6.93</v>
      </c>
      <c r="J431" s="37">
        <v>132</v>
      </c>
      <c r="K431" s="37" t="s">
        <v>116</v>
      </c>
      <c r="L431" s="37" t="s">
        <v>45</v>
      </c>
      <c r="M431" s="38" t="s">
        <v>112</v>
      </c>
      <c r="N431" s="38"/>
      <c r="O431" s="37">
        <v>60</v>
      </c>
      <c r="P431" s="5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658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562"/>
      <c r="B432" s="562"/>
      <c r="C432" s="562"/>
      <c r="D432" s="562"/>
      <c r="E432" s="562"/>
      <c r="F432" s="562"/>
      <c r="G432" s="562"/>
      <c r="H432" s="562"/>
      <c r="I432" s="562"/>
      <c r="J432" s="562"/>
      <c r="K432" s="562"/>
      <c r="L432" s="562"/>
      <c r="M432" s="562"/>
      <c r="N432" s="562"/>
      <c r="O432" s="563"/>
      <c r="P432" s="559" t="s">
        <v>40</v>
      </c>
      <c r="Q432" s="560"/>
      <c r="R432" s="560"/>
      <c r="S432" s="560"/>
      <c r="T432" s="560"/>
      <c r="U432" s="560"/>
      <c r="V432" s="561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24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24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0.28704000000000002</v>
      </c>
      <c r="AA432" s="67"/>
      <c r="AB432" s="67"/>
      <c r="AC432" s="67"/>
    </row>
    <row r="433" spans="1:68" x14ac:dyDescent="0.2">
      <c r="A433" s="562"/>
      <c r="B433" s="562"/>
      <c r="C433" s="562"/>
      <c r="D433" s="562"/>
      <c r="E433" s="562"/>
      <c r="F433" s="562"/>
      <c r="G433" s="562"/>
      <c r="H433" s="562"/>
      <c r="I433" s="562"/>
      <c r="J433" s="562"/>
      <c r="K433" s="562"/>
      <c r="L433" s="562"/>
      <c r="M433" s="562"/>
      <c r="N433" s="562"/>
      <c r="O433" s="563"/>
      <c r="P433" s="559" t="s">
        <v>40</v>
      </c>
      <c r="Q433" s="560"/>
      <c r="R433" s="560"/>
      <c r="S433" s="560"/>
      <c r="T433" s="560"/>
      <c r="U433" s="560"/>
      <c r="V433" s="561"/>
      <c r="W433" s="42" t="s">
        <v>0</v>
      </c>
      <c r="X433" s="43">
        <f>IFERROR(SUM(X421:X431),"0")</f>
        <v>126.72</v>
      </c>
      <c r="Y433" s="43">
        <f>IFERROR(SUM(Y421:Y431),"0")</f>
        <v>126.72</v>
      </c>
      <c r="Z433" s="42"/>
      <c r="AA433" s="67"/>
      <c r="AB433" s="67"/>
      <c r="AC433" s="67"/>
    </row>
    <row r="434" spans="1:68" ht="14.25" customHeight="1" x14ac:dyDescent="0.25">
      <c r="A434" s="554" t="s">
        <v>141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66"/>
      <c r="AB434" s="66"/>
      <c r="AC434" s="80"/>
    </row>
    <row r="435" spans="1:68" ht="16.5" customHeight="1" x14ac:dyDescent="0.25">
      <c r="A435" s="63" t="s">
        <v>670</v>
      </c>
      <c r="B435" s="63" t="s">
        <v>671</v>
      </c>
      <c r="C435" s="36">
        <v>4301020334</v>
      </c>
      <c r="D435" s="555">
        <v>4607091388930</v>
      </c>
      <c r="E435" s="555"/>
      <c r="F435" s="62">
        <v>0.88</v>
      </c>
      <c r="G435" s="37">
        <v>6</v>
      </c>
      <c r="H435" s="62">
        <v>5.28</v>
      </c>
      <c r="I435" s="62">
        <v>5.64</v>
      </c>
      <c r="J435" s="37">
        <v>104</v>
      </c>
      <c r="K435" s="37" t="s">
        <v>113</v>
      </c>
      <c r="L435" s="37" t="s">
        <v>45</v>
      </c>
      <c r="M435" s="38" t="s">
        <v>86</v>
      </c>
      <c r="N435" s="38"/>
      <c r="O435" s="37">
        <v>70</v>
      </c>
      <c r="P435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672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673</v>
      </c>
      <c r="B436" s="63" t="s">
        <v>674</v>
      </c>
      <c r="C436" s="36">
        <v>4301020384</v>
      </c>
      <c r="D436" s="555">
        <v>4680115886407</v>
      </c>
      <c r="E436" s="555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87</v>
      </c>
      <c r="L436" s="37" t="s">
        <v>45</v>
      </c>
      <c r="M436" s="38" t="s">
        <v>86</v>
      </c>
      <c r="N436" s="38"/>
      <c r="O436" s="37">
        <v>70</v>
      </c>
      <c r="P436" s="5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672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675</v>
      </c>
      <c r="B437" s="63" t="s">
        <v>676</v>
      </c>
      <c r="C437" s="36">
        <v>4301020385</v>
      </c>
      <c r="D437" s="555">
        <v>4680115880054</v>
      </c>
      <c r="E437" s="555"/>
      <c r="F437" s="62">
        <v>0.6</v>
      </c>
      <c r="G437" s="37">
        <v>8</v>
      </c>
      <c r="H437" s="62">
        <v>4.8</v>
      </c>
      <c r="I437" s="62">
        <v>6.93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70</v>
      </c>
      <c r="P437" s="5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672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562"/>
      <c r="B438" s="562"/>
      <c r="C438" s="562"/>
      <c r="D438" s="562"/>
      <c r="E438" s="562"/>
      <c r="F438" s="562"/>
      <c r="G438" s="562"/>
      <c r="H438" s="562"/>
      <c r="I438" s="562"/>
      <c r="J438" s="562"/>
      <c r="K438" s="562"/>
      <c r="L438" s="562"/>
      <c r="M438" s="562"/>
      <c r="N438" s="562"/>
      <c r="O438" s="563"/>
      <c r="P438" s="559" t="s">
        <v>40</v>
      </c>
      <c r="Q438" s="560"/>
      <c r="R438" s="560"/>
      <c r="S438" s="560"/>
      <c r="T438" s="560"/>
      <c r="U438" s="560"/>
      <c r="V438" s="561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554" t="s">
        <v>76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66"/>
      <c r="AB440" s="66"/>
      <c r="AC440" s="80"/>
    </row>
    <row r="441" spans="1:68" ht="27" customHeight="1" x14ac:dyDescent="0.25">
      <c r="A441" s="63" t="s">
        <v>677</v>
      </c>
      <c r="B441" s="63" t="s">
        <v>678</v>
      </c>
      <c r="C441" s="36">
        <v>4301031349</v>
      </c>
      <c r="D441" s="555">
        <v>4680115883116</v>
      </c>
      <c r="E441" s="555"/>
      <c r="F441" s="62">
        <v>0.88</v>
      </c>
      <c r="G441" s="37">
        <v>6</v>
      </c>
      <c r="H441" s="62">
        <v>5.28</v>
      </c>
      <c r="I441" s="62">
        <v>5.64</v>
      </c>
      <c r="J441" s="37">
        <v>104</v>
      </c>
      <c r="K441" s="37" t="s">
        <v>113</v>
      </c>
      <c r="L441" s="37" t="s">
        <v>45</v>
      </c>
      <c r="M441" s="38" t="s">
        <v>112</v>
      </c>
      <c r="N441" s="38"/>
      <c r="O441" s="37">
        <v>70</v>
      </c>
      <c r="P441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9" t="s">
        <v>45</v>
      </c>
      <c r="V441" s="39" t="s">
        <v>45</v>
      </c>
      <c r="W441" s="40" t="s">
        <v>0</v>
      </c>
      <c r="X441" s="58">
        <v>42.24</v>
      </c>
      <c r="Y441" s="55">
        <f t="shared" ref="Y441:Y446" si="48">IFERROR(IF(X441="",0,CEILING((X441/$H441),1)*$H441),"")</f>
        <v>42.24</v>
      </c>
      <c r="Z441" s="41">
        <f>IFERROR(IF(Y441=0,"",ROUNDUP(Y441/H441,0)*0.01196),"")</f>
        <v>9.5680000000000001E-2</v>
      </c>
      <c r="AA441" s="68" t="s">
        <v>45</v>
      </c>
      <c r="AB441" s="69" t="s">
        <v>45</v>
      </c>
      <c r="AC441" s="506" t="s">
        <v>679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49">IFERROR(X441*I441/H441,"0")</f>
        <v>45.12</v>
      </c>
      <c r="BN441" s="78">
        <f t="shared" ref="BN441:BN446" si="50">IFERROR(Y441*I441/H441,"0")</f>
        <v>45.12</v>
      </c>
      <c r="BO441" s="78">
        <f t="shared" ref="BO441:BO446" si="51">IFERROR(1/J441*(X441/H441),"0")</f>
        <v>7.6923076923076927E-2</v>
      </c>
      <c r="BP441" s="78">
        <f t="shared" ref="BP441:BP446" si="52">IFERROR(1/J441*(Y441/H441),"0")</f>
        <v>7.6923076923076927E-2</v>
      </c>
    </row>
    <row r="442" spans="1:68" ht="27" customHeight="1" x14ac:dyDescent="0.25">
      <c r="A442" s="63" t="s">
        <v>680</v>
      </c>
      <c r="B442" s="63" t="s">
        <v>681</v>
      </c>
      <c r="C442" s="36">
        <v>4301031350</v>
      </c>
      <c r="D442" s="555">
        <v>4680115883093</v>
      </c>
      <c r="E442" s="555"/>
      <c r="F442" s="62">
        <v>0.88</v>
      </c>
      <c r="G442" s="37">
        <v>6</v>
      </c>
      <c r="H442" s="62">
        <v>5.28</v>
      </c>
      <c r="I442" s="62">
        <v>5.64</v>
      </c>
      <c r="J442" s="37">
        <v>104</v>
      </c>
      <c r="K442" s="37" t="s">
        <v>113</v>
      </c>
      <c r="L442" s="37" t="s">
        <v>45</v>
      </c>
      <c r="M442" s="38" t="s">
        <v>80</v>
      </c>
      <c r="N442" s="38"/>
      <c r="O442" s="37">
        <v>70</v>
      </c>
      <c r="P442" s="5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9" t="s">
        <v>45</v>
      </c>
      <c r="V442" s="39" t="s">
        <v>45</v>
      </c>
      <c r="W442" s="40" t="s">
        <v>0</v>
      </c>
      <c r="X442" s="58">
        <v>42.24</v>
      </c>
      <c r="Y442" s="55">
        <f t="shared" si="48"/>
        <v>42.24</v>
      </c>
      <c r="Z442" s="41">
        <f>IFERROR(IF(Y442=0,"",ROUNDUP(Y442/H442,0)*0.01196),"")</f>
        <v>9.5680000000000001E-2</v>
      </c>
      <c r="AA442" s="68" t="s">
        <v>45</v>
      </c>
      <c r="AB442" s="69" t="s">
        <v>45</v>
      </c>
      <c r="AC442" s="508" t="s">
        <v>682</v>
      </c>
      <c r="AG442" s="78"/>
      <c r="AJ442" s="84" t="s">
        <v>45</v>
      </c>
      <c r="AK442" s="84">
        <v>0</v>
      </c>
      <c r="BB442" s="509" t="s">
        <v>66</v>
      </c>
      <c r="BM442" s="78">
        <f t="shared" si="49"/>
        <v>45.12</v>
      </c>
      <c r="BN442" s="78">
        <f t="shared" si="50"/>
        <v>45.12</v>
      </c>
      <c r="BO442" s="78">
        <f t="shared" si="51"/>
        <v>7.6923076923076927E-2</v>
      </c>
      <c r="BP442" s="78">
        <f t="shared" si="52"/>
        <v>7.6923076923076927E-2</v>
      </c>
    </row>
    <row r="443" spans="1:68" ht="27" customHeight="1" x14ac:dyDescent="0.25">
      <c r="A443" s="63" t="s">
        <v>683</v>
      </c>
      <c r="B443" s="63" t="s">
        <v>684</v>
      </c>
      <c r="C443" s="36">
        <v>4301031353</v>
      </c>
      <c r="D443" s="555">
        <v>4680115883109</v>
      </c>
      <c r="E443" s="555"/>
      <c r="F443" s="62">
        <v>0.88</v>
      </c>
      <c r="G443" s="37">
        <v>6</v>
      </c>
      <c r="H443" s="62">
        <v>5.28</v>
      </c>
      <c r="I443" s="62">
        <v>5.64</v>
      </c>
      <c r="J443" s="37">
        <v>104</v>
      </c>
      <c r="K443" s="37" t="s">
        <v>113</v>
      </c>
      <c r="L443" s="37" t="s">
        <v>45</v>
      </c>
      <c r="M443" s="38" t="s">
        <v>80</v>
      </c>
      <c r="N443" s="38"/>
      <c r="O443" s="37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686</v>
      </c>
      <c r="B444" s="63" t="s">
        <v>687</v>
      </c>
      <c r="C444" s="36">
        <v>4301031419</v>
      </c>
      <c r="D444" s="555">
        <v>4680115882072</v>
      </c>
      <c r="E444" s="555"/>
      <c r="F444" s="62">
        <v>0.6</v>
      </c>
      <c r="G444" s="37">
        <v>8</v>
      </c>
      <c r="H444" s="62">
        <v>4.8</v>
      </c>
      <c r="I444" s="62">
        <v>6.93</v>
      </c>
      <c r="J444" s="37">
        <v>132</v>
      </c>
      <c r="K444" s="37" t="s">
        <v>116</v>
      </c>
      <c r="L444" s="37" t="s">
        <v>45</v>
      </c>
      <c r="M444" s="38" t="s">
        <v>112</v>
      </c>
      <c r="N444" s="38"/>
      <c r="O444" s="37">
        <v>70</v>
      </c>
      <c r="P444" s="5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679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688</v>
      </c>
      <c r="B445" s="63" t="s">
        <v>689</v>
      </c>
      <c r="C445" s="36">
        <v>4301031418</v>
      </c>
      <c r="D445" s="555">
        <v>4680115882102</v>
      </c>
      <c r="E445" s="555"/>
      <c r="F445" s="62">
        <v>0.6</v>
      </c>
      <c r="G445" s="37">
        <v>8</v>
      </c>
      <c r="H445" s="62">
        <v>4.8</v>
      </c>
      <c r="I445" s="62">
        <v>6.69</v>
      </c>
      <c r="J445" s="37">
        <v>132</v>
      </c>
      <c r="K445" s="37" t="s">
        <v>116</v>
      </c>
      <c r="L445" s="37" t="s">
        <v>45</v>
      </c>
      <c r="M445" s="38" t="s">
        <v>80</v>
      </c>
      <c r="N445" s="38"/>
      <c r="O445" s="37">
        <v>70</v>
      </c>
      <c r="P445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682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690</v>
      </c>
      <c r="B446" s="63" t="s">
        <v>691</v>
      </c>
      <c r="C446" s="36">
        <v>4301031417</v>
      </c>
      <c r="D446" s="555">
        <v>4680115882096</v>
      </c>
      <c r="E446" s="555"/>
      <c r="F446" s="62">
        <v>0.6</v>
      </c>
      <c r="G446" s="37">
        <v>8</v>
      </c>
      <c r="H446" s="62">
        <v>4.8</v>
      </c>
      <c r="I446" s="62">
        <v>6.69</v>
      </c>
      <c r="J446" s="37">
        <v>132</v>
      </c>
      <c r="K446" s="37" t="s">
        <v>116</v>
      </c>
      <c r="L446" s="37" t="s">
        <v>45</v>
      </c>
      <c r="M446" s="38" t="s">
        <v>80</v>
      </c>
      <c r="N446" s="38"/>
      <c r="O446" s="37">
        <v>70</v>
      </c>
      <c r="P446" s="5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685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59" t="s">
        <v>40</v>
      </c>
      <c r="Q447" s="560"/>
      <c r="R447" s="560"/>
      <c r="S447" s="560"/>
      <c r="T447" s="560"/>
      <c r="U447" s="560"/>
      <c r="V447" s="561"/>
      <c r="W447" s="42" t="s">
        <v>39</v>
      </c>
      <c r="X447" s="43">
        <f>IFERROR(X441/H441,"0")+IFERROR(X442/H442,"0")+IFERROR(X443/H443,"0")+IFERROR(X444/H444,"0")+IFERROR(X445/H445,"0")+IFERROR(X446/H446,"0")</f>
        <v>16</v>
      </c>
      <c r="Y447" s="43">
        <f>IFERROR(Y441/H441,"0")+IFERROR(Y442/H442,"0")+IFERROR(Y443/H443,"0")+IFERROR(Y444/H444,"0")+IFERROR(Y445/H445,"0")+IFERROR(Y446/H446,"0")</f>
        <v>16</v>
      </c>
      <c r="Z447" s="43">
        <f>IFERROR(IF(Z441="",0,Z441),"0")+IFERROR(IF(Z442="",0,Z442),"0")+IFERROR(IF(Z443="",0,Z443),"0")+IFERROR(IF(Z444="",0,Z444),"0")+IFERROR(IF(Z445="",0,Z445),"0")+IFERROR(IF(Z446="",0,Z446),"0")</f>
        <v>0.19136</v>
      </c>
      <c r="AA447" s="67"/>
      <c r="AB447" s="67"/>
      <c r="AC447" s="67"/>
    </row>
    <row r="448" spans="1:68" x14ac:dyDescent="0.2">
      <c r="A448" s="562"/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3"/>
      <c r="P448" s="559" t="s">
        <v>40</v>
      </c>
      <c r="Q448" s="560"/>
      <c r="R448" s="560"/>
      <c r="S448" s="560"/>
      <c r="T448" s="560"/>
      <c r="U448" s="560"/>
      <c r="V448" s="561"/>
      <c r="W448" s="42" t="s">
        <v>0</v>
      </c>
      <c r="X448" s="43">
        <f>IFERROR(SUM(X441:X446),"0")</f>
        <v>84.48</v>
      </c>
      <c r="Y448" s="43">
        <f>IFERROR(SUM(Y441:Y446),"0")</f>
        <v>84.48</v>
      </c>
      <c r="Z448" s="42"/>
      <c r="AA448" s="67"/>
      <c r="AB448" s="67"/>
      <c r="AC448" s="67"/>
    </row>
    <row r="449" spans="1:68" ht="14.25" customHeight="1" x14ac:dyDescent="0.25">
      <c r="A449" s="554" t="s">
        <v>82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66"/>
      <c r="AB449" s="66"/>
      <c r="AC449" s="80"/>
    </row>
    <row r="450" spans="1:68" ht="16.5" customHeight="1" x14ac:dyDescent="0.25">
      <c r="A450" s="63" t="s">
        <v>692</v>
      </c>
      <c r="B450" s="63" t="s">
        <v>693</v>
      </c>
      <c r="C450" s="36">
        <v>4301051232</v>
      </c>
      <c r="D450" s="555">
        <v>4607091383409</v>
      </c>
      <c r="E450" s="555"/>
      <c r="F450" s="62">
        <v>1.3</v>
      </c>
      <c r="G450" s="37">
        <v>6</v>
      </c>
      <c r="H450" s="62">
        <v>7.8</v>
      </c>
      <c r="I450" s="62">
        <v>8.3010000000000002</v>
      </c>
      <c r="J450" s="37">
        <v>64</v>
      </c>
      <c r="K450" s="37" t="s">
        <v>113</v>
      </c>
      <c r="L450" s="37" t="s">
        <v>45</v>
      </c>
      <c r="M450" s="38" t="s">
        <v>86</v>
      </c>
      <c r="N450" s="38"/>
      <c r="O450" s="37">
        <v>45</v>
      </c>
      <c r="P450" s="58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694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695</v>
      </c>
      <c r="B451" s="63" t="s">
        <v>696</v>
      </c>
      <c r="C451" s="36">
        <v>4301051233</v>
      </c>
      <c r="D451" s="555">
        <v>4607091383416</v>
      </c>
      <c r="E451" s="555"/>
      <c r="F451" s="62">
        <v>1.3</v>
      </c>
      <c r="G451" s="37">
        <v>6</v>
      </c>
      <c r="H451" s="62">
        <v>7.8</v>
      </c>
      <c r="I451" s="62">
        <v>8.3010000000000002</v>
      </c>
      <c r="J451" s="37">
        <v>64</v>
      </c>
      <c r="K451" s="37" t="s">
        <v>113</v>
      </c>
      <c r="L451" s="37" t="s">
        <v>45</v>
      </c>
      <c r="M451" s="38" t="s">
        <v>86</v>
      </c>
      <c r="N451" s="38"/>
      <c r="O451" s="37">
        <v>45</v>
      </c>
      <c r="P451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697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698</v>
      </c>
      <c r="B452" s="63" t="s">
        <v>699</v>
      </c>
      <c r="C452" s="36">
        <v>4301051064</v>
      </c>
      <c r="D452" s="555">
        <v>4680115883536</v>
      </c>
      <c r="E452" s="555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87</v>
      </c>
      <c r="L452" s="37" t="s">
        <v>45</v>
      </c>
      <c r="M452" s="38" t="s">
        <v>86</v>
      </c>
      <c r="N452" s="38"/>
      <c r="O452" s="37">
        <v>45</v>
      </c>
      <c r="P452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700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562"/>
      <c r="B453" s="562"/>
      <c r="C453" s="562"/>
      <c r="D453" s="562"/>
      <c r="E453" s="562"/>
      <c r="F453" s="562"/>
      <c r="G453" s="562"/>
      <c r="H453" s="562"/>
      <c r="I453" s="562"/>
      <c r="J453" s="562"/>
      <c r="K453" s="562"/>
      <c r="L453" s="562"/>
      <c r="M453" s="562"/>
      <c r="N453" s="562"/>
      <c r="O453" s="563"/>
      <c r="P453" s="559" t="s">
        <v>40</v>
      </c>
      <c r="Q453" s="560"/>
      <c r="R453" s="560"/>
      <c r="S453" s="560"/>
      <c r="T453" s="560"/>
      <c r="U453" s="560"/>
      <c r="V453" s="561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562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63"/>
      <c r="P454" s="559" t="s">
        <v>40</v>
      </c>
      <c r="Q454" s="560"/>
      <c r="R454" s="560"/>
      <c r="S454" s="560"/>
      <c r="T454" s="560"/>
      <c r="U454" s="560"/>
      <c r="V454" s="561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579" t="s">
        <v>701</v>
      </c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79"/>
      <c r="P455" s="579"/>
      <c r="Q455" s="579"/>
      <c r="R455" s="579"/>
      <c r="S455" s="579"/>
      <c r="T455" s="579"/>
      <c r="U455" s="579"/>
      <c r="V455" s="579"/>
      <c r="W455" s="579"/>
      <c r="X455" s="579"/>
      <c r="Y455" s="579"/>
      <c r="Z455" s="579"/>
      <c r="AA455" s="54"/>
      <c r="AB455" s="54"/>
      <c r="AC455" s="54"/>
    </row>
    <row r="456" spans="1:68" ht="16.5" customHeight="1" x14ac:dyDescent="0.25">
      <c r="A456" s="570" t="s">
        <v>701</v>
      </c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0"/>
      <c r="P456" s="570"/>
      <c r="Q456" s="570"/>
      <c r="R456" s="570"/>
      <c r="S456" s="570"/>
      <c r="T456" s="570"/>
      <c r="U456" s="570"/>
      <c r="V456" s="570"/>
      <c r="W456" s="570"/>
      <c r="X456" s="570"/>
      <c r="Y456" s="570"/>
      <c r="Z456" s="570"/>
      <c r="AA456" s="65"/>
      <c r="AB456" s="65"/>
      <c r="AC456" s="79"/>
    </row>
    <row r="457" spans="1:68" ht="14.25" customHeight="1" x14ac:dyDescent="0.25">
      <c r="A457" s="554" t="s">
        <v>108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66"/>
      <c r="AB457" s="66"/>
      <c r="AC457" s="80"/>
    </row>
    <row r="458" spans="1:68" ht="27" customHeight="1" x14ac:dyDescent="0.25">
      <c r="A458" s="63" t="s">
        <v>702</v>
      </c>
      <c r="B458" s="63" t="s">
        <v>703</v>
      </c>
      <c r="C458" s="36">
        <v>4301011763</v>
      </c>
      <c r="D458" s="555">
        <v>4640242181011</v>
      </c>
      <c r="E458" s="555"/>
      <c r="F458" s="62">
        <v>1.35</v>
      </c>
      <c r="G458" s="37">
        <v>8</v>
      </c>
      <c r="H458" s="62">
        <v>10.8</v>
      </c>
      <c r="I458" s="62">
        <v>11.234999999999999</v>
      </c>
      <c r="J458" s="37">
        <v>64</v>
      </c>
      <c r="K458" s="37" t="s">
        <v>113</v>
      </c>
      <c r="L458" s="37" t="s">
        <v>45</v>
      </c>
      <c r="M458" s="38" t="s">
        <v>86</v>
      </c>
      <c r="N458" s="38"/>
      <c r="O458" s="37">
        <v>55</v>
      </c>
      <c r="P458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704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705</v>
      </c>
      <c r="B459" s="63" t="s">
        <v>706</v>
      </c>
      <c r="C459" s="36">
        <v>4301011585</v>
      </c>
      <c r="D459" s="555">
        <v>4640242180441</v>
      </c>
      <c r="E459" s="555"/>
      <c r="F459" s="62">
        <v>1.5</v>
      </c>
      <c r="G459" s="37">
        <v>8</v>
      </c>
      <c r="H459" s="62">
        <v>12</v>
      </c>
      <c r="I459" s="62">
        <v>12.435</v>
      </c>
      <c r="J459" s="37">
        <v>64</v>
      </c>
      <c r="K459" s="37" t="s">
        <v>113</v>
      </c>
      <c r="L459" s="37" t="s">
        <v>45</v>
      </c>
      <c r="M459" s="38" t="s">
        <v>112</v>
      </c>
      <c r="N459" s="38"/>
      <c r="O459" s="37">
        <v>50</v>
      </c>
      <c r="P459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707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708</v>
      </c>
      <c r="B460" s="63" t="s">
        <v>709</v>
      </c>
      <c r="C460" s="36">
        <v>4301011584</v>
      </c>
      <c r="D460" s="555">
        <v>4640242180564</v>
      </c>
      <c r="E460" s="555"/>
      <c r="F460" s="62">
        <v>1.5</v>
      </c>
      <c r="G460" s="37">
        <v>8</v>
      </c>
      <c r="H460" s="62">
        <v>12</v>
      </c>
      <c r="I460" s="62">
        <v>12.435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5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711</v>
      </c>
      <c r="B461" s="63" t="s">
        <v>712</v>
      </c>
      <c r="C461" s="36">
        <v>4301011764</v>
      </c>
      <c r="D461" s="555">
        <v>4640242181189</v>
      </c>
      <c r="E461" s="555"/>
      <c r="F461" s="62">
        <v>0.4</v>
      </c>
      <c r="G461" s="37">
        <v>10</v>
      </c>
      <c r="H461" s="62">
        <v>4</v>
      </c>
      <c r="I461" s="62">
        <v>4.21</v>
      </c>
      <c r="J461" s="37">
        <v>132</v>
      </c>
      <c r="K461" s="37" t="s">
        <v>116</v>
      </c>
      <c r="L461" s="37" t="s">
        <v>45</v>
      </c>
      <c r="M461" s="38" t="s">
        <v>86</v>
      </c>
      <c r="N461" s="38"/>
      <c r="O461" s="37">
        <v>55</v>
      </c>
      <c r="P461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704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562"/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3"/>
      <c r="P462" s="559" t="s">
        <v>40</v>
      </c>
      <c r="Q462" s="560"/>
      <c r="R462" s="560"/>
      <c r="S462" s="560"/>
      <c r="T462" s="560"/>
      <c r="U462" s="560"/>
      <c r="V462" s="561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562"/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3"/>
      <c r="P463" s="559" t="s">
        <v>40</v>
      </c>
      <c r="Q463" s="560"/>
      <c r="R463" s="560"/>
      <c r="S463" s="560"/>
      <c r="T463" s="560"/>
      <c r="U463" s="560"/>
      <c r="V463" s="561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554" t="s">
        <v>141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66"/>
      <c r="AB464" s="66"/>
      <c r="AC464" s="80"/>
    </row>
    <row r="465" spans="1:68" ht="27" customHeight="1" x14ac:dyDescent="0.25">
      <c r="A465" s="63" t="s">
        <v>713</v>
      </c>
      <c r="B465" s="63" t="s">
        <v>714</v>
      </c>
      <c r="C465" s="36">
        <v>4301020400</v>
      </c>
      <c r="D465" s="555">
        <v>4640242180519</v>
      </c>
      <c r="E465" s="555"/>
      <c r="F465" s="62">
        <v>1.5</v>
      </c>
      <c r="G465" s="37">
        <v>8</v>
      </c>
      <c r="H465" s="62">
        <v>12</v>
      </c>
      <c r="I465" s="62">
        <v>12.435</v>
      </c>
      <c r="J465" s="37">
        <v>64</v>
      </c>
      <c r="K465" s="37" t="s">
        <v>113</v>
      </c>
      <c r="L465" s="37" t="s">
        <v>45</v>
      </c>
      <c r="M465" s="38" t="s">
        <v>112</v>
      </c>
      <c r="N465" s="38"/>
      <c r="O465" s="37">
        <v>50</v>
      </c>
      <c r="P465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715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716</v>
      </c>
      <c r="B466" s="63" t="s">
        <v>717</v>
      </c>
      <c r="C466" s="36">
        <v>4301020260</v>
      </c>
      <c r="D466" s="555">
        <v>4640242180526</v>
      </c>
      <c r="E466" s="555"/>
      <c r="F466" s="62">
        <v>1.8</v>
      </c>
      <c r="G466" s="37">
        <v>6</v>
      </c>
      <c r="H466" s="62">
        <v>10.8</v>
      </c>
      <c r="I466" s="62">
        <v>11.234999999999999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5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718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719</v>
      </c>
      <c r="B467" s="63" t="s">
        <v>720</v>
      </c>
      <c r="C467" s="36">
        <v>4301020295</v>
      </c>
      <c r="D467" s="555">
        <v>4640242181363</v>
      </c>
      <c r="E467" s="555"/>
      <c r="F467" s="62">
        <v>0.4</v>
      </c>
      <c r="G467" s="37">
        <v>10</v>
      </c>
      <c r="H467" s="62">
        <v>4</v>
      </c>
      <c r="I467" s="62">
        <v>4.21</v>
      </c>
      <c r="J467" s="37">
        <v>132</v>
      </c>
      <c r="K467" s="37" t="s">
        <v>116</v>
      </c>
      <c r="L467" s="37" t="s">
        <v>45</v>
      </c>
      <c r="M467" s="38" t="s">
        <v>112</v>
      </c>
      <c r="N467" s="38"/>
      <c r="O467" s="37">
        <v>50</v>
      </c>
      <c r="P467" s="57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721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6"/>
      <c r="AB470" s="66"/>
      <c r="AC470" s="80"/>
    </row>
    <row r="471" spans="1:68" ht="27" customHeight="1" x14ac:dyDescent="0.25">
      <c r="A471" s="63" t="s">
        <v>722</v>
      </c>
      <c r="B471" s="63" t="s">
        <v>723</v>
      </c>
      <c r="C471" s="36">
        <v>4301031280</v>
      </c>
      <c r="D471" s="555">
        <v>4640242180816</v>
      </c>
      <c r="E471" s="555"/>
      <c r="F471" s="62">
        <v>0.7</v>
      </c>
      <c r="G471" s="37">
        <v>6</v>
      </c>
      <c r="H471" s="62">
        <v>4.2</v>
      </c>
      <c r="I471" s="62">
        <v>4.47</v>
      </c>
      <c r="J471" s="37">
        <v>132</v>
      </c>
      <c r="K471" s="37" t="s">
        <v>116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724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725</v>
      </c>
      <c r="B472" s="63" t="s">
        <v>726</v>
      </c>
      <c r="C472" s="36">
        <v>4301031244</v>
      </c>
      <c r="D472" s="555">
        <v>4640242180595</v>
      </c>
      <c r="E472" s="555"/>
      <c r="F472" s="62">
        <v>0.7</v>
      </c>
      <c r="G472" s="37">
        <v>6</v>
      </c>
      <c r="H472" s="62">
        <v>4.2</v>
      </c>
      <c r="I472" s="62">
        <v>4.47</v>
      </c>
      <c r="J472" s="37">
        <v>132</v>
      </c>
      <c r="K472" s="37" t="s">
        <v>116</v>
      </c>
      <c r="L472" s="37" t="s">
        <v>45</v>
      </c>
      <c r="M472" s="38" t="s">
        <v>80</v>
      </c>
      <c r="N472" s="38"/>
      <c r="O472" s="37">
        <v>40</v>
      </c>
      <c r="P472" s="57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727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59" t="s">
        <v>40</v>
      </c>
      <c r="Q474" s="560"/>
      <c r="R474" s="560"/>
      <c r="S474" s="560"/>
      <c r="T474" s="560"/>
      <c r="U474" s="560"/>
      <c r="V474" s="561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54" t="s">
        <v>82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66"/>
      <c r="AB475" s="66"/>
      <c r="AC475" s="80"/>
    </row>
    <row r="476" spans="1:68" ht="27" customHeight="1" x14ac:dyDescent="0.25">
      <c r="A476" s="63" t="s">
        <v>728</v>
      </c>
      <c r="B476" s="63" t="s">
        <v>729</v>
      </c>
      <c r="C476" s="36">
        <v>4301052046</v>
      </c>
      <c r="D476" s="555">
        <v>4640242180533</v>
      </c>
      <c r="E476" s="555"/>
      <c r="F476" s="62">
        <v>1.5</v>
      </c>
      <c r="G476" s="37">
        <v>6</v>
      </c>
      <c r="H476" s="62">
        <v>9</v>
      </c>
      <c r="I476" s="62">
        <v>9.5190000000000001</v>
      </c>
      <c r="J476" s="37">
        <v>64</v>
      </c>
      <c r="K476" s="37" t="s">
        <v>113</v>
      </c>
      <c r="L476" s="37" t="s">
        <v>45</v>
      </c>
      <c r="M476" s="38" t="s">
        <v>94</v>
      </c>
      <c r="N476" s="38"/>
      <c r="O476" s="37">
        <v>45</v>
      </c>
      <c r="P476" s="5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730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59" t="s">
        <v>40</v>
      </c>
      <c r="Q478" s="560"/>
      <c r="R478" s="560"/>
      <c r="S478" s="560"/>
      <c r="T478" s="560"/>
      <c r="U478" s="560"/>
      <c r="V478" s="561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54" t="s">
        <v>171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66"/>
      <c r="AB479" s="66"/>
      <c r="AC479" s="80"/>
    </row>
    <row r="480" spans="1:68" ht="27" customHeight="1" x14ac:dyDescent="0.25">
      <c r="A480" s="63" t="s">
        <v>731</v>
      </c>
      <c r="B480" s="63" t="s">
        <v>732</v>
      </c>
      <c r="C480" s="36">
        <v>4301060491</v>
      </c>
      <c r="D480" s="555">
        <v>4640242180120</v>
      </c>
      <c r="E480" s="555"/>
      <c r="F480" s="62">
        <v>1.5</v>
      </c>
      <c r="G480" s="37">
        <v>6</v>
      </c>
      <c r="H480" s="62">
        <v>9</v>
      </c>
      <c r="I480" s="62">
        <v>9.4350000000000005</v>
      </c>
      <c r="J480" s="37">
        <v>64</v>
      </c>
      <c r="K480" s="37" t="s">
        <v>113</v>
      </c>
      <c r="L480" s="37" t="s">
        <v>45</v>
      </c>
      <c r="M480" s="38" t="s">
        <v>86</v>
      </c>
      <c r="N480" s="38"/>
      <c r="O480" s="37">
        <v>40</v>
      </c>
      <c r="P480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733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734</v>
      </c>
      <c r="B481" s="63" t="s">
        <v>735</v>
      </c>
      <c r="C481" s="36">
        <v>4301060493</v>
      </c>
      <c r="D481" s="555">
        <v>4640242180137</v>
      </c>
      <c r="E481" s="555"/>
      <c r="F481" s="62">
        <v>1.5</v>
      </c>
      <c r="G481" s="37">
        <v>6</v>
      </c>
      <c r="H481" s="62">
        <v>9</v>
      </c>
      <c r="I481" s="62">
        <v>9.4350000000000005</v>
      </c>
      <c r="J481" s="37">
        <v>64</v>
      </c>
      <c r="K481" s="37" t="s">
        <v>113</v>
      </c>
      <c r="L481" s="37" t="s">
        <v>45</v>
      </c>
      <c r="M481" s="38" t="s">
        <v>86</v>
      </c>
      <c r="N481" s="38"/>
      <c r="O481" s="37">
        <v>40</v>
      </c>
      <c r="P481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736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562"/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3"/>
      <c r="P483" s="559" t="s">
        <v>40</v>
      </c>
      <c r="Q483" s="560"/>
      <c r="R483" s="560"/>
      <c r="S483" s="560"/>
      <c r="T483" s="560"/>
      <c r="U483" s="560"/>
      <c r="V483" s="561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570" t="s">
        <v>737</v>
      </c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0"/>
      <c r="P484" s="570"/>
      <c r="Q484" s="570"/>
      <c r="R484" s="570"/>
      <c r="S484" s="570"/>
      <c r="T484" s="570"/>
      <c r="U484" s="570"/>
      <c r="V484" s="570"/>
      <c r="W484" s="570"/>
      <c r="X484" s="570"/>
      <c r="Y484" s="570"/>
      <c r="Z484" s="570"/>
      <c r="AA484" s="65"/>
      <c r="AB484" s="65"/>
      <c r="AC484" s="79"/>
    </row>
    <row r="485" spans="1:68" ht="14.25" customHeight="1" x14ac:dyDescent="0.25">
      <c r="A485" s="554" t="s">
        <v>141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66"/>
      <c r="AB485" s="66"/>
      <c r="AC485" s="80"/>
    </row>
    <row r="486" spans="1:68" ht="27" customHeight="1" x14ac:dyDescent="0.25">
      <c r="A486" s="63" t="s">
        <v>738</v>
      </c>
      <c r="B486" s="63" t="s">
        <v>739</v>
      </c>
      <c r="C486" s="36">
        <v>4301020314</v>
      </c>
      <c r="D486" s="555">
        <v>4640242180090</v>
      </c>
      <c r="E486" s="555"/>
      <c r="F486" s="62">
        <v>1.5</v>
      </c>
      <c r="G486" s="37">
        <v>8</v>
      </c>
      <c r="H486" s="62">
        <v>12</v>
      </c>
      <c r="I486" s="62">
        <v>12.435</v>
      </c>
      <c r="J486" s="37">
        <v>64</v>
      </c>
      <c r="K486" s="37" t="s">
        <v>113</v>
      </c>
      <c r="L486" s="37" t="s">
        <v>45</v>
      </c>
      <c r="M486" s="38" t="s">
        <v>112</v>
      </c>
      <c r="N486" s="38"/>
      <c r="O486" s="37">
        <v>50</v>
      </c>
      <c r="P486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740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3"/>
      <c r="P488" s="559" t="s">
        <v>40</v>
      </c>
      <c r="Q488" s="560"/>
      <c r="R488" s="560"/>
      <c r="S488" s="560"/>
      <c r="T488" s="560"/>
      <c r="U488" s="560"/>
      <c r="V488" s="561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33</v>
      </c>
      <c r="Q489" s="565"/>
      <c r="R489" s="565"/>
      <c r="S489" s="565"/>
      <c r="T489" s="565"/>
      <c r="U489" s="565"/>
      <c r="V489" s="566"/>
      <c r="W489" s="42" t="s">
        <v>0</v>
      </c>
      <c r="X489" s="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1312.8</v>
      </c>
      <c r="Y489" s="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1312.8</v>
      </c>
      <c r="Z489" s="42"/>
      <c r="AA489" s="67"/>
      <c r="AB489" s="67"/>
      <c r="AC489" s="67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34</v>
      </c>
      <c r="Q490" s="565"/>
      <c r="R490" s="565"/>
      <c r="S490" s="565"/>
      <c r="T490" s="565"/>
      <c r="U490" s="565"/>
      <c r="V490" s="566"/>
      <c r="W490" s="42" t="s">
        <v>0</v>
      </c>
      <c r="X490" s="43">
        <f>IFERROR(SUM(BM22:BM486),"0")</f>
        <v>1386.2399999999998</v>
      </c>
      <c r="Y490" s="43">
        <f>IFERROR(SUM(BN22:BN486),"0")</f>
        <v>1386.2399999999998</v>
      </c>
      <c r="Z490" s="42"/>
      <c r="AA490" s="67"/>
      <c r="AB490" s="67"/>
      <c r="AC490" s="67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35</v>
      </c>
      <c r="Q491" s="565"/>
      <c r="R491" s="565"/>
      <c r="S491" s="565"/>
      <c r="T491" s="565"/>
      <c r="U491" s="565"/>
      <c r="V491" s="566"/>
      <c r="W491" s="42" t="s">
        <v>20</v>
      </c>
      <c r="X491" s="44">
        <f>ROUNDUP(SUM(BO22:BO486),0)</f>
        <v>3</v>
      </c>
      <c r="Y491" s="44">
        <f>ROUNDUP(SUM(BP22:BP486),0)</f>
        <v>3</v>
      </c>
      <c r="Z491" s="42"/>
      <c r="AA491" s="67"/>
      <c r="AB491" s="67"/>
      <c r="AC491" s="67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36</v>
      </c>
      <c r="Q492" s="565"/>
      <c r="R492" s="565"/>
      <c r="S492" s="565"/>
      <c r="T492" s="565"/>
      <c r="U492" s="565"/>
      <c r="V492" s="566"/>
      <c r="W492" s="42" t="s">
        <v>0</v>
      </c>
      <c r="X492" s="43">
        <f>GrossWeightTotal+PalletQtyTotal*25</f>
        <v>1461.2399999999998</v>
      </c>
      <c r="Y492" s="43">
        <f>GrossWeightTotalR+PalletQtyTotalR*25</f>
        <v>1461.2399999999998</v>
      </c>
      <c r="Z492" s="42"/>
      <c r="AA492" s="67"/>
      <c r="AB492" s="67"/>
      <c r="AC492" s="67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37</v>
      </c>
      <c r="Q493" s="565"/>
      <c r="R493" s="565"/>
      <c r="S493" s="565"/>
      <c r="T493" s="565"/>
      <c r="U493" s="565"/>
      <c r="V493" s="566"/>
      <c r="W493" s="42" t="s">
        <v>20</v>
      </c>
      <c r="X493" s="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172</v>
      </c>
      <c r="Y493" s="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172</v>
      </c>
      <c r="Z493" s="42"/>
      <c r="AA493" s="67"/>
      <c r="AB493" s="67"/>
      <c r="AC493" s="67"/>
    </row>
    <row r="494" spans="1:68" ht="14.25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567"/>
      <c r="P494" s="564" t="s">
        <v>38</v>
      </c>
      <c r="Q494" s="565"/>
      <c r="R494" s="565"/>
      <c r="S494" s="565"/>
      <c r="T494" s="565"/>
      <c r="U494" s="565"/>
      <c r="V494" s="566"/>
      <c r="W494" s="45" t="s">
        <v>51</v>
      </c>
      <c r="X494" s="42"/>
      <c r="Y494" s="42"/>
      <c r="Z494" s="42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2.7010800000000001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75</v>
      </c>
      <c r="C496" s="550" t="s">
        <v>106</v>
      </c>
      <c r="D496" s="550" t="s">
        <v>106</v>
      </c>
      <c r="E496" s="550" t="s">
        <v>106</v>
      </c>
      <c r="F496" s="550" t="s">
        <v>106</v>
      </c>
      <c r="G496" s="550" t="s">
        <v>106</v>
      </c>
      <c r="H496" s="550" t="s">
        <v>106</v>
      </c>
      <c r="I496" s="550" t="s">
        <v>262</v>
      </c>
      <c r="J496" s="550" t="s">
        <v>262</v>
      </c>
      <c r="K496" s="550" t="s">
        <v>262</v>
      </c>
      <c r="L496" s="550" t="s">
        <v>262</v>
      </c>
      <c r="M496" s="550" t="s">
        <v>262</v>
      </c>
      <c r="N496" s="551"/>
      <c r="O496" s="550" t="s">
        <v>262</v>
      </c>
      <c r="P496" s="550" t="s">
        <v>262</v>
      </c>
      <c r="Q496" s="550" t="s">
        <v>262</v>
      </c>
      <c r="R496" s="550" t="s">
        <v>262</v>
      </c>
      <c r="S496" s="550" t="s">
        <v>539</v>
      </c>
      <c r="T496" s="550" t="s">
        <v>539</v>
      </c>
      <c r="U496" s="550" t="s">
        <v>590</v>
      </c>
      <c r="V496" s="550" t="s">
        <v>590</v>
      </c>
      <c r="W496" s="550" t="s">
        <v>590</v>
      </c>
      <c r="X496" s="85" t="s">
        <v>641</v>
      </c>
      <c r="Y496" s="550" t="s">
        <v>701</v>
      </c>
      <c r="Z496" s="550" t="s">
        <v>701</v>
      </c>
      <c r="AB496" s="60"/>
      <c r="AC496" s="60"/>
      <c r="AF496" s="1"/>
    </row>
    <row r="497" spans="1:32" ht="14.25" customHeight="1" thickTop="1" x14ac:dyDescent="0.2">
      <c r="A497" s="552" t="s">
        <v>10</v>
      </c>
      <c r="B497" s="550" t="s">
        <v>75</v>
      </c>
      <c r="C497" s="550" t="s">
        <v>107</v>
      </c>
      <c r="D497" s="550" t="s">
        <v>122</v>
      </c>
      <c r="E497" s="550" t="s">
        <v>178</v>
      </c>
      <c r="F497" s="550" t="s">
        <v>197</v>
      </c>
      <c r="G497" s="550" t="s">
        <v>227</v>
      </c>
      <c r="H497" s="550" t="s">
        <v>106</v>
      </c>
      <c r="I497" s="550" t="s">
        <v>263</v>
      </c>
      <c r="J497" s="550" t="s">
        <v>303</v>
      </c>
      <c r="K497" s="550" t="s">
        <v>363</v>
      </c>
      <c r="L497" s="550" t="s">
        <v>405</v>
      </c>
      <c r="M497" s="550" t="s">
        <v>421</v>
      </c>
      <c r="N497" s="1"/>
      <c r="O497" s="550" t="s">
        <v>432</v>
      </c>
      <c r="P497" s="550" t="s">
        <v>441</v>
      </c>
      <c r="Q497" s="550" t="s">
        <v>451</v>
      </c>
      <c r="R497" s="550" t="s">
        <v>529</v>
      </c>
      <c r="S497" s="550" t="s">
        <v>540</v>
      </c>
      <c r="T497" s="550" t="s">
        <v>574</v>
      </c>
      <c r="U497" s="550" t="s">
        <v>591</v>
      </c>
      <c r="V497" s="550" t="s">
        <v>622</v>
      </c>
      <c r="W497" s="550" t="s">
        <v>637</v>
      </c>
      <c r="X497" s="550" t="s">
        <v>641</v>
      </c>
      <c r="Y497" s="550" t="s">
        <v>701</v>
      </c>
      <c r="Z497" s="550" t="s">
        <v>737</v>
      </c>
      <c r="AB497" s="60"/>
      <c r="AC497" s="60"/>
      <c r="AF497" s="1"/>
    </row>
    <row r="498" spans="1:32" ht="13.5" thickBot="1" x14ac:dyDescent="0.25">
      <c r="A498" s="553"/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1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  <c r="Z498" s="550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148.80000000000001</v>
      </c>
      <c r="E499" s="52">
        <f>IFERROR(Y86*1,"0")+IFERROR(Y87*1,"0")+IFERROR(Y88*1,"0")+IFERROR(Y92*1,"0")+IFERROR(Y93*1,"0")+IFERROR(Y94*1,"0")+IFERROR(Y95*1,"0")</f>
        <v>64.8</v>
      </c>
      <c r="F499" s="52">
        <f>IFERROR(Y100*1,"0")+IFERROR(Y101*1,"0")+IFERROR(Y102*1,"0")+IFERROR(Y103*1,"0")+IFERROR(Y107*1,"0")+IFERROR(Y108*1,"0")+IFERROR(Y109*1,"0")+IFERROR(Y113*1,"0")+IFERROR(Y114*1,"0")+IFERROR(Y115*1,"0")+IFERROR(Y116*1,"0")+IFERROR(Y120*1,"0")</f>
        <v>64.8</v>
      </c>
      <c r="G499" s="52">
        <f>IFERROR(Y125*1,"0")+IFERROR(Y126*1,"0")+IFERROR(Y130*1,"0")+IFERROR(Y131*1,"0")+IFERROR(Y135*1,"0")+IFERROR(Y136*1,"0")</f>
        <v>0</v>
      </c>
      <c r="H499" s="52">
        <f>IFERROR(Y141*1,"0")+IFERROR(Y142*1,"0")+IFERROR(Y143*1,"0")+IFERROR(Y147*1,"0")+IFERROR(Y148*1,"0")+IFERROR(Y149*1,"0")+IFERROR(Y153*1,"0")</f>
        <v>0</v>
      </c>
      <c r="I499" s="52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259.2</v>
      </c>
      <c r="R499" s="52">
        <f>IFERROR(Y335*1,"0")+IFERROR(Y336*1,"0")+IFERROR(Y337*1,"0")</f>
        <v>64.8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360</v>
      </c>
      <c r="T499" s="52">
        <f>IFERROR(Y368*1,"0")+IFERROR(Y369*1,"0")+IFERROR(Y373*1,"0")+IFERROR(Y374*1,"0")+IFERROR(Y378*1,"0")+IFERROR(Y379*1,"0")</f>
        <v>139.19999999999999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211.20000000000002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3" t="s">
        <v>742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744</v>
      </c>
      <c r="C6" s="53" t="s">
        <v>745</v>
      </c>
      <c r="D6" s="53" t="s">
        <v>746</v>
      </c>
      <c r="E6" s="53" t="s">
        <v>45</v>
      </c>
    </row>
    <row r="7" spans="2:8" x14ac:dyDescent="0.2">
      <c r="B7" s="53" t="s">
        <v>747</v>
      </c>
      <c r="C7" s="53" t="s">
        <v>748</v>
      </c>
      <c r="D7" s="53" t="s">
        <v>749</v>
      </c>
      <c r="E7" s="53" t="s">
        <v>45</v>
      </c>
    </row>
    <row r="8" spans="2:8" x14ac:dyDescent="0.2">
      <c r="B8" s="53" t="s">
        <v>750</v>
      </c>
      <c r="C8" s="53" t="s">
        <v>751</v>
      </c>
      <c r="D8" s="53" t="s">
        <v>752</v>
      </c>
      <c r="E8" s="53" t="s">
        <v>45</v>
      </c>
    </row>
    <row r="9" spans="2:8" x14ac:dyDescent="0.2">
      <c r="B9" s="53" t="s">
        <v>753</v>
      </c>
      <c r="C9" s="53" t="s">
        <v>754</v>
      </c>
      <c r="D9" s="53" t="s">
        <v>755</v>
      </c>
      <c r="E9" s="53" t="s">
        <v>45</v>
      </c>
    </row>
    <row r="11" spans="2:8" x14ac:dyDescent="0.2">
      <c r="B11" s="53" t="s">
        <v>756</v>
      </c>
      <c r="C11" s="53" t="s">
        <v>745</v>
      </c>
      <c r="D11" s="53" t="s">
        <v>45</v>
      </c>
      <c r="E11" s="53" t="s">
        <v>45</v>
      </c>
    </row>
    <row r="13" spans="2:8" x14ac:dyDescent="0.2">
      <c r="B13" s="53" t="s">
        <v>757</v>
      </c>
      <c r="C13" s="53" t="s">
        <v>748</v>
      </c>
      <c r="D13" s="53" t="s">
        <v>45</v>
      </c>
      <c r="E13" s="53" t="s">
        <v>45</v>
      </c>
    </row>
    <row r="15" spans="2:8" x14ac:dyDescent="0.2">
      <c r="B15" s="53" t="s">
        <v>758</v>
      </c>
      <c r="C15" s="53" t="s">
        <v>751</v>
      </c>
      <c r="D15" s="53" t="s">
        <v>45</v>
      </c>
      <c r="E15" s="53" t="s">
        <v>45</v>
      </c>
    </row>
    <row r="17" spans="2:5" x14ac:dyDescent="0.2">
      <c r="B17" s="53" t="s">
        <v>759</v>
      </c>
      <c r="C17" s="53" t="s">
        <v>754</v>
      </c>
      <c r="D17" s="53" t="s">
        <v>45</v>
      </c>
      <c r="E17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762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763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764</v>
      </c>
      <c r="C23" s="53" t="s">
        <v>45</v>
      </c>
      <c r="D23" s="53" t="s">
        <v>45</v>
      </c>
      <c r="E23" s="53" t="s">
        <v>45</v>
      </c>
    </row>
    <row r="24" spans="2:5" x14ac:dyDescent="0.2">
      <c r="B24" s="53" t="s">
        <v>765</v>
      </c>
      <c r="C24" s="53" t="s">
        <v>45</v>
      </c>
      <c r="D24" s="53" t="s">
        <v>45</v>
      </c>
      <c r="E24" s="53" t="s">
        <v>45</v>
      </c>
    </row>
    <row r="25" spans="2:5" x14ac:dyDescent="0.2">
      <c r="B25" s="53" t="s">
        <v>766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767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768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769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770</v>
      </c>
      <c r="C29" s="53" t="s">
        <v>45</v>
      </c>
      <c r="D29" s="53" t="s">
        <v>45</v>
      </c>
      <c r="E29" s="53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bb0b2827-4eb3-461f-8866-28597c48f47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2025-12-26T11:54:53Z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