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CA3754-3C61-4B99-99E3-42D97C0B82C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62" i="2" l="1"/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Z254" i="2" s="1"/>
  <c r="Y252" i="2"/>
  <c r="BP252" i="2" s="1"/>
  <c r="P252" i="2"/>
  <c r="X248" i="2"/>
  <c r="X247" i="2"/>
  <c r="BO246" i="2"/>
  <c r="BN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Z205" i="2" s="1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Y148" i="2"/>
  <c r="Y152" i="2" s="1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Z132" i="2" s="1"/>
  <c r="Y128" i="2"/>
  <c r="P128" i="2"/>
  <c r="X125" i="2"/>
  <c r="Z124" i="2"/>
  <c r="X124" i="2"/>
  <c r="BO123" i="2"/>
  <c r="BM123" i="2"/>
  <c r="Z123" i="2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Z57" i="2" s="1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N22" i="2"/>
  <c r="BM22" i="2"/>
  <c r="Z22" i="2"/>
  <c r="Y22" i="2"/>
  <c r="BP22" i="2" s="1"/>
  <c r="P22" i="2"/>
  <c r="H10" i="2"/>
  <c r="A9" i="2"/>
  <c r="J9" i="2" s="1"/>
  <c r="D7" i="2"/>
  <c r="Q6" i="2"/>
  <c r="P2" i="2"/>
  <c r="BP71" i="2" l="1"/>
  <c r="Y167" i="2"/>
  <c r="Y184" i="2"/>
  <c r="Y185" i="2"/>
  <c r="Y227" i="2"/>
  <c r="Y237" i="2"/>
  <c r="Y238" i="2"/>
  <c r="X280" i="2"/>
  <c r="X282" i="2" s="1"/>
  <c r="Y31" i="2"/>
  <c r="BN25" i="2"/>
  <c r="Z43" i="2"/>
  <c r="BN47" i="2"/>
  <c r="Z78" i="2"/>
  <c r="Z89" i="2"/>
  <c r="Z105" i="2"/>
  <c r="Y124" i="2"/>
  <c r="Y132" i="2"/>
  <c r="Y139" i="2"/>
  <c r="Z151" i="2"/>
  <c r="Y157" i="2"/>
  <c r="BN166" i="2"/>
  <c r="Z179" i="2"/>
  <c r="BN183" i="2"/>
  <c r="Z211" i="2"/>
  <c r="BN226" i="2"/>
  <c r="BN232" i="2"/>
  <c r="BN236" i="2"/>
  <c r="BN253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2" i="2" s="1"/>
  <c r="Y283" i="2"/>
  <c r="C292" i="2" l="1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<sst xmlns="http://schemas.openxmlformats.org/spreadsheetml/2006/main" count="1753" uniqueCount="420">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</sst>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0" t="s">
        <v>26</v>
      </c>
      <c r="E1" s="280"/>
      <c r="F1" s="280"/>
      <c r="G1" s="14" t="s">
        <v>70</v>
      </c>
      <c r="H1" s="280" t="s">
        <v>47</v>
      </c>
      <c r="I1" s="280"/>
      <c r="J1" s="280"/>
      <c r="K1" s="280"/>
      <c r="L1" s="280"/>
      <c r="M1" s="280"/>
      <c r="N1" s="280"/>
      <c r="O1" s="280"/>
      <c r="P1" s="280"/>
      <c r="Q1" s="280"/>
      <c r="R1" s="281" t="s">
        <v>71</v>
      </c>
      <c r="S1" s="282"/>
      <c r="T1" s="28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4" t="s">
        <v>8</v>
      </c>
      <c r="B5" s="284"/>
      <c r="C5" s="284"/>
      <c r="D5" s="285"/>
      <c r="E5" s="285"/>
      <c r="F5" s="286" t="s">
        <v>14</v>
      </c>
      <c r="G5" s="286"/>
      <c r="H5" s="285"/>
      <c r="I5" s="285"/>
      <c r="J5" s="285"/>
      <c r="K5" s="285"/>
      <c r="L5" s="285"/>
      <c r="M5" s="285"/>
      <c r="N5" s="72"/>
      <c r="P5" s="26" t="s">
        <v>4</v>
      </c>
      <c r="Q5" s="287"/>
      <c r="R5" s="287"/>
      <c r="T5" s="288" t="s">
        <v>3</v>
      </c>
      <c r="U5" s="289"/>
      <c r="V5" s="290" t="s">
        <v>387</v>
      </c>
      <c r="W5" s="291"/>
      <c r="AB5" s="57"/>
      <c r="AC5" s="57"/>
      <c r="AD5" s="57"/>
      <c r="AE5" s="57"/>
    </row>
    <row r="6" spans="1:32" s="17" customFormat="1" ht="24" customHeight="1" x14ac:dyDescent="0.2">
      <c r="A6" s="284" t="s">
        <v>1</v>
      </c>
      <c r="B6" s="284"/>
      <c r="C6" s="284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73"/>
      <c r="P6" s="26" t="s">
        <v>27</v>
      </c>
      <c r="Q6" s="293" t="str">
        <f>IF(Q5=0," ",CHOOSE(WEEKDAY(Q5,2),"Понедельник","Вторник","Среда","Четверг","Пятница","Суббота","Воскресенье"))</f>
        <v xml:space="preserve"> </v>
      </c>
      <c r="R6" s="293"/>
      <c r="T6" s="294" t="s">
        <v>5</v>
      </c>
      <c r="U6" s="295"/>
      <c r="V6" s="296" t="s">
        <v>73</v>
      </c>
      <c r="W6" s="29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94"/>
      <c r="U7" s="295"/>
      <c r="V7" s="298"/>
      <c r="W7" s="299"/>
      <c r="AB7" s="57"/>
      <c r="AC7" s="57"/>
      <c r="AD7" s="57"/>
      <c r="AE7" s="57"/>
    </row>
    <row r="8" spans="1:32" s="17" customFormat="1" ht="25.5" customHeight="1" x14ac:dyDescent="0.2">
      <c r="A8" s="305" t="s">
        <v>58</v>
      </c>
      <c r="B8" s="305"/>
      <c r="C8" s="305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75"/>
      <c r="P8" s="26" t="s">
        <v>11</v>
      </c>
      <c r="Q8" s="307"/>
      <c r="R8" s="307"/>
      <c r="T8" s="294"/>
      <c r="U8" s="295"/>
      <c r="V8" s="298"/>
      <c r="W8" s="299"/>
      <c r="AB8" s="57"/>
      <c r="AC8" s="57"/>
      <c r="AD8" s="57"/>
      <c r="AE8" s="57"/>
    </row>
    <row r="9" spans="1:32" s="17" customFormat="1" ht="39.950000000000003" customHeight="1" x14ac:dyDescent="0.2">
      <c r="A9" s="3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8"/>
      <c r="C9" s="308"/>
      <c r="D9" s="309" t="s">
        <v>46</v>
      </c>
      <c r="E9" s="310"/>
      <c r="F9" s="3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8"/>
      <c r="H9" s="311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70"/>
      <c r="P9" s="29" t="s">
        <v>15</v>
      </c>
      <c r="Q9" s="312">
        <v>46303</v>
      </c>
      <c r="R9" s="312"/>
      <c r="T9" s="294"/>
      <c r="U9" s="295"/>
      <c r="V9" s="300"/>
      <c r="W9" s="30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8"/>
      <c r="C10" s="308"/>
      <c r="D10" s="309"/>
      <c r="E10" s="310"/>
      <c r="F10" s="3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8"/>
      <c r="H10" s="313" t="str">
        <f>IFERROR(VLOOKUP($D$10,Proxy,2,FALSE),"")</f>
        <v/>
      </c>
      <c r="I10" s="313"/>
      <c r="J10" s="313"/>
      <c r="K10" s="313"/>
      <c r="L10" s="313"/>
      <c r="M10" s="313"/>
      <c r="N10" s="71"/>
      <c r="P10" s="29" t="s">
        <v>32</v>
      </c>
      <c r="Q10" s="314">
        <v>0.54166666666666663</v>
      </c>
      <c r="R10" s="314"/>
      <c r="U10" s="26" t="s">
        <v>12</v>
      </c>
      <c r="V10" s="315" t="s">
        <v>74</v>
      </c>
      <c r="W10" s="31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7"/>
      <c r="R11" s="317"/>
      <c r="U11" s="26" t="s">
        <v>28</v>
      </c>
      <c r="V11" s="318" t="s">
        <v>55</v>
      </c>
      <c r="W11" s="31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9" t="s">
        <v>75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76"/>
      <c r="P12" s="26" t="s">
        <v>30</v>
      </c>
      <c r="Q12" s="307"/>
      <c r="R12" s="307"/>
      <c r="S12" s="27"/>
      <c r="T12"/>
      <c r="U12" s="26" t="s">
        <v>46</v>
      </c>
      <c r="V12" s="320"/>
      <c r="W12" s="320"/>
      <c r="X12"/>
      <c r="AB12" s="57"/>
      <c r="AC12" s="57"/>
      <c r="AD12" s="57"/>
      <c r="AE12" s="57"/>
    </row>
    <row r="13" spans="1:32" s="17" customFormat="1" ht="23.25" customHeight="1" x14ac:dyDescent="0.2">
      <c r="A13" s="319" t="s">
        <v>76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76"/>
      <c r="O13" s="29"/>
      <c r="P13" s="29" t="s">
        <v>31</v>
      </c>
      <c r="Q13" s="318"/>
      <c r="R13" s="31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9" t="s">
        <v>77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1" t="s">
        <v>78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1"/>
      <c r="N15" s="77"/>
      <c r="O15"/>
      <c r="P15" s="322" t="s">
        <v>61</v>
      </c>
      <c r="Q15" s="322"/>
      <c r="R15" s="322"/>
      <c r="S15" s="322"/>
      <c r="T15" s="32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3"/>
      <c r="Q16" s="323"/>
      <c r="R16" s="323"/>
      <c r="S16" s="323"/>
      <c r="T16" s="3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6" t="s">
        <v>59</v>
      </c>
      <c r="B17" s="326" t="s">
        <v>49</v>
      </c>
      <c r="C17" s="328" t="s">
        <v>48</v>
      </c>
      <c r="D17" s="330" t="s">
        <v>50</v>
      </c>
      <c r="E17" s="331"/>
      <c r="F17" s="326" t="s">
        <v>21</v>
      </c>
      <c r="G17" s="326" t="s">
        <v>24</v>
      </c>
      <c r="H17" s="326" t="s">
        <v>22</v>
      </c>
      <c r="I17" s="326" t="s">
        <v>23</v>
      </c>
      <c r="J17" s="326" t="s">
        <v>16</v>
      </c>
      <c r="K17" s="326" t="s">
        <v>69</v>
      </c>
      <c r="L17" s="326" t="s">
        <v>67</v>
      </c>
      <c r="M17" s="326" t="s">
        <v>2</v>
      </c>
      <c r="N17" s="326" t="s">
        <v>66</v>
      </c>
      <c r="O17" s="326" t="s">
        <v>25</v>
      </c>
      <c r="P17" s="330" t="s">
        <v>17</v>
      </c>
      <c r="Q17" s="334"/>
      <c r="R17" s="334"/>
      <c r="S17" s="334"/>
      <c r="T17" s="331"/>
      <c r="U17" s="324" t="s">
        <v>56</v>
      </c>
      <c r="V17" s="325"/>
      <c r="W17" s="326" t="s">
        <v>6</v>
      </c>
      <c r="X17" s="326" t="s">
        <v>41</v>
      </c>
      <c r="Y17" s="336" t="s">
        <v>54</v>
      </c>
      <c r="Z17" s="338" t="s">
        <v>18</v>
      </c>
      <c r="AA17" s="340" t="s">
        <v>60</v>
      </c>
      <c r="AB17" s="340" t="s">
        <v>19</v>
      </c>
      <c r="AC17" s="340" t="s">
        <v>68</v>
      </c>
      <c r="AD17" s="342" t="s">
        <v>57</v>
      </c>
      <c r="AE17" s="343"/>
      <c r="AF17" s="344"/>
      <c r="AG17" s="80"/>
      <c r="BD17" s="79" t="s">
        <v>64</v>
      </c>
    </row>
    <row r="18" spans="1:68" ht="14.25" customHeight="1" x14ac:dyDescent="0.2">
      <c r="A18" s="327"/>
      <c r="B18" s="327"/>
      <c r="C18" s="329"/>
      <c r="D18" s="332"/>
      <c r="E18" s="333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32"/>
      <c r="Q18" s="335"/>
      <c r="R18" s="335"/>
      <c r="S18" s="335"/>
      <c r="T18" s="333"/>
      <c r="U18" s="81" t="s">
        <v>44</v>
      </c>
      <c r="V18" s="81" t="s">
        <v>43</v>
      </c>
      <c r="W18" s="327"/>
      <c r="X18" s="327"/>
      <c r="Y18" s="337"/>
      <c r="Z18" s="339"/>
      <c r="AA18" s="341"/>
      <c r="AB18" s="341"/>
      <c r="AC18" s="341"/>
      <c r="AD18" s="345"/>
      <c r="AE18" s="346"/>
      <c r="AF18" s="347"/>
      <c r="AG18" s="80"/>
      <c r="BD18" s="79"/>
    </row>
    <row r="19" spans="1:68" ht="27.75" hidden="1" customHeight="1" x14ac:dyDescent="0.2">
      <c r="A19" s="348" t="s">
        <v>79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52"/>
      <c r="AB19" s="52"/>
      <c r="AC19" s="52"/>
    </row>
    <row r="20" spans="1:68" ht="16.5" hidden="1" customHeight="1" x14ac:dyDescent="0.25">
      <c r="A20" s="349" t="s">
        <v>79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62"/>
      <c r="AB20" s="62"/>
      <c r="AC20" s="62"/>
    </row>
    <row r="21" spans="1:68" ht="14.25" hidden="1" customHeight="1" x14ac:dyDescent="0.25">
      <c r="A21" s="350" t="s">
        <v>80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  <c r="Z21" s="35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1">
        <v>4620207491508</v>
      </c>
      <c r="E22" s="351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3"/>
      <c r="R22" s="353"/>
      <c r="S22" s="353"/>
      <c r="T22" s="354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1">
        <v>4620207491256</v>
      </c>
      <c r="E23" s="351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3"/>
      <c r="R23" s="353"/>
      <c r="S23" s="353"/>
      <c r="T23" s="354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1">
        <v>4620207491713</v>
      </c>
      <c r="E24" s="351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3"/>
      <c r="R24" s="353"/>
      <c r="S24" s="353"/>
      <c r="T24" s="354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1">
        <v>4620207491720</v>
      </c>
      <c r="E25" s="351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3"/>
      <c r="R25" s="353"/>
      <c r="S25" s="353"/>
      <c r="T25" s="354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1">
        <v>4607111035912</v>
      </c>
      <c r="E26" s="351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3"/>
      <c r="R26" s="353"/>
      <c r="S26" s="353"/>
      <c r="T26" s="354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1">
        <v>4607111035929</v>
      </c>
      <c r="E27" s="35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3"/>
      <c r="R27" s="353"/>
      <c r="S27" s="353"/>
      <c r="T27" s="354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1">
        <v>4607111035882</v>
      </c>
      <c r="E28" s="351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3"/>
      <c r="R28" s="353"/>
      <c r="S28" s="353"/>
      <c r="T28" s="354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1">
        <v>4607111035905</v>
      </c>
      <c r="E29" s="351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3"/>
      <c r="R29" s="353"/>
      <c r="S29" s="353"/>
      <c r="T29" s="354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5"/>
      <c r="B30" s="365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6"/>
      <c r="P30" s="362" t="s">
        <v>40</v>
      </c>
      <c r="Q30" s="363"/>
      <c r="R30" s="363"/>
      <c r="S30" s="363"/>
      <c r="T30" s="363"/>
      <c r="U30" s="363"/>
      <c r="V30" s="364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5"/>
      <c r="B31" s="365"/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365"/>
      <c r="O31" s="366"/>
      <c r="P31" s="362" t="s">
        <v>40</v>
      </c>
      <c r="Q31" s="363"/>
      <c r="R31" s="363"/>
      <c r="S31" s="363"/>
      <c r="T31" s="363"/>
      <c r="U31" s="363"/>
      <c r="V31" s="364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49" t="s">
        <v>104</v>
      </c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62"/>
      <c r="AB32" s="62"/>
      <c r="AC32" s="62"/>
    </row>
    <row r="33" spans="1:68" ht="14.25" hidden="1" customHeight="1" x14ac:dyDescent="0.25">
      <c r="A33" s="350" t="s">
        <v>80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1">
        <v>4607111039019</v>
      </c>
      <c r="E34" s="351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6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3"/>
      <c r="R34" s="353"/>
      <c r="S34" s="353"/>
      <c r="T34" s="354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1">
        <v>4607111038708</v>
      </c>
      <c r="E35" s="351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3"/>
      <c r="R35" s="353"/>
      <c r="S35" s="353"/>
      <c r="T35" s="354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5"/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6"/>
      <c r="P36" s="362" t="s">
        <v>40</v>
      </c>
      <c r="Q36" s="363"/>
      <c r="R36" s="363"/>
      <c r="S36" s="363"/>
      <c r="T36" s="363"/>
      <c r="U36" s="363"/>
      <c r="V36" s="364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5"/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6"/>
      <c r="P37" s="362" t="s">
        <v>40</v>
      </c>
      <c r="Q37" s="363"/>
      <c r="R37" s="363"/>
      <c r="S37" s="363"/>
      <c r="T37" s="363"/>
      <c r="U37" s="363"/>
      <c r="V37" s="364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8" t="s">
        <v>45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52"/>
      <c r="AB38" s="52"/>
      <c r="AC38" s="52"/>
    </row>
    <row r="39" spans="1:68" ht="16.5" hidden="1" customHeight="1" x14ac:dyDescent="0.25">
      <c r="A39" s="349" t="s">
        <v>110</v>
      </c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62"/>
      <c r="AB39" s="62"/>
      <c r="AC39" s="62"/>
    </row>
    <row r="40" spans="1:68" ht="14.25" hidden="1" customHeight="1" x14ac:dyDescent="0.25">
      <c r="A40" s="350" t="s">
        <v>111</v>
      </c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351">
        <v>4607111036537</v>
      </c>
      <c r="E41" s="351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6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3"/>
      <c r="R41" s="353"/>
      <c r="S41" s="353"/>
      <c r="T41" s="354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351">
        <v>4607111036605</v>
      </c>
      <c r="E42" s="351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3"/>
      <c r="R42" s="353"/>
      <c r="S42" s="353"/>
      <c r="T42" s="354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6"/>
      <c r="P43" s="362" t="s">
        <v>40</v>
      </c>
      <c r="Q43" s="363"/>
      <c r="R43" s="363"/>
      <c r="S43" s="363"/>
      <c r="T43" s="363"/>
      <c r="U43" s="363"/>
      <c r="V43" s="364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65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6"/>
      <c r="P44" s="362" t="s">
        <v>40</v>
      </c>
      <c r="Q44" s="363"/>
      <c r="R44" s="363"/>
      <c r="S44" s="363"/>
      <c r="T44" s="363"/>
      <c r="U44" s="363"/>
      <c r="V44" s="364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49" t="s">
        <v>121</v>
      </c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62"/>
      <c r="AB45" s="62"/>
      <c r="AC45" s="62"/>
    </row>
    <row r="46" spans="1:68" ht="14.25" hidden="1" customHeight="1" x14ac:dyDescent="0.25">
      <c r="A46" s="350" t="s">
        <v>80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1">
        <v>4620207490075</v>
      </c>
      <c r="E47" s="35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3"/>
      <c r="R47" s="353"/>
      <c r="S47" s="353"/>
      <c r="T47" s="354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1">
        <v>4620207490174</v>
      </c>
      <c r="E48" s="351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3"/>
      <c r="R48" s="353"/>
      <c r="S48" s="353"/>
      <c r="T48" s="354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5"/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6"/>
      <c r="P49" s="362" t="s">
        <v>40</v>
      </c>
      <c r="Q49" s="363"/>
      <c r="R49" s="363"/>
      <c r="S49" s="363"/>
      <c r="T49" s="363"/>
      <c r="U49" s="363"/>
      <c r="V49" s="364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5"/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6"/>
      <c r="P50" s="362" t="s">
        <v>40</v>
      </c>
      <c r="Q50" s="363"/>
      <c r="R50" s="363"/>
      <c r="S50" s="363"/>
      <c r="T50" s="363"/>
      <c r="U50" s="363"/>
      <c r="V50" s="364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49" t="s">
        <v>128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2"/>
      <c r="AB51" s="62"/>
      <c r="AC51" s="62"/>
    </row>
    <row r="52" spans="1:68" ht="14.25" hidden="1" customHeight="1" x14ac:dyDescent="0.25">
      <c r="A52" s="350" t="s">
        <v>80</v>
      </c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1">
        <v>4607111039385</v>
      </c>
      <c r="E53" s="351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3"/>
      <c r="R53" s="353"/>
      <c r="S53" s="353"/>
      <c r="T53" s="354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1">
        <v>4607111038982</v>
      </c>
      <c r="E54" s="351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3"/>
      <c r="R54" s="353"/>
      <c r="S54" s="353"/>
      <c r="T54" s="354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1">
        <v>4607111039354</v>
      </c>
      <c r="E55" s="351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3"/>
      <c r="R55" s="353"/>
      <c r="S55" s="353"/>
      <c r="T55" s="354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351">
        <v>4607111039330</v>
      </c>
      <c r="E56" s="351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3"/>
      <c r="R56" s="353"/>
      <c r="S56" s="353"/>
      <c r="T56" s="354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365"/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6"/>
      <c r="P57" s="362" t="s">
        <v>40</v>
      </c>
      <c r="Q57" s="363"/>
      <c r="R57" s="363"/>
      <c r="S57" s="363"/>
      <c r="T57" s="363"/>
      <c r="U57" s="363"/>
      <c r="V57" s="364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365"/>
      <c r="B58" s="365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6"/>
      <c r="P58" s="362" t="s">
        <v>40</v>
      </c>
      <c r="Q58" s="363"/>
      <c r="R58" s="363"/>
      <c r="S58" s="363"/>
      <c r="T58" s="363"/>
      <c r="U58" s="363"/>
      <c r="V58" s="364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49" t="s">
        <v>139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2"/>
      <c r="AB59" s="62"/>
      <c r="AC59" s="62"/>
    </row>
    <row r="60" spans="1:68" ht="14.25" hidden="1" customHeight="1" x14ac:dyDescent="0.25">
      <c r="A60" s="350" t="s">
        <v>111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1">
        <v>4607111039712</v>
      </c>
      <c r="E61" s="351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3"/>
      <c r="R61" s="353"/>
      <c r="S61" s="353"/>
      <c r="T61" s="354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5"/>
      <c r="B62" s="365"/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5"/>
      <c r="O62" s="366"/>
      <c r="P62" s="362" t="s">
        <v>40</v>
      </c>
      <c r="Q62" s="363"/>
      <c r="R62" s="363"/>
      <c r="S62" s="363"/>
      <c r="T62" s="363"/>
      <c r="U62" s="363"/>
      <c r="V62" s="364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5"/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6"/>
      <c r="P63" s="362" t="s">
        <v>40</v>
      </c>
      <c r="Q63" s="363"/>
      <c r="R63" s="363"/>
      <c r="S63" s="363"/>
      <c r="T63" s="363"/>
      <c r="U63" s="363"/>
      <c r="V63" s="364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0" t="s">
        <v>143</v>
      </c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351">
        <v>4607111037398</v>
      </c>
      <c r="E65" s="351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3"/>
      <c r="R65" s="353"/>
      <c r="S65" s="353"/>
      <c r="T65" s="354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365"/>
      <c r="B66" s="365"/>
      <c r="C66" s="365"/>
      <c r="D66" s="365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6"/>
      <c r="P66" s="362" t="s">
        <v>40</v>
      </c>
      <c r="Q66" s="363"/>
      <c r="R66" s="363"/>
      <c r="S66" s="363"/>
      <c r="T66" s="363"/>
      <c r="U66" s="363"/>
      <c r="V66" s="364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365"/>
      <c r="B67" s="365"/>
      <c r="C67" s="365"/>
      <c r="D67" s="365"/>
      <c r="E67" s="365"/>
      <c r="F67" s="365"/>
      <c r="G67" s="365"/>
      <c r="H67" s="365"/>
      <c r="I67" s="365"/>
      <c r="J67" s="365"/>
      <c r="K67" s="365"/>
      <c r="L67" s="365"/>
      <c r="M67" s="365"/>
      <c r="N67" s="365"/>
      <c r="O67" s="366"/>
      <c r="P67" s="362" t="s">
        <v>40</v>
      </c>
      <c r="Q67" s="363"/>
      <c r="R67" s="363"/>
      <c r="S67" s="363"/>
      <c r="T67" s="363"/>
      <c r="U67" s="363"/>
      <c r="V67" s="364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50" t="s">
        <v>147</v>
      </c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  <c r="Z68" s="350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351">
        <v>4607111039705</v>
      </c>
      <c r="E69" s="351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3"/>
      <c r="R69" s="353"/>
      <c r="S69" s="353"/>
      <c r="T69" s="354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351">
        <v>4607111039729</v>
      </c>
      <c r="E70" s="351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3"/>
      <c r="R70" s="353"/>
      <c r="S70" s="353"/>
      <c r="T70" s="354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351">
        <v>4620207490228</v>
      </c>
      <c r="E71" s="351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3"/>
      <c r="R71" s="353"/>
      <c r="S71" s="353"/>
      <c r="T71" s="354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65"/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6"/>
      <c r="P72" s="362" t="s">
        <v>40</v>
      </c>
      <c r="Q72" s="363"/>
      <c r="R72" s="363"/>
      <c r="S72" s="363"/>
      <c r="T72" s="363"/>
      <c r="U72" s="363"/>
      <c r="V72" s="364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365"/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6"/>
      <c r="P73" s="362" t="s">
        <v>40</v>
      </c>
      <c r="Q73" s="363"/>
      <c r="R73" s="363"/>
      <c r="S73" s="363"/>
      <c r="T73" s="363"/>
      <c r="U73" s="363"/>
      <c r="V73" s="364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49" t="s">
        <v>155</v>
      </c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62"/>
      <c r="AB74" s="62"/>
      <c r="AC74" s="62"/>
    </row>
    <row r="75" spans="1:68" ht="14.25" hidden="1" customHeight="1" x14ac:dyDescent="0.25">
      <c r="A75" s="350" t="s">
        <v>80</v>
      </c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  <c r="Z75" s="350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351">
        <v>4607111037411</v>
      </c>
      <c r="E76" s="351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3"/>
      <c r="R76" s="353"/>
      <c r="S76" s="353"/>
      <c r="T76" s="354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351">
        <v>4607111036728</v>
      </c>
      <c r="E77" s="351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3"/>
      <c r="R77" s="353"/>
      <c r="S77" s="353"/>
      <c r="T77" s="354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6"/>
      <c r="P78" s="362" t="s">
        <v>40</v>
      </c>
      <c r="Q78" s="363"/>
      <c r="R78" s="363"/>
      <c r="S78" s="363"/>
      <c r="T78" s="363"/>
      <c r="U78" s="363"/>
      <c r="V78" s="364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6"/>
      <c r="P79" s="362" t="s">
        <v>40</v>
      </c>
      <c r="Q79" s="363"/>
      <c r="R79" s="363"/>
      <c r="S79" s="363"/>
      <c r="T79" s="363"/>
      <c r="U79" s="363"/>
      <c r="V79" s="364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49" t="s">
        <v>162</v>
      </c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62"/>
      <c r="AB80" s="62"/>
      <c r="AC80" s="62"/>
    </row>
    <row r="81" spans="1:68" ht="14.25" hidden="1" customHeight="1" x14ac:dyDescent="0.25">
      <c r="A81" s="350" t="s">
        <v>147</v>
      </c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350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351">
        <v>4607111033659</v>
      </c>
      <c r="E82" s="351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3"/>
      <c r="R82" s="353"/>
      <c r="S82" s="353"/>
      <c r="T82" s="354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6"/>
      <c r="P83" s="362" t="s">
        <v>40</v>
      </c>
      <c r="Q83" s="363"/>
      <c r="R83" s="363"/>
      <c r="S83" s="363"/>
      <c r="T83" s="363"/>
      <c r="U83" s="363"/>
      <c r="V83" s="364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6"/>
      <c r="P84" s="362" t="s">
        <v>40</v>
      </c>
      <c r="Q84" s="363"/>
      <c r="R84" s="363"/>
      <c r="S84" s="363"/>
      <c r="T84" s="363"/>
      <c r="U84" s="363"/>
      <c r="V84" s="364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49" t="s">
        <v>166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2"/>
      <c r="AB85" s="62"/>
      <c r="AC85" s="62"/>
    </row>
    <row r="86" spans="1:68" ht="14.25" hidden="1" customHeight="1" x14ac:dyDescent="0.25">
      <c r="A86" s="350" t="s">
        <v>167</v>
      </c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350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351">
        <v>4607111034120</v>
      </c>
      <c r="E87" s="351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3"/>
      <c r="R87" s="353"/>
      <c r="S87" s="353"/>
      <c r="T87" s="354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351">
        <v>4607111034137</v>
      </c>
      <c r="E88" s="351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3"/>
      <c r="R88" s="353"/>
      <c r="S88" s="353"/>
      <c r="T88" s="354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6"/>
      <c r="P89" s="362" t="s">
        <v>40</v>
      </c>
      <c r="Q89" s="363"/>
      <c r="R89" s="363"/>
      <c r="S89" s="363"/>
      <c r="T89" s="363"/>
      <c r="U89" s="363"/>
      <c r="V89" s="364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6"/>
      <c r="P90" s="362" t="s">
        <v>40</v>
      </c>
      <c r="Q90" s="363"/>
      <c r="R90" s="363"/>
      <c r="S90" s="363"/>
      <c r="T90" s="363"/>
      <c r="U90" s="363"/>
      <c r="V90" s="364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hidden="1" customHeight="1" x14ac:dyDescent="0.25">
      <c r="A91" s="349" t="s">
        <v>174</v>
      </c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62"/>
      <c r="AB91" s="62"/>
      <c r="AC91" s="62"/>
    </row>
    <row r="92" spans="1:68" ht="14.25" hidden="1" customHeight="1" x14ac:dyDescent="0.25">
      <c r="A92" s="350" t="s">
        <v>147</v>
      </c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  <c r="Z92" s="350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351">
        <v>4620207491027</v>
      </c>
      <c r="E93" s="351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3"/>
      <c r="R93" s="353"/>
      <c r="S93" s="353"/>
      <c r="T93" s="354"/>
      <c r="U93" s="37" t="s">
        <v>46</v>
      </c>
      <c r="V93" s="37" t="s">
        <v>46</v>
      </c>
      <c r="W93" s="38" t="s">
        <v>39</v>
      </c>
      <c r="X93" s="56">
        <v>70</v>
      </c>
      <c r="Y93" s="53">
        <f t="shared" ref="Y93:Y98" si="6">IFERROR(IF(X93="","",X93),"")</f>
        <v>70</v>
      </c>
      <c r="Z93" s="39">
        <f t="shared" ref="Z93:Z98" si="7">IFERROR(IF(X93="","",X93*0.01788),"")</f>
        <v>1.2516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250.852</v>
      </c>
      <c r="BN93" s="78">
        <f t="shared" ref="BN93:BN98" si="9">IFERROR(Y93*I93,"0")</f>
        <v>250.852</v>
      </c>
      <c r="BO93" s="78">
        <f t="shared" ref="BO93:BO98" si="10">IFERROR(X93/J93,"0")</f>
        <v>1</v>
      </c>
      <c r="BP93" s="78">
        <f t="shared" ref="BP93:BP98" si="11">IFERROR(Y93/J93,"0")</f>
        <v>1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351">
        <v>4620207491621</v>
      </c>
      <c r="E94" s="351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8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3"/>
      <c r="R94" s="353"/>
      <c r="S94" s="353"/>
      <c r="T94" s="354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351">
        <v>4620207491881</v>
      </c>
      <c r="E95" s="351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8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3"/>
      <c r="R95" s="353"/>
      <c r="S95" s="353"/>
      <c r="T95" s="354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351">
        <v>4620207491577</v>
      </c>
      <c r="E96" s="351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3"/>
      <c r="R96" s="353"/>
      <c r="S96" s="353"/>
      <c r="T96" s="354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351">
        <v>4620207491874</v>
      </c>
      <c r="E97" s="351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3"/>
      <c r="R97" s="353"/>
      <c r="S97" s="353"/>
      <c r="T97" s="354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351">
        <v>4607111036407</v>
      </c>
      <c r="E98" s="351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3"/>
      <c r="R98" s="353"/>
      <c r="S98" s="353"/>
      <c r="T98" s="354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6"/>
      <c r="P99" s="362" t="s">
        <v>40</v>
      </c>
      <c r="Q99" s="363"/>
      <c r="R99" s="363"/>
      <c r="S99" s="363"/>
      <c r="T99" s="363"/>
      <c r="U99" s="363"/>
      <c r="V99" s="364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6"/>
      <c r="P100" s="362" t="s">
        <v>40</v>
      </c>
      <c r="Q100" s="363"/>
      <c r="R100" s="363"/>
      <c r="S100" s="363"/>
      <c r="T100" s="363"/>
      <c r="U100" s="363"/>
      <c r="V100" s="364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hidden="1" customHeight="1" x14ac:dyDescent="0.25">
      <c r="A101" s="349" t="s">
        <v>189</v>
      </c>
      <c r="B101" s="349"/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62"/>
      <c r="AB101" s="62"/>
      <c r="AC101" s="62"/>
    </row>
    <row r="102" spans="1:68" ht="14.25" hidden="1" customHeight="1" x14ac:dyDescent="0.25">
      <c r="A102" s="350" t="s">
        <v>143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351">
        <v>4620207491652</v>
      </c>
      <c r="E103" s="351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9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3"/>
      <c r="R103" s="353"/>
      <c r="S103" s="353"/>
      <c r="T103" s="354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351">
        <v>4620207491645</v>
      </c>
      <c r="E104" s="351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3"/>
      <c r="R104" s="353"/>
      <c r="S104" s="353"/>
      <c r="T104" s="354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6"/>
      <c r="P105" s="362" t="s">
        <v>40</v>
      </c>
      <c r="Q105" s="363"/>
      <c r="R105" s="363"/>
      <c r="S105" s="363"/>
      <c r="T105" s="363"/>
      <c r="U105" s="363"/>
      <c r="V105" s="364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6"/>
      <c r="P106" s="362" t="s">
        <v>40</v>
      </c>
      <c r="Q106" s="363"/>
      <c r="R106" s="363"/>
      <c r="S106" s="363"/>
      <c r="T106" s="363"/>
      <c r="U106" s="363"/>
      <c r="V106" s="364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49" t="s">
        <v>195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2"/>
      <c r="AB107" s="62"/>
      <c r="AC107" s="62"/>
    </row>
    <row r="108" spans="1:68" ht="14.25" hidden="1" customHeight="1" x14ac:dyDescent="0.25">
      <c r="A108" s="350" t="s">
        <v>80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351">
        <v>4620207491157</v>
      </c>
      <c r="E109" s="351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3"/>
      <c r="R109" s="353"/>
      <c r="S109" s="353"/>
      <c r="T109" s="354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351">
        <v>4620207491393</v>
      </c>
      <c r="E110" s="351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3"/>
      <c r="R110" s="353"/>
      <c r="S110" s="353"/>
      <c r="T110" s="354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351">
        <v>4607111039262</v>
      </c>
      <c r="E111" s="351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3"/>
      <c r="R111" s="353"/>
      <c r="S111" s="353"/>
      <c r="T111" s="354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351">
        <v>4607111039248</v>
      </c>
      <c r="E112" s="351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3"/>
      <c r="R112" s="353"/>
      <c r="S112" s="353"/>
      <c r="T112" s="354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351">
        <v>4607111037145</v>
      </c>
      <c r="E113" s="351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3"/>
      <c r="R113" s="353"/>
      <c r="S113" s="353"/>
      <c r="T113" s="354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351">
        <v>4607111039293</v>
      </c>
      <c r="E114" s="351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3"/>
      <c r="R114" s="353"/>
      <c r="S114" s="353"/>
      <c r="T114" s="354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351">
        <v>4607111039279</v>
      </c>
      <c r="E115" s="351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3"/>
      <c r="R115" s="353"/>
      <c r="S115" s="353"/>
      <c r="T115" s="354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6"/>
      <c r="P116" s="362" t="s">
        <v>40</v>
      </c>
      <c r="Q116" s="363"/>
      <c r="R116" s="363"/>
      <c r="S116" s="363"/>
      <c r="T116" s="363"/>
      <c r="U116" s="363"/>
      <c r="V116" s="364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6"/>
      <c r="P117" s="362" t="s">
        <v>40</v>
      </c>
      <c r="Q117" s="363"/>
      <c r="R117" s="363"/>
      <c r="S117" s="363"/>
      <c r="T117" s="363"/>
      <c r="U117" s="363"/>
      <c r="V117" s="364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50" t="s">
        <v>147</v>
      </c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  <c r="Z118" s="350"/>
      <c r="AA118" s="63"/>
      <c r="AB118" s="63"/>
      <c r="AC118" s="63"/>
    </row>
    <row r="119" spans="1:68" ht="27" customHeight="1" x14ac:dyDescent="0.25">
      <c r="A119" s="60" t="s">
        <v>213</v>
      </c>
      <c r="B119" s="60" t="s">
        <v>214</v>
      </c>
      <c r="C119" s="34">
        <v>4301135826</v>
      </c>
      <c r="D119" s="351">
        <v>4620207490983</v>
      </c>
      <c r="E119" s="351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3"/>
      <c r="R119" s="353"/>
      <c r="S119" s="353"/>
      <c r="T119" s="354"/>
      <c r="U119" s="37" t="s">
        <v>46</v>
      </c>
      <c r="V119" s="37" t="s">
        <v>46</v>
      </c>
      <c r="W119" s="38" t="s">
        <v>39</v>
      </c>
      <c r="X119" s="56">
        <v>28</v>
      </c>
      <c r="Y119" s="53">
        <f>IFERROR(IF(X119="","",X119),"")</f>
        <v>28</v>
      </c>
      <c r="Z119" s="39">
        <f>IFERROR(IF(X119="","",X119*0.01788),"")</f>
        <v>0.50063999999999997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93.620800000000003</v>
      </c>
      <c r="BN119" s="78">
        <f>IFERROR(Y119*I119,"0")</f>
        <v>93.620800000000003</v>
      </c>
      <c r="BO119" s="78">
        <f>IFERROR(X119/J119,"0")</f>
        <v>0.4</v>
      </c>
      <c r="BP119" s="78">
        <f>IFERROR(Y119/J119,"0")</f>
        <v>0.4</v>
      </c>
    </row>
    <row r="120" spans="1:68" x14ac:dyDescent="0.2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6"/>
      <c r="P120" s="362" t="s">
        <v>40</v>
      </c>
      <c r="Q120" s="363"/>
      <c r="R120" s="363"/>
      <c r="S120" s="363"/>
      <c r="T120" s="363"/>
      <c r="U120" s="363"/>
      <c r="V120" s="364"/>
      <c r="W120" s="40" t="s">
        <v>39</v>
      </c>
      <c r="X120" s="41">
        <f>IFERROR(SUM(X119:X119),"0")</f>
        <v>28</v>
      </c>
      <c r="Y120" s="41">
        <f>IFERROR(SUM(Y119:Y119),"0")</f>
        <v>28</v>
      </c>
      <c r="Z120" s="41">
        <f>IFERROR(IF(Z119="",0,Z119),"0")</f>
        <v>0.50063999999999997</v>
      </c>
      <c r="AA120" s="64"/>
      <c r="AB120" s="64"/>
      <c r="AC120" s="64"/>
    </row>
    <row r="121" spans="1:68" x14ac:dyDescent="0.2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6"/>
      <c r="P121" s="362" t="s">
        <v>40</v>
      </c>
      <c r="Q121" s="363"/>
      <c r="R121" s="363"/>
      <c r="S121" s="363"/>
      <c r="T121" s="363"/>
      <c r="U121" s="363"/>
      <c r="V121" s="364"/>
      <c r="W121" s="40" t="s">
        <v>0</v>
      </c>
      <c r="X121" s="41">
        <f>IFERROR(SUMPRODUCT(X119:X119*H119:H119),"0")</f>
        <v>73.92</v>
      </c>
      <c r="Y121" s="41">
        <f>IFERROR(SUMPRODUCT(Y119:Y119*H119:H119),"0")</f>
        <v>73.92</v>
      </c>
      <c r="Z121" s="40"/>
      <c r="AA121" s="64"/>
      <c r="AB121" s="64"/>
      <c r="AC121" s="64"/>
    </row>
    <row r="122" spans="1:68" ht="14.25" hidden="1" customHeight="1" x14ac:dyDescent="0.25">
      <c r="A122" s="350" t="s">
        <v>216</v>
      </c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  <c r="Z122" s="350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351">
        <v>4620207491140</v>
      </c>
      <c r="E123" s="351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3"/>
      <c r="R123" s="353"/>
      <c r="S123" s="353"/>
      <c r="T123" s="354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6"/>
      <c r="P124" s="362" t="s">
        <v>40</v>
      </c>
      <c r="Q124" s="363"/>
      <c r="R124" s="363"/>
      <c r="S124" s="363"/>
      <c r="T124" s="363"/>
      <c r="U124" s="363"/>
      <c r="V124" s="364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6"/>
      <c r="P125" s="362" t="s">
        <v>40</v>
      </c>
      <c r="Q125" s="363"/>
      <c r="R125" s="363"/>
      <c r="S125" s="363"/>
      <c r="T125" s="363"/>
      <c r="U125" s="363"/>
      <c r="V125" s="364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49" t="s">
        <v>220</v>
      </c>
      <c r="B126" s="349"/>
      <c r="C126" s="349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62"/>
      <c r="AB126" s="62"/>
      <c r="AC126" s="62"/>
    </row>
    <row r="127" spans="1:68" ht="14.25" hidden="1" customHeight="1" x14ac:dyDescent="0.25">
      <c r="A127" s="350" t="s">
        <v>147</v>
      </c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  <c r="Z127" s="350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351">
        <v>4620207491799</v>
      </c>
      <c r="E128" s="351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40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3"/>
      <c r="R128" s="353"/>
      <c r="S128" s="353"/>
      <c r="T128" s="354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351">
        <v>4620207491492</v>
      </c>
      <c r="E129" s="351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40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3"/>
      <c r="R129" s="353"/>
      <c r="S129" s="353"/>
      <c r="T129" s="354"/>
      <c r="U129" s="37" t="s">
        <v>46</v>
      </c>
      <c r="V129" s="37" t="s">
        <v>46</v>
      </c>
      <c r="W129" s="38" t="s">
        <v>39</v>
      </c>
      <c r="X129" s="56">
        <v>42</v>
      </c>
      <c r="Y129" s="53">
        <f>IFERROR(IF(X129="","",X129),"")</f>
        <v>42</v>
      </c>
      <c r="Z129" s="39">
        <f>IFERROR(IF(X129="","",X129*0.00941),"")</f>
        <v>0.39522000000000002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75.600000000000009</v>
      </c>
      <c r="BN129" s="78">
        <f>IFERROR(Y129*I129,"0")</f>
        <v>75.600000000000009</v>
      </c>
      <c r="BO129" s="78">
        <f>IFERROR(X129/J129,"0")</f>
        <v>0.3</v>
      </c>
      <c r="BP129" s="78">
        <f>IFERROR(Y129/J129,"0")</f>
        <v>0.3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351">
        <v>4620207491461</v>
      </c>
      <c r="E130" s="351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0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3"/>
      <c r="R130" s="353"/>
      <c r="S130" s="353"/>
      <c r="T130" s="354"/>
      <c r="U130" s="37" t="s">
        <v>46</v>
      </c>
      <c r="V130" s="37" t="s">
        <v>46</v>
      </c>
      <c r="W130" s="38" t="s">
        <v>39</v>
      </c>
      <c r="X130" s="56">
        <v>42</v>
      </c>
      <c r="Y130" s="53">
        <f>IFERROR(IF(X130="","",X130),"")</f>
        <v>42</v>
      </c>
      <c r="Z130" s="39">
        <f>IFERROR(IF(X130="","",X130*0.00941),"")</f>
        <v>0.39522000000000002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73.08</v>
      </c>
      <c r="BN130" s="78">
        <f>IFERROR(Y130*I130,"0")</f>
        <v>73.08</v>
      </c>
      <c r="BO130" s="78">
        <f>IFERROR(X130/J130,"0")</f>
        <v>0.3</v>
      </c>
      <c r="BP130" s="78">
        <f>IFERROR(Y130/J130,"0")</f>
        <v>0.3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351">
        <v>4620207491485</v>
      </c>
      <c r="E131" s="351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0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3"/>
      <c r="R131" s="353"/>
      <c r="S131" s="353"/>
      <c r="T131" s="354"/>
      <c r="U131" s="37" t="s">
        <v>46</v>
      </c>
      <c r="V131" s="37" t="s">
        <v>46</v>
      </c>
      <c r="W131" s="38" t="s">
        <v>39</v>
      </c>
      <c r="X131" s="56">
        <v>42</v>
      </c>
      <c r="Y131" s="53">
        <f>IFERROR(IF(X131="","",X131),"")</f>
        <v>42</v>
      </c>
      <c r="Z131" s="39">
        <f>IFERROR(IF(X131="","",X131*0.00941),"")</f>
        <v>0.39522000000000002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75.600000000000009</v>
      </c>
      <c r="BN131" s="78">
        <f>IFERROR(Y131*I131,"0")</f>
        <v>75.600000000000009</v>
      </c>
      <c r="BO131" s="78">
        <f>IFERROR(X131/J131,"0")</f>
        <v>0.3</v>
      </c>
      <c r="BP131" s="78">
        <f>IFERROR(Y131/J131,"0")</f>
        <v>0.3</v>
      </c>
    </row>
    <row r="132" spans="1:68" x14ac:dyDescent="0.2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6"/>
      <c r="P132" s="362" t="s">
        <v>40</v>
      </c>
      <c r="Q132" s="363"/>
      <c r="R132" s="363"/>
      <c r="S132" s="363"/>
      <c r="T132" s="363"/>
      <c r="U132" s="363"/>
      <c r="V132" s="364"/>
      <c r="W132" s="40" t="s">
        <v>39</v>
      </c>
      <c r="X132" s="41">
        <f>IFERROR(SUM(X128:X131),"0")</f>
        <v>126</v>
      </c>
      <c r="Y132" s="41">
        <f>IFERROR(SUM(Y128:Y131),"0")</f>
        <v>126</v>
      </c>
      <c r="Z132" s="41">
        <f>IFERROR(IF(Z128="",0,Z128),"0")+IFERROR(IF(Z129="",0,Z129),"0")+IFERROR(IF(Z130="",0,Z130),"0")+IFERROR(IF(Z131="",0,Z131),"0")</f>
        <v>1.1856599999999999</v>
      </c>
      <c r="AA132" s="64"/>
      <c r="AB132" s="64"/>
      <c r="AC132" s="64"/>
    </row>
    <row r="133" spans="1:68" x14ac:dyDescent="0.2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6"/>
      <c r="P133" s="362" t="s">
        <v>40</v>
      </c>
      <c r="Q133" s="363"/>
      <c r="R133" s="363"/>
      <c r="S133" s="363"/>
      <c r="T133" s="363"/>
      <c r="U133" s="363"/>
      <c r="V133" s="364"/>
      <c r="W133" s="40" t="s">
        <v>0</v>
      </c>
      <c r="X133" s="41">
        <f>IFERROR(SUMPRODUCT(X128:X131*H128:H131),"0")</f>
        <v>171.36</v>
      </c>
      <c r="Y133" s="41">
        <f>IFERROR(SUMPRODUCT(Y128:Y131*H128:H131),"0")</f>
        <v>171.36</v>
      </c>
      <c r="Z133" s="40"/>
      <c r="AA133" s="64"/>
      <c r="AB133" s="64"/>
      <c r="AC133" s="64"/>
    </row>
    <row r="134" spans="1:68" ht="14.25" hidden="1" customHeight="1" x14ac:dyDescent="0.25">
      <c r="A134" s="350" t="s">
        <v>230</v>
      </c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  <c r="Z134" s="350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351">
        <v>4620207491386</v>
      </c>
      <c r="E135" s="351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3"/>
      <c r="R135" s="353"/>
      <c r="S135" s="353"/>
      <c r="T135" s="354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351">
        <v>4620207491362</v>
      </c>
      <c r="E136" s="351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3"/>
      <c r="R136" s="353"/>
      <c r="S136" s="353"/>
      <c r="T136" s="354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351">
        <v>4620207491379</v>
      </c>
      <c r="E137" s="351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3"/>
      <c r="R137" s="353"/>
      <c r="S137" s="353"/>
      <c r="T137" s="354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6"/>
      <c r="P138" s="362" t="s">
        <v>40</v>
      </c>
      <c r="Q138" s="363"/>
      <c r="R138" s="363"/>
      <c r="S138" s="363"/>
      <c r="T138" s="363"/>
      <c r="U138" s="363"/>
      <c r="V138" s="364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6"/>
      <c r="P139" s="362" t="s">
        <v>40</v>
      </c>
      <c r="Q139" s="363"/>
      <c r="R139" s="363"/>
      <c r="S139" s="363"/>
      <c r="T139" s="363"/>
      <c r="U139" s="363"/>
      <c r="V139" s="364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49" t="s">
        <v>238</v>
      </c>
      <c r="B140" s="349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62"/>
      <c r="AB140" s="62"/>
      <c r="AC140" s="62"/>
    </row>
    <row r="141" spans="1:68" ht="14.25" hidden="1" customHeight="1" x14ac:dyDescent="0.25">
      <c r="A141" s="350" t="s">
        <v>147</v>
      </c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4301135555</v>
      </c>
      <c r="D142" s="351">
        <v>4607111034014</v>
      </c>
      <c r="E142" s="351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4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3"/>
      <c r="R142" s="353"/>
      <c r="S142" s="353"/>
      <c r="T142" s="354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351">
        <v>4607111033994</v>
      </c>
      <c r="E143" s="351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4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3"/>
      <c r="R143" s="353"/>
      <c r="S143" s="353"/>
      <c r="T143" s="354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6"/>
      <c r="P144" s="362" t="s">
        <v>40</v>
      </c>
      <c r="Q144" s="363"/>
      <c r="R144" s="363"/>
      <c r="S144" s="363"/>
      <c r="T144" s="363"/>
      <c r="U144" s="363"/>
      <c r="V144" s="364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6"/>
      <c r="P145" s="362" t="s">
        <v>40</v>
      </c>
      <c r="Q145" s="363"/>
      <c r="R145" s="363"/>
      <c r="S145" s="363"/>
      <c r="T145" s="363"/>
      <c r="U145" s="363"/>
      <c r="V145" s="364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hidden="1" customHeight="1" x14ac:dyDescent="0.25">
      <c r="A146" s="349" t="s">
        <v>244</v>
      </c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62"/>
      <c r="AB146" s="62"/>
      <c r="AC146" s="62"/>
    </row>
    <row r="147" spans="1:68" ht="14.25" hidden="1" customHeight="1" x14ac:dyDescent="0.25">
      <c r="A147" s="350" t="s">
        <v>147</v>
      </c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  <c r="Z147" s="350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351">
        <v>4607111039095</v>
      </c>
      <c r="E148" s="351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41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3"/>
      <c r="R148" s="353"/>
      <c r="S148" s="353"/>
      <c r="T148" s="354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351">
        <v>4620207491768</v>
      </c>
      <c r="E149" s="351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41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3"/>
      <c r="R149" s="353"/>
      <c r="S149" s="353"/>
      <c r="T149" s="354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251</v>
      </c>
      <c r="B150" s="60" t="s">
        <v>252</v>
      </c>
      <c r="C150" s="34">
        <v>4301135946</v>
      </c>
      <c r="D150" s="351">
        <v>4620207491553</v>
      </c>
      <c r="E150" s="351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3"/>
      <c r="R150" s="353"/>
      <c r="S150" s="353"/>
      <c r="T150" s="354"/>
      <c r="U150" s="37" t="s">
        <v>46</v>
      </c>
      <c r="V150" s="37" t="s">
        <v>46</v>
      </c>
      <c r="W150" s="38" t="s">
        <v>39</v>
      </c>
      <c r="X150" s="56">
        <v>70</v>
      </c>
      <c r="Y150" s="53">
        <f>IFERROR(IF(X150="","",X150),"")</f>
        <v>70</v>
      </c>
      <c r="Z150" s="39">
        <f>IFERROR(IF(X150="","",X150*0.01788),"")</f>
        <v>1.2516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259.25200000000001</v>
      </c>
      <c r="BN150" s="78">
        <f>IFERROR(Y150*I150,"0")</f>
        <v>259.25200000000001</v>
      </c>
      <c r="BO150" s="78">
        <f>IFERROR(X150/J150,"0")</f>
        <v>1</v>
      </c>
      <c r="BP150" s="78">
        <f>IFERROR(Y150/J150,"0")</f>
        <v>1</v>
      </c>
    </row>
    <row r="151" spans="1:68" x14ac:dyDescent="0.2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6"/>
      <c r="P151" s="362" t="s">
        <v>40</v>
      </c>
      <c r="Q151" s="363"/>
      <c r="R151" s="363"/>
      <c r="S151" s="363"/>
      <c r="T151" s="363"/>
      <c r="U151" s="363"/>
      <c r="V151" s="364"/>
      <c r="W151" s="40" t="s">
        <v>39</v>
      </c>
      <c r="X151" s="41">
        <f>IFERROR(SUM(X148:X150),"0")</f>
        <v>70</v>
      </c>
      <c r="Y151" s="41">
        <f>IFERROR(SUM(Y148:Y150),"0")</f>
        <v>70</v>
      </c>
      <c r="Z151" s="41">
        <f>IFERROR(IF(Z148="",0,Z148),"0")+IFERROR(IF(Z149="",0,Z149),"0")+IFERROR(IF(Z150="",0,Z150),"0")</f>
        <v>1.2516</v>
      </c>
      <c r="AA151" s="64"/>
      <c r="AB151" s="64"/>
      <c r="AC151" s="64"/>
    </row>
    <row r="152" spans="1:68" x14ac:dyDescent="0.2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6"/>
      <c r="P152" s="362" t="s">
        <v>40</v>
      </c>
      <c r="Q152" s="363"/>
      <c r="R152" s="363"/>
      <c r="S152" s="363"/>
      <c r="T152" s="363"/>
      <c r="U152" s="363"/>
      <c r="V152" s="364"/>
      <c r="W152" s="40" t="s">
        <v>0</v>
      </c>
      <c r="X152" s="41">
        <f>IFERROR(SUMPRODUCT(X148:X150*H148:H150),"0")</f>
        <v>210</v>
      </c>
      <c r="Y152" s="41">
        <f>IFERROR(SUMPRODUCT(Y148:Y150*H148:H150),"0")</f>
        <v>210</v>
      </c>
      <c r="Z152" s="40"/>
      <c r="AA152" s="64"/>
      <c r="AB152" s="64"/>
      <c r="AC152" s="64"/>
    </row>
    <row r="153" spans="1:68" ht="16.5" hidden="1" customHeight="1" x14ac:dyDescent="0.25">
      <c r="A153" s="349" t="s">
        <v>253</v>
      </c>
      <c r="B153" s="349"/>
      <c r="C153" s="349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62"/>
      <c r="AB153" s="62"/>
      <c r="AC153" s="62"/>
    </row>
    <row r="154" spans="1:68" ht="14.25" hidden="1" customHeight="1" x14ac:dyDescent="0.25">
      <c r="A154" s="350" t="s">
        <v>147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351">
        <v>4620207490914</v>
      </c>
      <c r="E155" s="351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4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3"/>
      <c r="R155" s="353"/>
      <c r="S155" s="353"/>
      <c r="T155" s="354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351">
        <v>4620207491676</v>
      </c>
      <c r="E156" s="351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17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3"/>
      <c r="R156" s="353"/>
      <c r="S156" s="353"/>
      <c r="T156" s="354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6"/>
      <c r="P157" s="362" t="s">
        <v>40</v>
      </c>
      <c r="Q157" s="363"/>
      <c r="R157" s="363"/>
      <c r="S157" s="363"/>
      <c r="T157" s="363"/>
      <c r="U157" s="363"/>
      <c r="V157" s="364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6"/>
      <c r="P158" s="362" t="s">
        <v>40</v>
      </c>
      <c r="Q158" s="363"/>
      <c r="R158" s="363"/>
      <c r="S158" s="363"/>
      <c r="T158" s="363"/>
      <c r="U158" s="363"/>
      <c r="V158" s="364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49" t="s">
        <v>259</v>
      </c>
      <c r="B159" s="349"/>
      <c r="C159" s="349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62"/>
      <c r="AB159" s="62"/>
      <c r="AC159" s="62"/>
    </row>
    <row r="160" spans="1:68" ht="14.25" hidden="1" customHeight="1" x14ac:dyDescent="0.25">
      <c r="A160" s="350" t="s">
        <v>147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351">
        <v>4620207491614</v>
      </c>
      <c r="E161" s="351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41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3"/>
      <c r="R161" s="353"/>
      <c r="S161" s="353"/>
      <c r="T161" s="354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6"/>
      <c r="P162" s="362" t="s">
        <v>40</v>
      </c>
      <c r="Q162" s="363"/>
      <c r="R162" s="363"/>
      <c r="S162" s="363"/>
      <c r="T162" s="363"/>
      <c r="U162" s="363"/>
      <c r="V162" s="364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6"/>
      <c r="P163" s="362" t="s">
        <v>40</v>
      </c>
      <c r="Q163" s="363"/>
      <c r="R163" s="363"/>
      <c r="S163" s="363"/>
      <c r="T163" s="363"/>
      <c r="U163" s="363"/>
      <c r="V163" s="364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49" t="s">
        <v>263</v>
      </c>
      <c r="B164" s="349"/>
      <c r="C164" s="349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62"/>
      <c r="AB164" s="62"/>
      <c r="AC164" s="62"/>
    </row>
    <row r="165" spans="1:68" ht="14.25" hidden="1" customHeight="1" x14ac:dyDescent="0.25">
      <c r="A165" s="350" t="s">
        <v>147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351">
        <v>4607111039613</v>
      </c>
      <c r="E166" s="351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41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3"/>
      <c r="R166" s="353"/>
      <c r="S166" s="353"/>
      <c r="T166" s="354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6"/>
      <c r="P167" s="362" t="s">
        <v>40</v>
      </c>
      <c r="Q167" s="363"/>
      <c r="R167" s="363"/>
      <c r="S167" s="363"/>
      <c r="T167" s="363"/>
      <c r="U167" s="363"/>
      <c r="V167" s="364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6"/>
      <c r="P168" s="362" t="s">
        <v>40</v>
      </c>
      <c r="Q168" s="363"/>
      <c r="R168" s="363"/>
      <c r="S168" s="363"/>
      <c r="T168" s="363"/>
      <c r="U168" s="363"/>
      <c r="V168" s="364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49" t="s">
        <v>266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62"/>
      <c r="AB169" s="62"/>
      <c r="AC169" s="62"/>
    </row>
    <row r="170" spans="1:68" ht="14.25" hidden="1" customHeight="1" x14ac:dyDescent="0.25">
      <c r="A170" s="350" t="s">
        <v>147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351">
        <v>4607111036568</v>
      </c>
      <c r="E171" s="351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4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3"/>
      <c r="R171" s="353"/>
      <c r="S171" s="353"/>
      <c r="T171" s="354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6"/>
      <c r="P172" s="362" t="s">
        <v>40</v>
      </c>
      <c r="Q172" s="363"/>
      <c r="R172" s="363"/>
      <c r="S172" s="363"/>
      <c r="T172" s="363"/>
      <c r="U172" s="363"/>
      <c r="V172" s="364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6"/>
      <c r="P173" s="362" t="s">
        <v>40</v>
      </c>
      <c r="Q173" s="363"/>
      <c r="R173" s="363"/>
      <c r="S173" s="363"/>
      <c r="T173" s="363"/>
      <c r="U173" s="363"/>
      <c r="V173" s="364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48" t="s">
        <v>270</v>
      </c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  <c r="AA174" s="52"/>
      <c r="AB174" s="52"/>
      <c r="AC174" s="52"/>
    </row>
    <row r="175" spans="1:68" ht="16.5" hidden="1" customHeight="1" x14ac:dyDescent="0.25">
      <c r="A175" s="349" t="s">
        <v>271</v>
      </c>
      <c r="B175" s="349"/>
      <c r="C175" s="349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62"/>
      <c r="AB175" s="62"/>
      <c r="AC175" s="62"/>
    </row>
    <row r="176" spans="1:68" ht="14.25" hidden="1" customHeight="1" x14ac:dyDescent="0.25">
      <c r="A176" s="350" t="s">
        <v>80</v>
      </c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351">
        <v>4607111036384</v>
      </c>
      <c r="E177" s="351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42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3"/>
      <c r="R177" s="353"/>
      <c r="S177" s="353"/>
      <c r="T177" s="354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351">
        <v>4607111036216</v>
      </c>
      <c r="E178" s="351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42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3"/>
      <c r="R178" s="353"/>
      <c r="S178" s="353"/>
      <c r="T178" s="354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6"/>
      <c r="P179" s="362" t="s">
        <v>40</v>
      </c>
      <c r="Q179" s="363"/>
      <c r="R179" s="363"/>
      <c r="S179" s="363"/>
      <c r="T179" s="363"/>
      <c r="U179" s="363"/>
      <c r="V179" s="364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6"/>
      <c r="P180" s="362" t="s">
        <v>40</v>
      </c>
      <c r="Q180" s="363"/>
      <c r="R180" s="363"/>
      <c r="S180" s="363"/>
      <c r="T180" s="363"/>
      <c r="U180" s="363"/>
      <c r="V180" s="364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49" t="s">
        <v>278</v>
      </c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62"/>
      <c r="AB181" s="62"/>
      <c r="AC181" s="62"/>
    </row>
    <row r="182" spans="1:68" ht="14.25" hidden="1" customHeight="1" x14ac:dyDescent="0.25">
      <c r="A182" s="350" t="s">
        <v>80</v>
      </c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351">
        <v>4620207491737</v>
      </c>
      <c r="E183" s="351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42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3"/>
      <c r="R183" s="353"/>
      <c r="S183" s="353"/>
      <c r="T183" s="354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6"/>
      <c r="P184" s="362" t="s">
        <v>40</v>
      </c>
      <c r="Q184" s="363"/>
      <c r="R184" s="363"/>
      <c r="S184" s="363"/>
      <c r="T184" s="363"/>
      <c r="U184" s="363"/>
      <c r="V184" s="364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6"/>
      <c r="P185" s="362" t="s">
        <v>40</v>
      </c>
      <c r="Q185" s="363"/>
      <c r="R185" s="363"/>
      <c r="S185" s="363"/>
      <c r="T185" s="363"/>
      <c r="U185" s="363"/>
      <c r="V185" s="364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48" t="s">
        <v>281</v>
      </c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  <c r="AA186" s="52"/>
      <c r="AB186" s="52"/>
      <c r="AC186" s="52"/>
    </row>
    <row r="187" spans="1:68" ht="16.5" hidden="1" customHeight="1" x14ac:dyDescent="0.25">
      <c r="A187" s="349" t="s">
        <v>282</v>
      </c>
      <c r="B187" s="349"/>
      <c r="C187" s="349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62"/>
      <c r="AB187" s="62"/>
      <c r="AC187" s="62"/>
    </row>
    <row r="188" spans="1:68" ht="14.25" hidden="1" customHeight="1" x14ac:dyDescent="0.25">
      <c r="A188" s="350" t="s">
        <v>111</v>
      </c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351">
        <v>4607111035691</v>
      </c>
      <c r="E189" s="351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3"/>
      <c r="R189" s="353"/>
      <c r="S189" s="353"/>
      <c r="T189" s="354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351">
        <v>4607111035721</v>
      </c>
      <c r="E190" s="351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3"/>
      <c r="R190" s="353"/>
      <c r="S190" s="353"/>
      <c r="T190" s="354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47.432000000000002</v>
      </c>
      <c r="BN190" s="78">
        <f>IFERROR(Y190*I190,"0")</f>
        <v>47.432000000000002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351">
        <v>4607111038487</v>
      </c>
      <c r="E191" s="351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42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3"/>
      <c r="R191" s="353"/>
      <c r="S191" s="353"/>
      <c r="T191" s="354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351">
        <v>4620207491195</v>
      </c>
      <c r="E192" s="351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3"/>
      <c r="R192" s="353"/>
      <c r="S192" s="353"/>
      <c r="T192" s="354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6"/>
      <c r="P193" s="362" t="s">
        <v>40</v>
      </c>
      <c r="Q193" s="363"/>
      <c r="R193" s="363"/>
      <c r="S193" s="363"/>
      <c r="T193" s="363"/>
      <c r="U193" s="363"/>
      <c r="V193" s="364"/>
      <c r="W193" s="40" t="s">
        <v>39</v>
      </c>
      <c r="X193" s="41">
        <f>IFERROR(SUM(X189:X192),"0")</f>
        <v>56</v>
      </c>
      <c r="Y193" s="41">
        <f>IFERROR(SUM(Y189:Y192),"0")</f>
        <v>56</v>
      </c>
      <c r="Z193" s="41">
        <f>IFERROR(IF(Z189="",0,Z189),"0")+IFERROR(IF(Z190="",0,Z190),"0")+IFERROR(IF(Z191="",0,Z191),"0")+IFERROR(IF(Z192="",0,Z192),"0")</f>
        <v>1.0012799999999999</v>
      </c>
      <c r="AA193" s="64"/>
      <c r="AB193" s="64"/>
      <c r="AC193" s="64"/>
    </row>
    <row r="194" spans="1:68" x14ac:dyDescent="0.2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6"/>
      <c r="P194" s="362" t="s">
        <v>40</v>
      </c>
      <c r="Q194" s="363"/>
      <c r="R194" s="363"/>
      <c r="S194" s="363"/>
      <c r="T194" s="363"/>
      <c r="U194" s="363"/>
      <c r="V194" s="364"/>
      <c r="W194" s="40" t="s">
        <v>0</v>
      </c>
      <c r="X194" s="41">
        <f>IFERROR(SUMPRODUCT(X189:X192*H189:H192),"0")</f>
        <v>168</v>
      </c>
      <c r="Y194" s="41">
        <f>IFERROR(SUMPRODUCT(Y189:Y192*H189:H192),"0")</f>
        <v>168</v>
      </c>
      <c r="Z194" s="40"/>
      <c r="AA194" s="64"/>
      <c r="AB194" s="64"/>
      <c r="AC194" s="64"/>
    </row>
    <row r="195" spans="1:68" ht="27.75" hidden="1" customHeight="1" x14ac:dyDescent="0.2">
      <c r="A195" s="348" t="s">
        <v>295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52"/>
      <c r="AB195" s="52"/>
      <c r="AC195" s="52"/>
    </row>
    <row r="196" spans="1:68" ht="16.5" hidden="1" customHeight="1" x14ac:dyDescent="0.25">
      <c r="A196" s="349" t="s">
        <v>296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2"/>
      <c r="AB196" s="62"/>
      <c r="AC196" s="62"/>
    </row>
    <row r="197" spans="1:68" ht="14.25" hidden="1" customHeight="1" x14ac:dyDescent="0.25">
      <c r="A197" s="350" t="s">
        <v>111</v>
      </c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351">
        <v>4620207491133</v>
      </c>
      <c r="E198" s="351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3"/>
      <c r="R198" s="353"/>
      <c r="S198" s="353"/>
      <c r="T198" s="354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6"/>
      <c r="P199" s="362" t="s">
        <v>40</v>
      </c>
      <c r="Q199" s="363"/>
      <c r="R199" s="363"/>
      <c r="S199" s="363"/>
      <c r="T199" s="363"/>
      <c r="U199" s="363"/>
      <c r="V199" s="364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6"/>
      <c r="P200" s="362" t="s">
        <v>40</v>
      </c>
      <c r="Q200" s="363"/>
      <c r="R200" s="363"/>
      <c r="S200" s="363"/>
      <c r="T200" s="363"/>
      <c r="U200" s="363"/>
      <c r="V200" s="364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50" t="s">
        <v>147</v>
      </c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351">
        <v>4620207491188</v>
      </c>
      <c r="E202" s="351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4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3"/>
      <c r="R202" s="353"/>
      <c r="S202" s="353"/>
      <c r="T202" s="354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351">
        <v>4620207490235</v>
      </c>
      <c r="E203" s="351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3"/>
      <c r="R203" s="353"/>
      <c r="S203" s="353"/>
      <c r="T203" s="354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351">
        <v>4620207490259</v>
      </c>
      <c r="E204" s="351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3"/>
      <c r="R204" s="353"/>
      <c r="S204" s="353"/>
      <c r="T204" s="354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6"/>
      <c r="P205" s="362" t="s">
        <v>40</v>
      </c>
      <c r="Q205" s="363"/>
      <c r="R205" s="363"/>
      <c r="S205" s="363"/>
      <c r="T205" s="363"/>
      <c r="U205" s="363"/>
      <c r="V205" s="364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6"/>
      <c r="P206" s="362" t="s">
        <v>40</v>
      </c>
      <c r="Q206" s="363"/>
      <c r="R206" s="363"/>
      <c r="S206" s="363"/>
      <c r="T206" s="363"/>
      <c r="U206" s="363"/>
      <c r="V206" s="364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9" t="s">
        <v>309</v>
      </c>
      <c r="B207" s="349"/>
      <c r="C207" s="349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62"/>
      <c r="AB207" s="62"/>
      <c r="AC207" s="62"/>
    </row>
    <row r="208" spans="1:68" ht="14.25" hidden="1" customHeight="1" x14ac:dyDescent="0.25">
      <c r="A208" s="350" t="s">
        <v>147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351">
        <v>4620207491706</v>
      </c>
      <c r="E209" s="351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43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3"/>
      <c r="R209" s="353"/>
      <c r="S209" s="353"/>
      <c r="T209" s="354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351">
        <v>4620207491522</v>
      </c>
      <c r="E210" s="351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3"/>
      <c r="R210" s="353"/>
      <c r="S210" s="353"/>
      <c r="T210" s="354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6"/>
      <c r="P211" s="362" t="s">
        <v>40</v>
      </c>
      <c r="Q211" s="363"/>
      <c r="R211" s="363"/>
      <c r="S211" s="363"/>
      <c r="T211" s="363"/>
      <c r="U211" s="363"/>
      <c r="V211" s="364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6"/>
      <c r="P212" s="362" t="s">
        <v>40</v>
      </c>
      <c r="Q212" s="363"/>
      <c r="R212" s="363"/>
      <c r="S212" s="363"/>
      <c r="T212" s="363"/>
      <c r="U212" s="363"/>
      <c r="V212" s="364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49" t="s">
        <v>316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2"/>
      <c r="AB213" s="62"/>
      <c r="AC213" s="62"/>
    </row>
    <row r="214" spans="1:68" ht="14.25" hidden="1" customHeight="1" x14ac:dyDescent="0.25">
      <c r="A214" s="350" t="s">
        <v>80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351">
        <v>4620207491096</v>
      </c>
      <c r="E215" s="351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3"/>
      <c r="R215" s="353"/>
      <c r="S215" s="353"/>
      <c r="T215" s="354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6"/>
      <c r="P216" s="362" t="s">
        <v>40</v>
      </c>
      <c r="Q216" s="363"/>
      <c r="R216" s="363"/>
      <c r="S216" s="363"/>
      <c r="T216" s="363"/>
      <c r="U216" s="363"/>
      <c r="V216" s="364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6"/>
      <c r="P217" s="362" t="s">
        <v>40</v>
      </c>
      <c r="Q217" s="363"/>
      <c r="R217" s="363"/>
      <c r="S217" s="363"/>
      <c r="T217" s="363"/>
      <c r="U217" s="363"/>
      <c r="V217" s="364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49" t="s">
        <v>320</v>
      </c>
      <c r="B218" s="349"/>
      <c r="C218" s="349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62"/>
      <c r="AB218" s="62"/>
      <c r="AC218" s="62"/>
    </row>
    <row r="219" spans="1:68" ht="14.25" hidden="1" customHeight="1" x14ac:dyDescent="0.25">
      <c r="A219" s="350" t="s">
        <v>147</v>
      </c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351">
        <v>4620207490501</v>
      </c>
      <c r="E220" s="351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3"/>
      <c r="R220" s="353"/>
      <c r="S220" s="353"/>
      <c r="T220" s="354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6"/>
      <c r="P221" s="362" t="s">
        <v>40</v>
      </c>
      <c r="Q221" s="363"/>
      <c r="R221" s="363"/>
      <c r="S221" s="363"/>
      <c r="T221" s="363"/>
      <c r="U221" s="363"/>
      <c r="V221" s="364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6"/>
      <c r="P222" s="362" t="s">
        <v>40</v>
      </c>
      <c r="Q222" s="363"/>
      <c r="R222" s="363"/>
      <c r="S222" s="363"/>
      <c r="T222" s="363"/>
      <c r="U222" s="363"/>
      <c r="V222" s="364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48" t="s">
        <v>324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52"/>
      <c r="AB223" s="52"/>
      <c r="AC223" s="52"/>
    </row>
    <row r="224" spans="1:68" ht="16.5" hidden="1" customHeight="1" x14ac:dyDescent="0.25">
      <c r="A224" s="349" t="s">
        <v>325</v>
      </c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62"/>
      <c r="AB224" s="62"/>
      <c r="AC224" s="62"/>
    </row>
    <row r="225" spans="1:68" ht="14.25" hidden="1" customHeight="1" x14ac:dyDescent="0.25">
      <c r="A225" s="350" t="s">
        <v>80</v>
      </c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351">
        <v>4607111036162</v>
      </c>
      <c r="E226" s="351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3"/>
      <c r="R226" s="353"/>
      <c r="S226" s="353"/>
      <c r="T226" s="354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6"/>
      <c r="P227" s="362" t="s">
        <v>40</v>
      </c>
      <c r="Q227" s="363"/>
      <c r="R227" s="363"/>
      <c r="S227" s="363"/>
      <c r="T227" s="363"/>
      <c r="U227" s="363"/>
      <c r="V227" s="364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6"/>
      <c r="P228" s="362" t="s">
        <v>40</v>
      </c>
      <c r="Q228" s="363"/>
      <c r="R228" s="363"/>
      <c r="S228" s="363"/>
      <c r="T228" s="363"/>
      <c r="U228" s="363"/>
      <c r="V228" s="364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48" t="s">
        <v>329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52"/>
      <c r="AB229" s="52"/>
      <c r="AC229" s="52"/>
    </row>
    <row r="230" spans="1:68" ht="16.5" hidden="1" customHeight="1" x14ac:dyDescent="0.25">
      <c r="A230" s="349" t="s">
        <v>330</v>
      </c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62"/>
      <c r="AB230" s="62"/>
      <c r="AC230" s="62"/>
    </row>
    <row r="231" spans="1:68" ht="14.25" hidden="1" customHeight="1" x14ac:dyDescent="0.25">
      <c r="A231" s="350" t="s">
        <v>331</v>
      </c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351">
        <v>4607111039774</v>
      </c>
      <c r="E232" s="351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3"/>
      <c r="R232" s="353"/>
      <c r="S232" s="353"/>
      <c r="T232" s="354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6"/>
      <c r="P233" s="362" t="s">
        <v>40</v>
      </c>
      <c r="Q233" s="363"/>
      <c r="R233" s="363"/>
      <c r="S233" s="363"/>
      <c r="T233" s="363"/>
      <c r="U233" s="363"/>
      <c r="V233" s="364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6"/>
      <c r="P234" s="362" t="s">
        <v>40</v>
      </c>
      <c r="Q234" s="363"/>
      <c r="R234" s="363"/>
      <c r="S234" s="363"/>
      <c r="T234" s="363"/>
      <c r="U234" s="363"/>
      <c r="V234" s="364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50" t="s">
        <v>147</v>
      </c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351">
        <v>4607111039361</v>
      </c>
      <c r="E236" s="351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3"/>
      <c r="R236" s="353"/>
      <c r="S236" s="353"/>
      <c r="T236" s="354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6"/>
      <c r="P237" s="362" t="s">
        <v>40</v>
      </c>
      <c r="Q237" s="363"/>
      <c r="R237" s="363"/>
      <c r="S237" s="363"/>
      <c r="T237" s="363"/>
      <c r="U237" s="363"/>
      <c r="V237" s="364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6"/>
      <c r="P238" s="362" t="s">
        <v>40</v>
      </c>
      <c r="Q238" s="363"/>
      <c r="R238" s="363"/>
      <c r="S238" s="363"/>
      <c r="T238" s="363"/>
      <c r="U238" s="363"/>
      <c r="V238" s="364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48" t="s">
        <v>337</v>
      </c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  <c r="AA239" s="52"/>
      <c r="AB239" s="52"/>
      <c r="AC239" s="52"/>
    </row>
    <row r="240" spans="1:68" ht="16.5" hidden="1" customHeight="1" x14ac:dyDescent="0.25">
      <c r="A240" s="349" t="s">
        <v>337</v>
      </c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62"/>
      <c r="AB240" s="62"/>
      <c r="AC240" s="62"/>
    </row>
    <row r="241" spans="1:68" ht="14.25" hidden="1" customHeight="1" x14ac:dyDescent="0.25">
      <c r="A241" s="350" t="s">
        <v>111</v>
      </c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351">
        <v>4640242181950</v>
      </c>
      <c r="E242" s="351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43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3"/>
      <c r="R242" s="353"/>
      <c r="S242" s="353"/>
      <c r="T242" s="354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6"/>
      <c r="P243" s="362" t="s">
        <v>40</v>
      </c>
      <c r="Q243" s="363"/>
      <c r="R243" s="363"/>
      <c r="S243" s="363"/>
      <c r="T243" s="363"/>
      <c r="U243" s="363"/>
      <c r="V243" s="364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6"/>
      <c r="P244" s="362" t="s">
        <v>40</v>
      </c>
      <c r="Q244" s="363"/>
      <c r="R244" s="363"/>
      <c r="S244" s="363"/>
      <c r="T244" s="363"/>
      <c r="U244" s="363"/>
      <c r="V244" s="364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50" t="s">
        <v>143</v>
      </c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351">
        <v>4640242181943</v>
      </c>
      <c r="E246" s="351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44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3"/>
      <c r="R246" s="353"/>
      <c r="S246" s="353"/>
      <c r="T246" s="354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6"/>
      <c r="P247" s="362" t="s">
        <v>40</v>
      </c>
      <c r="Q247" s="363"/>
      <c r="R247" s="363"/>
      <c r="S247" s="363"/>
      <c r="T247" s="363"/>
      <c r="U247" s="363"/>
      <c r="V247" s="364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6"/>
      <c r="P248" s="362" t="s">
        <v>40</v>
      </c>
      <c r="Q248" s="363"/>
      <c r="R248" s="363"/>
      <c r="S248" s="363"/>
      <c r="T248" s="363"/>
      <c r="U248" s="363"/>
      <c r="V248" s="364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48" t="s">
        <v>344</v>
      </c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52"/>
      <c r="AB249" s="52"/>
      <c r="AC249" s="52"/>
    </row>
    <row r="250" spans="1:68" ht="16.5" hidden="1" customHeight="1" x14ac:dyDescent="0.25">
      <c r="A250" s="349" t="s">
        <v>344</v>
      </c>
      <c r="B250" s="349"/>
      <c r="C250" s="349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62"/>
      <c r="AB250" s="62"/>
      <c r="AC250" s="62"/>
    </row>
    <row r="251" spans="1:68" ht="14.25" hidden="1" customHeight="1" x14ac:dyDescent="0.25">
      <c r="A251" s="350" t="s">
        <v>80</v>
      </c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351">
        <v>4640242181264</v>
      </c>
      <c r="E252" s="351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3"/>
      <c r="R252" s="353"/>
      <c r="S252" s="353"/>
      <c r="T252" s="354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351">
        <v>4620207491980</v>
      </c>
      <c r="E253" s="351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3"/>
      <c r="R253" s="353"/>
      <c r="S253" s="353"/>
      <c r="T253" s="354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6"/>
      <c r="P254" s="362" t="s">
        <v>40</v>
      </c>
      <c r="Q254" s="363"/>
      <c r="R254" s="363"/>
      <c r="S254" s="363"/>
      <c r="T254" s="363"/>
      <c r="U254" s="363"/>
      <c r="V254" s="364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6"/>
      <c r="P255" s="362" t="s">
        <v>40</v>
      </c>
      <c r="Q255" s="363"/>
      <c r="R255" s="363"/>
      <c r="S255" s="363"/>
      <c r="T255" s="363"/>
      <c r="U255" s="363"/>
      <c r="V255" s="364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50" t="s">
        <v>111</v>
      </c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351">
        <v>4640242180397</v>
      </c>
      <c r="E257" s="351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3"/>
      <c r="R257" s="353"/>
      <c r="S257" s="353"/>
      <c r="T257" s="354"/>
      <c r="U257" s="37" t="s">
        <v>46</v>
      </c>
      <c r="V257" s="37" t="s">
        <v>46</v>
      </c>
      <c r="W257" s="38" t="s">
        <v>39</v>
      </c>
      <c r="X257" s="56">
        <v>252</v>
      </c>
      <c r="Y257" s="53">
        <f>IFERROR(IF(X257="","",X257),"")</f>
        <v>252</v>
      </c>
      <c r="Z257" s="39">
        <f>IFERROR(IF(X257="","",X257*0.0155),"")</f>
        <v>3.9060000000000001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1577.52</v>
      </c>
      <c r="BN257" s="78">
        <f>IFERROR(Y257*I257,"0")</f>
        <v>1577.52</v>
      </c>
      <c r="BO257" s="78">
        <f>IFERROR(X257/J257,"0")</f>
        <v>3</v>
      </c>
      <c r="BP257" s="78">
        <f>IFERROR(Y257/J257,"0")</f>
        <v>3</v>
      </c>
    </row>
    <row r="258" spans="1:68" x14ac:dyDescent="0.2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6"/>
      <c r="P258" s="362" t="s">
        <v>40</v>
      </c>
      <c r="Q258" s="363"/>
      <c r="R258" s="363"/>
      <c r="S258" s="363"/>
      <c r="T258" s="363"/>
      <c r="U258" s="363"/>
      <c r="V258" s="364"/>
      <c r="W258" s="40" t="s">
        <v>39</v>
      </c>
      <c r="X258" s="41">
        <f>IFERROR(SUM(X257:X257),"0")</f>
        <v>252</v>
      </c>
      <c r="Y258" s="41">
        <f>IFERROR(SUM(Y257:Y257),"0")</f>
        <v>252</v>
      </c>
      <c r="Z258" s="41">
        <f>IFERROR(IF(Z257="",0,Z257),"0")</f>
        <v>3.9060000000000001</v>
      </c>
      <c r="AA258" s="64"/>
      <c r="AB258" s="64"/>
      <c r="AC258" s="64"/>
    </row>
    <row r="259" spans="1:68" x14ac:dyDescent="0.2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6"/>
      <c r="P259" s="362" t="s">
        <v>40</v>
      </c>
      <c r="Q259" s="363"/>
      <c r="R259" s="363"/>
      <c r="S259" s="363"/>
      <c r="T259" s="363"/>
      <c r="U259" s="363"/>
      <c r="V259" s="364"/>
      <c r="W259" s="40" t="s">
        <v>0</v>
      </c>
      <c r="X259" s="41">
        <f>IFERROR(SUMPRODUCT(X257:X257*H257:H257),"0")</f>
        <v>1512</v>
      </c>
      <c r="Y259" s="41">
        <f>IFERROR(SUMPRODUCT(Y257:Y257*H257:H257),"0")</f>
        <v>1512</v>
      </c>
      <c r="Z259" s="40"/>
      <c r="AA259" s="64"/>
      <c r="AB259" s="64"/>
      <c r="AC259" s="64"/>
    </row>
    <row r="260" spans="1:68" ht="14.25" hidden="1" customHeight="1" x14ac:dyDescent="0.25">
      <c r="A260" s="350" t="s">
        <v>143</v>
      </c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351">
        <v>4640242180304</v>
      </c>
      <c r="E261" s="351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44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3"/>
      <c r="R261" s="353"/>
      <c r="S261" s="353"/>
      <c r="T261" s="354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351">
        <v>4640242180236</v>
      </c>
      <c r="E262" s="351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44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3"/>
      <c r="R262" s="353"/>
      <c r="S262" s="353"/>
      <c r="T262" s="354"/>
      <c r="U262" s="37" t="s">
        <v>46</v>
      </c>
      <c r="V262" s="37" t="s">
        <v>46</v>
      </c>
      <c r="W262" s="38" t="s">
        <v>39</v>
      </c>
      <c r="X262" s="56">
        <f>84*6</f>
        <v>504</v>
      </c>
      <c r="Y262" s="53">
        <f>IFERROR(IF(X262="","",X262),"")</f>
        <v>504</v>
      </c>
      <c r="Z262" s="39">
        <f>IFERROR(IF(X262="","",X262*0.0155),"")</f>
        <v>7.8120000000000003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2638.44</v>
      </c>
      <c r="BN262" s="78">
        <f>IFERROR(Y262*I262,"0")</f>
        <v>2638.44</v>
      </c>
      <c r="BO262" s="78">
        <f>IFERROR(X262/J262,"0")</f>
        <v>6</v>
      </c>
      <c r="BP262" s="78">
        <f>IFERROR(Y262/J262,"0")</f>
        <v>6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351">
        <v>4640242180410</v>
      </c>
      <c r="E263" s="351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3"/>
      <c r="R263" s="353"/>
      <c r="S263" s="353"/>
      <c r="T263" s="354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6"/>
      <c r="P264" s="362" t="s">
        <v>40</v>
      </c>
      <c r="Q264" s="363"/>
      <c r="R264" s="363"/>
      <c r="S264" s="363"/>
      <c r="T264" s="363"/>
      <c r="U264" s="363"/>
      <c r="V264" s="364"/>
      <c r="W264" s="40" t="s">
        <v>39</v>
      </c>
      <c r="X264" s="41">
        <f>IFERROR(SUM(X261:X263),"0")</f>
        <v>504</v>
      </c>
      <c r="Y264" s="41">
        <f>IFERROR(SUM(Y261:Y263),"0")</f>
        <v>504</v>
      </c>
      <c r="Z264" s="41">
        <f>IFERROR(IF(Z261="",0,Z261),"0")+IFERROR(IF(Z262="",0,Z262),"0")+IFERROR(IF(Z263="",0,Z263),"0")</f>
        <v>7.8120000000000003</v>
      </c>
      <c r="AA264" s="64"/>
      <c r="AB264" s="64"/>
      <c r="AC264" s="64"/>
    </row>
    <row r="265" spans="1:68" x14ac:dyDescent="0.2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6"/>
      <c r="P265" s="362" t="s">
        <v>40</v>
      </c>
      <c r="Q265" s="363"/>
      <c r="R265" s="363"/>
      <c r="S265" s="363"/>
      <c r="T265" s="363"/>
      <c r="U265" s="363"/>
      <c r="V265" s="364"/>
      <c r="W265" s="40" t="s">
        <v>0</v>
      </c>
      <c r="X265" s="41">
        <f>IFERROR(SUMPRODUCT(X261:X263*H261:H263),"0")</f>
        <v>2520</v>
      </c>
      <c r="Y265" s="41">
        <f>IFERROR(SUMPRODUCT(Y261:Y263*H261:H263),"0")</f>
        <v>2520</v>
      </c>
      <c r="Z265" s="40"/>
      <c r="AA265" s="64"/>
      <c r="AB265" s="64"/>
      <c r="AC265" s="64"/>
    </row>
    <row r="266" spans="1:68" ht="14.25" hidden="1" customHeight="1" x14ac:dyDescent="0.25">
      <c r="A266" s="350" t="s">
        <v>147</v>
      </c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351">
        <v>4640242181554</v>
      </c>
      <c r="E267" s="351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4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3"/>
      <c r="R267" s="353"/>
      <c r="S267" s="353"/>
      <c r="T267" s="354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hidden="1" customHeight="1" x14ac:dyDescent="0.25">
      <c r="A268" s="60" t="s">
        <v>364</v>
      </c>
      <c r="B268" s="60" t="s">
        <v>365</v>
      </c>
      <c r="C268" s="34">
        <v>4301137046</v>
      </c>
      <c r="D268" s="351">
        <v>4620207492093</v>
      </c>
      <c r="E268" s="351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448" t="s">
        <v>366</v>
      </c>
      <c r="Q268" s="353"/>
      <c r="R268" s="353"/>
      <c r="S268" s="353"/>
      <c r="T268" s="354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351">
        <v>4640242181424</v>
      </c>
      <c r="E269" s="351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44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3"/>
      <c r="R269" s="353"/>
      <c r="S269" s="353"/>
      <c r="T269" s="354"/>
      <c r="U269" s="37" t="s">
        <v>46</v>
      </c>
      <c r="V269" s="37" t="s">
        <v>46</v>
      </c>
      <c r="W269" s="38" t="s">
        <v>39</v>
      </c>
      <c r="X269" s="56">
        <v>168</v>
      </c>
      <c r="Y269" s="53">
        <f t="shared" si="18"/>
        <v>168</v>
      </c>
      <c r="Z269" s="39">
        <f>IFERROR(IF(X269="","",X269*0.0155),"")</f>
        <v>2.6040000000000001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963.48</v>
      </c>
      <c r="BN269" s="78">
        <f t="shared" si="20"/>
        <v>963.48</v>
      </c>
      <c r="BO269" s="78">
        <f t="shared" si="21"/>
        <v>2</v>
      </c>
      <c r="BP269" s="78">
        <f t="shared" si="22"/>
        <v>2</v>
      </c>
    </row>
    <row r="270" spans="1:68" ht="27" hidden="1" customHeight="1" x14ac:dyDescent="0.25">
      <c r="A270" s="60" t="s">
        <v>370</v>
      </c>
      <c r="B270" s="60" t="s">
        <v>371</v>
      </c>
      <c r="C270" s="34">
        <v>4301135405</v>
      </c>
      <c r="D270" s="351">
        <v>4640242181523</v>
      </c>
      <c r="E270" s="351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45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3"/>
      <c r="R270" s="353"/>
      <c r="S270" s="353"/>
      <c r="T270" s="354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ref="Z270:Z276" si="23">IFERROR(IF(X270="","",X270*0.00936),"")</f>
        <v>0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351">
        <v>4640242181486</v>
      </c>
      <c r="E271" s="351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3"/>
      <c r="R271" s="353"/>
      <c r="S271" s="353"/>
      <c r="T271" s="354"/>
      <c r="U271" s="37" t="s">
        <v>46</v>
      </c>
      <c r="V271" s="37" t="s">
        <v>46</v>
      </c>
      <c r="W271" s="38" t="s">
        <v>39</v>
      </c>
      <c r="X271" s="56">
        <v>378</v>
      </c>
      <c r="Y271" s="53">
        <f t="shared" si="18"/>
        <v>378</v>
      </c>
      <c r="Z271" s="39">
        <f t="shared" si="23"/>
        <v>3.5380799999999999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1471.1759999999999</v>
      </c>
      <c r="BN271" s="78">
        <f t="shared" si="20"/>
        <v>1471.1759999999999</v>
      </c>
      <c r="BO271" s="78">
        <f t="shared" si="21"/>
        <v>3</v>
      </c>
      <c r="BP271" s="78">
        <f t="shared" si="22"/>
        <v>3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351">
        <v>4640242181493</v>
      </c>
      <c r="E272" s="351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3"/>
      <c r="R272" s="353"/>
      <c r="S272" s="353"/>
      <c r="T272" s="354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351">
        <v>4640242181509</v>
      </c>
      <c r="E273" s="351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3"/>
      <c r="R273" s="353"/>
      <c r="S273" s="353"/>
      <c r="T273" s="354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351">
        <v>4640242181240</v>
      </c>
      <c r="E274" s="351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45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3"/>
      <c r="R274" s="353"/>
      <c r="S274" s="353"/>
      <c r="T274" s="354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351">
        <v>4640242181318</v>
      </c>
      <c r="E275" s="351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3"/>
      <c r="R275" s="353"/>
      <c r="S275" s="353"/>
      <c r="T275" s="354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351">
        <v>4620207491935</v>
      </c>
      <c r="E276" s="351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45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3"/>
      <c r="R276" s="353"/>
      <c r="S276" s="353"/>
      <c r="T276" s="354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6"/>
      <c r="P277" s="362" t="s">
        <v>40</v>
      </c>
      <c r="Q277" s="363"/>
      <c r="R277" s="363"/>
      <c r="S277" s="363"/>
      <c r="T277" s="363"/>
      <c r="U277" s="363"/>
      <c r="V277" s="364"/>
      <c r="W277" s="40" t="s">
        <v>39</v>
      </c>
      <c r="X277" s="41">
        <f>IFERROR(SUM(X267:X276),"0")</f>
        <v>546</v>
      </c>
      <c r="Y277" s="41">
        <f>IFERROR(SUM(Y267:Y276),"0")</f>
        <v>546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6.14208</v>
      </c>
      <c r="AA277" s="64"/>
      <c r="AB277" s="64"/>
      <c r="AC277" s="64"/>
    </row>
    <row r="278" spans="1:68" x14ac:dyDescent="0.2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6"/>
      <c r="P278" s="362" t="s">
        <v>40</v>
      </c>
      <c r="Q278" s="363"/>
      <c r="R278" s="363"/>
      <c r="S278" s="363"/>
      <c r="T278" s="363"/>
      <c r="U278" s="363"/>
      <c r="V278" s="364"/>
      <c r="W278" s="40" t="s">
        <v>0</v>
      </c>
      <c r="X278" s="41">
        <f>IFERROR(SUMPRODUCT(X267:X276*H267:H276),"0")</f>
        <v>2322.6000000000004</v>
      </c>
      <c r="Y278" s="41">
        <f>IFERROR(SUMPRODUCT(Y267:Y276*H267:H276),"0")</f>
        <v>2322.6000000000004</v>
      </c>
      <c r="Z278" s="40"/>
      <c r="AA278" s="64"/>
      <c r="AB278" s="64"/>
      <c r="AC278" s="64"/>
    </row>
    <row r="279" spans="1:68" ht="15" customHeight="1" x14ac:dyDescent="0.2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460"/>
      <c r="P279" s="457" t="s">
        <v>33</v>
      </c>
      <c r="Q279" s="458"/>
      <c r="R279" s="458"/>
      <c r="S279" s="458"/>
      <c r="T279" s="458"/>
      <c r="U279" s="458"/>
      <c r="V279" s="459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7641.4800000000005</v>
      </c>
      <c r="Y279" s="41">
        <f>IFERROR(Y31+Y37+Y44+Y50+Y58+Y63+Y67+Y73+Y79+Y84+Y90+Y100+Y106+Y117+Y121+Y125+Y133+Y139+Y145+Y152+Y158+Y163+Y168+Y173+Y180+Y185+Y194+Y200+Y206+Y212+Y217+Y222+Y228+Y234+Y238+Y244+Y248+Y255+Y259+Y265+Y278,"0")</f>
        <v>7641.4800000000005</v>
      </c>
      <c r="Z279" s="40"/>
      <c r="AA279" s="64"/>
      <c r="AB279" s="64"/>
      <c r="AC279" s="64"/>
    </row>
    <row r="280" spans="1:68" x14ac:dyDescent="0.2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460"/>
      <c r="P280" s="457" t="s">
        <v>34</v>
      </c>
      <c r="Q280" s="458"/>
      <c r="R280" s="458"/>
      <c r="S280" s="458"/>
      <c r="T280" s="458"/>
      <c r="U280" s="458"/>
      <c r="V280" s="459"/>
      <c r="W280" s="40" t="s">
        <v>0</v>
      </c>
      <c r="X280" s="41">
        <f>IFERROR(SUM(BM22:BM276),"0")</f>
        <v>8233.7248</v>
      </c>
      <c r="Y280" s="41">
        <f>IFERROR(SUM(BN22:BN276),"0")</f>
        <v>8233.7248</v>
      </c>
      <c r="Z280" s="40"/>
      <c r="AA280" s="64"/>
      <c r="AB280" s="64"/>
      <c r="AC280" s="64"/>
    </row>
    <row r="281" spans="1:68" x14ac:dyDescent="0.2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460"/>
      <c r="P281" s="457" t="s">
        <v>35</v>
      </c>
      <c r="Q281" s="458"/>
      <c r="R281" s="458"/>
      <c r="S281" s="458"/>
      <c r="T281" s="458"/>
      <c r="U281" s="458"/>
      <c r="V281" s="459"/>
      <c r="W281" s="40" t="s">
        <v>20</v>
      </c>
      <c r="X281" s="42">
        <f>ROUNDUP(SUM(BO22:BO276),0)</f>
        <v>21</v>
      </c>
      <c r="Y281" s="42">
        <f>ROUNDUP(SUM(BP22:BP276),0)</f>
        <v>21</v>
      </c>
      <c r="Z281" s="40"/>
      <c r="AA281" s="64"/>
      <c r="AB281" s="64"/>
      <c r="AC281" s="64"/>
    </row>
    <row r="282" spans="1:68" x14ac:dyDescent="0.2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460"/>
      <c r="P282" s="457" t="s">
        <v>36</v>
      </c>
      <c r="Q282" s="458"/>
      <c r="R282" s="458"/>
      <c r="S282" s="458"/>
      <c r="T282" s="458"/>
      <c r="U282" s="458"/>
      <c r="V282" s="459"/>
      <c r="W282" s="40" t="s">
        <v>0</v>
      </c>
      <c r="X282" s="41">
        <f>GrossWeightTotal+PalletQtyTotal*25</f>
        <v>8758.7248</v>
      </c>
      <c r="Y282" s="41">
        <f>GrossWeightTotalR+PalletQtyTotalR*25</f>
        <v>8758.7248</v>
      </c>
      <c r="Z282" s="40"/>
      <c r="AA282" s="64"/>
      <c r="AB282" s="64"/>
      <c r="AC282" s="64"/>
    </row>
    <row r="283" spans="1:68" x14ac:dyDescent="0.2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460"/>
      <c r="P283" s="457" t="s">
        <v>37</v>
      </c>
      <c r="Q283" s="458"/>
      <c r="R283" s="458"/>
      <c r="S283" s="458"/>
      <c r="T283" s="458"/>
      <c r="U283" s="458"/>
      <c r="V283" s="459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1792</v>
      </c>
      <c r="Y283" s="41">
        <f>IFERROR(Y30+Y36+Y43+Y49+Y57+Y62+Y66+Y72+Y78+Y83+Y89+Y99+Y105+Y116+Y120+Y124+Y132+Y138+Y144+Y151+Y157+Y162+Y167+Y172+Y179+Y184+Y193+Y199+Y205+Y211+Y216+Y221+Y227+Y233+Y237+Y243+Y247+Y254+Y258+Y264+Y277,"0")</f>
        <v>1792</v>
      </c>
      <c r="Z283" s="40"/>
      <c r="AA283" s="64"/>
      <c r="AB283" s="64"/>
      <c r="AC283" s="64"/>
    </row>
    <row r="284" spans="1:68" ht="14.25" hidden="1" x14ac:dyDescent="0.2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460"/>
      <c r="P284" s="457" t="s">
        <v>38</v>
      </c>
      <c r="Q284" s="458"/>
      <c r="R284" s="458"/>
      <c r="S284" s="458"/>
      <c r="T284" s="458"/>
      <c r="U284" s="458"/>
      <c r="V284" s="459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25.55406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461" t="s">
        <v>79</v>
      </c>
      <c r="C286" s="461" t="s">
        <v>79</v>
      </c>
      <c r="D286" s="461" t="s">
        <v>45</v>
      </c>
      <c r="E286" s="461" t="s">
        <v>45</v>
      </c>
      <c r="F286" s="461" t="s">
        <v>45</v>
      </c>
      <c r="G286" s="461" t="s">
        <v>45</v>
      </c>
      <c r="H286" s="461" t="s">
        <v>45</v>
      </c>
      <c r="I286" s="461" t="s">
        <v>45</v>
      </c>
      <c r="J286" s="461" t="s">
        <v>45</v>
      </c>
      <c r="K286" s="461" t="s">
        <v>45</v>
      </c>
      <c r="L286" s="461" t="s">
        <v>45</v>
      </c>
      <c r="M286" s="461" t="s">
        <v>45</v>
      </c>
      <c r="N286" s="462"/>
      <c r="O286" s="461" t="s">
        <v>45</v>
      </c>
      <c r="P286" s="461" t="s">
        <v>45</v>
      </c>
      <c r="Q286" s="461" t="s">
        <v>45</v>
      </c>
      <c r="R286" s="461" t="s">
        <v>45</v>
      </c>
      <c r="S286" s="461" t="s">
        <v>45</v>
      </c>
      <c r="T286" s="461" t="s">
        <v>45</v>
      </c>
      <c r="U286" s="461" t="s">
        <v>45</v>
      </c>
      <c r="V286" s="461" t="s">
        <v>270</v>
      </c>
      <c r="W286" s="461" t="s">
        <v>270</v>
      </c>
      <c r="X286" s="83" t="s">
        <v>281</v>
      </c>
      <c r="Y286" s="461" t="s">
        <v>295</v>
      </c>
      <c r="Z286" s="461" t="s">
        <v>295</v>
      </c>
      <c r="AA286" s="461" t="s">
        <v>295</v>
      </c>
      <c r="AB286" s="461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463" t="s">
        <v>10</v>
      </c>
      <c r="B287" s="461" t="s">
        <v>79</v>
      </c>
      <c r="C287" s="461" t="s">
        <v>104</v>
      </c>
      <c r="D287" s="461" t="s">
        <v>110</v>
      </c>
      <c r="E287" s="461" t="s">
        <v>121</v>
      </c>
      <c r="F287" s="461" t="s">
        <v>128</v>
      </c>
      <c r="G287" s="461" t="s">
        <v>139</v>
      </c>
      <c r="H287" s="461" t="s">
        <v>155</v>
      </c>
      <c r="I287" s="461" t="s">
        <v>162</v>
      </c>
      <c r="J287" s="461" t="s">
        <v>166</v>
      </c>
      <c r="K287" s="461" t="s">
        <v>174</v>
      </c>
      <c r="L287" s="461" t="s">
        <v>189</v>
      </c>
      <c r="M287" s="461" t="s">
        <v>195</v>
      </c>
      <c r="N287" s="1"/>
      <c r="O287" s="461" t="s">
        <v>220</v>
      </c>
      <c r="P287" s="461" t="s">
        <v>238</v>
      </c>
      <c r="Q287" s="461" t="s">
        <v>244</v>
      </c>
      <c r="R287" s="461" t="s">
        <v>253</v>
      </c>
      <c r="S287" s="461" t="s">
        <v>259</v>
      </c>
      <c r="T287" s="461" t="s">
        <v>263</v>
      </c>
      <c r="U287" s="461" t="s">
        <v>266</v>
      </c>
      <c r="V287" s="461" t="s">
        <v>271</v>
      </c>
      <c r="W287" s="461" t="s">
        <v>278</v>
      </c>
      <c r="X287" s="461" t="s">
        <v>282</v>
      </c>
      <c r="Y287" s="461" t="s">
        <v>296</v>
      </c>
      <c r="Z287" s="461" t="s">
        <v>309</v>
      </c>
      <c r="AA287" s="461" t="s">
        <v>316</v>
      </c>
      <c r="AB287" s="461" t="s">
        <v>320</v>
      </c>
      <c r="AC287" s="461" t="s">
        <v>325</v>
      </c>
      <c r="AD287" s="461" t="s">
        <v>330</v>
      </c>
      <c r="AE287" s="461" t="s">
        <v>337</v>
      </c>
      <c r="AF287" s="461" t="s">
        <v>344</v>
      </c>
    </row>
    <row r="288" spans="1:68" ht="13.5" thickBot="1" x14ac:dyDescent="0.25">
      <c r="A288" s="464"/>
      <c r="B288" s="461"/>
      <c r="C288" s="461"/>
      <c r="D288" s="461"/>
      <c r="E288" s="461"/>
      <c r="F288" s="461"/>
      <c r="G288" s="461"/>
      <c r="H288" s="461"/>
      <c r="I288" s="461"/>
      <c r="J288" s="461"/>
      <c r="K288" s="461"/>
      <c r="L288" s="461"/>
      <c r="M288" s="461"/>
      <c r="N288" s="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  <c r="AA288" s="461"/>
      <c r="AB288" s="461"/>
      <c r="AC288" s="461"/>
      <c r="AD288" s="461"/>
      <c r="AE288" s="461"/>
      <c r="AF288" s="461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73.92</v>
      </c>
      <c r="N289" s="1"/>
      <c r="O289" s="50">
        <f>IFERROR(X128*H128,"0")+IFERROR(X129*H129,"0")+IFERROR(X130*H130,"0")+IFERROR(X131*H131,"0")+IFERROR(X135*H135,"0")+IFERROR(X136*H136,"0")+IFERROR(X137*H137,"0")</f>
        <v>171.36</v>
      </c>
      <c r="P289" s="50">
        <f>IFERROR(X142*H142,"0")+IFERROR(X143*H143,"0")</f>
        <v>210</v>
      </c>
      <c r="Q289" s="50">
        <f>IFERROR(X148*H148,"0")+IFERROR(X149*H149,"0")+IFERROR(X150*H150,"0")</f>
        <v>210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168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6354.6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7641.4800000000005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2,00"/>
        <filter val="1 792,00"/>
        <filter val="126,00"/>
        <filter val="14,00"/>
        <filter val="168,00"/>
        <filter val="171,36"/>
        <filter val="2 322,60"/>
        <filter val="2 520,00"/>
        <filter val="201,60"/>
        <filter val="21"/>
        <filter val="210,00"/>
        <filter val="252,00"/>
        <filter val="28,00"/>
        <filter val="378,00"/>
        <filter val="42,00"/>
        <filter val="504,00"/>
        <filter val="546,00"/>
        <filter val="56,00"/>
        <filter val="7 641,48"/>
        <filter val="70,00"/>
        <filter val="73,92"/>
        <filter val="8 233,72"/>
        <filter val="8 758,72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