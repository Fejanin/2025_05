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КИ Ташкент\"/>
    </mc:Choice>
  </mc:AlternateContent>
  <xr:revisionPtr revIDLastSave="0" documentId="13_ncr:1_{AB1BE890-2435-4AE8-AFEA-88F726590CA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87" i="1" l="1"/>
  <c r="U87" i="1" s="1"/>
  <c r="L87" i="1"/>
  <c r="P86" i="1"/>
  <c r="U86" i="1" s="1"/>
  <c r="L86" i="1"/>
  <c r="P85" i="1"/>
  <c r="U85" i="1" s="1"/>
  <c r="L85" i="1"/>
  <c r="P84" i="1"/>
  <c r="U84" i="1" s="1"/>
  <c r="L84" i="1"/>
  <c r="P83" i="1"/>
  <c r="U83" i="1" s="1"/>
  <c r="L83" i="1"/>
  <c r="P82" i="1"/>
  <c r="U82" i="1" s="1"/>
  <c r="L82" i="1"/>
  <c r="P81" i="1"/>
  <c r="U81" i="1" s="1"/>
  <c r="L81" i="1"/>
  <c r="P80" i="1"/>
  <c r="U80" i="1" s="1"/>
  <c r="L80" i="1"/>
  <c r="P79" i="1"/>
  <c r="U79" i="1" s="1"/>
  <c r="L79" i="1"/>
  <c r="P78" i="1"/>
  <c r="U78" i="1" s="1"/>
  <c r="L78" i="1"/>
  <c r="P77" i="1"/>
  <c r="U77" i="1" s="1"/>
  <c r="L77" i="1"/>
  <c r="P76" i="1"/>
  <c r="U76" i="1" s="1"/>
  <c r="L76" i="1"/>
  <c r="P75" i="1"/>
  <c r="U75" i="1" s="1"/>
  <c r="L75" i="1"/>
  <c r="P74" i="1"/>
  <c r="U74" i="1" s="1"/>
  <c r="L74" i="1"/>
  <c r="P73" i="1"/>
  <c r="U73" i="1" s="1"/>
  <c r="L73" i="1"/>
  <c r="P72" i="1"/>
  <c r="L72" i="1"/>
  <c r="P71" i="1"/>
  <c r="U71" i="1" s="1"/>
  <c r="L71" i="1"/>
  <c r="P70" i="1"/>
  <c r="L70" i="1"/>
  <c r="F69" i="1"/>
  <c r="E69" i="1"/>
  <c r="P69" i="1" s="1"/>
  <c r="P68" i="1"/>
  <c r="L68" i="1"/>
  <c r="P67" i="1"/>
  <c r="U67" i="1" s="1"/>
  <c r="L67" i="1"/>
  <c r="P66" i="1"/>
  <c r="Q66" i="1" s="1"/>
  <c r="L66" i="1"/>
  <c r="P65" i="1"/>
  <c r="U65" i="1" s="1"/>
  <c r="L65" i="1"/>
  <c r="P64" i="1"/>
  <c r="L64" i="1"/>
  <c r="P63" i="1"/>
  <c r="U63" i="1" s="1"/>
  <c r="L63" i="1"/>
  <c r="P62" i="1"/>
  <c r="L62" i="1"/>
  <c r="P61" i="1"/>
  <c r="U61" i="1" s="1"/>
  <c r="L61" i="1"/>
  <c r="P60" i="1"/>
  <c r="L60" i="1"/>
  <c r="P59" i="1"/>
  <c r="U59" i="1" s="1"/>
  <c r="L59" i="1"/>
  <c r="P58" i="1"/>
  <c r="L58" i="1"/>
  <c r="P57" i="1"/>
  <c r="U57" i="1" s="1"/>
  <c r="L57" i="1"/>
  <c r="P56" i="1"/>
  <c r="L56" i="1"/>
  <c r="P55" i="1"/>
  <c r="T55" i="1" s="1"/>
  <c r="L55" i="1"/>
  <c r="F54" i="1"/>
  <c r="E54" i="1"/>
  <c r="P54" i="1" s="1"/>
  <c r="P53" i="1"/>
  <c r="L53" i="1"/>
  <c r="P52" i="1"/>
  <c r="U52" i="1" s="1"/>
  <c r="L52" i="1"/>
  <c r="P51" i="1"/>
  <c r="L51" i="1"/>
  <c r="P50" i="1"/>
  <c r="U50" i="1" s="1"/>
  <c r="L50" i="1"/>
  <c r="P49" i="1"/>
  <c r="L49" i="1"/>
  <c r="F48" i="1"/>
  <c r="E48" i="1"/>
  <c r="P48" i="1" s="1"/>
  <c r="P47" i="1"/>
  <c r="L47" i="1"/>
  <c r="P46" i="1"/>
  <c r="U46" i="1" s="1"/>
  <c r="L46" i="1"/>
  <c r="P45" i="1"/>
  <c r="U45" i="1" s="1"/>
  <c r="L45" i="1"/>
  <c r="F44" i="1"/>
  <c r="E44" i="1"/>
  <c r="L44" i="1" s="1"/>
  <c r="P43" i="1"/>
  <c r="U43" i="1" s="1"/>
  <c r="L43" i="1"/>
  <c r="P42" i="1"/>
  <c r="U42" i="1" s="1"/>
  <c r="L42" i="1"/>
  <c r="P41" i="1"/>
  <c r="L41" i="1"/>
  <c r="F40" i="1"/>
  <c r="E40" i="1"/>
  <c r="P40" i="1" s="1"/>
  <c r="F39" i="1"/>
  <c r="E39" i="1"/>
  <c r="L39" i="1" s="1"/>
  <c r="F38" i="1"/>
  <c r="E38" i="1"/>
  <c r="P38" i="1" s="1"/>
  <c r="F37" i="1"/>
  <c r="E37" i="1"/>
  <c r="L37" i="1" s="1"/>
  <c r="P36" i="1"/>
  <c r="AE36" i="1" s="1"/>
  <c r="L36" i="1"/>
  <c r="F36" i="1"/>
  <c r="U36" i="1" s="1"/>
  <c r="F35" i="1"/>
  <c r="E35" i="1"/>
  <c r="P35" i="1" s="1"/>
  <c r="P34" i="1"/>
  <c r="L34" i="1"/>
  <c r="P33" i="1"/>
  <c r="U33" i="1" s="1"/>
  <c r="L33" i="1"/>
  <c r="P32" i="1"/>
  <c r="Q32" i="1" s="1"/>
  <c r="AE32" i="1" s="1"/>
  <c r="L32" i="1"/>
  <c r="P31" i="1"/>
  <c r="U31" i="1" s="1"/>
  <c r="L31" i="1"/>
  <c r="P30" i="1"/>
  <c r="Q30" i="1" s="1"/>
  <c r="L30" i="1"/>
  <c r="P29" i="1"/>
  <c r="U29" i="1" s="1"/>
  <c r="L29" i="1"/>
  <c r="P28" i="1"/>
  <c r="L28" i="1"/>
  <c r="P27" i="1"/>
  <c r="T27" i="1" s="1"/>
  <c r="L27" i="1"/>
  <c r="P26" i="1"/>
  <c r="U26" i="1" s="1"/>
  <c r="L26" i="1"/>
  <c r="F25" i="1"/>
  <c r="E25" i="1"/>
  <c r="L25" i="1" s="1"/>
  <c r="P24" i="1"/>
  <c r="U24" i="1" s="1"/>
  <c r="L24" i="1"/>
  <c r="F23" i="1"/>
  <c r="E23" i="1"/>
  <c r="L23" i="1" s="1"/>
  <c r="F22" i="1"/>
  <c r="E22" i="1"/>
  <c r="P22" i="1" s="1"/>
  <c r="P21" i="1"/>
  <c r="U21" i="1" s="1"/>
  <c r="L21" i="1"/>
  <c r="P20" i="1"/>
  <c r="AE20" i="1" s="1"/>
  <c r="L20" i="1"/>
  <c r="P19" i="1"/>
  <c r="U19" i="1" s="1"/>
  <c r="L19" i="1"/>
  <c r="P18" i="1"/>
  <c r="Q18" i="1" s="1"/>
  <c r="L18" i="1"/>
  <c r="P17" i="1"/>
  <c r="U17" i="1" s="1"/>
  <c r="L17" i="1"/>
  <c r="P16" i="1"/>
  <c r="L16" i="1"/>
  <c r="F15" i="1"/>
  <c r="E15" i="1"/>
  <c r="P15" i="1" s="1"/>
  <c r="F14" i="1"/>
  <c r="E14" i="1"/>
  <c r="L14" i="1" s="1"/>
  <c r="P13" i="1"/>
  <c r="U13" i="1" s="1"/>
  <c r="L13" i="1"/>
  <c r="P12" i="1"/>
  <c r="Q12" i="1" s="1"/>
  <c r="AE12" i="1" s="1"/>
  <c r="L12" i="1"/>
  <c r="P11" i="1"/>
  <c r="U11" i="1" s="1"/>
  <c r="L11" i="1"/>
  <c r="P10" i="1"/>
  <c r="U10" i="1" s="1"/>
  <c r="L10" i="1"/>
  <c r="P9" i="1"/>
  <c r="L9" i="1"/>
  <c r="P8" i="1"/>
  <c r="U8" i="1" s="1"/>
  <c r="L8" i="1"/>
  <c r="P7" i="1"/>
  <c r="Q7" i="1" s="1"/>
  <c r="AE7" i="1" s="1"/>
  <c r="L7" i="1"/>
  <c r="P6" i="1"/>
  <c r="U6" i="1" s="1"/>
  <c r="L6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Q54" i="1" l="1"/>
  <c r="AE54" i="1" s="1"/>
  <c r="Q65" i="1"/>
  <c r="AE65" i="1" s="1"/>
  <c r="Q35" i="1"/>
  <c r="AE35" i="1" s="1"/>
  <c r="Q67" i="1"/>
  <c r="Q26" i="1"/>
  <c r="Q40" i="1"/>
  <c r="AE40" i="1" s="1"/>
  <c r="Q17" i="1"/>
  <c r="AE17" i="1" s="1"/>
  <c r="Q24" i="1"/>
  <c r="AE24" i="1" s="1"/>
  <c r="AE18" i="1"/>
  <c r="Q69" i="1"/>
  <c r="T69" i="1" s="1"/>
  <c r="Q11" i="1"/>
  <c r="AE11" i="1" s="1"/>
  <c r="Q22" i="1"/>
  <c r="AE22" i="1" s="1"/>
  <c r="Q63" i="1"/>
  <c r="AE63" i="1" s="1"/>
  <c r="Q31" i="1"/>
  <c r="AE31" i="1" s="1"/>
  <c r="Q16" i="1"/>
  <c r="AE16" i="1" s="1"/>
  <c r="Q28" i="1"/>
  <c r="AE28" i="1" s="1"/>
  <c r="Q15" i="1"/>
  <c r="AE15" i="1" s="1"/>
  <c r="Q38" i="1"/>
  <c r="AE38" i="1" s="1"/>
  <c r="T45" i="1"/>
  <c r="T84" i="1"/>
  <c r="Q48" i="1"/>
  <c r="AE48" i="1" s="1"/>
  <c r="T76" i="1"/>
  <c r="AE71" i="1"/>
  <c r="Q9" i="1"/>
  <c r="AE9" i="1" s="1"/>
  <c r="AE30" i="1"/>
  <c r="Q34" i="1"/>
  <c r="AE34" i="1" s="1"/>
  <c r="Q43" i="1"/>
  <c r="AE43" i="1" s="1"/>
  <c r="Q46" i="1"/>
  <c r="AE46" i="1" s="1"/>
  <c r="AE50" i="1"/>
  <c r="AE52" i="1"/>
  <c r="AE57" i="1"/>
  <c r="AE61" i="1"/>
  <c r="T7" i="1"/>
  <c r="T12" i="1"/>
  <c r="U27" i="1"/>
  <c r="T32" i="1"/>
  <c r="T36" i="1"/>
  <c r="U69" i="1"/>
  <c r="T80" i="1"/>
  <c r="Q6" i="1"/>
  <c r="AE8" i="1"/>
  <c r="Q13" i="1"/>
  <c r="AE19" i="1"/>
  <c r="AE33" i="1"/>
  <c r="AE41" i="1"/>
  <c r="AE47" i="1"/>
  <c r="AE49" i="1"/>
  <c r="AE51" i="1"/>
  <c r="AE53" i="1"/>
  <c r="AE56" i="1"/>
  <c r="AE58" i="1"/>
  <c r="AE60" i="1"/>
  <c r="AE62" i="1"/>
  <c r="AE64" i="1"/>
  <c r="AE66" i="1"/>
  <c r="Q68" i="1"/>
  <c r="AE68" i="1" s="1"/>
  <c r="AE70" i="1"/>
  <c r="AE72" i="1"/>
  <c r="T18" i="1"/>
  <c r="T20" i="1"/>
  <c r="T10" i="1"/>
  <c r="T33" i="1"/>
  <c r="U35" i="1"/>
  <c r="U54" i="1"/>
  <c r="T74" i="1"/>
  <c r="T78" i="1"/>
  <c r="T82" i="1"/>
  <c r="T86" i="1"/>
  <c r="P14" i="1"/>
  <c r="P23" i="1"/>
  <c r="Q23" i="1" s="1"/>
  <c r="P25" i="1"/>
  <c r="Q25" i="1" s="1"/>
  <c r="P37" i="1"/>
  <c r="Q37" i="1" s="1"/>
  <c r="P44" i="1"/>
  <c r="F5" i="1"/>
  <c r="U16" i="1"/>
  <c r="U18" i="1"/>
  <c r="U20" i="1"/>
  <c r="T21" i="1"/>
  <c r="U22" i="1"/>
  <c r="P39" i="1"/>
  <c r="T42" i="1"/>
  <c r="U47" i="1"/>
  <c r="T50" i="1"/>
  <c r="U55" i="1"/>
  <c r="T61" i="1"/>
  <c r="U70" i="1"/>
  <c r="U72" i="1"/>
  <c r="T73" i="1"/>
  <c r="T75" i="1"/>
  <c r="T77" i="1"/>
  <c r="T79" i="1"/>
  <c r="T81" i="1"/>
  <c r="T83" i="1"/>
  <c r="T85" i="1"/>
  <c r="T87" i="1"/>
  <c r="U7" i="1"/>
  <c r="U9" i="1"/>
  <c r="U12" i="1"/>
  <c r="L15" i="1"/>
  <c r="L38" i="1"/>
  <c r="L40" i="1"/>
  <c r="L48" i="1"/>
  <c r="E5" i="1"/>
  <c r="U15" i="1"/>
  <c r="L22" i="1"/>
  <c r="U28" i="1"/>
  <c r="U30" i="1"/>
  <c r="U32" i="1"/>
  <c r="U34" i="1"/>
  <c r="L35" i="1"/>
  <c r="U38" i="1"/>
  <c r="U40" i="1"/>
  <c r="U41" i="1"/>
  <c r="U48" i="1"/>
  <c r="U49" i="1"/>
  <c r="U51" i="1"/>
  <c r="U53" i="1"/>
  <c r="L54" i="1"/>
  <c r="U56" i="1"/>
  <c r="U58" i="1"/>
  <c r="U60" i="1"/>
  <c r="U62" i="1"/>
  <c r="U64" i="1"/>
  <c r="U66" i="1"/>
  <c r="U68" i="1"/>
  <c r="L69" i="1"/>
  <c r="T22" i="1" l="1"/>
  <c r="AE69" i="1"/>
  <c r="U23" i="1"/>
  <c r="T31" i="1"/>
  <c r="T24" i="1"/>
  <c r="Q44" i="1"/>
  <c r="AE44" i="1" s="1"/>
  <c r="Q14" i="1"/>
  <c r="AE14" i="1" s="1"/>
  <c r="T38" i="1"/>
  <c r="T28" i="1"/>
  <c r="T16" i="1"/>
  <c r="T17" i="1"/>
  <c r="T11" i="1"/>
  <c r="T54" i="1"/>
  <c r="T40" i="1"/>
  <c r="T15" i="1"/>
  <c r="T71" i="1"/>
  <c r="T57" i="1"/>
  <c r="T35" i="1"/>
  <c r="T43" i="1"/>
  <c r="T64" i="1"/>
  <c r="T67" i="1"/>
  <c r="AE67" i="1"/>
  <c r="T48" i="1"/>
  <c r="T63" i="1"/>
  <c r="T39" i="1"/>
  <c r="AE39" i="1"/>
  <c r="U25" i="1"/>
  <c r="T26" i="1"/>
  <c r="AE26" i="1"/>
  <c r="AE13" i="1"/>
  <c r="T13" i="1"/>
  <c r="T58" i="1"/>
  <c r="T53" i="1"/>
  <c r="T49" i="1"/>
  <c r="T41" i="1"/>
  <c r="AE59" i="1"/>
  <c r="T59" i="1"/>
  <c r="T70" i="1"/>
  <c r="T66" i="1"/>
  <c r="T34" i="1"/>
  <c r="T9" i="1"/>
  <c r="U44" i="1"/>
  <c r="T65" i="1"/>
  <c r="T46" i="1"/>
  <c r="T19" i="1"/>
  <c r="T8" i="1"/>
  <c r="AE37" i="1"/>
  <c r="AE23" i="1"/>
  <c r="T52" i="1"/>
  <c r="T29" i="1"/>
  <c r="AE29" i="1"/>
  <c r="AE6" i="1"/>
  <c r="T6" i="1"/>
  <c r="T60" i="1"/>
  <c r="T56" i="1"/>
  <c r="T51" i="1"/>
  <c r="T47" i="1"/>
  <c r="T72" i="1"/>
  <c r="T68" i="1"/>
  <c r="T62" i="1"/>
  <c r="T30" i="1"/>
  <c r="U39" i="1"/>
  <c r="U37" i="1"/>
  <c r="P5" i="1"/>
  <c r="L5" i="1"/>
  <c r="U14" i="1"/>
  <c r="T44" i="1" l="1"/>
  <c r="T14" i="1"/>
  <c r="Q5" i="1"/>
  <c r="T23" i="1"/>
  <c r="T37" i="1"/>
  <c r="AE25" i="1"/>
  <c r="AE5" i="1" s="1"/>
  <c r="T25" i="1"/>
</calcChain>
</file>

<file path=xl/sharedStrings.xml><?xml version="1.0" encoding="utf-8"?>
<sst xmlns="http://schemas.openxmlformats.org/spreadsheetml/2006/main" count="327" uniqueCount="148">
  <si>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</si>
  <si>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</si>
  <si>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</si>
  <si>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</si>
  <si>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</si>
  <si>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</si>
  <si>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</si>
  <si>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</si>
  <si>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</si>
  <si>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</si>
  <si>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</si>
  <si>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</si>
  <si>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</si>
  <si>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</si>
  <si>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</si>
  <si>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</si>
  <si>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</si>
  <si>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</si>
  <si>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</si>
  <si>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</si>
  <si>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</si>
  <si>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</si>
  <si>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</si>
  <si>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</si>
  <si>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нет</t>
  </si>
  <si>
    <t>15,01,</t>
  </si>
  <si>
    <t>22,12,</t>
  </si>
  <si>
    <t>11,12,</t>
  </si>
  <si>
    <t>04,12,</t>
  </si>
  <si>
    <t>27,11,</t>
  </si>
  <si>
    <t>20,11,</t>
  </si>
  <si>
    <t>13,11,</t>
  </si>
  <si>
    <t>06,11,</t>
  </si>
  <si>
    <t>30,10,</t>
  </si>
  <si>
    <t>0178 Ветчины Нежная Особая Особая Весовые П/а Особый рецепт большой батон  ПОКОМ</t>
  </si>
  <si>
    <t>кг</t>
  </si>
  <si>
    <t>матрица</t>
  </si>
  <si>
    <t>0222-Ветчины Дугушка Дугушка б/о Стародворье, 1кг</t>
  </si>
  <si>
    <t>0227 Сардельки «Стародворские с говядиной» Весовые NDX ТМ «Стародворье»  ПОКОМ</t>
  </si>
  <si>
    <t>матрица / новинка</t>
  </si>
  <si>
    <t>SU000227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</si>
  <si>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</si>
  <si>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</si>
  <si>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нет в бланке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</si>
  <si>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</si>
  <si>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</si>
  <si>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</si>
  <si>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</si>
  <si>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</si>
  <si>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шт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</si>
  <si>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</si>
  <si>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</si>
  <si>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</si>
  <si>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1231 Сосиски Сливочные Дугушки Дугушка Весовые П/а Стародворье, вес 1кг</t>
  </si>
  <si>
    <t>нет в бланке (25,12,25)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</si>
  <si>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</si>
  <si>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</si>
  <si>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вывод</t>
  </si>
  <si>
    <t>завод вывел из производства</t>
  </si>
  <si>
    <t>1370-Сосиски Сочинки Бордо Весовой п/а Стародворье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</si>
  <si>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</si>
  <si>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</si>
  <si>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1411 Сосиски «Сочинки Сливочные» Весовые ТМ «Стародворье» 1,35 кг  ПОКОМ</t>
  </si>
  <si>
    <t>1461 Сосиски «Баварские» Фикс.вес 0,35 П/а ТМ «Стародворье»  ПОКОМ</t>
  </si>
  <si>
    <t>1485 Сосиски «Баварские с сыром» Фикс.вес 0,35 п/а ТМ «Стародворье»  ПОКОМ</t>
  </si>
  <si>
    <t>не в матрице</t>
  </si>
  <si>
    <t>1523-Сосиски Вязанка Молочные ТМ Стародворские колбасы</t>
  </si>
  <si>
    <t>1718-Сосиски Вязанка Молочные ТМ Стародворские колбасы ТС  амицел в мод. газов.среде 0,45кг</t>
  </si>
  <si>
    <t>SU001718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</si>
  <si>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</si>
  <si>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</si>
  <si>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1728-Сосиски сливочные по-стародворски в оболочке</t>
  </si>
  <si>
    <t>1820-Колбаса Сервелат Зернистый ТМ Стародворье в оболочке фиброуз в вакуумной упаковке</t>
  </si>
  <si>
    <t>SU001820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</si>
  <si>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</si>
  <si>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</si>
  <si>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</si>
  <si>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</si>
  <si>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</si>
  <si>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</si>
  <si>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</si>
  <si>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</si>
  <si>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</si>
  <si>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2027 Ветчина Нежная п/а ТМ Особый рецепт шт. 0,4кг</t>
  </si>
  <si>
    <t>2074-Сосиски Молочные для завтрака Особый рецепт</t>
  </si>
  <si>
    <t>2094 Вареные колбасы Докторская Дугушка Дугушка Весовые Вектор Стародворье, вес 1кг</t>
  </si>
  <si>
    <t>2150 В/к колбасы Рубленая Запеченная Дугушка Весовые Вектор Стародворье, вес 1кг</t>
  </si>
  <si>
    <t>2201 Колбаса Докторская ГОСТ ТМ Стародворье  ПОКОМ</t>
  </si>
  <si>
    <t>SU002201</t>
  </si>
  <si>
    <t>2205-Сосиски Молочные для завтрака ТМ Особый рецепт 0,4кг</t>
  </si>
  <si>
    <t>2252 Колбаса Кракушка пряная с сальцем 0,3кг ТМ Стародворье ТС Баварушка  ПОКОМ</t>
  </si>
  <si>
    <t>SU002252</t>
  </si>
  <si>
    <t>2367 Сардельки «Сливушки» фикс.вес 0,33 п/а мгс ТМ «Вязанка»  ПОКОМ</t>
  </si>
  <si>
    <t>SU002367</t>
  </si>
  <si>
    <t>2606 Колбаса Сервелат Филейбургский с филе сочного окорока срез 0,35кг Баварушка  ПОКОМ</t>
  </si>
  <si>
    <t>SU002606</t>
  </si>
  <si>
    <t>2614 Копченые колбасы «Салями Филейбургская зернистая» Весовой фиброуз ТМ «Баварушка»  ПОКОМ</t>
  </si>
  <si>
    <t>SU002614</t>
  </si>
  <si>
    <t>2617 Колбаса Сервелат Филедворский 0,35кг ТМ Стародворье  ПОКОМ</t>
  </si>
  <si>
    <t>SU002617</t>
  </si>
  <si>
    <t>2634 Колбаса Дугушка Стародворская ТМ Стародворье ТС Дугушка  ПОКОМ</t>
  </si>
  <si>
    <t>2635 Вареные колбасы «Дугушка со шпиком» Фикс.вес 0,6 П/а ТМ «Дугушка»  ПОКОМ</t>
  </si>
  <si>
    <t>не заказывали</t>
  </si>
  <si>
    <t>новика должна была быть весовая (не было в бланке)</t>
  </si>
  <si>
    <t>2674 Вареные колбасы Классическая Вязанка Фикс.вес 0,6 Вектор Вязанка  ПОКОМ</t>
  </si>
  <si>
    <t>SU002674</t>
  </si>
  <si>
    <t>2799 Сосиски Сочинки по-баварски Бавария Фикс.вес 0,4 П/а мгс Стародворье  ПОКОМ</t>
  </si>
  <si>
    <t>SU002799</t>
  </si>
  <si>
    <t>2827 Колбаса вареная Сливушка Вязанка Фикс.вес 0,75 П/а Вязанка  ПОКОМ</t>
  </si>
  <si>
    <t>SU002827</t>
  </si>
  <si>
    <t>3046 П/к колбасы «Мясорубская» ф/в 0,28 н/о ТМ «Стародворье»  ПОКОМ</t>
  </si>
  <si>
    <t>SU003046</t>
  </si>
  <si>
    <t>3333 Сосиски «Ганноверские» Фикс.вес 0,5 П/а мгс ТМ «Стародворье»  ПОКОМ</t>
  </si>
  <si>
    <t>SU003333</t>
  </si>
  <si>
    <t>3340  Сосиски «Венские» ф/в 0,6 п/а ТМ «Стародворье»  ПОКОМ</t>
  </si>
  <si>
    <t>SU003340</t>
  </si>
  <si>
    <t>3391 Вареные колбасы «Филедворская со шпиком по-стародворски» Весовой п/а ТМ «Стародворье»  ПОКОМ</t>
  </si>
  <si>
    <t>SU003391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</si>
  <si>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</si>
  <si>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</si>
  <si>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</si>
  <si>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</si>
  <si>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</si>
  <si>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</si>
  <si>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</si>
  <si>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Сардельки «Шпикачки Стародворские» Весовой NDX ТМ «Стародворье»</t>
  </si>
  <si>
    <t>SU001430 / нет в движении</t>
  </si>
  <si>
    <t>Сосиски «Сочинки Сливочные» Фикс.вес 0,4 п/а мгс ТМ «Стародворье»</t>
  </si>
  <si>
    <t>SU002844 / нет в движении</t>
  </si>
  <si>
    <t>Сосиски Ганноверские 1.350 г   </t>
  </si>
  <si>
    <t>SU001340 / нет в движении</t>
  </si>
  <si>
    <t>БОНУС_1201 В/к колбасы Сервелат Мясорубский с мелкорубленным окороком Бордо Весовой фиброуз Стародворье  ПОКОМ</t>
  </si>
  <si>
    <t>бонус</t>
  </si>
  <si>
    <t>БОНУС_1202 В/к колбасы Сервелат Мясорубский с мелкорубленным окороком срез Бордо Фикс.вес 0,35 фибро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</si>
  <si>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</si>
  <si>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</si>
  <si>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</si>
  <si>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БОНУС_1721-Сосиски Вязанка Сливочные ТМ Стародворские колбасы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</si>
  <si>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</si>
  <si>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</si>
  <si>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</si>
  <si>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</si>
  <si>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</si>
  <si>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</si>
  <si>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</si>
  <si>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</si>
  <si>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БОНУС_С/к колбасы Швейцарская Бордо Фикс.вес 0,17 Фиброуз терм/п Стародворье</t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</si>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</sst>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5" borderId="1" xfId="1" applyNumberFormat="1" applyFont="1" applyFill="1"/>
    <xf numFmtId="2" fontId="1" fillId="5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164" fontId="4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5" fillId="9" borderId="1" xfId="1" applyNumberFormat="1" applyFont="1" applyFill="1"/>
    <xf numFmtId="164" fontId="6" fillId="10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7" sqref="AD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42578125" customWidth="1"/>
    <col min="15" max="15" width="0.28515625" customWidth="1"/>
    <col min="16" max="18" width="7" customWidth="1"/>
    <col min="19" max="19" width="21" customWidth="1"/>
    <col min="20" max="21" width="5" customWidth="1"/>
    <col min="22" max="29" width="6" customWidth="1"/>
    <col min="30" max="30" width="54.85546875" customWidth="1"/>
    <col min="31" max="31" width="7" customWidth="1"/>
    <col min="32" max="49" width="3" customWidth="1"/>
  </cols>
  <sheetData>
    <row r="1" spans="1:49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7" t="s">
        <v>17</v>
      </c>
      <c r="S3" s="7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/>
      <c r="R4" s="1"/>
      <c r="S4" s="1"/>
      <c r="T4" s="1"/>
      <c r="U4" s="1"/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SUM(E6:E492)</f>
        <v>8941.5030000000024</v>
      </c>
      <c r="F5" s="4">
        <f>SUM(F6:F492)</f>
        <v>9642.8640000000014</v>
      </c>
      <c r="G5" s="8"/>
      <c r="H5" s="1"/>
      <c r="I5" s="1"/>
      <c r="J5" s="1"/>
      <c r="K5" s="4">
        <f t="shared" ref="K5:R5" si="0">SUM(K6:K492)</f>
        <v>0</v>
      </c>
      <c r="L5" s="4">
        <f t="shared" si="0"/>
        <v>8941.5030000000024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1788.3005999999998</v>
      </c>
      <c r="Q5" s="4">
        <f t="shared" si="0"/>
        <v>12990.3904</v>
      </c>
      <c r="R5" s="4">
        <f t="shared" si="0"/>
        <v>0</v>
      </c>
      <c r="S5" s="1"/>
      <c r="T5" s="1"/>
      <c r="U5" s="1"/>
      <c r="V5" s="4">
        <f t="shared" ref="V5:AC5" si="1">SUM(V6:V492)</f>
        <v>2717.5031999999997</v>
      </c>
      <c r="W5" s="4">
        <f t="shared" si="1"/>
        <v>2151.9498000000003</v>
      </c>
      <c r="X5" s="4">
        <f t="shared" si="1"/>
        <v>1911.1414</v>
      </c>
      <c r="Y5" s="4">
        <f t="shared" si="1"/>
        <v>1836.4140000000002</v>
      </c>
      <c r="Z5" s="4">
        <f t="shared" si="1"/>
        <v>1853.59</v>
      </c>
      <c r="AA5" s="4">
        <f t="shared" si="1"/>
        <v>1762.1594000000005</v>
      </c>
      <c r="AB5" s="4">
        <f t="shared" si="1"/>
        <v>1905.0529999999999</v>
      </c>
      <c r="AC5" s="4">
        <f t="shared" si="1"/>
        <v>1877.4608000000005</v>
      </c>
      <c r="AD5" s="1"/>
      <c r="AE5" s="4">
        <f>SUM(AE6:AE492)</f>
        <v>10766.778400000001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34</v>
      </c>
      <c r="B6" s="1" t="s">
        <v>35</v>
      </c>
      <c r="C6" s="1">
        <v>651.34</v>
      </c>
      <c r="D6" s="1"/>
      <c r="E6" s="1">
        <v>212.50399999999999</v>
      </c>
      <c r="F6" s="1">
        <v>409.82799999999997</v>
      </c>
      <c r="G6" s="8">
        <v>1</v>
      </c>
      <c r="H6" s="1">
        <v>50</v>
      </c>
      <c r="I6" s="1" t="s">
        <v>36</v>
      </c>
      <c r="J6" s="1"/>
      <c r="K6" s="1"/>
      <c r="L6" s="1">
        <f t="shared" ref="L6:L37" si="2">E6-K6</f>
        <v>212.50399999999999</v>
      </c>
      <c r="M6" s="1"/>
      <c r="N6" s="1"/>
      <c r="O6" s="1"/>
      <c r="P6" s="1">
        <f t="shared" ref="P6:P37" si="3">E6/5</f>
        <v>42.500799999999998</v>
      </c>
      <c r="Q6" s="5">
        <f>18*P6-F6</f>
        <v>355.18640000000005</v>
      </c>
      <c r="R6" s="5"/>
      <c r="S6" s="1"/>
      <c r="T6" s="1">
        <f t="shared" ref="T6:T37" si="4">(F6+Q6)/P6</f>
        <v>18</v>
      </c>
      <c r="U6" s="1">
        <f t="shared" ref="U6:U37" si="5">F6/P6</f>
        <v>9.6428302526070091</v>
      </c>
      <c r="V6" s="1">
        <v>69.410200000000003</v>
      </c>
      <c r="W6" s="1">
        <v>75.95320000000001</v>
      </c>
      <c r="X6" s="1">
        <v>39.898200000000003</v>
      </c>
      <c r="Y6" s="1">
        <v>38.9938</v>
      </c>
      <c r="Z6" s="1">
        <v>50.0184</v>
      </c>
      <c r="AA6" s="1">
        <v>43.255600000000001</v>
      </c>
      <c r="AB6" s="1">
        <v>50.669199999999996</v>
      </c>
      <c r="AC6" s="1">
        <v>57.2684</v>
      </c>
      <c r="AD6" s="1"/>
      <c r="AE6" s="1">
        <f>G6*Q6</f>
        <v>355.18640000000005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35</v>
      </c>
      <c r="C7" s="1">
        <v>619.16</v>
      </c>
      <c r="D7" s="1"/>
      <c r="E7" s="1">
        <v>209.15899999999999</v>
      </c>
      <c r="F7" s="1">
        <v>396.42899999999997</v>
      </c>
      <c r="G7" s="8">
        <v>1</v>
      </c>
      <c r="H7" s="1">
        <v>55</v>
      </c>
      <c r="I7" s="1" t="s">
        <v>36</v>
      </c>
      <c r="J7" s="1"/>
      <c r="K7" s="1"/>
      <c r="L7" s="1">
        <f t="shared" si="2"/>
        <v>209.15899999999999</v>
      </c>
      <c r="M7" s="1"/>
      <c r="N7" s="1"/>
      <c r="O7" s="1"/>
      <c r="P7" s="1">
        <f t="shared" si="3"/>
        <v>41.831800000000001</v>
      </c>
      <c r="Q7" s="5">
        <f t="shared" ref="Q7:Q9" si="6">18*P7-F7</f>
        <v>356.54340000000002</v>
      </c>
      <c r="R7" s="5"/>
      <c r="S7" s="1"/>
      <c r="T7" s="1">
        <f t="shared" si="4"/>
        <v>18</v>
      </c>
      <c r="U7" s="1">
        <f t="shared" si="5"/>
        <v>9.4767377927796552</v>
      </c>
      <c r="V7" s="1">
        <v>68.750199999999992</v>
      </c>
      <c r="W7" s="1">
        <v>44.959000000000003</v>
      </c>
      <c r="X7" s="1">
        <v>44.106400000000001</v>
      </c>
      <c r="Y7" s="1">
        <v>48.622399999999999</v>
      </c>
      <c r="Z7" s="1">
        <v>44.1432</v>
      </c>
      <c r="AA7" s="1">
        <v>36.142000000000003</v>
      </c>
      <c r="AB7" s="1">
        <v>51.187800000000003</v>
      </c>
      <c r="AC7" s="1">
        <v>53.262999999999998</v>
      </c>
      <c r="AD7" s="1"/>
      <c r="AE7" s="1">
        <f>G7*Q7</f>
        <v>356.54340000000002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0" t="s">
        <v>38</v>
      </c>
      <c r="B8" s="1" t="s">
        <v>35</v>
      </c>
      <c r="C8" s="1">
        <v>8.1519999999999992</v>
      </c>
      <c r="D8" s="1"/>
      <c r="E8" s="1"/>
      <c r="F8" s="1">
        <v>5.47</v>
      </c>
      <c r="G8" s="8">
        <v>1</v>
      </c>
      <c r="H8" s="1">
        <v>30</v>
      </c>
      <c r="I8" s="1" t="s">
        <v>39</v>
      </c>
      <c r="J8" s="1"/>
      <c r="K8" s="1"/>
      <c r="L8" s="1">
        <f t="shared" si="2"/>
        <v>0</v>
      </c>
      <c r="M8" s="1"/>
      <c r="N8" s="1"/>
      <c r="O8" s="1"/>
      <c r="P8" s="1">
        <f t="shared" si="3"/>
        <v>0</v>
      </c>
      <c r="Q8" s="5"/>
      <c r="R8" s="5"/>
      <c r="S8" s="1"/>
      <c r="T8" s="1" t="e">
        <f t="shared" si="4"/>
        <v>#DIV/0!</v>
      </c>
      <c r="U8" s="1" t="e">
        <f t="shared" si="5"/>
        <v>#DIV/0!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 t="s">
        <v>40</v>
      </c>
      <c r="AE8" s="1">
        <f>G8*Q8</f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35</v>
      </c>
      <c r="C9" s="1">
        <v>11.021000000000001</v>
      </c>
      <c r="D9" s="1">
        <v>0.59899999999999998</v>
      </c>
      <c r="E9" s="1">
        <v>4.9329999999999998</v>
      </c>
      <c r="F9" s="1">
        <v>5.4969999999999999</v>
      </c>
      <c r="G9" s="8">
        <v>1</v>
      </c>
      <c r="H9" s="1">
        <v>180</v>
      </c>
      <c r="I9" s="1" t="s">
        <v>36</v>
      </c>
      <c r="J9" s="1"/>
      <c r="K9" s="1"/>
      <c r="L9" s="1">
        <f t="shared" si="2"/>
        <v>4.9329999999999998</v>
      </c>
      <c r="M9" s="1"/>
      <c r="N9" s="1"/>
      <c r="O9" s="1"/>
      <c r="P9" s="1">
        <f t="shared" si="3"/>
        <v>0.98659999999999992</v>
      </c>
      <c r="Q9" s="5">
        <f t="shared" si="6"/>
        <v>12.261799999999997</v>
      </c>
      <c r="R9" s="5"/>
      <c r="S9" s="1"/>
      <c r="T9" s="1">
        <f t="shared" si="4"/>
        <v>18</v>
      </c>
      <c r="U9" s="1">
        <f t="shared" si="5"/>
        <v>5.571660247314008</v>
      </c>
      <c r="V9" s="1">
        <v>2.1918000000000002</v>
      </c>
      <c r="W9" s="1">
        <v>1.4418</v>
      </c>
      <c r="X9" s="1">
        <v>1.9663999999999999</v>
      </c>
      <c r="Y9" s="1">
        <v>0.15920000000000001</v>
      </c>
      <c r="Z9" s="1">
        <v>0.254</v>
      </c>
      <c r="AA9" s="1">
        <v>1.5112000000000001</v>
      </c>
      <c r="AB9" s="1">
        <v>0.48299999999999998</v>
      </c>
      <c r="AC9" s="1">
        <v>-5.1200000000000002E-2</v>
      </c>
      <c r="AD9" s="1"/>
      <c r="AE9" s="1">
        <f>G9*Q9</f>
        <v>12.261799999999997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5" t="s">
        <v>42</v>
      </c>
      <c r="B10" s="15" t="s">
        <v>35</v>
      </c>
      <c r="C10" s="15">
        <v>-0.62</v>
      </c>
      <c r="D10" s="15"/>
      <c r="E10" s="15"/>
      <c r="F10" s="15">
        <v>-0.62</v>
      </c>
      <c r="G10" s="16">
        <v>0</v>
      </c>
      <c r="H10" s="15">
        <v>180</v>
      </c>
      <c r="I10" s="15" t="s">
        <v>43</v>
      </c>
      <c r="J10" s="15"/>
      <c r="K10" s="15"/>
      <c r="L10" s="15">
        <f t="shared" si="2"/>
        <v>0</v>
      </c>
      <c r="M10" s="15"/>
      <c r="N10" s="15"/>
      <c r="O10" s="15"/>
      <c r="P10" s="15">
        <f t="shared" si="3"/>
        <v>0</v>
      </c>
      <c r="Q10" s="17"/>
      <c r="R10" s="17"/>
      <c r="S10" s="15"/>
      <c r="T10" s="15" t="e">
        <f t="shared" si="4"/>
        <v>#DIV/0!</v>
      </c>
      <c r="U10" s="15" t="e">
        <f t="shared" si="5"/>
        <v>#DIV/0!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/>
      <c r="AE10" s="15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44</v>
      </c>
      <c r="B11" s="1" t="s">
        <v>35</v>
      </c>
      <c r="C11" s="1">
        <v>88.492999999999995</v>
      </c>
      <c r="D11" s="1">
        <v>2.8220000000000001</v>
      </c>
      <c r="E11" s="1">
        <v>46.796999999999997</v>
      </c>
      <c r="F11" s="1">
        <v>39.805</v>
      </c>
      <c r="G11" s="8">
        <v>1</v>
      </c>
      <c r="H11" s="1">
        <v>50</v>
      </c>
      <c r="I11" s="1" t="s">
        <v>36</v>
      </c>
      <c r="J11" s="1"/>
      <c r="K11" s="1"/>
      <c r="L11" s="1">
        <f t="shared" si="2"/>
        <v>46.796999999999997</v>
      </c>
      <c r="M11" s="1"/>
      <c r="N11" s="1"/>
      <c r="O11" s="1"/>
      <c r="P11" s="1">
        <f t="shared" si="3"/>
        <v>9.3593999999999991</v>
      </c>
      <c r="Q11" s="5">
        <f>13*P11-F11</f>
        <v>81.867199999999997</v>
      </c>
      <c r="R11" s="5"/>
      <c r="S11" s="1"/>
      <c r="T11" s="1">
        <f t="shared" si="4"/>
        <v>13.000000000000002</v>
      </c>
      <c r="U11" s="1">
        <f t="shared" si="5"/>
        <v>4.2529435647584251</v>
      </c>
      <c r="V11" s="1">
        <v>18.8992</v>
      </c>
      <c r="W11" s="1">
        <v>9.91</v>
      </c>
      <c r="X11" s="1">
        <v>8.7797999999999998</v>
      </c>
      <c r="Y11" s="1">
        <v>6.0658000000000003</v>
      </c>
      <c r="Z11" s="1">
        <v>7.5397999999999996</v>
      </c>
      <c r="AA11" s="1">
        <v>8.9976000000000003</v>
      </c>
      <c r="AB11" s="1">
        <v>17.722999999999999</v>
      </c>
      <c r="AC11" s="1">
        <v>5.0465999999999998</v>
      </c>
      <c r="AD11" s="1"/>
      <c r="AE11" s="1">
        <f t="shared" ref="AE11:AE20" si="7">G11*Q11</f>
        <v>81.867199999999997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35</v>
      </c>
      <c r="C12" s="1">
        <v>358.642</v>
      </c>
      <c r="D12" s="1"/>
      <c r="E12" s="1">
        <v>82.751000000000005</v>
      </c>
      <c r="F12" s="1">
        <v>254.791</v>
      </c>
      <c r="G12" s="8">
        <v>1</v>
      </c>
      <c r="H12" s="1">
        <v>60</v>
      </c>
      <c r="I12" s="1" t="s">
        <v>36</v>
      </c>
      <c r="J12" s="1"/>
      <c r="K12" s="1"/>
      <c r="L12" s="1">
        <f t="shared" si="2"/>
        <v>82.751000000000005</v>
      </c>
      <c r="M12" s="1"/>
      <c r="N12" s="1"/>
      <c r="O12" s="1"/>
      <c r="P12" s="1">
        <f t="shared" si="3"/>
        <v>16.5502</v>
      </c>
      <c r="Q12" s="5">
        <f t="shared" ref="Q12:Q13" si="8">18*P12-F12</f>
        <v>43.112599999999986</v>
      </c>
      <c r="R12" s="5"/>
      <c r="S12" s="1"/>
      <c r="T12" s="1">
        <f t="shared" si="4"/>
        <v>18</v>
      </c>
      <c r="U12" s="1">
        <f t="shared" si="5"/>
        <v>15.395040543316696</v>
      </c>
      <c r="V12" s="1">
        <v>40.749200000000002</v>
      </c>
      <c r="W12" s="1">
        <v>26.718599999999999</v>
      </c>
      <c r="X12" s="1">
        <v>22.3308</v>
      </c>
      <c r="Y12" s="1">
        <v>24.443200000000001</v>
      </c>
      <c r="Z12" s="1">
        <v>26.920999999999999</v>
      </c>
      <c r="AA12" s="1">
        <v>20.1236</v>
      </c>
      <c r="AB12" s="1">
        <v>28.831199999999999</v>
      </c>
      <c r="AC12" s="1">
        <v>24.735399999999998</v>
      </c>
      <c r="AD12" s="1"/>
      <c r="AE12" s="1">
        <f t="shared" si="7"/>
        <v>43.112599999999986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35</v>
      </c>
      <c r="C13" s="1">
        <v>631.11300000000006</v>
      </c>
      <c r="D13" s="1"/>
      <c r="E13" s="1">
        <v>146.30099999999999</v>
      </c>
      <c r="F13" s="1">
        <v>437.96699999999998</v>
      </c>
      <c r="G13" s="8">
        <v>1</v>
      </c>
      <c r="H13" s="1">
        <v>60</v>
      </c>
      <c r="I13" s="1" t="s">
        <v>36</v>
      </c>
      <c r="J13" s="1"/>
      <c r="K13" s="1"/>
      <c r="L13" s="1">
        <f t="shared" si="2"/>
        <v>146.30099999999999</v>
      </c>
      <c r="M13" s="1"/>
      <c r="N13" s="1"/>
      <c r="O13" s="1"/>
      <c r="P13" s="1">
        <f t="shared" si="3"/>
        <v>29.260199999999998</v>
      </c>
      <c r="Q13" s="5">
        <f t="shared" si="8"/>
        <v>88.716599999999971</v>
      </c>
      <c r="R13" s="5"/>
      <c r="S13" s="1"/>
      <c r="T13" s="1">
        <f t="shared" si="4"/>
        <v>18</v>
      </c>
      <c r="U13" s="1">
        <f t="shared" si="5"/>
        <v>14.968011155084382</v>
      </c>
      <c r="V13" s="1">
        <v>42.6126</v>
      </c>
      <c r="W13" s="1">
        <v>25.7454</v>
      </c>
      <c r="X13" s="1">
        <v>22.475000000000001</v>
      </c>
      <c r="Y13" s="1">
        <v>26.01</v>
      </c>
      <c r="Z13" s="1">
        <v>34.661200000000001</v>
      </c>
      <c r="AA13" s="1">
        <v>22.8752</v>
      </c>
      <c r="AB13" s="1">
        <v>34.6098</v>
      </c>
      <c r="AC13" s="1">
        <v>23.917400000000001</v>
      </c>
      <c r="AD13" s="1"/>
      <c r="AE13" s="1">
        <f t="shared" si="7"/>
        <v>88.716599999999971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47</v>
      </c>
      <c r="B14" s="1" t="s">
        <v>35</v>
      </c>
      <c r="C14" s="1">
        <v>211.81100000000001</v>
      </c>
      <c r="D14" s="1"/>
      <c r="E14" s="22">
        <f>72.956+E73</f>
        <v>108.61199999999999</v>
      </c>
      <c r="F14" s="22">
        <f>74.604+F73</f>
        <v>38.948</v>
      </c>
      <c r="G14" s="8">
        <v>1</v>
      </c>
      <c r="H14" s="1">
        <v>40</v>
      </c>
      <c r="I14" s="1" t="s">
        <v>36</v>
      </c>
      <c r="J14" s="1"/>
      <c r="K14" s="1"/>
      <c r="L14" s="1">
        <f t="shared" si="2"/>
        <v>108.61199999999999</v>
      </c>
      <c r="M14" s="1"/>
      <c r="N14" s="1"/>
      <c r="O14" s="1"/>
      <c r="P14" s="1">
        <f t="shared" si="3"/>
        <v>21.7224</v>
      </c>
      <c r="Q14" s="5">
        <f>11*P14-F14</f>
        <v>199.9984</v>
      </c>
      <c r="R14" s="5"/>
      <c r="S14" s="1"/>
      <c r="T14" s="1">
        <f t="shared" si="4"/>
        <v>11</v>
      </c>
      <c r="U14" s="1">
        <f t="shared" si="5"/>
        <v>1.7929878834751225</v>
      </c>
      <c r="V14" s="1">
        <v>55.245600000000003</v>
      </c>
      <c r="W14" s="1">
        <v>17.986000000000001</v>
      </c>
      <c r="X14" s="1">
        <v>14.429600000000001</v>
      </c>
      <c r="Y14" s="1">
        <v>16.459</v>
      </c>
      <c r="Z14" s="1">
        <v>17.2864</v>
      </c>
      <c r="AA14" s="1">
        <v>13.632999999999999</v>
      </c>
      <c r="AB14" s="1">
        <v>22.357399999999998</v>
      </c>
      <c r="AC14" s="1">
        <v>11.1294</v>
      </c>
      <c r="AD14" s="1"/>
      <c r="AE14" s="1">
        <f t="shared" si="7"/>
        <v>199.9984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48</v>
      </c>
      <c r="B15" s="1" t="s">
        <v>49</v>
      </c>
      <c r="C15" s="1">
        <v>355</v>
      </c>
      <c r="D15" s="1"/>
      <c r="E15" s="22">
        <f>236+E74</f>
        <v>303</v>
      </c>
      <c r="F15" s="22">
        <f>5+F74</f>
        <v>-39</v>
      </c>
      <c r="G15" s="8">
        <v>0.35</v>
      </c>
      <c r="H15" s="1">
        <v>40</v>
      </c>
      <c r="I15" s="1" t="s">
        <v>36</v>
      </c>
      <c r="J15" s="1"/>
      <c r="K15" s="1"/>
      <c r="L15" s="1">
        <f t="shared" si="2"/>
        <v>303</v>
      </c>
      <c r="M15" s="1"/>
      <c r="N15" s="1"/>
      <c r="O15" s="1"/>
      <c r="P15" s="1">
        <f t="shared" si="3"/>
        <v>60.6</v>
      </c>
      <c r="Q15" s="5">
        <f>8*P15-F15</f>
        <v>523.79999999999995</v>
      </c>
      <c r="R15" s="5"/>
      <c r="S15" s="1"/>
      <c r="T15" s="1">
        <f t="shared" si="4"/>
        <v>7.9999999999999991</v>
      </c>
      <c r="U15" s="1">
        <f t="shared" si="5"/>
        <v>-0.64356435643564358</v>
      </c>
      <c r="V15" s="1">
        <v>106.6</v>
      </c>
      <c r="W15" s="1">
        <v>66.2</v>
      </c>
      <c r="X15" s="1">
        <v>89.6</v>
      </c>
      <c r="Y15" s="1">
        <v>69.599999999999994</v>
      </c>
      <c r="Z15" s="1">
        <v>68.2</v>
      </c>
      <c r="AA15" s="1">
        <v>65.8</v>
      </c>
      <c r="AB15" s="1">
        <v>68.8</v>
      </c>
      <c r="AC15" s="1">
        <v>72.599999999999994</v>
      </c>
      <c r="AD15" s="1"/>
      <c r="AE15" s="1">
        <f t="shared" si="7"/>
        <v>183.32999999999998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50</v>
      </c>
      <c r="B16" s="1" t="s">
        <v>35</v>
      </c>
      <c r="C16" s="1">
        <v>174.03700000000001</v>
      </c>
      <c r="D16" s="1"/>
      <c r="E16" s="1">
        <v>136.81</v>
      </c>
      <c r="F16" s="1">
        <v>23.498000000000001</v>
      </c>
      <c r="G16" s="8">
        <v>1</v>
      </c>
      <c r="H16" s="1">
        <v>40</v>
      </c>
      <c r="I16" s="1" t="s">
        <v>36</v>
      </c>
      <c r="J16" s="1"/>
      <c r="K16" s="1"/>
      <c r="L16" s="1">
        <f t="shared" si="2"/>
        <v>136.81</v>
      </c>
      <c r="M16" s="1"/>
      <c r="N16" s="1"/>
      <c r="O16" s="1"/>
      <c r="P16" s="1">
        <f t="shared" si="3"/>
        <v>27.362000000000002</v>
      </c>
      <c r="Q16" s="5">
        <f>10*P16-F16</f>
        <v>250.12200000000001</v>
      </c>
      <c r="R16" s="5"/>
      <c r="S16" s="1"/>
      <c r="T16" s="1">
        <f t="shared" si="4"/>
        <v>10</v>
      </c>
      <c r="U16" s="1">
        <f t="shared" si="5"/>
        <v>0.8587822527593012</v>
      </c>
      <c r="V16" s="1">
        <v>39.936599999999999</v>
      </c>
      <c r="W16" s="1">
        <v>16.9116</v>
      </c>
      <c r="X16" s="1">
        <v>15.8584</v>
      </c>
      <c r="Y16" s="1">
        <v>22.917999999999999</v>
      </c>
      <c r="Z16" s="1">
        <v>18.569800000000001</v>
      </c>
      <c r="AA16" s="1">
        <v>15.086399999999999</v>
      </c>
      <c r="AB16" s="1">
        <v>29.709399999999999</v>
      </c>
      <c r="AC16" s="1">
        <v>11.33</v>
      </c>
      <c r="AD16" s="1"/>
      <c r="AE16" s="1">
        <f t="shared" si="7"/>
        <v>250.12200000000001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51</v>
      </c>
      <c r="B17" s="1" t="s">
        <v>49</v>
      </c>
      <c r="C17" s="1">
        <v>519</v>
      </c>
      <c r="D17" s="1"/>
      <c r="E17" s="1">
        <v>242</v>
      </c>
      <c r="F17" s="1">
        <v>253</v>
      </c>
      <c r="G17" s="8">
        <v>0.35</v>
      </c>
      <c r="H17" s="1">
        <v>40</v>
      </c>
      <c r="I17" s="1" t="s">
        <v>36</v>
      </c>
      <c r="J17" s="1"/>
      <c r="K17" s="1"/>
      <c r="L17" s="1">
        <f t="shared" si="2"/>
        <v>242</v>
      </c>
      <c r="M17" s="1"/>
      <c r="N17" s="1"/>
      <c r="O17" s="1"/>
      <c r="P17" s="1">
        <f t="shared" si="3"/>
        <v>48.4</v>
      </c>
      <c r="Q17" s="5">
        <f>14*P17-F17</f>
        <v>424.6</v>
      </c>
      <c r="R17" s="5"/>
      <c r="S17" s="1"/>
      <c r="T17" s="1">
        <f t="shared" si="4"/>
        <v>14</v>
      </c>
      <c r="U17" s="1">
        <f t="shared" si="5"/>
        <v>5.2272727272727275</v>
      </c>
      <c r="V17" s="1">
        <v>102</v>
      </c>
      <c r="W17" s="1">
        <v>73.599999999999994</v>
      </c>
      <c r="X17" s="1">
        <v>72.2</v>
      </c>
      <c r="Y17" s="1">
        <v>71.400000000000006</v>
      </c>
      <c r="Z17" s="1">
        <v>65.599999999999994</v>
      </c>
      <c r="AA17" s="1">
        <v>57.8</v>
      </c>
      <c r="AB17" s="1">
        <v>76.2</v>
      </c>
      <c r="AC17" s="1">
        <v>87</v>
      </c>
      <c r="AD17" s="1"/>
      <c r="AE17" s="1">
        <f t="shared" si="7"/>
        <v>148.60999999999999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52</v>
      </c>
      <c r="B18" s="1" t="s">
        <v>35</v>
      </c>
      <c r="C18" s="1">
        <v>133.571</v>
      </c>
      <c r="D18" s="1"/>
      <c r="E18" s="1">
        <v>56.677999999999997</v>
      </c>
      <c r="F18" s="1">
        <v>56.161000000000001</v>
      </c>
      <c r="G18" s="8">
        <v>1</v>
      </c>
      <c r="H18" s="1">
        <v>40</v>
      </c>
      <c r="I18" s="1" t="s">
        <v>36</v>
      </c>
      <c r="J18" s="1"/>
      <c r="K18" s="1"/>
      <c r="L18" s="1">
        <f t="shared" si="2"/>
        <v>56.677999999999997</v>
      </c>
      <c r="M18" s="1"/>
      <c r="N18" s="1"/>
      <c r="O18" s="1"/>
      <c r="P18" s="1">
        <f t="shared" si="3"/>
        <v>11.335599999999999</v>
      </c>
      <c r="Q18" s="5">
        <f>14*P18-F18</f>
        <v>102.53739999999999</v>
      </c>
      <c r="R18" s="5"/>
      <c r="S18" s="1"/>
      <c r="T18" s="1">
        <f t="shared" si="4"/>
        <v>14</v>
      </c>
      <c r="U18" s="1">
        <f t="shared" si="5"/>
        <v>4.9543914746462479</v>
      </c>
      <c r="V18" s="1">
        <v>32.920400000000001</v>
      </c>
      <c r="W18" s="1">
        <v>7.8243999999999998</v>
      </c>
      <c r="X18" s="1">
        <v>11.211</v>
      </c>
      <c r="Y18" s="1">
        <v>13.563000000000001</v>
      </c>
      <c r="Z18" s="1">
        <v>15.1646</v>
      </c>
      <c r="AA18" s="1">
        <v>11.160600000000001</v>
      </c>
      <c r="AB18" s="1">
        <v>17.8444</v>
      </c>
      <c r="AC18" s="1">
        <v>5.4691999999999998</v>
      </c>
      <c r="AD18" s="1"/>
      <c r="AE18" s="1">
        <f t="shared" si="7"/>
        <v>102.53739999999999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53</v>
      </c>
      <c r="B19" s="1" t="s">
        <v>35</v>
      </c>
      <c r="C19" s="1">
        <v>-2.8969999999999998</v>
      </c>
      <c r="D19" s="1"/>
      <c r="E19" s="1">
        <v>-0.78</v>
      </c>
      <c r="F19" s="1">
        <v>-2.8969999999999998</v>
      </c>
      <c r="G19" s="8">
        <v>1</v>
      </c>
      <c r="H19" s="1">
        <v>45</v>
      </c>
      <c r="I19" s="1" t="s">
        <v>36</v>
      </c>
      <c r="J19" s="1"/>
      <c r="K19" s="1"/>
      <c r="L19" s="1">
        <f t="shared" si="2"/>
        <v>-0.78</v>
      </c>
      <c r="M19" s="1"/>
      <c r="N19" s="1"/>
      <c r="O19" s="1"/>
      <c r="P19" s="1">
        <f t="shared" si="3"/>
        <v>-0.156</v>
      </c>
      <c r="Q19" s="5"/>
      <c r="R19" s="5"/>
      <c r="S19" s="1"/>
      <c r="T19" s="1">
        <f t="shared" si="4"/>
        <v>18.570512820512818</v>
      </c>
      <c r="U19" s="1">
        <f t="shared" si="5"/>
        <v>18.570512820512818</v>
      </c>
      <c r="V19" s="1">
        <v>18.5108</v>
      </c>
      <c r="W19" s="1">
        <v>8.7296000000000014</v>
      </c>
      <c r="X19" s="1">
        <v>15.425000000000001</v>
      </c>
      <c r="Y19" s="1">
        <v>10.603199999999999</v>
      </c>
      <c r="Z19" s="1">
        <v>22.527999999999999</v>
      </c>
      <c r="AA19" s="1">
        <v>12.4626</v>
      </c>
      <c r="AB19" s="1">
        <v>15.3696</v>
      </c>
      <c r="AC19" s="1">
        <v>-1.1786000000000001</v>
      </c>
      <c r="AD19" s="1" t="s">
        <v>54</v>
      </c>
      <c r="AE19" s="1">
        <f t="shared" si="7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55</v>
      </c>
      <c r="B20" s="1" t="s">
        <v>49</v>
      </c>
      <c r="C20" s="1">
        <v>230</v>
      </c>
      <c r="D20" s="1">
        <v>83</v>
      </c>
      <c r="E20" s="1">
        <v>40</v>
      </c>
      <c r="F20" s="1">
        <v>264</v>
      </c>
      <c r="G20" s="8">
        <v>0.6</v>
      </c>
      <c r="H20" s="1">
        <v>45</v>
      </c>
      <c r="I20" s="1" t="s">
        <v>36</v>
      </c>
      <c r="J20" s="1"/>
      <c r="K20" s="1"/>
      <c r="L20" s="1">
        <f t="shared" si="2"/>
        <v>40</v>
      </c>
      <c r="M20" s="1"/>
      <c r="N20" s="1"/>
      <c r="O20" s="1"/>
      <c r="P20" s="1">
        <f t="shared" si="3"/>
        <v>8</v>
      </c>
      <c r="Q20" s="5"/>
      <c r="R20" s="5"/>
      <c r="S20" s="1"/>
      <c r="T20" s="1">
        <f t="shared" si="4"/>
        <v>33</v>
      </c>
      <c r="U20" s="1">
        <f t="shared" si="5"/>
        <v>33</v>
      </c>
      <c r="V20" s="1">
        <v>15.8</v>
      </c>
      <c r="W20" s="1">
        <v>1.8</v>
      </c>
      <c r="X20" s="1">
        <v>9.6</v>
      </c>
      <c r="Y20" s="1">
        <v>11.6</v>
      </c>
      <c r="Z20" s="1">
        <v>9.6</v>
      </c>
      <c r="AA20" s="1">
        <v>12</v>
      </c>
      <c r="AB20" s="1">
        <v>16.8</v>
      </c>
      <c r="AC20" s="1">
        <v>6.4</v>
      </c>
      <c r="AD20" s="23" t="s">
        <v>147</v>
      </c>
      <c r="AE20" s="1">
        <f t="shared" si="7"/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5" t="s">
        <v>56</v>
      </c>
      <c r="B21" s="15" t="s">
        <v>49</v>
      </c>
      <c r="C21" s="15">
        <v>-2</v>
      </c>
      <c r="D21" s="15"/>
      <c r="E21" s="15"/>
      <c r="F21" s="15">
        <v>-4</v>
      </c>
      <c r="G21" s="16">
        <v>0</v>
      </c>
      <c r="H21" s="15">
        <v>45</v>
      </c>
      <c r="I21" s="15" t="s">
        <v>57</v>
      </c>
      <c r="J21" s="15"/>
      <c r="K21" s="15"/>
      <c r="L21" s="15">
        <f t="shared" si="2"/>
        <v>0</v>
      </c>
      <c r="M21" s="15"/>
      <c r="N21" s="15"/>
      <c r="O21" s="15"/>
      <c r="P21" s="15">
        <f t="shared" si="3"/>
        <v>0</v>
      </c>
      <c r="Q21" s="17"/>
      <c r="R21" s="17"/>
      <c r="S21" s="15"/>
      <c r="T21" s="15" t="e">
        <f t="shared" si="4"/>
        <v>#DIV/0!</v>
      </c>
      <c r="U21" s="15" t="e">
        <f t="shared" si="5"/>
        <v>#DIV/0!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 t="s">
        <v>58</v>
      </c>
      <c r="AE21" s="15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59</v>
      </c>
      <c r="B22" s="1" t="s">
        <v>35</v>
      </c>
      <c r="C22" s="1">
        <v>302.52800000000002</v>
      </c>
      <c r="D22" s="1"/>
      <c r="E22" s="22">
        <f>157.637+E75</f>
        <v>191.27699999999999</v>
      </c>
      <c r="F22" s="22">
        <f>82.768+F75</f>
        <v>59.56</v>
      </c>
      <c r="G22" s="8">
        <v>1</v>
      </c>
      <c r="H22" s="1">
        <v>45</v>
      </c>
      <c r="I22" s="1" t="s">
        <v>36</v>
      </c>
      <c r="J22" s="1"/>
      <c r="K22" s="1"/>
      <c r="L22" s="1">
        <f t="shared" si="2"/>
        <v>191.27699999999999</v>
      </c>
      <c r="M22" s="1"/>
      <c r="N22" s="1"/>
      <c r="O22" s="1"/>
      <c r="P22" s="1">
        <f t="shared" si="3"/>
        <v>38.255399999999995</v>
      </c>
      <c r="Q22" s="5">
        <f>11*P22-F22</f>
        <v>361.24939999999992</v>
      </c>
      <c r="R22" s="5"/>
      <c r="S22" s="1"/>
      <c r="T22" s="1">
        <f t="shared" si="4"/>
        <v>11</v>
      </c>
      <c r="U22" s="1">
        <f t="shared" si="5"/>
        <v>1.5569043847404551</v>
      </c>
      <c r="V22" s="1">
        <v>41.210799999999999</v>
      </c>
      <c r="W22" s="1">
        <v>49.157400000000003</v>
      </c>
      <c r="X22" s="1">
        <v>39.724800000000002</v>
      </c>
      <c r="Y22" s="1">
        <v>39.704000000000001</v>
      </c>
      <c r="Z22" s="1">
        <v>27.8612</v>
      </c>
      <c r="AA22" s="1">
        <v>31.665600000000001</v>
      </c>
      <c r="AB22" s="1">
        <v>50.165399999999998</v>
      </c>
      <c r="AC22" s="1">
        <v>15.9466</v>
      </c>
      <c r="AD22" s="1"/>
      <c r="AE22" s="1">
        <f>G22*Q22</f>
        <v>361.24939999999992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60</v>
      </c>
      <c r="B23" s="1" t="s">
        <v>49</v>
      </c>
      <c r="C23" s="1">
        <v>355</v>
      </c>
      <c r="D23" s="1">
        <v>87</v>
      </c>
      <c r="E23" s="22">
        <f>201+E76</f>
        <v>249</v>
      </c>
      <c r="F23" s="22">
        <f>205+F76</f>
        <v>173</v>
      </c>
      <c r="G23" s="8">
        <v>0.4</v>
      </c>
      <c r="H23" s="1">
        <v>45</v>
      </c>
      <c r="I23" s="1" t="s">
        <v>36</v>
      </c>
      <c r="J23" s="1"/>
      <c r="K23" s="1"/>
      <c r="L23" s="1">
        <f t="shared" si="2"/>
        <v>249</v>
      </c>
      <c r="M23" s="1"/>
      <c r="N23" s="1"/>
      <c r="O23" s="1"/>
      <c r="P23" s="1">
        <f t="shared" si="3"/>
        <v>49.8</v>
      </c>
      <c r="Q23" s="5">
        <f>12*P23-F23</f>
        <v>424.59999999999991</v>
      </c>
      <c r="R23" s="5"/>
      <c r="S23" s="1"/>
      <c r="T23" s="1">
        <f t="shared" si="4"/>
        <v>11.999999999999998</v>
      </c>
      <c r="U23" s="1">
        <f t="shared" si="5"/>
        <v>3.4738955823293174</v>
      </c>
      <c r="V23" s="1">
        <v>75.8</v>
      </c>
      <c r="W23" s="1">
        <v>29.8</v>
      </c>
      <c r="X23" s="1">
        <v>58.2</v>
      </c>
      <c r="Y23" s="1">
        <v>39</v>
      </c>
      <c r="Z23" s="1">
        <v>25.4</v>
      </c>
      <c r="AA23" s="1">
        <v>45</v>
      </c>
      <c r="AB23" s="1">
        <v>49.2</v>
      </c>
      <c r="AC23" s="1">
        <v>31.4</v>
      </c>
      <c r="AD23" s="1"/>
      <c r="AE23" s="1">
        <f>G23*Q23</f>
        <v>169.83999999999997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61</v>
      </c>
      <c r="B24" s="1" t="s">
        <v>49</v>
      </c>
      <c r="C24" s="1">
        <v>490</v>
      </c>
      <c r="D24" s="1"/>
      <c r="E24" s="1">
        <v>204</v>
      </c>
      <c r="F24" s="1">
        <v>185</v>
      </c>
      <c r="G24" s="8">
        <v>0.4</v>
      </c>
      <c r="H24" s="1">
        <v>45</v>
      </c>
      <c r="I24" s="1" t="s">
        <v>36</v>
      </c>
      <c r="J24" s="1"/>
      <c r="K24" s="1"/>
      <c r="L24" s="1">
        <f t="shared" si="2"/>
        <v>204</v>
      </c>
      <c r="M24" s="1"/>
      <c r="N24" s="1"/>
      <c r="O24" s="1"/>
      <c r="P24" s="1">
        <f t="shared" si="3"/>
        <v>40.799999999999997</v>
      </c>
      <c r="Q24" s="5">
        <f>14*P24-F24</f>
        <v>386.19999999999993</v>
      </c>
      <c r="R24" s="5"/>
      <c r="S24" s="1"/>
      <c r="T24" s="1">
        <f t="shared" si="4"/>
        <v>14</v>
      </c>
      <c r="U24" s="1">
        <f t="shared" si="5"/>
        <v>4.534313725490196</v>
      </c>
      <c r="V24" s="1">
        <v>49.4</v>
      </c>
      <c r="W24" s="1">
        <v>20.6</v>
      </c>
      <c r="X24" s="1">
        <v>40</v>
      </c>
      <c r="Y24" s="1">
        <v>33.6</v>
      </c>
      <c r="Z24" s="1">
        <v>41</v>
      </c>
      <c r="AA24" s="1">
        <v>31.4</v>
      </c>
      <c r="AB24" s="1">
        <v>41.4</v>
      </c>
      <c r="AC24" s="1">
        <v>26.6</v>
      </c>
      <c r="AD24" s="1"/>
      <c r="AE24" s="1">
        <f>G24*Q24</f>
        <v>154.47999999999999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62</v>
      </c>
      <c r="B25" s="1" t="s">
        <v>35</v>
      </c>
      <c r="C25" s="1">
        <v>411.10300000000001</v>
      </c>
      <c r="D25" s="1"/>
      <c r="E25" s="22">
        <f>176.931+E77</f>
        <v>203.637</v>
      </c>
      <c r="F25" s="22">
        <f>158.213+F77</f>
        <v>145.01300000000001</v>
      </c>
      <c r="G25" s="8">
        <v>1</v>
      </c>
      <c r="H25" s="1">
        <v>40</v>
      </c>
      <c r="I25" s="1" t="s">
        <v>36</v>
      </c>
      <c r="J25" s="1"/>
      <c r="K25" s="1"/>
      <c r="L25" s="1">
        <f t="shared" si="2"/>
        <v>203.637</v>
      </c>
      <c r="M25" s="1"/>
      <c r="N25" s="1"/>
      <c r="O25" s="1"/>
      <c r="P25" s="1">
        <f t="shared" si="3"/>
        <v>40.727400000000003</v>
      </c>
      <c r="Q25" s="5">
        <f>13*P25-F25</f>
        <v>384.44320000000005</v>
      </c>
      <c r="R25" s="5"/>
      <c r="S25" s="1"/>
      <c r="T25" s="1">
        <f t="shared" si="4"/>
        <v>13.000000000000002</v>
      </c>
      <c r="U25" s="1">
        <f t="shared" si="5"/>
        <v>3.5605759267716572</v>
      </c>
      <c r="V25" s="1">
        <v>37.292200000000001</v>
      </c>
      <c r="W25" s="1">
        <v>19.9514</v>
      </c>
      <c r="X25" s="1">
        <v>27.3004</v>
      </c>
      <c r="Y25" s="1">
        <v>26.869</v>
      </c>
      <c r="Z25" s="1">
        <v>43.381999999999998</v>
      </c>
      <c r="AA25" s="1">
        <v>26.785</v>
      </c>
      <c r="AB25" s="1">
        <v>25.805800000000001</v>
      </c>
      <c r="AC25" s="1">
        <v>34.767600000000002</v>
      </c>
      <c r="AD25" s="1"/>
      <c r="AE25" s="1">
        <f>G25*Q25</f>
        <v>384.44320000000005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63</v>
      </c>
      <c r="B26" s="1" t="s">
        <v>49</v>
      </c>
      <c r="C26" s="1">
        <v>234</v>
      </c>
      <c r="D26" s="1"/>
      <c r="E26" s="1">
        <v>69</v>
      </c>
      <c r="F26" s="1">
        <v>84</v>
      </c>
      <c r="G26" s="8">
        <v>0.35</v>
      </c>
      <c r="H26" s="1">
        <v>45</v>
      </c>
      <c r="I26" s="1" t="s">
        <v>36</v>
      </c>
      <c r="J26" s="1"/>
      <c r="K26" s="1"/>
      <c r="L26" s="1">
        <f t="shared" si="2"/>
        <v>69</v>
      </c>
      <c r="M26" s="1"/>
      <c r="N26" s="1"/>
      <c r="O26" s="1"/>
      <c r="P26" s="1">
        <f t="shared" si="3"/>
        <v>13.8</v>
      </c>
      <c r="Q26" s="5">
        <f>15*P26-F26</f>
        <v>123</v>
      </c>
      <c r="R26" s="5"/>
      <c r="S26" s="1"/>
      <c r="T26" s="1">
        <f t="shared" si="4"/>
        <v>15</v>
      </c>
      <c r="U26" s="1">
        <f t="shared" si="5"/>
        <v>6.0869565217391299</v>
      </c>
      <c r="V26" s="1">
        <v>15</v>
      </c>
      <c r="W26" s="1">
        <v>7.8</v>
      </c>
      <c r="X26" s="1">
        <v>20.399999999999999</v>
      </c>
      <c r="Y26" s="1">
        <v>15</v>
      </c>
      <c r="Z26" s="1">
        <v>11.2</v>
      </c>
      <c r="AA26" s="1">
        <v>18.600000000000001</v>
      </c>
      <c r="AB26" s="1">
        <v>19.399999999999999</v>
      </c>
      <c r="AC26" s="1">
        <v>13.6</v>
      </c>
      <c r="AD26" s="1"/>
      <c r="AE26" s="1">
        <f>G26*Q26</f>
        <v>43.05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5" t="s">
        <v>64</v>
      </c>
      <c r="B27" s="15" t="s">
        <v>49</v>
      </c>
      <c r="C27" s="15">
        <v>-6</v>
      </c>
      <c r="D27" s="15"/>
      <c r="E27" s="15"/>
      <c r="F27" s="15">
        <v>-6</v>
      </c>
      <c r="G27" s="16">
        <v>0</v>
      </c>
      <c r="H27" s="15"/>
      <c r="I27" s="15" t="s">
        <v>65</v>
      </c>
      <c r="J27" s="15"/>
      <c r="K27" s="15"/>
      <c r="L27" s="15">
        <f t="shared" si="2"/>
        <v>0</v>
      </c>
      <c r="M27" s="15"/>
      <c r="N27" s="15"/>
      <c r="O27" s="15"/>
      <c r="P27" s="15">
        <f t="shared" si="3"/>
        <v>0</v>
      </c>
      <c r="Q27" s="17"/>
      <c r="R27" s="17"/>
      <c r="S27" s="15"/>
      <c r="T27" s="15" t="e">
        <f t="shared" si="4"/>
        <v>#DIV/0!</v>
      </c>
      <c r="U27" s="15" t="e">
        <f t="shared" si="5"/>
        <v>#DIV/0!</v>
      </c>
      <c r="V27" s="15">
        <v>1.2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/>
      <c r="AE27" s="15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66</v>
      </c>
      <c r="B28" s="1" t="s">
        <v>35</v>
      </c>
      <c r="C28" s="1">
        <v>113.218</v>
      </c>
      <c r="D28" s="1"/>
      <c r="E28" s="1">
        <v>96.19</v>
      </c>
      <c r="F28" s="1">
        <v>-2.61</v>
      </c>
      <c r="G28" s="8">
        <v>1</v>
      </c>
      <c r="H28" s="1">
        <v>45</v>
      </c>
      <c r="I28" s="1" t="s">
        <v>36</v>
      </c>
      <c r="J28" s="1"/>
      <c r="K28" s="1"/>
      <c r="L28" s="1">
        <f t="shared" si="2"/>
        <v>96.19</v>
      </c>
      <c r="M28" s="1"/>
      <c r="N28" s="1"/>
      <c r="O28" s="1"/>
      <c r="P28" s="1">
        <f t="shared" si="3"/>
        <v>19.238</v>
      </c>
      <c r="Q28" s="5">
        <f>9*P28-F28</f>
        <v>175.75200000000001</v>
      </c>
      <c r="R28" s="5"/>
      <c r="S28" s="1"/>
      <c r="T28" s="1">
        <f t="shared" si="4"/>
        <v>9</v>
      </c>
      <c r="U28" s="1">
        <f t="shared" si="5"/>
        <v>-0.1356689884603389</v>
      </c>
      <c r="V28" s="1">
        <v>30.377199999999998</v>
      </c>
      <c r="W28" s="1">
        <v>24.767800000000001</v>
      </c>
      <c r="X28" s="1">
        <v>20.6356</v>
      </c>
      <c r="Y28" s="1">
        <v>19.563400000000001</v>
      </c>
      <c r="Z28" s="1">
        <v>20.959399999999999</v>
      </c>
      <c r="AA28" s="1">
        <v>28.772600000000001</v>
      </c>
      <c r="AB28" s="1">
        <v>30.851800000000001</v>
      </c>
      <c r="AC28" s="1">
        <v>24.670999999999999</v>
      </c>
      <c r="AD28" s="1"/>
      <c r="AE28" s="1">
        <f t="shared" ref="AE28:AE41" si="9">G28*Q28</f>
        <v>175.75200000000001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0" t="s">
        <v>67</v>
      </c>
      <c r="B29" s="1" t="s">
        <v>49</v>
      </c>
      <c r="C29" s="1">
        <v>6</v>
      </c>
      <c r="D29" s="1"/>
      <c r="E29" s="1"/>
      <c r="F29" s="1">
        <v>4</v>
      </c>
      <c r="G29" s="8">
        <v>0.45</v>
      </c>
      <c r="H29" s="1">
        <v>45</v>
      </c>
      <c r="I29" s="1" t="s">
        <v>39</v>
      </c>
      <c r="J29" s="1"/>
      <c r="K29" s="1"/>
      <c r="L29" s="1">
        <f t="shared" si="2"/>
        <v>0</v>
      </c>
      <c r="M29" s="1"/>
      <c r="N29" s="1"/>
      <c r="O29" s="1"/>
      <c r="P29" s="1">
        <f t="shared" si="3"/>
        <v>0</v>
      </c>
      <c r="Q29" s="5"/>
      <c r="R29" s="5"/>
      <c r="S29" s="1"/>
      <c r="T29" s="1" t="e">
        <f t="shared" si="4"/>
        <v>#DIV/0!</v>
      </c>
      <c r="U29" s="1" t="e">
        <f t="shared" si="5"/>
        <v>#DIV/0!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 t="s">
        <v>68</v>
      </c>
      <c r="AE29" s="1">
        <f t="shared" si="9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69</v>
      </c>
      <c r="B30" s="1" t="s">
        <v>49</v>
      </c>
      <c r="C30" s="1">
        <v>485</v>
      </c>
      <c r="D30" s="1">
        <v>4</v>
      </c>
      <c r="E30" s="1">
        <v>233</v>
      </c>
      <c r="F30" s="1">
        <v>245</v>
      </c>
      <c r="G30" s="8">
        <v>0.45</v>
      </c>
      <c r="H30" s="1">
        <v>45</v>
      </c>
      <c r="I30" s="1" t="s">
        <v>36</v>
      </c>
      <c r="J30" s="1"/>
      <c r="K30" s="1"/>
      <c r="L30" s="1">
        <f t="shared" si="2"/>
        <v>233</v>
      </c>
      <c r="M30" s="1"/>
      <c r="N30" s="1"/>
      <c r="O30" s="1"/>
      <c r="P30" s="1">
        <f t="shared" si="3"/>
        <v>46.6</v>
      </c>
      <c r="Q30" s="5">
        <f>14*P30-F30</f>
        <v>407.4</v>
      </c>
      <c r="R30" s="5"/>
      <c r="S30" s="1"/>
      <c r="T30" s="1">
        <f t="shared" si="4"/>
        <v>13.999999999999998</v>
      </c>
      <c r="U30" s="1">
        <f t="shared" si="5"/>
        <v>5.2575107296137338</v>
      </c>
      <c r="V30" s="1">
        <v>51.4</v>
      </c>
      <c r="W30" s="1">
        <v>44.2</v>
      </c>
      <c r="X30" s="1">
        <v>35.799999999999997</v>
      </c>
      <c r="Y30" s="1">
        <v>28</v>
      </c>
      <c r="Z30" s="1">
        <v>41.6</v>
      </c>
      <c r="AA30" s="1">
        <v>33.200000000000003</v>
      </c>
      <c r="AB30" s="1">
        <v>41.4</v>
      </c>
      <c r="AC30" s="1">
        <v>30.4</v>
      </c>
      <c r="AD30" s="1"/>
      <c r="AE30" s="1">
        <f t="shared" si="9"/>
        <v>183.32999999999998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70</v>
      </c>
      <c r="B31" s="1" t="s">
        <v>35</v>
      </c>
      <c r="C31" s="1">
        <v>740.12599999999998</v>
      </c>
      <c r="D31" s="1"/>
      <c r="E31" s="1">
        <v>461.94099999999997</v>
      </c>
      <c r="F31" s="1">
        <v>223.52</v>
      </c>
      <c r="G31" s="8">
        <v>1</v>
      </c>
      <c r="H31" s="1">
        <v>45</v>
      </c>
      <c r="I31" s="1" t="s">
        <v>36</v>
      </c>
      <c r="J31" s="1"/>
      <c r="K31" s="1"/>
      <c r="L31" s="1">
        <f t="shared" si="2"/>
        <v>461.94099999999997</v>
      </c>
      <c r="M31" s="1"/>
      <c r="N31" s="1"/>
      <c r="O31" s="1"/>
      <c r="P31" s="1">
        <f t="shared" si="3"/>
        <v>92.388199999999998</v>
      </c>
      <c r="Q31" s="5">
        <f>11*P31-F31</f>
        <v>792.75019999999995</v>
      </c>
      <c r="R31" s="5"/>
      <c r="S31" s="1"/>
      <c r="T31" s="1">
        <f t="shared" si="4"/>
        <v>11</v>
      </c>
      <c r="U31" s="1">
        <f t="shared" si="5"/>
        <v>2.4193565844988862</v>
      </c>
      <c r="V31" s="1">
        <v>101.04859999999999</v>
      </c>
      <c r="W31" s="1">
        <v>114.02379999999999</v>
      </c>
      <c r="X31" s="1">
        <v>97.657000000000011</v>
      </c>
      <c r="Y31" s="1">
        <v>89.227999999999994</v>
      </c>
      <c r="Z31" s="1">
        <v>91.657799999999995</v>
      </c>
      <c r="AA31" s="1">
        <v>88.123999999999995</v>
      </c>
      <c r="AB31" s="1">
        <v>110.1108</v>
      </c>
      <c r="AC31" s="1">
        <v>94.604600000000005</v>
      </c>
      <c r="AD31" s="1"/>
      <c r="AE31" s="1">
        <f t="shared" si="9"/>
        <v>792.75019999999995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71</v>
      </c>
      <c r="B32" s="1" t="s">
        <v>35</v>
      </c>
      <c r="C32" s="1">
        <v>28.859000000000002</v>
      </c>
      <c r="D32" s="1"/>
      <c r="E32" s="1">
        <v>3.3250000000000002</v>
      </c>
      <c r="F32" s="1">
        <v>-1.68</v>
      </c>
      <c r="G32" s="8">
        <v>1</v>
      </c>
      <c r="H32" s="1">
        <v>40</v>
      </c>
      <c r="I32" s="1" t="s">
        <v>36</v>
      </c>
      <c r="J32" s="1"/>
      <c r="K32" s="1"/>
      <c r="L32" s="1">
        <f t="shared" si="2"/>
        <v>3.3250000000000002</v>
      </c>
      <c r="M32" s="1"/>
      <c r="N32" s="1"/>
      <c r="O32" s="1"/>
      <c r="P32" s="1">
        <f t="shared" si="3"/>
        <v>0.66500000000000004</v>
      </c>
      <c r="Q32" s="5">
        <f t="shared" ref="Q32:Q38" si="10">18*P32-F32</f>
        <v>13.65</v>
      </c>
      <c r="R32" s="5"/>
      <c r="S32" s="1"/>
      <c r="T32" s="1">
        <f t="shared" si="4"/>
        <v>18</v>
      </c>
      <c r="U32" s="1">
        <f t="shared" si="5"/>
        <v>-2.5263157894736841</v>
      </c>
      <c r="V32" s="1">
        <v>2.2759999999999998</v>
      </c>
      <c r="W32" s="1">
        <v>2.4325999999999999</v>
      </c>
      <c r="X32" s="1">
        <v>5.2119999999999997</v>
      </c>
      <c r="Y32" s="1">
        <v>-6.9399999999999989E-2</v>
      </c>
      <c r="Z32" s="1">
        <v>-2.2000000000000002</v>
      </c>
      <c r="AA32" s="1">
        <v>7.8516000000000004</v>
      </c>
      <c r="AB32" s="1">
        <v>3.5236000000000001</v>
      </c>
      <c r="AC32" s="1">
        <v>3.6286</v>
      </c>
      <c r="AD32" s="1"/>
      <c r="AE32" s="1">
        <f t="shared" si="9"/>
        <v>13.65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0" t="s">
        <v>72</v>
      </c>
      <c r="B33" s="1" t="s">
        <v>35</v>
      </c>
      <c r="C33" s="1">
        <v>4.21</v>
      </c>
      <c r="D33" s="1"/>
      <c r="E33" s="1"/>
      <c r="F33" s="1">
        <v>1.03</v>
      </c>
      <c r="G33" s="8">
        <v>1</v>
      </c>
      <c r="H33" s="1">
        <v>35</v>
      </c>
      <c r="I33" s="1" t="s">
        <v>39</v>
      </c>
      <c r="J33" s="1"/>
      <c r="K33" s="1"/>
      <c r="L33" s="1">
        <f t="shared" si="2"/>
        <v>0</v>
      </c>
      <c r="M33" s="1"/>
      <c r="N33" s="1"/>
      <c r="O33" s="1"/>
      <c r="P33" s="1">
        <f t="shared" si="3"/>
        <v>0</v>
      </c>
      <c r="Q33" s="5"/>
      <c r="R33" s="5"/>
      <c r="S33" s="1"/>
      <c r="T33" s="1" t="e">
        <f t="shared" si="4"/>
        <v>#DIV/0!</v>
      </c>
      <c r="U33" s="1" t="e">
        <f t="shared" si="5"/>
        <v>#DIV/0!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 t="s">
        <v>73</v>
      </c>
      <c r="AE33" s="1">
        <f t="shared" si="9"/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74</v>
      </c>
      <c r="B34" s="1" t="s">
        <v>49</v>
      </c>
      <c r="C34" s="1">
        <v>411.03500000000003</v>
      </c>
      <c r="D34" s="1">
        <v>6.9649999999999999</v>
      </c>
      <c r="E34" s="1">
        <v>121</v>
      </c>
      <c r="F34" s="1">
        <v>284</v>
      </c>
      <c r="G34" s="8">
        <v>0.4</v>
      </c>
      <c r="H34" s="1">
        <v>55</v>
      </c>
      <c r="I34" s="1" t="s">
        <v>36</v>
      </c>
      <c r="J34" s="1"/>
      <c r="K34" s="1"/>
      <c r="L34" s="1">
        <f t="shared" si="2"/>
        <v>121</v>
      </c>
      <c r="M34" s="1"/>
      <c r="N34" s="1"/>
      <c r="O34" s="1"/>
      <c r="P34" s="1">
        <f t="shared" si="3"/>
        <v>24.2</v>
      </c>
      <c r="Q34" s="5">
        <f t="shared" si="10"/>
        <v>151.59999999999997</v>
      </c>
      <c r="R34" s="5"/>
      <c r="S34" s="1"/>
      <c r="T34" s="1">
        <f t="shared" si="4"/>
        <v>18</v>
      </c>
      <c r="U34" s="1">
        <f t="shared" si="5"/>
        <v>11.735537190082646</v>
      </c>
      <c r="V34" s="1">
        <v>56.4</v>
      </c>
      <c r="W34" s="1">
        <v>28.6</v>
      </c>
      <c r="X34" s="1">
        <v>32.4</v>
      </c>
      <c r="Y34" s="1">
        <v>40</v>
      </c>
      <c r="Z34" s="1">
        <v>30.8</v>
      </c>
      <c r="AA34" s="1">
        <v>23</v>
      </c>
      <c r="AB34" s="1">
        <v>41.8</v>
      </c>
      <c r="AC34" s="1">
        <v>29.6</v>
      </c>
      <c r="AD34" s="1"/>
      <c r="AE34" s="1">
        <f t="shared" si="9"/>
        <v>60.639999999999986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75</v>
      </c>
      <c r="B35" s="1" t="s">
        <v>35</v>
      </c>
      <c r="C35" s="1">
        <v>1057.278</v>
      </c>
      <c r="D35" s="1"/>
      <c r="E35" s="22">
        <f>397.87+E79</f>
        <v>473.17899999999997</v>
      </c>
      <c r="F35" s="22">
        <f>544.346+F79</f>
        <v>496.81200000000001</v>
      </c>
      <c r="G35" s="8">
        <v>1</v>
      </c>
      <c r="H35" s="1">
        <v>60</v>
      </c>
      <c r="I35" s="1" t="s">
        <v>36</v>
      </c>
      <c r="J35" s="1"/>
      <c r="K35" s="1"/>
      <c r="L35" s="1">
        <f t="shared" si="2"/>
        <v>473.17899999999997</v>
      </c>
      <c r="M35" s="1"/>
      <c r="N35" s="1"/>
      <c r="O35" s="1"/>
      <c r="P35" s="1">
        <f t="shared" si="3"/>
        <v>94.635799999999989</v>
      </c>
      <c r="Q35" s="5">
        <f>14*P35-F35</f>
        <v>828.08919999999978</v>
      </c>
      <c r="R35" s="5"/>
      <c r="S35" s="1"/>
      <c r="T35" s="1">
        <f t="shared" si="4"/>
        <v>14</v>
      </c>
      <c r="U35" s="1">
        <f t="shared" si="5"/>
        <v>5.2497257908740673</v>
      </c>
      <c r="V35" s="1">
        <v>131.82640000000001</v>
      </c>
      <c r="W35" s="1">
        <v>117.9644</v>
      </c>
      <c r="X35" s="1">
        <v>53.588199999999993</v>
      </c>
      <c r="Y35" s="1">
        <v>73.159400000000005</v>
      </c>
      <c r="Z35" s="1">
        <v>78.661799999999999</v>
      </c>
      <c r="AA35" s="1">
        <v>72.64200000000001</v>
      </c>
      <c r="AB35" s="1">
        <v>72.347000000000008</v>
      </c>
      <c r="AC35" s="1">
        <v>110.3852</v>
      </c>
      <c r="AD35" s="1"/>
      <c r="AE35" s="1">
        <f t="shared" si="9"/>
        <v>828.08919999999978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76</v>
      </c>
      <c r="B36" s="1" t="s">
        <v>49</v>
      </c>
      <c r="C36" s="1">
        <v>219</v>
      </c>
      <c r="D36" s="1">
        <v>13</v>
      </c>
      <c r="E36" s="1">
        <v>27</v>
      </c>
      <c r="F36" s="22">
        <f>202+F42</f>
        <v>171</v>
      </c>
      <c r="G36" s="8">
        <v>0.5</v>
      </c>
      <c r="H36" s="1">
        <v>60</v>
      </c>
      <c r="I36" s="1" t="s">
        <v>36</v>
      </c>
      <c r="J36" s="1"/>
      <c r="K36" s="1"/>
      <c r="L36" s="1">
        <f t="shared" si="2"/>
        <v>27</v>
      </c>
      <c r="M36" s="1"/>
      <c r="N36" s="1"/>
      <c r="O36" s="1"/>
      <c r="P36" s="1">
        <f t="shared" si="3"/>
        <v>5.4</v>
      </c>
      <c r="Q36" s="5"/>
      <c r="R36" s="5"/>
      <c r="S36" s="1"/>
      <c r="T36" s="1">
        <f t="shared" si="4"/>
        <v>31.666666666666664</v>
      </c>
      <c r="U36" s="1">
        <f t="shared" si="5"/>
        <v>31.666666666666664</v>
      </c>
      <c r="V36" s="1">
        <v>35.4</v>
      </c>
      <c r="W36" s="1">
        <v>7.2</v>
      </c>
      <c r="X36" s="1">
        <v>4.2</v>
      </c>
      <c r="Y36" s="1">
        <v>15.6</v>
      </c>
      <c r="Z36" s="1">
        <v>13</v>
      </c>
      <c r="AA36" s="1">
        <v>8.8000000000000007</v>
      </c>
      <c r="AB36" s="1">
        <v>5.6</v>
      </c>
      <c r="AC36" s="1">
        <v>11.6</v>
      </c>
      <c r="AD36" s="23" t="s">
        <v>147</v>
      </c>
      <c r="AE36" s="1">
        <f t="shared" si="9"/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77</v>
      </c>
      <c r="B37" s="1" t="s">
        <v>35</v>
      </c>
      <c r="C37" s="1">
        <v>1280.95</v>
      </c>
      <c r="D37" s="1"/>
      <c r="E37" s="22">
        <f>490.088+E80</f>
        <v>566.42200000000003</v>
      </c>
      <c r="F37" s="22">
        <f>742.967+F80</f>
        <v>683.77499999999998</v>
      </c>
      <c r="G37" s="8">
        <v>1</v>
      </c>
      <c r="H37" s="1">
        <v>60</v>
      </c>
      <c r="I37" s="1" t="s">
        <v>36</v>
      </c>
      <c r="J37" s="1"/>
      <c r="K37" s="1"/>
      <c r="L37" s="1">
        <f t="shared" si="2"/>
        <v>566.42200000000003</v>
      </c>
      <c r="M37" s="1"/>
      <c r="N37" s="1"/>
      <c r="O37" s="1"/>
      <c r="P37" s="1">
        <f t="shared" si="3"/>
        <v>113.28440000000001</v>
      </c>
      <c r="Q37" s="5">
        <f>15*P37-F37</f>
        <v>1015.4910000000001</v>
      </c>
      <c r="R37" s="5"/>
      <c r="S37" s="1"/>
      <c r="T37" s="1">
        <f t="shared" si="4"/>
        <v>15</v>
      </c>
      <c r="U37" s="1">
        <f t="shared" si="5"/>
        <v>6.0359149185589542</v>
      </c>
      <c r="V37" s="1">
        <v>94.878199999999993</v>
      </c>
      <c r="W37" s="1">
        <v>140.11240000000001</v>
      </c>
      <c r="X37" s="1">
        <v>51.633200000000002</v>
      </c>
      <c r="Y37" s="1">
        <v>100.645</v>
      </c>
      <c r="Z37" s="1">
        <v>99.616799999999998</v>
      </c>
      <c r="AA37" s="1">
        <v>55.079799999999999</v>
      </c>
      <c r="AB37" s="1">
        <v>108.70659999999999</v>
      </c>
      <c r="AC37" s="1">
        <v>100.682</v>
      </c>
      <c r="AD37" s="1"/>
      <c r="AE37" s="1">
        <f t="shared" si="9"/>
        <v>1015.4910000000001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78</v>
      </c>
      <c r="B38" s="1" t="s">
        <v>35</v>
      </c>
      <c r="C38" s="1">
        <v>1321.7360000000001</v>
      </c>
      <c r="D38" s="1"/>
      <c r="E38" s="22">
        <f>329.543+E81</f>
        <v>415.04500000000002</v>
      </c>
      <c r="F38" s="22">
        <f>949.411+F81</f>
        <v>871.45099999999991</v>
      </c>
      <c r="G38" s="8">
        <v>1</v>
      </c>
      <c r="H38" s="1">
        <v>60</v>
      </c>
      <c r="I38" s="1" t="s">
        <v>36</v>
      </c>
      <c r="J38" s="1"/>
      <c r="K38" s="1"/>
      <c r="L38" s="1">
        <f t="shared" ref="L38:L69" si="11">E38-K38</f>
        <v>415.04500000000002</v>
      </c>
      <c r="M38" s="1"/>
      <c r="N38" s="1"/>
      <c r="O38" s="1"/>
      <c r="P38" s="1">
        <f t="shared" ref="P38:P69" si="12">E38/5</f>
        <v>83.009</v>
      </c>
      <c r="Q38" s="5">
        <f t="shared" si="10"/>
        <v>622.71100000000013</v>
      </c>
      <c r="R38" s="5"/>
      <c r="S38" s="1"/>
      <c r="T38" s="1">
        <f t="shared" ref="T38:T69" si="13">(F38+Q38)/P38</f>
        <v>18</v>
      </c>
      <c r="U38" s="1">
        <f t="shared" ref="U38:U69" si="14">F38/P38</f>
        <v>10.498271271789804</v>
      </c>
      <c r="V38" s="1">
        <v>85.463400000000007</v>
      </c>
      <c r="W38" s="1">
        <v>102.20740000000001</v>
      </c>
      <c r="X38" s="1">
        <v>59.680600000000013</v>
      </c>
      <c r="Y38" s="1">
        <v>70.167999999999992</v>
      </c>
      <c r="Z38" s="1">
        <v>73.153400000000005</v>
      </c>
      <c r="AA38" s="1">
        <v>70.9054</v>
      </c>
      <c r="AB38" s="1">
        <v>58.851199999999992</v>
      </c>
      <c r="AC38" s="1">
        <v>95.770399999999995</v>
      </c>
      <c r="AD38" s="1"/>
      <c r="AE38" s="1">
        <f t="shared" si="9"/>
        <v>622.71100000000013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79</v>
      </c>
      <c r="B39" s="1" t="s">
        <v>49</v>
      </c>
      <c r="C39" s="1">
        <v>959</v>
      </c>
      <c r="D39" s="1">
        <v>35</v>
      </c>
      <c r="E39" s="22">
        <f>-153+E82</f>
        <v>-98</v>
      </c>
      <c r="F39" s="22">
        <f>696+F82</f>
        <v>677</v>
      </c>
      <c r="G39" s="8">
        <v>0.4</v>
      </c>
      <c r="H39" s="1">
        <v>60</v>
      </c>
      <c r="I39" s="1" t="s">
        <v>36</v>
      </c>
      <c r="J39" s="1"/>
      <c r="K39" s="1"/>
      <c r="L39" s="1">
        <f t="shared" si="11"/>
        <v>-98</v>
      </c>
      <c r="M39" s="1"/>
      <c r="N39" s="1"/>
      <c r="O39" s="1"/>
      <c r="P39" s="1">
        <f t="shared" si="12"/>
        <v>-19.600000000000001</v>
      </c>
      <c r="Q39" s="5"/>
      <c r="R39" s="5"/>
      <c r="S39" s="1"/>
      <c r="T39" s="1">
        <f t="shared" si="13"/>
        <v>-34.54081632653061</v>
      </c>
      <c r="U39" s="1">
        <f t="shared" si="14"/>
        <v>-34.54081632653061</v>
      </c>
      <c r="V39" s="1">
        <v>54.8</v>
      </c>
      <c r="W39" s="1">
        <v>76.599999999999994</v>
      </c>
      <c r="X39" s="1">
        <v>75</v>
      </c>
      <c r="Y39" s="1">
        <v>100</v>
      </c>
      <c r="Z39" s="1">
        <v>41.8</v>
      </c>
      <c r="AA39" s="1">
        <v>52.4</v>
      </c>
      <c r="AB39" s="1">
        <v>71.8</v>
      </c>
      <c r="AC39" s="1">
        <v>82.8</v>
      </c>
      <c r="AD39" s="23" t="s">
        <v>147</v>
      </c>
      <c r="AE39" s="1">
        <f t="shared" si="9"/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80</v>
      </c>
      <c r="B40" s="1" t="s">
        <v>35</v>
      </c>
      <c r="C40" s="1">
        <v>847.75400000000002</v>
      </c>
      <c r="D40" s="1">
        <v>16.257000000000001</v>
      </c>
      <c r="E40" s="22">
        <f>405.402+E83</f>
        <v>480.27199999999999</v>
      </c>
      <c r="F40" s="22">
        <f>398.157+F83</f>
        <v>340.34999999999997</v>
      </c>
      <c r="G40" s="8">
        <v>1</v>
      </c>
      <c r="H40" s="1">
        <v>60</v>
      </c>
      <c r="I40" s="1" t="s">
        <v>36</v>
      </c>
      <c r="J40" s="1"/>
      <c r="K40" s="1"/>
      <c r="L40" s="1">
        <f t="shared" si="11"/>
        <v>480.27199999999999</v>
      </c>
      <c r="M40" s="1"/>
      <c r="N40" s="1"/>
      <c r="O40" s="1"/>
      <c r="P40" s="1">
        <f t="shared" si="12"/>
        <v>96.054400000000001</v>
      </c>
      <c r="Q40" s="5">
        <f>13*P40-F40</f>
        <v>908.35720000000015</v>
      </c>
      <c r="R40" s="5"/>
      <c r="S40" s="1"/>
      <c r="T40" s="1">
        <f t="shared" si="13"/>
        <v>13</v>
      </c>
      <c r="U40" s="1">
        <f t="shared" si="14"/>
        <v>3.543304627377819</v>
      </c>
      <c r="V40" s="1">
        <v>106.12439999999999</v>
      </c>
      <c r="W40" s="1">
        <v>78.598600000000005</v>
      </c>
      <c r="X40" s="1">
        <v>92.225400000000008</v>
      </c>
      <c r="Y40" s="1">
        <v>63.377800000000001</v>
      </c>
      <c r="Z40" s="1">
        <v>36.398800000000001</v>
      </c>
      <c r="AA40" s="1">
        <v>117.0176</v>
      </c>
      <c r="AB40" s="1">
        <v>49.442399999999999</v>
      </c>
      <c r="AC40" s="1">
        <v>103.33240000000001</v>
      </c>
      <c r="AD40" s="1"/>
      <c r="AE40" s="1">
        <f t="shared" si="9"/>
        <v>908.35720000000015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81</v>
      </c>
      <c r="B41" s="1" t="s">
        <v>49</v>
      </c>
      <c r="C41" s="1">
        <v>393</v>
      </c>
      <c r="D41" s="1"/>
      <c r="E41" s="1">
        <v>43</v>
      </c>
      <c r="F41" s="1">
        <v>345</v>
      </c>
      <c r="G41" s="8">
        <v>0.5</v>
      </c>
      <c r="H41" s="1">
        <v>60</v>
      </c>
      <c r="I41" s="1" t="s">
        <v>36</v>
      </c>
      <c r="J41" s="1"/>
      <c r="K41" s="1"/>
      <c r="L41" s="1">
        <f t="shared" si="11"/>
        <v>43</v>
      </c>
      <c r="M41" s="1"/>
      <c r="N41" s="1"/>
      <c r="O41" s="1"/>
      <c r="P41" s="1">
        <f t="shared" si="12"/>
        <v>8.6</v>
      </c>
      <c r="Q41" s="5"/>
      <c r="R41" s="5"/>
      <c r="S41" s="1"/>
      <c r="T41" s="1">
        <f t="shared" si="13"/>
        <v>40.116279069767444</v>
      </c>
      <c r="U41" s="1">
        <f t="shared" si="14"/>
        <v>40.116279069767444</v>
      </c>
      <c r="V41" s="1">
        <v>30.2</v>
      </c>
      <c r="W41" s="1">
        <v>21.6</v>
      </c>
      <c r="X41" s="1">
        <v>15.6</v>
      </c>
      <c r="Y41" s="1">
        <v>25.8</v>
      </c>
      <c r="Z41" s="1">
        <v>22.8</v>
      </c>
      <c r="AA41" s="1">
        <v>13.4</v>
      </c>
      <c r="AB41" s="1">
        <v>13</v>
      </c>
      <c r="AC41" s="1">
        <v>19.600000000000001</v>
      </c>
      <c r="AD41" s="23" t="s">
        <v>147</v>
      </c>
      <c r="AE41" s="1">
        <f t="shared" si="9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5" t="s">
        <v>82</v>
      </c>
      <c r="B42" s="15" t="s">
        <v>49</v>
      </c>
      <c r="C42" s="15">
        <v>-31</v>
      </c>
      <c r="D42" s="15"/>
      <c r="E42" s="15"/>
      <c r="F42" s="22">
        <v>-31</v>
      </c>
      <c r="G42" s="16">
        <v>0</v>
      </c>
      <c r="H42" s="15"/>
      <c r="I42" s="15" t="s">
        <v>65</v>
      </c>
      <c r="J42" s="15" t="s">
        <v>76</v>
      </c>
      <c r="K42" s="15"/>
      <c r="L42" s="15">
        <f t="shared" si="11"/>
        <v>0</v>
      </c>
      <c r="M42" s="15"/>
      <c r="N42" s="15"/>
      <c r="O42" s="15"/>
      <c r="P42" s="15">
        <f t="shared" si="12"/>
        <v>0</v>
      </c>
      <c r="Q42" s="17"/>
      <c r="R42" s="17"/>
      <c r="S42" s="15"/>
      <c r="T42" s="15" t="e">
        <f t="shared" si="13"/>
        <v>#DIV/0!</v>
      </c>
      <c r="U42" s="15" t="e">
        <f t="shared" si="14"/>
        <v>#DIV/0!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/>
      <c r="AE42" s="15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83</v>
      </c>
      <c r="B43" s="1" t="s">
        <v>49</v>
      </c>
      <c r="C43" s="1">
        <v>221</v>
      </c>
      <c r="D43" s="1"/>
      <c r="E43" s="1">
        <v>65</v>
      </c>
      <c r="F43" s="1">
        <v>148</v>
      </c>
      <c r="G43" s="8">
        <v>0.4</v>
      </c>
      <c r="H43" s="1">
        <v>50</v>
      </c>
      <c r="I43" s="1" t="s">
        <v>36</v>
      </c>
      <c r="J43" s="1"/>
      <c r="K43" s="1"/>
      <c r="L43" s="1">
        <f t="shared" si="11"/>
        <v>65</v>
      </c>
      <c r="M43" s="1"/>
      <c r="N43" s="1"/>
      <c r="O43" s="1"/>
      <c r="P43" s="1">
        <f t="shared" si="12"/>
        <v>13</v>
      </c>
      <c r="Q43" s="5">
        <f t="shared" ref="Q43" si="15">18*P43-F43</f>
        <v>86</v>
      </c>
      <c r="R43" s="5"/>
      <c r="S43" s="1"/>
      <c r="T43" s="1">
        <f t="shared" si="13"/>
        <v>18</v>
      </c>
      <c r="U43" s="1">
        <f t="shared" si="14"/>
        <v>11.384615384615385</v>
      </c>
      <c r="V43" s="1">
        <v>30</v>
      </c>
      <c r="W43" s="1">
        <v>0</v>
      </c>
      <c r="X43" s="1">
        <v>23.8</v>
      </c>
      <c r="Y43" s="1">
        <v>7.2</v>
      </c>
      <c r="Z43" s="1">
        <v>5.8</v>
      </c>
      <c r="AA43" s="1">
        <v>12.6</v>
      </c>
      <c r="AB43" s="1">
        <v>14.2</v>
      </c>
      <c r="AC43" s="1">
        <v>10.199999999999999</v>
      </c>
      <c r="AD43" s="1"/>
      <c r="AE43" s="1">
        <f>G43*Q43</f>
        <v>34.4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84</v>
      </c>
      <c r="B44" s="1" t="s">
        <v>35</v>
      </c>
      <c r="C44" s="1">
        <v>1698.306</v>
      </c>
      <c r="D44" s="1">
        <v>2.9319999999999999</v>
      </c>
      <c r="E44" s="22">
        <f>945.755+E84</f>
        <v>1096.433</v>
      </c>
      <c r="F44" s="22">
        <f>574.366+F84</f>
        <v>459.96299999999997</v>
      </c>
      <c r="G44" s="8">
        <v>1</v>
      </c>
      <c r="H44" s="1">
        <v>40</v>
      </c>
      <c r="I44" s="1" t="s">
        <v>36</v>
      </c>
      <c r="J44" s="1"/>
      <c r="K44" s="1"/>
      <c r="L44" s="1">
        <f t="shared" si="11"/>
        <v>1096.433</v>
      </c>
      <c r="M44" s="1"/>
      <c r="N44" s="1"/>
      <c r="O44" s="1"/>
      <c r="P44" s="1">
        <f t="shared" si="12"/>
        <v>219.28659999999999</v>
      </c>
      <c r="Q44" s="5">
        <f>11*P44-F44</f>
        <v>1952.1895999999999</v>
      </c>
      <c r="R44" s="5"/>
      <c r="S44" s="1"/>
      <c r="T44" s="1">
        <f t="shared" si="13"/>
        <v>11</v>
      </c>
      <c r="U44" s="1">
        <f t="shared" si="14"/>
        <v>2.0975426679058362</v>
      </c>
      <c r="V44" s="1">
        <v>186.9598</v>
      </c>
      <c r="W44" s="1">
        <v>228.66200000000001</v>
      </c>
      <c r="X44" s="1">
        <v>198.33879999999999</v>
      </c>
      <c r="Y44" s="1">
        <v>138.934</v>
      </c>
      <c r="Z44" s="1">
        <v>202.55779999999999</v>
      </c>
      <c r="AA44" s="1">
        <v>211.7406</v>
      </c>
      <c r="AB44" s="1">
        <v>139.38579999999999</v>
      </c>
      <c r="AC44" s="1">
        <v>149.83959999999999</v>
      </c>
      <c r="AD44" s="1"/>
      <c r="AE44" s="1">
        <f>G44*Q44</f>
        <v>1952.1895999999999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5" t="s">
        <v>85</v>
      </c>
      <c r="B45" s="15" t="s">
        <v>35</v>
      </c>
      <c r="C45" s="15">
        <v>-4.2350000000000003</v>
      </c>
      <c r="D45" s="15"/>
      <c r="E45" s="15"/>
      <c r="F45" s="15">
        <v>-4.2350000000000003</v>
      </c>
      <c r="G45" s="16">
        <v>0</v>
      </c>
      <c r="H45" s="15"/>
      <c r="I45" s="15" t="s">
        <v>65</v>
      </c>
      <c r="J45" s="15"/>
      <c r="K45" s="15"/>
      <c r="L45" s="15">
        <f t="shared" si="11"/>
        <v>0</v>
      </c>
      <c r="M45" s="15"/>
      <c r="N45" s="15"/>
      <c r="O45" s="15"/>
      <c r="P45" s="15">
        <f t="shared" si="12"/>
        <v>0</v>
      </c>
      <c r="Q45" s="17"/>
      <c r="R45" s="17"/>
      <c r="S45" s="15"/>
      <c r="T45" s="15" t="e">
        <f t="shared" si="13"/>
        <v>#DIV/0!</v>
      </c>
      <c r="U45" s="15" t="e">
        <f t="shared" si="14"/>
        <v>#DIV/0!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0.33800000000000002</v>
      </c>
      <c r="AB45" s="15">
        <v>-0.3392</v>
      </c>
      <c r="AC45" s="15">
        <v>0</v>
      </c>
      <c r="AD45" s="15"/>
      <c r="AE45" s="15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86</v>
      </c>
      <c r="B46" s="1" t="s">
        <v>35</v>
      </c>
      <c r="C46" s="1">
        <v>460.46300000000002</v>
      </c>
      <c r="D46" s="1"/>
      <c r="E46" s="1">
        <v>105.426</v>
      </c>
      <c r="F46" s="1">
        <v>333.51600000000002</v>
      </c>
      <c r="G46" s="8">
        <v>1</v>
      </c>
      <c r="H46" s="1">
        <v>70</v>
      </c>
      <c r="I46" s="1" t="s">
        <v>36</v>
      </c>
      <c r="J46" s="1"/>
      <c r="K46" s="1"/>
      <c r="L46" s="1">
        <f t="shared" si="11"/>
        <v>105.426</v>
      </c>
      <c r="M46" s="1"/>
      <c r="N46" s="1"/>
      <c r="O46" s="1"/>
      <c r="P46" s="1">
        <f t="shared" si="12"/>
        <v>21.0852</v>
      </c>
      <c r="Q46" s="5">
        <f t="shared" ref="Q46:Q48" si="16">18*P46-F46</f>
        <v>46.017599999999959</v>
      </c>
      <c r="R46" s="5"/>
      <c r="S46" s="1"/>
      <c r="T46" s="1">
        <f t="shared" si="13"/>
        <v>18</v>
      </c>
      <c r="U46" s="1">
        <f t="shared" si="14"/>
        <v>15.817540265209722</v>
      </c>
      <c r="V46" s="1">
        <v>46.191400000000002</v>
      </c>
      <c r="W46" s="1">
        <v>36.735599999999998</v>
      </c>
      <c r="X46" s="1">
        <v>30.283999999999999</v>
      </c>
      <c r="Y46" s="1">
        <v>27.277799999999999</v>
      </c>
      <c r="Z46" s="1">
        <v>35.937600000000003</v>
      </c>
      <c r="AA46" s="1">
        <v>19.868400000000001</v>
      </c>
      <c r="AB46" s="1">
        <v>35.039400000000001</v>
      </c>
      <c r="AC46" s="1">
        <v>23.706800000000001</v>
      </c>
      <c r="AD46" s="1"/>
      <c r="AE46" s="1">
        <f t="shared" ref="AE46:AE54" si="17">G46*Q46</f>
        <v>46.017599999999959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0" t="s">
        <v>87</v>
      </c>
      <c r="B47" s="1" t="s">
        <v>35</v>
      </c>
      <c r="C47" s="1">
        <v>10.571999999999999</v>
      </c>
      <c r="D47" s="1"/>
      <c r="E47" s="1"/>
      <c r="F47" s="1">
        <v>7.88</v>
      </c>
      <c r="G47" s="8">
        <v>1</v>
      </c>
      <c r="H47" s="1">
        <v>35</v>
      </c>
      <c r="I47" s="1" t="s">
        <v>39</v>
      </c>
      <c r="J47" s="1"/>
      <c r="K47" s="1"/>
      <c r="L47" s="1">
        <f t="shared" si="11"/>
        <v>0</v>
      </c>
      <c r="M47" s="1"/>
      <c r="N47" s="1"/>
      <c r="O47" s="1"/>
      <c r="P47" s="1">
        <f t="shared" si="12"/>
        <v>0</v>
      </c>
      <c r="Q47" s="5"/>
      <c r="R47" s="5"/>
      <c r="S47" s="1"/>
      <c r="T47" s="1" t="e">
        <f t="shared" si="13"/>
        <v>#DIV/0!</v>
      </c>
      <c r="U47" s="1" t="e">
        <f t="shared" si="14"/>
        <v>#DIV/0!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 t="s">
        <v>88</v>
      </c>
      <c r="AE47" s="1">
        <f t="shared" si="17"/>
        <v>0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89</v>
      </c>
      <c r="B48" s="1" t="s">
        <v>49</v>
      </c>
      <c r="C48" s="1">
        <v>1705</v>
      </c>
      <c r="D48" s="1">
        <v>11</v>
      </c>
      <c r="E48" s="22">
        <f>146+E85</f>
        <v>305</v>
      </c>
      <c r="F48" s="22">
        <f>968+F85</f>
        <v>859</v>
      </c>
      <c r="G48" s="8">
        <v>0.4</v>
      </c>
      <c r="H48" s="1">
        <v>40</v>
      </c>
      <c r="I48" s="1" t="s">
        <v>36</v>
      </c>
      <c r="J48" s="1"/>
      <c r="K48" s="1"/>
      <c r="L48" s="1">
        <f t="shared" si="11"/>
        <v>305</v>
      </c>
      <c r="M48" s="1"/>
      <c r="N48" s="1"/>
      <c r="O48" s="1"/>
      <c r="P48" s="1">
        <f t="shared" si="12"/>
        <v>61</v>
      </c>
      <c r="Q48" s="5">
        <f t="shared" si="16"/>
        <v>239</v>
      </c>
      <c r="R48" s="5"/>
      <c r="S48" s="1"/>
      <c r="T48" s="1">
        <f t="shared" si="13"/>
        <v>18</v>
      </c>
      <c r="U48" s="1">
        <f t="shared" si="14"/>
        <v>14.081967213114755</v>
      </c>
      <c r="V48" s="1">
        <v>137.19999999999999</v>
      </c>
      <c r="W48" s="1">
        <v>172.8</v>
      </c>
      <c r="X48" s="1">
        <v>165.2</v>
      </c>
      <c r="Y48" s="1">
        <v>199.6</v>
      </c>
      <c r="Z48" s="1">
        <v>143.6</v>
      </c>
      <c r="AA48" s="1">
        <v>130.19999999999999</v>
      </c>
      <c r="AB48" s="1">
        <v>169.6</v>
      </c>
      <c r="AC48" s="1">
        <v>152.19999999999999</v>
      </c>
      <c r="AD48" s="1"/>
      <c r="AE48" s="1">
        <f t="shared" si="17"/>
        <v>95.600000000000009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0" t="s">
        <v>90</v>
      </c>
      <c r="B49" s="1" t="s">
        <v>49</v>
      </c>
      <c r="C49" s="1">
        <v>6</v>
      </c>
      <c r="D49" s="1"/>
      <c r="E49" s="1"/>
      <c r="F49" s="1"/>
      <c r="G49" s="11">
        <v>0.3</v>
      </c>
      <c r="H49" s="1">
        <v>40</v>
      </c>
      <c r="I49" s="1" t="s">
        <v>39</v>
      </c>
      <c r="J49" s="1"/>
      <c r="K49" s="1"/>
      <c r="L49" s="1">
        <f t="shared" si="11"/>
        <v>0</v>
      </c>
      <c r="M49" s="1"/>
      <c r="N49" s="1"/>
      <c r="O49" s="1"/>
      <c r="P49" s="1">
        <f t="shared" si="12"/>
        <v>0</v>
      </c>
      <c r="Q49" s="5"/>
      <c r="R49" s="5"/>
      <c r="S49" s="1"/>
      <c r="T49" s="1" t="e">
        <f t="shared" si="13"/>
        <v>#DIV/0!</v>
      </c>
      <c r="U49" s="1" t="e">
        <f t="shared" si="14"/>
        <v>#DIV/0!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 t="s">
        <v>91</v>
      </c>
      <c r="AE49" s="1">
        <f t="shared" si="17"/>
        <v>0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2" t="s">
        <v>92</v>
      </c>
      <c r="B50" s="1" t="s">
        <v>49</v>
      </c>
      <c r="C50" s="1">
        <v>6</v>
      </c>
      <c r="D50" s="1"/>
      <c r="E50" s="1"/>
      <c r="F50" s="1"/>
      <c r="G50" s="8">
        <v>0.33</v>
      </c>
      <c r="H50" s="1">
        <v>40</v>
      </c>
      <c r="I50" s="1" t="s">
        <v>39</v>
      </c>
      <c r="J50" s="1"/>
      <c r="K50" s="1"/>
      <c r="L50" s="1">
        <f t="shared" si="11"/>
        <v>0</v>
      </c>
      <c r="M50" s="1"/>
      <c r="N50" s="1"/>
      <c r="O50" s="1"/>
      <c r="P50" s="1">
        <f t="shared" si="12"/>
        <v>0</v>
      </c>
      <c r="Q50" s="5"/>
      <c r="R50" s="5"/>
      <c r="S50" s="1"/>
      <c r="T50" s="1" t="e">
        <f t="shared" si="13"/>
        <v>#DIV/0!</v>
      </c>
      <c r="U50" s="1" t="e">
        <f t="shared" si="14"/>
        <v>#DIV/0!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 t="s">
        <v>93</v>
      </c>
      <c r="AE50" s="1">
        <f t="shared" si="17"/>
        <v>0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0" t="s">
        <v>94</v>
      </c>
      <c r="B51" s="1" t="s">
        <v>49</v>
      </c>
      <c r="C51" s="1">
        <v>6</v>
      </c>
      <c r="D51" s="1"/>
      <c r="E51" s="1"/>
      <c r="F51" s="1"/>
      <c r="G51" s="8">
        <v>0.35</v>
      </c>
      <c r="H51" s="1">
        <v>50</v>
      </c>
      <c r="I51" s="1" t="s">
        <v>39</v>
      </c>
      <c r="J51" s="1"/>
      <c r="K51" s="1"/>
      <c r="L51" s="1">
        <f t="shared" si="11"/>
        <v>0</v>
      </c>
      <c r="M51" s="1"/>
      <c r="N51" s="1"/>
      <c r="O51" s="1"/>
      <c r="P51" s="1">
        <f t="shared" si="12"/>
        <v>0</v>
      </c>
      <c r="Q51" s="5"/>
      <c r="R51" s="5"/>
      <c r="S51" s="1"/>
      <c r="T51" s="1" t="e">
        <f t="shared" si="13"/>
        <v>#DIV/0!</v>
      </c>
      <c r="U51" s="1" t="e">
        <f t="shared" si="14"/>
        <v>#DIV/0!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 t="s">
        <v>95</v>
      </c>
      <c r="AE51" s="1">
        <f t="shared" si="17"/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0" t="s">
        <v>96</v>
      </c>
      <c r="B52" s="1" t="s">
        <v>35</v>
      </c>
      <c r="C52" s="1">
        <v>5.2960000000000003</v>
      </c>
      <c r="D52" s="1"/>
      <c r="E52" s="1"/>
      <c r="F52" s="1">
        <v>1.78</v>
      </c>
      <c r="G52" s="8">
        <v>1</v>
      </c>
      <c r="H52" s="1">
        <v>50</v>
      </c>
      <c r="I52" s="1" t="s">
        <v>39</v>
      </c>
      <c r="J52" s="1"/>
      <c r="K52" s="1"/>
      <c r="L52" s="1">
        <f t="shared" si="11"/>
        <v>0</v>
      </c>
      <c r="M52" s="1"/>
      <c r="N52" s="1"/>
      <c r="O52" s="1"/>
      <c r="P52" s="1">
        <f t="shared" si="12"/>
        <v>0</v>
      </c>
      <c r="Q52" s="5"/>
      <c r="R52" s="5"/>
      <c r="S52" s="1"/>
      <c r="T52" s="1" t="e">
        <f t="shared" si="13"/>
        <v>#DIV/0!</v>
      </c>
      <c r="U52" s="1" t="e">
        <f t="shared" si="14"/>
        <v>#DIV/0!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 t="s">
        <v>97</v>
      </c>
      <c r="AE52" s="1">
        <f t="shared" si="17"/>
        <v>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0" t="s">
        <v>98</v>
      </c>
      <c r="B53" s="1" t="s">
        <v>49</v>
      </c>
      <c r="C53" s="1">
        <v>6</v>
      </c>
      <c r="D53" s="1"/>
      <c r="E53" s="1"/>
      <c r="F53" s="1"/>
      <c r="G53" s="8">
        <v>0.35</v>
      </c>
      <c r="H53" s="1">
        <v>40</v>
      </c>
      <c r="I53" s="1" t="s">
        <v>39</v>
      </c>
      <c r="J53" s="1"/>
      <c r="K53" s="1"/>
      <c r="L53" s="1">
        <f t="shared" si="11"/>
        <v>0</v>
      </c>
      <c r="M53" s="1"/>
      <c r="N53" s="1"/>
      <c r="O53" s="1"/>
      <c r="P53" s="1">
        <f t="shared" si="12"/>
        <v>0</v>
      </c>
      <c r="Q53" s="5"/>
      <c r="R53" s="5"/>
      <c r="S53" s="1"/>
      <c r="T53" s="1" t="e">
        <f t="shared" si="13"/>
        <v>#DIV/0!</v>
      </c>
      <c r="U53" s="1" t="e">
        <f t="shared" si="14"/>
        <v>#DIV/0!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 t="s">
        <v>99</v>
      </c>
      <c r="AE53" s="1">
        <f t="shared" si="17"/>
        <v>0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100</v>
      </c>
      <c r="B54" s="1" t="s">
        <v>35</v>
      </c>
      <c r="C54" s="1">
        <v>675.93799999999999</v>
      </c>
      <c r="D54" s="1"/>
      <c r="E54" s="22">
        <f>166.129+E86</f>
        <v>284.142</v>
      </c>
      <c r="F54" s="22">
        <f>424.715+F86</f>
        <v>344.12299999999999</v>
      </c>
      <c r="G54" s="8">
        <v>1</v>
      </c>
      <c r="H54" s="1">
        <v>60</v>
      </c>
      <c r="I54" s="1" t="s">
        <v>36</v>
      </c>
      <c r="J54" s="1"/>
      <c r="K54" s="1"/>
      <c r="L54" s="1">
        <f t="shared" si="11"/>
        <v>284.142</v>
      </c>
      <c r="M54" s="1"/>
      <c r="N54" s="1"/>
      <c r="O54" s="1"/>
      <c r="P54" s="1">
        <f t="shared" si="12"/>
        <v>56.828400000000002</v>
      </c>
      <c r="Q54" s="5">
        <f>15*P54-F54</f>
        <v>508.30300000000005</v>
      </c>
      <c r="R54" s="5"/>
      <c r="S54" s="1"/>
      <c r="T54" s="1">
        <f t="shared" si="13"/>
        <v>15</v>
      </c>
      <c r="U54" s="1">
        <f t="shared" si="14"/>
        <v>6.0554757832351429</v>
      </c>
      <c r="V54" s="1">
        <v>86.268799999999999</v>
      </c>
      <c r="W54" s="1">
        <v>51.713199999999993</v>
      </c>
      <c r="X54" s="1">
        <v>50.019799999999996</v>
      </c>
      <c r="Y54" s="1">
        <v>45.35</v>
      </c>
      <c r="Z54" s="1">
        <v>53.049199999999999</v>
      </c>
      <c r="AA54" s="1">
        <v>44.110399999999998</v>
      </c>
      <c r="AB54" s="1">
        <v>55.955199999999998</v>
      </c>
      <c r="AC54" s="1">
        <v>43.550600000000003</v>
      </c>
      <c r="AD54" s="1"/>
      <c r="AE54" s="1">
        <f t="shared" si="17"/>
        <v>508.30300000000005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8" t="s">
        <v>101</v>
      </c>
      <c r="B55" s="15"/>
      <c r="C55" s="15">
        <v>8</v>
      </c>
      <c r="D55" s="15"/>
      <c r="E55" s="15"/>
      <c r="F55" s="15">
        <v>4.8</v>
      </c>
      <c r="G55" s="16">
        <v>0</v>
      </c>
      <c r="H55" s="15"/>
      <c r="I55" s="18" t="s">
        <v>102</v>
      </c>
      <c r="J55" s="15"/>
      <c r="K55" s="15"/>
      <c r="L55" s="15">
        <f t="shared" si="11"/>
        <v>0</v>
      </c>
      <c r="M55" s="15"/>
      <c r="N55" s="15"/>
      <c r="O55" s="15"/>
      <c r="P55" s="15">
        <f t="shared" si="12"/>
        <v>0</v>
      </c>
      <c r="Q55" s="17"/>
      <c r="R55" s="17"/>
      <c r="S55" s="15"/>
      <c r="T55" s="15" t="e">
        <f t="shared" si="13"/>
        <v>#DIV/0!</v>
      </c>
      <c r="U55" s="15" t="e">
        <f t="shared" si="14"/>
        <v>#DIV/0!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8" t="s">
        <v>103</v>
      </c>
      <c r="AE55" s="15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0" t="s">
        <v>104</v>
      </c>
      <c r="B56" s="1" t="s">
        <v>49</v>
      </c>
      <c r="C56" s="1">
        <v>8</v>
      </c>
      <c r="D56" s="1"/>
      <c r="E56" s="1"/>
      <c r="F56" s="1">
        <v>4</v>
      </c>
      <c r="G56" s="8">
        <v>0.6</v>
      </c>
      <c r="H56" s="1">
        <v>45</v>
      </c>
      <c r="I56" s="1" t="s">
        <v>39</v>
      </c>
      <c r="J56" s="1"/>
      <c r="K56" s="1"/>
      <c r="L56" s="1">
        <f t="shared" si="11"/>
        <v>0</v>
      </c>
      <c r="M56" s="1"/>
      <c r="N56" s="1"/>
      <c r="O56" s="1"/>
      <c r="P56" s="1">
        <f t="shared" si="12"/>
        <v>0</v>
      </c>
      <c r="Q56" s="5"/>
      <c r="R56" s="5"/>
      <c r="S56" s="1"/>
      <c r="T56" s="1" t="e">
        <f t="shared" si="13"/>
        <v>#DIV/0!</v>
      </c>
      <c r="U56" s="1" t="e">
        <f t="shared" si="14"/>
        <v>#DIV/0!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 t="s">
        <v>105</v>
      </c>
      <c r="AE56" s="1">
        <f t="shared" ref="AE56:AE72" si="18">G56*Q56</f>
        <v>0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0" t="s">
        <v>106</v>
      </c>
      <c r="B57" s="1" t="s">
        <v>49</v>
      </c>
      <c r="C57" s="1">
        <v>6</v>
      </c>
      <c r="D57" s="1"/>
      <c r="E57" s="1"/>
      <c r="F57" s="1"/>
      <c r="G57" s="8">
        <v>0.4</v>
      </c>
      <c r="H57" s="1">
        <v>45</v>
      </c>
      <c r="I57" s="1" t="s">
        <v>39</v>
      </c>
      <c r="J57" s="1"/>
      <c r="K57" s="1"/>
      <c r="L57" s="1">
        <f t="shared" si="11"/>
        <v>0</v>
      </c>
      <c r="M57" s="1"/>
      <c r="N57" s="1"/>
      <c r="O57" s="1"/>
      <c r="P57" s="1">
        <f t="shared" si="12"/>
        <v>0</v>
      </c>
      <c r="Q57" s="5"/>
      <c r="R57" s="5"/>
      <c r="S57" s="1"/>
      <c r="T57" s="1" t="e">
        <f t="shared" si="13"/>
        <v>#DIV/0!</v>
      </c>
      <c r="U57" s="1" t="e">
        <f t="shared" si="14"/>
        <v>#DIV/0!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 t="s">
        <v>107</v>
      </c>
      <c r="AE57" s="1">
        <f t="shared" si="18"/>
        <v>0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0" t="s">
        <v>108</v>
      </c>
      <c r="B58" s="1" t="s">
        <v>49</v>
      </c>
      <c r="C58" s="1">
        <v>6</v>
      </c>
      <c r="D58" s="1"/>
      <c r="E58" s="1"/>
      <c r="F58" s="1">
        <v>2</v>
      </c>
      <c r="G58" s="8">
        <v>0.75</v>
      </c>
      <c r="H58" s="1">
        <v>50</v>
      </c>
      <c r="I58" s="1" t="s">
        <v>39</v>
      </c>
      <c r="J58" s="1"/>
      <c r="K58" s="1"/>
      <c r="L58" s="1">
        <f t="shared" si="11"/>
        <v>0</v>
      </c>
      <c r="M58" s="1"/>
      <c r="N58" s="1"/>
      <c r="O58" s="1"/>
      <c r="P58" s="1">
        <f t="shared" si="12"/>
        <v>0</v>
      </c>
      <c r="Q58" s="5"/>
      <c r="R58" s="5"/>
      <c r="S58" s="1"/>
      <c r="T58" s="1" t="e">
        <f t="shared" si="13"/>
        <v>#DIV/0!</v>
      </c>
      <c r="U58" s="1" t="e">
        <f t="shared" si="14"/>
        <v>#DIV/0!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 t="s">
        <v>109</v>
      </c>
      <c r="AE58" s="1">
        <f t="shared" si="18"/>
        <v>0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0" t="s">
        <v>110</v>
      </c>
      <c r="B59" s="1" t="s">
        <v>49</v>
      </c>
      <c r="C59" s="1">
        <v>6</v>
      </c>
      <c r="D59" s="1"/>
      <c r="E59" s="1"/>
      <c r="F59" s="1">
        <v>-2</v>
      </c>
      <c r="G59" s="8">
        <v>0.28000000000000003</v>
      </c>
      <c r="H59" s="1">
        <v>40</v>
      </c>
      <c r="I59" s="1" t="s">
        <v>39</v>
      </c>
      <c r="J59" s="1"/>
      <c r="K59" s="1"/>
      <c r="L59" s="1">
        <f t="shared" si="11"/>
        <v>0</v>
      </c>
      <c r="M59" s="1"/>
      <c r="N59" s="1"/>
      <c r="O59" s="1"/>
      <c r="P59" s="1">
        <f t="shared" si="12"/>
        <v>0</v>
      </c>
      <c r="Q59" s="5"/>
      <c r="R59" s="5"/>
      <c r="S59" s="1"/>
      <c r="T59" s="1" t="e">
        <f t="shared" si="13"/>
        <v>#DIV/0!</v>
      </c>
      <c r="U59" s="1" t="e">
        <f t="shared" si="14"/>
        <v>#DIV/0!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 t="s">
        <v>111</v>
      </c>
      <c r="AE59" s="1">
        <f t="shared" si="18"/>
        <v>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0" t="s">
        <v>112</v>
      </c>
      <c r="B60" s="1" t="s">
        <v>49</v>
      </c>
      <c r="C60" s="1">
        <v>6</v>
      </c>
      <c r="D60" s="1"/>
      <c r="E60" s="1"/>
      <c r="F60" s="1">
        <v>2</v>
      </c>
      <c r="G60" s="8">
        <v>0.5</v>
      </c>
      <c r="H60" s="1">
        <v>40</v>
      </c>
      <c r="I60" s="1" t="s">
        <v>39</v>
      </c>
      <c r="J60" s="1"/>
      <c r="K60" s="1"/>
      <c r="L60" s="1">
        <f t="shared" si="11"/>
        <v>0</v>
      </c>
      <c r="M60" s="1"/>
      <c r="N60" s="1"/>
      <c r="O60" s="1"/>
      <c r="P60" s="1">
        <f t="shared" si="12"/>
        <v>0</v>
      </c>
      <c r="Q60" s="5"/>
      <c r="R60" s="5"/>
      <c r="S60" s="1"/>
      <c r="T60" s="1" t="e">
        <f t="shared" si="13"/>
        <v>#DIV/0!</v>
      </c>
      <c r="U60" s="1" t="e">
        <f t="shared" si="14"/>
        <v>#DIV/0!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 t="s">
        <v>113</v>
      </c>
      <c r="AE60" s="1">
        <f t="shared" si="18"/>
        <v>0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0" t="s">
        <v>114</v>
      </c>
      <c r="B61" s="1" t="s">
        <v>49</v>
      </c>
      <c r="C61" s="1">
        <v>6</v>
      </c>
      <c r="D61" s="1"/>
      <c r="E61" s="1"/>
      <c r="F61" s="1">
        <v>2</v>
      </c>
      <c r="G61" s="8">
        <v>0.6</v>
      </c>
      <c r="H61" s="1">
        <v>45</v>
      </c>
      <c r="I61" s="1" t="s">
        <v>39</v>
      </c>
      <c r="J61" s="1"/>
      <c r="K61" s="1"/>
      <c r="L61" s="1">
        <f t="shared" si="11"/>
        <v>0</v>
      </c>
      <c r="M61" s="1"/>
      <c r="N61" s="1"/>
      <c r="O61" s="1"/>
      <c r="P61" s="1">
        <f t="shared" si="12"/>
        <v>0</v>
      </c>
      <c r="Q61" s="5"/>
      <c r="R61" s="5"/>
      <c r="S61" s="1"/>
      <c r="T61" s="1" t="e">
        <f t="shared" si="13"/>
        <v>#DIV/0!</v>
      </c>
      <c r="U61" s="1" t="e">
        <f t="shared" si="14"/>
        <v>#DIV/0!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 t="s">
        <v>115</v>
      </c>
      <c r="AE61" s="1">
        <f t="shared" si="18"/>
        <v>0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0" t="s">
        <v>116</v>
      </c>
      <c r="B62" s="1" t="s">
        <v>35</v>
      </c>
      <c r="C62" s="1">
        <v>10.613</v>
      </c>
      <c r="D62" s="1"/>
      <c r="E62" s="1"/>
      <c r="F62" s="1">
        <v>8.0399999999999991</v>
      </c>
      <c r="G62" s="8">
        <v>1</v>
      </c>
      <c r="H62" s="1">
        <v>55</v>
      </c>
      <c r="I62" s="1" t="s">
        <v>39</v>
      </c>
      <c r="J62" s="1"/>
      <c r="K62" s="1"/>
      <c r="L62" s="1">
        <f t="shared" si="11"/>
        <v>0</v>
      </c>
      <c r="M62" s="1"/>
      <c r="N62" s="1"/>
      <c r="O62" s="1"/>
      <c r="P62" s="1">
        <f t="shared" si="12"/>
        <v>0</v>
      </c>
      <c r="Q62" s="5"/>
      <c r="R62" s="5"/>
      <c r="S62" s="1"/>
      <c r="T62" s="1" t="e">
        <f t="shared" si="13"/>
        <v>#DIV/0!</v>
      </c>
      <c r="U62" s="1" t="e">
        <f t="shared" si="14"/>
        <v>#DIV/0!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 t="s">
        <v>117</v>
      </c>
      <c r="AE62" s="1">
        <f t="shared" si="18"/>
        <v>0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118</v>
      </c>
      <c r="B63" s="1" t="s">
        <v>35</v>
      </c>
      <c r="C63" s="1">
        <v>125.381</v>
      </c>
      <c r="D63" s="1"/>
      <c r="E63" s="1">
        <v>72.263999999999996</v>
      </c>
      <c r="F63" s="1">
        <v>36.795000000000002</v>
      </c>
      <c r="G63" s="8">
        <v>1</v>
      </c>
      <c r="H63" s="1">
        <v>50</v>
      </c>
      <c r="I63" s="1" t="s">
        <v>36</v>
      </c>
      <c r="J63" s="1"/>
      <c r="K63" s="1"/>
      <c r="L63" s="1">
        <f t="shared" si="11"/>
        <v>72.263999999999996</v>
      </c>
      <c r="M63" s="1"/>
      <c r="N63" s="1"/>
      <c r="O63" s="1"/>
      <c r="P63" s="1">
        <f t="shared" si="12"/>
        <v>14.4528</v>
      </c>
      <c r="Q63" s="5">
        <f>12*P63-F63</f>
        <v>136.6386</v>
      </c>
      <c r="R63" s="5"/>
      <c r="S63" s="1"/>
      <c r="T63" s="1">
        <f t="shared" si="13"/>
        <v>12.000000000000002</v>
      </c>
      <c r="U63" s="1">
        <f t="shared" si="14"/>
        <v>2.5458734639654601</v>
      </c>
      <c r="V63" s="1">
        <v>17.564399999999999</v>
      </c>
      <c r="W63" s="1">
        <v>9.1650000000000009</v>
      </c>
      <c r="X63" s="1">
        <v>10.728400000000001</v>
      </c>
      <c r="Y63" s="1">
        <v>7.2680000000000007</v>
      </c>
      <c r="Z63" s="1">
        <v>7.7941999999999991</v>
      </c>
      <c r="AA63" s="1">
        <v>8.8587999999999987</v>
      </c>
      <c r="AB63" s="1">
        <v>11.0182</v>
      </c>
      <c r="AC63" s="1">
        <v>7.6918000000000006</v>
      </c>
      <c r="AD63" s="1"/>
      <c r="AE63" s="1">
        <f t="shared" si="18"/>
        <v>136.6386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119</v>
      </c>
      <c r="B64" s="1" t="s">
        <v>49</v>
      </c>
      <c r="C64" s="1">
        <v>420</v>
      </c>
      <c r="D64" s="1"/>
      <c r="E64" s="1">
        <v>88</v>
      </c>
      <c r="F64" s="1">
        <v>314</v>
      </c>
      <c r="G64" s="8">
        <v>0.45</v>
      </c>
      <c r="H64" s="1">
        <v>50</v>
      </c>
      <c r="I64" s="1" t="s">
        <v>36</v>
      </c>
      <c r="J64" s="1"/>
      <c r="K64" s="1"/>
      <c r="L64" s="1">
        <f t="shared" si="11"/>
        <v>88</v>
      </c>
      <c r="M64" s="1"/>
      <c r="N64" s="1"/>
      <c r="O64" s="1"/>
      <c r="P64" s="1">
        <f t="shared" si="12"/>
        <v>17.600000000000001</v>
      </c>
      <c r="Q64" s="5"/>
      <c r="R64" s="5"/>
      <c r="S64" s="1"/>
      <c r="T64" s="1">
        <f t="shared" si="13"/>
        <v>17.84090909090909</v>
      </c>
      <c r="U64" s="1">
        <f t="shared" si="14"/>
        <v>17.84090909090909</v>
      </c>
      <c r="V64" s="1">
        <v>46.6</v>
      </c>
      <c r="W64" s="1">
        <v>35.799999999999997</v>
      </c>
      <c r="X64" s="1">
        <v>19.600000000000001</v>
      </c>
      <c r="Y64" s="1">
        <v>18</v>
      </c>
      <c r="Z64" s="1">
        <v>30.8</v>
      </c>
      <c r="AA64" s="1">
        <v>25.4</v>
      </c>
      <c r="AB64" s="1">
        <v>20.6</v>
      </c>
      <c r="AC64" s="1">
        <v>22.4</v>
      </c>
      <c r="AD64" s="1"/>
      <c r="AE64" s="1">
        <f t="shared" si="18"/>
        <v>0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120</v>
      </c>
      <c r="B65" s="1" t="s">
        <v>49</v>
      </c>
      <c r="C65" s="1">
        <v>300</v>
      </c>
      <c r="D65" s="1"/>
      <c r="E65" s="1">
        <v>111</v>
      </c>
      <c r="F65" s="1">
        <v>178</v>
      </c>
      <c r="G65" s="8">
        <v>0.4</v>
      </c>
      <c r="H65" s="1">
        <v>50</v>
      </c>
      <c r="I65" s="1" t="s">
        <v>36</v>
      </c>
      <c r="J65" s="1"/>
      <c r="K65" s="1"/>
      <c r="L65" s="1">
        <f t="shared" si="11"/>
        <v>111</v>
      </c>
      <c r="M65" s="1"/>
      <c r="N65" s="1"/>
      <c r="O65" s="1"/>
      <c r="P65" s="1">
        <f t="shared" si="12"/>
        <v>22.2</v>
      </c>
      <c r="Q65" s="5">
        <f>17*P65-F65</f>
        <v>199.39999999999998</v>
      </c>
      <c r="R65" s="5"/>
      <c r="S65" s="1"/>
      <c r="T65" s="1">
        <f t="shared" si="13"/>
        <v>17</v>
      </c>
      <c r="U65" s="1">
        <f t="shared" si="14"/>
        <v>8.0180180180180187</v>
      </c>
      <c r="V65" s="1">
        <v>73.400000000000006</v>
      </c>
      <c r="W65" s="1">
        <v>44.4</v>
      </c>
      <c r="X65" s="1">
        <v>37.6</v>
      </c>
      <c r="Y65" s="1">
        <v>32.4</v>
      </c>
      <c r="Z65" s="1">
        <v>42.8</v>
      </c>
      <c r="AA65" s="1">
        <v>34.799999999999997</v>
      </c>
      <c r="AB65" s="1">
        <v>40.200000000000003</v>
      </c>
      <c r="AC65" s="1">
        <v>41.4</v>
      </c>
      <c r="AD65" s="1"/>
      <c r="AE65" s="1">
        <f t="shared" si="18"/>
        <v>79.759999999999991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121</v>
      </c>
      <c r="B66" s="1" t="s">
        <v>35</v>
      </c>
      <c r="C66" s="1">
        <v>70.281999999999996</v>
      </c>
      <c r="D66" s="1">
        <v>0.625</v>
      </c>
      <c r="E66" s="1">
        <v>70.477000000000004</v>
      </c>
      <c r="F66" s="1">
        <v>-2.3439999999999999</v>
      </c>
      <c r="G66" s="8">
        <v>1</v>
      </c>
      <c r="H66" s="1">
        <v>50</v>
      </c>
      <c r="I66" s="1" t="s">
        <v>36</v>
      </c>
      <c r="J66" s="1"/>
      <c r="K66" s="1"/>
      <c r="L66" s="1">
        <f t="shared" si="11"/>
        <v>70.477000000000004</v>
      </c>
      <c r="M66" s="1"/>
      <c r="N66" s="1"/>
      <c r="O66" s="1"/>
      <c r="P66" s="1">
        <f t="shared" si="12"/>
        <v>14.095400000000001</v>
      </c>
      <c r="Q66" s="5">
        <f>9*P66-F66</f>
        <v>129.20260000000002</v>
      </c>
      <c r="R66" s="5"/>
      <c r="S66" s="1"/>
      <c r="T66" s="1">
        <f t="shared" si="13"/>
        <v>9</v>
      </c>
      <c r="U66" s="1">
        <f t="shared" si="14"/>
        <v>-0.16629538714758002</v>
      </c>
      <c r="V66" s="1">
        <v>25.924199999999999</v>
      </c>
      <c r="W66" s="1">
        <v>19.881</v>
      </c>
      <c r="X66" s="1">
        <v>9.6715999999999998</v>
      </c>
      <c r="Y66" s="1">
        <v>13.3668</v>
      </c>
      <c r="Z66" s="1">
        <v>12.178000000000001</v>
      </c>
      <c r="AA66" s="1">
        <v>13.906599999999999</v>
      </c>
      <c r="AB66" s="1">
        <v>16.425999999999998</v>
      </c>
      <c r="AC66" s="1">
        <v>17.5504</v>
      </c>
      <c r="AD66" s="1"/>
      <c r="AE66" s="1">
        <f t="shared" si="18"/>
        <v>129.20260000000002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122</v>
      </c>
      <c r="B67" s="1" t="s">
        <v>49</v>
      </c>
      <c r="C67" s="1">
        <v>702</v>
      </c>
      <c r="D67" s="1"/>
      <c r="E67" s="1">
        <v>281</v>
      </c>
      <c r="F67" s="1">
        <v>412</v>
      </c>
      <c r="G67" s="8">
        <v>0.45</v>
      </c>
      <c r="H67" s="1">
        <v>50</v>
      </c>
      <c r="I67" s="1" t="s">
        <v>36</v>
      </c>
      <c r="J67" s="1"/>
      <c r="K67" s="1"/>
      <c r="L67" s="1">
        <f t="shared" si="11"/>
        <v>281</v>
      </c>
      <c r="M67" s="1"/>
      <c r="N67" s="1"/>
      <c r="O67" s="1"/>
      <c r="P67" s="1">
        <f t="shared" si="12"/>
        <v>56.2</v>
      </c>
      <c r="Q67" s="5">
        <f>16*P67-F67</f>
        <v>487.20000000000005</v>
      </c>
      <c r="R67" s="5"/>
      <c r="S67" s="1"/>
      <c r="T67" s="1">
        <f t="shared" si="13"/>
        <v>16</v>
      </c>
      <c r="U67" s="1">
        <f t="shared" si="14"/>
        <v>7.3309608540925266</v>
      </c>
      <c r="V67" s="1">
        <v>139.6</v>
      </c>
      <c r="W67" s="1">
        <v>74.2</v>
      </c>
      <c r="X67" s="1">
        <v>69.400000000000006</v>
      </c>
      <c r="Y67" s="1">
        <v>55.8</v>
      </c>
      <c r="Z67" s="1">
        <v>79.400000000000006</v>
      </c>
      <c r="AA67" s="1">
        <v>66.8</v>
      </c>
      <c r="AB67" s="1">
        <v>55</v>
      </c>
      <c r="AC67" s="1">
        <v>74.8</v>
      </c>
      <c r="AD67" s="1"/>
      <c r="AE67" s="1">
        <f t="shared" si="18"/>
        <v>219.24000000000004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123</v>
      </c>
      <c r="B68" s="1" t="s">
        <v>49</v>
      </c>
      <c r="C68" s="1">
        <v>218</v>
      </c>
      <c r="D68" s="1"/>
      <c r="E68" s="1">
        <v>53</v>
      </c>
      <c r="F68" s="1">
        <v>144</v>
      </c>
      <c r="G68" s="8">
        <v>0.17</v>
      </c>
      <c r="H68" s="1">
        <v>180</v>
      </c>
      <c r="I68" s="1" t="s">
        <v>36</v>
      </c>
      <c r="J68" s="1"/>
      <c r="K68" s="1"/>
      <c r="L68" s="1">
        <f t="shared" si="11"/>
        <v>53</v>
      </c>
      <c r="M68" s="1"/>
      <c r="N68" s="1"/>
      <c r="O68" s="1"/>
      <c r="P68" s="1">
        <f t="shared" si="12"/>
        <v>10.6</v>
      </c>
      <c r="Q68" s="5">
        <f t="shared" ref="Q68" si="19">18*P68-F68</f>
        <v>46.799999999999983</v>
      </c>
      <c r="R68" s="5"/>
      <c r="S68" s="1"/>
      <c r="T68" s="1">
        <f t="shared" si="13"/>
        <v>18</v>
      </c>
      <c r="U68" s="1">
        <f t="shared" si="14"/>
        <v>13.584905660377359</v>
      </c>
      <c r="V68" s="1">
        <v>40.4</v>
      </c>
      <c r="W68" s="1">
        <v>8.1999999999999993</v>
      </c>
      <c r="X68" s="1">
        <v>15.8</v>
      </c>
      <c r="Y68" s="1">
        <v>5.8</v>
      </c>
      <c r="Z68" s="1">
        <v>9.6</v>
      </c>
      <c r="AA68" s="1">
        <v>9.8000000000000007</v>
      </c>
      <c r="AB68" s="1">
        <v>7.4</v>
      </c>
      <c r="AC68" s="1">
        <v>8.1999999999999993</v>
      </c>
      <c r="AD68" s="1"/>
      <c r="AE68" s="1">
        <f t="shared" si="18"/>
        <v>7.9559999999999977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124</v>
      </c>
      <c r="B69" s="1" t="s">
        <v>49</v>
      </c>
      <c r="C69" s="1">
        <v>88</v>
      </c>
      <c r="D69" s="1">
        <v>14</v>
      </c>
      <c r="E69" s="22">
        <f>60+E87</f>
        <v>68</v>
      </c>
      <c r="F69" s="22">
        <f>32+F87</f>
        <v>24</v>
      </c>
      <c r="G69" s="8">
        <v>0.17</v>
      </c>
      <c r="H69" s="1">
        <v>180</v>
      </c>
      <c r="I69" s="1" t="s">
        <v>36</v>
      </c>
      <c r="J69" s="1"/>
      <c r="K69" s="1"/>
      <c r="L69" s="1">
        <f t="shared" si="11"/>
        <v>68</v>
      </c>
      <c r="M69" s="1"/>
      <c r="N69" s="1"/>
      <c r="O69" s="1"/>
      <c r="P69" s="1">
        <f t="shared" si="12"/>
        <v>13.6</v>
      </c>
      <c r="Q69" s="5">
        <f>11*P69-F69</f>
        <v>125.6</v>
      </c>
      <c r="R69" s="5"/>
      <c r="S69" s="1"/>
      <c r="T69" s="1">
        <f t="shared" si="13"/>
        <v>11</v>
      </c>
      <c r="U69" s="1">
        <f t="shared" si="14"/>
        <v>1.7647058823529411</v>
      </c>
      <c r="V69" s="1">
        <v>48</v>
      </c>
      <c r="W69" s="1">
        <v>20</v>
      </c>
      <c r="X69" s="1">
        <v>38</v>
      </c>
      <c r="Y69" s="1">
        <v>26.2</v>
      </c>
      <c r="Z69" s="1">
        <v>14.2</v>
      </c>
      <c r="AA69" s="1">
        <v>13.2</v>
      </c>
      <c r="AB69" s="1">
        <v>0</v>
      </c>
      <c r="AC69" s="1">
        <v>1</v>
      </c>
      <c r="AD69" s="1"/>
      <c r="AE69" s="1">
        <f t="shared" si="18"/>
        <v>21.352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3" t="s">
        <v>125</v>
      </c>
      <c r="B70" s="1" t="s">
        <v>35</v>
      </c>
      <c r="C70" s="1"/>
      <c r="D70" s="1"/>
      <c r="E70" s="1"/>
      <c r="F70" s="1"/>
      <c r="G70" s="8">
        <v>1</v>
      </c>
      <c r="H70" s="1"/>
      <c r="I70" s="1" t="s">
        <v>39</v>
      </c>
      <c r="J70" s="1"/>
      <c r="K70" s="1"/>
      <c r="L70" s="1">
        <f t="shared" ref="L70:L87" si="20">E70-K70</f>
        <v>0</v>
      </c>
      <c r="M70" s="1"/>
      <c r="N70" s="1"/>
      <c r="O70" s="1"/>
      <c r="P70" s="1">
        <f t="shared" ref="P70:P87" si="21">E70/5</f>
        <v>0</v>
      </c>
      <c r="Q70" s="5"/>
      <c r="R70" s="5"/>
      <c r="S70" s="1"/>
      <c r="T70" s="1" t="e">
        <f t="shared" ref="T70:T87" si="22">(F70+Q70)/P70</f>
        <v>#DIV/0!</v>
      </c>
      <c r="U70" s="1" t="e">
        <f t="shared" ref="U70:U87" si="23">F70/P70</f>
        <v>#DIV/0!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4" t="s">
        <v>126</v>
      </c>
      <c r="AE70" s="1">
        <f t="shared" si="18"/>
        <v>0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3" t="s">
        <v>127</v>
      </c>
      <c r="B71" s="1" t="s">
        <v>49</v>
      </c>
      <c r="C71" s="1"/>
      <c r="D71" s="1"/>
      <c r="E71" s="1"/>
      <c r="F71" s="1"/>
      <c r="G71" s="8">
        <v>0.4</v>
      </c>
      <c r="H71" s="1"/>
      <c r="I71" s="1" t="s">
        <v>39</v>
      </c>
      <c r="J71" s="1"/>
      <c r="K71" s="1"/>
      <c r="L71" s="1">
        <f t="shared" si="20"/>
        <v>0</v>
      </c>
      <c r="M71" s="1"/>
      <c r="N71" s="1"/>
      <c r="O71" s="1"/>
      <c r="P71" s="1">
        <f t="shared" si="21"/>
        <v>0</v>
      </c>
      <c r="Q71" s="5"/>
      <c r="R71" s="5"/>
      <c r="S71" s="1"/>
      <c r="T71" s="1" t="e">
        <f t="shared" si="22"/>
        <v>#DIV/0!</v>
      </c>
      <c r="U71" s="1" t="e">
        <f t="shared" si="23"/>
        <v>#DIV/0!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4" t="s">
        <v>128</v>
      </c>
      <c r="AE71" s="1">
        <f t="shared" si="18"/>
        <v>0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3" t="s">
        <v>129</v>
      </c>
      <c r="B72" s="1" t="s">
        <v>35</v>
      </c>
      <c r="C72" s="1"/>
      <c r="D72" s="1"/>
      <c r="E72" s="1"/>
      <c r="F72" s="1"/>
      <c r="G72" s="8">
        <v>1</v>
      </c>
      <c r="H72" s="1"/>
      <c r="I72" s="1" t="s">
        <v>39</v>
      </c>
      <c r="J72" s="1"/>
      <c r="K72" s="1"/>
      <c r="L72" s="1">
        <f t="shared" si="20"/>
        <v>0</v>
      </c>
      <c r="M72" s="1"/>
      <c r="N72" s="1"/>
      <c r="O72" s="1"/>
      <c r="P72" s="1">
        <f t="shared" si="21"/>
        <v>0</v>
      </c>
      <c r="Q72" s="5"/>
      <c r="R72" s="5"/>
      <c r="S72" s="1"/>
      <c r="T72" s="1" t="e">
        <f t="shared" si="22"/>
        <v>#DIV/0!</v>
      </c>
      <c r="U72" s="1" t="e">
        <f t="shared" si="23"/>
        <v>#DIV/0!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4" t="s">
        <v>130</v>
      </c>
      <c r="AE72" s="1">
        <f t="shared" si="18"/>
        <v>0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9" t="s">
        <v>131</v>
      </c>
      <c r="B73" s="19" t="s">
        <v>35</v>
      </c>
      <c r="C73" s="19">
        <v>-36.652000000000001</v>
      </c>
      <c r="D73" s="19">
        <v>36.652000000000001</v>
      </c>
      <c r="E73" s="22">
        <v>35.655999999999999</v>
      </c>
      <c r="F73" s="22">
        <v>-35.655999999999999</v>
      </c>
      <c r="G73" s="20">
        <v>0</v>
      </c>
      <c r="H73" s="19"/>
      <c r="I73" s="19" t="s">
        <v>132</v>
      </c>
      <c r="J73" s="19" t="s">
        <v>47</v>
      </c>
      <c r="K73" s="19"/>
      <c r="L73" s="19">
        <f t="shared" si="20"/>
        <v>35.655999999999999</v>
      </c>
      <c r="M73" s="19"/>
      <c r="N73" s="19"/>
      <c r="O73" s="19"/>
      <c r="P73" s="19">
        <f t="shared" si="21"/>
        <v>7.1311999999999998</v>
      </c>
      <c r="Q73" s="21"/>
      <c r="R73" s="21"/>
      <c r="S73" s="19"/>
      <c r="T73" s="19">
        <f t="shared" si="22"/>
        <v>-5</v>
      </c>
      <c r="U73" s="19">
        <f t="shared" si="23"/>
        <v>-5</v>
      </c>
      <c r="V73" s="19">
        <v>14.667400000000001</v>
      </c>
      <c r="W73" s="19">
        <v>2.9072</v>
      </c>
      <c r="X73" s="19">
        <v>1.8928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/>
      <c r="AE73" s="19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9" t="s">
        <v>133</v>
      </c>
      <c r="B74" s="19" t="s">
        <v>49</v>
      </c>
      <c r="C74" s="19">
        <v>-21</v>
      </c>
      <c r="D74" s="19">
        <v>44</v>
      </c>
      <c r="E74" s="22">
        <v>67</v>
      </c>
      <c r="F74" s="22">
        <v>-44</v>
      </c>
      <c r="G74" s="20">
        <v>0</v>
      </c>
      <c r="H74" s="19"/>
      <c r="I74" s="19" t="s">
        <v>132</v>
      </c>
      <c r="J74" s="19" t="s">
        <v>48</v>
      </c>
      <c r="K74" s="19"/>
      <c r="L74" s="19">
        <f t="shared" si="20"/>
        <v>67</v>
      </c>
      <c r="M74" s="19"/>
      <c r="N74" s="19"/>
      <c r="O74" s="19"/>
      <c r="P74" s="19">
        <f t="shared" si="21"/>
        <v>13.4</v>
      </c>
      <c r="Q74" s="21"/>
      <c r="R74" s="21"/>
      <c r="S74" s="19"/>
      <c r="T74" s="19">
        <f t="shared" si="22"/>
        <v>-3.2835820895522385</v>
      </c>
      <c r="U74" s="19">
        <f t="shared" si="23"/>
        <v>-3.2835820895522385</v>
      </c>
      <c r="V74" s="19">
        <v>17.8</v>
      </c>
      <c r="W74" s="19">
        <v>12.2</v>
      </c>
      <c r="X74" s="19">
        <v>10.199999999999999</v>
      </c>
      <c r="Y74" s="19">
        <v>0</v>
      </c>
      <c r="Z74" s="19">
        <v>0</v>
      </c>
      <c r="AA74" s="19">
        <v>0.6</v>
      </c>
      <c r="AB74" s="19">
        <v>0</v>
      </c>
      <c r="AC74" s="19">
        <v>0</v>
      </c>
      <c r="AD74" s="19"/>
      <c r="AE74" s="19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9" t="s">
        <v>134</v>
      </c>
      <c r="B75" s="19" t="s">
        <v>35</v>
      </c>
      <c r="C75" s="19">
        <v>-15.036</v>
      </c>
      <c r="D75" s="19">
        <v>25.468</v>
      </c>
      <c r="E75" s="22">
        <v>33.64</v>
      </c>
      <c r="F75" s="22">
        <v>-23.207999999999998</v>
      </c>
      <c r="G75" s="20">
        <v>0</v>
      </c>
      <c r="H75" s="19"/>
      <c r="I75" s="19" t="s">
        <v>132</v>
      </c>
      <c r="J75" s="19" t="s">
        <v>59</v>
      </c>
      <c r="K75" s="19"/>
      <c r="L75" s="19">
        <f t="shared" si="20"/>
        <v>33.64</v>
      </c>
      <c r="M75" s="19"/>
      <c r="N75" s="19"/>
      <c r="O75" s="19"/>
      <c r="P75" s="19">
        <f t="shared" si="21"/>
        <v>6.7279999999999998</v>
      </c>
      <c r="Q75" s="21"/>
      <c r="R75" s="21"/>
      <c r="S75" s="19"/>
      <c r="T75" s="19">
        <f t="shared" si="22"/>
        <v>-3.4494649227110581</v>
      </c>
      <c r="U75" s="19">
        <f t="shared" si="23"/>
        <v>-3.4494649227110581</v>
      </c>
      <c r="V75" s="19">
        <v>5.9972000000000003</v>
      </c>
      <c r="W75" s="19">
        <v>3.8441999999999998</v>
      </c>
      <c r="X75" s="19">
        <v>3.5344000000000002</v>
      </c>
      <c r="Y75" s="19">
        <v>2.6882000000000001</v>
      </c>
      <c r="Z75" s="19">
        <v>4.4960000000000004</v>
      </c>
      <c r="AA75" s="19">
        <v>2.9182000000000001</v>
      </c>
      <c r="AB75" s="19">
        <v>7.8639999999999999</v>
      </c>
      <c r="AC75" s="19">
        <v>1.468</v>
      </c>
      <c r="AD75" s="19"/>
      <c r="AE75" s="19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9" t="s">
        <v>135</v>
      </c>
      <c r="B76" s="19" t="s">
        <v>49</v>
      </c>
      <c r="C76" s="19">
        <v>-11</v>
      </c>
      <c r="D76" s="19">
        <v>27</v>
      </c>
      <c r="E76" s="22">
        <v>48</v>
      </c>
      <c r="F76" s="22">
        <v>-32</v>
      </c>
      <c r="G76" s="20">
        <v>0</v>
      </c>
      <c r="H76" s="19"/>
      <c r="I76" s="19" t="s">
        <v>132</v>
      </c>
      <c r="J76" s="19" t="s">
        <v>60</v>
      </c>
      <c r="K76" s="19"/>
      <c r="L76" s="19">
        <f t="shared" si="20"/>
        <v>48</v>
      </c>
      <c r="M76" s="19"/>
      <c r="N76" s="19"/>
      <c r="O76" s="19"/>
      <c r="P76" s="19">
        <f t="shared" si="21"/>
        <v>9.6</v>
      </c>
      <c r="Q76" s="21"/>
      <c r="R76" s="21"/>
      <c r="S76" s="19"/>
      <c r="T76" s="19">
        <f t="shared" si="22"/>
        <v>-3.3333333333333335</v>
      </c>
      <c r="U76" s="19">
        <f t="shared" si="23"/>
        <v>-3.3333333333333335</v>
      </c>
      <c r="V76" s="19">
        <v>12.4</v>
      </c>
      <c r="W76" s="19">
        <v>4</v>
      </c>
      <c r="X76" s="19">
        <v>5.6</v>
      </c>
      <c r="Y76" s="19">
        <v>4.5999999999999996</v>
      </c>
      <c r="Z76" s="19">
        <v>3.8</v>
      </c>
      <c r="AA76" s="19">
        <v>5</v>
      </c>
      <c r="AB76" s="19">
        <v>2.8</v>
      </c>
      <c r="AC76" s="19">
        <v>0</v>
      </c>
      <c r="AD76" s="19"/>
      <c r="AE76" s="19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9" t="s">
        <v>136</v>
      </c>
      <c r="B77" s="19" t="s">
        <v>49</v>
      </c>
      <c r="C77" s="19">
        <v>-2.7309999999999999</v>
      </c>
      <c r="D77" s="19">
        <v>16.236999999999998</v>
      </c>
      <c r="E77" s="22">
        <v>26.706</v>
      </c>
      <c r="F77" s="22">
        <v>-13.2</v>
      </c>
      <c r="G77" s="20">
        <v>0</v>
      </c>
      <c r="H77" s="19"/>
      <c r="I77" s="19" t="s">
        <v>132</v>
      </c>
      <c r="J77" s="19" t="s">
        <v>62</v>
      </c>
      <c r="K77" s="19"/>
      <c r="L77" s="19">
        <f t="shared" si="20"/>
        <v>26.706</v>
      </c>
      <c r="M77" s="19"/>
      <c r="N77" s="19"/>
      <c r="O77" s="19"/>
      <c r="P77" s="19">
        <f t="shared" si="21"/>
        <v>5.3411999999999997</v>
      </c>
      <c r="Q77" s="21"/>
      <c r="R77" s="21"/>
      <c r="S77" s="19"/>
      <c r="T77" s="19">
        <f t="shared" si="22"/>
        <v>-2.4713547517411816</v>
      </c>
      <c r="U77" s="19">
        <f t="shared" si="23"/>
        <v>-2.4713547517411816</v>
      </c>
      <c r="V77" s="19">
        <v>4.5327999999999999</v>
      </c>
      <c r="W77" s="19">
        <v>1.9086000000000001</v>
      </c>
      <c r="X77" s="19">
        <v>3.827</v>
      </c>
      <c r="Y77" s="19">
        <v>4.0415999999999999</v>
      </c>
      <c r="Z77" s="19">
        <v>4.8746</v>
      </c>
      <c r="AA77" s="19">
        <v>2.7988</v>
      </c>
      <c r="AB77" s="19">
        <v>2.4306000000000001</v>
      </c>
      <c r="AC77" s="19">
        <v>3.5232000000000001</v>
      </c>
      <c r="AD77" s="19"/>
      <c r="AE77" s="19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9" t="s">
        <v>137</v>
      </c>
      <c r="B78" s="19"/>
      <c r="C78" s="19">
        <v>-1.357</v>
      </c>
      <c r="D78" s="19">
        <v>1.357</v>
      </c>
      <c r="E78" s="19"/>
      <c r="F78" s="19"/>
      <c r="G78" s="20">
        <v>0</v>
      </c>
      <c r="H78" s="19"/>
      <c r="I78" s="19" t="s">
        <v>132</v>
      </c>
      <c r="J78" s="19" t="s">
        <v>70</v>
      </c>
      <c r="K78" s="19"/>
      <c r="L78" s="19">
        <f t="shared" si="20"/>
        <v>0</v>
      </c>
      <c r="M78" s="19"/>
      <c r="N78" s="19"/>
      <c r="O78" s="19"/>
      <c r="P78" s="19">
        <f t="shared" si="21"/>
        <v>0</v>
      </c>
      <c r="Q78" s="21"/>
      <c r="R78" s="21"/>
      <c r="S78" s="19"/>
      <c r="T78" s="19" t="e">
        <f t="shared" si="22"/>
        <v>#DIV/0!</v>
      </c>
      <c r="U78" s="19" t="e">
        <f t="shared" si="23"/>
        <v>#DIV/0!</v>
      </c>
      <c r="V78" s="19">
        <v>10.647</v>
      </c>
      <c r="W78" s="19">
        <v>10.202999999999999</v>
      </c>
      <c r="X78" s="19">
        <v>9.1456</v>
      </c>
      <c r="Y78" s="19">
        <v>0.27539999999999998</v>
      </c>
      <c r="Z78" s="19">
        <v>0</v>
      </c>
      <c r="AA78" s="19">
        <v>0</v>
      </c>
      <c r="AB78" s="19">
        <v>0</v>
      </c>
      <c r="AC78" s="19">
        <v>0</v>
      </c>
      <c r="AD78" s="19"/>
      <c r="AE78" s="19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9" t="s">
        <v>138</v>
      </c>
      <c r="B79" s="19" t="s">
        <v>35</v>
      </c>
      <c r="C79" s="19">
        <v>-35.328000000000003</v>
      </c>
      <c r="D79" s="19">
        <v>63.103000000000002</v>
      </c>
      <c r="E79" s="22">
        <v>75.308999999999997</v>
      </c>
      <c r="F79" s="22">
        <v>-47.533999999999999</v>
      </c>
      <c r="G79" s="20">
        <v>0</v>
      </c>
      <c r="H79" s="19"/>
      <c r="I79" s="19" t="s">
        <v>132</v>
      </c>
      <c r="J79" s="19" t="s">
        <v>75</v>
      </c>
      <c r="K79" s="19"/>
      <c r="L79" s="19">
        <f t="shared" si="20"/>
        <v>75.308999999999997</v>
      </c>
      <c r="M79" s="19"/>
      <c r="N79" s="19"/>
      <c r="O79" s="19"/>
      <c r="P79" s="19">
        <f t="shared" si="21"/>
        <v>15.0618</v>
      </c>
      <c r="Q79" s="21"/>
      <c r="R79" s="21"/>
      <c r="S79" s="19"/>
      <c r="T79" s="19">
        <f t="shared" si="22"/>
        <v>-3.1559308980334357</v>
      </c>
      <c r="U79" s="19">
        <f t="shared" si="23"/>
        <v>-3.1559308980334357</v>
      </c>
      <c r="V79" s="19">
        <v>22.713799999999999</v>
      </c>
      <c r="W79" s="19">
        <v>22.5656</v>
      </c>
      <c r="X79" s="19">
        <v>5.9862000000000002</v>
      </c>
      <c r="Y79" s="19">
        <v>17.9696</v>
      </c>
      <c r="Z79" s="19">
        <v>10.4818</v>
      </c>
      <c r="AA79" s="19">
        <v>15.156599999999999</v>
      </c>
      <c r="AB79" s="19">
        <v>17.712</v>
      </c>
      <c r="AC79" s="19">
        <v>16.5352</v>
      </c>
      <c r="AD79" s="19"/>
      <c r="AE79" s="19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9" t="s">
        <v>139</v>
      </c>
      <c r="B80" s="19" t="s">
        <v>35</v>
      </c>
      <c r="C80" s="19">
        <v>-12.35</v>
      </c>
      <c r="D80" s="19">
        <v>29.492000000000001</v>
      </c>
      <c r="E80" s="22">
        <v>76.334000000000003</v>
      </c>
      <c r="F80" s="22">
        <v>-59.192</v>
      </c>
      <c r="G80" s="20">
        <v>0</v>
      </c>
      <c r="H80" s="19"/>
      <c r="I80" s="19" t="s">
        <v>132</v>
      </c>
      <c r="J80" s="19" t="s">
        <v>77</v>
      </c>
      <c r="K80" s="19"/>
      <c r="L80" s="19">
        <f t="shared" si="20"/>
        <v>76.334000000000003</v>
      </c>
      <c r="M80" s="19"/>
      <c r="N80" s="19"/>
      <c r="O80" s="19"/>
      <c r="P80" s="19">
        <f t="shared" si="21"/>
        <v>15.2668</v>
      </c>
      <c r="Q80" s="21"/>
      <c r="R80" s="21"/>
      <c r="S80" s="19"/>
      <c r="T80" s="19">
        <f t="shared" si="22"/>
        <v>-3.877171378415909</v>
      </c>
      <c r="U80" s="19">
        <f t="shared" si="23"/>
        <v>-3.877171378415909</v>
      </c>
      <c r="V80" s="19">
        <v>12.8902</v>
      </c>
      <c r="W80" s="19">
        <v>20.431999999999999</v>
      </c>
      <c r="X80" s="19">
        <v>8.9253999999999998</v>
      </c>
      <c r="Y80" s="19">
        <v>6.9833999999999996</v>
      </c>
      <c r="Z80" s="19">
        <v>18.848600000000001</v>
      </c>
      <c r="AA80" s="19">
        <v>10.808999999999999</v>
      </c>
      <c r="AB80" s="19">
        <v>6.4495999999999993</v>
      </c>
      <c r="AC80" s="19">
        <v>21.395199999999999</v>
      </c>
      <c r="AD80" s="19"/>
      <c r="AE80" s="19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9" t="s">
        <v>140</v>
      </c>
      <c r="B81" s="19" t="s">
        <v>35</v>
      </c>
      <c r="C81" s="19">
        <v>-9.9870000000000001</v>
      </c>
      <c r="D81" s="19">
        <v>17.529</v>
      </c>
      <c r="E81" s="22">
        <v>85.501999999999995</v>
      </c>
      <c r="F81" s="22">
        <v>-77.959999999999994</v>
      </c>
      <c r="G81" s="20">
        <v>0</v>
      </c>
      <c r="H81" s="19"/>
      <c r="I81" s="19" t="s">
        <v>132</v>
      </c>
      <c r="J81" s="19" t="s">
        <v>78</v>
      </c>
      <c r="K81" s="19"/>
      <c r="L81" s="19">
        <f t="shared" si="20"/>
        <v>85.501999999999995</v>
      </c>
      <c r="M81" s="19"/>
      <c r="N81" s="19"/>
      <c r="O81" s="19"/>
      <c r="P81" s="19">
        <f t="shared" si="21"/>
        <v>17.1004</v>
      </c>
      <c r="Q81" s="21"/>
      <c r="R81" s="21"/>
      <c r="S81" s="19"/>
      <c r="T81" s="19">
        <f t="shared" si="22"/>
        <v>-4.5589576852003457</v>
      </c>
      <c r="U81" s="19">
        <f t="shared" si="23"/>
        <v>-4.5589576852003457</v>
      </c>
      <c r="V81" s="19">
        <v>14.0458</v>
      </c>
      <c r="W81" s="19">
        <v>19.425999999999998</v>
      </c>
      <c r="X81" s="19">
        <v>9.0058000000000007</v>
      </c>
      <c r="Y81" s="19">
        <v>11.494400000000001</v>
      </c>
      <c r="Z81" s="19">
        <v>11.0708</v>
      </c>
      <c r="AA81" s="19">
        <v>3.9773999999999998</v>
      </c>
      <c r="AB81" s="19">
        <v>11.007199999999999</v>
      </c>
      <c r="AC81" s="19">
        <v>11.8918</v>
      </c>
      <c r="AD81" s="19"/>
      <c r="AE81" s="19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9" t="s">
        <v>141</v>
      </c>
      <c r="B82" s="19" t="s">
        <v>49</v>
      </c>
      <c r="C82" s="19">
        <v>-11</v>
      </c>
      <c r="D82" s="19">
        <v>47</v>
      </c>
      <c r="E82" s="22">
        <v>55</v>
      </c>
      <c r="F82" s="22">
        <v>-19</v>
      </c>
      <c r="G82" s="20">
        <v>0</v>
      </c>
      <c r="H82" s="19"/>
      <c r="I82" s="19" t="s">
        <v>132</v>
      </c>
      <c r="J82" s="19" t="s">
        <v>79</v>
      </c>
      <c r="K82" s="19"/>
      <c r="L82" s="19">
        <f t="shared" si="20"/>
        <v>55</v>
      </c>
      <c r="M82" s="19"/>
      <c r="N82" s="19"/>
      <c r="O82" s="19"/>
      <c r="P82" s="19">
        <f t="shared" si="21"/>
        <v>11</v>
      </c>
      <c r="Q82" s="21"/>
      <c r="R82" s="21"/>
      <c r="S82" s="19"/>
      <c r="T82" s="19">
        <f t="shared" si="22"/>
        <v>-1.7272727272727273</v>
      </c>
      <c r="U82" s="19">
        <f t="shared" si="23"/>
        <v>-1.7272727272727273</v>
      </c>
      <c r="V82" s="19">
        <v>6</v>
      </c>
      <c r="W82" s="19">
        <v>4.8</v>
      </c>
      <c r="X82" s="19">
        <v>6</v>
      </c>
      <c r="Y82" s="19">
        <v>4.2</v>
      </c>
      <c r="Z82" s="19">
        <v>4.2</v>
      </c>
      <c r="AA82" s="19">
        <v>4.5999999999999996</v>
      </c>
      <c r="AB82" s="19">
        <v>3.4</v>
      </c>
      <c r="AC82" s="19">
        <v>5.8</v>
      </c>
      <c r="AD82" s="19"/>
      <c r="AE82" s="19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9" t="s">
        <v>142</v>
      </c>
      <c r="B83" s="19" t="s">
        <v>35</v>
      </c>
      <c r="C83" s="19">
        <v>-37.732999999999997</v>
      </c>
      <c r="D83" s="19">
        <v>54.795999999999999</v>
      </c>
      <c r="E83" s="22">
        <v>74.87</v>
      </c>
      <c r="F83" s="22">
        <v>-57.807000000000002</v>
      </c>
      <c r="G83" s="20">
        <v>0</v>
      </c>
      <c r="H83" s="19"/>
      <c r="I83" s="19" t="s">
        <v>132</v>
      </c>
      <c r="J83" s="19" t="s">
        <v>80</v>
      </c>
      <c r="K83" s="19"/>
      <c r="L83" s="19">
        <f t="shared" si="20"/>
        <v>74.87</v>
      </c>
      <c r="M83" s="19"/>
      <c r="N83" s="19"/>
      <c r="O83" s="19"/>
      <c r="P83" s="19">
        <f t="shared" si="21"/>
        <v>14.974</v>
      </c>
      <c r="Q83" s="21"/>
      <c r="R83" s="21"/>
      <c r="S83" s="19"/>
      <c r="T83" s="19">
        <f t="shared" si="22"/>
        <v>-3.8604915186322959</v>
      </c>
      <c r="U83" s="19">
        <f t="shared" si="23"/>
        <v>-3.8604915186322959</v>
      </c>
      <c r="V83" s="19">
        <v>17.078399999999998</v>
      </c>
      <c r="W83" s="19">
        <v>13.618</v>
      </c>
      <c r="X83" s="19">
        <v>14.2874</v>
      </c>
      <c r="Y83" s="19">
        <v>9.9111999999999991</v>
      </c>
      <c r="Z83" s="19">
        <v>4.9882</v>
      </c>
      <c r="AA83" s="19">
        <v>19.619199999999999</v>
      </c>
      <c r="AB83" s="19">
        <v>6.1630000000000003</v>
      </c>
      <c r="AC83" s="19">
        <v>16.0258</v>
      </c>
      <c r="AD83" s="19"/>
      <c r="AE83" s="19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9" t="s">
        <v>143</v>
      </c>
      <c r="B84" s="19" t="s">
        <v>35</v>
      </c>
      <c r="C84" s="19">
        <v>-54.972000000000001</v>
      </c>
      <c r="D84" s="19">
        <v>91.247</v>
      </c>
      <c r="E84" s="22">
        <v>150.678</v>
      </c>
      <c r="F84" s="22">
        <v>-114.40300000000001</v>
      </c>
      <c r="G84" s="20">
        <v>0</v>
      </c>
      <c r="H84" s="19"/>
      <c r="I84" s="19" t="s">
        <v>132</v>
      </c>
      <c r="J84" s="19" t="s">
        <v>84</v>
      </c>
      <c r="K84" s="19"/>
      <c r="L84" s="19">
        <f t="shared" si="20"/>
        <v>150.678</v>
      </c>
      <c r="M84" s="19"/>
      <c r="N84" s="19"/>
      <c r="O84" s="19"/>
      <c r="P84" s="19">
        <f t="shared" si="21"/>
        <v>30.1356</v>
      </c>
      <c r="Q84" s="21"/>
      <c r="R84" s="21"/>
      <c r="S84" s="19"/>
      <c r="T84" s="19">
        <f t="shared" si="22"/>
        <v>-3.7962741740665527</v>
      </c>
      <c r="U84" s="19">
        <f t="shared" si="23"/>
        <v>-3.7962741740665527</v>
      </c>
      <c r="V84" s="19">
        <v>25.595800000000001</v>
      </c>
      <c r="W84" s="19">
        <v>31.2712</v>
      </c>
      <c r="X84" s="19">
        <v>27.218800000000002</v>
      </c>
      <c r="Y84" s="19">
        <v>19.559799999999999</v>
      </c>
      <c r="Z84" s="19">
        <v>29.203199999999999</v>
      </c>
      <c r="AA84" s="19">
        <v>31.249600000000001</v>
      </c>
      <c r="AB84" s="19">
        <v>21.385200000000001</v>
      </c>
      <c r="AC84" s="19">
        <v>27.7514</v>
      </c>
      <c r="AD84" s="19"/>
      <c r="AE84" s="19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9" t="s">
        <v>144</v>
      </c>
      <c r="B85" s="19" t="s">
        <v>49</v>
      </c>
      <c r="C85" s="19">
        <v>-83</v>
      </c>
      <c r="D85" s="19">
        <v>133</v>
      </c>
      <c r="E85" s="22">
        <v>159</v>
      </c>
      <c r="F85" s="22">
        <v>-109</v>
      </c>
      <c r="G85" s="20">
        <v>0</v>
      </c>
      <c r="H85" s="19"/>
      <c r="I85" s="19" t="s">
        <v>132</v>
      </c>
      <c r="J85" s="19" t="s">
        <v>89</v>
      </c>
      <c r="K85" s="19"/>
      <c r="L85" s="19">
        <f t="shared" si="20"/>
        <v>159</v>
      </c>
      <c r="M85" s="19"/>
      <c r="N85" s="19"/>
      <c r="O85" s="19"/>
      <c r="P85" s="19">
        <f t="shared" si="21"/>
        <v>31.8</v>
      </c>
      <c r="Q85" s="21"/>
      <c r="R85" s="21"/>
      <c r="S85" s="19"/>
      <c r="T85" s="19">
        <f t="shared" si="22"/>
        <v>-3.4276729559748427</v>
      </c>
      <c r="U85" s="19">
        <f t="shared" si="23"/>
        <v>-3.4276729559748427</v>
      </c>
      <c r="V85" s="19">
        <v>18.2</v>
      </c>
      <c r="W85" s="19">
        <v>16.600000000000001</v>
      </c>
      <c r="X85" s="19">
        <v>15</v>
      </c>
      <c r="Y85" s="19">
        <v>15</v>
      </c>
      <c r="Z85" s="19">
        <v>20.399999999999999</v>
      </c>
      <c r="AA85" s="19">
        <v>12</v>
      </c>
      <c r="AB85" s="19">
        <v>12.2</v>
      </c>
      <c r="AC85" s="19">
        <v>14.2</v>
      </c>
      <c r="AD85" s="19"/>
      <c r="AE85" s="19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9" t="s">
        <v>145</v>
      </c>
      <c r="B86" s="19" t="s">
        <v>35</v>
      </c>
      <c r="C86" s="19">
        <v>-33.957000000000001</v>
      </c>
      <c r="D86" s="19">
        <v>71.378</v>
      </c>
      <c r="E86" s="22">
        <v>118.01300000000001</v>
      </c>
      <c r="F86" s="22">
        <v>-80.591999999999999</v>
      </c>
      <c r="G86" s="20">
        <v>0</v>
      </c>
      <c r="H86" s="19"/>
      <c r="I86" s="19" t="s">
        <v>132</v>
      </c>
      <c r="J86" s="19" t="s">
        <v>100</v>
      </c>
      <c r="K86" s="19"/>
      <c r="L86" s="19">
        <f t="shared" si="20"/>
        <v>118.01300000000001</v>
      </c>
      <c r="M86" s="19"/>
      <c r="N86" s="19"/>
      <c r="O86" s="19"/>
      <c r="P86" s="19">
        <f t="shared" si="21"/>
        <v>23.602600000000002</v>
      </c>
      <c r="Q86" s="21"/>
      <c r="R86" s="21"/>
      <c r="S86" s="19"/>
      <c r="T86" s="19">
        <f t="shared" si="22"/>
        <v>-3.4145390762034689</v>
      </c>
      <c r="U86" s="19">
        <f t="shared" si="23"/>
        <v>-3.4145390762034689</v>
      </c>
      <c r="V86" s="19">
        <v>35.102400000000003</v>
      </c>
      <c r="W86" s="19">
        <v>20.221800000000002</v>
      </c>
      <c r="X86" s="19">
        <v>20.9376</v>
      </c>
      <c r="Y86" s="19">
        <v>19.411000000000001</v>
      </c>
      <c r="Z86" s="19">
        <v>24.3324</v>
      </c>
      <c r="AA86" s="19">
        <v>15.116400000000001</v>
      </c>
      <c r="AB86" s="19">
        <v>25.166599999999999</v>
      </c>
      <c r="AC86" s="19">
        <v>20.013000000000002</v>
      </c>
      <c r="AD86" s="19"/>
      <c r="AE86" s="19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9" t="s">
        <v>146</v>
      </c>
      <c r="B87" s="19" t="s">
        <v>49</v>
      </c>
      <c r="C87" s="19">
        <v>-4</v>
      </c>
      <c r="D87" s="19">
        <v>4</v>
      </c>
      <c r="E87" s="22">
        <v>8</v>
      </c>
      <c r="F87" s="22">
        <v>-8</v>
      </c>
      <c r="G87" s="20">
        <v>0</v>
      </c>
      <c r="H87" s="19"/>
      <c r="I87" s="19" t="s">
        <v>132</v>
      </c>
      <c r="J87" s="19" t="s">
        <v>124</v>
      </c>
      <c r="K87" s="19"/>
      <c r="L87" s="19">
        <f t="shared" si="20"/>
        <v>8</v>
      </c>
      <c r="M87" s="19"/>
      <c r="N87" s="19"/>
      <c r="O87" s="19"/>
      <c r="P87" s="19">
        <f t="shared" si="21"/>
        <v>1.6</v>
      </c>
      <c r="Q87" s="21"/>
      <c r="R87" s="21"/>
      <c r="S87" s="19"/>
      <c r="T87" s="19">
        <f t="shared" si="22"/>
        <v>-5</v>
      </c>
      <c r="U87" s="19">
        <f t="shared" si="23"/>
        <v>-5</v>
      </c>
      <c r="V87" s="19">
        <v>8</v>
      </c>
      <c r="W87" s="19">
        <v>3</v>
      </c>
      <c r="X87" s="19">
        <v>4</v>
      </c>
      <c r="Y87" s="19">
        <v>3</v>
      </c>
      <c r="Z87" s="19">
        <v>1.6</v>
      </c>
      <c r="AA87" s="19">
        <v>1.2</v>
      </c>
      <c r="AB87" s="19">
        <v>0</v>
      </c>
      <c r="AC87" s="19">
        <v>0</v>
      </c>
      <c r="AD87" s="19"/>
      <c r="AE87" s="19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98" spans="1:49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</sheetData>
  <autoFilter ref="A3:AE9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2026-01-15T13:09:47Z</dcterms:created>
  <dcterms:modified xsi:type="dcterms:W3CDTF">2026-01-15T13:47:23Z</dcterms:modified>
</cp:coreProperties>
</file>