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"/>
    </mc:Choice>
  </mc:AlternateContent>
  <xr:revisionPtr revIDLastSave="0" documentId="13_ncr:1_{13389E4D-946A-48A0-BF61-BC4CA5906E2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4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4" i="4" l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4" i="4"/>
  <c r="C34" i="4" l="1"/>
</calcChain>
</file>

<file path=xl/sharedStrings.xml><?xml version="1.0" encoding="utf-8"?>
<sst xmlns="http://schemas.openxmlformats.org/spreadsheetml/2006/main" count="64" uniqueCount="64">
  <si>
    <t>САЛЯМИ МЕЛКОЗЕРНЕНАЯ с/к в/у 1/120_60с (5682)</t>
  </si>
  <si>
    <t>4607958070862</t>
  </si>
  <si>
    <t>МЯСНАЯ Папа может вар п/о 0.4кг 8шт. (6333)</t>
  </si>
  <si>
    <t>4607958071616</t>
  </si>
  <si>
    <t>БАЛЫКОВАЯ Папа Может п/к в/у 0.31кг 8шт. (6665)</t>
  </si>
  <si>
    <t>4607958071968</t>
  </si>
  <si>
    <t>ЭКСТРА Папа может с/к в/у 1/250 8шт. (5483)</t>
  </si>
  <si>
    <t>4607958072026</t>
  </si>
  <si>
    <t>ВЕТЧ.МЯСНАЯ Папа может п/о 0.4кг 8шт. (3215)</t>
  </si>
  <si>
    <t>4607958072347</t>
  </si>
  <si>
    <t>СЕРВЕЛАТ ЗЕРНИСТЫЙ ПМ в/к в/у 0.35кг (6683)</t>
  </si>
  <si>
    <t>4607958072392</t>
  </si>
  <si>
    <t>ЭКСТРА Папа может вар п/о 0.4кг 8шт. (6353)</t>
  </si>
  <si>
    <t>4607958072477</t>
  </si>
  <si>
    <t>БЕКОН Останкино с/к с/н в/у 1/180 10шт. (6919)</t>
  </si>
  <si>
    <t>4607958072552</t>
  </si>
  <si>
    <t>ЧЕСНОЧНАЯ Папа может п/к в/у 0.35кг 8шт. (6676)</t>
  </si>
  <si>
    <t>4607958072590</t>
  </si>
  <si>
    <t>ФИЛЕЙНАЯ Папа может вар п/о 0.4кг (6392)</t>
  </si>
  <si>
    <t>4607958072682</t>
  </si>
  <si>
    <t>ДОКТОРСКАЯ ПРЕМИУМ вар п/о 0.4кг 8шт. (6325)</t>
  </si>
  <si>
    <t>4607958073665</t>
  </si>
  <si>
    <t>ОХОТНИЧЬЯ Папа может с/к в/у 1/220 8шт. (5931)</t>
  </si>
  <si>
    <t>4607958075461</t>
  </si>
  <si>
    <t>С СЫРОМ Папа может сос ц/о мгс 0.4кг 6шт (6475)</t>
  </si>
  <si>
    <t>4607958076024</t>
  </si>
  <si>
    <t>СОЧНЫЕ ПМ сос п/о мгс 0.41кг 10шт. (6722)</t>
  </si>
  <si>
    <t>4607958076031</t>
  </si>
  <si>
    <t>СОЧНЫЙ ГРИЛЬ ПМ сос п/о мгс 0.41кг 8шт. (6713)</t>
  </si>
  <si>
    <t>4607958076055</t>
  </si>
  <si>
    <t>СЛИВОЧНЫЕ ПМ сос п/о мгс 0.41кг 10шт. (6726)</t>
  </si>
  <si>
    <t>4607958076574</t>
  </si>
  <si>
    <t>НЕАПОЛИТАНСКИЙ ДУЭТ с/к с/н мгс 1/90 (6221)</t>
  </si>
  <si>
    <t>4607958076581</t>
  </si>
  <si>
    <t>ИТАЛЬЯНСКОЕ АССОРТИ с/в с/н мгс 1/90 (6222)</t>
  </si>
  <si>
    <t>4607958076598</t>
  </si>
  <si>
    <t>БАЛЫК И ШЕЙКА с/в с/н мгс 1/90 10шт. (6223)</t>
  </si>
  <si>
    <t>4607958076604</t>
  </si>
  <si>
    <t>МЯСНОЕ АССОРТИ к/з с/н мгс 1/90 10шт. (6228)</t>
  </si>
  <si>
    <t>4607958077441</t>
  </si>
  <si>
    <t>САЛЯМИ Папа может п/к в/у 0.28кг 8шт. (6773)</t>
  </si>
  <si>
    <t>4607958077687</t>
  </si>
  <si>
    <t>ДЫМОВИЦА ИЗ ЛОПАТКИ ПМ к/в с/н в/у 1/150 (6208)</t>
  </si>
  <si>
    <t>4607958077694</t>
  </si>
  <si>
    <t>ПОСОЛЬСКАЯ ПМ с/к с/н в/у 1/100 10шт. (6834)</t>
  </si>
  <si>
    <t>4607958077854</t>
  </si>
  <si>
    <t>МОЛОЧНЫЕ ПРЕМИУМ ПМ сос п/о мгс 0.6кг (6854)</t>
  </si>
  <si>
    <t>4607958078059</t>
  </si>
  <si>
    <t>ДЛЯ ДЕТЕЙ сос п/о мгс 0.33кг 8шт. (6909)</t>
  </si>
  <si>
    <t>4607958078172</t>
  </si>
  <si>
    <t>САЛЯМИ Папа может с/к в/у 1/250 8шт. (6937)</t>
  </si>
  <si>
    <t>4607958075638</t>
  </si>
  <si>
    <t>МЯСНАЯ СО ШПИКОМ вар п/о 0.5кг 8шт. (6337)</t>
  </si>
  <si>
    <t>4607958077014</t>
  </si>
  <si>
    <t>ХОТ-ДОГ Папа может сос п/о мгс 0.35кг (6776)</t>
  </si>
  <si>
    <t>4607958077380</t>
  </si>
  <si>
    <t>МРАМОРНАЯ И БАЛЫКОВАЯ в/к с/н мгс 1/90 (6586)</t>
  </si>
  <si>
    <t>4607958077373</t>
  </si>
  <si>
    <t>ОСТАНКИНСКАЯ вар п/о 0.4кг 8шт. (6801)</t>
  </si>
  <si>
    <t>Итого</t>
  </si>
  <si>
    <t>Товар</t>
  </si>
  <si>
    <t>Штрих код</t>
  </si>
  <si>
    <t>Заказ</t>
  </si>
  <si>
    <t>4601296003957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</si>
</sst>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0E83-A7DB-4EDF-A5BD-233865031161}">
  <dimension ref="A1:E34"/>
  <sheetViews>
    <sheetView tabSelected="1" workbookViewId="0">
      <pane xSplit="2" ySplit="2" topLeftCell="C3" activePane="bottomRight" state="frozen"/>
      <selection pane="topRight" activeCell="S1" sqref="S1"/>
      <selection pane="bottomLeft" activeCell="A3" sqref="A3"/>
      <selection pane="bottomRight" activeCell="I22" sqref="I22"/>
    </sheetView>
  </sheetViews>
  <sheetFormatPr defaultColWidth="10.5" defaultRowHeight="11.25" x14ac:dyDescent="0.2"/>
  <cols>
    <col min="1" max="1" width="52.83203125" style="1" customWidth="1"/>
    <col min="2" max="2" width="15.5" style="1" customWidth="1"/>
    <col min="3" max="3" width="8.5" style="1" customWidth="1"/>
  </cols>
  <sheetData>
    <row r="1" spans="1:5" ht="12.75" x14ac:dyDescent="0.2">
      <c r="A1" s="9" t="s">
        <v>60</v>
      </c>
      <c r="B1" s="9" t="s">
        <v>61</v>
      </c>
      <c r="C1" s="4"/>
    </row>
    <row r="2" spans="1:5" ht="12.75" x14ac:dyDescent="0.2">
      <c r="A2" s="10"/>
      <c r="B2" s="10"/>
      <c r="C2" s="3" t="s">
        <v>62</v>
      </c>
    </row>
    <row r="3" spans="1:5" ht="12.75" x14ac:dyDescent="0.2">
      <c r="A3" s="5"/>
      <c r="B3" s="5"/>
      <c r="C3" s="2"/>
    </row>
    <row r="4" spans="1:5" ht="15" customHeight="1" x14ac:dyDescent="0.2">
      <c r="A4" t="s">
        <v>36</v>
      </c>
      <c r="B4" s="6" t="s">
        <v>35</v>
      </c>
      <c r="C4" s="7">
        <v>286</v>
      </c>
      <c r="D4">
        <v>0.09</v>
      </c>
      <c r="E4">
        <f>D4*C4</f>
        <v>25.74</v>
      </c>
    </row>
    <row r="5" spans="1:5" ht="15" customHeight="1" x14ac:dyDescent="0.2">
      <c r="A5" t="s">
        <v>4</v>
      </c>
      <c r="B5" s="6" t="s">
        <v>3</v>
      </c>
      <c r="C5" s="7">
        <v>100</v>
      </c>
      <c r="D5">
        <v>0.31</v>
      </c>
      <c r="E5">
        <f t="shared" ref="E5:E33" si="0">D5*C5</f>
        <v>31</v>
      </c>
    </row>
    <row r="6" spans="1:5" ht="15" customHeight="1" x14ac:dyDescent="0.2">
      <c r="A6" t="s">
        <v>14</v>
      </c>
      <c r="B6" s="6" t="s">
        <v>13</v>
      </c>
      <c r="C6" s="7">
        <v>459</v>
      </c>
      <c r="D6">
        <v>0.18</v>
      </c>
      <c r="E6">
        <f t="shared" si="0"/>
        <v>82.61999999999999</v>
      </c>
    </row>
    <row r="7" spans="1:5" ht="15" customHeight="1" x14ac:dyDescent="0.2">
      <c r="A7" t="s">
        <v>8</v>
      </c>
      <c r="B7" s="6" t="s">
        <v>7</v>
      </c>
      <c r="C7" s="7">
        <v>144</v>
      </c>
      <c r="D7">
        <v>0.4</v>
      </c>
      <c r="E7">
        <f t="shared" si="0"/>
        <v>57.6</v>
      </c>
    </row>
    <row r="8" spans="1:5" ht="15" customHeight="1" x14ac:dyDescent="0.2">
      <c r="A8" t="s">
        <v>48</v>
      </c>
      <c r="B8" s="6" t="s">
        <v>47</v>
      </c>
      <c r="C8" s="7">
        <v>253</v>
      </c>
      <c r="D8">
        <v>0.33</v>
      </c>
      <c r="E8">
        <f t="shared" si="0"/>
        <v>83.490000000000009</v>
      </c>
    </row>
    <row r="9" spans="1:5" ht="15" customHeight="1" x14ac:dyDescent="0.2">
      <c r="A9" t="s">
        <v>20</v>
      </c>
      <c r="B9" s="6" t="s">
        <v>19</v>
      </c>
      <c r="C9" s="7">
        <v>398</v>
      </c>
      <c r="D9">
        <v>0.4</v>
      </c>
      <c r="E9">
        <f t="shared" si="0"/>
        <v>159.20000000000002</v>
      </c>
    </row>
    <row r="10" spans="1:5" ht="15" customHeight="1" x14ac:dyDescent="0.2">
      <c r="A10" t="s">
        <v>42</v>
      </c>
      <c r="B10" s="6" t="s">
        <v>41</v>
      </c>
      <c r="C10" s="7">
        <v>209</v>
      </c>
      <c r="D10">
        <v>0.15</v>
      </c>
      <c r="E10">
        <f t="shared" si="0"/>
        <v>31.349999999999998</v>
      </c>
    </row>
    <row r="11" spans="1:5" ht="15" customHeight="1" x14ac:dyDescent="0.2">
      <c r="A11" t="s">
        <v>34</v>
      </c>
      <c r="B11" s="6" t="s">
        <v>33</v>
      </c>
      <c r="C11" s="7">
        <v>289</v>
      </c>
      <c r="D11">
        <v>0.09</v>
      </c>
      <c r="E11">
        <f t="shared" si="0"/>
        <v>26.009999999999998</v>
      </c>
    </row>
    <row r="12" spans="1:5" ht="15" customHeight="1" x14ac:dyDescent="0.2">
      <c r="A12" t="s">
        <v>46</v>
      </c>
      <c r="B12" s="6" t="s">
        <v>45</v>
      </c>
      <c r="C12" s="7">
        <v>363</v>
      </c>
      <c r="D12">
        <v>0.6</v>
      </c>
      <c r="E12">
        <f t="shared" si="0"/>
        <v>217.79999999999998</v>
      </c>
    </row>
    <row r="13" spans="1:5" ht="15" customHeight="1" x14ac:dyDescent="0.2">
      <c r="A13" t="s">
        <v>56</v>
      </c>
      <c r="B13" s="6" t="s">
        <v>55</v>
      </c>
      <c r="C13" s="7">
        <v>181</v>
      </c>
      <c r="D13">
        <v>0.09</v>
      </c>
      <c r="E13">
        <f t="shared" si="0"/>
        <v>16.29</v>
      </c>
    </row>
    <row r="14" spans="1:5" ht="15" customHeight="1" x14ac:dyDescent="0.2">
      <c r="A14" t="s">
        <v>2</v>
      </c>
      <c r="B14" s="6" t="s">
        <v>1</v>
      </c>
      <c r="C14" s="7">
        <v>257</v>
      </c>
      <c r="D14">
        <v>0.4</v>
      </c>
      <c r="E14">
        <f t="shared" si="0"/>
        <v>102.80000000000001</v>
      </c>
    </row>
    <row r="15" spans="1:5" ht="15" customHeight="1" x14ac:dyDescent="0.2">
      <c r="A15" t="s">
        <v>52</v>
      </c>
      <c r="B15" s="6" t="s">
        <v>51</v>
      </c>
      <c r="C15" s="7">
        <v>200</v>
      </c>
      <c r="D15">
        <v>0.5</v>
      </c>
      <c r="E15">
        <f t="shared" si="0"/>
        <v>100</v>
      </c>
    </row>
    <row r="16" spans="1:5" ht="15" customHeight="1" x14ac:dyDescent="0.2">
      <c r="A16" t="s">
        <v>38</v>
      </c>
      <c r="B16" s="6" t="s">
        <v>37</v>
      </c>
      <c r="C16" s="7">
        <v>150</v>
      </c>
      <c r="D16">
        <v>0.09</v>
      </c>
      <c r="E16">
        <f t="shared" si="0"/>
        <v>13.5</v>
      </c>
    </row>
    <row r="17" spans="1:5" ht="15" customHeight="1" x14ac:dyDescent="0.2">
      <c r="A17" t="s">
        <v>32</v>
      </c>
      <c r="B17" s="6" t="s">
        <v>31</v>
      </c>
      <c r="C17" s="7">
        <v>211</v>
      </c>
      <c r="D17">
        <v>0.09</v>
      </c>
      <c r="E17">
        <f t="shared" si="0"/>
        <v>18.989999999999998</v>
      </c>
    </row>
    <row r="18" spans="1:5" ht="15" customHeight="1" x14ac:dyDescent="0.2">
      <c r="A18" t="s">
        <v>58</v>
      </c>
      <c r="B18" s="6" t="s">
        <v>57</v>
      </c>
      <c r="C18" s="7">
        <v>200</v>
      </c>
      <c r="D18">
        <v>0.4</v>
      </c>
      <c r="E18">
        <f t="shared" si="0"/>
        <v>80</v>
      </c>
    </row>
    <row r="19" spans="1:5" ht="15" customHeight="1" x14ac:dyDescent="0.2">
      <c r="A19" t="s">
        <v>22</v>
      </c>
      <c r="B19" s="6" t="s">
        <v>21</v>
      </c>
      <c r="C19" s="7">
        <v>344</v>
      </c>
      <c r="D19">
        <v>0.22</v>
      </c>
      <c r="E19">
        <f t="shared" si="0"/>
        <v>75.680000000000007</v>
      </c>
    </row>
    <row r="20" spans="1:5" ht="15" customHeight="1" x14ac:dyDescent="0.2">
      <c r="A20" t="s">
        <v>44</v>
      </c>
      <c r="B20" s="6" t="s">
        <v>43</v>
      </c>
      <c r="C20" s="7">
        <v>90</v>
      </c>
      <c r="D20">
        <v>0.1</v>
      </c>
      <c r="E20">
        <f t="shared" si="0"/>
        <v>9</v>
      </c>
    </row>
    <row r="21" spans="1:5" ht="15" customHeight="1" x14ac:dyDescent="0.2">
      <c r="A21" t="s">
        <v>24</v>
      </c>
      <c r="B21" s="6" t="s">
        <v>23</v>
      </c>
      <c r="C21" s="7">
        <v>268</v>
      </c>
      <c r="D21">
        <v>0.4</v>
      </c>
      <c r="E21">
        <f t="shared" si="0"/>
        <v>107.2</v>
      </c>
    </row>
    <row r="22" spans="1:5" ht="15" customHeight="1" x14ac:dyDescent="0.2">
      <c r="A22" t="s">
        <v>0</v>
      </c>
      <c r="B22" s="6" t="s">
        <v>63</v>
      </c>
      <c r="C22" s="7">
        <v>150</v>
      </c>
      <c r="D22">
        <v>0.12</v>
      </c>
      <c r="E22">
        <f t="shared" si="0"/>
        <v>18</v>
      </c>
    </row>
    <row r="23" spans="1:5" ht="15" customHeight="1" x14ac:dyDescent="0.2">
      <c r="A23" t="s">
        <v>40</v>
      </c>
      <c r="B23" s="6" t="s">
        <v>39</v>
      </c>
      <c r="C23" s="7">
        <v>250</v>
      </c>
      <c r="D23">
        <v>0.28000000000000003</v>
      </c>
      <c r="E23">
        <f t="shared" si="0"/>
        <v>70</v>
      </c>
    </row>
    <row r="24" spans="1:5" ht="15" customHeight="1" x14ac:dyDescent="0.2">
      <c r="A24" t="s">
        <v>50</v>
      </c>
      <c r="B24" s="6" t="s">
        <v>49</v>
      </c>
      <c r="C24" s="7">
        <v>166</v>
      </c>
      <c r="D24">
        <v>0.25</v>
      </c>
      <c r="E24">
        <f t="shared" si="0"/>
        <v>41.5</v>
      </c>
    </row>
    <row r="25" spans="1:5" ht="15" customHeight="1" x14ac:dyDescent="0.2">
      <c r="A25" t="s">
        <v>10</v>
      </c>
      <c r="B25" s="6" t="s">
        <v>9</v>
      </c>
      <c r="C25" s="7">
        <v>252</v>
      </c>
      <c r="D25">
        <v>0.35</v>
      </c>
      <c r="E25">
        <f t="shared" si="0"/>
        <v>88.199999999999989</v>
      </c>
    </row>
    <row r="26" spans="1:5" ht="15" customHeight="1" x14ac:dyDescent="0.2">
      <c r="A26" t="s">
        <v>30</v>
      </c>
      <c r="B26" s="6" t="s">
        <v>29</v>
      </c>
      <c r="C26" s="7">
        <v>310</v>
      </c>
      <c r="D26">
        <v>0.41</v>
      </c>
      <c r="E26">
        <f t="shared" si="0"/>
        <v>127.1</v>
      </c>
    </row>
    <row r="27" spans="1:5" ht="15" customHeight="1" x14ac:dyDescent="0.2">
      <c r="A27" t="s">
        <v>26</v>
      </c>
      <c r="B27" s="6" t="s">
        <v>25</v>
      </c>
      <c r="C27" s="7">
        <v>358</v>
      </c>
      <c r="D27">
        <v>0.41</v>
      </c>
      <c r="E27">
        <f t="shared" si="0"/>
        <v>146.78</v>
      </c>
    </row>
    <row r="28" spans="1:5" ht="15" customHeight="1" x14ac:dyDescent="0.2">
      <c r="A28" t="s">
        <v>28</v>
      </c>
      <c r="B28" s="6" t="s">
        <v>27</v>
      </c>
      <c r="C28" s="7">
        <v>357</v>
      </c>
      <c r="D28">
        <v>0.41</v>
      </c>
      <c r="E28">
        <f t="shared" si="0"/>
        <v>146.37</v>
      </c>
    </row>
    <row r="29" spans="1:5" ht="15" customHeight="1" x14ac:dyDescent="0.2">
      <c r="A29" t="s">
        <v>18</v>
      </c>
      <c r="B29" s="6" t="s">
        <v>17</v>
      </c>
      <c r="C29" s="7">
        <v>200</v>
      </c>
      <c r="D29">
        <v>0.4</v>
      </c>
      <c r="E29">
        <f t="shared" si="0"/>
        <v>80</v>
      </c>
    </row>
    <row r="30" spans="1:5" ht="15" customHeight="1" x14ac:dyDescent="0.2">
      <c r="A30" t="s">
        <v>54</v>
      </c>
      <c r="B30" s="6" t="s">
        <v>53</v>
      </c>
      <c r="C30" s="7">
        <v>237</v>
      </c>
      <c r="D30">
        <v>0.35</v>
      </c>
      <c r="E30">
        <f t="shared" si="0"/>
        <v>82.949999999999989</v>
      </c>
    </row>
    <row r="31" spans="1:5" ht="15" customHeight="1" x14ac:dyDescent="0.2">
      <c r="A31" t="s">
        <v>16</v>
      </c>
      <c r="B31" s="6" t="s">
        <v>15</v>
      </c>
      <c r="C31" s="7">
        <v>212</v>
      </c>
      <c r="D31">
        <v>0.35</v>
      </c>
      <c r="E31">
        <f t="shared" si="0"/>
        <v>74.199999999999989</v>
      </c>
    </row>
    <row r="32" spans="1:5" ht="15" customHeight="1" x14ac:dyDescent="0.2">
      <c r="A32" t="s">
        <v>12</v>
      </c>
      <c r="B32" s="6" t="s">
        <v>11</v>
      </c>
      <c r="C32" s="7">
        <v>233</v>
      </c>
      <c r="D32">
        <v>0.4</v>
      </c>
      <c r="E32">
        <f t="shared" si="0"/>
        <v>93.2</v>
      </c>
    </row>
    <row r="33" spans="1:5" ht="15" customHeight="1" x14ac:dyDescent="0.2">
      <c r="A33" t="s">
        <v>6</v>
      </c>
      <c r="B33" s="6" t="s">
        <v>5</v>
      </c>
      <c r="C33" s="7">
        <v>187</v>
      </c>
      <c r="D33">
        <v>0.25</v>
      </c>
      <c r="E33">
        <f t="shared" si="0"/>
        <v>46.75</v>
      </c>
    </row>
    <row r="34" spans="1:5" ht="12.75" x14ac:dyDescent="0.2">
      <c r="A34" s="11" t="s">
        <v>59</v>
      </c>
      <c r="B34" s="11"/>
      <c r="C34" s="8">
        <f>SUM(C4:C33)</f>
        <v>7314</v>
      </c>
      <c r="E34" s="8">
        <f>SUM(E4:E33)</f>
        <v>2253.3199999999997</v>
      </c>
    </row>
  </sheetData>
  <mergeCells count="3">
    <mergeCell ref="A1:A2"/>
    <mergeCell ref="B1:B2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Дегтярев Константин Л.</dc:creator>
  <cp:lastModifiedBy>Uaer4</cp:lastModifiedBy>
  <dcterms:created xsi:type="dcterms:W3CDTF">2025-11-18T10:36:48Z</dcterms:created>
  <dcterms:modified xsi:type="dcterms:W3CDTF">2025-12-03T09:16:32Z</dcterms:modified>
</cp:coreProperties>
</file>