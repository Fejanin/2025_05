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6,26\29,06,26 Останкино КИ и ЗПФ\"/>
    </mc:Choice>
  </mc:AlternateContent>
  <xr:revisionPtr revIDLastSave="0" documentId="13_ncr:1_{1BE48D93-5991-454E-BA9C-8F88CF05FB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Sheet!$A$3:$AD$94</definedName>
  </definedNames>
  <calcPr calcId="191029"/>
</workbook>
</file>

<file path=xl/calcChain.xml><?xml version="1.0" encoding="utf-8"?>
<calcChain xmlns="http://schemas.openxmlformats.org/spreadsheetml/2006/main">
  <c r="AE63" i="1" l="1"/>
  <c r="AE65" i="1"/>
  <c r="AE66" i="1"/>
  <c r="AE69" i="1"/>
  <c r="AE71" i="1"/>
  <c r="AE72" i="1"/>
  <c r="AE76" i="1"/>
  <c r="AE77" i="1"/>
  <c r="AE79" i="1"/>
  <c r="AE80" i="1"/>
  <c r="AE83" i="1"/>
  <c r="AE84" i="1"/>
  <c r="AE85" i="1"/>
  <c r="AE86" i="1"/>
  <c r="AE87" i="1"/>
  <c r="AE89" i="1"/>
  <c r="AE90" i="1"/>
  <c r="AE91" i="1"/>
  <c r="AE92" i="1"/>
  <c r="AE93" i="1"/>
  <c r="AE94" i="1"/>
  <c r="AE7" i="1"/>
  <c r="AE8" i="1"/>
  <c r="AE10" i="1"/>
  <c r="AE13" i="1"/>
  <c r="AE14" i="1"/>
  <c r="AE15" i="1"/>
  <c r="AE16" i="1"/>
  <c r="AE18" i="1"/>
  <c r="AE19" i="1"/>
  <c r="AE21" i="1"/>
  <c r="AE22" i="1"/>
  <c r="AE23" i="1"/>
  <c r="AE25" i="1"/>
  <c r="AE29" i="1"/>
  <c r="AE32" i="1"/>
  <c r="AE35" i="1"/>
  <c r="AE36" i="1"/>
  <c r="AE37" i="1"/>
  <c r="AE40" i="1"/>
  <c r="AE41" i="1"/>
  <c r="AE43" i="1"/>
  <c r="AE44" i="1"/>
  <c r="AE50" i="1"/>
  <c r="AE51" i="1"/>
  <c r="AE52" i="1"/>
  <c r="AE53" i="1"/>
  <c r="AE54" i="1"/>
  <c r="AE56" i="1"/>
  <c r="AE57" i="1"/>
  <c r="AE58" i="1"/>
  <c r="AE59" i="1"/>
  <c r="AE60" i="1"/>
  <c r="AE6" i="1"/>
  <c r="R7" i="1"/>
  <c r="AD7" i="1" s="1"/>
  <c r="R10" i="1"/>
  <c r="AD10" i="1" s="1"/>
  <c r="R15" i="1"/>
  <c r="AD15" i="1" s="1"/>
  <c r="R18" i="1"/>
  <c r="AD18" i="1" s="1"/>
  <c r="R21" i="1"/>
  <c r="AD21" i="1" s="1"/>
  <c r="R22" i="1"/>
  <c r="AD22" i="1" s="1"/>
  <c r="R23" i="1"/>
  <c r="AD23" i="1" s="1"/>
  <c r="R29" i="1"/>
  <c r="AD29" i="1" s="1"/>
  <c r="R35" i="1"/>
  <c r="AD35" i="1" s="1"/>
  <c r="R37" i="1"/>
  <c r="AD37" i="1" s="1"/>
  <c r="R41" i="1"/>
  <c r="AD41" i="1" s="1"/>
  <c r="R43" i="1"/>
  <c r="AD43" i="1" s="1"/>
  <c r="R44" i="1"/>
  <c r="AD44" i="1" s="1"/>
  <c r="R50" i="1"/>
  <c r="AD50" i="1" s="1"/>
  <c r="R51" i="1"/>
  <c r="AD51" i="1" s="1"/>
  <c r="R52" i="1"/>
  <c r="AD52" i="1" s="1"/>
  <c r="R53" i="1"/>
  <c r="AD53" i="1" s="1"/>
  <c r="R54" i="1"/>
  <c r="AD54" i="1" s="1"/>
  <c r="R56" i="1"/>
  <c r="AD56" i="1" s="1"/>
  <c r="R58" i="1"/>
  <c r="AD58" i="1" s="1"/>
  <c r="R59" i="1"/>
  <c r="AD59" i="1" s="1"/>
  <c r="R63" i="1"/>
  <c r="AD63" i="1" s="1"/>
  <c r="R72" i="1"/>
  <c r="AD72" i="1" s="1"/>
  <c r="R76" i="1"/>
  <c r="AD76" i="1" s="1"/>
  <c r="R77" i="1"/>
  <c r="AD77" i="1" s="1"/>
  <c r="R83" i="1"/>
  <c r="AD83" i="1" s="1"/>
  <c r="R84" i="1"/>
  <c r="AD84" i="1" s="1"/>
  <c r="R86" i="1"/>
  <c r="AD86" i="1" s="1"/>
  <c r="R87" i="1"/>
  <c r="AD87" i="1" s="1"/>
  <c r="R89" i="1"/>
  <c r="AD89" i="1" s="1"/>
  <c r="R90" i="1"/>
  <c r="AD90" i="1" s="1"/>
  <c r="R91" i="1"/>
  <c r="AD91" i="1" s="1"/>
  <c r="R92" i="1"/>
  <c r="AD92" i="1" s="1"/>
  <c r="R93" i="1"/>
  <c r="AD93" i="1" s="1"/>
  <c r="R94" i="1"/>
  <c r="AD94" i="1" s="1"/>
  <c r="R6" i="1"/>
  <c r="AD6" i="1" s="1"/>
  <c r="P94" i="1" l="1"/>
  <c r="L94" i="1"/>
  <c r="P93" i="1"/>
  <c r="L93" i="1"/>
  <c r="P92" i="1"/>
  <c r="L92" i="1"/>
  <c r="P91" i="1"/>
  <c r="L91" i="1"/>
  <c r="P90" i="1"/>
  <c r="AF90" i="1" s="1"/>
  <c r="L90" i="1"/>
  <c r="P89" i="1"/>
  <c r="L89" i="1"/>
  <c r="P88" i="1"/>
  <c r="L88" i="1"/>
  <c r="P87" i="1"/>
  <c r="AF87" i="1" s="1"/>
  <c r="L87" i="1"/>
  <c r="P86" i="1"/>
  <c r="AF86" i="1" s="1"/>
  <c r="L86" i="1"/>
  <c r="P85" i="1"/>
  <c r="L85" i="1"/>
  <c r="P84" i="1"/>
  <c r="L84" i="1"/>
  <c r="P83" i="1"/>
  <c r="AF83" i="1" s="1"/>
  <c r="L83" i="1"/>
  <c r="P82" i="1"/>
  <c r="AF82" i="1" s="1"/>
  <c r="L82" i="1"/>
  <c r="P81" i="1"/>
  <c r="AF81" i="1" s="1"/>
  <c r="L81" i="1"/>
  <c r="P80" i="1"/>
  <c r="L80" i="1"/>
  <c r="P79" i="1"/>
  <c r="L79" i="1"/>
  <c r="P78" i="1"/>
  <c r="AF78" i="1" s="1"/>
  <c r="L78" i="1"/>
  <c r="P77" i="1"/>
  <c r="AF77" i="1" s="1"/>
  <c r="L77" i="1"/>
  <c r="P76" i="1"/>
  <c r="L76" i="1"/>
  <c r="P75" i="1"/>
  <c r="AF75" i="1" s="1"/>
  <c r="L75" i="1"/>
  <c r="P74" i="1"/>
  <c r="L74" i="1"/>
  <c r="P73" i="1"/>
  <c r="AF73" i="1" s="1"/>
  <c r="L73" i="1"/>
  <c r="P72" i="1"/>
  <c r="AF72" i="1" s="1"/>
  <c r="L72" i="1"/>
  <c r="P71" i="1"/>
  <c r="L71" i="1"/>
  <c r="P70" i="1"/>
  <c r="AF70" i="1" s="1"/>
  <c r="L70" i="1"/>
  <c r="P69" i="1"/>
  <c r="AF69" i="1" s="1"/>
  <c r="L69" i="1"/>
  <c r="P68" i="1"/>
  <c r="AF68" i="1" s="1"/>
  <c r="L68" i="1"/>
  <c r="P67" i="1"/>
  <c r="L67" i="1"/>
  <c r="P66" i="1"/>
  <c r="L66" i="1"/>
  <c r="P65" i="1"/>
  <c r="L65" i="1"/>
  <c r="P64" i="1"/>
  <c r="L64" i="1"/>
  <c r="P63" i="1"/>
  <c r="L63" i="1"/>
  <c r="P62" i="1"/>
  <c r="AF62" i="1" s="1"/>
  <c r="L62" i="1"/>
  <c r="F62" i="1"/>
  <c r="F5" i="1" s="1"/>
  <c r="P61" i="1"/>
  <c r="L61" i="1"/>
  <c r="P60" i="1"/>
  <c r="AF60" i="1" s="1"/>
  <c r="L60" i="1"/>
  <c r="P59" i="1"/>
  <c r="AF59" i="1" s="1"/>
  <c r="L59" i="1"/>
  <c r="P58" i="1"/>
  <c r="AF58" i="1" s="1"/>
  <c r="L58" i="1"/>
  <c r="P57" i="1"/>
  <c r="AF57" i="1" s="1"/>
  <c r="L57" i="1"/>
  <c r="P56" i="1"/>
  <c r="L56" i="1"/>
  <c r="P55" i="1"/>
  <c r="L55" i="1"/>
  <c r="P54" i="1"/>
  <c r="AF54" i="1" s="1"/>
  <c r="L54" i="1"/>
  <c r="P53" i="1"/>
  <c r="AF53" i="1" s="1"/>
  <c r="L53" i="1"/>
  <c r="P52" i="1"/>
  <c r="L52" i="1"/>
  <c r="P51" i="1"/>
  <c r="L51" i="1"/>
  <c r="P50" i="1"/>
  <c r="AF50" i="1" s="1"/>
  <c r="L50" i="1"/>
  <c r="P49" i="1"/>
  <c r="L49" i="1"/>
  <c r="P48" i="1"/>
  <c r="L48" i="1"/>
  <c r="P47" i="1"/>
  <c r="L47" i="1"/>
  <c r="P46" i="1"/>
  <c r="L46" i="1"/>
  <c r="P45" i="1"/>
  <c r="AF45" i="1" s="1"/>
  <c r="L45" i="1"/>
  <c r="P44" i="1"/>
  <c r="AF44" i="1" s="1"/>
  <c r="L44" i="1"/>
  <c r="P43" i="1"/>
  <c r="AF43" i="1" s="1"/>
  <c r="L43" i="1"/>
  <c r="P42" i="1"/>
  <c r="L42" i="1"/>
  <c r="P41" i="1"/>
  <c r="L41" i="1"/>
  <c r="P40" i="1"/>
  <c r="L40" i="1"/>
  <c r="P39" i="1"/>
  <c r="L39" i="1"/>
  <c r="P38" i="1"/>
  <c r="L38" i="1"/>
  <c r="P37" i="1"/>
  <c r="AF37" i="1" s="1"/>
  <c r="L37" i="1"/>
  <c r="P36" i="1"/>
  <c r="L36" i="1"/>
  <c r="P35" i="1"/>
  <c r="AF35" i="1" s="1"/>
  <c r="L35" i="1"/>
  <c r="P34" i="1"/>
  <c r="AF34" i="1" s="1"/>
  <c r="L34" i="1"/>
  <c r="P33" i="1"/>
  <c r="AF33" i="1" s="1"/>
  <c r="L33" i="1"/>
  <c r="P32" i="1"/>
  <c r="L32" i="1"/>
  <c r="P31" i="1"/>
  <c r="AF31" i="1" s="1"/>
  <c r="L31" i="1"/>
  <c r="P30" i="1"/>
  <c r="L30" i="1"/>
  <c r="P29" i="1"/>
  <c r="AF29" i="1" s="1"/>
  <c r="L29" i="1"/>
  <c r="P28" i="1"/>
  <c r="AF28" i="1" s="1"/>
  <c r="L28" i="1"/>
  <c r="P27" i="1"/>
  <c r="L27" i="1"/>
  <c r="P26" i="1"/>
  <c r="L26" i="1"/>
  <c r="P25" i="1"/>
  <c r="L25" i="1"/>
  <c r="P24" i="1"/>
  <c r="L24" i="1"/>
  <c r="P23" i="1"/>
  <c r="AF23" i="1" s="1"/>
  <c r="L23" i="1"/>
  <c r="P22" i="1"/>
  <c r="AF22" i="1" s="1"/>
  <c r="L22" i="1"/>
  <c r="P21" i="1"/>
  <c r="L21" i="1"/>
  <c r="P20" i="1"/>
  <c r="L20" i="1"/>
  <c r="P19" i="1"/>
  <c r="L19" i="1"/>
  <c r="P18" i="1"/>
  <c r="AF18" i="1" s="1"/>
  <c r="L18" i="1"/>
  <c r="P17" i="1"/>
  <c r="L17" i="1"/>
  <c r="P16" i="1"/>
  <c r="L16" i="1"/>
  <c r="P15" i="1"/>
  <c r="AF15" i="1" s="1"/>
  <c r="L15" i="1"/>
  <c r="P14" i="1"/>
  <c r="L14" i="1"/>
  <c r="P13" i="1"/>
  <c r="L13" i="1"/>
  <c r="P12" i="1"/>
  <c r="L12" i="1"/>
  <c r="P11" i="1"/>
  <c r="L11" i="1"/>
  <c r="P10" i="1"/>
  <c r="L10" i="1"/>
  <c r="P9" i="1"/>
  <c r="AF9" i="1" s="1"/>
  <c r="L9" i="1"/>
  <c r="P8" i="1"/>
  <c r="L8" i="1"/>
  <c r="P7" i="1"/>
  <c r="AF7" i="1" s="1"/>
  <c r="L7" i="1"/>
  <c r="P6" i="1"/>
  <c r="AF6" i="1" s="1"/>
  <c r="L6" i="1"/>
  <c r="AB5" i="1"/>
  <c r="AA5" i="1"/>
  <c r="Z5" i="1"/>
  <c r="Y5" i="1"/>
  <c r="X5" i="1"/>
  <c r="T5" i="1"/>
  <c r="O5" i="1"/>
  <c r="N5" i="1"/>
  <c r="M5" i="1"/>
  <c r="K5" i="1"/>
  <c r="E5" i="1"/>
  <c r="W36" i="1" l="1"/>
  <c r="AF36" i="1"/>
  <c r="Q47" i="1"/>
  <c r="AF47" i="1"/>
  <c r="W76" i="1"/>
  <c r="AF76" i="1"/>
  <c r="Q67" i="1"/>
  <c r="S67" i="1" s="1"/>
  <c r="AE67" i="1" s="1"/>
  <c r="AF67" i="1"/>
  <c r="Q46" i="1"/>
  <c r="AF46" i="1"/>
  <c r="Q66" i="1"/>
  <c r="R66" i="1" s="1"/>
  <c r="AD66" i="1" s="1"/>
  <c r="AF66" i="1"/>
  <c r="Q38" i="1"/>
  <c r="S38" i="1" s="1"/>
  <c r="AE38" i="1" s="1"/>
  <c r="AF38" i="1"/>
  <c r="W48" i="1"/>
  <c r="AF48" i="1"/>
  <c r="W56" i="1"/>
  <c r="AF56" i="1"/>
  <c r="W17" i="1"/>
  <c r="AF17" i="1"/>
  <c r="W8" i="1"/>
  <c r="AF8" i="1"/>
  <c r="W88" i="1"/>
  <c r="AF88" i="1"/>
  <c r="Q25" i="1"/>
  <c r="R25" i="1" s="1"/>
  <c r="AD25" i="1" s="1"/>
  <c r="AF25" i="1"/>
  <c r="Q26" i="1"/>
  <c r="AF26" i="1"/>
  <c r="Q19" i="1"/>
  <c r="R19" i="1" s="1"/>
  <c r="AD19" i="1" s="1"/>
  <c r="AF19" i="1"/>
  <c r="Q39" i="1"/>
  <c r="AF39" i="1"/>
  <c r="W49" i="1"/>
  <c r="AF49" i="1"/>
  <c r="Q27" i="1"/>
  <c r="S27" i="1" s="1"/>
  <c r="AE27" i="1" s="1"/>
  <c r="AF27" i="1"/>
  <c r="Q79" i="1"/>
  <c r="R79" i="1" s="1"/>
  <c r="AD79" i="1" s="1"/>
  <c r="AF79" i="1"/>
  <c r="W89" i="1"/>
  <c r="AF89" i="1"/>
  <c r="W10" i="1"/>
  <c r="AF10" i="1"/>
  <c r="W20" i="1"/>
  <c r="AF20" i="1"/>
  <c r="Q30" i="1"/>
  <c r="AF30" i="1"/>
  <c r="W40" i="1"/>
  <c r="AF40" i="1"/>
  <c r="W16" i="1"/>
  <c r="AF16" i="1"/>
  <c r="W80" i="1"/>
  <c r="AF80" i="1"/>
  <c r="W11" i="1"/>
  <c r="AF11" i="1"/>
  <c r="W21" i="1"/>
  <c r="AF21" i="1"/>
  <c r="W41" i="1"/>
  <c r="AF41" i="1"/>
  <c r="W51" i="1"/>
  <c r="AF51" i="1"/>
  <c r="W61" i="1"/>
  <c r="AF61" i="1"/>
  <c r="Q71" i="1"/>
  <c r="R71" i="1" s="1"/>
  <c r="AD71" i="1" s="1"/>
  <c r="AF71" i="1"/>
  <c r="W91" i="1"/>
  <c r="AF91" i="1"/>
  <c r="Q12" i="1"/>
  <c r="AF12" i="1"/>
  <c r="W32" i="1"/>
  <c r="AF32" i="1"/>
  <c r="Q42" i="1"/>
  <c r="S42" i="1" s="1"/>
  <c r="AE42" i="1" s="1"/>
  <c r="AF42" i="1"/>
  <c r="W52" i="1"/>
  <c r="AF52" i="1"/>
  <c r="W92" i="1"/>
  <c r="AF92" i="1"/>
  <c r="Q55" i="1"/>
  <c r="S55" i="1" s="1"/>
  <c r="AE55" i="1" s="1"/>
  <c r="AF55" i="1"/>
  <c r="W13" i="1"/>
  <c r="AF13" i="1"/>
  <c r="W65" i="1"/>
  <c r="AF65" i="1"/>
  <c r="W63" i="1"/>
  <c r="AF63" i="1"/>
  <c r="W93" i="1"/>
  <c r="AF93" i="1"/>
  <c r="Q14" i="1"/>
  <c r="R14" i="1" s="1"/>
  <c r="AD14" i="1" s="1"/>
  <c r="AF14" i="1"/>
  <c r="Q24" i="1"/>
  <c r="S24" i="1" s="1"/>
  <c r="AE24" i="1" s="1"/>
  <c r="AF24" i="1"/>
  <c r="Q85" i="1"/>
  <c r="R85" i="1" s="1"/>
  <c r="AD85" i="1" s="1"/>
  <c r="AF85" i="1"/>
  <c r="W64" i="1"/>
  <c r="AF64" i="1"/>
  <c r="Q74" i="1"/>
  <c r="S74" i="1" s="1"/>
  <c r="AE74" i="1" s="1"/>
  <c r="AF74" i="1"/>
  <c r="W84" i="1"/>
  <c r="AF84" i="1"/>
  <c r="W94" i="1"/>
  <c r="AF94" i="1"/>
  <c r="S12" i="1"/>
  <c r="AE12" i="1" s="1"/>
  <c r="S26" i="1"/>
  <c r="AE26" i="1" s="1"/>
  <c r="S30" i="1"/>
  <c r="AE30" i="1" s="1"/>
  <c r="S39" i="1"/>
  <c r="AE39" i="1" s="1"/>
  <c r="S46" i="1"/>
  <c r="AE46" i="1" s="1"/>
  <c r="S47" i="1"/>
  <c r="AE47" i="1" s="1"/>
  <c r="W9" i="1"/>
  <c r="Q9" i="1"/>
  <c r="S9" i="1" s="1"/>
  <c r="AE9" i="1" s="1"/>
  <c r="W68" i="1"/>
  <c r="Q68" i="1"/>
  <c r="Q78" i="1"/>
  <c r="S78" i="1" s="1"/>
  <c r="AE78" i="1" s="1"/>
  <c r="W33" i="1"/>
  <c r="Q33" i="1"/>
  <c r="Q82" i="1"/>
  <c r="S82" i="1" s="1"/>
  <c r="AE82" i="1" s="1"/>
  <c r="Q34" i="1"/>
  <c r="Q75" i="1"/>
  <c r="S75" i="1" s="1"/>
  <c r="AE75" i="1" s="1"/>
  <c r="W28" i="1"/>
  <c r="Q28" i="1"/>
  <c r="W60" i="1"/>
  <c r="Q60" i="1"/>
  <c r="R60" i="1" s="1"/>
  <c r="AD60" i="1" s="1"/>
  <c r="W45" i="1"/>
  <c r="Q45" i="1"/>
  <c r="W24" i="1"/>
  <c r="V24" i="1"/>
  <c r="W81" i="1"/>
  <c r="Q81" i="1"/>
  <c r="W57" i="1"/>
  <c r="Q57" i="1"/>
  <c r="R57" i="1" s="1"/>
  <c r="AD57" i="1" s="1"/>
  <c r="Q62" i="1"/>
  <c r="Q61" i="1"/>
  <c r="Q16" i="1"/>
  <c r="R16" i="1" s="1"/>
  <c r="AD16" i="1" s="1"/>
  <c r="Q36" i="1"/>
  <c r="R36" i="1" s="1"/>
  <c r="AD36" i="1" s="1"/>
  <c r="Q17" i="1"/>
  <c r="Q80" i="1"/>
  <c r="R80" i="1" s="1"/>
  <c r="AD80" i="1" s="1"/>
  <c r="Q20" i="1"/>
  <c r="Q40" i="1"/>
  <c r="R40" i="1" s="1"/>
  <c r="AD40" i="1" s="1"/>
  <c r="V29" i="1"/>
  <c r="V7" i="1"/>
  <c r="V58" i="1"/>
  <c r="Q64" i="1"/>
  <c r="V23" i="1"/>
  <c r="Q65" i="1"/>
  <c r="R65" i="1" s="1"/>
  <c r="AD65" i="1" s="1"/>
  <c r="V38" i="1"/>
  <c r="V59" i="1"/>
  <c r="W72" i="1"/>
  <c r="V66" i="1"/>
  <c r="Q88" i="1"/>
  <c r="V39" i="1"/>
  <c r="Q8" i="1"/>
  <c r="R8" i="1" s="1"/>
  <c r="Q48" i="1"/>
  <c r="Q69" i="1"/>
  <c r="R69" i="1" s="1"/>
  <c r="AD69" i="1" s="1"/>
  <c r="V18" i="1"/>
  <c r="V25" i="1"/>
  <c r="V46" i="1"/>
  <c r="Q49" i="1"/>
  <c r="Q70" i="1"/>
  <c r="V67" i="1"/>
  <c r="Q11" i="1"/>
  <c r="Q31" i="1"/>
  <c r="V26" i="1"/>
  <c r="V47" i="1"/>
  <c r="Q32" i="1"/>
  <c r="R32" i="1" s="1"/>
  <c r="AD32" i="1" s="1"/>
  <c r="Q73" i="1"/>
  <c r="V12" i="1"/>
  <c r="Q13" i="1"/>
  <c r="R13" i="1" s="1"/>
  <c r="AD13" i="1" s="1"/>
  <c r="V34" i="1"/>
  <c r="V54" i="1"/>
  <c r="V15" i="1"/>
  <c r="V35" i="1"/>
  <c r="V14" i="1"/>
  <c r="V55" i="1"/>
  <c r="V30" i="1"/>
  <c r="V37" i="1"/>
  <c r="V50" i="1"/>
  <c r="V76" i="1"/>
  <c r="V90" i="1"/>
  <c r="V19" i="1"/>
  <c r="V71" i="1"/>
  <c r="V77" i="1"/>
  <c r="W44" i="1"/>
  <c r="W62" i="1"/>
  <c r="L5" i="1"/>
  <c r="V92" i="1"/>
  <c r="W12" i="1"/>
  <c r="V93" i="1"/>
  <c r="W37" i="1"/>
  <c r="W69" i="1"/>
  <c r="V51" i="1"/>
  <c r="W7" i="1"/>
  <c r="W15" i="1"/>
  <c r="W19" i="1"/>
  <c r="W23" i="1"/>
  <c r="W27" i="1"/>
  <c r="W31" i="1"/>
  <c r="W35" i="1"/>
  <c r="W39" i="1"/>
  <c r="W43" i="1"/>
  <c r="W47" i="1"/>
  <c r="W55" i="1"/>
  <c r="W59" i="1"/>
  <c r="V63" i="1"/>
  <c r="W67" i="1"/>
  <c r="W71" i="1"/>
  <c r="W75" i="1"/>
  <c r="W79" i="1"/>
  <c r="W83" i="1"/>
  <c r="W87" i="1"/>
  <c r="W29" i="1"/>
  <c r="W73" i="1"/>
  <c r="W25" i="1"/>
  <c r="W77" i="1"/>
  <c r="W53" i="1"/>
  <c r="W85" i="1"/>
  <c r="W6" i="1"/>
  <c r="W14" i="1"/>
  <c r="W18" i="1"/>
  <c r="W22" i="1"/>
  <c r="W26" i="1"/>
  <c r="W30" i="1"/>
  <c r="W34" i="1"/>
  <c r="W38" i="1"/>
  <c r="W42" i="1"/>
  <c r="W46" i="1"/>
  <c r="W50" i="1"/>
  <c r="W54" i="1"/>
  <c r="W58" i="1"/>
  <c r="W66" i="1"/>
  <c r="W70" i="1"/>
  <c r="W74" i="1"/>
  <c r="W78" i="1"/>
  <c r="W82" i="1"/>
  <c r="W86" i="1"/>
  <c r="W90" i="1"/>
  <c r="P5" i="1"/>
  <c r="V10" i="1"/>
  <c r="V94" i="1"/>
  <c r="AF5" i="1" l="1"/>
  <c r="V79" i="1"/>
  <c r="V85" i="1"/>
  <c r="S11" i="1"/>
  <c r="R11" i="1" s="1"/>
  <c r="AD11" i="1" s="1"/>
  <c r="S70" i="1"/>
  <c r="AE70" i="1" s="1"/>
  <c r="S48" i="1"/>
  <c r="AE48" i="1" s="1"/>
  <c r="S20" i="1"/>
  <c r="AE20" i="1" s="1"/>
  <c r="S61" i="1"/>
  <c r="AE61" i="1" s="1"/>
  <c r="S81" i="1"/>
  <c r="AE81" i="1" s="1"/>
  <c r="S45" i="1"/>
  <c r="AE45" i="1" s="1"/>
  <c r="S28" i="1"/>
  <c r="AE28" i="1" s="1"/>
  <c r="S68" i="1"/>
  <c r="AE68" i="1" s="1"/>
  <c r="S73" i="1"/>
  <c r="AE73" i="1" s="1"/>
  <c r="S31" i="1"/>
  <c r="AE31" i="1" s="1"/>
  <c r="S49" i="1"/>
  <c r="AE49" i="1" s="1"/>
  <c r="S88" i="1"/>
  <c r="AE88" i="1" s="1"/>
  <c r="S64" i="1"/>
  <c r="AE64" i="1" s="1"/>
  <c r="S17" i="1"/>
  <c r="AE17" i="1" s="1"/>
  <c r="S62" i="1"/>
  <c r="AE62" i="1" s="1"/>
  <c r="S34" i="1"/>
  <c r="AE34" i="1" s="1"/>
  <c r="S33" i="1"/>
  <c r="AE33" i="1" s="1"/>
  <c r="R55" i="1"/>
  <c r="AD55" i="1" s="1"/>
  <c r="R47" i="1"/>
  <c r="AD47" i="1" s="1"/>
  <c r="R46" i="1"/>
  <c r="AD46" i="1" s="1"/>
  <c r="R42" i="1"/>
  <c r="AD42" i="1" s="1"/>
  <c r="R39" i="1"/>
  <c r="AD39" i="1" s="1"/>
  <c r="R38" i="1"/>
  <c r="AD38" i="1" s="1"/>
  <c r="R30" i="1"/>
  <c r="AD30" i="1" s="1"/>
  <c r="R27" i="1"/>
  <c r="AD27" i="1" s="1"/>
  <c r="R26" i="1"/>
  <c r="AD26" i="1" s="1"/>
  <c r="R24" i="1"/>
  <c r="AD24" i="1" s="1"/>
  <c r="R12" i="1"/>
  <c r="AD12" i="1" s="1"/>
  <c r="R74" i="1"/>
  <c r="AD74" i="1" s="1"/>
  <c r="R67" i="1"/>
  <c r="AD67" i="1" s="1"/>
  <c r="V75" i="1"/>
  <c r="R75" i="1"/>
  <c r="AD75" i="1" s="1"/>
  <c r="V82" i="1"/>
  <c r="R82" i="1"/>
  <c r="AD82" i="1" s="1"/>
  <c r="V9" i="1"/>
  <c r="R9" i="1"/>
  <c r="AD9" i="1" s="1"/>
  <c r="AD8" i="1"/>
  <c r="V78" i="1"/>
  <c r="R78" i="1"/>
  <c r="AD78" i="1" s="1"/>
  <c r="V57" i="1"/>
  <c r="V17" i="1"/>
  <c r="V80" i="1"/>
  <c r="V62" i="1"/>
  <c r="V61" i="1"/>
  <c r="V68" i="1"/>
  <c r="V64" i="1"/>
  <c r="V74" i="1"/>
  <c r="V8" i="1"/>
  <c r="V45" i="1"/>
  <c r="V49" i="1"/>
  <c r="V48" i="1"/>
  <c r="V42" i="1"/>
  <c r="V33" i="1"/>
  <c r="V13" i="1"/>
  <c r="V16" i="1"/>
  <c r="V21" i="1"/>
  <c r="V60" i="1"/>
  <c r="V72" i="1"/>
  <c r="V40" i="1"/>
  <c r="V73" i="1"/>
  <c r="V44" i="1"/>
  <c r="V70" i="1"/>
  <c r="V52" i="1"/>
  <c r="V81" i="1"/>
  <c r="V43" i="1"/>
  <c r="V28" i="1"/>
  <c r="V56" i="1"/>
  <c r="V31" i="1"/>
  <c r="V36" i="1"/>
  <c r="V11" i="1"/>
  <c r="V20" i="1"/>
  <c r="V86" i="1"/>
  <c r="V69" i="1"/>
  <c r="V89" i="1"/>
  <c r="V91" i="1"/>
  <c r="Q5" i="1"/>
  <c r="V6" i="1"/>
  <c r="V84" i="1"/>
  <c r="V65" i="1"/>
  <c r="V32" i="1"/>
  <c r="V53" i="1"/>
  <c r="V87" i="1"/>
  <c r="V27" i="1"/>
  <c r="V41" i="1"/>
  <c r="V88" i="1"/>
  <c r="V22" i="1"/>
  <c r="V83" i="1"/>
  <c r="R81" i="1" l="1"/>
  <c r="AD81" i="1" s="1"/>
  <c r="R45" i="1"/>
  <c r="AD45" i="1" s="1"/>
  <c r="R61" i="1"/>
  <c r="AD61" i="1" s="1"/>
  <c r="R28" i="1"/>
  <c r="AD28" i="1" s="1"/>
  <c r="R20" i="1"/>
  <c r="AD20" i="1" s="1"/>
  <c r="R48" i="1"/>
  <c r="AD48" i="1" s="1"/>
  <c r="R70" i="1"/>
  <c r="AD70" i="1" s="1"/>
  <c r="R68" i="1"/>
  <c r="AD68" i="1" s="1"/>
  <c r="R33" i="1"/>
  <c r="AD33" i="1" s="1"/>
  <c r="R34" i="1"/>
  <c r="AD34" i="1" s="1"/>
  <c r="R62" i="1"/>
  <c r="AD62" i="1" s="1"/>
  <c r="R17" i="1"/>
  <c r="AD17" i="1" s="1"/>
  <c r="R64" i="1"/>
  <c r="AD64" i="1" s="1"/>
  <c r="R88" i="1"/>
  <c r="AD88" i="1" s="1"/>
  <c r="R49" i="1"/>
  <c r="AD49" i="1" s="1"/>
  <c r="R31" i="1"/>
  <c r="AD31" i="1" s="1"/>
  <c r="AD5" i="1" s="1"/>
  <c r="R73" i="1"/>
  <c r="AD73" i="1" s="1"/>
  <c r="S5" i="1"/>
  <c r="AE11" i="1"/>
  <c r="AE5" i="1" s="1"/>
  <c r="R5" i="1" l="1"/>
</calcChain>
</file>

<file path=xl/sharedStrings.xml><?xml version="1.0" encoding="utf-8"?>
<sst xmlns="http://schemas.openxmlformats.org/spreadsheetml/2006/main" count="239" uniqueCount="131">
  <si>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</si>
  <si>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</si>
  <si>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</si>
  <si>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</si>
  <si>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</si>
  <si>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</si>
  <si>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</si>
  <si>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</si>
  <si>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</si>
  <si>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</si>
  <si>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</si>
  <si>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</si>
  <si>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</si>
  <si>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</si>
  <si>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</si>
  <si>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</si>
  <si>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</si>
  <si>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</si>
  <si>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</si>
  <si>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</si>
  <si>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</si>
  <si>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</si>
  <si>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</si>
  <si>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</si>
  <si>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</si>
  <si>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</si>
  <si>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</si>
  <si>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</si>
  <si>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</si>
  <si>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</si>
  <si>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</si>
  <si>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</si>
  <si>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</si>
  <si>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</si>
  <si>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</si>
  <si>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</si>
  <si>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зв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</si>
  <si>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</si>
  <si>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</si>
  <si>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</si>
  <si>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</si>
  <si>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</si>
  <si>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</si>
  <si>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</si>
  <si>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</si>
  <si>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</si>
  <si>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</si>
  <si>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</si>
  <si>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</si>
  <si>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</si>
  <si>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</si>
  <si>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</si>
  <si>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</si>
  <si>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</si>
  <si>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</si>
  <si>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</si>
  <si>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</si>
  <si>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</si>
  <si>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</si>
  <si>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</si>
  <si>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</si>
  <si>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</si>
  <si>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</si>
  <si>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</si>
  <si>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</si>
  <si>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</si>
  <si>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</si>
  <si>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</si>
  <si>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</si>
  <si>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</si>
  <si>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</si>
  <si>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</si>
  <si>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</si>
  <si>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</si>
  <si>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</si>
  <si>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300тф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</si>
  <si>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</si>
  <si>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</si>
  <si>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</si>
  <si>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</si>
  <si>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</si>
  <si>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</si>
  <si>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</si>
  <si>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</si>
  <si>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</si>
  <si>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</si>
  <si>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</si>
  <si>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</si>
  <si>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</si>
  <si>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</si>
  <si>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</si>
  <si>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</si>
  <si>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</si>
  <si>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</si>
  <si>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</si>
  <si>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</si>
  <si>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</si>
  <si>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</si>
  <si>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</si>
  <si>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</si>
  <si>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</si>
  <si>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</si>
  <si>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</si>
  <si>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</si>
  <si>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</si>
  <si>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</si>
  <si>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</si>
  <si>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</si>
  <si>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</si>
  <si>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</si>
  <si>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</si>
  <si>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</si>
  <si>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</si>
  <si>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</si>
  <si>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</si>
  <si>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</si>
  <si>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</si>
  <si>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</si>
  <si>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</si>
  <si>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</si>
  <si>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</si>
  <si>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</si>
  <si>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</si>
  <si>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</si>
  <si>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нужно увеличить продажи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</si>
  <si>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</si>
  <si>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</si>
  <si>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1001200677442, НАБОР ДЛЯ ПИЦЦЫ с/к с/н мгс 3*3_HRC</t>
  </si>
  <si>
    <t>заказ</t>
  </si>
  <si>
    <t>05,07,</t>
  </si>
  <si>
    <t>06,07,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</si>
</sst>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3" sqref="U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12" width="7" customWidth="1"/>
    <col min="13" max="14" width="1" customWidth="1"/>
    <col min="15" max="17" width="7" customWidth="1"/>
    <col min="18" max="19" width="7" style="19" customWidth="1"/>
    <col min="20" max="20" width="7" customWidth="1"/>
    <col min="21" max="21" width="21" customWidth="1"/>
    <col min="22" max="23" width="5" customWidth="1"/>
    <col min="24" max="28" width="6" customWidth="1"/>
    <col min="29" max="29" width="28" customWidth="1"/>
    <col min="30" max="31" width="7" customWidth="1"/>
    <col min="32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128</v>
      </c>
      <c r="S3" s="3" t="s">
        <v>128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22</v>
      </c>
      <c r="AD3" s="2" t="s">
        <v>23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 t="s">
        <v>129</v>
      </c>
      <c r="S4" s="1" t="s">
        <v>130</v>
      </c>
      <c r="T4" s="1"/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/>
      <c r="AD4" s="1" t="s">
        <v>129</v>
      </c>
      <c r="AE4" s="1" t="s">
        <v>130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12687.019000000002</v>
      </c>
      <c r="F5" s="4">
        <f>SUM(F6:F499)</f>
        <v>10584.55</v>
      </c>
      <c r="G5" s="8"/>
      <c r="H5" s="1"/>
      <c r="I5" s="1"/>
      <c r="J5" s="1"/>
      <c r="K5" s="4">
        <f t="shared" ref="K5:T5" si="0">SUM(K6:K499)</f>
        <v>14923.254999999999</v>
      </c>
      <c r="L5" s="4">
        <f t="shared" si="0"/>
        <v>-2236.2359999999999</v>
      </c>
      <c r="M5" s="4">
        <f t="shared" si="0"/>
        <v>0</v>
      </c>
      <c r="N5" s="4">
        <f t="shared" si="0"/>
        <v>0</v>
      </c>
      <c r="O5" s="4">
        <f t="shared" si="0"/>
        <v>14704</v>
      </c>
      <c r="P5" s="4">
        <f t="shared" si="0"/>
        <v>2537.4038000000005</v>
      </c>
      <c r="Q5" s="4">
        <f t="shared" si="0"/>
        <v>13279.743399999996</v>
      </c>
      <c r="R5" s="4">
        <f t="shared" si="0"/>
        <v>6852</v>
      </c>
      <c r="S5" s="4">
        <f t="shared" ref="S5" si="1">SUM(S6:S499)</f>
        <v>6428</v>
      </c>
      <c r="T5" s="4">
        <f t="shared" si="0"/>
        <v>0</v>
      </c>
      <c r="U5" s="1"/>
      <c r="V5" s="1"/>
      <c r="W5" s="1"/>
      <c r="X5" s="4">
        <f>SUM(X6:X499)</f>
        <v>2508.0025999999998</v>
      </c>
      <c r="Y5" s="4">
        <f>SUM(Y6:Y499)</f>
        <v>2084.2662000000005</v>
      </c>
      <c r="Z5" s="4">
        <f>SUM(Z6:Z499)</f>
        <v>2210.5319999999992</v>
      </c>
      <c r="AA5" s="4">
        <f>SUM(AA6:AA499)</f>
        <v>1929.5749999999991</v>
      </c>
      <c r="AB5" s="4">
        <f>SUM(AB6:AB499)</f>
        <v>2014.8587999999988</v>
      </c>
      <c r="AC5" s="1"/>
      <c r="AD5" s="4">
        <f>SUM(AD6:AD499)</f>
        <v>4350.1000000000004</v>
      </c>
      <c r="AE5" s="4">
        <f>SUM(AE6:AE499)</f>
        <v>4134.92</v>
      </c>
      <c r="AF5" s="4">
        <f>SUM(AF6:AF499)</f>
        <v>1478.2237999999998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30</v>
      </c>
      <c r="B6" s="1" t="s">
        <v>31</v>
      </c>
      <c r="C6" s="1">
        <v>244</v>
      </c>
      <c r="D6" s="1">
        <v>144</v>
      </c>
      <c r="E6" s="1">
        <v>124</v>
      </c>
      <c r="F6" s="1">
        <v>257</v>
      </c>
      <c r="G6" s="8">
        <v>0.4</v>
      </c>
      <c r="H6" s="1">
        <v>60</v>
      </c>
      <c r="I6" s="1">
        <v>3215</v>
      </c>
      <c r="J6" s="1"/>
      <c r="K6" s="1">
        <v>127</v>
      </c>
      <c r="L6" s="1">
        <f t="shared" ref="L6:L37" si="2">E6-K6</f>
        <v>-3</v>
      </c>
      <c r="M6" s="1"/>
      <c r="N6" s="1"/>
      <c r="O6" s="1">
        <v>240</v>
      </c>
      <c r="P6" s="1">
        <f t="shared" ref="P6:P37" si="3">E6/5</f>
        <v>24.8</v>
      </c>
      <c r="Q6" s="5"/>
      <c r="R6" s="5">
        <f>ROUND(Q6-S6,0)</f>
        <v>0</v>
      </c>
      <c r="S6" s="5"/>
      <c r="T6" s="5"/>
      <c r="U6" s="1"/>
      <c r="V6" s="1">
        <f t="shared" ref="V6:V37" si="4">(F6+O6+Q6)/P6</f>
        <v>20.04032258064516</v>
      </c>
      <c r="W6" s="1">
        <f t="shared" ref="W6:W37" si="5">(F6+O6)/P6</f>
        <v>20.04032258064516</v>
      </c>
      <c r="X6" s="1">
        <v>43.4</v>
      </c>
      <c r="Y6" s="1">
        <v>17.600000000000001</v>
      </c>
      <c r="Z6" s="1">
        <v>27.6</v>
      </c>
      <c r="AA6" s="1">
        <v>22.8</v>
      </c>
      <c r="AB6" s="1">
        <v>14.8</v>
      </c>
      <c r="AC6" s="14" t="s">
        <v>124</v>
      </c>
      <c r="AD6" s="1">
        <f>G6*R6</f>
        <v>0</v>
      </c>
      <c r="AE6" s="1">
        <f>G6*S6</f>
        <v>0</v>
      </c>
      <c r="AF6" s="1">
        <f>P6*G6</f>
        <v>9.9200000000000017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32</v>
      </c>
      <c r="B7" s="1" t="s">
        <v>33</v>
      </c>
      <c r="C7" s="1">
        <v>28.8</v>
      </c>
      <c r="D7" s="1"/>
      <c r="E7" s="1">
        <v>4.335</v>
      </c>
      <c r="F7" s="1">
        <v>23.960999999999999</v>
      </c>
      <c r="G7" s="8">
        <v>1</v>
      </c>
      <c r="H7" s="1">
        <v>120</v>
      </c>
      <c r="I7" s="1">
        <v>3287</v>
      </c>
      <c r="J7" s="1"/>
      <c r="K7" s="1">
        <v>4.9000000000000004</v>
      </c>
      <c r="L7" s="1">
        <f t="shared" si="2"/>
        <v>-0.56500000000000039</v>
      </c>
      <c r="M7" s="1"/>
      <c r="N7" s="1"/>
      <c r="O7" s="1"/>
      <c r="P7" s="1">
        <f t="shared" si="3"/>
        <v>0.86699999999999999</v>
      </c>
      <c r="Q7" s="5"/>
      <c r="R7" s="5">
        <f t="shared" ref="R7:R70" si="6">ROUND(Q7-S7,0)</f>
        <v>0</v>
      </c>
      <c r="S7" s="5"/>
      <c r="T7" s="5"/>
      <c r="U7" s="1"/>
      <c r="V7" s="1">
        <f t="shared" si="4"/>
        <v>27.636678200692039</v>
      </c>
      <c r="W7" s="1">
        <f t="shared" si="5"/>
        <v>27.636678200692039</v>
      </c>
      <c r="X7" s="1">
        <v>1.7609999999999999</v>
      </c>
      <c r="Y7" s="1">
        <v>0.69940000000000002</v>
      </c>
      <c r="Z7" s="1">
        <v>0.79620000000000002</v>
      </c>
      <c r="AA7" s="1">
        <v>1.9787999999999999</v>
      </c>
      <c r="AB7" s="1">
        <v>1.4690000000000001</v>
      </c>
      <c r="AC7" s="15" t="s">
        <v>125</v>
      </c>
      <c r="AD7" s="1">
        <f t="shared" ref="AD7:AD70" si="7">G7*R7</f>
        <v>0</v>
      </c>
      <c r="AE7" s="1">
        <f t="shared" ref="AE7:AE70" si="8">G7*S7</f>
        <v>0</v>
      </c>
      <c r="AF7" s="1">
        <f t="shared" ref="AF7:AF70" si="9">P7*G7</f>
        <v>0.86699999999999999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34</v>
      </c>
      <c r="B8" s="1" t="s">
        <v>31</v>
      </c>
      <c r="C8" s="1">
        <v>61</v>
      </c>
      <c r="D8" s="1">
        <v>8</v>
      </c>
      <c r="E8" s="1">
        <v>57</v>
      </c>
      <c r="F8" s="1">
        <v>9</v>
      </c>
      <c r="G8" s="8">
        <v>0.25</v>
      </c>
      <c r="H8" s="1">
        <v>120</v>
      </c>
      <c r="I8" s="1">
        <v>3986</v>
      </c>
      <c r="J8" s="1"/>
      <c r="K8" s="1">
        <v>59</v>
      </c>
      <c r="L8" s="1">
        <f t="shared" si="2"/>
        <v>-2</v>
      </c>
      <c r="M8" s="1"/>
      <c r="N8" s="1"/>
      <c r="O8" s="1">
        <v>120</v>
      </c>
      <c r="P8" s="1">
        <f t="shared" si="3"/>
        <v>11.4</v>
      </c>
      <c r="Q8" s="5">
        <f t="shared" ref="Q8:Q62" si="10">14*P8-O8-F8</f>
        <v>30.599999999999994</v>
      </c>
      <c r="R8" s="5">
        <f t="shared" si="6"/>
        <v>31</v>
      </c>
      <c r="S8" s="5"/>
      <c r="T8" s="5"/>
      <c r="U8" s="1"/>
      <c r="V8" s="1">
        <f t="shared" si="4"/>
        <v>13.999999999999998</v>
      </c>
      <c r="W8" s="1">
        <f t="shared" si="5"/>
        <v>11.315789473684211</v>
      </c>
      <c r="X8" s="1">
        <v>10.199999999999999</v>
      </c>
      <c r="Y8" s="1">
        <v>7.8</v>
      </c>
      <c r="Z8" s="1">
        <v>11</v>
      </c>
      <c r="AA8" s="1">
        <v>7</v>
      </c>
      <c r="AB8" s="1">
        <v>11.2</v>
      </c>
      <c r="AC8" s="1"/>
      <c r="AD8" s="1">
        <f t="shared" si="7"/>
        <v>7.75</v>
      </c>
      <c r="AE8" s="1">
        <f t="shared" si="8"/>
        <v>0</v>
      </c>
      <c r="AF8" s="1">
        <f t="shared" si="9"/>
        <v>2.85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35</v>
      </c>
      <c r="B9" s="1" t="s">
        <v>33</v>
      </c>
      <c r="C9" s="1">
        <v>859.20600000000002</v>
      </c>
      <c r="D9" s="1">
        <v>94.694000000000003</v>
      </c>
      <c r="E9" s="1">
        <v>790.19200000000001</v>
      </c>
      <c r="F9" s="1">
        <v>72.546999999999997</v>
      </c>
      <c r="G9" s="8">
        <v>1</v>
      </c>
      <c r="H9" s="1">
        <v>60</v>
      </c>
      <c r="I9" s="1">
        <v>4063</v>
      </c>
      <c r="J9" s="1"/>
      <c r="K9" s="1">
        <v>774.5</v>
      </c>
      <c r="L9" s="1">
        <f t="shared" si="2"/>
        <v>15.692000000000007</v>
      </c>
      <c r="M9" s="1"/>
      <c r="N9" s="1"/>
      <c r="O9" s="14">
        <v>700</v>
      </c>
      <c r="P9" s="1">
        <f t="shared" si="3"/>
        <v>158.0384</v>
      </c>
      <c r="Q9" s="5">
        <f>13*P9-O9-F9</f>
        <v>1281.9521999999997</v>
      </c>
      <c r="R9" s="5">
        <f t="shared" si="6"/>
        <v>607</v>
      </c>
      <c r="S9" s="5">
        <f>ROUND(Q9/1.9,0)</f>
        <v>675</v>
      </c>
      <c r="T9" s="5"/>
      <c r="U9" s="1"/>
      <c r="V9" s="1">
        <f t="shared" si="4"/>
        <v>12.999999999999998</v>
      </c>
      <c r="W9" s="1">
        <f t="shared" si="5"/>
        <v>4.8883499200194382</v>
      </c>
      <c r="X9" s="1">
        <v>114.2396</v>
      </c>
      <c r="Y9" s="1">
        <v>81.876400000000004</v>
      </c>
      <c r="Z9" s="1">
        <v>131.26580000000001</v>
      </c>
      <c r="AA9" s="1">
        <v>96.980999999999995</v>
      </c>
      <c r="AB9" s="1">
        <v>100.3278</v>
      </c>
      <c r="AC9" s="1"/>
      <c r="AD9" s="1">
        <f t="shared" si="7"/>
        <v>607</v>
      </c>
      <c r="AE9" s="1">
        <f t="shared" si="8"/>
        <v>675</v>
      </c>
      <c r="AF9" s="1">
        <f t="shared" si="9"/>
        <v>158.0384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37</v>
      </c>
      <c r="B10" s="1" t="s">
        <v>33</v>
      </c>
      <c r="C10" s="1">
        <v>109.42</v>
      </c>
      <c r="D10" s="1">
        <v>1.4930000000000001</v>
      </c>
      <c r="E10" s="1">
        <v>25.277000000000001</v>
      </c>
      <c r="F10" s="1">
        <v>83.138000000000005</v>
      </c>
      <c r="G10" s="8">
        <v>1</v>
      </c>
      <c r="H10" s="1">
        <v>120</v>
      </c>
      <c r="I10" s="1">
        <v>4117</v>
      </c>
      <c r="J10" s="1"/>
      <c r="K10" s="1">
        <v>27.2</v>
      </c>
      <c r="L10" s="1">
        <f t="shared" si="2"/>
        <v>-1.9229999999999983</v>
      </c>
      <c r="M10" s="1"/>
      <c r="N10" s="1"/>
      <c r="O10" s="1"/>
      <c r="P10" s="1">
        <f t="shared" si="3"/>
        <v>5.0554000000000006</v>
      </c>
      <c r="Q10" s="5"/>
      <c r="R10" s="5">
        <f t="shared" si="6"/>
        <v>0</v>
      </c>
      <c r="S10" s="5"/>
      <c r="T10" s="5"/>
      <c r="U10" s="1"/>
      <c r="V10" s="1">
        <f t="shared" si="4"/>
        <v>16.445385132729356</v>
      </c>
      <c r="W10" s="1">
        <f t="shared" si="5"/>
        <v>16.445385132729356</v>
      </c>
      <c r="X10" s="1">
        <v>3.4813999999999998</v>
      </c>
      <c r="Y10" s="1">
        <v>2.581</v>
      </c>
      <c r="Z10" s="1">
        <v>2.4817999999999998</v>
      </c>
      <c r="AA10" s="1">
        <v>3.0813999999999999</v>
      </c>
      <c r="AB10" s="1">
        <v>5.0541999999999998</v>
      </c>
      <c r="AC10" s="1"/>
      <c r="AD10" s="1">
        <f t="shared" si="7"/>
        <v>0</v>
      </c>
      <c r="AE10" s="1">
        <f t="shared" si="8"/>
        <v>0</v>
      </c>
      <c r="AF10" s="1">
        <f t="shared" si="9"/>
        <v>5.0554000000000006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38</v>
      </c>
      <c r="B11" s="1" t="s">
        <v>33</v>
      </c>
      <c r="C11" s="1">
        <v>61.359000000000002</v>
      </c>
      <c r="D11" s="1">
        <v>179.87200000000001</v>
      </c>
      <c r="E11" s="1">
        <v>206.10599999999999</v>
      </c>
      <c r="F11" s="1">
        <v>12.134</v>
      </c>
      <c r="G11" s="8">
        <v>1</v>
      </c>
      <c r="H11" s="1">
        <v>60</v>
      </c>
      <c r="I11" s="1">
        <v>4574</v>
      </c>
      <c r="J11" s="1"/>
      <c r="K11" s="1">
        <v>279.5</v>
      </c>
      <c r="L11" s="1">
        <f t="shared" si="2"/>
        <v>-73.394000000000005</v>
      </c>
      <c r="M11" s="1"/>
      <c r="N11" s="1"/>
      <c r="O11" s="14">
        <v>350</v>
      </c>
      <c r="P11" s="1">
        <f t="shared" si="3"/>
        <v>41.221199999999996</v>
      </c>
      <c r="Q11" s="5">
        <f t="shared" si="10"/>
        <v>214.9627999999999</v>
      </c>
      <c r="R11" s="5">
        <f t="shared" si="6"/>
        <v>102</v>
      </c>
      <c r="S11" s="5">
        <f t="shared" ref="S11:S12" si="11">ROUND(Q11/1.9,0)</f>
        <v>113</v>
      </c>
      <c r="T11" s="5"/>
      <c r="U11" s="1"/>
      <c r="V11" s="1">
        <f t="shared" si="4"/>
        <v>14</v>
      </c>
      <c r="W11" s="1">
        <f t="shared" si="5"/>
        <v>8.785139685404598</v>
      </c>
      <c r="X11" s="1">
        <v>41.714599999999997</v>
      </c>
      <c r="Y11" s="1">
        <v>32.321800000000003</v>
      </c>
      <c r="Z11" s="1">
        <v>31.227</v>
      </c>
      <c r="AA11" s="1">
        <v>27.6508</v>
      </c>
      <c r="AB11" s="1">
        <v>41.835999999999999</v>
      </c>
      <c r="AC11" s="1"/>
      <c r="AD11" s="1">
        <f t="shared" si="7"/>
        <v>102</v>
      </c>
      <c r="AE11" s="1">
        <f t="shared" si="8"/>
        <v>113</v>
      </c>
      <c r="AF11" s="1">
        <f t="shared" si="9"/>
        <v>41.221199999999996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39</v>
      </c>
      <c r="B12" s="1" t="s">
        <v>33</v>
      </c>
      <c r="C12" s="1">
        <v>237.61799999999999</v>
      </c>
      <c r="D12" s="1">
        <v>203.10300000000001</v>
      </c>
      <c r="E12" s="1">
        <v>337.30500000000001</v>
      </c>
      <c r="F12" s="1">
        <v>66.537999999999997</v>
      </c>
      <c r="G12" s="8">
        <v>1</v>
      </c>
      <c r="H12" s="1">
        <v>60</v>
      </c>
      <c r="I12" s="1">
        <v>4813</v>
      </c>
      <c r="J12" s="1"/>
      <c r="K12" s="1">
        <v>340.6</v>
      </c>
      <c r="L12" s="1">
        <f t="shared" si="2"/>
        <v>-3.2950000000000159</v>
      </c>
      <c r="M12" s="1"/>
      <c r="N12" s="1"/>
      <c r="O12" s="14">
        <v>560</v>
      </c>
      <c r="P12" s="1">
        <f t="shared" si="3"/>
        <v>67.460999999999999</v>
      </c>
      <c r="Q12" s="5">
        <f t="shared" si="10"/>
        <v>317.91599999999994</v>
      </c>
      <c r="R12" s="5">
        <f t="shared" si="6"/>
        <v>151</v>
      </c>
      <c r="S12" s="5">
        <f t="shared" si="11"/>
        <v>167</v>
      </c>
      <c r="T12" s="5"/>
      <c r="U12" s="1"/>
      <c r="V12" s="1">
        <f t="shared" si="4"/>
        <v>14</v>
      </c>
      <c r="W12" s="1">
        <f t="shared" si="5"/>
        <v>9.287410503846667</v>
      </c>
      <c r="X12" s="1">
        <v>68.896199999999993</v>
      </c>
      <c r="Y12" s="1">
        <v>59.059800000000003</v>
      </c>
      <c r="Z12" s="1">
        <v>42.698599999999999</v>
      </c>
      <c r="AA12" s="1">
        <v>58.387800000000013</v>
      </c>
      <c r="AB12" s="1">
        <v>67.736800000000002</v>
      </c>
      <c r="AC12" s="1"/>
      <c r="AD12" s="1">
        <f t="shared" si="7"/>
        <v>151</v>
      </c>
      <c r="AE12" s="1">
        <f t="shared" si="8"/>
        <v>167</v>
      </c>
      <c r="AF12" s="1">
        <f t="shared" si="9"/>
        <v>67.460999999999999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40</v>
      </c>
      <c r="B13" s="1" t="s">
        <v>31</v>
      </c>
      <c r="C13" s="1">
        <v>125</v>
      </c>
      <c r="D13" s="1">
        <v>96</v>
      </c>
      <c r="E13" s="1">
        <v>79</v>
      </c>
      <c r="F13" s="1">
        <v>140</v>
      </c>
      <c r="G13" s="8">
        <v>0.25</v>
      </c>
      <c r="H13" s="1">
        <v>120</v>
      </c>
      <c r="I13" s="1">
        <v>4993</v>
      </c>
      <c r="J13" s="1"/>
      <c r="K13" s="1">
        <v>82</v>
      </c>
      <c r="L13" s="1">
        <f t="shared" si="2"/>
        <v>-3</v>
      </c>
      <c r="M13" s="1"/>
      <c r="N13" s="1"/>
      <c r="O13" s="1"/>
      <c r="P13" s="1">
        <f t="shared" si="3"/>
        <v>15.8</v>
      </c>
      <c r="Q13" s="5">
        <f t="shared" si="10"/>
        <v>81.200000000000017</v>
      </c>
      <c r="R13" s="5">
        <f t="shared" si="6"/>
        <v>81</v>
      </c>
      <c r="S13" s="5"/>
      <c r="T13" s="5"/>
      <c r="U13" s="1"/>
      <c r="V13" s="1">
        <f t="shared" si="4"/>
        <v>14</v>
      </c>
      <c r="W13" s="1">
        <f t="shared" si="5"/>
        <v>8.8607594936708853</v>
      </c>
      <c r="X13" s="1">
        <v>8.8000000000000007</v>
      </c>
      <c r="Y13" s="1">
        <v>11.6</v>
      </c>
      <c r="Z13" s="1">
        <v>14</v>
      </c>
      <c r="AA13" s="1">
        <v>10.6</v>
      </c>
      <c r="AB13" s="1">
        <v>6.6</v>
      </c>
      <c r="AC13" s="1"/>
      <c r="AD13" s="1">
        <f t="shared" si="7"/>
        <v>20.25</v>
      </c>
      <c r="AE13" s="1">
        <f t="shared" si="8"/>
        <v>0</v>
      </c>
      <c r="AF13" s="1">
        <f t="shared" si="9"/>
        <v>3.95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41</v>
      </c>
      <c r="B14" s="1" t="s">
        <v>33</v>
      </c>
      <c r="C14" s="1">
        <v>112.628</v>
      </c>
      <c r="D14" s="1">
        <v>96.884</v>
      </c>
      <c r="E14" s="1">
        <v>83.614000000000004</v>
      </c>
      <c r="F14" s="1">
        <v>125.08799999999999</v>
      </c>
      <c r="G14" s="8">
        <v>1</v>
      </c>
      <c r="H14" s="1">
        <v>60</v>
      </c>
      <c r="I14" s="1">
        <v>5452</v>
      </c>
      <c r="J14" s="1"/>
      <c r="K14" s="1">
        <v>83.75</v>
      </c>
      <c r="L14" s="1">
        <f t="shared" si="2"/>
        <v>-0.13599999999999568</v>
      </c>
      <c r="M14" s="1"/>
      <c r="N14" s="1"/>
      <c r="O14" s="1">
        <v>20</v>
      </c>
      <c r="P14" s="1">
        <f t="shared" si="3"/>
        <v>16.722799999999999</v>
      </c>
      <c r="Q14" s="5">
        <f t="shared" si="10"/>
        <v>89.031199999999984</v>
      </c>
      <c r="R14" s="5">
        <f t="shared" si="6"/>
        <v>89</v>
      </c>
      <c r="S14" s="5"/>
      <c r="T14" s="5"/>
      <c r="U14" s="1"/>
      <c r="V14" s="1">
        <f t="shared" si="4"/>
        <v>14</v>
      </c>
      <c r="W14" s="1">
        <f t="shared" si="5"/>
        <v>8.6760590331762621</v>
      </c>
      <c r="X14" s="1">
        <v>16.991</v>
      </c>
      <c r="Y14" s="1">
        <v>7.2417999999999996</v>
      </c>
      <c r="Z14" s="1">
        <v>17.0852</v>
      </c>
      <c r="AA14" s="1">
        <v>14.352399999999999</v>
      </c>
      <c r="AB14" s="1">
        <v>12.536799999999999</v>
      </c>
      <c r="AC14" s="1"/>
      <c r="AD14" s="1">
        <f t="shared" si="7"/>
        <v>89</v>
      </c>
      <c r="AE14" s="1">
        <f t="shared" si="8"/>
        <v>0</v>
      </c>
      <c r="AF14" s="1">
        <f t="shared" si="9"/>
        <v>16.722799999999999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42</v>
      </c>
      <c r="B15" s="1" t="s">
        <v>31</v>
      </c>
      <c r="C15" s="1">
        <v>141</v>
      </c>
      <c r="D15" s="1">
        <v>96</v>
      </c>
      <c r="E15" s="1">
        <v>77</v>
      </c>
      <c r="F15" s="1">
        <v>150</v>
      </c>
      <c r="G15" s="8">
        <v>0.25</v>
      </c>
      <c r="H15" s="1">
        <v>120</v>
      </c>
      <c r="I15" s="1">
        <v>5483</v>
      </c>
      <c r="J15" s="1"/>
      <c r="K15" s="1">
        <v>77</v>
      </c>
      <c r="L15" s="1">
        <f t="shared" si="2"/>
        <v>0</v>
      </c>
      <c r="M15" s="1"/>
      <c r="N15" s="1"/>
      <c r="O15" s="1">
        <v>70</v>
      </c>
      <c r="P15" s="1">
        <f t="shared" si="3"/>
        <v>15.4</v>
      </c>
      <c r="Q15" s="5"/>
      <c r="R15" s="5">
        <f t="shared" si="6"/>
        <v>0</v>
      </c>
      <c r="S15" s="5"/>
      <c r="T15" s="5"/>
      <c r="U15" s="1"/>
      <c r="V15" s="1">
        <f t="shared" si="4"/>
        <v>14.285714285714285</v>
      </c>
      <c r="W15" s="1">
        <f t="shared" si="5"/>
        <v>14.285714285714285</v>
      </c>
      <c r="X15" s="1">
        <v>22.2</v>
      </c>
      <c r="Y15" s="1">
        <v>16.2</v>
      </c>
      <c r="Z15" s="1">
        <v>23.4</v>
      </c>
      <c r="AA15" s="1">
        <v>17.600000000000001</v>
      </c>
      <c r="AB15" s="1">
        <v>18.600000000000001</v>
      </c>
      <c r="AC15" s="1"/>
      <c r="AD15" s="1">
        <f t="shared" si="7"/>
        <v>0</v>
      </c>
      <c r="AE15" s="1">
        <f t="shared" si="8"/>
        <v>0</v>
      </c>
      <c r="AF15" s="1">
        <f t="shared" si="9"/>
        <v>3.85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43</v>
      </c>
      <c r="B16" s="1" t="s">
        <v>31</v>
      </c>
      <c r="C16" s="1">
        <v>272</v>
      </c>
      <c r="D16" s="1">
        <v>198</v>
      </c>
      <c r="E16" s="1">
        <v>142</v>
      </c>
      <c r="F16" s="1">
        <v>304</v>
      </c>
      <c r="G16" s="8">
        <v>0.4</v>
      </c>
      <c r="H16" s="1">
        <v>60</v>
      </c>
      <c r="I16" s="1">
        <v>5495</v>
      </c>
      <c r="J16" s="1"/>
      <c r="K16" s="1">
        <v>143</v>
      </c>
      <c r="L16" s="1">
        <f t="shared" si="2"/>
        <v>-1</v>
      </c>
      <c r="M16" s="1"/>
      <c r="N16" s="1"/>
      <c r="O16" s="1"/>
      <c r="P16" s="1">
        <f t="shared" si="3"/>
        <v>28.4</v>
      </c>
      <c r="Q16" s="5">
        <f t="shared" si="10"/>
        <v>93.599999999999966</v>
      </c>
      <c r="R16" s="5">
        <f t="shared" si="6"/>
        <v>94</v>
      </c>
      <c r="S16" s="5"/>
      <c r="T16" s="5"/>
      <c r="U16" s="1"/>
      <c r="V16" s="1">
        <f t="shared" si="4"/>
        <v>14</v>
      </c>
      <c r="W16" s="1">
        <f t="shared" si="5"/>
        <v>10.704225352112676</v>
      </c>
      <c r="X16" s="1">
        <v>25.2</v>
      </c>
      <c r="Y16" s="1">
        <v>23.4</v>
      </c>
      <c r="Z16" s="1">
        <v>27.8</v>
      </c>
      <c r="AA16" s="1">
        <v>9.1999999999999993</v>
      </c>
      <c r="AB16" s="1">
        <v>21.8</v>
      </c>
      <c r="AC16" s="1"/>
      <c r="AD16" s="1">
        <f t="shared" si="7"/>
        <v>37.6</v>
      </c>
      <c r="AE16" s="1">
        <f t="shared" si="8"/>
        <v>0</v>
      </c>
      <c r="AF16" s="1">
        <f t="shared" si="9"/>
        <v>11.36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44</v>
      </c>
      <c r="B17" s="1" t="s">
        <v>33</v>
      </c>
      <c r="C17" s="1">
        <v>219.63</v>
      </c>
      <c r="D17" s="1">
        <v>40.188000000000002</v>
      </c>
      <c r="E17" s="1">
        <v>259.67</v>
      </c>
      <c r="F17" s="1">
        <v>0.14799999999999999</v>
      </c>
      <c r="G17" s="8">
        <v>1</v>
      </c>
      <c r="H17" s="1">
        <v>45</v>
      </c>
      <c r="I17" s="1">
        <v>5544</v>
      </c>
      <c r="J17" s="1"/>
      <c r="K17" s="1">
        <v>355.5</v>
      </c>
      <c r="L17" s="1">
        <f t="shared" si="2"/>
        <v>-95.829999999999984</v>
      </c>
      <c r="M17" s="1"/>
      <c r="N17" s="1"/>
      <c r="O17" s="1">
        <v>600</v>
      </c>
      <c r="P17" s="1">
        <f t="shared" si="3"/>
        <v>51.934000000000005</v>
      </c>
      <c r="Q17" s="5">
        <f t="shared" si="10"/>
        <v>126.92800000000003</v>
      </c>
      <c r="R17" s="5">
        <f t="shared" si="6"/>
        <v>60</v>
      </c>
      <c r="S17" s="5">
        <f>ROUND(Q17/1.9,0)</f>
        <v>67</v>
      </c>
      <c r="T17" s="5"/>
      <c r="U17" s="1"/>
      <c r="V17" s="1">
        <f t="shared" si="4"/>
        <v>14</v>
      </c>
      <c r="W17" s="1">
        <f t="shared" si="5"/>
        <v>11.555974891208072</v>
      </c>
      <c r="X17" s="1">
        <v>60.9788</v>
      </c>
      <c r="Y17" s="1">
        <v>39.086200000000012</v>
      </c>
      <c r="Z17" s="1">
        <v>50.156999999999996</v>
      </c>
      <c r="AA17" s="1">
        <v>51.383799999999987</v>
      </c>
      <c r="AB17" s="1">
        <v>50.519399999999997</v>
      </c>
      <c r="AC17" s="1"/>
      <c r="AD17" s="1">
        <f t="shared" si="7"/>
        <v>60</v>
      </c>
      <c r="AE17" s="1">
        <f t="shared" si="8"/>
        <v>67</v>
      </c>
      <c r="AF17" s="1">
        <f t="shared" si="9"/>
        <v>51.934000000000005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45</v>
      </c>
      <c r="B18" s="1" t="s">
        <v>33</v>
      </c>
      <c r="C18" s="1">
        <v>71.14</v>
      </c>
      <c r="D18" s="1">
        <v>48.021999999999998</v>
      </c>
      <c r="E18" s="1">
        <v>30.259</v>
      </c>
      <c r="F18" s="1">
        <v>87.421000000000006</v>
      </c>
      <c r="G18" s="8">
        <v>1</v>
      </c>
      <c r="H18" s="1">
        <v>0</v>
      </c>
      <c r="I18" s="1">
        <v>5708</v>
      </c>
      <c r="J18" s="1"/>
      <c r="K18" s="1">
        <v>31.1</v>
      </c>
      <c r="L18" s="1">
        <f t="shared" si="2"/>
        <v>-0.84100000000000108</v>
      </c>
      <c r="M18" s="1"/>
      <c r="N18" s="1"/>
      <c r="O18" s="1"/>
      <c r="P18" s="1">
        <f t="shared" si="3"/>
        <v>6.0518000000000001</v>
      </c>
      <c r="Q18" s="5"/>
      <c r="R18" s="5">
        <f t="shared" si="6"/>
        <v>0</v>
      </c>
      <c r="S18" s="5"/>
      <c r="T18" s="5"/>
      <c r="U18" s="1"/>
      <c r="V18" s="1">
        <f t="shared" si="4"/>
        <v>14.445454245018013</v>
      </c>
      <c r="W18" s="1">
        <f t="shared" si="5"/>
        <v>14.445454245018013</v>
      </c>
      <c r="X18" s="1">
        <v>3.9136000000000002</v>
      </c>
      <c r="Y18" s="1">
        <v>2.1107999999999998</v>
      </c>
      <c r="Z18" s="1">
        <v>4.2176</v>
      </c>
      <c r="AA18" s="1">
        <v>4.4054000000000002</v>
      </c>
      <c r="AB18" s="1">
        <v>5.4109999999999996</v>
      </c>
      <c r="AC18" s="1"/>
      <c r="AD18" s="1">
        <f t="shared" si="7"/>
        <v>0</v>
      </c>
      <c r="AE18" s="1">
        <f t="shared" si="8"/>
        <v>0</v>
      </c>
      <c r="AF18" s="1">
        <f t="shared" si="9"/>
        <v>6.0518000000000001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46</v>
      </c>
      <c r="B19" s="1" t="s">
        <v>31</v>
      </c>
      <c r="C19" s="1">
        <v>209</v>
      </c>
      <c r="D19" s="1">
        <v>96</v>
      </c>
      <c r="E19" s="1">
        <v>88</v>
      </c>
      <c r="F19" s="1">
        <v>210</v>
      </c>
      <c r="G19" s="8">
        <v>0.4</v>
      </c>
      <c r="H19" s="1">
        <v>45</v>
      </c>
      <c r="I19" s="1">
        <v>5819</v>
      </c>
      <c r="J19" s="1"/>
      <c r="K19" s="1">
        <v>93</v>
      </c>
      <c r="L19" s="1">
        <f t="shared" si="2"/>
        <v>-5</v>
      </c>
      <c r="M19" s="1"/>
      <c r="N19" s="1"/>
      <c r="O19" s="1"/>
      <c r="P19" s="1">
        <f t="shared" si="3"/>
        <v>17.600000000000001</v>
      </c>
      <c r="Q19" s="5">
        <f t="shared" si="10"/>
        <v>36.400000000000034</v>
      </c>
      <c r="R19" s="5">
        <f t="shared" si="6"/>
        <v>36</v>
      </c>
      <c r="S19" s="5"/>
      <c r="T19" s="5"/>
      <c r="U19" s="1"/>
      <c r="V19" s="1">
        <f t="shared" si="4"/>
        <v>14</v>
      </c>
      <c r="W19" s="1">
        <f t="shared" si="5"/>
        <v>11.931818181818182</v>
      </c>
      <c r="X19" s="1">
        <v>10.8</v>
      </c>
      <c r="Y19" s="1">
        <v>15.2</v>
      </c>
      <c r="Z19" s="1">
        <v>20</v>
      </c>
      <c r="AA19" s="1">
        <v>16.600000000000001</v>
      </c>
      <c r="AB19" s="1">
        <v>7.2</v>
      </c>
      <c r="AC19" s="1"/>
      <c r="AD19" s="1">
        <f t="shared" si="7"/>
        <v>14.4</v>
      </c>
      <c r="AE19" s="1">
        <f t="shared" si="8"/>
        <v>0</v>
      </c>
      <c r="AF19" s="1">
        <f t="shared" si="9"/>
        <v>7.0400000000000009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47</v>
      </c>
      <c r="B20" s="1" t="s">
        <v>33</v>
      </c>
      <c r="C20" s="1"/>
      <c r="D20" s="1">
        <v>430.666</v>
      </c>
      <c r="E20" s="1">
        <v>263.113</v>
      </c>
      <c r="F20" s="1">
        <v>149.43700000000001</v>
      </c>
      <c r="G20" s="8">
        <v>1</v>
      </c>
      <c r="H20" s="1">
        <v>60</v>
      </c>
      <c r="I20" s="1">
        <v>5851</v>
      </c>
      <c r="J20" s="1"/>
      <c r="K20" s="1">
        <v>391.85500000000002</v>
      </c>
      <c r="L20" s="1">
        <f t="shared" si="2"/>
        <v>-128.74200000000002</v>
      </c>
      <c r="M20" s="1"/>
      <c r="N20" s="1"/>
      <c r="O20" s="1">
        <v>200</v>
      </c>
      <c r="P20" s="1">
        <f t="shared" si="3"/>
        <v>52.622599999999998</v>
      </c>
      <c r="Q20" s="5">
        <f t="shared" si="10"/>
        <v>387.27940000000001</v>
      </c>
      <c r="R20" s="5">
        <f t="shared" si="6"/>
        <v>183</v>
      </c>
      <c r="S20" s="5">
        <f>ROUND(Q20/1.9,0)</f>
        <v>204</v>
      </c>
      <c r="T20" s="5"/>
      <c r="U20" s="1"/>
      <c r="V20" s="1">
        <f t="shared" si="4"/>
        <v>14</v>
      </c>
      <c r="W20" s="1">
        <f t="shared" si="5"/>
        <v>6.6404358583574359</v>
      </c>
      <c r="X20" s="1">
        <v>44.615600000000001</v>
      </c>
      <c r="Y20" s="1">
        <v>46.076799999999999</v>
      </c>
      <c r="Z20" s="1">
        <v>37.865400000000001</v>
      </c>
      <c r="AA20" s="1">
        <v>53.370600000000003</v>
      </c>
      <c r="AB20" s="1">
        <v>53.187199999999997</v>
      </c>
      <c r="AC20" s="1"/>
      <c r="AD20" s="1">
        <f t="shared" si="7"/>
        <v>183</v>
      </c>
      <c r="AE20" s="1">
        <f t="shared" si="8"/>
        <v>204</v>
      </c>
      <c r="AF20" s="1">
        <f t="shared" si="9"/>
        <v>52.622599999999998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48</v>
      </c>
      <c r="B21" s="1" t="s">
        <v>31</v>
      </c>
      <c r="C21" s="1"/>
      <c r="D21" s="1">
        <v>144</v>
      </c>
      <c r="E21" s="1">
        <v>153</v>
      </c>
      <c r="F21" s="1">
        <v>-9</v>
      </c>
      <c r="G21" s="8">
        <v>0.22</v>
      </c>
      <c r="H21" s="1">
        <v>120</v>
      </c>
      <c r="I21" s="1">
        <v>5931</v>
      </c>
      <c r="J21" s="1"/>
      <c r="K21" s="1">
        <v>543</v>
      </c>
      <c r="L21" s="1">
        <f t="shared" si="2"/>
        <v>-390</v>
      </c>
      <c r="M21" s="1"/>
      <c r="N21" s="1"/>
      <c r="O21" s="1">
        <v>1000</v>
      </c>
      <c r="P21" s="1">
        <f t="shared" si="3"/>
        <v>30.6</v>
      </c>
      <c r="Q21" s="5"/>
      <c r="R21" s="5">
        <f t="shared" si="6"/>
        <v>0</v>
      </c>
      <c r="S21" s="5"/>
      <c r="T21" s="5"/>
      <c r="U21" s="1"/>
      <c r="V21" s="1">
        <f t="shared" si="4"/>
        <v>32.385620915032675</v>
      </c>
      <c r="W21" s="1">
        <f t="shared" si="5"/>
        <v>32.385620915032675</v>
      </c>
      <c r="X21" s="1">
        <v>80.599999999999994</v>
      </c>
      <c r="Y21" s="1">
        <v>37.799999999999997</v>
      </c>
      <c r="Z21" s="1">
        <v>40.6</v>
      </c>
      <c r="AA21" s="1">
        <v>41</v>
      </c>
      <c r="AB21" s="1">
        <v>27.2</v>
      </c>
      <c r="AC21" s="1"/>
      <c r="AD21" s="1">
        <f t="shared" si="7"/>
        <v>0</v>
      </c>
      <c r="AE21" s="1">
        <f t="shared" si="8"/>
        <v>0</v>
      </c>
      <c r="AF21" s="1">
        <f t="shared" si="9"/>
        <v>6.7320000000000002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49</v>
      </c>
      <c r="B22" s="1" t="s">
        <v>33</v>
      </c>
      <c r="C22" s="1"/>
      <c r="D22" s="1">
        <v>204.79400000000001</v>
      </c>
      <c r="E22" s="1">
        <v>12.32</v>
      </c>
      <c r="F22" s="1">
        <v>187.35</v>
      </c>
      <c r="G22" s="8">
        <v>1</v>
      </c>
      <c r="H22" s="1"/>
      <c r="I22" s="1"/>
      <c r="J22" s="1"/>
      <c r="K22" s="1">
        <v>11.6</v>
      </c>
      <c r="L22" s="1">
        <f t="shared" si="2"/>
        <v>0.72000000000000064</v>
      </c>
      <c r="M22" s="1"/>
      <c r="N22" s="1"/>
      <c r="O22" s="1"/>
      <c r="P22" s="1">
        <f t="shared" si="3"/>
        <v>2.464</v>
      </c>
      <c r="Q22" s="5"/>
      <c r="R22" s="5">
        <f t="shared" si="6"/>
        <v>0</v>
      </c>
      <c r="S22" s="5"/>
      <c r="T22" s="5"/>
      <c r="U22" s="1"/>
      <c r="V22" s="1">
        <f t="shared" si="4"/>
        <v>76.034902597402592</v>
      </c>
      <c r="W22" s="1">
        <f t="shared" si="5"/>
        <v>76.034902597402592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/>
      <c r="AD22" s="1">
        <f t="shared" si="7"/>
        <v>0</v>
      </c>
      <c r="AE22" s="1">
        <f t="shared" si="8"/>
        <v>0</v>
      </c>
      <c r="AF22" s="1">
        <f t="shared" si="9"/>
        <v>2.464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50</v>
      </c>
      <c r="B23" s="1" t="s">
        <v>31</v>
      </c>
      <c r="C23" s="1">
        <v>129</v>
      </c>
      <c r="D23" s="1"/>
      <c r="E23" s="1">
        <v>25</v>
      </c>
      <c r="F23" s="1">
        <v>93</v>
      </c>
      <c r="G23" s="8">
        <v>0.15</v>
      </c>
      <c r="H23" s="1"/>
      <c r="I23" s="1">
        <v>6208</v>
      </c>
      <c r="J23" s="1"/>
      <c r="K23" s="1">
        <v>33</v>
      </c>
      <c r="L23" s="1">
        <f t="shared" si="2"/>
        <v>-8</v>
      </c>
      <c r="M23" s="1"/>
      <c r="N23" s="1"/>
      <c r="O23" s="1"/>
      <c r="P23" s="1">
        <f t="shared" si="3"/>
        <v>5</v>
      </c>
      <c r="Q23" s="5"/>
      <c r="R23" s="5">
        <f t="shared" si="6"/>
        <v>0</v>
      </c>
      <c r="S23" s="5"/>
      <c r="T23" s="5"/>
      <c r="U23" s="1"/>
      <c r="V23" s="1">
        <f t="shared" si="4"/>
        <v>18.600000000000001</v>
      </c>
      <c r="W23" s="1">
        <f t="shared" si="5"/>
        <v>18.600000000000001</v>
      </c>
      <c r="X23" s="1">
        <v>4.2</v>
      </c>
      <c r="Y23" s="1">
        <v>5.2</v>
      </c>
      <c r="Z23" s="1">
        <v>8.1999999999999993</v>
      </c>
      <c r="AA23" s="1">
        <v>5.4</v>
      </c>
      <c r="AB23" s="1">
        <v>4.4000000000000004</v>
      </c>
      <c r="AC23" s="14" t="s">
        <v>124</v>
      </c>
      <c r="AD23" s="1">
        <f t="shared" si="7"/>
        <v>0</v>
      </c>
      <c r="AE23" s="1">
        <f t="shared" si="8"/>
        <v>0</v>
      </c>
      <c r="AF23" s="1">
        <f t="shared" si="9"/>
        <v>0.75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51</v>
      </c>
      <c r="B24" s="1" t="s">
        <v>33</v>
      </c>
      <c r="C24" s="1">
        <v>238.95</v>
      </c>
      <c r="D24" s="1">
        <v>198.18199999999999</v>
      </c>
      <c r="E24" s="1">
        <v>240.71299999999999</v>
      </c>
      <c r="F24" s="1">
        <v>189.667</v>
      </c>
      <c r="G24" s="8">
        <v>1</v>
      </c>
      <c r="H24" s="1">
        <v>60</v>
      </c>
      <c r="I24" s="1">
        <v>6220</v>
      </c>
      <c r="J24" s="1"/>
      <c r="K24" s="1">
        <v>233.95</v>
      </c>
      <c r="L24" s="1">
        <f t="shared" si="2"/>
        <v>6.7630000000000052</v>
      </c>
      <c r="M24" s="1"/>
      <c r="N24" s="1"/>
      <c r="O24" s="1"/>
      <c r="P24" s="1">
        <f t="shared" si="3"/>
        <v>48.142600000000002</v>
      </c>
      <c r="Q24" s="5">
        <f>12*P24-O24-F24</f>
        <v>388.04419999999993</v>
      </c>
      <c r="R24" s="5">
        <f t="shared" si="6"/>
        <v>184</v>
      </c>
      <c r="S24" s="5">
        <f>ROUND(Q24/1.9,0)</f>
        <v>204</v>
      </c>
      <c r="T24" s="5"/>
      <c r="U24" s="1"/>
      <c r="V24" s="1">
        <f t="shared" si="4"/>
        <v>11.999999999999998</v>
      </c>
      <c r="W24" s="1">
        <f t="shared" si="5"/>
        <v>3.9396916660088985</v>
      </c>
      <c r="X24" s="1">
        <v>29.606400000000001</v>
      </c>
      <c r="Y24" s="1">
        <v>15.874000000000001</v>
      </c>
      <c r="Z24" s="1">
        <v>38.290199999999999</v>
      </c>
      <c r="AA24" s="1">
        <v>18.7226</v>
      </c>
      <c r="AB24" s="1">
        <v>28.644600000000001</v>
      </c>
      <c r="AC24" s="1"/>
      <c r="AD24" s="1">
        <f t="shared" si="7"/>
        <v>184</v>
      </c>
      <c r="AE24" s="1">
        <f t="shared" si="8"/>
        <v>204</v>
      </c>
      <c r="AF24" s="1">
        <f t="shared" si="9"/>
        <v>48.142600000000002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52</v>
      </c>
      <c r="B25" s="1" t="s">
        <v>31</v>
      </c>
      <c r="C25" s="1">
        <v>350</v>
      </c>
      <c r="D25" s="1">
        <v>12</v>
      </c>
      <c r="E25" s="1">
        <v>199</v>
      </c>
      <c r="F25" s="1">
        <v>138</v>
      </c>
      <c r="G25" s="8">
        <v>0.09</v>
      </c>
      <c r="H25" s="1">
        <v>60</v>
      </c>
      <c r="I25" s="1">
        <v>6221</v>
      </c>
      <c r="J25" s="1"/>
      <c r="K25" s="1">
        <v>218</v>
      </c>
      <c r="L25" s="1">
        <f t="shared" si="2"/>
        <v>-19</v>
      </c>
      <c r="M25" s="1"/>
      <c r="N25" s="1"/>
      <c r="O25" s="1">
        <v>400</v>
      </c>
      <c r="P25" s="1">
        <f t="shared" si="3"/>
        <v>39.799999999999997</v>
      </c>
      <c r="Q25" s="5">
        <f t="shared" si="10"/>
        <v>19.199999999999932</v>
      </c>
      <c r="R25" s="5">
        <f t="shared" si="6"/>
        <v>19</v>
      </c>
      <c r="S25" s="5"/>
      <c r="T25" s="5"/>
      <c r="U25" s="1"/>
      <c r="V25" s="1">
        <f t="shared" si="4"/>
        <v>14</v>
      </c>
      <c r="W25" s="1">
        <f t="shared" si="5"/>
        <v>13.517587939698494</v>
      </c>
      <c r="X25" s="1">
        <v>53.8</v>
      </c>
      <c r="Y25" s="1">
        <v>30.6</v>
      </c>
      <c r="Z25" s="1">
        <v>55.2</v>
      </c>
      <c r="AA25" s="1">
        <v>32.200000000000003</v>
      </c>
      <c r="AB25" s="1">
        <v>35.200000000000003</v>
      </c>
      <c r="AC25" s="1" t="s">
        <v>36</v>
      </c>
      <c r="AD25" s="1">
        <f t="shared" si="7"/>
        <v>1.71</v>
      </c>
      <c r="AE25" s="1">
        <f t="shared" si="8"/>
        <v>0</v>
      </c>
      <c r="AF25" s="1">
        <f t="shared" si="9"/>
        <v>3.5819999999999994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53</v>
      </c>
      <c r="B26" s="1" t="s">
        <v>31</v>
      </c>
      <c r="C26" s="1">
        <v>251</v>
      </c>
      <c r="D26" s="1">
        <v>12</v>
      </c>
      <c r="E26" s="1">
        <v>124</v>
      </c>
      <c r="F26" s="1">
        <v>110</v>
      </c>
      <c r="G26" s="8">
        <v>0.09</v>
      </c>
      <c r="H26" s="1">
        <v>45</v>
      </c>
      <c r="I26" s="1">
        <v>6228</v>
      </c>
      <c r="J26" s="1"/>
      <c r="K26" s="1">
        <v>145</v>
      </c>
      <c r="L26" s="1">
        <f t="shared" si="2"/>
        <v>-21</v>
      </c>
      <c r="M26" s="1"/>
      <c r="N26" s="1"/>
      <c r="O26" s="1">
        <v>40</v>
      </c>
      <c r="P26" s="1">
        <f t="shared" si="3"/>
        <v>24.8</v>
      </c>
      <c r="Q26" s="5">
        <f t="shared" si="10"/>
        <v>197.2</v>
      </c>
      <c r="R26" s="5">
        <f t="shared" si="6"/>
        <v>93</v>
      </c>
      <c r="S26" s="5">
        <f t="shared" ref="S26:S28" si="12">ROUND(Q26/1.9,0)</f>
        <v>104</v>
      </c>
      <c r="T26" s="5"/>
      <c r="U26" s="1"/>
      <c r="V26" s="1">
        <f t="shared" si="4"/>
        <v>14</v>
      </c>
      <c r="W26" s="1">
        <f t="shared" si="5"/>
        <v>6.0483870967741931</v>
      </c>
      <c r="X26" s="1">
        <v>20</v>
      </c>
      <c r="Y26" s="1">
        <v>22.8</v>
      </c>
      <c r="Z26" s="1">
        <v>31.2</v>
      </c>
      <c r="AA26" s="1">
        <v>29.2</v>
      </c>
      <c r="AB26" s="1">
        <v>18.8</v>
      </c>
      <c r="AC26" s="1"/>
      <c r="AD26" s="1">
        <f t="shared" si="7"/>
        <v>8.3699999999999992</v>
      </c>
      <c r="AE26" s="1">
        <f t="shared" si="8"/>
        <v>9.36</v>
      </c>
      <c r="AF26" s="1">
        <f t="shared" si="9"/>
        <v>2.2319999999999998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54</v>
      </c>
      <c r="B27" s="1" t="s">
        <v>31</v>
      </c>
      <c r="C27" s="1">
        <v>106</v>
      </c>
      <c r="D27" s="1">
        <v>122</v>
      </c>
      <c r="E27" s="1">
        <v>157</v>
      </c>
      <c r="F27" s="1">
        <v>61</v>
      </c>
      <c r="G27" s="8">
        <v>0.15</v>
      </c>
      <c r="H27" s="1">
        <v>45</v>
      </c>
      <c r="I27" s="1">
        <v>6279</v>
      </c>
      <c r="J27" s="1"/>
      <c r="K27" s="1">
        <v>169</v>
      </c>
      <c r="L27" s="1">
        <f t="shared" si="2"/>
        <v>-12</v>
      </c>
      <c r="M27" s="1"/>
      <c r="N27" s="1"/>
      <c r="O27" s="1">
        <v>40</v>
      </c>
      <c r="P27" s="1">
        <f t="shared" si="3"/>
        <v>31.4</v>
      </c>
      <c r="Q27" s="5">
        <f>12*P27-O27-F27</f>
        <v>275.79999999999995</v>
      </c>
      <c r="R27" s="5">
        <f t="shared" si="6"/>
        <v>131</v>
      </c>
      <c r="S27" s="5">
        <f t="shared" si="12"/>
        <v>145</v>
      </c>
      <c r="T27" s="5"/>
      <c r="U27" s="1"/>
      <c r="V27" s="1">
        <f t="shared" si="4"/>
        <v>11.999999999999998</v>
      </c>
      <c r="W27" s="1">
        <f t="shared" si="5"/>
        <v>3.2165605095541401</v>
      </c>
      <c r="X27" s="1">
        <v>18.600000000000001</v>
      </c>
      <c r="Y27" s="1">
        <v>22.6</v>
      </c>
      <c r="Z27" s="1">
        <v>17.8</v>
      </c>
      <c r="AA27" s="1">
        <v>24.4</v>
      </c>
      <c r="AB27" s="1">
        <v>23.6</v>
      </c>
      <c r="AC27" s="1"/>
      <c r="AD27" s="1">
        <f t="shared" si="7"/>
        <v>19.649999999999999</v>
      </c>
      <c r="AE27" s="1">
        <f t="shared" si="8"/>
        <v>21.75</v>
      </c>
      <c r="AF27" s="1">
        <f t="shared" si="9"/>
        <v>4.71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55</v>
      </c>
      <c r="B28" s="1" t="s">
        <v>33</v>
      </c>
      <c r="C28" s="1">
        <v>455.9</v>
      </c>
      <c r="D28" s="1">
        <v>228.001</v>
      </c>
      <c r="E28" s="1">
        <v>358.88099999999997</v>
      </c>
      <c r="F28" s="1">
        <v>260.62599999999998</v>
      </c>
      <c r="G28" s="8">
        <v>1</v>
      </c>
      <c r="H28" s="1">
        <v>45</v>
      </c>
      <c r="I28" s="1">
        <v>6303</v>
      </c>
      <c r="J28" s="1"/>
      <c r="K28" s="1">
        <v>360.9</v>
      </c>
      <c r="L28" s="1">
        <f t="shared" si="2"/>
        <v>-2.0190000000000055</v>
      </c>
      <c r="M28" s="1"/>
      <c r="N28" s="1"/>
      <c r="O28" s="1">
        <v>100</v>
      </c>
      <c r="P28" s="1">
        <f t="shared" si="3"/>
        <v>71.776199999999989</v>
      </c>
      <c r="Q28" s="5">
        <f>13*P28-O28-F28</f>
        <v>572.4645999999999</v>
      </c>
      <c r="R28" s="5">
        <f t="shared" si="6"/>
        <v>271</v>
      </c>
      <c r="S28" s="5">
        <f t="shared" si="12"/>
        <v>301</v>
      </c>
      <c r="T28" s="5"/>
      <c r="U28" s="1"/>
      <c r="V28" s="1">
        <f t="shared" si="4"/>
        <v>13</v>
      </c>
      <c r="W28" s="1">
        <f t="shared" si="5"/>
        <v>5.0243116799161847</v>
      </c>
      <c r="X28" s="1">
        <v>53.404999999999987</v>
      </c>
      <c r="Y28" s="1">
        <v>45.937600000000003</v>
      </c>
      <c r="Z28" s="1">
        <v>65.234200000000001</v>
      </c>
      <c r="AA28" s="1">
        <v>43.668400000000013</v>
      </c>
      <c r="AB28" s="1">
        <v>59.9726</v>
      </c>
      <c r="AC28" s="1"/>
      <c r="AD28" s="1">
        <f t="shared" si="7"/>
        <v>271</v>
      </c>
      <c r="AE28" s="1">
        <f t="shared" si="8"/>
        <v>301</v>
      </c>
      <c r="AF28" s="1">
        <f t="shared" si="9"/>
        <v>71.776199999999989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56</v>
      </c>
      <c r="B29" s="1" t="s">
        <v>31</v>
      </c>
      <c r="C29" s="1">
        <v>104</v>
      </c>
      <c r="D29" s="1"/>
      <c r="E29" s="1">
        <v>86</v>
      </c>
      <c r="F29" s="1">
        <v>15</v>
      </c>
      <c r="G29" s="8">
        <v>0.4</v>
      </c>
      <c r="H29" s="1">
        <v>60</v>
      </c>
      <c r="I29" s="1">
        <v>6325</v>
      </c>
      <c r="J29" s="1"/>
      <c r="K29" s="1">
        <v>89</v>
      </c>
      <c r="L29" s="1">
        <f t="shared" si="2"/>
        <v>-3</v>
      </c>
      <c r="M29" s="1"/>
      <c r="N29" s="1"/>
      <c r="O29" s="1">
        <v>280</v>
      </c>
      <c r="P29" s="1">
        <f t="shared" si="3"/>
        <v>17.2</v>
      </c>
      <c r="Q29" s="5"/>
      <c r="R29" s="5">
        <f t="shared" si="6"/>
        <v>0</v>
      </c>
      <c r="S29" s="5"/>
      <c r="T29" s="5"/>
      <c r="U29" s="1"/>
      <c r="V29" s="1">
        <f t="shared" si="4"/>
        <v>17.151162790697676</v>
      </c>
      <c r="W29" s="1">
        <f t="shared" si="5"/>
        <v>17.151162790697676</v>
      </c>
      <c r="X29" s="1">
        <v>27</v>
      </c>
      <c r="Y29" s="1">
        <v>13</v>
      </c>
      <c r="Z29" s="1">
        <v>18.600000000000001</v>
      </c>
      <c r="AA29" s="1">
        <v>31</v>
      </c>
      <c r="AB29" s="1">
        <v>19.8</v>
      </c>
      <c r="AC29" s="1"/>
      <c r="AD29" s="1">
        <f t="shared" si="7"/>
        <v>0</v>
      </c>
      <c r="AE29" s="1">
        <f t="shared" si="8"/>
        <v>0</v>
      </c>
      <c r="AF29" s="1">
        <f t="shared" si="9"/>
        <v>6.88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57</v>
      </c>
      <c r="B30" s="1" t="s">
        <v>31</v>
      </c>
      <c r="C30" s="1">
        <v>254</v>
      </c>
      <c r="D30" s="1">
        <v>56</v>
      </c>
      <c r="E30" s="1">
        <v>248</v>
      </c>
      <c r="F30" s="1">
        <v>36</v>
      </c>
      <c r="G30" s="8">
        <v>0.4</v>
      </c>
      <c r="H30" s="1">
        <v>60</v>
      </c>
      <c r="I30" s="1">
        <v>6333</v>
      </c>
      <c r="J30" s="1"/>
      <c r="K30" s="1">
        <v>253</v>
      </c>
      <c r="L30" s="1">
        <f t="shared" si="2"/>
        <v>-5</v>
      </c>
      <c r="M30" s="1"/>
      <c r="N30" s="1"/>
      <c r="O30" s="1">
        <v>360</v>
      </c>
      <c r="P30" s="1">
        <f t="shared" si="3"/>
        <v>49.6</v>
      </c>
      <c r="Q30" s="5">
        <f t="shared" si="10"/>
        <v>298.39999999999998</v>
      </c>
      <c r="R30" s="5">
        <f t="shared" si="6"/>
        <v>141</v>
      </c>
      <c r="S30" s="5">
        <f t="shared" ref="S30:S31" si="13">ROUND(Q30/1.9,0)</f>
        <v>157</v>
      </c>
      <c r="T30" s="5"/>
      <c r="U30" s="1"/>
      <c r="V30" s="1">
        <f t="shared" si="4"/>
        <v>14</v>
      </c>
      <c r="W30" s="1">
        <f t="shared" si="5"/>
        <v>7.9838709677419351</v>
      </c>
      <c r="X30" s="1">
        <v>47.6</v>
      </c>
      <c r="Y30" s="1">
        <v>41.6</v>
      </c>
      <c r="Z30" s="1">
        <v>39.4</v>
      </c>
      <c r="AA30" s="1">
        <v>44.8</v>
      </c>
      <c r="AB30" s="1">
        <v>44.8</v>
      </c>
      <c r="AC30" s="1"/>
      <c r="AD30" s="1">
        <f t="shared" si="7"/>
        <v>56.400000000000006</v>
      </c>
      <c r="AE30" s="1">
        <f t="shared" si="8"/>
        <v>62.800000000000004</v>
      </c>
      <c r="AF30" s="1">
        <f t="shared" si="9"/>
        <v>19.840000000000003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58</v>
      </c>
      <c r="B31" s="1" t="s">
        <v>31</v>
      </c>
      <c r="C31" s="1">
        <v>378</v>
      </c>
      <c r="D31" s="1"/>
      <c r="E31" s="1">
        <v>189</v>
      </c>
      <c r="F31" s="1">
        <v>180</v>
      </c>
      <c r="G31" s="8">
        <v>0.4</v>
      </c>
      <c r="H31" s="1">
        <v>60</v>
      </c>
      <c r="I31" s="1">
        <v>6353</v>
      </c>
      <c r="J31" s="1"/>
      <c r="K31" s="1">
        <v>192</v>
      </c>
      <c r="L31" s="1">
        <f t="shared" si="2"/>
        <v>-3</v>
      </c>
      <c r="M31" s="1"/>
      <c r="N31" s="1"/>
      <c r="O31" s="1">
        <v>80</v>
      </c>
      <c r="P31" s="1">
        <f t="shared" si="3"/>
        <v>37.799999999999997</v>
      </c>
      <c r="Q31" s="5">
        <f t="shared" si="10"/>
        <v>269.19999999999993</v>
      </c>
      <c r="R31" s="5">
        <f t="shared" si="6"/>
        <v>127</v>
      </c>
      <c r="S31" s="5">
        <f t="shared" si="13"/>
        <v>142</v>
      </c>
      <c r="T31" s="5"/>
      <c r="U31" s="1"/>
      <c r="V31" s="1">
        <f t="shared" si="4"/>
        <v>14</v>
      </c>
      <c r="W31" s="1">
        <f t="shared" si="5"/>
        <v>6.878306878306879</v>
      </c>
      <c r="X31" s="1">
        <v>33</v>
      </c>
      <c r="Y31" s="1">
        <v>1.4</v>
      </c>
      <c r="Z31" s="1">
        <v>39.200000000000003</v>
      </c>
      <c r="AA31" s="1">
        <v>14.4</v>
      </c>
      <c r="AB31" s="1">
        <v>21</v>
      </c>
      <c r="AC31" s="1"/>
      <c r="AD31" s="1">
        <f t="shared" si="7"/>
        <v>50.800000000000004</v>
      </c>
      <c r="AE31" s="1">
        <f t="shared" si="8"/>
        <v>56.800000000000004</v>
      </c>
      <c r="AF31" s="1">
        <f t="shared" si="9"/>
        <v>15.12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59</v>
      </c>
      <c r="B32" s="1" t="s">
        <v>31</v>
      </c>
      <c r="C32" s="1">
        <v>141</v>
      </c>
      <c r="D32" s="1">
        <v>120</v>
      </c>
      <c r="E32" s="1">
        <v>173</v>
      </c>
      <c r="F32" s="1">
        <v>47</v>
      </c>
      <c r="G32" s="8">
        <v>0.4</v>
      </c>
      <c r="H32" s="1">
        <v>60</v>
      </c>
      <c r="I32" s="1">
        <v>6392</v>
      </c>
      <c r="J32" s="1"/>
      <c r="K32" s="1">
        <v>180</v>
      </c>
      <c r="L32" s="1">
        <f t="shared" si="2"/>
        <v>-7</v>
      </c>
      <c r="M32" s="1"/>
      <c r="N32" s="1"/>
      <c r="O32" s="1">
        <v>400</v>
      </c>
      <c r="P32" s="1">
        <f t="shared" si="3"/>
        <v>34.6</v>
      </c>
      <c r="Q32" s="5">
        <f t="shared" si="10"/>
        <v>37.400000000000034</v>
      </c>
      <c r="R32" s="5">
        <f t="shared" si="6"/>
        <v>37</v>
      </c>
      <c r="S32" s="5"/>
      <c r="T32" s="5"/>
      <c r="U32" s="1"/>
      <c r="V32" s="1">
        <f t="shared" si="4"/>
        <v>14</v>
      </c>
      <c r="W32" s="1">
        <f t="shared" si="5"/>
        <v>12.919075144508669</v>
      </c>
      <c r="X32" s="1">
        <v>46.2</v>
      </c>
      <c r="Y32" s="1">
        <v>34.200000000000003</v>
      </c>
      <c r="Z32" s="1">
        <v>37</v>
      </c>
      <c r="AA32" s="1">
        <v>44.2</v>
      </c>
      <c r="AB32" s="1">
        <v>48.2</v>
      </c>
      <c r="AC32" s="1"/>
      <c r="AD32" s="1">
        <f t="shared" si="7"/>
        <v>14.8</v>
      </c>
      <c r="AE32" s="1">
        <f t="shared" si="8"/>
        <v>0</v>
      </c>
      <c r="AF32" s="1">
        <f t="shared" si="9"/>
        <v>13.840000000000002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60</v>
      </c>
      <c r="B33" s="1" t="s">
        <v>31</v>
      </c>
      <c r="C33" s="1">
        <v>436</v>
      </c>
      <c r="D33" s="1">
        <v>2</v>
      </c>
      <c r="E33" s="1">
        <v>311</v>
      </c>
      <c r="F33" s="1">
        <v>108</v>
      </c>
      <c r="G33" s="8">
        <v>0.1</v>
      </c>
      <c r="H33" s="1">
        <v>60</v>
      </c>
      <c r="I33" s="1">
        <v>6453</v>
      </c>
      <c r="J33" s="1"/>
      <c r="K33" s="1">
        <v>322</v>
      </c>
      <c r="L33" s="1">
        <f t="shared" si="2"/>
        <v>-11</v>
      </c>
      <c r="M33" s="1"/>
      <c r="N33" s="1"/>
      <c r="O33" s="1">
        <v>320</v>
      </c>
      <c r="P33" s="1">
        <f t="shared" si="3"/>
        <v>62.2</v>
      </c>
      <c r="Q33" s="5">
        <f>13*P33-O33-F33</f>
        <v>380.6</v>
      </c>
      <c r="R33" s="5">
        <f t="shared" si="6"/>
        <v>181</v>
      </c>
      <c r="S33" s="5">
        <f t="shared" ref="S33:S34" si="14">ROUND(Q33/1.9,0)</f>
        <v>200</v>
      </c>
      <c r="T33" s="5"/>
      <c r="U33" s="1"/>
      <c r="V33" s="1">
        <f t="shared" si="4"/>
        <v>13</v>
      </c>
      <c r="W33" s="1">
        <f t="shared" si="5"/>
        <v>6.881028938906752</v>
      </c>
      <c r="X33" s="1">
        <v>54.6</v>
      </c>
      <c r="Y33" s="1">
        <v>20.8</v>
      </c>
      <c r="Z33" s="1">
        <v>60</v>
      </c>
      <c r="AA33" s="1">
        <v>30.4</v>
      </c>
      <c r="AB33" s="1">
        <v>31.8</v>
      </c>
      <c r="AC33" s="1"/>
      <c r="AD33" s="1">
        <f t="shared" si="7"/>
        <v>18.100000000000001</v>
      </c>
      <c r="AE33" s="1">
        <f t="shared" si="8"/>
        <v>20</v>
      </c>
      <c r="AF33" s="1">
        <f t="shared" si="9"/>
        <v>6.2200000000000006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61</v>
      </c>
      <c r="B34" s="1" t="s">
        <v>31</v>
      </c>
      <c r="C34" s="1">
        <v>210</v>
      </c>
      <c r="D34" s="1">
        <v>212</v>
      </c>
      <c r="E34" s="1">
        <v>333</v>
      </c>
      <c r="F34" s="1">
        <v>68</v>
      </c>
      <c r="G34" s="8">
        <v>0.1</v>
      </c>
      <c r="H34" s="1">
        <v>60</v>
      </c>
      <c r="I34" s="1">
        <v>6454</v>
      </c>
      <c r="J34" s="1"/>
      <c r="K34" s="1">
        <v>355</v>
      </c>
      <c r="L34" s="1">
        <f t="shared" si="2"/>
        <v>-22</v>
      </c>
      <c r="M34" s="1"/>
      <c r="N34" s="1"/>
      <c r="O34" s="1">
        <v>360</v>
      </c>
      <c r="P34" s="1">
        <f t="shared" si="3"/>
        <v>66.599999999999994</v>
      </c>
      <c r="Q34" s="5">
        <f>13*P34-O34-F34</f>
        <v>437.79999999999995</v>
      </c>
      <c r="R34" s="5">
        <f t="shared" si="6"/>
        <v>208</v>
      </c>
      <c r="S34" s="5">
        <f t="shared" si="14"/>
        <v>230</v>
      </c>
      <c r="T34" s="5"/>
      <c r="U34" s="1"/>
      <c r="V34" s="1">
        <f t="shared" si="4"/>
        <v>13</v>
      </c>
      <c r="W34" s="1">
        <f t="shared" si="5"/>
        <v>6.4264264264264268</v>
      </c>
      <c r="X34" s="1">
        <v>54.6</v>
      </c>
      <c r="Y34" s="1">
        <v>49.4</v>
      </c>
      <c r="Z34" s="1">
        <v>52</v>
      </c>
      <c r="AA34" s="1">
        <v>38</v>
      </c>
      <c r="AB34" s="1">
        <v>42.2</v>
      </c>
      <c r="AC34" s="1"/>
      <c r="AD34" s="1">
        <f t="shared" si="7"/>
        <v>20.8</v>
      </c>
      <c r="AE34" s="1">
        <f t="shared" si="8"/>
        <v>23</v>
      </c>
      <c r="AF34" s="1">
        <f t="shared" si="9"/>
        <v>6.66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62</v>
      </c>
      <c r="B35" s="1" t="s">
        <v>31</v>
      </c>
      <c r="C35" s="1">
        <v>241</v>
      </c>
      <c r="D35" s="1"/>
      <c r="E35" s="1">
        <v>37</v>
      </c>
      <c r="F35" s="1">
        <v>199</v>
      </c>
      <c r="G35" s="8">
        <v>0.1</v>
      </c>
      <c r="H35" s="1">
        <v>45</v>
      </c>
      <c r="I35" s="1">
        <v>6459</v>
      </c>
      <c r="J35" s="1"/>
      <c r="K35" s="1">
        <v>42</v>
      </c>
      <c r="L35" s="1">
        <f t="shared" si="2"/>
        <v>-5</v>
      </c>
      <c r="M35" s="1"/>
      <c r="N35" s="1"/>
      <c r="O35" s="1"/>
      <c r="P35" s="1">
        <f t="shared" si="3"/>
        <v>7.4</v>
      </c>
      <c r="Q35" s="5"/>
      <c r="R35" s="5">
        <f t="shared" si="6"/>
        <v>0</v>
      </c>
      <c r="S35" s="5"/>
      <c r="T35" s="5"/>
      <c r="U35" s="1"/>
      <c r="V35" s="1">
        <f t="shared" si="4"/>
        <v>26.891891891891891</v>
      </c>
      <c r="W35" s="1">
        <f t="shared" si="5"/>
        <v>26.891891891891891</v>
      </c>
      <c r="X35" s="1">
        <v>5</v>
      </c>
      <c r="Y35" s="1">
        <v>4.4000000000000004</v>
      </c>
      <c r="Z35" s="1">
        <v>11.6</v>
      </c>
      <c r="AA35" s="1">
        <v>16.2</v>
      </c>
      <c r="AB35" s="1">
        <v>16.600000000000001</v>
      </c>
      <c r="AC35" s="15" t="s">
        <v>125</v>
      </c>
      <c r="AD35" s="1">
        <f t="shared" si="7"/>
        <v>0</v>
      </c>
      <c r="AE35" s="1">
        <f t="shared" si="8"/>
        <v>0</v>
      </c>
      <c r="AF35" s="1">
        <f t="shared" si="9"/>
        <v>0.7400000000000001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63</v>
      </c>
      <c r="B36" s="1" t="s">
        <v>31</v>
      </c>
      <c r="C36" s="1">
        <v>3</v>
      </c>
      <c r="D36" s="1">
        <v>150</v>
      </c>
      <c r="E36" s="1">
        <v>66</v>
      </c>
      <c r="F36" s="1">
        <v>64</v>
      </c>
      <c r="G36" s="8">
        <v>0.4</v>
      </c>
      <c r="H36" s="1">
        <v>45</v>
      </c>
      <c r="I36" s="1">
        <v>6475</v>
      </c>
      <c r="J36" s="1"/>
      <c r="K36" s="1">
        <v>122</v>
      </c>
      <c r="L36" s="1">
        <f t="shared" si="2"/>
        <v>-56</v>
      </c>
      <c r="M36" s="1"/>
      <c r="N36" s="1"/>
      <c r="O36" s="1">
        <v>30</v>
      </c>
      <c r="P36" s="1">
        <f t="shared" si="3"/>
        <v>13.2</v>
      </c>
      <c r="Q36" s="5">
        <f t="shared" si="10"/>
        <v>90.799999999999983</v>
      </c>
      <c r="R36" s="5">
        <f t="shared" si="6"/>
        <v>91</v>
      </c>
      <c r="S36" s="5"/>
      <c r="T36" s="5"/>
      <c r="U36" s="1"/>
      <c r="V36" s="1">
        <f t="shared" si="4"/>
        <v>14</v>
      </c>
      <c r="W36" s="1">
        <f t="shared" si="5"/>
        <v>7.121212121212122</v>
      </c>
      <c r="X36" s="1">
        <v>13</v>
      </c>
      <c r="Y36" s="1">
        <v>20</v>
      </c>
      <c r="Z36" s="1">
        <v>16.600000000000001</v>
      </c>
      <c r="AA36" s="1">
        <v>18.8</v>
      </c>
      <c r="AB36" s="1">
        <v>12.4</v>
      </c>
      <c r="AC36" s="1"/>
      <c r="AD36" s="1">
        <f t="shared" si="7"/>
        <v>36.4</v>
      </c>
      <c r="AE36" s="1">
        <f t="shared" si="8"/>
        <v>0</v>
      </c>
      <c r="AF36" s="1">
        <f t="shared" si="9"/>
        <v>5.28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64</v>
      </c>
      <c r="B37" s="1" t="s">
        <v>31</v>
      </c>
      <c r="C37" s="1">
        <v>283</v>
      </c>
      <c r="D37" s="1">
        <v>198</v>
      </c>
      <c r="E37" s="1">
        <v>80</v>
      </c>
      <c r="F37" s="1">
        <v>391</v>
      </c>
      <c r="G37" s="8">
        <v>0.3</v>
      </c>
      <c r="H37" s="1"/>
      <c r="I37" s="1">
        <v>6495</v>
      </c>
      <c r="J37" s="1"/>
      <c r="K37" s="1">
        <v>86</v>
      </c>
      <c r="L37" s="1">
        <f t="shared" si="2"/>
        <v>-6</v>
      </c>
      <c r="M37" s="1"/>
      <c r="N37" s="1"/>
      <c r="O37" s="1"/>
      <c r="P37" s="1">
        <f t="shared" si="3"/>
        <v>16</v>
      </c>
      <c r="Q37" s="5"/>
      <c r="R37" s="5">
        <f t="shared" si="6"/>
        <v>0</v>
      </c>
      <c r="S37" s="5"/>
      <c r="T37" s="5"/>
      <c r="U37" s="1"/>
      <c r="V37" s="1">
        <f t="shared" si="4"/>
        <v>24.4375</v>
      </c>
      <c r="W37" s="1">
        <f t="shared" si="5"/>
        <v>24.4375</v>
      </c>
      <c r="X37" s="1">
        <v>33.200000000000003</v>
      </c>
      <c r="Y37" s="1">
        <v>17.600000000000001</v>
      </c>
      <c r="Z37" s="1">
        <v>2.4</v>
      </c>
      <c r="AA37" s="1">
        <v>8.8000000000000007</v>
      </c>
      <c r="AB37" s="1">
        <v>6</v>
      </c>
      <c r="AC37" s="15" t="s">
        <v>125</v>
      </c>
      <c r="AD37" s="1">
        <f t="shared" si="7"/>
        <v>0</v>
      </c>
      <c r="AE37" s="1">
        <f t="shared" si="8"/>
        <v>0</v>
      </c>
      <c r="AF37" s="1">
        <f t="shared" si="9"/>
        <v>4.8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65</v>
      </c>
      <c r="B38" s="1" t="s">
        <v>33</v>
      </c>
      <c r="C38" s="1">
        <v>113.571</v>
      </c>
      <c r="D38" s="1">
        <v>41.533999999999999</v>
      </c>
      <c r="E38" s="1">
        <v>128.148</v>
      </c>
      <c r="F38" s="1">
        <v>11.313000000000001</v>
      </c>
      <c r="G38" s="8">
        <v>1</v>
      </c>
      <c r="H38" s="1">
        <v>60</v>
      </c>
      <c r="I38" s="1">
        <v>6498</v>
      </c>
      <c r="J38" s="1"/>
      <c r="K38" s="1">
        <v>133.9</v>
      </c>
      <c r="L38" s="1">
        <f t="shared" ref="L38:L69" si="15">E38-K38</f>
        <v>-5.7520000000000095</v>
      </c>
      <c r="M38" s="1"/>
      <c r="N38" s="1"/>
      <c r="O38" s="1">
        <v>120</v>
      </c>
      <c r="P38" s="1">
        <f t="shared" ref="P38:P69" si="16">E38/5</f>
        <v>25.6296</v>
      </c>
      <c r="Q38" s="5">
        <f t="shared" si="10"/>
        <v>227.50139999999999</v>
      </c>
      <c r="R38" s="5">
        <f t="shared" si="6"/>
        <v>108</v>
      </c>
      <c r="S38" s="5">
        <f t="shared" ref="S38:S39" si="17">ROUND(Q38/1.9,0)</f>
        <v>120</v>
      </c>
      <c r="T38" s="5"/>
      <c r="U38" s="1"/>
      <c r="V38" s="1">
        <f t="shared" ref="V38:V69" si="18">(F38+O38+Q38)/P38</f>
        <v>14</v>
      </c>
      <c r="W38" s="1">
        <f t="shared" ref="W38:W69" si="19">(F38+O38)/P38</f>
        <v>5.1234900271560999</v>
      </c>
      <c r="X38" s="1">
        <v>19.367000000000001</v>
      </c>
      <c r="Y38" s="1">
        <v>17.390799999999999</v>
      </c>
      <c r="Z38" s="1">
        <v>21.085999999999999</v>
      </c>
      <c r="AA38" s="1">
        <v>15.313599999999999</v>
      </c>
      <c r="AB38" s="1">
        <v>20.904199999999999</v>
      </c>
      <c r="AC38" s="1"/>
      <c r="AD38" s="1">
        <f t="shared" si="7"/>
        <v>108</v>
      </c>
      <c r="AE38" s="1">
        <f t="shared" si="8"/>
        <v>120</v>
      </c>
      <c r="AF38" s="1">
        <f t="shared" si="9"/>
        <v>25.6296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66</v>
      </c>
      <c r="B39" s="1" t="s">
        <v>33</v>
      </c>
      <c r="C39" s="1">
        <v>215.255</v>
      </c>
      <c r="D39" s="1"/>
      <c r="E39" s="1">
        <v>118.57</v>
      </c>
      <c r="F39" s="1">
        <v>91.971999999999994</v>
      </c>
      <c r="G39" s="8">
        <v>1</v>
      </c>
      <c r="H39" s="1">
        <v>45</v>
      </c>
      <c r="I39" s="1">
        <v>6527</v>
      </c>
      <c r="J39" s="1"/>
      <c r="K39" s="1">
        <v>114.8</v>
      </c>
      <c r="L39" s="1">
        <f t="shared" si="15"/>
        <v>3.769999999999996</v>
      </c>
      <c r="M39" s="1"/>
      <c r="N39" s="1"/>
      <c r="O39" s="1">
        <v>60</v>
      </c>
      <c r="P39" s="1">
        <f t="shared" si="16"/>
        <v>23.713999999999999</v>
      </c>
      <c r="Q39" s="5">
        <f t="shared" si="10"/>
        <v>180.024</v>
      </c>
      <c r="R39" s="5">
        <f t="shared" si="6"/>
        <v>85</v>
      </c>
      <c r="S39" s="5">
        <f t="shared" si="17"/>
        <v>95</v>
      </c>
      <c r="T39" s="5"/>
      <c r="U39" s="1"/>
      <c r="V39" s="1">
        <f t="shared" si="18"/>
        <v>14</v>
      </c>
      <c r="W39" s="1">
        <f t="shared" si="19"/>
        <v>6.4085350425908745</v>
      </c>
      <c r="X39" s="1">
        <v>19.515799999999999</v>
      </c>
      <c r="Y39" s="1">
        <v>14.1944</v>
      </c>
      <c r="Z39" s="1">
        <v>18.4634</v>
      </c>
      <c r="AA39" s="1">
        <v>25.9588</v>
      </c>
      <c r="AB39" s="1">
        <v>12.3764</v>
      </c>
      <c r="AC39" s="1"/>
      <c r="AD39" s="1">
        <f t="shared" si="7"/>
        <v>85</v>
      </c>
      <c r="AE39" s="1">
        <f t="shared" si="8"/>
        <v>95</v>
      </c>
      <c r="AF39" s="1">
        <f t="shared" si="9"/>
        <v>23.713999999999999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67</v>
      </c>
      <c r="B40" s="1" t="s">
        <v>33</v>
      </c>
      <c r="C40" s="1">
        <v>26.96</v>
      </c>
      <c r="D40" s="1">
        <v>156.76300000000001</v>
      </c>
      <c r="E40" s="1">
        <v>148.078</v>
      </c>
      <c r="F40" s="1">
        <v>2.2000000000000002</v>
      </c>
      <c r="G40" s="8">
        <v>1</v>
      </c>
      <c r="H40" s="1">
        <v>45</v>
      </c>
      <c r="I40" s="1">
        <v>6550</v>
      </c>
      <c r="J40" s="1"/>
      <c r="K40" s="1">
        <v>173.2</v>
      </c>
      <c r="L40" s="1">
        <f t="shared" si="15"/>
        <v>-25.121999999999986</v>
      </c>
      <c r="M40" s="1"/>
      <c r="N40" s="1"/>
      <c r="O40" s="1">
        <v>380</v>
      </c>
      <c r="P40" s="1">
        <f t="shared" si="16"/>
        <v>29.615600000000001</v>
      </c>
      <c r="Q40" s="5">
        <f t="shared" si="10"/>
        <v>32.418400000000005</v>
      </c>
      <c r="R40" s="5">
        <f t="shared" si="6"/>
        <v>32</v>
      </c>
      <c r="S40" s="5"/>
      <c r="T40" s="5"/>
      <c r="U40" s="1"/>
      <c r="V40" s="1">
        <f t="shared" si="18"/>
        <v>14</v>
      </c>
      <c r="W40" s="1">
        <f t="shared" si="19"/>
        <v>12.905360688285903</v>
      </c>
      <c r="X40" s="1">
        <v>34.425600000000003</v>
      </c>
      <c r="Y40" s="1">
        <v>21.269600000000001</v>
      </c>
      <c r="Z40" s="1">
        <v>21.2666</v>
      </c>
      <c r="AA40" s="1">
        <v>18.827000000000002</v>
      </c>
      <c r="AB40" s="1">
        <v>18.083400000000001</v>
      </c>
      <c r="AC40" s="1"/>
      <c r="AD40" s="1">
        <f t="shared" si="7"/>
        <v>32</v>
      </c>
      <c r="AE40" s="1">
        <f t="shared" si="8"/>
        <v>0</v>
      </c>
      <c r="AF40" s="1">
        <f t="shared" si="9"/>
        <v>29.615600000000001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68</v>
      </c>
      <c r="B41" s="1" t="s">
        <v>31</v>
      </c>
      <c r="C41" s="1">
        <v>105</v>
      </c>
      <c r="D41" s="1"/>
      <c r="E41" s="1">
        <v>105</v>
      </c>
      <c r="F41" s="1"/>
      <c r="G41" s="8">
        <v>0.35</v>
      </c>
      <c r="H41" s="1">
        <v>45</v>
      </c>
      <c r="I41" s="1">
        <v>6602</v>
      </c>
      <c r="J41" s="1"/>
      <c r="K41" s="1">
        <v>137</v>
      </c>
      <c r="L41" s="1">
        <f t="shared" si="15"/>
        <v>-32</v>
      </c>
      <c r="M41" s="1"/>
      <c r="N41" s="1"/>
      <c r="O41" s="1">
        <v>360</v>
      </c>
      <c r="P41" s="1">
        <f t="shared" si="16"/>
        <v>21</v>
      </c>
      <c r="Q41" s="5"/>
      <c r="R41" s="5">
        <f t="shared" si="6"/>
        <v>0</v>
      </c>
      <c r="S41" s="5"/>
      <c r="T41" s="5"/>
      <c r="U41" s="1"/>
      <c r="V41" s="1">
        <f t="shared" si="18"/>
        <v>17.142857142857142</v>
      </c>
      <c r="W41" s="1">
        <f t="shared" si="19"/>
        <v>17.142857142857142</v>
      </c>
      <c r="X41" s="1">
        <v>33.4</v>
      </c>
      <c r="Y41" s="1">
        <v>4.5999999999999996</v>
      </c>
      <c r="Z41" s="1">
        <v>-1.4</v>
      </c>
      <c r="AA41" s="1">
        <v>15</v>
      </c>
      <c r="AB41" s="1">
        <v>4.2</v>
      </c>
      <c r="AC41" s="1"/>
      <c r="AD41" s="1">
        <f t="shared" si="7"/>
        <v>0</v>
      </c>
      <c r="AE41" s="1">
        <f t="shared" si="8"/>
        <v>0</v>
      </c>
      <c r="AF41" s="1">
        <f t="shared" si="9"/>
        <v>7.35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69</v>
      </c>
      <c r="B42" s="1" t="s">
        <v>33</v>
      </c>
      <c r="C42" s="1">
        <v>213.89099999999999</v>
      </c>
      <c r="D42" s="1">
        <v>91.007999999999996</v>
      </c>
      <c r="E42" s="1">
        <v>224.79</v>
      </c>
      <c r="F42" s="1">
        <v>47.265999999999998</v>
      </c>
      <c r="G42" s="8">
        <v>1</v>
      </c>
      <c r="H42" s="1">
        <v>45</v>
      </c>
      <c r="I42" s="1">
        <v>6608</v>
      </c>
      <c r="J42" s="1"/>
      <c r="K42" s="1">
        <v>238.1</v>
      </c>
      <c r="L42" s="1">
        <f t="shared" si="15"/>
        <v>-13.310000000000002</v>
      </c>
      <c r="M42" s="1"/>
      <c r="N42" s="1"/>
      <c r="O42" s="1">
        <v>240</v>
      </c>
      <c r="P42" s="1">
        <f t="shared" si="16"/>
        <v>44.957999999999998</v>
      </c>
      <c r="Q42" s="5">
        <f>13*P42-O42-F42</f>
        <v>297.18799999999993</v>
      </c>
      <c r="R42" s="5">
        <f t="shared" si="6"/>
        <v>141</v>
      </c>
      <c r="S42" s="5">
        <f>ROUND(Q42/1.9,0)</f>
        <v>156</v>
      </c>
      <c r="T42" s="5"/>
      <c r="U42" s="1"/>
      <c r="V42" s="1">
        <f t="shared" si="18"/>
        <v>13</v>
      </c>
      <c r="W42" s="1">
        <f t="shared" si="19"/>
        <v>6.3896525646158642</v>
      </c>
      <c r="X42" s="1">
        <v>38.369199999999999</v>
      </c>
      <c r="Y42" s="1">
        <v>34.367400000000004</v>
      </c>
      <c r="Z42" s="1">
        <v>40.723599999999998</v>
      </c>
      <c r="AA42" s="1">
        <v>31.277200000000001</v>
      </c>
      <c r="AB42" s="1">
        <v>24.531199999999998</v>
      </c>
      <c r="AC42" s="1"/>
      <c r="AD42" s="1">
        <f t="shared" si="7"/>
        <v>141</v>
      </c>
      <c r="AE42" s="1">
        <f t="shared" si="8"/>
        <v>156</v>
      </c>
      <c r="AF42" s="1">
        <f t="shared" si="9"/>
        <v>44.957999999999998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70</v>
      </c>
      <c r="B43" s="1" t="s">
        <v>31</v>
      </c>
      <c r="C43" s="1">
        <v>1</v>
      </c>
      <c r="D43" s="1">
        <v>264</v>
      </c>
      <c r="E43" s="1">
        <v>106</v>
      </c>
      <c r="F43" s="1">
        <v>144</v>
      </c>
      <c r="G43" s="8">
        <v>0.3</v>
      </c>
      <c r="H43" s="1">
        <v>45</v>
      </c>
      <c r="I43" s="1">
        <v>6616</v>
      </c>
      <c r="J43" s="1"/>
      <c r="K43" s="1">
        <v>203</v>
      </c>
      <c r="L43" s="1">
        <f t="shared" si="15"/>
        <v>-97</v>
      </c>
      <c r="M43" s="1"/>
      <c r="N43" s="1"/>
      <c r="O43" s="1">
        <v>160</v>
      </c>
      <c r="P43" s="1">
        <f t="shared" si="16"/>
        <v>21.2</v>
      </c>
      <c r="Q43" s="5"/>
      <c r="R43" s="5">
        <f t="shared" si="6"/>
        <v>0</v>
      </c>
      <c r="S43" s="5"/>
      <c r="T43" s="5"/>
      <c r="U43" s="1"/>
      <c r="V43" s="1">
        <f t="shared" si="18"/>
        <v>14.339622641509434</v>
      </c>
      <c r="W43" s="1">
        <f t="shared" si="19"/>
        <v>14.339622641509434</v>
      </c>
      <c r="X43" s="1">
        <v>22.8</v>
      </c>
      <c r="Y43" s="1">
        <v>28</v>
      </c>
      <c r="Z43" s="1">
        <v>19.2</v>
      </c>
      <c r="AA43" s="1">
        <v>21.6</v>
      </c>
      <c r="AB43" s="1">
        <v>24.4</v>
      </c>
      <c r="AC43" s="1"/>
      <c r="AD43" s="1">
        <f t="shared" si="7"/>
        <v>0</v>
      </c>
      <c r="AE43" s="1">
        <f t="shared" si="8"/>
        <v>0</v>
      </c>
      <c r="AF43" s="1">
        <f t="shared" si="9"/>
        <v>6.3599999999999994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71</v>
      </c>
      <c r="B44" s="1" t="s">
        <v>33</v>
      </c>
      <c r="C44" s="1">
        <v>131.916</v>
      </c>
      <c r="D44" s="1"/>
      <c r="E44" s="1">
        <v>65.001999999999995</v>
      </c>
      <c r="F44" s="1">
        <v>63.287999999999997</v>
      </c>
      <c r="G44" s="8">
        <v>1</v>
      </c>
      <c r="H44" s="1"/>
      <c r="I44" s="1">
        <v>6620</v>
      </c>
      <c r="J44" s="1"/>
      <c r="K44" s="1">
        <v>64.3</v>
      </c>
      <c r="L44" s="1">
        <f t="shared" si="15"/>
        <v>0.70199999999999818</v>
      </c>
      <c r="M44" s="1"/>
      <c r="N44" s="1"/>
      <c r="O44" s="1">
        <v>180</v>
      </c>
      <c r="P44" s="1">
        <f t="shared" si="16"/>
        <v>13.000399999999999</v>
      </c>
      <c r="Q44" s="5"/>
      <c r="R44" s="5">
        <f t="shared" si="6"/>
        <v>0</v>
      </c>
      <c r="S44" s="5"/>
      <c r="T44" s="5"/>
      <c r="U44" s="1"/>
      <c r="V44" s="1">
        <f t="shared" si="18"/>
        <v>18.713885726593031</v>
      </c>
      <c r="W44" s="1">
        <f t="shared" si="19"/>
        <v>18.713885726593031</v>
      </c>
      <c r="X44" s="1">
        <v>23.759599999999999</v>
      </c>
      <c r="Y44" s="1">
        <v>5.3927999999999994</v>
      </c>
      <c r="Z44" s="1">
        <v>30.8232</v>
      </c>
      <c r="AA44" s="1">
        <v>12.625999999999999</v>
      </c>
      <c r="AB44" s="1">
        <v>10.706799999999999</v>
      </c>
      <c r="AC44" s="1"/>
      <c r="AD44" s="1">
        <f t="shared" si="7"/>
        <v>0</v>
      </c>
      <c r="AE44" s="1">
        <f t="shared" si="8"/>
        <v>0</v>
      </c>
      <c r="AF44" s="1">
        <f t="shared" si="9"/>
        <v>13.000399999999999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72</v>
      </c>
      <c r="B45" s="1" t="s">
        <v>33</v>
      </c>
      <c r="C45" s="1">
        <v>194.69300000000001</v>
      </c>
      <c r="D45" s="1">
        <v>118.26300000000001</v>
      </c>
      <c r="E45" s="1">
        <v>263.93900000000002</v>
      </c>
      <c r="F45" s="1">
        <v>16.382999999999999</v>
      </c>
      <c r="G45" s="8">
        <v>1</v>
      </c>
      <c r="H45" s="1">
        <v>45</v>
      </c>
      <c r="I45" s="1">
        <v>6661</v>
      </c>
      <c r="J45" s="1"/>
      <c r="K45" s="1">
        <v>269.7</v>
      </c>
      <c r="L45" s="1">
        <f t="shared" si="15"/>
        <v>-5.7609999999999673</v>
      </c>
      <c r="M45" s="1"/>
      <c r="N45" s="1"/>
      <c r="O45" s="1">
        <v>180</v>
      </c>
      <c r="P45" s="1">
        <f t="shared" si="16"/>
        <v>52.787800000000004</v>
      </c>
      <c r="Q45" s="5">
        <f>13*P45-O45-F45</f>
        <v>489.85840000000013</v>
      </c>
      <c r="R45" s="5">
        <f t="shared" si="6"/>
        <v>232</v>
      </c>
      <c r="S45" s="5">
        <f t="shared" ref="S45:S49" si="20">ROUND(Q45/1.9,0)</f>
        <v>258</v>
      </c>
      <c r="T45" s="5"/>
      <c r="U45" s="1"/>
      <c r="V45" s="1">
        <f t="shared" si="18"/>
        <v>13.000000000000002</v>
      </c>
      <c r="W45" s="1">
        <f t="shared" si="19"/>
        <v>3.7202345996612851</v>
      </c>
      <c r="X45" s="1">
        <v>34.78</v>
      </c>
      <c r="Y45" s="1">
        <v>33.724800000000002</v>
      </c>
      <c r="Z45" s="1">
        <v>37.8416</v>
      </c>
      <c r="AA45" s="1">
        <v>37.513399999999997</v>
      </c>
      <c r="AB45" s="1">
        <v>45.942</v>
      </c>
      <c r="AC45" s="1"/>
      <c r="AD45" s="1">
        <f t="shared" si="7"/>
        <v>232</v>
      </c>
      <c r="AE45" s="1">
        <f t="shared" si="8"/>
        <v>258</v>
      </c>
      <c r="AF45" s="1">
        <f t="shared" si="9"/>
        <v>52.787800000000004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73</v>
      </c>
      <c r="B46" s="1" t="s">
        <v>31</v>
      </c>
      <c r="C46" s="1">
        <v>446</v>
      </c>
      <c r="D46" s="1">
        <v>400</v>
      </c>
      <c r="E46" s="1">
        <v>329</v>
      </c>
      <c r="F46" s="1">
        <v>467</v>
      </c>
      <c r="G46" s="8">
        <v>0.35</v>
      </c>
      <c r="H46" s="1">
        <v>45</v>
      </c>
      <c r="I46" s="1">
        <v>6697</v>
      </c>
      <c r="J46" s="1"/>
      <c r="K46" s="1">
        <v>354</v>
      </c>
      <c r="L46" s="1">
        <f t="shared" si="15"/>
        <v>-25</v>
      </c>
      <c r="M46" s="1"/>
      <c r="N46" s="1"/>
      <c r="O46" s="1">
        <v>240</v>
      </c>
      <c r="P46" s="1">
        <f t="shared" si="16"/>
        <v>65.8</v>
      </c>
      <c r="Q46" s="5">
        <f t="shared" si="10"/>
        <v>214.19999999999993</v>
      </c>
      <c r="R46" s="5">
        <f t="shared" si="6"/>
        <v>101</v>
      </c>
      <c r="S46" s="5">
        <f t="shared" si="20"/>
        <v>113</v>
      </c>
      <c r="T46" s="5"/>
      <c r="U46" s="1"/>
      <c r="V46" s="1">
        <f t="shared" si="18"/>
        <v>14</v>
      </c>
      <c r="W46" s="1">
        <f t="shared" si="19"/>
        <v>10.74468085106383</v>
      </c>
      <c r="X46" s="1">
        <v>59.4</v>
      </c>
      <c r="Y46" s="1">
        <v>66.400000000000006</v>
      </c>
      <c r="Z46" s="1">
        <v>74.8</v>
      </c>
      <c r="AA46" s="1">
        <v>52.8</v>
      </c>
      <c r="AB46" s="1">
        <v>68.599999999999994</v>
      </c>
      <c r="AC46" s="1"/>
      <c r="AD46" s="1">
        <f t="shared" si="7"/>
        <v>35.349999999999994</v>
      </c>
      <c r="AE46" s="1">
        <f t="shared" si="8"/>
        <v>39.549999999999997</v>
      </c>
      <c r="AF46" s="1">
        <f t="shared" si="9"/>
        <v>23.029999999999998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74</v>
      </c>
      <c r="B47" s="1" t="s">
        <v>31</v>
      </c>
      <c r="C47" s="1">
        <v>516</v>
      </c>
      <c r="D47" s="1">
        <v>160</v>
      </c>
      <c r="E47" s="1">
        <v>207</v>
      </c>
      <c r="F47" s="1">
        <v>435</v>
      </c>
      <c r="G47" s="8">
        <v>0.41</v>
      </c>
      <c r="H47" s="1">
        <v>45</v>
      </c>
      <c r="I47" s="1">
        <v>6713</v>
      </c>
      <c r="J47" s="1"/>
      <c r="K47" s="1">
        <v>233</v>
      </c>
      <c r="L47" s="1">
        <f t="shared" si="15"/>
        <v>-26</v>
      </c>
      <c r="M47" s="1"/>
      <c r="N47" s="1"/>
      <c r="O47" s="1"/>
      <c r="P47" s="1">
        <f t="shared" si="16"/>
        <v>41.4</v>
      </c>
      <c r="Q47" s="5">
        <f t="shared" si="10"/>
        <v>144.60000000000002</v>
      </c>
      <c r="R47" s="5">
        <f t="shared" si="6"/>
        <v>69</v>
      </c>
      <c r="S47" s="5">
        <f t="shared" si="20"/>
        <v>76</v>
      </c>
      <c r="T47" s="5"/>
      <c r="U47" s="1"/>
      <c r="V47" s="1">
        <f t="shared" si="18"/>
        <v>14.000000000000002</v>
      </c>
      <c r="W47" s="1">
        <f t="shared" si="19"/>
        <v>10.507246376811594</v>
      </c>
      <c r="X47" s="1">
        <v>37.6</v>
      </c>
      <c r="Y47" s="1">
        <v>6.2</v>
      </c>
      <c r="Z47" s="1">
        <v>55.4</v>
      </c>
      <c r="AA47" s="1">
        <v>22.6</v>
      </c>
      <c r="AB47" s="1">
        <v>39.4</v>
      </c>
      <c r="AC47" s="1" t="s">
        <v>75</v>
      </c>
      <c r="AD47" s="1">
        <f t="shared" si="7"/>
        <v>28.29</v>
      </c>
      <c r="AE47" s="1">
        <f t="shared" si="8"/>
        <v>31.159999999999997</v>
      </c>
      <c r="AF47" s="1">
        <f t="shared" si="9"/>
        <v>16.973999999999997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76</v>
      </c>
      <c r="B48" s="1" t="s">
        <v>31</v>
      </c>
      <c r="C48" s="1">
        <v>294</v>
      </c>
      <c r="D48" s="1">
        <v>150</v>
      </c>
      <c r="E48" s="1">
        <v>179</v>
      </c>
      <c r="F48" s="1">
        <v>241</v>
      </c>
      <c r="G48" s="8">
        <v>0.41</v>
      </c>
      <c r="H48" s="1">
        <v>45</v>
      </c>
      <c r="I48" s="1">
        <v>6724</v>
      </c>
      <c r="J48" s="1"/>
      <c r="K48" s="1">
        <v>197</v>
      </c>
      <c r="L48" s="1">
        <f t="shared" si="15"/>
        <v>-18</v>
      </c>
      <c r="M48" s="1"/>
      <c r="N48" s="1"/>
      <c r="O48" s="1"/>
      <c r="P48" s="1">
        <f t="shared" si="16"/>
        <v>35.799999999999997</v>
      </c>
      <c r="Q48" s="5">
        <f t="shared" si="10"/>
        <v>260.19999999999993</v>
      </c>
      <c r="R48" s="5">
        <f t="shared" si="6"/>
        <v>123</v>
      </c>
      <c r="S48" s="5">
        <f t="shared" si="20"/>
        <v>137</v>
      </c>
      <c r="T48" s="5"/>
      <c r="U48" s="1"/>
      <c r="V48" s="1">
        <f t="shared" si="18"/>
        <v>14</v>
      </c>
      <c r="W48" s="1">
        <f t="shared" si="19"/>
        <v>6.7318435754189947</v>
      </c>
      <c r="X48" s="1">
        <v>25.4</v>
      </c>
      <c r="Y48" s="1">
        <v>22.2</v>
      </c>
      <c r="Z48" s="1">
        <v>38.6</v>
      </c>
      <c r="AA48" s="1">
        <v>21.4</v>
      </c>
      <c r="AB48" s="1">
        <v>28.6</v>
      </c>
      <c r="AC48" s="1"/>
      <c r="AD48" s="1">
        <f t="shared" si="7"/>
        <v>50.43</v>
      </c>
      <c r="AE48" s="1">
        <f t="shared" si="8"/>
        <v>56.169999999999995</v>
      </c>
      <c r="AF48" s="1">
        <f t="shared" si="9"/>
        <v>14.677999999999997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77</v>
      </c>
      <c r="B49" s="1" t="s">
        <v>31</v>
      </c>
      <c r="C49" s="1">
        <v>367</v>
      </c>
      <c r="D49" s="1">
        <v>96</v>
      </c>
      <c r="E49" s="1">
        <v>208</v>
      </c>
      <c r="F49" s="1">
        <v>249</v>
      </c>
      <c r="G49" s="8">
        <v>0.36</v>
      </c>
      <c r="H49" s="1">
        <v>45</v>
      </c>
      <c r="I49" s="1">
        <v>6765</v>
      </c>
      <c r="J49" s="1"/>
      <c r="K49" s="1">
        <v>212</v>
      </c>
      <c r="L49" s="1">
        <f t="shared" si="15"/>
        <v>-4</v>
      </c>
      <c r="M49" s="1"/>
      <c r="N49" s="1"/>
      <c r="O49" s="1">
        <v>80</v>
      </c>
      <c r="P49" s="1">
        <f t="shared" si="16"/>
        <v>41.6</v>
      </c>
      <c r="Q49" s="5">
        <f t="shared" si="10"/>
        <v>253.39999999999998</v>
      </c>
      <c r="R49" s="5">
        <f t="shared" si="6"/>
        <v>120</v>
      </c>
      <c r="S49" s="5">
        <f t="shared" si="20"/>
        <v>133</v>
      </c>
      <c r="T49" s="5"/>
      <c r="U49" s="1"/>
      <c r="V49" s="1">
        <f t="shared" si="18"/>
        <v>13.999999999999998</v>
      </c>
      <c r="W49" s="1">
        <f t="shared" si="19"/>
        <v>7.9086538461538458</v>
      </c>
      <c r="X49" s="1">
        <v>39.200000000000003</v>
      </c>
      <c r="Y49" s="1">
        <v>2.6</v>
      </c>
      <c r="Z49" s="1">
        <v>41.8</v>
      </c>
      <c r="AA49" s="1">
        <v>11</v>
      </c>
      <c r="AB49" s="1">
        <v>19.399999999999999</v>
      </c>
      <c r="AC49" s="1"/>
      <c r="AD49" s="1">
        <f t="shared" si="7"/>
        <v>43.199999999999996</v>
      </c>
      <c r="AE49" s="1">
        <f t="shared" si="8"/>
        <v>47.879999999999995</v>
      </c>
      <c r="AF49" s="1">
        <f t="shared" si="9"/>
        <v>14.975999999999999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78</v>
      </c>
      <c r="B50" s="1" t="s">
        <v>31</v>
      </c>
      <c r="C50" s="1">
        <v>252</v>
      </c>
      <c r="D50" s="1">
        <v>120</v>
      </c>
      <c r="E50" s="1">
        <v>80</v>
      </c>
      <c r="F50" s="1">
        <v>284</v>
      </c>
      <c r="G50" s="8">
        <v>0.33</v>
      </c>
      <c r="H50" s="1">
        <v>45</v>
      </c>
      <c r="I50" s="1">
        <v>6787</v>
      </c>
      <c r="J50" s="1"/>
      <c r="K50" s="1">
        <v>87</v>
      </c>
      <c r="L50" s="1">
        <f t="shared" si="15"/>
        <v>-7</v>
      </c>
      <c r="M50" s="1"/>
      <c r="N50" s="1"/>
      <c r="O50" s="1"/>
      <c r="P50" s="1">
        <f t="shared" si="16"/>
        <v>16</v>
      </c>
      <c r="Q50" s="5"/>
      <c r="R50" s="5">
        <f t="shared" si="6"/>
        <v>0</v>
      </c>
      <c r="S50" s="5"/>
      <c r="T50" s="5"/>
      <c r="U50" s="1"/>
      <c r="V50" s="1">
        <f t="shared" si="18"/>
        <v>17.75</v>
      </c>
      <c r="W50" s="1">
        <f t="shared" si="19"/>
        <v>17.75</v>
      </c>
      <c r="X50" s="1">
        <v>12.6</v>
      </c>
      <c r="Y50" s="1">
        <v>10.199999999999999</v>
      </c>
      <c r="Z50" s="1">
        <v>26.4</v>
      </c>
      <c r="AA50" s="1">
        <v>8.8000000000000007</v>
      </c>
      <c r="AB50" s="1">
        <v>16.8</v>
      </c>
      <c r="AC50" s="1"/>
      <c r="AD50" s="1">
        <f t="shared" si="7"/>
        <v>0</v>
      </c>
      <c r="AE50" s="1">
        <f t="shared" si="8"/>
        <v>0</v>
      </c>
      <c r="AF50" s="1">
        <f t="shared" si="9"/>
        <v>5.28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79</v>
      </c>
      <c r="B51" s="1" t="s">
        <v>31</v>
      </c>
      <c r="C51" s="1"/>
      <c r="D51" s="1">
        <v>216</v>
      </c>
      <c r="E51" s="1">
        <v>50</v>
      </c>
      <c r="F51" s="1">
        <v>156</v>
      </c>
      <c r="G51" s="8">
        <v>0.4</v>
      </c>
      <c r="H51" s="1"/>
      <c r="I51" s="1">
        <v>6797</v>
      </c>
      <c r="J51" s="1"/>
      <c r="K51" s="1">
        <v>78</v>
      </c>
      <c r="L51" s="1">
        <f t="shared" si="15"/>
        <v>-28</v>
      </c>
      <c r="M51" s="1"/>
      <c r="N51" s="1"/>
      <c r="O51" s="1">
        <v>160</v>
      </c>
      <c r="P51" s="1">
        <f t="shared" si="16"/>
        <v>10</v>
      </c>
      <c r="Q51" s="5"/>
      <c r="R51" s="5">
        <f t="shared" si="6"/>
        <v>0</v>
      </c>
      <c r="S51" s="5"/>
      <c r="T51" s="5"/>
      <c r="U51" s="1"/>
      <c r="V51" s="1">
        <f t="shared" si="18"/>
        <v>31.6</v>
      </c>
      <c r="W51" s="1">
        <f t="shared" si="19"/>
        <v>31.6</v>
      </c>
      <c r="X51" s="1">
        <v>25</v>
      </c>
      <c r="Y51" s="1">
        <v>35.6</v>
      </c>
      <c r="Z51" s="1">
        <v>19.8</v>
      </c>
      <c r="AA51" s="1">
        <v>0</v>
      </c>
      <c r="AB51" s="1">
        <v>0</v>
      </c>
      <c r="AC51" s="1"/>
      <c r="AD51" s="1">
        <f t="shared" si="7"/>
        <v>0</v>
      </c>
      <c r="AE51" s="1">
        <f t="shared" si="8"/>
        <v>0</v>
      </c>
      <c r="AF51" s="1">
        <f t="shared" si="9"/>
        <v>4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80</v>
      </c>
      <c r="B52" s="1" t="s">
        <v>31</v>
      </c>
      <c r="C52" s="1">
        <v>85</v>
      </c>
      <c r="D52" s="1">
        <v>48</v>
      </c>
      <c r="E52" s="1">
        <v>23</v>
      </c>
      <c r="F52" s="1">
        <v>108</v>
      </c>
      <c r="G52" s="8">
        <v>0.33</v>
      </c>
      <c r="H52" s="1">
        <v>45</v>
      </c>
      <c r="I52" s="1">
        <v>6807</v>
      </c>
      <c r="J52" s="1"/>
      <c r="K52" s="1">
        <v>29</v>
      </c>
      <c r="L52" s="1">
        <f t="shared" si="15"/>
        <v>-6</v>
      </c>
      <c r="M52" s="1"/>
      <c r="N52" s="1"/>
      <c r="O52" s="1"/>
      <c r="P52" s="1">
        <f t="shared" si="16"/>
        <v>4.5999999999999996</v>
      </c>
      <c r="Q52" s="5"/>
      <c r="R52" s="5">
        <f t="shared" si="6"/>
        <v>0</v>
      </c>
      <c r="S52" s="5"/>
      <c r="T52" s="5"/>
      <c r="U52" s="1"/>
      <c r="V52" s="1">
        <f t="shared" si="18"/>
        <v>23.478260869565219</v>
      </c>
      <c r="W52" s="1">
        <f t="shared" si="19"/>
        <v>23.478260869565219</v>
      </c>
      <c r="X52" s="1">
        <v>8.1999999999999993</v>
      </c>
      <c r="Y52" s="1">
        <v>11</v>
      </c>
      <c r="Z52" s="1">
        <v>13.4</v>
      </c>
      <c r="AA52" s="1">
        <v>6.2</v>
      </c>
      <c r="AB52" s="1">
        <v>5.8</v>
      </c>
      <c r="AC52" s="15" t="s">
        <v>125</v>
      </c>
      <c r="AD52" s="1">
        <f t="shared" si="7"/>
        <v>0</v>
      </c>
      <c r="AE52" s="1">
        <f t="shared" si="8"/>
        <v>0</v>
      </c>
      <c r="AF52" s="1">
        <f t="shared" si="9"/>
        <v>1.518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81</v>
      </c>
      <c r="B53" s="1" t="s">
        <v>33</v>
      </c>
      <c r="C53" s="1">
        <v>157.256</v>
      </c>
      <c r="D53" s="1">
        <v>84.001999999999995</v>
      </c>
      <c r="E53" s="1">
        <v>239.68700000000001</v>
      </c>
      <c r="F53" s="1">
        <v>-0.70699999999999996</v>
      </c>
      <c r="G53" s="8">
        <v>1</v>
      </c>
      <c r="H53" s="1">
        <v>45</v>
      </c>
      <c r="I53" s="1">
        <v>6829</v>
      </c>
      <c r="J53" s="1"/>
      <c r="K53" s="1">
        <v>365.9</v>
      </c>
      <c r="L53" s="1">
        <f t="shared" si="15"/>
        <v>-126.21299999999997</v>
      </c>
      <c r="M53" s="1"/>
      <c r="N53" s="1"/>
      <c r="O53" s="1">
        <v>700</v>
      </c>
      <c r="P53" s="1">
        <f t="shared" si="16"/>
        <v>47.937400000000004</v>
      </c>
      <c r="Q53" s="5"/>
      <c r="R53" s="5">
        <f t="shared" si="6"/>
        <v>0</v>
      </c>
      <c r="S53" s="5"/>
      <c r="T53" s="5"/>
      <c r="U53" s="1"/>
      <c r="V53" s="1">
        <f t="shared" si="18"/>
        <v>14.587628865979381</v>
      </c>
      <c r="W53" s="1">
        <f t="shared" si="19"/>
        <v>14.587628865979381</v>
      </c>
      <c r="X53" s="1">
        <v>73.170199999999994</v>
      </c>
      <c r="Y53" s="1">
        <v>43.623600000000003</v>
      </c>
      <c r="Z53" s="1">
        <v>22.008600000000001</v>
      </c>
      <c r="AA53" s="1">
        <v>54.067799999999998</v>
      </c>
      <c r="AB53" s="1">
        <v>47.639400000000002</v>
      </c>
      <c r="AC53" s="1" t="s">
        <v>36</v>
      </c>
      <c r="AD53" s="1">
        <f t="shared" si="7"/>
        <v>0</v>
      </c>
      <c r="AE53" s="1">
        <f t="shared" si="8"/>
        <v>0</v>
      </c>
      <c r="AF53" s="1">
        <f t="shared" si="9"/>
        <v>47.937400000000004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82</v>
      </c>
      <c r="B54" s="1" t="s">
        <v>31</v>
      </c>
      <c r="C54" s="1">
        <v>137</v>
      </c>
      <c r="D54" s="1">
        <v>2</v>
      </c>
      <c r="E54" s="1">
        <v>21</v>
      </c>
      <c r="F54" s="1">
        <v>107</v>
      </c>
      <c r="G54" s="8">
        <v>0.1</v>
      </c>
      <c r="H54" s="1"/>
      <c r="I54" s="1">
        <v>6834</v>
      </c>
      <c r="J54" s="1"/>
      <c r="K54" s="1">
        <v>27</v>
      </c>
      <c r="L54" s="1">
        <f t="shared" si="15"/>
        <v>-6</v>
      </c>
      <c r="M54" s="1"/>
      <c r="N54" s="1"/>
      <c r="O54" s="1"/>
      <c r="P54" s="1">
        <f t="shared" si="16"/>
        <v>4.2</v>
      </c>
      <c r="Q54" s="5"/>
      <c r="R54" s="5">
        <f t="shared" si="6"/>
        <v>0</v>
      </c>
      <c r="S54" s="5"/>
      <c r="T54" s="5"/>
      <c r="U54" s="1"/>
      <c r="V54" s="1">
        <f t="shared" si="18"/>
        <v>25.476190476190474</v>
      </c>
      <c r="W54" s="1">
        <f t="shared" si="19"/>
        <v>25.476190476190474</v>
      </c>
      <c r="X54" s="1">
        <v>9</v>
      </c>
      <c r="Y54" s="1">
        <v>6.2</v>
      </c>
      <c r="Z54" s="1">
        <v>5</v>
      </c>
      <c r="AA54" s="1">
        <v>9.6</v>
      </c>
      <c r="AB54" s="1">
        <v>13.6</v>
      </c>
      <c r="AC54" s="15" t="s">
        <v>125</v>
      </c>
      <c r="AD54" s="1">
        <f t="shared" si="7"/>
        <v>0</v>
      </c>
      <c r="AE54" s="1">
        <f t="shared" si="8"/>
        <v>0</v>
      </c>
      <c r="AF54" s="1">
        <f t="shared" si="9"/>
        <v>0.42000000000000004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83</v>
      </c>
      <c r="B55" s="1" t="s">
        <v>31</v>
      </c>
      <c r="C55" s="1">
        <v>156</v>
      </c>
      <c r="D55" s="1">
        <v>96</v>
      </c>
      <c r="E55" s="1">
        <v>107</v>
      </c>
      <c r="F55" s="1">
        <v>144</v>
      </c>
      <c r="G55" s="8">
        <v>0.4</v>
      </c>
      <c r="H55" s="1">
        <v>45</v>
      </c>
      <c r="I55" s="1">
        <v>6837</v>
      </c>
      <c r="J55" s="1"/>
      <c r="K55" s="1">
        <v>111</v>
      </c>
      <c r="L55" s="1">
        <f t="shared" si="15"/>
        <v>-4</v>
      </c>
      <c r="M55" s="1"/>
      <c r="N55" s="1"/>
      <c r="O55" s="1">
        <v>40</v>
      </c>
      <c r="P55" s="1">
        <f t="shared" si="16"/>
        <v>21.4</v>
      </c>
      <c r="Q55" s="5">
        <f t="shared" si="10"/>
        <v>115.59999999999997</v>
      </c>
      <c r="R55" s="5">
        <f t="shared" si="6"/>
        <v>55</v>
      </c>
      <c r="S55" s="5">
        <f>ROUND(Q55/1.9,0)</f>
        <v>61</v>
      </c>
      <c r="T55" s="5"/>
      <c r="U55" s="1"/>
      <c r="V55" s="1">
        <f t="shared" si="18"/>
        <v>14</v>
      </c>
      <c r="W55" s="1">
        <f t="shared" si="19"/>
        <v>8.5981308411214954</v>
      </c>
      <c r="X55" s="1">
        <v>20.2</v>
      </c>
      <c r="Y55" s="1">
        <v>13.8</v>
      </c>
      <c r="Z55" s="1">
        <v>-1.4</v>
      </c>
      <c r="AA55" s="1">
        <v>19.399999999999999</v>
      </c>
      <c r="AB55" s="1">
        <v>21</v>
      </c>
      <c r="AC55" s="1"/>
      <c r="AD55" s="1">
        <f t="shared" si="7"/>
        <v>22</v>
      </c>
      <c r="AE55" s="1">
        <f t="shared" si="8"/>
        <v>24.400000000000002</v>
      </c>
      <c r="AF55" s="1">
        <f t="shared" si="9"/>
        <v>8.56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84</v>
      </c>
      <c r="B56" s="1" t="s">
        <v>33</v>
      </c>
      <c r="C56" s="1">
        <v>130.66499999999999</v>
      </c>
      <c r="D56" s="1"/>
      <c r="E56" s="1">
        <v>31.286999999999999</v>
      </c>
      <c r="F56" s="1">
        <v>97.418000000000006</v>
      </c>
      <c r="G56" s="8">
        <v>1</v>
      </c>
      <c r="H56" s="1"/>
      <c r="I56" s="1">
        <v>6861</v>
      </c>
      <c r="J56" s="1"/>
      <c r="K56" s="1">
        <v>28.9</v>
      </c>
      <c r="L56" s="1">
        <f t="shared" si="15"/>
        <v>2.3870000000000005</v>
      </c>
      <c r="M56" s="1"/>
      <c r="N56" s="1"/>
      <c r="O56" s="1"/>
      <c r="P56" s="1">
        <f t="shared" si="16"/>
        <v>6.2573999999999996</v>
      </c>
      <c r="Q56" s="5"/>
      <c r="R56" s="5">
        <f t="shared" si="6"/>
        <v>0</v>
      </c>
      <c r="S56" s="5"/>
      <c r="T56" s="5"/>
      <c r="U56" s="1"/>
      <c r="V56" s="1">
        <f t="shared" si="18"/>
        <v>15.568446958800783</v>
      </c>
      <c r="W56" s="1">
        <f t="shared" si="19"/>
        <v>15.568446958800783</v>
      </c>
      <c r="X56" s="1">
        <v>3.1316000000000002</v>
      </c>
      <c r="Y56" s="1">
        <v>4.6974</v>
      </c>
      <c r="Z56" s="1">
        <v>1.5696000000000001</v>
      </c>
      <c r="AA56" s="1">
        <v>4.6787999999999998</v>
      </c>
      <c r="AB56" s="1">
        <v>1.1397999999999999</v>
      </c>
      <c r="AC56" s="1"/>
      <c r="AD56" s="1">
        <f t="shared" si="7"/>
        <v>0</v>
      </c>
      <c r="AE56" s="1">
        <f t="shared" si="8"/>
        <v>0</v>
      </c>
      <c r="AF56" s="1">
        <f t="shared" si="9"/>
        <v>6.2573999999999996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85</v>
      </c>
      <c r="B57" s="1" t="s">
        <v>33</v>
      </c>
      <c r="C57" s="1">
        <v>30.094999999999999</v>
      </c>
      <c r="D57" s="1"/>
      <c r="E57" s="1">
        <v>30.07</v>
      </c>
      <c r="F57" s="1">
        <v>2.5000000000000001E-2</v>
      </c>
      <c r="G57" s="8">
        <v>1</v>
      </c>
      <c r="H57" s="1">
        <v>60</v>
      </c>
      <c r="I57" s="1">
        <v>6866</v>
      </c>
      <c r="J57" s="1"/>
      <c r="K57" s="1">
        <v>52.4</v>
      </c>
      <c r="L57" s="1">
        <f t="shared" si="15"/>
        <v>-22.33</v>
      </c>
      <c r="M57" s="1"/>
      <c r="N57" s="1"/>
      <c r="O57" s="1"/>
      <c r="P57" s="1">
        <f t="shared" si="16"/>
        <v>6.0140000000000002</v>
      </c>
      <c r="Q57" s="5">
        <f>9*P57-O57-F57</f>
        <v>54.101000000000006</v>
      </c>
      <c r="R57" s="5">
        <f t="shared" si="6"/>
        <v>54</v>
      </c>
      <c r="S57" s="5"/>
      <c r="T57" s="5"/>
      <c r="U57" s="1"/>
      <c r="V57" s="1">
        <f t="shared" si="18"/>
        <v>9</v>
      </c>
      <c r="W57" s="1">
        <f t="shared" si="19"/>
        <v>4.1569670768207513E-3</v>
      </c>
      <c r="X57" s="1">
        <v>2.7010000000000001</v>
      </c>
      <c r="Y57" s="1">
        <v>3.5880000000000001</v>
      </c>
      <c r="Z57" s="1">
        <v>3.887</v>
      </c>
      <c r="AA57" s="1">
        <v>1.7909999999999999</v>
      </c>
      <c r="AB57" s="1">
        <v>3.6339999999999999</v>
      </c>
      <c r="AC57" s="1"/>
      <c r="AD57" s="1">
        <f t="shared" si="7"/>
        <v>54</v>
      </c>
      <c r="AE57" s="1">
        <f t="shared" si="8"/>
        <v>0</v>
      </c>
      <c r="AF57" s="1">
        <f t="shared" si="9"/>
        <v>6.0140000000000002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86</v>
      </c>
      <c r="B58" s="1" t="s">
        <v>33</v>
      </c>
      <c r="C58" s="1">
        <v>141.46899999999999</v>
      </c>
      <c r="D58" s="1"/>
      <c r="E58" s="1"/>
      <c r="F58" s="1">
        <v>141.46899999999999</v>
      </c>
      <c r="G58" s="8">
        <v>0.84</v>
      </c>
      <c r="H58" s="1"/>
      <c r="I58" s="1">
        <v>6946</v>
      </c>
      <c r="J58" s="1"/>
      <c r="K58" s="1"/>
      <c r="L58" s="1">
        <f t="shared" si="15"/>
        <v>0</v>
      </c>
      <c r="M58" s="1"/>
      <c r="N58" s="1"/>
      <c r="O58" s="1"/>
      <c r="P58" s="1">
        <f t="shared" si="16"/>
        <v>0</v>
      </c>
      <c r="Q58" s="5"/>
      <c r="R58" s="5">
        <f t="shared" si="6"/>
        <v>0</v>
      </c>
      <c r="S58" s="5"/>
      <c r="T58" s="5"/>
      <c r="U58" s="1"/>
      <c r="V58" s="1" t="e">
        <f t="shared" si="18"/>
        <v>#DIV/0!</v>
      </c>
      <c r="W58" s="1" t="e">
        <f t="shared" si="19"/>
        <v>#DIV/0!</v>
      </c>
      <c r="X58" s="1">
        <v>0</v>
      </c>
      <c r="Y58" s="1">
        <v>0.17219999999999999</v>
      </c>
      <c r="Z58" s="1">
        <v>0.69100000000000006</v>
      </c>
      <c r="AA58" s="1">
        <v>4.4748000000000001</v>
      </c>
      <c r="AB58" s="1">
        <v>0</v>
      </c>
      <c r="AC58" s="1"/>
      <c r="AD58" s="1">
        <f t="shared" si="7"/>
        <v>0</v>
      </c>
      <c r="AE58" s="1">
        <f t="shared" si="8"/>
        <v>0</v>
      </c>
      <c r="AF58" s="1">
        <f t="shared" si="9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87</v>
      </c>
      <c r="B59" s="1" t="s">
        <v>31</v>
      </c>
      <c r="C59" s="1">
        <v>154</v>
      </c>
      <c r="D59" s="1"/>
      <c r="E59" s="1">
        <v>31</v>
      </c>
      <c r="F59" s="1">
        <v>118</v>
      </c>
      <c r="G59" s="8">
        <v>0.25</v>
      </c>
      <c r="H59" s="1">
        <v>120</v>
      </c>
      <c r="I59" s="1">
        <v>6967</v>
      </c>
      <c r="J59" s="1"/>
      <c r="K59" s="1">
        <v>31</v>
      </c>
      <c r="L59" s="1">
        <f t="shared" si="15"/>
        <v>0</v>
      </c>
      <c r="M59" s="1"/>
      <c r="N59" s="1"/>
      <c r="O59" s="1"/>
      <c r="P59" s="1">
        <f t="shared" si="16"/>
        <v>6.2</v>
      </c>
      <c r="Q59" s="5"/>
      <c r="R59" s="5">
        <f t="shared" si="6"/>
        <v>0</v>
      </c>
      <c r="S59" s="5"/>
      <c r="T59" s="5"/>
      <c r="U59" s="1"/>
      <c r="V59" s="1">
        <f t="shared" si="18"/>
        <v>19.032258064516128</v>
      </c>
      <c r="W59" s="1">
        <f t="shared" si="19"/>
        <v>19.032258064516128</v>
      </c>
      <c r="X59" s="1">
        <v>3.8</v>
      </c>
      <c r="Y59" s="1">
        <v>4</v>
      </c>
      <c r="Z59" s="1">
        <v>3.6</v>
      </c>
      <c r="AA59" s="1">
        <v>2.4</v>
      </c>
      <c r="AB59" s="1">
        <v>4</v>
      </c>
      <c r="AC59" s="14" t="s">
        <v>124</v>
      </c>
      <c r="AD59" s="1">
        <f t="shared" si="7"/>
        <v>0</v>
      </c>
      <c r="AE59" s="1">
        <f t="shared" si="8"/>
        <v>0</v>
      </c>
      <c r="AF59" s="1">
        <f t="shared" si="9"/>
        <v>1.55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88</v>
      </c>
      <c r="B60" s="1" t="s">
        <v>33</v>
      </c>
      <c r="C60" s="1">
        <v>46.62</v>
      </c>
      <c r="D60" s="1">
        <v>50.363999999999997</v>
      </c>
      <c r="E60" s="1">
        <v>54.8</v>
      </c>
      <c r="F60" s="1">
        <v>34.71</v>
      </c>
      <c r="G60" s="8">
        <v>1</v>
      </c>
      <c r="H60" s="1">
        <v>45</v>
      </c>
      <c r="I60" s="1">
        <v>7001</v>
      </c>
      <c r="J60" s="1"/>
      <c r="K60" s="1">
        <v>59</v>
      </c>
      <c r="L60" s="1">
        <f t="shared" si="15"/>
        <v>-4.2000000000000028</v>
      </c>
      <c r="M60" s="1"/>
      <c r="N60" s="1"/>
      <c r="O60" s="1">
        <v>10</v>
      </c>
      <c r="P60" s="1">
        <f t="shared" si="16"/>
        <v>10.959999999999999</v>
      </c>
      <c r="Q60" s="5">
        <f>13*P60-O60-F60</f>
        <v>97.769999999999982</v>
      </c>
      <c r="R60" s="5">
        <f t="shared" si="6"/>
        <v>98</v>
      </c>
      <c r="S60" s="5"/>
      <c r="T60" s="5"/>
      <c r="U60" s="1"/>
      <c r="V60" s="1">
        <f t="shared" si="18"/>
        <v>13</v>
      </c>
      <c r="W60" s="1">
        <f t="shared" si="19"/>
        <v>4.0793795620437958</v>
      </c>
      <c r="X60" s="1">
        <v>7.5292000000000003</v>
      </c>
      <c r="Y60" s="1">
        <v>9.4152000000000005</v>
      </c>
      <c r="Z60" s="1">
        <v>9.1852</v>
      </c>
      <c r="AA60" s="1">
        <v>7.8763999999999994</v>
      </c>
      <c r="AB60" s="1">
        <v>8.2927999999999997</v>
      </c>
      <c r="AC60" s="1"/>
      <c r="AD60" s="1">
        <f t="shared" si="7"/>
        <v>98</v>
      </c>
      <c r="AE60" s="1">
        <f t="shared" si="8"/>
        <v>0</v>
      </c>
      <c r="AF60" s="1">
        <f t="shared" si="9"/>
        <v>10.959999999999999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89</v>
      </c>
      <c r="B61" s="1" t="s">
        <v>31</v>
      </c>
      <c r="C61" s="1">
        <v>191</v>
      </c>
      <c r="D61" s="1"/>
      <c r="E61" s="1">
        <v>186</v>
      </c>
      <c r="F61" s="1"/>
      <c r="G61" s="8">
        <v>0.3</v>
      </c>
      <c r="H61" s="1"/>
      <c r="I61" s="1">
        <v>7059</v>
      </c>
      <c r="J61" s="1"/>
      <c r="K61" s="1">
        <v>189</v>
      </c>
      <c r="L61" s="1">
        <f t="shared" si="15"/>
        <v>-3</v>
      </c>
      <c r="M61" s="1"/>
      <c r="N61" s="1"/>
      <c r="O61" s="1">
        <v>360</v>
      </c>
      <c r="P61" s="1">
        <f t="shared" si="16"/>
        <v>37.200000000000003</v>
      </c>
      <c r="Q61" s="5">
        <f t="shared" si="10"/>
        <v>160.80000000000007</v>
      </c>
      <c r="R61" s="5">
        <f t="shared" si="6"/>
        <v>76</v>
      </c>
      <c r="S61" s="5">
        <f t="shared" ref="S61:S62" si="21">ROUND(Q61/1.9,0)</f>
        <v>85</v>
      </c>
      <c r="T61" s="5"/>
      <c r="U61" s="1"/>
      <c r="V61" s="1">
        <f t="shared" si="18"/>
        <v>14</v>
      </c>
      <c r="W61" s="1">
        <f t="shared" si="19"/>
        <v>9.6774193548387082</v>
      </c>
      <c r="X61" s="1">
        <v>39.799999999999997</v>
      </c>
      <c r="Y61" s="1">
        <v>16.600000000000001</v>
      </c>
      <c r="Z61" s="1">
        <v>34.200000000000003</v>
      </c>
      <c r="AA61" s="1">
        <v>21.4</v>
      </c>
      <c r="AB61" s="1">
        <v>9.8000000000000007</v>
      </c>
      <c r="AC61" s="1"/>
      <c r="AD61" s="1">
        <f t="shared" si="7"/>
        <v>22.8</v>
      </c>
      <c r="AE61" s="1">
        <f t="shared" si="8"/>
        <v>25.5</v>
      </c>
      <c r="AF61" s="1">
        <f t="shared" si="9"/>
        <v>11.16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90</v>
      </c>
      <c r="B62" s="1" t="s">
        <v>31</v>
      </c>
      <c r="C62" s="1">
        <v>513</v>
      </c>
      <c r="D62" s="1"/>
      <c r="E62" s="1">
        <v>420</v>
      </c>
      <c r="F62" s="13">
        <f>48+F63</f>
        <v>98</v>
      </c>
      <c r="G62" s="8">
        <v>0.41</v>
      </c>
      <c r="H62" s="1">
        <v>50</v>
      </c>
      <c r="I62" s="1">
        <v>7066</v>
      </c>
      <c r="J62" s="1"/>
      <c r="K62" s="1">
        <v>433</v>
      </c>
      <c r="L62" s="1">
        <f t="shared" si="15"/>
        <v>-13</v>
      </c>
      <c r="M62" s="1"/>
      <c r="N62" s="1"/>
      <c r="O62" s="1">
        <v>500</v>
      </c>
      <c r="P62" s="1">
        <f t="shared" si="16"/>
        <v>84</v>
      </c>
      <c r="Q62" s="5">
        <f t="shared" si="10"/>
        <v>578</v>
      </c>
      <c r="R62" s="5">
        <f t="shared" si="6"/>
        <v>274</v>
      </c>
      <c r="S62" s="5">
        <f t="shared" si="21"/>
        <v>304</v>
      </c>
      <c r="T62" s="5"/>
      <c r="U62" s="1"/>
      <c r="V62" s="1">
        <f t="shared" si="18"/>
        <v>14</v>
      </c>
      <c r="W62" s="1">
        <f t="shared" si="19"/>
        <v>7.1190476190476186</v>
      </c>
      <c r="X62" s="1">
        <v>77.2</v>
      </c>
      <c r="Y62" s="1">
        <v>68.2</v>
      </c>
      <c r="Z62" s="1">
        <v>47.2</v>
      </c>
      <c r="AA62" s="1">
        <v>79.400000000000006</v>
      </c>
      <c r="AB62" s="1">
        <v>88.6</v>
      </c>
      <c r="AC62" s="1"/>
      <c r="AD62" s="1">
        <f t="shared" si="7"/>
        <v>112.33999999999999</v>
      </c>
      <c r="AE62" s="1">
        <f t="shared" si="8"/>
        <v>124.63999999999999</v>
      </c>
      <c r="AF62" s="1">
        <f t="shared" si="9"/>
        <v>34.44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0" t="s">
        <v>91</v>
      </c>
      <c r="B63" s="10" t="s">
        <v>31</v>
      </c>
      <c r="C63" s="10"/>
      <c r="D63" s="10">
        <v>50</v>
      </c>
      <c r="E63" s="10"/>
      <c r="F63" s="13">
        <v>50</v>
      </c>
      <c r="G63" s="11">
        <v>0</v>
      </c>
      <c r="H63" s="10"/>
      <c r="I63" s="10" t="s">
        <v>92</v>
      </c>
      <c r="J63" s="10" t="s">
        <v>90</v>
      </c>
      <c r="K63" s="10"/>
      <c r="L63" s="10">
        <f t="shared" si="15"/>
        <v>0</v>
      </c>
      <c r="M63" s="10"/>
      <c r="N63" s="10"/>
      <c r="O63" s="10"/>
      <c r="P63" s="10">
        <f t="shared" si="16"/>
        <v>0</v>
      </c>
      <c r="Q63" s="12"/>
      <c r="R63" s="5">
        <f t="shared" si="6"/>
        <v>0</v>
      </c>
      <c r="S63" s="12"/>
      <c r="T63" s="12"/>
      <c r="U63" s="10"/>
      <c r="V63" s="1" t="e">
        <f t="shared" si="18"/>
        <v>#DIV/0!</v>
      </c>
      <c r="W63" s="1" t="e">
        <f t="shared" si="19"/>
        <v>#DIV/0!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/>
      <c r="AD63" s="1">
        <f t="shared" si="7"/>
        <v>0</v>
      </c>
      <c r="AE63" s="1">
        <f t="shared" si="8"/>
        <v>0</v>
      </c>
      <c r="AF63" s="1">
        <f t="shared" si="9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93</v>
      </c>
      <c r="B64" s="1" t="s">
        <v>33</v>
      </c>
      <c r="C64" s="1">
        <v>433.95</v>
      </c>
      <c r="D64" s="1">
        <v>3.0840000000000001</v>
      </c>
      <c r="E64" s="1">
        <v>421.74</v>
      </c>
      <c r="F64" s="1">
        <v>5.2460000000000004</v>
      </c>
      <c r="G64" s="8">
        <v>1</v>
      </c>
      <c r="H64" s="1">
        <v>50</v>
      </c>
      <c r="I64" s="1">
        <v>7070</v>
      </c>
      <c r="J64" s="1"/>
      <c r="K64" s="1">
        <v>456.1</v>
      </c>
      <c r="L64" s="1">
        <f t="shared" si="15"/>
        <v>-34.360000000000014</v>
      </c>
      <c r="M64" s="1"/>
      <c r="N64" s="1"/>
      <c r="O64" s="1">
        <v>604</v>
      </c>
      <c r="P64" s="1">
        <f t="shared" si="16"/>
        <v>84.347999999999999</v>
      </c>
      <c r="Q64" s="5">
        <f t="shared" ref="Q64:Q88" si="22">14*P64-O64-F64</f>
        <v>571.62600000000009</v>
      </c>
      <c r="R64" s="5">
        <f t="shared" si="6"/>
        <v>271</v>
      </c>
      <c r="S64" s="5">
        <f>ROUND(Q64/1.9,0)</f>
        <v>301</v>
      </c>
      <c r="T64" s="5"/>
      <c r="U64" s="1"/>
      <c r="V64" s="1">
        <f t="shared" si="18"/>
        <v>14.000000000000002</v>
      </c>
      <c r="W64" s="1">
        <f t="shared" si="19"/>
        <v>7.223004694835681</v>
      </c>
      <c r="X64" s="1">
        <v>76.303599999999989</v>
      </c>
      <c r="Y64" s="1">
        <v>43.255000000000003</v>
      </c>
      <c r="Z64" s="1">
        <v>91.377800000000008</v>
      </c>
      <c r="AA64" s="1">
        <v>47.8</v>
      </c>
      <c r="AB64" s="1">
        <v>53.552799999999998</v>
      </c>
      <c r="AC64" s="1"/>
      <c r="AD64" s="1">
        <f t="shared" si="7"/>
        <v>271</v>
      </c>
      <c r="AE64" s="1">
        <f t="shared" si="8"/>
        <v>301</v>
      </c>
      <c r="AF64" s="1">
        <f t="shared" si="9"/>
        <v>84.347999999999999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94</v>
      </c>
      <c r="B65" s="1" t="s">
        <v>31</v>
      </c>
      <c r="C65" s="1">
        <v>34</v>
      </c>
      <c r="D65" s="1">
        <v>96</v>
      </c>
      <c r="E65" s="1">
        <v>63</v>
      </c>
      <c r="F65" s="1">
        <v>67</v>
      </c>
      <c r="G65" s="8">
        <v>0.35</v>
      </c>
      <c r="H65" s="1">
        <v>50</v>
      </c>
      <c r="I65" s="1">
        <v>7073</v>
      </c>
      <c r="J65" s="1"/>
      <c r="K65" s="1">
        <v>69</v>
      </c>
      <c r="L65" s="1">
        <f t="shared" si="15"/>
        <v>-6</v>
      </c>
      <c r="M65" s="1"/>
      <c r="N65" s="1"/>
      <c r="O65" s="1">
        <v>40</v>
      </c>
      <c r="P65" s="1">
        <f t="shared" si="16"/>
        <v>12.6</v>
      </c>
      <c r="Q65" s="5">
        <f t="shared" si="22"/>
        <v>69.400000000000006</v>
      </c>
      <c r="R65" s="5">
        <f t="shared" si="6"/>
        <v>69</v>
      </c>
      <c r="S65" s="5"/>
      <c r="T65" s="5"/>
      <c r="U65" s="1"/>
      <c r="V65" s="1">
        <f t="shared" si="18"/>
        <v>14</v>
      </c>
      <c r="W65" s="1">
        <f t="shared" si="19"/>
        <v>8.4920634920634921</v>
      </c>
      <c r="X65" s="1">
        <v>10.6</v>
      </c>
      <c r="Y65" s="1">
        <v>13.4</v>
      </c>
      <c r="Z65" s="1">
        <v>9.6</v>
      </c>
      <c r="AA65" s="1">
        <v>2</v>
      </c>
      <c r="AB65" s="1">
        <v>7.2</v>
      </c>
      <c r="AC65" s="1"/>
      <c r="AD65" s="1">
        <f t="shared" si="7"/>
        <v>24.15</v>
      </c>
      <c r="AE65" s="1">
        <f t="shared" si="8"/>
        <v>0</v>
      </c>
      <c r="AF65" s="1">
        <f t="shared" si="9"/>
        <v>4.4099999999999993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95</v>
      </c>
      <c r="B66" s="1" t="s">
        <v>33</v>
      </c>
      <c r="C66" s="1">
        <v>125.486</v>
      </c>
      <c r="D66" s="1">
        <v>80.808999999999997</v>
      </c>
      <c r="E66" s="1">
        <v>77.308000000000007</v>
      </c>
      <c r="F66" s="1">
        <v>121.34699999999999</v>
      </c>
      <c r="G66" s="8">
        <v>1</v>
      </c>
      <c r="H66" s="1">
        <v>50</v>
      </c>
      <c r="I66" s="1">
        <v>7075</v>
      </c>
      <c r="J66" s="1"/>
      <c r="K66" s="1">
        <v>72.5</v>
      </c>
      <c r="L66" s="1">
        <f t="shared" si="15"/>
        <v>4.8080000000000069</v>
      </c>
      <c r="M66" s="1"/>
      <c r="N66" s="1"/>
      <c r="O66" s="1"/>
      <c r="P66" s="1">
        <f t="shared" si="16"/>
        <v>15.461600000000001</v>
      </c>
      <c r="Q66" s="5">
        <f t="shared" si="22"/>
        <v>95.115400000000008</v>
      </c>
      <c r="R66" s="5">
        <f t="shared" si="6"/>
        <v>95</v>
      </c>
      <c r="S66" s="5"/>
      <c r="T66" s="5"/>
      <c r="U66" s="1"/>
      <c r="V66" s="1">
        <f t="shared" si="18"/>
        <v>14</v>
      </c>
      <c r="W66" s="1">
        <f t="shared" si="19"/>
        <v>7.8482821958917572</v>
      </c>
      <c r="X66" s="1">
        <v>11.281599999999999</v>
      </c>
      <c r="Y66" s="1">
        <v>18.711600000000001</v>
      </c>
      <c r="Z66" s="1">
        <v>16.959199999999999</v>
      </c>
      <c r="AA66" s="1">
        <v>4.923</v>
      </c>
      <c r="AB66" s="1">
        <v>14.2194</v>
      </c>
      <c r="AC66" s="1"/>
      <c r="AD66" s="1">
        <f t="shared" si="7"/>
        <v>95</v>
      </c>
      <c r="AE66" s="1">
        <f t="shared" si="8"/>
        <v>0</v>
      </c>
      <c r="AF66" s="1">
        <f t="shared" si="9"/>
        <v>15.461600000000001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96</v>
      </c>
      <c r="B67" s="1" t="s">
        <v>31</v>
      </c>
      <c r="C67" s="1">
        <v>216</v>
      </c>
      <c r="D67" s="1">
        <v>230</v>
      </c>
      <c r="E67" s="1">
        <v>283</v>
      </c>
      <c r="F67" s="1">
        <v>152</v>
      </c>
      <c r="G67" s="8">
        <v>0.41</v>
      </c>
      <c r="H67" s="1">
        <v>50</v>
      </c>
      <c r="I67" s="1">
        <v>7080</v>
      </c>
      <c r="J67" s="1"/>
      <c r="K67" s="1">
        <v>291</v>
      </c>
      <c r="L67" s="1">
        <f t="shared" si="15"/>
        <v>-8</v>
      </c>
      <c r="M67" s="1"/>
      <c r="N67" s="1"/>
      <c r="O67" s="1">
        <v>200</v>
      </c>
      <c r="P67" s="1">
        <f t="shared" si="16"/>
        <v>56.6</v>
      </c>
      <c r="Q67" s="5">
        <f t="shared" si="22"/>
        <v>440.4</v>
      </c>
      <c r="R67" s="5">
        <f t="shared" si="6"/>
        <v>208</v>
      </c>
      <c r="S67" s="5">
        <f t="shared" ref="S67:S68" si="23">ROUND(Q67/1.9,0)</f>
        <v>232</v>
      </c>
      <c r="T67" s="5"/>
      <c r="U67" s="1"/>
      <c r="V67" s="1">
        <f t="shared" si="18"/>
        <v>14</v>
      </c>
      <c r="W67" s="1">
        <f t="shared" si="19"/>
        <v>6.2190812720848054</v>
      </c>
      <c r="X67" s="1">
        <v>45.8</v>
      </c>
      <c r="Y67" s="1">
        <v>48.4</v>
      </c>
      <c r="Z67" s="1">
        <v>49.8</v>
      </c>
      <c r="AA67" s="1">
        <v>38.6</v>
      </c>
      <c r="AB67" s="1">
        <v>32.799999999999997</v>
      </c>
      <c r="AC67" s="1"/>
      <c r="AD67" s="1">
        <f t="shared" si="7"/>
        <v>85.28</v>
      </c>
      <c r="AE67" s="1">
        <f t="shared" si="8"/>
        <v>95.11999999999999</v>
      </c>
      <c r="AF67" s="1">
        <f t="shared" si="9"/>
        <v>23.206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97</v>
      </c>
      <c r="B68" s="1" t="s">
        <v>33</v>
      </c>
      <c r="C68" s="1">
        <v>379.08699999999999</v>
      </c>
      <c r="D68" s="1">
        <v>3.1070000000000002</v>
      </c>
      <c r="E68" s="1">
        <v>201.423</v>
      </c>
      <c r="F68" s="1">
        <v>169.857</v>
      </c>
      <c r="G68" s="8">
        <v>1</v>
      </c>
      <c r="H68" s="1"/>
      <c r="I68" s="1">
        <v>7083</v>
      </c>
      <c r="J68" s="1"/>
      <c r="K68" s="1">
        <v>190.3</v>
      </c>
      <c r="L68" s="1">
        <f t="shared" si="15"/>
        <v>11.12299999999999</v>
      </c>
      <c r="M68" s="1"/>
      <c r="N68" s="1"/>
      <c r="O68" s="1">
        <v>30</v>
      </c>
      <c r="P68" s="1">
        <f t="shared" si="16"/>
        <v>40.284599999999998</v>
      </c>
      <c r="Q68" s="5">
        <f>13*P68-O68-F68</f>
        <v>323.84280000000001</v>
      </c>
      <c r="R68" s="5">
        <f t="shared" si="6"/>
        <v>154</v>
      </c>
      <c r="S68" s="5">
        <f t="shared" si="23"/>
        <v>170</v>
      </c>
      <c r="T68" s="5"/>
      <c r="U68" s="1"/>
      <c r="V68" s="1">
        <f t="shared" si="18"/>
        <v>13</v>
      </c>
      <c r="W68" s="1">
        <f t="shared" si="19"/>
        <v>4.9611265843523338</v>
      </c>
      <c r="X68" s="1">
        <v>27.845199999999998</v>
      </c>
      <c r="Y68" s="1">
        <v>4.649</v>
      </c>
      <c r="Z68" s="1">
        <v>35.567799999999998</v>
      </c>
      <c r="AA68" s="1">
        <v>11.6974</v>
      </c>
      <c r="AB68" s="1">
        <v>17.921199999999999</v>
      </c>
      <c r="AC68" s="1"/>
      <c r="AD68" s="1">
        <f t="shared" si="7"/>
        <v>154</v>
      </c>
      <c r="AE68" s="1">
        <f t="shared" si="8"/>
        <v>170</v>
      </c>
      <c r="AF68" s="1">
        <f t="shared" si="9"/>
        <v>40.284599999999998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98</v>
      </c>
      <c r="B69" s="1" t="s">
        <v>31</v>
      </c>
      <c r="C69" s="1">
        <v>97</v>
      </c>
      <c r="D69" s="1">
        <v>152</v>
      </c>
      <c r="E69" s="1">
        <v>96</v>
      </c>
      <c r="F69" s="1">
        <v>143</v>
      </c>
      <c r="G69" s="8">
        <v>0.3</v>
      </c>
      <c r="H69" s="1">
        <v>50</v>
      </c>
      <c r="I69" s="1">
        <v>7090</v>
      </c>
      <c r="J69" s="1"/>
      <c r="K69" s="1">
        <v>102</v>
      </c>
      <c r="L69" s="1">
        <f t="shared" si="15"/>
        <v>-6</v>
      </c>
      <c r="M69" s="1"/>
      <c r="N69" s="1"/>
      <c r="O69" s="1">
        <v>40</v>
      </c>
      <c r="P69" s="1">
        <f t="shared" si="16"/>
        <v>19.2</v>
      </c>
      <c r="Q69" s="5">
        <f t="shared" si="22"/>
        <v>85.800000000000011</v>
      </c>
      <c r="R69" s="5">
        <f t="shared" si="6"/>
        <v>86</v>
      </c>
      <c r="S69" s="5"/>
      <c r="T69" s="5"/>
      <c r="U69" s="1"/>
      <c r="V69" s="1">
        <f t="shared" si="18"/>
        <v>14.000000000000002</v>
      </c>
      <c r="W69" s="1">
        <f t="shared" si="19"/>
        <v>9.53125</v>
      </c>
      <c r="X69" s="1">
        <v>19.600000000000001</v>
      </c>
      <c r="Y69" s="1">
        <v>25.4</v>
      </c>
      <c r="Z69" s="1">
        <v>23.8</v>
      </c>
      <c r="AA69" s="1">
        <v>18.600000000000001</v>
      </c>
      <c r="AB69" s="1">
        <v>11.6</v>
      </c>
      <c r="AC69" s="1"/>
      <c r="AD69" s="1">
        <f t="shared" si="7"/>
        <v>25.8</v>
      </c>
      <c r="AE69" s="1">
        <f t="shared" si="8"/>
        <v>0</v>
      </c>
      <c r="AF69" s="1">
        <f t="shared" si="9"/>
        <v>5.76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99</v>
      </c>
      <c r="B70" s="1" t="s">
        <v>31</v>
      </c>
      <c r="C70" s="1">
        <v>285</v>
      </c>
      <c r="D70" s="1">
        <v>2</v>
      </c>
      <c r="E70" s="1">
        <v>272</v>
      </c>
      <c r="F70" s="1">
        <v>1</v>
      </c>
      <c r="G70" s="8">
        <v>0.18</v>
      </c>
      <c r="H70" s="1">
        <v>50</v>
      </c>
      <c r="I70" s="1">
        <v>7103</v>
      </c>
      <c r="J70" s="1"/>
      <c r="K70" s="1">
        <v>314</v>
      </c>
      <c r="L70" s="1">
        <f t="shared" ref="L70:L94" si="24">E70-K70</f>
        <v>-42</v>
      </c>
      <c r="M70" s="1"/>
      <c r="N70" s="1"/>
      <c r="O70" s="1">
        <v>550</v>
      </c>
      <c r="P70" s="1">
        <f t="shared" ref="P70:P94" si="25">E70/5</f>
        <v>54.4</v>
      </c>
      <c r="Q70" s="5">
        <f t="shared" si="22"/>
        <v>210.60000000000002</v>
      </c>
      <c r="R70" s="5">
        <f t="shared" si="6"/>
        <v>100</v>
      </c>
      <c r="S70" s="5">
        <f>ROUND(Q70/1.9,0)</f>
        <v>111</v>
      </c>
      <c r="T70" s="5"/>
      <c r="U70" s="1"/>
      <c r="V70" s="1">
        <f t="shared" ref="V70:V94" si="26">(F70+O70+Q70)/P70</f>
        <v>14</v>
      </c>
      <c r="W70" s="1">
        <f t="shared" ref="W70:W94" si="27">(F70+O70)/P70</f>
        <v>10.128676470588236</v>
      </c>
      <c r="X70" s="1">
        <v>59.4</v>
      </c>
      <c r="Y70" s="1">
        <v>21.4</v>
      </c>
      <c r="Z70" s="1">
        <v>49.6</v>
      </c>
      <c r="AA70" s="1">
        <v>28</v>
      </c>
      <c r="AB70" s="1">
        <v>35.6</v>
      </c>
      <c r="AC70" s="1"/>
      <c r="AD70" s="1">
        <f t="shared" si="7"/>
        <v>18</v>
      </c>
      <c r="AE70" s="1">
        <f t="shared" si="8"/>
        <v>19.98</v>
      </c>
      <c r="AF70" s="1">
        <f t="shared" si="9"/>
        <v>9.7919999999999998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100</v>
      </c>
      <c r="B71" s="1" t="s">
        <v>31</v>
      </c>
      <c r="C71" s="1">
        <v>66</v>
      </c>
      <c r="D71" s="1"/>
      <c r="E71" s="1">
        <v>61</v>
      </c>
      <c r="F71" s="1">
        <v>5</v>
      </c>
      <c r="G71" s="8">
        <v>0.84</v>
      </c>
      <c r="H71" s="1">
        <v>50</v>
      </c>
      <c r="I71" s="1">
        <v>7149</v>
      </c>
      <c r="J71" s="1"/>
      <c r="K71" s="1">
        <v>73</v>
      </c>
      <c r="L71" s="1">
        <f t="shared" si="24"/>
        <v>-12</v>
      </c>
      <c r="M71" s="1"/>
      <c r="N71" s="1"/>
      <c r="O71" s="1">
        <v>160</v>
      </c>
      <c r="P71" s="1">
        <f t="shared" si="25"/>
        <v>12.2</v>
      </c>
      <c r="Q71" s="5">
        <f t="shared" si="22"/>
        <v>5.7999999999999829</v>
      </c>
      <c r="R71" s="5">
        <f t="shared" ref="R71:R94" si="28">ROUND(Q71-S71,0)</f>
        <v>6</v>
      </c>
      <c r="S71" s="5"/>
      <c r="T71" s="5"/>
      <c r="U71" s="1"/>
      <c r="V71" s="1">
        <f t="shared" si="26"/>
        <v>14</v>
      </c>
      <c r="W71" s="1">
        <f t="shared" si="27"/>
        <v>13.524590163934427</v>
      </c>
      <c r="X71" s="1">
        <v>16</v>
      </c>
      <c r="Y71" s="1">
        <v>4</v>
      </c>
      <c r="Z71" s="1">
        <v>9.4</v>
      </c>
      <c r="AA71" s="1">
        <v>12.6</v>
      </c>
      <c r="AB71" s="1">
        <v>5.6</v>
      </c>
      <c r="AC71" s="1"/>
      <c r="AD71" s="1">
        <f t="shared" ref="AD71:AD94" si="29">G71*R71</f>
        <v>5.04</v>
      </c>
      <c r="AE71" s="1">
        <f t="shared" ref="AE71:AE94" si="30">G71*S71</f>
        <v>0</v>
      </c>
      <c r="AF71" s="1">
        <f t="shared" ref="AF71:AF94" si="31">P71*G71</f>
        <v>10.247999999999999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101</v>
      </c>
      <c r="B72" s="1" t="s">
        <v>31</v>
      </c>
      <c r="C72" s="1">
        <v>67</v>
      </c>
      <c r="D72" s="1">
        <v>160</v>
      </c>
      <c r="E72" s="1">
        <v>219</v>
      </c>
      <c r="F72" s="1">
        <v>1</v>
      </c>
      <c r="G72" s="8">
        <v>0.35</v>
      </c>
      <c r="H72" s="1">
        <v>50</v>
      </c>
      <c r="I72" s="1">
        <v>7154</v>
      </c>
      <c r="J72" s="1"/>
      <c r="K72" s="1">
        <v>525</v>
      </c>
      <c r="L72" s="1">
        <f t="shared" si="24"/>
        <v>-306</v>
      </c>
      <c r="M72" s="1"/>
      <c r="N72" s="1"/>
      <c r="O72" s="1">
        <v>1200</v>
      </c>
      <c r="P72" s="1">
        <f t="shared" si="25"/>
        <v>43.8</v>
      </c>
      <c r="Q72" s="5"/>
      <c r="R72" s="5">
        <f t="shared" si="28"/>
        <v>0</v>
      </c>
      <c r="S72" s="5"/>
      <c r="T72" s="5"/>
      <c r="U72" s="1"/>
      <c r="V72" s="1">
        <f t="shared" si="26"/>
        <v>27.420091324200914</v>
      </c>
      <c r="W72" s="1">
        <f t="shared" si="27"/>
        <v>27.420091324200914</v>
      </c>
      <c r="X72" s="1">
        <v>96</v>
      </c>
      <c r="Y72" s="1">
        <v>50.4</v>
      </c>
      <c r="Z72" s="1">
        <v>8.4</v>
      </c>
      <c r="AA72" s="1">
        <v>63.6</v>
      </c>
      <c r="AB72" s="1">
        <v>62.2</v>
      </c>
      <c r="AC72" s="1"/>
      <c r="AD72" s="1">
        <f t="shared" si="29"/>
        <v>0</v>
      </c>
      <c r="AE72" s="1">
        <f t="shared" si="30"/>
        <v>0</v>
      </c>
      <c r="AF72" s="1">
        <f t="shared" si="31"/>
        <v>15.329999999999998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102</v>
      </c>
      <c r="B73" s="1" t="s">
        <v>33</v>
      </c>
      <c r="C73" s="1">
        <v>25.588000000000001</v>
      </c>
      <c r="D73" s="1">
        <v>280.25900000000001</v>
      </c>
      <c r="E73" s="1">
        <v>169.042</v>
      </c>
      <c r="F73" s="1">
        <v>78.05</v>
      </c>
      <c r="G73" s="8">
        <v>1</v>
      </c>
      <c r="H73" s="1">
        <v>50</v>
      </c>
      <c r="I73" s="1">
        <v>7157</v>
      </c>
      <c r="J73" s="1"/>
      <c r="K73" s="1">
        <v>240.6</v>
      </c>
      <c r="L73" s="1">
        <f t="shared" si="24"/>
        <v>-71.557999999999993</v>
      </c>
      <c r="M73" s="1"/>
      <c r="N73" s="1"/>
      <c r="O73" s="1">
        <v>160</v>
      </c>
      <c r="P73" s="1">
        <f t="shared" si="25"/>
        <v>33.808399999999999</v>
      </c>
      <c r="Q73" s="5">
        <f t="shared" si="22"/>
        <v>235.26759999999996</v>
      </c>
      <c r="R73" s="5">
        <f t="shared" si="28"/>
        <v>111</v>
      </c>
      <c r="S73" s="5">
        <f t="shared" ref="S73:S75" si="32">ROUND(Q73/1.9,0)</f>
        <v>124</v>
      </c>
      <c r="T73" s="5"/>
      <c r="U73" s="1"/>
      <c r="V73" s="1">
        <f t="shared" si="26"/>
        <v>14</v>
      </c>
      <c r="W73" s="1">
        <f t="shared" si="27"/>
        <v>7.0411495368015053</v>
      </c>
      <c r="X73" s="1">
        <v>32.193199999999997</v>
      </c>
      <c r="Y73" s="1">
        <v>26.458200000000001</v>
      </c>
      <c r="Z73" s="1">
        <v>22.396000000000001</v>
      </c>
      <c r="AA73" s="1">
        <v>18.433</v>
      </c>
      <c r="AB73" s="1">
        <v>21.136199999999999</v>
      </c>
      <c r="AC73" s="1"/>
      <c r="AD73" s="1">
        <f t="shared" si="29"/>
        <v>111</v>
      </c>
      <c r="AE73" s="1">
        <f t="shared" si="30"/>
        <v>124</v>
      </c>
      <c r="AF73" s="1">
        <f t="shared" si="31"/>
        <v>33.808399999999999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103</v>
      </c>
      <c r="B74" s="1" t="s">
        <v>33</v>
      </c>
      <c r="C74" s="1">
        <v>206.72</v>
      </c>
      <c r="D74" s="1">
        <v>165.518</v>
      </c>
      <c r="E74" s="1">
        <v>285.35000000000002</v>
      </c>
      <c r="F74" s="1">
        <v>48.658000000000001</v>
      </c>
      <c r="G74" s="8">
        <v>1</v>
      </c>
      <c r="H74" s="1">
        <v>50</v>
      </c>
      <c r="I74" s="1">
        <v>7166</v>
      </c>
      <c r="J74" s="1"/>
      <c r="K74" s="1">
        <v>302.2</v>
      </c>
      <c r="L74" s="1">
        <f t="shared" si="24"/>
        <v>-16.849999999999966</v>
      </c>
      <c r="M74" s="1"/>
      <c r="N74" s="1"/>
      <c r="O74" s="1">
        <v>280</v>
      </c>
      <c r="P74" s="1">
        <f t="shared" si="25"/>
        <v>57.070000000000007</v>
      </c>
      <c r="Q74" s="5">
        <f>13*P74-O74-F74</f>
        <v>413.25200000000007</v>
      </c>
      <c r="R74" s="5">
        <f t="shared" si="28"/>
        <v>195</v>
      </c>
      <c r="S74" s="5">
        <f t="shared" si="32"/>
        <v>218</v>
      </c>
      <c r="T74" s="5"/>
      <c r="U74" s="1"/>
      <c r="V74" s="1">
        <f t="shared" si="26"/>
        <v>13</v>
      </c>
      <c r="W74" s="1">
        <f t="shared" si="27"/>
        <v>5.7588575433677933</v>
      </c>
      <c r="X74" s="1">
        <v>45.7622</v>
      </c>
      <c r="Y74" s="1">
        <v>39.1586</v>
      </c>
      <c r="Z74" s="1">
        <v>45.9664</v>
      </c>
      <c r="AA74" s="1">
        <v>34.733800000000002</v>
      </c>
      <c r="AB74" s="1">
        <v>34.683800000000012</v>
      </c>
      <c r="AC74" s="1"/>
      <c r="AD74" s="1">
        <f t="shared" si="29"/>
        <v>195</v>
      </c>
      <c r="AE74" s="1">
        <f t="shared" si="30"/>
        <v>218</v>
      </c>
      <c r="AF74" s="1">
        <f t="shared" si="31"/>
        <v>57.070000000000007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104</v>
      </c>
      <c r="B75" s="1" t="s">
        <v>31</v>
      </c>
      <c r="C75" s="1">
        <v>510</v>
      </c>
      <c r="D75" s="1">
        <v>202</v>
      </c>
      <c r="E75" s="1">
        <v>281</v>
      </c>
      <c r="F75" s="1">
        <v>399</v>
      </c>
      <c r="G75" s="8">
        <v>0.35</v>
      </c>
      <c r="H75" s="1">
        <v>50</v>
      </c>
      <c r="I75" s="1">
        <v>7169</v>
      </c>
      <c r="J75" s="1"/>
      <c r="K75" s="1">
        <v>294</v>
      </c>
      <c r="L75" s="1">
        <f t="shared" si="24"/>
        <v>-13</v>
      </c>
      <c r="M75" s="1"/>
      <c r="N75" s="1"/>
      <c r="O75" s="1"/>
      <c r="P75" s="1">
        <f t="shared" si="25"/>
        <v>56.2</v>
      </c>
      <c r="Q75" s="5">
        <f>13*P75-O75-F75</f>
        <v>331.6</v>
      </c>
      <c r="R75" s="5">
        <f t="shared" si="28"/>
        <v>157</v>
      </c>
      <c r="S75" s="5">
        <f t="shared" si="32"/>
        <v>175</v>
      </c>
      <c r="T75" s="5"/>
      <c r="U75" s="1"/>
      <c r="V75" s="1">
        <f t="shared" si="26"/>
        <v>13</v>
      </c>
      <c r="W75" s="1">
        <f t="shared" si="27"/>
        <v>7.0996441281138782</v>
      </c>
      <c r="X75" s="1">
        <v>35.6</v>
      </c>
      <c r="Y75" s="1">
        <v>12.6</v>
      </c>
      <c r="Z75" s="1">
        <v>53</v>
      </c>
      <c r="AA75" s="1">
        <v>26.6</v>
      </c>
      <c r="AB75" s="1">
        <v>50</v>
      </c>
      <c r="AC75" s="1"/>
      <c r="AD75" s="1">
        <f t="shared" si="29"/>
        <v>54.949999999999996</v>
      </c>
      <c r="AE75" s="1">
        <f t="shared" si="30"/>
        <v>61.249999999999993</v>
      </c>
      <c r="AF75" s="1">
        <f t="shared" si="31"/>
        <v>19.669999999999998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105</v>
      </c>
      <c r="B76" s="1" t="s">
        <v>31</v>
      </c>
      <c r="C76" s="1"/>
      <c r="D76" s="1">
        <v>60</v>
      </c>
      <c r="E76" s="1">
        <v>37</v>
      </c>
      <c r="F76" s="1">
        <v>19</v>
      </c>
      <c r="G76" s="8">
        <v>0.3</v>
      </c>
      <c r="H76" s="1">
        <v>50</v>
      </c>
      <c r="I76" s="1">
        <v>7187</v>
      </c>
      <c r="J76" s="1"/>
      <c r="K76" s="1">
        <v>68</v>
      </c>
      <c r="L76" s="1">
        <f t="shared" si="24"/>
        <v>-31</v>
      </c>
      <c r="M76" s="1"/>
      <c r="N76" s="1"/>
      <c r="O76" s="1">
        <v>180</v>
      </c>
      <c r="P76" s="1">
        <f t="shared" si="25"/>
        <v>7.4</v>
      </c>
      <c r="Q76" s="5"/>
      <c r="R76" s="5">
        <f t="shared" si="28"/>
        <v>0</v>
      </c>
      <c r="S76" s="5"/>
      <c r="T76" s="5"/>
      <c r="U76" s="1"/>
      <c r="V76" s="1">
        <f t="shared" si="26"/>
        <v>26.891891891891891</v>
      </c>
      <c r="W76" s="1">
        <f t="shared" si="27"/>
        <v>26.891891891891891</v>
      </c>
      <c r="X76" s="1">
        <v>16.8</v>
      </c>
      <c r="Y76" s="1">
        <v>10.199999999999999</v>
      </c>
      <c r="Z76" s="1">
        <v>9.8000000000000007</v>
      </c>
      <c r="AA76" s="1">
        <v>11</v>
      </c>
      <c r="AB76" s="1">
        <v>20.6</v>
      </c>
      <c r="AC76" s="1"/>
      <c r="AD76" s="1">
        <f t="shared" si="29"/>
        <v>0</v>
      </c>
      <c r="AE76" s="1">
        <f t="shared" si="30"/>
        <v>0</v>
      </c>
      <c r="AF76" s="1">
        <f t="shared" si="31"/>
        <v>2.2200000000000002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106</v>
      </c>
      <c r="B77" s="1" t="s">
        <v>31</v>
      </c>
      <c r="C77" s="1"/>
      <c r="D77" s="1">
        <v>128</v>
      </c>
      <c r="E77" s="1">
        <v>33</v>
      </c>
      <c r="F77" s="1">
        <v>88</v>
      </c>
      <c r="G77" s="8">
        <v>0.3</v>
      </c>
      <c r="H77" s="1">
        <v>60</v>
      </c>
      <c r="I77" s="1">
        <v>7231</v>
      </c>
      <c r="J77" s="1"/>
      <c r="K77" s="1">
        <v>56</v>
      </c>
      <c r="L77" s="1">
        <f t="shared" si="24"/>
        <v>-23</v>
      </c>
      <c r="M77" s="1"/>
      <c r="N77" s="1"/>
      <c r="O77" s="1">
        <v>80</v>
      </c>
      <c r="P77" s="1">
        <f t="shared" si="25"/>
        <v>6.6</v>
      </c>
      <c r="Q77" s="5"/>
      <c r="R77" s="5">
        <f t="shared" si="28"/>
        <v>0</v>
      </c>
      <c r="S77" s="5"/>
      <c r="T77" s="5"/>
      <c r="U77" s="1"/>
      <c r="V77" s="1">
        <f t="shared" si="26"/>
        <v>25.454545454545457</v>
      </c>
      <c r="W77" s="1">
        <f t="shared" si="27"/>
        <v>25.454545454545457</v>
      </c>
      <c r="X77" s="1">
        <v>13.6</v>
      </c>
      <c r="Y77" s="1">
        <v>13.8</v>
      </c>
      <c r="Z77" s="1">
        <v>9.1999999999999993</v>
      </c>
      <c r="AA77" s="1">
        <v>12.6</v>
      </c>
      <c r="AB77" s="1">
        <v>6.6</v>
      </c>
      <c r="AC77" s="1"/>
      <c r="AD77" s="1">
        <f t="shared" si="29"/>
        <v>0</v>
      </c>
      <c r="AE77" s="1">
        <f t="shared" si="30"/>
        <v>0</v>
      </c>
      <c r="AF77" s="1">
        <f t="shared" si="31"/>
        <v>1.9799999999999998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107</v>
      </c>
      <c r="B78" s="1" t="s">
        <v>31</v>
      </c>
      <c r="C78" s="1">
        <v>160</v>
      </c>
      <c r="D78" s="1">
        <v>296</v>
      </c>
      <c r="E78" s="1">
        <v>214</v>
      </c>
      <c r="F78" s="1">
        <v>232</v>
      </c>
      <c r="G78" s="8">
        <v>0.28000000000000003</v>
      </c>
      <c r="H78" s="1">
        <v>50</v>
      </c>
      <c r="I78" s="1">
        <v>7232</v>
      </c>
      <c r="J78" s="1"/>
      <c r="K78" s="1">
        <v>219</v>
      </c>
      <c r="L78" s="1">
        <f t="shared" si="24"/>
        <v>-5</v>
      </c>
      <c r="M78" s="1"/>
      <c r="N78" s="1"/>
      <c r="O78" s="1"/>
      <c r="P78" s="1">
        <f t="shared" si="25"/>
        <v>42.8</v>
      </c>
      <c r="Q78" s="5">
        <f>13*P78-O78-F78</f>
        <v>324.39999999999998</v>
      </c>
      <c r="R78" s="5">
        <f t="shared" si="28"/>
        <v>153</v>
      </c>
      <c r="S78" s="5">
        <f>ROUND(Q78/1.9,0)</f>
        <v>171</v>
      </c>
      <c r="T78" s="5"/>
      <c r="U78" s="1"/>
      <c r="V78" s="1">
        <f t="shared" si="26"/>
        <v>13</v>
      </c>
      <c r="W78" s="1">
        <f t="shared" si="27"/>
        <v>5.4205607476635516</v>
      </c>
      <c r="X78" s="1">
        <v>29.6</v>
      </c>
      <c r="Y78" s="1">
        <v>22</v>
      </c>
      <c r="Z78" s="1">
        <v>32</v>
      </c>
      <c r="AA78" s="1">
        <v>20</v>
      </c>
      <c r="AB78" s="1">
        <v>39.799999999999997</v>
      </c>
      <c r="AC78" s="1"/>
      <c r="AD78" s="1">
        <f t="shared" si="29"/>
        <v>42.84</v>
      </c>
      <c r="AE78" s="1">
        <f t="shared" si="30"/>
        <v>47.88</v>
      </c>
      <c r="AF78" s="1">
        <f t="shared" si="31"/>
        <v>11.984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108</v>
      </c>
      <c r="B79" s="1" t="s">
        <v>31</v>
      </c>
      <c r="C79" s="1">
        <v>18</v>
      </c>
      <c r="D79" s="1">
        <v>168</v>
      </c>
      <c r="E79" s="1">
        <v>151</v>
      </c>
      <c r="F79" s="1">
        <v>3</v>
      </c>
      <c r="G79" s="8">
        <v>0.28000000000000003</v>
      </c>
      <c r="H79" s="1">
        <v>45</v>
      </c>
      <c r="I79" s="1">
        <v>7236</v>
      </c>
      <c r="J79" s="1"/>
      <c r="K79" s="1">
        <v>232</v>
      </c>
      <c r="L79" s="1">
        <f t="shared" si="24"/>
        <v>-81</v>
      </c>
      <c r="M79" s="1"/>
      <c r="N79" s="1"/>
      <c r="O79" s="1">
        <v>360</v>
      </c>
      <c r="P79" s="1">
        <f t="shared" si="25"/>
        <v>30.2</v>
      </c>
      <c r="Q79" s="5">
        <f t="shared" si="22"/>
        <v>59.800000000000011</v>
      </c>
      <c r="R79" s="5">
        <f t="shared" si="28"/>
        <v>60</v>
      </c>
      <c r="S79" s="5"/>
      <c r="T79" s="5"/>
      <c r="U79" s="1"/>
      <c r="V79" s="1">
        <f t="shared" si="26"/>
        <v>14</v>
      </c>
      <c r="W79" s="1">
        <f t="shared" si="27"/>
        <v>12.019867549668874</v>
      </c>
      <c r="X79" s="1">
        <v>39.799999999999997</v>
      </c>
      <c r="Y79" s="1">
        <v>29</v>
      </c>
      <c r="Z79" s="1">
        <v>27.6</v>
      </c>
      <c r="AA79" s="1">
        <v>32.799999999999997</v>
      </c>
      <c r="AB79" s="1">
        <v>44.6</v>
      </c>
      <c r="AC79" s="1"/>
      <c r="AD79" s="1">
        <f t="shared" si="29"/>
        <v>16.8</v>
      </c>
      <c r="AE79" s="1">
        <f t="shared" si="30"/>
        <v>0</v>
      </c>
      <c r="AF79" s="1">
        <f t="shared" si="31"/>
        <v>8.4560000000000013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109</v>
      </c>
      <c r="B80" s="1" t="s">
        <v>31</v>
      </c>
      <c r="C80" s="1">
        <v>19</v>
      </c>
      <c r="D80" s="1">
        <v>200</v>
      </c>
      <c r="E80" s="1">
        <v>60</v>
      </c>
      <c r="F80" s="1">
        <v>149</v>
      </c>
      <c r="G80" s="8">
        <v>0.28000000000000003</v>
      </c>
      <c r="H80" s="1">
        <v>45</v>
      </c>
      <c r="I80" s="1">
        <v>7237</v>
      </c>
      <c r="J80" s="1"/>
      <c r="K80" s="1">
        <v>77</v>
      </c>
      <c r="L80" s="1">
        <f t="shared" si="24"/>
        <v>-17</v>
      </c>
      <c r="M80" s="1"/>
      <c r="N80" s="1"/>
      <c r="O80" s="1"/>
      <c r="P80" s="1">
        <f t="shared" si="25"/>
        <v>12</v>
      </c>
      <c r="Q80" s="5">
        <f t="shared" si="22"/>
        <v>19</v>
      </c>
      <c r="R80" s="5">
        <f t="shared" si="28"/>
        <v>19</v>
      </c>
      <c r="S80" s="5"/>
      <c r="T80" s="5"/>
      <c r="U80" s="1"/>
      <c r="V80" s="1">
        <f t="shared" si="26"/>
        <v>14</v>
      </c>
      <c r="W80" s="1">
        <f t="shared" si="27"/>
        <v>12.416666666666666</v>
      </c>
      <c r="X80" s="1">
        <v>14.4</v>
      </c>
      <c r="Y80" s="1">
        <v>0</v>
      </c>
      <c r="Z80" s="1">
        <v>-0.2</v>
      </c>
      <c r="AA80" s="1">
        <v>22.8</v>
      </c>
      <c r="AB80" s="1">
        <v>9.1999999999999993</v>
      </c>
      <c r="AC80" s="1"/>
      <c r="AD80" s="1">
        <f t="shared" si="29"/>
        <v>5.32</v>
      </c>
      <c r="AE80" s="1">
        <f t="shared" si="30"/>
        <v>0</v>
      </c>
      <c r="AF80" s="1">
        <f t="shared" si="31"/>
        <v>3.3600000000000003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110</v>
      </c>
      <c r="B81" s="1" t="s">
        <v>31</v>
      </c>
      <c r="C81" s="1">
        <v>293</v>
      </c>
      <c r="D81" s="1">
        <v>260</v>
      </c>
      <c r="E81" s="1">
        <v>415</v>
      </c>
      <c r="F81" s="1">
        <v>94</v>
      </c>
      <c r="G81" s="8">
        <v>0.28000000000000003</v>
      </c>
      <c r="H81" s="1">
        <v>45</v>
      </c>
      <c r="I81" s="1">
        <v>7241</v>
      </c>
      <c r="J81" s="1"/>
      <c r="K81" s="1">
        <v>441</v>
      </c>
      <c r="L81" s="1">
        <f t="shared" si="24"/>
        <v>-26</v>
      </c>
      <c r="M81" s="1"/>
      <c r="N81" s="1"/>
      <c r="O81" s="1">
        <v>120</v>
      </c>
      <c r="P81" s="1">
        <f t="shared" si="25"/>
        <v>83</v>
      </c>
      <c r="Q81" s="5">
        <f>11*P81-O81-F81</f>
        <v>699</v>
      </c>
      <c r="R81" s="5">
        <f t="shared" si="28"/>
        <v>331</v>
      </c>
      <c r="S81" s="5">
        <f t="shared" ref="S81:S82" si="33">ROUND(Q81/1.9,0)</f>
        <v>368</v>
      </c>
      <c r="T81" s="5"/>
      <c r="U81" s="1"/>
      <c r="V81" s="1">
        <f t="shared" si="26"/>
        <v>11</v>
      </c>
      <c r="W81" s="1">
        <f t="shared" si="27"/>
        <v>2.5783132530120483</v>
      </c>
      <c r="X81" s="1">
        <v>47.2</v>
      </c>
      <c r="Y81" s="1">
        <v>55.6</v>
      </c>
      <c r="Z81" s="1">
        <v>58.2</v>
      </c>
      <c r="AA81" s="1">
        <v>41.8</v>
      </c>
      <c r="AB81" s="1">
        <v>42</v>
      </c>
      <c r="AC81" s="1"/>
      <c r="AD81" s="1">
        <f t="shared" si="29"/>
        <v>92.68</v>
      </c>
      <c r="AE81" s="1">
        <f t="shared" si="30"/>
        <v>103.04</v>
      </c>
      <c r="AF81" s="1">
        <f t="shared" si="31"/>
        <v>23.240000000000002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111</v>
      </c>
      <c r="B82" s="1" t="s">
        <v>31</v>
      </c>
      <c r="C82" s="1">
        <v>174</v>
      </c>
      <c r="D82" s="1">
        <v>48</v>
      </c>
      <c r="E82" s="1">
        <v>218</v>
      </c>
      <c r="F82" s="1">
        <v>-2</v>
      </c>
      <c r="G82" s="8">
        <v>0.4</v>
      </c>
      <c r="H82" s="1">
        <v>50</v>
      </c>
      <c r="I82" s="1">
        <v>7255</v>
      </c>
      <c r="J82" s="1"/>
      <c r="K82" s="1">
        <v>271</v>
      </c>
      <c r="L82" s="1">
        <f t="shared" si="24"/>
        <v>-53</v>
      </c>
      <c r="M82" s="1"/>
      <c r="N82" s="1"/>
      <c r="O82" s="1">
        <v>200</v>
      </c>
      <c r="P82" s="1">
        <f t="shared" si="25"/>
        <v>43.6</v>
      </c>
      <c r="Q82" s="5">
        <f>13*P82-O82-F82</f>
        <v>368.80000000000007</v>
      </c>
      <c r="R82" s="5">
        <f t="shared" si="28"/>
        <v>175</v>
      </c>
      <c r="S82" s="5">
        <f t="shared" si="33"/>
        <v>194</v>
      </c>
      <c r="T82" s="5"/>
      <c r="U82" s="1"/>
      <c r="V82" s="1">
        <f t="shared" si="26"/>
        <v>13.000000000000002</v>
      </c>
      <c r="W82" s="1">
        <f t="shared" si="27"/>
        <v>4.5412844036697244</v>
      </c>
      <c r="X82" s="1">
        <v>34.200000000000003</v>
      </c>
      <c r="Y82" s="1">
        <v>31.2</v>
      </c>
      <c r="Z82" s="1">
        <v>22.6</v>
      </c>
      <c r="AA82" s="1">
        <v>33.799999999999997</v>
      </c>
      <c r="AB82" s="1">
        <v>35.6</v>
      </c>
      <c r="AC82" s="1"/>
      <c r="AD82" s="1">
        <f t="shared" si="29"/>
        <v>70</v>
      </c>
      <c r="AE82" s="1">
        <f t="shared" si="30"/>
        <v>77.600000000000009</v>
      </c>
      <c r="AF82" s="1">
        <f t="shared" si="31"/>
        <v>17.440000000000001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112</v>
      </c>
      <c r="B83" s="1" t="s">
        <v>31</v>
      </c>
      <c r="C83" s="1">
        <v>119</v>
      </c>
      <c r="D83" s="1">
        <v>49</v>
      </c>
      <c r="E83" s="1">
        <v>38</v>
      </c>
      <c r="F83" s="1">
        <v>128</v>
      </c>
      <c r="G83" s="8">
        <v>0.3</v>
      </c>
      <c r="H83" s="1">
        <v>50</v>
      </c>
      <c r="I83" s="1">
        <v>7276</v>
      </c>
      <c r="J83" s="1"/>
      <c r="K83" s="1">
        <v>43</v>
      </c>
      <c r="L83" s="1">
        <f t="shared" si="24"/>
        <v>-5</v>
      </c>
      <c r="M83" s="1"/>
      <c r="N83" s="1"/>
      <c r="O83" s="1"/>
      <c r="P83" s="1">
        <f t="shared" si="25"/>
        <v>7.6</v>
      </c>
      <c r="Q83" s="5"/>
      <c r="R83" s="5">
        <f t="shared" si="28"/>
        <v>0</v>
      </c>
      <c r="S83" s="5"/>
      <c r="T83" s="5"/>
      <c r="U83" s="1"/>
      <c r="V83" s="1">
        <f t="shared" si="26"/>
        <v>16.842105263157894</v>
      </c>
      <c r="W83" s="1">
        <f t="shared" si="27"/>
        <v>16.842105263157894</v>
      </c>
      <c r="X83" s="1">
        <v>3.6</v>
      </c>
      <c r="Y83" s="1">
        <v>5.4</v>
      </c>
      <c r="Z83" s="1">
        <v>8</v>
      </c>
      <c r="AA83" s="1">
        <v>7.8</v>
      </c>
      <c r="AB83" s="1">
        <v>2.2000000000000002</v>
      </c>
      <c r="AC83" s="1"/>
      <c r="AD83" s="1">
        <f t="shared" si="29"/>
        <v>0</v>
      </c>
      <c r="AE83" s="1">
        <f t="shared" si="30"/>
        <v>0</v>
      </c>
      <c r="AF83" s="1">
        <f t="shared" si="31"/>
        <v>2.2799999999999998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113</v>
      </c>
      <c r="B84" s="1" t="s">
        <v>31</v>
      </c>
      <c r="C84" s="1">
        <v>97</v>
      </c>
      <c r="D84" s="1">
        <v>90</v>
      </c>
      <c r="E84" s="1">
        <v>32</v>
      </c>
      <c r="F84" s="1">
        <v>148</v>
      </c>
      <c r="G84" s="8">
        <v>0.33</v>
      </c>
      <c r="H84" s="1">
        <v>30</v>
      </c>
      <c r="I84" s="1">
        <v>7284</v>
      </c>
      <c r="J84" s="1"/>
      <c r="K84" s="1">
        <v>43</v>
      </c>
      <c r="L84" s="1">
        <f t="shared" si="24"/>
        <v>-11</v>
      </c>
      <c r="M84" s="1"/>
      <c r="N84" s="1"/>
      <c r="O84" s="1"/>
      <c r="P84" s="1">
        <f t="shared" si="25"/>
        <v>6.4</v>
      </c>
      <c r="Q84" s="5"/>
      <c r="R84" s="5">
        <f t="shared" si="28"/>
        <v>0</v>
      </c>
      <c r="S84" s="5"/>
      <c r="T84" s="5"/>
      <c r="U84" s="1"/>
      <c r="V84" s="1">
        <f t="shared" si="26"/>
        <v>23.125</v>
      </c>
      <c r="W84" s="1">
        <f t="shared" si="27"/>
        <v>23.125</v>
      </c>
      <c r="X84" s="1">
        <v>4.4000000000000004</v>
      </c>
      <c r="Y84" s="1">
        <v>10.4</v>
      </c>
      <c r="Z84" s="1">
        <v>10.6</v>
      </c>
      <c r="AA84" s="1">
        <v>4.5999999999999996</v>
      </c>
      <c r="AB84" s="1">
        <v>7.2</v>
      </c>
      <c r="AC84" s="15" t="s">
        <v>125</v>
      </c>
      <c r="AD84" s="1">
        <f t="shared" si="29"/>
        <v>0</v>
      </c>
      <c r="AE84" s="1">
        <f t="shared" si="30"/>
        <v>0</v>
      </c>
      <c r="AF84" s="1">
        <f t="shared" si="31"/>
        <v>2.1120000000000001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114</v>
      </c>
      <c r="B85" s="1" t="s">
        <v>31</v>
      </c>
      <c r="C85" s="1">
        <v>5</v>
      </c>
      <c r="D85" s="1">
        <v>130</v>
      </c>
      <c r="E85" s="1">
        <v>40</v>
      </c>
      <c r="F85" s="1">
        <v>90</v>
      </c>
      <c r="G85" s="8">
        <v>0.1</v>
      </c>
      <c r="H85" s="1">
        <v>60</v>
      </c>
      <c r="I85" s="1">
        <v>7288</v>
      </c>
      <c r="J85" s="1"/>
      <c r="K85" s="1">
        <v>58</v>
      </c>
      <c r="L85" s="1">
        <f t="shared" si="24"/>
        <v>-18</v>
      </c>
      <c r="M85" s="1"/>
      <c r="N85" s="1"/>
      <c r="O85" s="1"/>
      <c r="P85" s="1">
        <f t="shared" si="25"/>
        <v>8</v>
      </c>
      <c r="Q85" s="5">
        <f t="shared" si="22"/>
        <v>22</v>
      </c>
      <c r="R85" s="5">
        <f t="shared" si="28"/>
        <v>22</v>
      </c>
      <c r="S85" s="5"/>
      <c r="T85" s="5"/>
      <c r="U85" s="1"/>
      <c r="V85" s="1">
        <f t="shared" si="26"/>
        <v>14</v>
      </c>
      <c r="W85" s="1">
        <f t="shared" si="27"/>
        <v>11.25</v>
      </c>
      <c r="X85" s="1">
        <v>6</v>
      </c>
      <c r="Y85" s="1">
        <v>12.4</v>
      </c>
      <c r="Z85" s="1">
        <v>7.2</v>
      </c>
      <c r="AA85" s="1">
        <v>8.1999999999999993</v>
      </c>
      <c r="AB85" s="1">
        <v>8.8000000000000007</v>
      </c>
      <c r="AC85" s="1"/>
      <c r="AD85" s="1">
        <f t="shared" si="29"/>
        <v>2.2000000000000002</v>
      </c>
      <c r="AE85" s="1">
        <f t="shared" si="30"/>
        <v>0</v>
      </c>
      <c r="AF85" s="1">
        <f t="shared" si="31"/>
        <v>0.8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115</v>
      </c>
      <c r="B86" s="1" t="s">
        <v>31</v>
      </c>
      <c r="C86" s="1">
        <v>250</v>
      </c>
      <c r="D86" s="1"/>
      <c r="E86" s="1">
        <v>42</v>
      </c>
      <c r="F86" s="1">
        <v>205</v>
      </c>
      <c r="G86" s="8">
        <v>0.4</v>
      </c>
      <c r="H86" s="1">
        <v>60</v>
      </c>
      <c r="I86" s="1">
        <v>7343</v>
      </c>
      <c r="J86" s="1"/>
      <c r="K86" s="1">
        <v>43</v>
      </c>
      <c r="L86" s="1">
        <f t="shared" si="24"/>
        <v>-1</v>
      </c>
      <c r="M86" s="1"/>
      <c r="N86" s="1"/>
      <c r="O86" s="1"/>
      <c r="P86" s="1">
        <f t="shared" si="25"/>
        <v>8.4</v>
      </c>
      <c r="Q86" s="5"/>
      <c r="R86" s="5">
        <f t="shared" si="28"/>
        <v>0</v>
      </c>
      <c r="S86" s="5"/>
      <c r="T86" s="5"/>
      <c r="U86" s="1"/>
      <c r="V86" s="1">
        <f t="shared" si="26"/>
        <v>24.404761904761905</v>
      </c>
      <c r="W86" s="1">
        <f t="shared" si="27"/>
        <v>24.404761904761905</v>
      </c>
      <c r="X86" s="1">
        <v>9.6</v>
      </c>
      <c r="Y86" s="1">
        <v>4.4000000000000004</v>
      </c>
      <c r="Z86" s="1">
        <v>3.2</v>
      </c>
      <c r="AA86" s="1">
        <v>10.4</v>
      </c>
      <c r="AB86" s="1">
        <v>4</v>
      </c>
      <c r="AC86" s="15" t="s">
        <v>125</v>
      </c>
      <c r="AD86" s="1">
        <f t="shared" si="29"/>
        <v>0</v>
      </c>
      <c r="AE86" s="1">
        <f t="shared" si="30"/>
        <v>0</v>
      </c>
      <c r="AF86" s="1">
        <f t="shared" si="31"/>
        <v>3.3600000000000003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116</v>
      </c>
      <c r="B87" s="1" t="s">
        <v>31</v>
      </c>
      <c r="C87" s="1">
        <v>357</v>
      </c>
      <c r="D87" s="1"/>
      <c r="E87" s="1">
        <v>46</v>
      </c>
      <c r="F87" s="1">
        <v>300</v>
      </c>
      <c r="G87" s="8">
        <v>0.3</v>
      </c>
      <c r="H87" s="1"/>
      <c r="I87" s="1">
        <v>7371</v>
      </c>
      <c r="J87" s="1"/>
      <c r="K87" s="1">
        <v>49</v>
      </c>
      <c r="L87" s="1">
        <f t="shared" si="24"/>
        <v>-3</v>
      </c>
      <c r="M87" s="1"/>
      <c r="N87" s="1"/>
      <c r="O87" s="1"/>
      <c r="P87" s="1">
        <f t="shared" si="25"/>
        <v>9.1999999999999993</v>
      </c>
      <c r="Q87" s="5"/>
      <c r="R87" s="5">
        <f t="shared" si="28"/>
        <v>0</v>
      </c>
      <c r="S87" s="5"/>
      <c r="T87" s="5"/>
      <c r="U87" s="1"/>
      <c r="V87" s="1">
        <f t="shared" si="26"/>
        <v>32.608695652173914</v>
      </c>
      <c r="W87" s="1">
        <f t="shared" si="27"/>
        <v>32.608695652173914</v>
      </c>
      <c r="X87" s="1">
        <v>15.2</v>
      </c>
      <c r="Y87" s="1">
        <v>19.399999999999999</v>
      </c>
      <c r="Z87" s="1">
        <v>14.4</v>
      </c>
      <c r="AA87" s="1">
        <v>20.6</v>
      </c>
      <c r="AB87" s="1">
        <v>18.8</v>
      </c>
      <c r="AC87" s="15" t="s">
        <v>125</v>
      </c>
      <c r="AD87" s="1">
        <f t="shared" si="29"/>
        <v>0</v>
      </c>
      <c r="AE87" s="1">
        <f t="shared" si="30"/>
        <v>0</v>
      </c>
      <c r="AF87" s="1">
        <f t="shared" si="31"/>
        <v>2.76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117</v>
      </c>
      <c r="B88" s="1" t="s">
        <v>31</v>
      </c>
      <c r="C88" s="1">
        <v>129</v>
      </c>
      <c r="D88" s="1">
        <v>100</v>
      </c>
      <c r="E88" s="1">
        <v>122</v>
      </c>
      <c r="F88" s="1">
        <v>80</v>
      </c>
      <c r="G88" s="8">
        <v>0.12</v>
      </c>
      <c r="H88" s="1">
        <v>60</v>
      </c>
      <c r="I88" s="1">
        <v>7382</v>
      </c>
      <c r="J88" s="1"/>
      <c r="K88" s="1">
        <v>129</v>
      </c>
      <c r="L88" s="1">
        <f t="shared" si="24"/>
        <v>-7</v>
      </c>
      <c r="M88" s="1"/>
      <c r="N88" s="1"/>
      <c r="O88" s="1">
        <v>40</v>
      </c>
      <c r="P88" s="1">
        <f t="shared" si="25"/>
        <v>24.4</v>
      </c>
      <c r="Q88" s="5">
        <f t="shared" si="22"/>
        <v>221.59999999999997</v>
      </c>
      <c r="R88" s="5">
        <f t="shared" si="28"/>
        <v>105</v>
      </c>
      <c r="S88" s="5">
        <f>ROUND(Q88/1.9,0)</f>
        <v>117</v>
      </c>
      <c r="T88" s="5"/>
      <c r="U88" s="1"/>
      <c r="V88" s="1">
        <f t="shared" si="26"/>
        <v>14</v>
      </c>
      <c r="W88" s="1">
        <f t="shared" si="27"/>
        <v>4.918032786885246</v>
      </c>
      <c r="X88" s="1">
        <v>19.2</v>
      </c>
      <c r="Y88" s="1">
        <v>23</v>
      </c>
      <c r="Z88" s="1">
        <v>11.6</v>
      </c>
      <c r="AA88" s="1">
        <v>29.6</v>
      </c>
      <c r="AB88" s="1">
        <v>16.8</v>
      </c>
      <c r="AC88" s="1"/>
      <c r="AD88" s="1">
        <f t="shared" si="29"/>
        <v>12.6</v>
      </c>
      <c r="AE88" s="1">
        <f t="shared" si="30"/>
        <v>14.04</v>
      </c>
      <c r="AF88" s="1">
        <f t="shared" si="31"/>
        <v>2.9279999999999999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4" t="s">
        <v>118</v>
      </c>
      <c r="B89" s="1" t="s">
        <v>33</v>
      </c>
      <c r="C89" s="1">
        <v>11.8</v>
      </c>
      <c r="D89" s="1"/>
      <c r="E89" s="1"/>
      <c r="F89" s="1"/>
      <c r="G89" s="8">
        <v>1</v>
      </c>
      <c r="H89" s="1"/>
      <c r="I89" s="17">
        <v>7442</v>
      </c>
      <c r="J89" s="1"/>
      <c r="K89" s="1"/>
      <c r="L89" s="1">
        <f t="shared" si="24"/>
        <v>0</v>
      </c>
      <c r="M89" s="1"/>
      <c r="N89" s="1"/>
      <c r="O89" s="1">
        <v>0</v>
      </c>
      <c r="P89" s="1">
        <f t="shared" si="25"/>
        <v>0</v>
      </c>
      <c r="Q89" s="5">
        <v>50</v>
      </c>
      <c r="R89" s="5">
        <f t="shared" si="28"/>
        <v>50</v>
      </c>
      <c r="S89" s="5"/>
      <c r="T89" s="5"/>
      <c r="U89" s="1"/>
      <c r="V89" s="1" t="e">
        <f t="shared" si="26"/>
        <v>#DIV/0!</v>
      </c>
      <c r="W89" s="1" t="e">
        <f t="shared" si="27"/>
        <v>#DIV/0!</v>
      </c>
      <c r="X89" s="1">
        <v>19.064399999999999</v>
      </c>
      <c r="Y89" s="1">
        <v>293.13200000000001</v>
      </c>
      <c r="Z89" s="1">
        <v>0</v>
      </c>
      <c r="AA89" s="1">
        <v>0</v>
      </c>
      <c r="AB89" s="1">
        <v>0</v>
      </c>
      <c r="AC89" s="18" t="s">
        <v>127</v>
      </c>
      <c r="AD89" s="1">
        <f t="shared" si="29"/>
        <v>50</v>
      </c>
      <c r="AE89" s="1">
        <f t="shared" si="30"/>
        <v>0</v>
      </c>
      <c r="AF89" s="1">
        <f t="shared" si="31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119</v>
      </c>
      <c r="B90" s="1" t="s">
        <v>31</v>
      </c>
      <c r="C90" s="1">
        <v>26</v>
      </c>
      <c r="D90" s="1"/>
      <c r="E90" s="1">
        <v>10</v>
      </c>
      <c r="F90" s="1"/>
      <c r="G90" s="8">
        <v>0.33</v>
      </c>
      <c r="H90" s="1"/>
      <c r="I90" s="1">
        <v>7461</v>
      </c>
      <c r="J90" s="1"/>
      <c r="K90" s="1">
        <v>68</v>
      </c>
      <c r="L90" s="1">
        <f t="shared" si="24"/>
        <v>-58</v>
      </c>
      <c r="M90" s="1"/>
      <c r="N90" s="1"/>
      <c r="O90" s="1">
        <v>200</v>
      </c>
      <c r="P90" s="1">
        <f t="shared" si="25"/>
        <v>2</v>
      </c>
      <c r="Q90" s="5"/>
      <c r="R90" s="5">
        <f t="shared" si="28"/>
        <v>0</v>
      </c>
      <c r="S90" s="5"/>
      <c r="T90" s="5"/>
      <c r="U90" s="1"/>
      <c r="V90" s="1">
        <f t="shared" si="26"/>
        <v>100</v>
      </c>
      <c r="W90" s="1">
        <f t="shared" si="27"/>
        <v>100</v>
      </c>
      <c r="X90" s="1">
        <v>15.6</v>
      </c>
      <c r="Y90" s="1">
        <v>16.399999999999999</v>
      </c>
      <c r="Z90" s="1">
        <v>12.6</v>
      </c>
      <c r="AA90" s="1">
        <v>21.4</v>
      </c>
      <c r="AB90" s="1">
        <v>11.4</v>
      </c>
      <c r="AC90" s="1"/>
      <c r="AD90" s="1">
        <f t="shared" si="29"/>
        <v>0</v>
      </c>
      <c r="AE90" s="1">
        <f t="shared" si="30"/>
        <v>0</v>
      </c>
      <c r="AF90" s="1">
        <f t="shared" si="31"/>
        <v>0.66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120</v>
      </c>
      <c r="B91" s="1" t="s">
        <v>31</v>
      </c>
      <c r="C91" s="1"/>
      <c r="D91" s="1">
        <v>400</v>
      </c>
      <c r="E91" s="1">
        <v>35</v>
      </c>
      <c r="F91" s="1">
        <v>345</v>
      </c>
      <c r="G91" s="8">
        <v>0.28000000000000003</v>
      </c>
      <c r="H91" s="1"/>
      <c r="I91" s="1"/>
      <c r="J91" s="1"/>
      <c r="K91" s="1">
        <v>38</v>
      </c>
      <c r="L91" s="1">
        <f t="shared" si="24"/>
        <v>-3</v>
      </c>
      <c r="M91" s="1"/>
      <c r="N91" s="1"/>
      <c r="O91" s="1"/>
      <c r="P91" s="1">
        <f t="shared" si="25"/>
        <v>7</v>
      </c>
      <c r="Q91" s="5"/>
      <c r="R91" s="5">
        <f t="shared" si="28"/>
        <v>0</v>
      </c>
      <c r="S91" s="5"/>
      <c r="T91" s="5"/>
      <c r="U91" s="1"/>
      <c r="V91" s="1">
        <f t="shared" si="26"/>
        <v>49.285714285714285</v>
      </c>
      <c r="W91" s="1">
        <f t="shared" si="27"/>
        <v>49.285714285714285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/>
      <c r="AD91" s="1">
        <f t="shared" si="29"/>
        <v>0</v>
      </c>
      <c r="AE91" s="1">
        <f t="shared" si="30"/>
        <v>0</v>
      </c>
      <c r="AF91" s="1">
        <f t="shared" si="31"/>
        <v>1.9600000000000002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121</v>
      </c>
      <c r="B92" s="1" t="s">
        <v>31</v>
      </c>
      <c r="C92" s="1">
        <v>12</v>
      </c>
      <c r="D92" s="1"/>
      <c r="E92" s="1">
        <v>12</v>
      </c>
      <c r="F92" s="1"/>
      <c r="G92" s="8">
        <v>0.4</v>
      </c>
      <c r="H92" s="1"/>
      <c r="I92" s="1">
        <v>7523</v>
      </c>
      <c r="J92" s="1"/>
      <c r="K92" s="1">
        <v>72</v>
      </c>
      <c r="L92" s="1">
        <f t="shared" si="24"/>
        <v>-60</v>
      </c>
      <c r="M92" s="1"/>
      <c r="N92" s="1"/>
      <c r="O92" s="1">
        <v>220</v>
      </c>
      <c r="P92" s="1">
        <f t="shared" si="25"/>
        <v>2.4</v>
      </c>
      <c r="Q92" s="5"/>
      <c r="R92" s="5">
        <f t="shared" si="28"/>
        <v>0</v>
      </c>
      <c r="S92" s="5"/>
      <c r="T92" s="5"/>
      <c r="U92" s="1"/>
      <c r="V92" s="1">
        <f t="shared" si="26"/>
        <v>91.666666666666671</v>
      </c>
      <c r="W92" s="1">
        <f t="shared" si="27"/>
        <v>91.666666666666671</v>
      </c>
      <c r="X92" s="1">
        <v>16.8</v>
      </c>
      <c r="Y92" s="1">
        <v>0.2</v>
      </c>
      <c r="Z92" s="1">
        <v>7</v>
      </c>
      <c r="AA92" s="1">
        <v>0</v>
      </c>
      <c r="AB92" s="1">
        <v>2.8</v>
      </c>
      <c r="AC92" s="1"/>
      <c r="AD92" s="1">
        <f t="shared" si="29"/>
        <v>0</v>
      </c>
      <c r="AE92" s="1">
        <f t="shared" si="30"/>
        <v>0</v>
      </c>
      <c r="AF92" s="1">
        <f t="shared" si="31"/>
        <v>0.96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122</v>
      </c>
      <c r="B93" s="1" t="s">
        <v>31</v>
      </c>
      <c r="C93" s="1">
        <v>292</v>
      </c>
      <c r="D93" s="1"/>
      <c r="E93" s="1">
        <v>19</v>
      </c>
      <c r="F93" s="1">
        <v>264</v>
      </c>
      <c r="G93" s="8">
        <v>0.35</v>
      </c>
      <c r="H93" s="1"/>
      <c r="I93" s="1">
        <v>7539</v>
      </c>
      <c r="J93" s="1"/>
      <c r="K93" s="1">
        <v>20</v>
      </c>
      <c r="L93" s="1">
        <f t="shared" si="24"/>
        <v>-1</v>
      </c>
      <c r="M93" s="1"/>
      <c r="N93" s="1"/>
      <c r="O93" s="1"/>
      <c r="P93" s="1">
        <f t="shared" si="25"/>
        <v>3.8</v>
      </c>
      <c r="Q93" s="5"/>
      <c r="R93" s="5">
        <f t="shared" si="28"/>
        <v>0</v>
      </c>
      <c r="S93" s="5"/>
      <c r="T93" s="5"/>
      <c r="U93" s="1"/>
      <c r="V93" s="1">
        <f t="shared" si="26"/>
        <v>69.473684210526315</v>
      </c>
      <c r="W93" s="1">
        <f t="shared" si="27"/>
        <v>69.473684210526315</v>
      </c>
      <c r="X93" s="1">
        <v>3</v>
      </c>
      <c r="Y93" s="1">
        <v>0.4</v>
      </c>
      <c r="Z93" s="1">
        <v>1.8</v>
      </c>
      <c r="AA93" s="1">
        <v>2</v>
      </c>
      <c r="AB93" s="1">
        <v>1.6</v>
      </c>
      <c r="AC93" s="16" t="s">
        <v>126</v>
      </c>
      <c r="AD93" s="1">
        <f t="shared" si="29"/>
        <v>0</v>
      </c>
      <c r="AE93" s="1">
        <f t="shared" si="30"/>
        <v>0</v>
      </c>
      <c r="AF93" s="1">
        <f t="shared" si="31"/>
        <v>1.3299999999999998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123</v>
      </c>
      <c r="B94" s="1" t="s">
        <v>31</v>
      </c>
      <c r="C94" s="1">
        <v>193</v>
      </c>
      <c r="D94" s="1">
        <v>144</v>
      </c>
      <c r="E94" s="1">
        <v>17</v>
      </c>
      <c r="F94" s="1">
        <v>315</v>
      </c>
      <c r="G94" s="8">
        <v>0.33</v>
      </c>
      <c r="H94" s="1"/>
      <c r="I94" s="1">
        <v>7603</v>
      </c>
      <c r="J94" s="1"/>
      <c r="K94" s="1">
        <v>20</v>
      </c>
      <c r="L94" s="1">
        <f t="shared" si="24"/>
        <v>-3</v>
      </c>
      <c r="M94" s="1"/>
      <c r="N94" s="1"/>
      <c r="O94" s="1"/>
      <c r="P94" s="1">
        <f t="shared" si="25"/>
        <v>3.4</v>
      </c>
      <c r="Q94" s="5"/>
      <c r="R94" s="5">
        <f t="shared" si="28"/>
        <v>0</v>
      </c>
      <c r="S94" s="5"/>
      <c r="T94" s="5"/>
      <c r="U94" s="1"/>
      <c r="V94" s="1">
        <f t="shared" si="26"/>
        <v>92.64705882352942</v>
      </c>
      <c r="W94" s="1">
        <f t="shared" si="27"/>
        <v>92.64705882352942</v>
      </c>
      <c r="X94" s="1">
        <v>1.6</v>
      </c>
      <c r="Y94" s="1">
        <v>0</v>
      </c>
      <c r="Z94" s="1">
        <v>0</v>
      </c>
      <c r="AA94" s="1">
        <v>0</v>
      </c>
      <c r="AB94" s="1">
        <v>0</v>
      </c>
      <c r="AC94" s="15" t="s">
        <v>125</v>
      </c>
      <c r="AD94" s="1">
        <f t="shared" si="29"/>
        <v>0</v>
      </c>
      <c r="AE94" s="1">
        <f t="shared" si="30"/>
        <v>0</v>
      </c>
      <c r="AF94" s="1">
        <f t="shared" si="31"/>
        <v>1.1220000000000001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D9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2026-06-29T12:14:36Z</dcterms:created>
  <dcterms:modified xsi:type="dcterms:W3CDTF">2026-07-05T06:26:21Z</dcterms:modified>
</cp:coreProperties>
</file>