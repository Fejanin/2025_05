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 Останкино КИ\матрица Ост КИ\"/>
    </mc:Choice>
  </mc:AlternateContent>
  <xr:revisionPtr revIDLastSave="0" documentId="13_ncr:1_{2AAAC7CD-F906-4ECE-93FF-4800D20328A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Лист1!$A$2:$O$117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17" i="1" l="1"/>
  <c r="N66" i="1" l="1"/>
  <c r="N45" i="1"/>
  <c r="N3" i="1"/>
  <c r="N64" i="1"/>
  <c r="N25" i="1"/>
  <c r="N6" i="1"/>
  <c r="N55" i="1"/>
  <c r="N102" i="1"/>
  <c r="N36" i="1"/>
  <c r="N44" i="1"/>
  <c r="N29" i="1"/>
  <c r="N8" i="1"/>
  <c r="N103" i="1"/>
  <c r="N67" i="1"/>
  <c r="N34" i="1"/>
  <c r="N13" i="1"/>
  <c r="N38" i="1"/>
  <c r="N71" i="1"/>
  <c r="N91" i="1"/>
  <c r="N19" i="1"/>
  <c r="N63" i="1"/>
  <c r="N79" i="1"/>
  <c r="N104" i="1"/>
  <c r="N72" i="1"/>
  <c r="N7" i="1"/>
  <c r="N105" i="1"/>
  <c r="N48" i="1"/>
  <c r="N18" i="1"/>
  <c r="N106" i="1"/>
  <c r="N107" i="1"/>
  <c r="N15" i="1"/>
  <c r="N81" i="1"/>
  <c r="N60" i="1"/>
  <c r="N93" i="1"/>
  <c r="N89" i="1"/>
  <c r="N40" i="1"/>
  <c r="N65" i="1"/>
  <c r="N26" i="1"/>
  <c r="N30" i="1"/>
  <c r="N27" i="1"/>
  <c r="N86" i="1"/>
  <c r="N22" i="1"/>
  <c r="N17" i="1"/>
  <c r="N59" i="1"/>
  <c r="N31" i="1"/>
  <c r="N11" i="1"/>
  <c r="N24" i="1"/>
  <c r="N37" i="1"/>
  <c r="N108" i="1"/>
  <c r="N39" i="1"/>
  <c r="N99" i="1"/>
  <c r="N47" i="1"/>
  <c r="N109" i="1"/>
  <c r="N46" i="1"/>
  <c r="N70" i="1"/>
  <c r="N5" i="1"/>
  <c r="N84" i="1"/>
  <c r="N97" i="1"/>
  <c r="N53" i="1"/>
  <c r="N78" i="1"/>
  <c r="N62" i="1"/>
  <c r="N73" i="1"/>
  <c r="N90" i="1"/>
  <c r="N110" i="1"/>
  <c r="N77" i="1"/>
  <c r="N43" i="1"/>
  <c r="N42" i="1"/>
  <c r="N4" i="1"/>
  <c r="N9" i="1"/>
  <c r="N56" i="1"/>
  <c r="N50" i="1"/>
  <c r="N12" i="1"/>
  <c r="N111" i="1"/>
  <c r="N21" i="1"/>
  <c r="N54" i="1"/>
  <c r="N51" i="1"/>
  <c r="N92" i="1"/>
  <c r="N94" i="1"/>
  <c r="N68" i="1"/>
  <c r="N16" i="1"/>
  <c r="N20" i="1"/>
  <c r="N112" i="1"/>
  <c r="N10" i="1"/>
  <c r="N14" i="1"/>
  <c r="N58" i="1"/>
  <c r="N69" i="1"/>
  <c r="N33" i="1"/>
  <c r="N32" i="1"/>
  <c r="N61" i="1"/>
  <c r="N35" i="1"/>
  <c r="N23" i="1"/>
  <c r="N85" i="1"/>
  <c r="N80" i="1"/>
  <c r="N96" i="1"/>
  <c r="N113" i="1"/>
  <c r="N74" i="1"/>
  <c r="N95" i="1"/>
  <c r="N88" i="1"/>
  <c r="N49" i="1"/>
  <c r="N57" i="1"/>
  <c r="N41" i="1"/>
  <c r="N114" i="1"/>
  <c r="N82" i="1"/>
  <c r="N52" i="1"/>
  <c r="N87" i="1"/>
  <c r="N83" i="1"/>
  <c r="N76" i="1"/>
  <c r="N101" i="1"/>
  <c r="N100" i="1"/>
  <c r="N98" i="1"/>
  <c r="N75" i="1"/>
  <c r="N115" i="1"/>
  <c r="N116" i="1"/>
  <c r="N28" i="1"/>
</calcChain>
</file>

<file path=xl/sharedStrings.xml><?xml version="1.0" encoding="utf-8"?>
<sst xmlns="http://schemas.openxmlformats.org/spreadsheetml/2006/main" count="414" uniqueCount="155">
  <si>
    <t>3215 ВЕТЧ.МЯСНАЯ Папа может п/о 0.4кг 8шт.    ОСТАНКИНО</t>
  </si>
  <si>
    <t>3287 САЛЯМИ ИТАЛЬЯНСКАЯ с/к в/у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</si>
  <si>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</si>
  <si>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</si>
  <si>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</si>
  <si>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</si>
  <si>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</si>
  <si>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</si>
  <si>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</si>
  <si>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</si>
  <si>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</si>
  <si>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</si>
  <si>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</si>
  <si>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5706 АРОМАТНАЯ Папа может с/к в/у 1/250 8шт. 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</si>
  <si>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</si>
  <si>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</si>
  <si>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</si>
  <si>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</si>
  <si>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</si>
  <si>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</si>
  <si>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</si>
  <si>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</si>
  <si>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</si>
  <si>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</si>
  <si>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</si>
  <si>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6303 Мясные Папа может сос п/о мгс 1,5*3  Останкино</t>
  </si>
  <si>
    <t>6324 ДОКТОРСКАЯ ГОСТ вар п/о 0,4кг 8шт 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</si>
  <si>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</si>
  <si>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</si>
  <si>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</si>
  <si>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6364 СЕРВЕЛАТ ЗЕРНИСТЫЙ ПМ в/к в/у 0.35кг  ОСТАНКИНО</t>
  </si>
  <si>
    <t>6392 ФИЛЕЙНАЯ Папа может вар п/о 0,4кг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</si>
  <si>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</si>
  <si>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</si>
  <si>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</si>
  <si>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6470 ВЕТЧ.МРАМОРНАЯ в/у_45с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</si>
  <si>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</si>
  <si>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</si>
  <si>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</si>
  <si>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</si>
  <si>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</si>
  <si>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</si>
  <si>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</si>
  <si>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</si>
  <si>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</si>
  <si>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</si>
  <si>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</si>
  <si>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</si>
  <si>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6761 МОЛОЧНЫЕ ГОСТ сос ц/о мгс 1*4  Останкино</t>
  </si>
  <si>
    <t>6765 РУБЛЕНЫЕ сос ц/о мгс 0,36кг 6шт  Останкино</t>
  </si>
  <si>
    <t>6767 РУБЛЕНЫЕ сос ц/о мгс 1*4  Останкино</t>
  </si>
  <si>
    <t>6787 СЕРВЕЛАТ КРЕМЛЕВСКИЙ в/к в/у 0,33кг 8шт  Останкино</t>
  </si>
  <si>
    <t>6793 БАЛЫКОВАЯ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</si>
  <si>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</si>
  <si>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</si>
  <si>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</si>
  <si>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6834 ПОСОЛЬСКАЯ с/к с/н в/у 1/100 10шт  Останкино</t>
  </si>
  <si>
    <t>6837 ФИЛЕЙНЫЕ Папа Может сос ц/о мгс 0,4кг  Останкино</t>
  </si>
  <si>
    <t>6866 ВЕТЧ.НЕЖНАЯ Коровино п/о_Маяк  Останкино</t>
  </si>
  <si>
    <t>6925 ВЕТЧ.КЛАССИЧЕСКАЯ в/у 0,6кг 8шт.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</si>
  <si>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</si>
  <si>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</si>
  <si>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</si>
  <si>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</si>
  <si>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</si>
  <si>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</si>
  <si>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</si>
  <si>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</si>
  <si>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</si>
  <si>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7082 СЛИВОЧНЫЕ ПМ сос п/о мгс 1,5*4_50с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</si>
  <si>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</si>
  <si>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</si>
  <si>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</si>
  <si>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7131 БАЛЫКОВАЯ в/к в/у 0,84кг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</si>
  <si>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</si>
  <si>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</si>
  <si>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</si>
  <si>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</si>
  <si>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</si>
  <si>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</si>
  <si>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</si>
  <si>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</si>
  <si>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</si>
  <si>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</si>
  <si>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</si>
  <si>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7284 ДЛЯ ДЕТЕЙ сос п/о мгс 0,33кг 6шт  Останкино</t>
  </si>
  <si>
    <t>7288 БАЛЫК с/к с/н в/у 1/100 10шт ОСТАНКИНО</t>
  </si>
  <si>
    <t>7332 БОЯРСКАЯ ПМ п/к в/у 0,28кг ОСТАНКИНО</t>
  </si>
  <si>
    <t>7333 СЕРВЕЛАТ ОХОТНИЧИЙ ПМ в/к в/у 0,28кг ОСТАНКИНО</t>
  </si>
  <si>
    <t>7371 БРЕСТСКИЕ сос п/о в/у 0,3кг 8шт. ОСТАНКИНО</t>
  </si>
  <si>
    <t>7382  САЛЯМИ МЕЛКОЗЕРНЕНАЯ с/к в/у1/120 8шт.  ОСТАНКИНО</t>
  </si>
  <si>
    <t>7461 ДЛЯ ДЕТЕЙ Папа Может сос п/о мгс 0,33кг ОСТАНКИНО</t>
  </si>
  <si>
    <t>7477 ДОКТОРСКАЯ ГОСТ ПМ вар п/о 0,35кг 8шт ОСТАНКИНО</t>
  </si>
  <si>
    <t>7489 СЫРРРВЕЛАТ Папа Может в/к в/у 0,28кг 8шт. ОСТАНКИНО</t>
  </si>
  <si>
    <t>7523 ГОВЯЖЬЯ Папа Может вар п/о 0,4кг 6шт. ОСТАНКИНО</t>
  </si>
  <si>
    <t>7539 ДОКТОРСКАЯ ГОСТ вар п/о 0,35кг ОСТАНКИНО</t>
  </si>
  <si>
    <t>7564 Балыковая в/к в/у Останкино Вес  ОСТАНКИНО</t>
  </si>
  <si>
    <t>7603 БАЛЫКОВАЯ в/к в/у 0.33кг 8шт. ОСТАНКИНО</t>
  </si>
  <si>
    <t>7632 ЭКСТРА Папа может вар п/о 0.4кг 8шт_195к  ОСТАНКИНО</t>
  </si>
  <si>
    <t>7647  ХОЧУ ВЕТЧ. ИЗ СВИН.ОТРУБА с/н мгс 1/100</t>
  </si>
  <si>
    <t>7651  ХОЧУ ВЕТЧ. МРАМОР. ПМ с/н мгс 1/100_Л11</t>
  </si>
  <si>
    <t>Номенклатура</t>
  </si>
  <si>
    <t>дубль</t>
  </si>
  <si>
    <t>ротация</t>
  </si>
  <si>
    <t>нужно увеличить продажи!!!</t>
  </si>
  <si>
    <t>283 шт в уценку (06,07,26)</t>
  </si>
  <si>
    <t>55 шт в уценку (06,07,26)</t>
  </si>
  <si>
    <t>ротация на 7612</t>
  </si>
  <si>
    <t>новинка</t>
  </si>
  <si>
    <t>вместо 6353</t>
  </si>
  <si>
    <t>Бердянск</t>
  </si>
  <si>
    <t>код</t>
  </si>
  <si>
    <t>комм</t>
  </si>
  <si>
    <t>продажи (кг/дн)</t>
  </si>
  <si>
    <t>ротация на 7539</t>
  </si>
  <si>
    <t>ротация на 7632</t>
  </si>
  <si>
    <t>ротация на 7616</t>
  </si>
  <si>
    <t>ротация на 7613</t>
  </si>
  <si>
    <t>ротация на 7608</t>
  </si>
  <si>
    <t>вместо 6324</t>
  </si>
  <si>
    <t>Донецк</t>
  </si>
  <si>
    <t>ВНИМАНИЕ акция</t>
  </si>
  <si>
    <t>не в матрице</t>
  </si>
  <si>
    <t>6832 АССОРТИ СЫРОКОПЧЕНЫХ КОЛБАС Коровино в/у  ОСТАНКИНО</t>
  </si>
  <si>
    <t>6861 ДОМАШНИЙ РЕЦЕПТ Коровино вар п/о  Останкино</t>
  </si>
  <si>
    <t>6946 СЕРВЕЛАТ КРЕМЛЕВСКИЙ в/к в/у ВЕС  0,84кг ОСТАНКИНО</t>
  </si>
  <si>
    <t>7147 САЛЬЧИЧОН Останкино с/к в/у 1/220 8 шт  Останкино</t>
  </si>
  <si>
    <t>7163 СЕРВЕЛАТ КЛАССИЧ.ПМ в/к в/у 0,62кг_50с  Останкино</t>
  </si>
  <si>
    <t>7276 СЛИВОЧНЫЕ ПМ сос п/о мгс 0,3кг 7шт  Останкино</t>
  </si>
  <si>
    <t>7608 СЕРВЕЛАТ ШВЕЙЦАРСК.в/к с/н в/у 1/100_Л11  ОСТАНКИНО</t>
  </si>
  <si>
    <t>7612 БАЛЫК с/к с/н в/у 1/100 10шт_  ОСТАНКИНО</t>
  </si>
  <si>
    <t>7616 ЭКСТРА Папа может с/к с/н в/у 1/100_  ОСТАНКИНО</t>
  </si>
  <si>
    <t>22 кг в уценку (08,07,26)</t>
  </si>
  <si>
    <t>пересчет +155кг (12,07,26)</t>
  </si>
  <si>
    <t>вместо 7131</t>
  </si>
  <si>
    <t>вместо 6793</t>
  </si>
  <si>
    <t>вместо 6459</t>
  </si>
  <si>
    <t>вместо 7288</t>
  </si>
  <si>
    <t>вместо 6453</t>
  </si>
  <si>
    <t>нет</t>
  </si>
  <si>
    <t>Луганск</t>
  </si>
  <si>
    <t>6620 РЕБРЫШКИ к/в в/у_30с  Останкино</t>
  </si>
  <si>
    <t>7149 БАЛЫКОВАЯ Коровино п/к в/у 0,84кг_50с  Останкино</t>
  </si>
  <si>
    <t>7343 СЕЙЧАС СЕЗОН ПМ вар п/о 0,4кг ОСТАНКИНО</t>
  </si>
  <si>
    <t>90 шт в уценку 30,06,26</t>
  </si>
  <si>
    <t>90 кг в уценку 30,06,26</t>
  </si>
  <si>
    <t>Мелитополь</t>
  </si>
  <si>
    <t>22,06,26 в уценку - 197 шт.</t>
  </si>
  <si>
    <t>матрица</t>
  </si>
  <si>
    <t>продажи</t>
  </si>
  <si>
    <t>КГ</t>
  </si>
  <si>
    <t>Дубль или вывод по ротации</t>
  </si>
  <si>
    <t>Новинка или ввод по ротации</t>
  </si>
  <si>
    <t>7299 НАБОР ДЛЯ ПИЦЦЫ Папа Может с/к в/у  ОСТАНКИНО</t>
  </si>
  <si>
    <t>7613 АРОМАТНАЯ с/к с/н в/у 1/100 10шт_Л10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</si>
</sst>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" fontId="0" fillId="0" borderId="0" xfId="0" applyNumberFormat="1"/>
    <xf numFmtId="0" fontId="0" fillId="0" borderId="1" xfId="0" applyBorder="1"/>
    <xf numFmtId="1" fontId="0" fillId="0" borderId="1" xfId="0" applyNumberFormat="1" applyBorder="1"/>
    <xf numFmtId="0" fontId="0" fillId="0" borderId="2" xfId="0" applyBorder="1"/>
    <xf numFmtId="1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1" fontId="0" fillId="0" borderId="7" xfId="0" applyNumberFormat="1" applyBorder="1"/>
    <xf numFmtId="0" fontId="0" fillId="0" borderId="8" xfId="0" applyBorder="1"/>
    <xf numFmtId="0" fontId="0" fillId="2" borderId="1" xfId="0" applyFill="1" applyBorder="1"/>
    <xf numFmtId="1" fontId="0" fillId="2" borderId="1" xfId="0" applyNumberFormat="1" applyFill="1" applyBorder="1"/>
    <xf numFmtId="1" fontId="0" fillId="2" borderId="2" xfId="0" applyNumberFormat="1" applyFill="1" applyBorder="1"/>
    <xf numFmtId="0" fontId="0" fillId="3" borderId="1" xfId="0" applyFill="1" applyBorder="1"/>
    <xf numFmtId="1" fontId="0" fillId="3" borderId="1" xfId="0" applyNumberFormat="1" applyFill="1" applyBorder="1"/>
    <xf numFmtId="1" fontId="0" fillId="3" borderId="2" xfId="0" applyNumberFormat="1" applyFill="1" applyBorder="1"/>
    <xf numFmtId="0" fontId="0" fillId="0" borderId="4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120"/>
  <sheetViews>
    <sheetView tabSelected="1" workbookViewId="0">
      <pane ySplit="2" topLeftCell="A3" activePane="bottomLeft" state="frozen"/>
      <selection pane="bottomLeft" activeCell="S5" sqref="S5"/>
    </sheetView>
  </sheetViews>
  <sheetFormatPr defaultRowHeight="15" x14ac:dyDescent="0.25"/>
  <cols>
    <col min="1" max="1" width="51.7109375" customWidth="1"/>
    <col min="2" max="2" width="0" hidden="1" customWidth="1"/>
    <col min="3" max="3" width="21.5703125" hidden="1" customWidth="1"/>
    <col min="4" max="4" width="16" style="1" bestFit="1" customWidth="1"/>
    <col min="5" max="5" width="0" hidden="1" customWidth="1"/>
    <col min="6" max="6" width="21.5703125" hidden="1" customWidth="1"/>
    <col min="7" max="7" width="16" style="1" bestFit="1" customWidth="1"/>
    <col min="8" max="8" width="0" hidden="1" customWidth="1"/>
    <col min="9" max="9" width="21.5703125" hidden="1" customWidth="1"/>
    <col min="10" max="10" width="16" style="1" bestFit="1" customWidth="1"/>
    <col min="11" max="11" width="0" hidden="1" customWidth="1"/>
    <col min="12" max="12" width="21.5703125" hidden="1" customWidth="1"/>
    <col min="13" max="13" width="16" style="1" bestFit="1" customWidth="1"/>
    <col min="15" max="15" width="13.140625" customWidth="1"/>
  </cols>
  <sheetData>
    <row r="1" spans="1:15" x14ac:dyDescent="0.25">
      <c r="A1" s="6"/>
      <c r="B1" s="19" t="s">
        <v>110</v>
      </c>
      <c r="C1" s="19"/>
      <c r="D1" s="19"/>
      <c r="E1" s="19" t="s">
        <v>120</v>
      </c>
      <c r="F1" s="19"/>
      <c r="G1" s="19"/>
      <c r="H1" s="19" t="s">
        <v>140</v>
      </c>
      <c r="I1" s="19"/>
      <c r="J1" s="19"/>
      <c r="K1" s="19" t="s">
        <v>146</v>
      </c>
      <c r="L1" s="19"/>
      <c r="M1" s="19"/>
      <c r="N1" s="7" t="s">
        <v>150</v>
      </c>
      <c r="O1" s="8"/>
    </row>
    <row r="2" spans="1:15" ht="15.75" thickBot="1" x14ac:dyDescent="0.3">
      <c r="A2" s="9" t="s">
        <v>101</v>
      </c>
      <c r="B2" s="10" t="s">
        <v>111</v>
      </c>
      <c r="C2" s="10" t="s">
        <v>112</v>
      </c>
      <c r="D2" s="11" t="s">
        <v>113</v>
      </c>
      <c r="E2" s="10" t="s">
        <v>111</v>
      </c>
      <c r="F2" s="10" t="s">
        <v>112</v>
      </c>
      <c r="G2" s="11" t="s">
        <v>113</v>
      </c>
      <c r="H2" s="10" t="s">
        <v>111</v>
      </c>
      <c r="I2" s="10" t="s">
        <v>112</v>
      </c>
      <c r="J2" s="11" t="s">
        <v>113</v>
      </c>
      <c r="K2" s="10" t="s">
        <v>111</v>
      </c>
      <c r="L2" s="10" t="s">
        <v>112</v>
      </c>
      <c r="M2" s="11" t="s">
        <v>113</v>
      </c>
      <c r="N2" s="10" t="s">
        <v>149</v>
      </c>
      <c r="O2" s="12" t="s">
        <v>148</v>
      </c>
    </row>
    <row r="3" spans="1:15" x14ac:dyDescent="0.25">
      <c r="A3" s="4" t="s">
        <v>3</v>
      </c>
      <c r="B3" s="4">
        <v>4063</v>
      </c>
      <c r="C3" s="4"/>
      <c r="D3" s="5">
        <v>44.084049999999998</v>
      </c>
      <c r="E3" s="4">
        <v>4063</v>
      </c>
      <c r="F3" s="4"/>
      <c r="G3" s="5">
        <v>209.5394</v>
      </c>
      <c r="H3" s="4">
        <v>4063</v>
      </c>
      <c r="I3" s="4"/>
      <c r="J3" s="5">
        <v>114.624275</v>
      </c>
      <c r="K3" s="4">
        <v>4063</v>
      </c>
      <c r="L3" s="4"/>
      <c r="M3" s="5">
        <v>36.390900000000009</v>
      </c>
      <c r="N3" s="5">
        <f t="shared" ref="N3:N34" si="0">M3+J3+G3+D3</f>
        <v>404.63862499999999</v>
      </c>
      <c r="O3" s="4" t="s">
        <v>148</v>
      </c>
    </row>
    <row r="4" spans="1:15" x14ac:dyDescent="0.25">
      <c r="A4" s="2" t="s">
        <v>64</v>
      </c>
      <c r="B4" s="2">
        <v>7066</v>
      </c>
      <c r="C4" s="2"/>
      <c r="D4" s="3">
        <v>70.068999999999988</v>
      </c>
      <c r="E4" s="2">
        <v>7066</v>
      </c>
      <c r="F4" s="2"/>
      <c r="G4" s="3">
        <v>107.5635</v>
      </c>
      <c r="H4" s="2">
        <v>7066</v>
      </c>
      <c r="I4" s="2"/>
      <c r="J4" s="3">
        <v>31.877499999999998</v>
      </c>
      <c r="K4" s="2">
        <v>7066</v>
      </c>
      <c r="L4" s="2"/>
      <c r="M4" s="3">
        <v>34.214500000000001</v>
      </c>
      <c r="N4" s="5">
        <f t="shared" si="0"/>
        <v>243.72450000000001</v>
      </c>
      <c r="O4" s="4" t="s">
        <v>148</v>
      </c>
    </row>
    <row r="5" spans="1:15" x14ac:dyDescent="0.25">
      <c r="A5" s="2" t="s">
        <v>55</v>
      </c>
      <c r="B5" s="2">
        <v>6829</v>
      </c>
      <c r="C5" s="2"/>
      <c r="D5" s="3">
        <v>37.463149999999999</v>
      </c>
      <c r="E5" s="2">
        <v>6829</v>
      </c>
      <c r="F5" s="2"/>
      <c r="G5" s="3">
        <v>73.259650000000008</v>
      </c>
      <c r="H5" s="2">
        <v>6829</v>
      </c>
      <c r="I5" s="2"/>
      <c r="J5" s="3">
        <v>49.419899999999998</v>
      </c>
      <c r="K5" s="2">
        <v>6829</v>
      </c>
      <c r="L5" s="2"/>
      <c r="M5" s="3">
        <v>79.18912499999999</v>
      </c>
      <c r="N5" s="5">
        <f t="shared" si="0"/>
        <v>239.33182499999998</v>
      </c>
      <c r="O5" s="4" t="s">
        <v>148</v>
      </c>
    </row>
    <row r="6" spans="1:15" x14ac:dyDescent="0.25">
      <c r="A6" s="2" t="s">
        <v>6</v>
      </c>
      <c r="B6" s="2">
        <v>4813</v>
      </c>
      <c r="C6" s="2"/>
      <c r="D6" s="3">
        <v>42.070225000000001</v>
      </c>
      <c r="E6" s="2">
        <v>4813</v>
      </c>
      <c r="F6" s="2"/>
      <c r="G6" s="3">
        <v>95.087924999999998</v>
      </c>
      <c r="H6" s="2">
        <v>4813</v>
      </c>
      <c r="I6" s="2"/>
      <c r="J6" s="3">
        <v>57.656775000000003</v>
      </c>
      <c r="K6" s="2">
        <v>4813</v>
      </c>
      <c r="L6" s="2"/>
      <c r="M6" s="3">
        <v>31.515274999999999</v>
      </c>
      <c r="N6" s="5">
        <f t="shared" si="0"/>
        <v>226.33019999999999</v>
      </c>
      <c r="O6" s="4" t="s">
        <v>148</v>
      </c>
    </row>
    <row r="7" spans="1:15" x14ac:dyDescent="0.25">
      <c r="A7" s="2" t="s">
        <v>25</v>
      </c>
      <c r="B7" s="2">
        <v>6303</v>
      </c>
      <c r="C7" s="2"/>
      <c r="D7" s="3">
        <v>49.287875000000014</v>
      </c>
      <c r="E7" s="2">
        <v>6303</v>
      </c>
      <c r="F7" s="2"/>
      <c r="G7" s="3">
        <v>45.7774</v>
      </c>
      <c r="H7" s="2">
        <v>6303</v>
      </c>
      <c r="I7" s="2"/>
      <c r="J7" s="3">
        <v>60.135674999999999</v>
      </c>
      <c r="K7" s="2">
        <v>6303</v>
      </c>
      <c r="L7" s="2"/>
      <c r="M7" s="3">
        <v>47.232575000000004</v>
      </c>
      <c r="N7" s="5">
        <f t="shared" si="0"/>
        <v>202.433525</v>
      </c>
      <c r="O7" s="4" t="s">
        <v>148</v>
      </c>
    </row>
    <row r="8" spans="1:15" x14ac:dyDescent="0.25">
      <c r="A8" s="2" t="s">
        <v>12</v>
      </c>
      <c r="B8" s="2">
        <v>5544</v>
      </c>
      <c r="C8" s="2"/>
      <c r="D8" s="3">
        <v>38.942374999999998</v>
      </c>
      <c r="E8" s="2">
        <v>5544</v>
      </c>
      <c r="F8" s="2"/>
      <c r="G8" s="3">
        <v>63.995500000000007</v>
      </c>
      <c r="H8" s="2">
        <v>5544</v>
      </c>
      <c r="I8" s="2"/>
      <c r="J8" s="3">
        <v>51.414700000000003</v>
      </c>
      <c r="K8" s="2">
        <v>5544</v>
      </c>
      <c r="L8" s="2"/>
      <c r="M8" s="3">
        <v>40.610675000000001</v>
      </c>
      <c r="N8" s="5">
        <f t="shared" si="0"/>
        <v>194.96324999999999</v>
      </c>
      <c r="O8" s="4" t="s">
        <v>148</v>
      </c>
    </row>
    <row r="9" spans="1:15" x14ac:dyDescent="0.25">
      <c r="A9" s="2" t="s">
        <v>65</v>
      </c>
      <c r="B9" s="2">
        <v>7070</v>
      </c>
      <c r="C9" s="2"/>
      <c r="D9" s="3">
        <v>19.541650000000004</v>
      </c>
      <c r="E9" s="2">
        <v>7070</v>
      </c>
      <c r="F9" s="2"/>
      <c r="G9" s="3">
        <v>61.817275000000002</v>
      </c>
      <c r="H9" s="2">
        <v>7070</v>
      </c>
      <c r="I9" s="2"/>
      <c r="J9" s="3">
        <v>67.997199999999992</v>
      </c>
      <c r="K9" s="2">
        <v>7070</v>
      </c>
      <c r="L9" s="2"/>
      <c r="M9" s="3">
        <v>36.900625000000005</v>
      </c>
      <c r="N9" s="5">
        <f t="shared" si="0"/>
        <v>186.25675000000001</v>
      </c>
      <c r="O9" s="4" t="s">
        <v>148</v>
      </c>
    </row>
    <row r="10" spans="1:15" x14ac:dyDescent="0.25">
      <c r="A10" s="2" t="s">
        <v>76</v>
      </c>
      <c r="B10" s="2">
        <v>7166</v>
      </c>
      <c r="C10" s="2"/>
      <c r="D10" s="3">
        <v>31.892400000000002</v>
      </c>
      <c r="E10" s="2">
        <v>7166</v>
      </c>
      <c r="F10" s="2"/>
      <c r="G10" s="3">
        <v>57.559275</v>
      </c>
      <c r="H10" s="2">
        <v>7166</v>
      </c>
      <c r="I10" s="2"/>
      <c r="J10" s="3">
        <v>41.5762</v>
      </c>
      <c r="K10" s="2">
        <v>7166</v>
      </c>
      <c r="L10" s="2"/>
      <c r="M10" s="3">
        <v>41.027625</v>
      </c>
      <c r="N10" s="5">
        <f t="shared" si="0"/>
        <v>172.05549999999999</v>
      </c>
      <c r="O10" s="4" t="s">
        <v>148</v>
      </c>
    </row>
    <row r="11" spans="1:15" x14ac:dyDescent="0.25">
      <c r="A11" s="2" t="s">
        <v>45</v>
      </c>
      <c r="B11" s="2">
        <v>6697</v>
      </c>
      <c r="C11" s="2"/>
      <c r="D11" s="3">
        <v>37.414999999999992</v>
      </c>
      <c r="E11" s="2">
        <v>6697</v>
      </c>
      <c r="F11" s="2"/>
      <c r="G11" s="3">
        <v>74.304999999999993</v>
      </c>
      <c r="H11" s="2">
        <v>6697</v>
      </c>
      <c r="I11" s="2"/>
      <c r="J11" s="3">
        <v>22.461249999999996</v>
      </c>
      <c r="K11" s="2">
        <v>6697</v>
      </c>
      <c r="L11" s="2"/>
      <c r="M11" s="3">
        <v>26.118749999999999</v>
      </c>
      <c r="N11" s="5">
        <f t="shared" si="0"/>
        <v>160.29999999999998</v>
      </c>
      <c r="O11" s="4" t="s">
        <v>148</v>
      </c>
    </row>
    <row r="12" spans="1:15" x14ac:dyDescent="0.25">
      <c r="A12" s="2" t="s">
        <v>68</v>
      </c>
      <c r="B12" s="2">
        <v>7080</v>
      </c>
      <c r="C12" s="2"/>
      <c r="D12" s="3">
        <v>42.906499999999994</v>
      </c>
      <c r="E12" s="2">
        <v>7080</v>
      </c>
      <c r="F12" s="2"/>
      <c r="G12" s="3">
        <v>57.902250000000009</v>
      </c>
      <c r="H12" s="2">
        <v>7080</v>
      </c>
      <c r="I12" s="2"/>
      <c r="J12" s="3">
        <v>18.378250000000001</v>
      </c>
      <c r="K12" s="2">
        <v>7080</v>
      </c>
      <c r="L12" s="2"/>
      <c r="M12" s="3">
        <v>32.041499999999999</v>
      </c>
      <c r="N12" s="5">
        <f t="shared" si="0"/>
        <v>151.2285</v>
      </c>
      <c r="O12" s="4" t="s">
        <v>148</v>
      </c>
    </row>
    <row r="13" spans="1:15" x14ac:dyDescent="0.25">
      <c r="A13" s="2" t="s">
        <v>16</v>
      </c>
      <c r="B13" s="2">
        <v>5851</v>
      </c>
      <c r="C13" s="2"/>
      <c r="D13" s="3">
        <v>25.639525000000003</v>
      </c>
      <c r="E13" s="2">
        <v>5851</v>
      </c>
      <c r="F13" s="2"/>
      <c r="G13" s="3">
        <v>49.036924999999997</v>
      </c>
      <c r="H13" s="2">
        <v>5851</v>
      </c>
      <c r="I13" s="2"/>
      <c r="J13" s="3">
        <v>46.346050000000005</v>
      </c>
      <c r="K13" s="2">
        <v>5851</v>
      </c>
      <c r="L13" s="2"/>
      <c r="M13" s="3">
        <v>21.436050000000002</v>
      </c>
      <c r="N13" s="5">
        <f t="shared" si="0"/>
        <v>142.45855</v>
      </c>
      <c r="O13" s="4" t="s">
        <v>148</v>
      </c>
    </row>
    <row r="14" spans="1:15" x14ac:dyDescent="0.25">
      <c r="A14" s="2" t="s">
        <v>77</v>
      </c>
      <c r="B14" s="2">
        <v>7169</v>
      </c>
      <c r="C14" s="2"/>
      <c r="D14" s="3">
        <v>33.25</v>
      </c>
      <c r="E14" s="2">
        <v>7169</v>
      </c>
      <c r="F14" s="2"/>
      <c r="G14" s="3">
        <v>60.483578749999985</v>
      </c>
      <c r="H14" s="2">
        <v>7169</v>
      </c>
      <c r="I14" s="2"/>
      <c r="J14" s="3">
        <v>14.16625</v>
      </c>
      <c r="K14" s="2">
        <v>7169</v>
      </c>
      <c r="L14" s="2"/>
      <c r="M14" s="3">
        <v>30.187499999999996</v>
      </c>
      <c r="N14" s="5">
        <f t="shared" si="0"/>
        <v>138.08732874999998</v>
      </c>
      <c r="O14" s="4" t="s">
        <v>148</v>
      </c>
    </row>
    <row r="15" spans="1:15" x14ac:dyDescent="0.25">
      <c r="A15" s="2" t="s">
        <v>31</v>
      </c>
      <c r="B15" s="2">
        <v>6392</v>
      </c>
      <c r="C15" s="2"/>
      <c r="D15" s="3">
        <v>28.32</v>
      </c>
      <c r="E15" s="2">
        <v>6392</v>
      </c>
      <c r="F15" s="2"/>
      <c r="G15" s="3">
        <v>63.687000000000012</v>
      </c>
      <c r="H15" s="2">
        <v>6392</v>
      </c>
      <c r="I15" s="2"/>
      <c r="J15" s="3">
        <v>17.07</v>
      </c>
      <c r="K15" s="2">
        <v>6392</v>
      </c>
      <c r="L15" s="2"/>
      <c r="M15" s="3">
        <v>23.23</v>
      </c>
      <c r="N15" s="5">
        <f t="shared" si="0"/>
        <v>132.30700000000002</v>
      </c>
      <c r="O15" s="4" t="s">
        <v>148</v>
      </c>
    </row>
    <row r="16" spans="1:15" x14ac:dyDescent="0.25">
      <c r="A16" s="2" t="s">
        <v>74</v>
      </c>
      <c r="B16" s="2">
        <v>7154</v>
      </c>
      <c r="C16" s="2"/>
      <c r="D16" s="3">
        <v>29.82</v>
      </c>
      <c r="E16" s="2">
        <v>7154</v>
      </c>
      <c r="F16" s="2"/>
      <c r="G16" s="3">
        <v>53.999259999999992</v>
      </c>
      <c r="H16" s="2">
        <v>7154</v>
      </c>
      <c r="I16" s="2"/>
      <c r="J16" s="3">
        <v>20.965</v>
      </c>
      <c r="K16" s="2">
        <v>7154</v>
      </c>
      <c r="L16" s="2"/>
      <c r="M16" s="3">
        <v>27.518749999999997</v>
      </c>
      <c r="N16" s="5">
        <f t="shared" si="0"/>
        <v>132.30301</v>
      </c>
      <c r="O16" s="4" t="s">
        <v>148</v>
      </c>
    </row>
    <row r="17" spans="1:15" x14ac:dyDescent="0.25">
      <c r="A17" s="2" t="s">
        <v>43</v>
      </c>
      <c r="B17" s="2">
        <v>6616</v>
      </c>
      <c r="C17" s="2"/>
      <c r="D17" s="3">
        <v>20.37</v>
      </c>
      <c r="E17" s="2">
        <v>6616</v>
      </c>
      <c r="F17" s="2" t="s">
        <v>104</v>
      </c>
      <c r="G17" s="3">
        <v>77.632499999999993</v>
      </c>
      <c r="H17" s="2">
        <v>6616</v>
      </c>
      <c r="I17" s="2"/>
      <c r="J17" s="3">
        <v>8.9249999999999989</v>
      </c>
      <c r="K17" s="2">
        <v>6616</v>
      </c>
      <c r="L17" s="2"/>
      <c r="M17" s="3">
        <v>16.987500000000001</v>
      </c>
      <c r="N17" s="5">
        <f t="shared" si="0"/>
        <v>123.91499999999999</v>
      </c>
      <c r="O17" s="4" t="s">
        <v>148</v>
      </c>
    </row>
    <row r="18" spans="1:15" x14ac:dyDescent="0.25">
      <c r="A18" s="2" t="s">
        <v>28</v>
      </c>
      <c r="B18" s="2">
        <v>6333</v>
      </c>
      <c r="C18" s="2"/>
      <c r="D18" s="3">
        <v>34.020000000000003</v>
      </c>
      <c r="E18" s="2">
        <v>6333</v>
      </c>
      <c r="F18" s="2"/>
      <c r="G18" s="3">
        <v>48.420000000000009</v>
      </c>
      <c r="H18" s="2">
        <v>6333</v>
      </c>
      <c r="I18" s="2"/>
      <c r="J18" s="3">
        <v>17.559999999999999</v>
      </c>
      <c r="K18" s="2">
        <v>6333</v>
      </c>
      <c r="L18" s="2"/>
      <c r="M18" s="3">
        <v>23.379999999999995</v>
      </c>
      <c r="N18" s="5">
        <f t="shared" si="0"/>
        <v>123.38000000000002</v>
      </c>
      <c r="O18" s="4" t="s">
        <v>148</v>
      </c>
    </row>
    <row r="19" spans="1:15" x14ac:dyDescent="0.25">
      <c r="A19" s="2" t="s">
        <v>20</v>
      </c>
      <c r="B19" s="2">
        <v>6220</v>
      </c>
      <c r="C19" s="2"/>
      <c r="D19" s="3">
        <v>12.082325000000001</v>
      </c>
      <c r="E19" s="2">
        <v>6220</v>
      </c>
      <c r="F19" s="2"/>
      <c r="G19" s="3">
        <v>47.837149999999994</v>
      </c>
      <c r="H19" s="2">
        <v>6220</v>
      </c>
      <c r="I19" s="2"/>
      <c r="J19" s="3">
        <v>30.225549999999998</v>
      </c>
      <c r="K19" s="2">
        <v>6220</v>
      </c>
      <c r="L19" s="2"/>
      <c r="M19" s="3">
        <v>10.59835</v>
      </c>
      <c r="N19" s="5">
        <f t="shared" si="0"/>
        <v>100.74337499999999</v>
      </c>
      <c r="O19" s="4" t="s">
        <v>148</v>
      </c>
    </row>
    <row r="20" spans="1:15" x14ac:dyDescent="0.25">
      <c r="A20" s="2" t="s">
        <v>75</v>
      </c>
      <c r="B20" s="2">
        <v>7157</v>
      </c>
      <c r="C20" s="2"/>
      <c r="D20" s="3">
        <v>22.126525000000001</v>
      </c>
      <c r="E20" s="2">
        <v>7157</v>
      </c>
      <c r="F20" s="2"/>
      <c r="G20" s="3">
        <v>21.151325</v>
      </c>
      <c r="H20" s="2">
        <v>7157</v>
      </c>
      <c r="I20" s="2"/>
      <c r="J20" s="3">
        <v>27.888324999999998</v>
      </c>
      <c r="K20" s="2">
        <v>7157</v>
      </c>
      <c r="L20" s="2"/>
      <c r="M20" s="3">
        <v>26.551174999999997</v>
      </c>
      <c r="N20" s="5">
        <f t="shared" si="0"/>
        <v>97.717349999999996</v>
      </c>
      <c r="O20" s="4" t="s">
        <v>148</v>
      </c>
    </row>
    <row r="21" spans="1:15" x14ac:dyDescent="0.25">
      <c r="A21" s="2" t="s">
        <v>70</v>
      </c>
      <c r="B21" s="2">
        <v>7083</v>
      </c>
      <c r="C21" s="2"/>
      <c r="D21" s="3">
        <v>10.9404</v>
      </c>
      <c r="E21" s="2">
        <v>7083</v>
      </c>
      <c r="F21" s="2"/>
      <c r="G21" s="3">
        <v>27.524224999999998</v>
      </c>
      <c r="H21" s="2">
        <v>7083</v>
      </c>
      <c r="I21" s="2"/>
      <c r="J21" s="3">
        <v>25.28435</v>
      </c>
      <c r="K21" s="2">
        <v>7083</v>
      </c>
      <c r="L21" s="2"/>
      <c r="M21" s="3">
        <v>31.797149999999995</v>
      </c>
      <c r="N21" s="5">
        <f t="shared" si="0"/>
        <v>95.546124999999989</v>
      </c>
      <c r="O21" s="4" t="s">
        <v>148</v>
      </c>
    </row>
    <row r="22" spans="1:15" x14ac:dyDescent="0.25">
      <c r="A22" s="2" t="s">
        <v>42</v>
      </c>
      <c r="B22" s="2">
        <v>6608</v>
      </c>
      <c r="C22" s="2"/>
      <c r="D22" s="3">
        <v>9.1345499999999991</v>
      </c>
      <c r="E22" s="2">
        <v>6608</v>
      </c>
      <c r="F22" s="2"/>
      <c r="G22" s="3">
        <v>33.058374999999998</v>
      </c>
      <c r="H22" s="2">
        <v>6608</v>
      </c>
      <c r="I22" s="2"/>
      <c r="J22" s="3">
        <v>35.711075000000001</v>
      </c>
      <c r="K22" s="2">
        <v>6608</v>
      </c>
      <c r="L22" s="2"/>
      <c r="M22" s="3">
        <v>15.259900000000002</v>
      </c>
      <c r="N22" s="5">
        <f t="shared" si="0"/>
        <v>93.163899999999998</v>
      </c>
      <c r="O22" s="4" t="s">
        <v>148</v>
      </c>
    </row>
    <row r="23" spans="1:15" x14ac:dyDescent="0.25">
      <c r="A23" s="2" t="s">
        <v>84</v>
      </c>
      <c r="B23" s="2">
        <v>7255</v>
      </c>
      <c r="C23" s="2"/>
      <c r="D23" s="3">
        <v>37.4</v>
      </c>
      <c r="E23" s="2">
        <v>7255</v>
      </c>
      <c r="F23" s="2"/>
      <c r="G23" s="3">
        <v>25.959999999999997</v>
      </c>
      <c r="H23" s="2">
        <v>7255</v>
      </c>
      <c r="I23" s="2"/>
      <c r="J23" s="3">
        <v>12.979999999999999</v>
      </c>
      <c r="K23" s="2">
        <v>7255</v>
      </c>
      <c r="L23" s="2"/>
      <c r="M23" s="3">
        <v>16.639999999999997</v>
      </c>
      <c r="N23" s="5">
        <f t="shared" si="0"/>
        <v>92.97999999999999</v>
      </c>
      <c r="O23" s="4" t="s">
        <v>148</v>
      </c>
    </row>
    <row r="24" spans="1:15" x14ac:dyDescent="0.25">
      <c r="A24" s="2" t="s">
        <v>46</v>
      </c>
      <c r="B24" s="2">
        <v>6713</v>
      </c>
      <c r="C24" s="2"/>
      <c r="D24" s="3">
        <v>21.832499999999996</v>
      </c>
      <c r="E24" s="2">
        <v>6713</v>
      </c>
      <c r="F24" s="2"/>
      <c r="G24" s="3">
        <v>29.724999999999998</v>
      </c>
      <c r="H24" s="2">
        <v>6713</v>
      </c>
      <c r="I24" s="2"/>
      <c r="J24" s="3">
        <v>16.010499999999997</v>
      </c>
      <c r="K24" s="2">
        <v>6713</v>
      </c>
      <c r="L24" s="2"/>
      <c r="M24" s="3">
        <v>18.655000000000001</v>
      </c>
      <c r="N24" s="5">
        <f t="shared" si="0"/>
        <v>86.222999999999985</v>
      </c>
      <c r="O24" s="4" t="s">
        <v>148</v>
      </c>
    </row>
    <row r="25" spans="1:15" x14ac:dyDescent="0.25">
      <c r="A25" s="2" t="s">
        <v>5</v>
      </c>
      <c r="B25" s="2">
        <v>4574</v>
      </c>
      <c r="C25" s="2"/>
      <c r="D25" s="3">
        <v>6.5203499999999996</v>
      </c>
      <c r="E25" s="2">
        <v>4574</v>
      </c>
      <c r="F25" s="2"/>
      <c r="G25" s="3">
        <v>27.369075000000002</v>
      </c>
      <c r="H25" s="2">
        <v>4574</v>
      </c>
      <c r="I25" s="2"/>
      <c r="J25" s="3">
        <v>35.179324999999999</v>
      </c>
      <c r="K25" s="2">
        <v>4574</v>
      </c>
      <c r="L25" s="2"/>
      <c r="M25" s="3">
        <v>8.4133499999999994</v>
      </c>
      <c r="N25" s="5">
        <f t="shared" si="0"/>
        <v>77.482099999999988</v>
      </c>
      <c r="O25" s="4" t="s">
        <v>148</v>
      </c>
    </row>
    <row r="26" spans="1:15" x14ac:dyDescent="0.25">
      <c r="A26" s="2" t="s">
        <v>38</v>
      </c>
      <c r="B26" s="2">
        <v>6498</v>
      </c>
      <c r="C26" s="2"/>
      <c r="D26" s="3">
        <v>19.789250000000003</v>
      </c>
      <c r="E26" s="2">
        <v>6498</v>
      </c>
      <c r="F26" s="2"/>
      <c r="G26" s="3">
        <v>21.939525000000003</v>
      </c>
      <c r="H26" s="2">
        <v>6498</v>
      </c>
      <c r="I26" s="2"/>
      <c r="J26" s="3">
        <v>19.445399999999999</v>
      </c>
      <c r="K26" s="2">
        <v>6498</v>
      </c>
      <c r="L26" s="2"/>
      <c r="M26" s="3">
        <v>14.409125</v>
      </c>
      <c r="N26" s="5">
        <f t="shared" si="0"/>
        <v>75.583300000000008</v>
      </c>
      <c r="O26" s="4" t="s">
        <v>148</v>
      </c>
    </row>
    <row r="27" spans="1:15" x14ac:dyDescent="0.25">
      <c r="A27" s="2" t="s">
        <v>40</v>
      </c>
      <c r="B27" s="2">
        <v>6550</v>
      </c>
      <c r="C27" s="2"/>
      <c r="D27" s="3">
        <v>9.7579499999999992</v>
      </c>
      <c r="E27" s="2">
        <v>6550</v>
      </c>
      <c r="F27" s="2"/>
      <c r="G27" s="3">
        <v>19.175699999999999</v>
      </c>
      <c r="H27" s="2">
        <v>6550</v>
      </c>
      <c r="I27" s="2"/>
      <c r="J27" s="3">
        <v>23.922550000000005</v>
      </c>
      <c r="K27" s="2">
        <v>6550</v>
      </c>
      <c r="L27" s="2"/>
      <c r="M27" s="3">
        <v>20.777274999999999</v>
      </c>
      <c r="N27" s="5">
        <f t="shared" si="0"/>
        <v>73.633475000000004</v>
      </c>
      <c r="O27" s="4" t="s">
        <v>148</v>
      </c>
    </row>
    <row r="28" spans="1:15" x14ac:dyDescent="0.25">
      <c r="A28" s="2" t="s">
        <v>0</v>
      </c>
      <c r="B28" s="2">
        <v>3215</v>
      </c>
      <c r="C28" s="2"/>
      <c r="D28" s="3">
        <v>17.560000000000002</v>
      </c>
      <c r="E28" s="2">
        <v>3215</v>
      </c>
      <c r="F28" s="2"/>
      <c r="G28" s="3">
        <v>26.130000000000003</v>
      </c>
      <c r="H28" s="2">
        <v>3215</v>
      </c>
      <c r="I28" s="2"/>
      <c r="J28" s="3">
        <v>10.590000000000002</v>
      </c>
      <c r="K28" s="2">
        <v>3215</v>
      </c>
      <c r="L28" s="2"/>
      <c r="M28" s="3">
        <v>18.059999999999999</v>
      </c>
      <c r="N28" s="5">
        <f t="shared" si="0"/>
        <v>72.34</v>
      </c>
      <c r="O28" s="4" t="s">
        <v>148</v>
      </c>
    </row>
    <row r="29" spans="1:15" x14ac:dyDescent="0.25">
      <c r="A29" s="2" t="s">
        <v>11</v>
      </c>
      <c r="B29" s="2">
        <v>5495</v>
      </c>
      <c r="C29" s="2"/>
      <c r="D29" s="3">
        <v>9.2200000000000006</v>
      </c>
      <c r="E29" s="2" t="s">
        <v>121</v>
      </c>
      <c r="F29" s="2"/>
      <c r="G29" s="3">
        <v>42.68</v>
      </c>
      <c r="H29" s="2">
        <v>5495</v>
      </c>
      <c r="I29" s="2"/>
      <c r="J29" s="3">
        <v>9.14</v>
      </c>
      <c r="K29" s="2">
        <v>5495</v>
      </c>
      <c r="L29" s="2"/>
      <c r="M29" s="3">
        <v>6.8400000000000007</v>
      </c>
      <c r="N29" s="5">
        <f t="shared" si="0"/>
        <v>67.88</v>
      </c>
      <c r="O29" s="4" t="s">
        <v>148</v>
      </c>
    </row>
    <row r="30" spans="1:15" x14ac:dyDescent="0.25">
      <c r="A30" s="2" t="s">
        <v>39</v>
      </c>
      <c r="B30" s="2">
        <v>6527</v>
      </c>
      <c r="C30" s="2"/>
      <c r="D30" s="3">
        <v>10.690975</v>
      </c>
      <c r="E30" s="2">
        <v>6527</v>
      </c>
      <c r="F30" s="2"/>
      <c r="G30" s="3">
        <v>14.111975000000001</v>
      </c>
      <c r="H30" s="2">
        <v>6527</v>
      </c>
      <c r="I30" s="2"/>
      <c r="J30" s="3">
        <v>18.569149999999997</v>
      </c>
      <c r="K30" s="2">
        <v>6527</v>
      </c>
      <c r="L30" s="2"/>
      <c r="M30" s="3">
        <v>16.767399999999999</v>
      </c>
      <c r="N30" s="5">
        <f t="shared" si="0"/>
        <v>60.139499999999998</v>
      </c>
      <c r="O30" s="4" t="s">
        <v>148</v>
      </c>
    </row>
    <row r="31" spans="1:15" x14ac:dyDescent="0.25">
      <c r="A31" s="2" t="s">
        <v>44</v>
      </c>
      <c r="B31" s="2">
        <v>6661</v>
      </c>
      <c r="C31" s="2"/>
      <c r="D31" s="3">
        <v>2.4666749999999995</v>
      </c>
      <c r="E31" s="2">
        <v>6661</v>
      </c>
      <c r="F31" s="2" t="s">
        <v>133</v>
      </c>
      <c r="G31" s="3">
        <v>1.9898500000000001</v>
      </c>
      <c r="H31" s="2">
        <v>6661</v>
      </c>
      <c r="I31" s="2"/>
      <c r="J31" s="3">
        <v>40.689850000000007</v>
      </c>
      <c r="K31" s="2">
        <v>6661</v>
      </c>
      <c r="L31" s="2"/>
      <c r="M31" s="3">
        <v>13.960325000000001</v>
      </c>
      <c r="N31" s="5">
        <f t="shared" si="0"/>
        <v>59.106700000000004</v>
      </c>
      <c r="O31" s="4" t="s">
        <v>148</v>
      </c>
    </row>
    <row r="32" spans="1:15" x14ac:dyDescent="0.25">
      <c r="A32" s="2" t="s">
        <v>81</v>
      </c>
      <c r="B32" s="2">
        <v>7236</v>
      </c>
      <c r="C32" s="2"/>
      <c r="D32" s="3">
        <v>16.016000000000002</v>
      </c>
      <c r="E32" s="2">
        <v>7236</v>
      </c>
      <c r="F32" s="2"/>
      <c r="G32" s="3">
        <v>10.548999999999999</v>
      </c>
      <c r="H32" s="2">
        <v>7236</v>
      </c>
      <c r="I32" s="2"/>
      <c r="J32" s="3">
        <v>9.5900000000000016</v>
      </c>
      <c r="K32" s="2">
        <v>7236</v>
      </c>
      <c r="L32" s="2"/>
      <c r="M32" s="3">
        <v>17.682000000000002</v>
      </c>
      <c r="N32" s="5">
        <f t="shared" si="0"/>
        <v>53.837000000000003</v>
      </c>
      <c r="O32" s="4" t="s">
        <v>148</v>
      </c>
    </row>
    <row r="33" spans="1:15" x14ac:dyDescent="0.25">
      <c r="A33" s="2" t="s">
        <v>80</v>
      </c>
      <c r="B33" s="2">
        <v>7232</v>
      </c>
      <c r="C33" s="2"/>
      <c r="D33" s="3">
        <v>14.728000000000002</v>
      </c>
      <c r="E33" s="2">
        <v>7232</v>
      </c>
      <c r="F33" s="2"/>
      <c r="G33" s="3">
        <v>7.854000000000001</v>
      </c>
      <c r="H33" s="2">
        <v>7232</v>
      </c>
      <c r="I33" s="2"/>
      <c r="J33" s="3">
        <v>8.5680000000000014</v>
      </c>
      <c r="K33" s="2">
        <v>7232</v>
      </c>
      <c r="L33" s="2"/>
      <c r="M33" s="3">
        <v>19.355</v>
      </c>
      <c r="N33" s="5">
        <f t="shared" si="0"/>
        <v>50.505000000000003</v>
      </c>
      <c r="O33" s="4" t="s">
        <v>148</v>
      </c>
    </row>
    <row r="34" spans="1:15" x14ac:dyDescent="0.25">
      <c r="A34" s="2" t="s">
        <v>15</v>
      </c>
      <c r="B34" s="2">
        <v>5819</v>
      </c>
      <c r="C34" s="2" t="s">
        <v>105</v>
      </c>
      <c r="D34" s="3">
        <v>6.8599999999999994</v>
      </c>
      <c r="E34" s="2">
        <v>5819</v>
      </c>
      <c r="F34" s="2"/>
      <c r="G34" s="3">
        <v>23.68</v>
      </c>
      <c r="H34" s="2">
        <v>5819</v>
      </c>
      <c r="I34" s="2"/>
      <c r="J34" s="3">
        <v>5.84</v>
      </c>
      <c r="K34" s="2">
        <v>5819</v>
      </c>
      <c r="L34" s="2"/>
      <c r="M34" s="3">
        <v>12.040000000000001</v>
      </c>
      <c r="N34" s="5">
        <f t="shared" si="0"/>
        <v>48.42</v>
      </c>
      <c r="O34" s="4" t="s">
        <v>148</v>
      </c>
    </row>
    <row r="35" spans="1:15" x14ac:dyDescent="0.25">
      <c r="A35" s="2" t="s">
        <v>83</v>
      </c>
      <c r="B35" s="2">
        <v>7241</v>
      </c>
      <c r="C35" s="2"/>
      <c r="D35" s="3">
        <v>11.654999999999999</v>
      </c>
      <c r="E35" s="2">
        <v>7241</v>
      </c>
      <c r="F35" s="2"/>
      <c r="G35" s="3">
        <v>9.0580000000000016</v>
      </c>
      <c r="H35" s="2">
        <v>7241</v>
      </c>
      <c r="I35" s="2"/>
      <c r="J35" s="3">
        <v>15.540000000000001</v>
      </c>
      <c r="K35" s="2">
        <v>7241</v>
      </c>
      <c r="L35" s="2"/>
      <c r="M35" s="3">
        <v>12.04</v>
      </c>
      <c r="N35" s="5">
        <f t="shared" ref="N35:N66" si="1">M35+J35+G35+D35</f>
        <v>48.292999999999999</v>
      </c>
      <c r="O35" s="4" t="s">
        <v>148</v>
      </c>
    </row>
    <row r="36" spans="1:15" x14ac:dyDescent="0.25">
      <c r="A36" s="2" t="s">
        <v>9</v>
      </c>
      <c r="B36" s="2">
        <v>5452</v>
      </c>
      <c r="C36" s="2"/>
      <c r="D36" s="3">
        <v>14.219075</v>
      </c>
      <c r="E36" s="2">
        <v>5452</v>
      </c>
      <c r="F36" s="2"/>
      <c r="G36" s="3">
        <v>13.248975</v>
      </c>
      <c r="H36" s="2">
        <v>5452</v>
      </c>
      <c r="I36" s="2"/>
      <c r="J36" s="3">
        <v>13.340574999999999</v>
      </c>
      <c r="K36" s="2">
        <v>5452</v>
      </c>
      <c r="L36" s="2"/>
      <c r="M36" s="3">
        <v>6.2675749999999999</v>
      </c>
      <c r="N36" s="5">
        <f t="shared" si="1"/>
        <v>47.0762</v>
      </c>
      <c r="O36" s="4" t="s">
        <v>148</v>
      </c>
    </row>
    <row r="37" spans="1:15" x14ac:dyDescent="0.25">
      <c r="A37" s="2" t="s">
        <v>47</v>
      </c>
      <c r="B37" s="2">
        <v>6724</v>
      </c>
      <c r="C37" s="2"/>
      <c r="D37" s="3">
        <v>10.58825</v>
      </c>
      <c r="E37" s="2">
        <v>6724</v>
      </c>
      <c r="F37" s="2"/>
      <c r="G37" s="3">
        <v>7.2057499999999992</v>
      </c>
      <c r="H37" s="2">
        <v>6724</v>
      </c>
      <c r="I37" s="2"/>
      <c r="J37" s="3">
        <v>12.392249999999999</v>
      </c>
      <c r="K37" s="2">
        <v>6724</v>
      </c>
      <c r="L37" s="2"/>
      <c r="M37" s="3">
        <v>11.018750000000001</v>
      </c>
      <c r="N37" s="5">
        <f t="shared" si="1"/>
        <v>41.204999999999998</v>
      </c>
      <c r="O37" s="4" t="s">
        <v>148</v>
      </c>
    </row>
    <row r="38" spans="1:15" x14ac:dyDescent="0.25">
      <c r="A38" s="2" t="s">
        <v>17</v>
      </c>
      <c r="B38" s="2">
        <v>5931</v>
      </c>
      <c r="C38" s="2"/>
      <c r="D38" s="3">
        <v>7.5569999999999986</v>
      </c>
      <c r="E38" s="2">
        <v>5931</v>
      </c>
      <c r="F38" s="2"/>
      <c r="G38" s="3">
        <v>6.7759999999999998</v>
      </c>
      <c r="H38" s="2">
        <v>5931</v>
      </c>
      <c r="I38" s="2"/>
      <c r="J38" s="3">
        <v>12.5785</v>
      </c>
      <c r="K38" s="2">
        <v>5931</v>
      </c>
      <c r="L38" s="2"/>
      <c r="M38" s="3">
        <v>9.3445</v>
      </c>
      <c r="N38" s="5">
        <f t="shared" si="1"/>
        <v>36.256</v>
      </c>
      <c r="O38" s="4" t="s">
        <v>148</v>
      </c>
    </row>
    <row r="39" spans="1:15" x14ac:dyDescent="0.25">
      <c r="A39" s="2" t="s">
        <v>49</v>
      </c>
      <c r="B39" s="2">
        <v>6765</v>
      </c>
      <c r="C39" s="2"/>
      <c r="D39" s="3">
        <v>0.54</v>
      </c>
      <c r="E39" s="2">
        <v>6765</v>
      </c>
      <c r="F39" s="2"/>
      <c r="G39" s="3">
        <v>15.768000000000001</v>
      </c>
      <c r="H39" s="2">
        <v>6765</v>
      </c>
      <c r="I39" s="2"/>
      <c r="J39" s="3">
        <v>10.268999999999998</v>
      </c>
      <c r="K39" s="2">
        <v>6765</v>
      </c>
      <c r="L39" s="2"/>
      <c r="M39" s="3">
        <v>6.7679999999999998</v>
      </c>
      <c r="N39" s="5">
        <f t="shared" si="1"/>
        <v>33.344999999999999</v>
      </c>
      <c r="O39" s="4" t="s">
        <v>148</v>
      </c>
    </row>
    <row r="40" spans="1:15" x14ac:dyDescent="0.25">
      <c r="A40" s="2" t="s">
        <v>36</v>
      </c>
      <c r="B40" s="2">
        <v>6475</v>
      </c>
      <c r="C40" s="2"/>
      <c r="D40" s="3">
        <v>8.8000000000000007</v>
      </c>
      <c r="E40" s="2">
        <v>6475</v>
      </c>
      <c r="F40" s="2"/>
      <c r="G40" s="3">
        <v>1.9000000000000001</v>
      </c>
      <c r="H40" s="2">
        <v>6475</v>
      </c>
      <c r="I40" s="2"/>
      <c r="J40" s="3">
        <v>6.41</v>
      </c>
      <c r="K40" s="2">
        <v>6475</v>
      </c>
      <c r="L40" s="2"/>
      <c r="M40" s="3">
        <v>14.01</v>
      </c>
      <c r="N40" s="5">
        <f t="shared" si="1"/>
        <v>31.12</v>
      </c>
      <c r="O40" s="4" t="s">
        <v>148</v>
      </c>
    </row>
    <row r="41" spans="1:15" x14ac:dyDescent="0.25">
      <c r="A41" s="2" t="s">
        <v>91</v>
      </c>
      <c r="B41" s="2">
        <v>7461</v>
      </c>
      <c r="C41" s="2"/>
      <c r="D41" s="3">
        <v>10.964250000000002</v>
      </c>
      <c r="E41" s="2">
        <v>7461</v>
      </c>
      <c r="F41" s="2"/>
      <c r="G41" s="3">
        <v>13.323750000000002</v>
      </c>
      <c r="H41" s="2">
        <v>7461</v>
      </c>
      <c r="I41" s="2"/>
      <c r="J41" s="3">
        <v>3.2010000000000001</v>
      </c>
      <c r="K41" s="2">
        <v>7461</v>
      </c>
      <c r="L41" s="2"/>
      <c r="M41" s="3">
        <v>1.9380000000000002</v>
      </c>
      <c r="N41" s="5">
        <f t="shared" si="1"/>
        <v>29.427000000000007</v>
      </c>
      <c r="O41" s="4" t="s">
        <v>148</v>
      </c>
    </row>
    <row r="42" spans="1:15" x14ac:dyDescent="0.25">
      <c r="A42" s="2" t="s">
        <v>63</v>
      </c>
      <c r="B42" s="2">
        <v>7059</v>
      </c>
      <c r="C42" s="2"/>
      <c r="D42" s="3">
        <v>8.5875000000000004</v>
      </c>
      <c r="E42" s="2">
        <v>7059</v>
      </c>
      <c r="F42" s="2"/>
      <c r="G42" s="3">
        <v>7.3574999999999982</v>
      </c>
      <c r="H42" s="2">
        <v>7059</v>
      </c>
      <c r="I42" s="2"/>
      <c r="J42" s="3">
        <v>8.370000000000001</v>
      </c>
      <c r="K42" s="2">
        <v>7059</v>
      </c>
      <c r="L42" s="2"/>
      <c r="M42" s="3">
        <v>4.335</v>
      </c>
      <c r="N42" s="5">
        <f t="shared" si="1"/>
        <v>28.65</v>
      </c>
      <c r="O42" s="4" t="s">
        <v>148</v>
      </c>
    </row>
    <row r="43" spans="1:15" x14ac:dyDescent="0.25">
      <c r="A43" s="2" t="s">
        <v>62</v>
      </c>
      <c r="B43" s="2">
        <v>7001</v>
      </c>
      <c r="C43" s="2"/>
      <c r="D43" s="3">
        <v>3.4793249999999998</v>
      </c>
      <c r="E43" s="2">
        <v>7001</v>
      </c>
      <c r="F43" s="2"/>
      <c r="G43" s="3">
        <v>3.2753999999999999</v>
      </c>
      <c r="H43" s="2">
        <v>7001</v>
      </c>
      <c r="I43" s="2"/>
      <c r="J43" s="3">
        <v>8.827024999999999</v>
      </c>
      <c r="K43" s="2">
        <v>7001</v>
      </c>
      <c r="L43" s="2"/>
      <c r="M43" s="3">
        <v>11.502175000000001</v>
      </c>
      <c r="N43" s="5">
        <f t="shared" si="1"/>
        <v>27.083925000000001</v>
      </c>
      <c r="O43" s="4" t="s">
        <v>148</v>
      </c>
    </row>
    <row r="44" spans="1:15" x14ac:dyDescent="0.25">
      <c r="A44" s="2" t="s">
        <v>10</v>
      </c>
      <c r="B44" s="2">
        <v>5483</v>
      </c>
      <c r="C44" s="2"/>
      <c r="D44" s="3">
        <v>6.7124999999999995</v>
      </c>
      <c r="E44" s="2">
        <v>5483</v>
      </c>
      <c r="F44" s="2"/>
      <c r="G44" s="3">
        <v>5.4249999999999998</v>
      </c>
      <c r="H44" s="2">
        <v>5483</v>
      </c>
      <c r="I44" s="2"/>
      <c r="J44" s="3">
        <v>4.7749999999999995</v>
      </c>
      <c r="K44" s="2">
        <v>5483</v>
      </c>
      <c r="L44" s="2"/>
      <c r="M44" s="3">
        <v>10.11875</v>
      </c>
      <c r="N44" s="5">
        <f t="shared" si="1"/>
        <v>27.03125</v>
      </c>
      <c r="O44" s="4" t="s">
        <v>148</v>
      </c>
    </row>
    <row r="45" spans="1:15" x14ac:dyDescent="0.25">
      <c r="A45" s="2" t="s">
        <v>2</v>
      </c>
      <c r="B45" s="2">
        <v>3986</v>
      </c>
      <c r="C45" s="2"/>
      <c r="D45" s="3">
        <v>7.2874999999999996</v>
      </c>
      <c r="E45" s="2">
        <v>3986</v>
      </c>
      <c r="F45" s="2"/>
      <c r="G45" s="3">
        <v>10.44375</v>
      </c>
      <c r="H45" s="2">
        <v>3986</v>
      </c>
      <c r="I45" s="2"/>
      <c r="J45" s="3">
        <v>2.3687499999999999</v>
      </c>
      <c r="K45" s="2">
        <v>3986</v>
      </c>
      <c r="L45" s="2"/>
      <c r="M45" s="3">
        <v>6.3937499999999998</v>
      </c>
      <c r="N45" s="5">
        <f t="shared" si="1"/>
        <v>26.493749999999999</v>
      </c>
      <c r="O45" s="4" t="s">
        <v>148</v>
      </c>
    </row>
    <row r="46" spans="1:15" x14ac:dyDescent="0.25">
      <c r="A46" s="2" t="s">
        <v>53</v>
      </c>
      <c r="B46" s="2">
        <v>6797</v>
      </c>
      <c r="C46" s="2"/>
      <c r="D46" s="3">
        <v>7.26</v>
      </c>
      <c r="E46" s="2">
        <v>6797</v>
      </c>
      <c r="F46" s="2"/>
      <c r="G46" s="3">
        <v>9.0799999999999983</v>
      </c>
      <c r="H46" s="2">
        <v>6797</v>
      </c>
      <c r="I46" s="2"/>
      <c r="J46" s="3">
        <v>6.6700000000000008</v>
      </c>
      <c r="K46" s="2">
        <v>6797</v>
      </c>
      <c r="L46" s="2"/>
      <c r="M46" s="3">
        <v>2.77</v>
      </c>
      <c r="N46" s="5">
        <f t="shared" si="1"/>
        <v>25.78</v>
      </c>
      <c r="O46" s="4" t="s">
        <v>148</v>
      </c>
    </row>
    <row r="47" spans="1:15" x14ac:dyDescent="0.25">
      <c r="A47" s="2" t="s">
        <v>51</v>
      </c>
      <c r="B47" s="2">
        <v>6787</v>
      </c>
      <c r="C47" s="2" t="s">
        <v>106</v>
      </c>
      <c r="D47" s="3">
        <v>2.5492500000000002</v>
      </c>
      <c r="E47" s="2">
        <v>6787</v>
      </c>
      <c r="F47" s="2"/>
      <c r="G47" s="3">
        <v>16.912500000000001</v>
      </c>
      <c r="H47" s="2">
        <v>6787</v>
      </c>
      <c r="I47" s="2"/>
      <c r="J47" s="3">
        <v>4.7354999999999992</v>
      </c>
      <c r="K47" s="2">
        <v>6787</v>
      </c>
      <c r="L47" s="2"/>
      <c r="M47" s="3">
        <v>1.2375000000000003</v>
      </c>
      <c r="N47" s="5">
        <f t="shared" si="1"/>
        <v>25.434750000000001</v>
      </c>
      <c r="O47" s="4" t="s">
        <v>148</v>
      </c>
    </row>
    <row r="48" spans="1:15" x14ac:dyDescent="0.25">
      <c r="A48" s="2" t="s">
        <v>27</v>
      </c>
      <c r="B48" s="2">
        <v>6325</v>
      </c>
      <c r="C48" s="2"/>
      <c r="D48" s="3">
        <v>7.3500000000000005</v>
      </c>
      <c r="E48" s="2">
        <v>6325</v>
      </c>
      <c r="F48" s="2"/>
      <c r="G48" s="3">
        <v>2.6100000000000003</v>
      </c>
      <c r="H48" s="2">
        <v>6325</v>
      </c>
      <c r="I48" s="2"/>
      <c r="J48" s="3">
        <v>10.660000000000002</v>
      </c>
      <c r="K48" s="2">
        <v>6325</v>
      </c>
      <c r="L48" s="2"/>
      <c r="M48" s="3">
        <v>3.88</v>
      </c>
      <c r="N48" s="5">
        <f t="shared" si="1"/>
        <v>24.500000000000004</v>
      </c>
      <c r="O48" s="4" t="s">
        <v>148</v>
      </c>
    </row>
    <row r="49" spans="1:15" x14ac:dyDescent="0.25">
      <c r="A49" s="2" t="s">
        <v>89</v>
      </c>
      <c r="B49" s="2">
        <v>7371</v>
      </c>
      <c r="C49" s="2"/>
      <c r="D49" s="3">
        <v>8.7149999999999999</v>
      </c>
      <c r="E49" s="2">
        <v>7371</v>
      </c>
      <c r="F49" s="2"/>
      <c r="G49" s="3">
        <v>7.9275000000000002</v>
      </c>
      <c r="H49" s="2">
        <v>7371</v>
      </c>
      <c r="I49" s="2"/>
      <c r="J49" s="3">
        <v>4.1325000000000003</v>
      </c>
      <c r="K49" s="2">
        <v>7371</v>
      </c>
      <c r="L49" s="2" t="s">
        <v>147</v>
      </c>
      <c r="M49" s="3">
        <v>2.6174999999999997</v>
      </c>
      <c r="N49" s="5">
        <f t="shared" si="1"/>
        <v>23.392499999999998</v>
      </c>
      <c r="O49" s="4" t="s">
        <v>148</v>
      </c>
    </row>
    <row r="50" spans="1:15" x14ac:dyDescent="0.25">
      <c r="A50" s="2" t="s">
        <v>67</v>
      </c>
      <c r="B50" s="2">
        <v>7075</v>
      </c>
      <c r="C50" s="2"/>
      <c r="D50" s="3">
        <v>2.0729500000000001</v>
      </c>
      <c r="E50" s="2" t="s">
        <v>139</v>
      </c>
      <c r="F50" s="2"/>
      <c r="G50" s="3"/>
      <c r="H50" s="2">
        <v>7075</v>
      </c>
      <c r="I50" s="2"/>
      <c r="J50" s="3">
        <v>12.484275</v>
      </c>
      <c r="K50" s="2">
        <v>7075</v>
      </c>
      <c r="L50" s="2"/>
      <c r="M50" s="3">
        <v>7.9339750000000002</v>
      </c>
      <c r="N50" s="5">
        <f t="shared" si="1"/>
        <v>22.491199999999999</v>
      </c>
      <c r="O50" s="4" t="s">
        <v>148</v>
      </c>
    </row>
    <row r="51" spans="1:15" x14ac:dyDescent="0.25">
      <c r="A51" s="2" t="s">
        <v>72</v>
      </c>
      <c r="B51" s="2">
        <v>7103</v>
      </c>
      <c r="C51" s="2"/>
      <c r="D51" s="3">
        <v>2.5019999999999998</v>
      </c>
      <c r="E51" s="2">
        <v>7103</v>
      </c>
      <c r="F51" s="2"/>
      <c r="G51" s="3">
        <v>6.9569999999999999</v>
      </c>
      <c r="H51" s="2">
        <v>7103</v>
      </c>
      <c r="I51" s="2"/>
      <c r="J51" s="3">
        <v>8.2889999999999997</v>
      </c>
      <c r="K51" s="2">
        <v>7103</v>
      </c>
      <c r="L51" s="2"/>
      <c r="M51" s="3">
        <v>4.3739999999999997</v>
      </c>
      <c r="N51" s="5">
        <f t="shared" si="1"/>
        <v>22.122</v>
      </c>
      <c r="O51" s="4" t="s">
        <v>148</v>
      </c>
    </row>
    <row r="52" spans="1:15" x14ac:dyDescent="0.25">
      <c r="A52" s="2" t="s">
        <v>94</v>
      </c>
      <c r="B52" s="2">
        <v>7523</v>
      </c>
      <c r="C52" s="2"/>
      <c r="D52" s="3">
        <v>7.1400000000000006</v>
      </c>
      <c r="E52" s="2">
        <v>7523</v>
      </c>
      <c r="F52" s="2"/>
      <c r="G52" s="3">
        <v>9.2000000000000011</v>
      </c>
      <c r="H52" s="2">
        <v>7523</v>
      </c>
      <c r="I52" s="2"/>
      <c r="J52" s="3">
        <v>3.6200000000000006</v>
      </c>
      <c r="K52" s="2">
        <v>7523</v>
      </c>
      <c r="L52" s="2"/>
      <c r="M52" s="3">
        <v>1.5100000000000002</v>
      </c>
      <c r="N52" s="5">
        <f t="shared" si="1"/>
        <v>21.470000000000002</v>
      </c>
      <c r="O52" s="4" t="s">
        <v>148</v>
      </c>
    </row>
    <row r="53" spans="1:15" x14ac:dyDescent="0.25">
      <c r="A53" s="2" t="s">
        <v>57</v>
      </c>
      <c r="B53" s="2">
        <v>6837</v>
      </c>
      <c r="C53" s="2"/>
      <c r="D53" s="3">
        <v>4.5200000000000005</v>
      </c>
      <c r="E53" s="2">
        <v>6837</v>
      </c>
      <c r="F53" s="2"/>
      <c r="G53" s="3">
        <v>2.0699999999999998</v>
      </c>
      <c r="H53" s="2">
        <v>6837</v>
      </c>
      <c r="I53" s="2"/>
      <c r="J53" s="3">
        <v>6.8000000000000007</v>
      </c>
      <c r="K53" s="2">
        <v>6837</v>
      </c>
      <c r="L53" s="2"/>
      <c r="M53" s="3">
        <v>7.3000000000000007</v>
      </c>
      <c r="N53" s="5">
        <f t="shared" si="1"/>
        <v>20.69</v>
      </c>
      <c r="O53" s="4" t="s">
        <v>148</v>
      </c>
    </row>
    <row r="54" spans="1:15" x14ac:dyDescent="0.25">
      <c r="A54" s="2" t="s">
        <v>71</v>
      </c>
      <c r="B54" s="2">
        <v>7090</v>
      </c>
      <c r="C54" s="2"/>
      <c r="D54" s="3">
        <v>7.8899999999999988</v>
      </c>
      <c r="E54" s="2">
        <v>7090</v>
      </c>
      <c r="F54" s="2"/>
      <c r="G54" s="3">
        <v>2.4375</v>
      </c>
      <c r="H54" s="2">
        <v>7090</v>
      </c>
      <c r="I54" s="2"/>
      <c r="J54" s="3">
        <v>5.3250000000000002</v>
      </c>
      <c r="K54" s="2">
        <v>7090</v>
      </c>
      <c r="L54" s="2"/>
      <c r="M54" s="3">
        <v>4.6049999999999995</v>
      </c>
      <c r="N54" s="5">
        <f t="shared" si="1"/>
        <v>20.2575</v>
      </c>
      <c r="O54" s="4" t="s">
        <v>148</v>
      </c>
    </row>
    <row r="55" spans="1:15" x14ac:dyDescent="0.25">
      <c r="A55" s="2" t="s">
        <v>7</v>
      </c>
      <c r="B55" s="2">
        <v>4993</v>
      </c>
      <c r="C55" s="2"/>
      <c r="D55" s="3">
        <v>6.4562499999999989</v>
      </c>
      <c r="E55" s="2">
        <v>4993</v>
      </c>
      <c r="F55" s="2"/>
      <c r="G55" s="3">
        <v>3.7655375000000002</v>
      </c>
      <c r="H55" s="2">
        <v>4993</v>
      </c>
      <c r="I55" s="2"/>
      <c r="J55" s="3">
        <v>3.1312499999999992</v>
      </c>
      <c r="K55" s="2">
        <v>4993</v>
      </c>
      <c r="L55" s="2"/>
      <c r="M55" s="3">
        <v>6.6437499999999998</v>
      </c>
      <c r="N55" s="5">
        <f t="shared" si="1"/>
        <v>19.996787499999996</v>
      </c>
      <c r="O55" s="4" t="s">
        <v>148</v>
      </c>
    </row>
    <row r="56" spans="1:15" x14ac:dyDescent="0.25">
      <c r="A56" s="2" t="s">
        <v>66</v>
      </c>
      <c r="B56" s="2">
        <v>7073</v>
      </c>
      <c r="C56" s="2"/>
      <c r="D56" s="3">
        <v>8.7675000000000001</v>
      </c>
      <c r="E56" s="2">
        <v>7073</v>
      </c>
      <c r="F56" s="2"/>
      <c r="G56" s="3">
        <v>3.0975000000000001</v>
      </c>
      <c r="H56" s="2">
        <v>7073</v>
      </c>
      <c r="I56" s="2"/>
      <c r="J56" s="3">
        <v>3.29</v>
      </c>
      <c r="K56" s="2">
        <v>7073</v>
      </c>
      <c r="L56" s="2"/>
      <c r="M56" s="3">
        <v>4.0599999999999987</v>
      </c>
      <c r="N56" s="5">
        <f t="shared" si="1"/>
        <v>19.214999999999996</v>
      </c>
      <c r="O56" s="4" t="s">
        <v>148</v>
      </c>
    </row>
    <row r="57" spans="1:15" x14ac:dyDescent="0.25">
      <c r="A57" s="2" t="s">
        <v>90</v>
      </c>
      <c r="B57" s="2">
        <v>7382</v>
      </c>
      <c r="C57" s="2"/>
      <c r="D57" s="3">
        <v>3.2010000000000001</v>
      </c>
      <c r="E57" s="2" t="s">
        <v>121</v>
      </c>
      <c r="F57" s="2"/>
      <c r="G57" s="3">
        <v>6.6899999999999995</v>
      </c>
      <c r="H57" s="2">
        <v>7382</v>
      </c>
      <c r="I57" s="2"/>
      <c r="J57" s="3">
        <v>2.5349999999999997</v>
      </c>
      <c r="K57" s="2">
        <v>7382</v>
      </c>
      <c r="L57" s="2"/>
      <c r="M57" s="3">
        <v>5.2320000000000002</v>
      </c>
      <c r="N57" s="5">
        <f t="shared" si="1"/>
        <v>17.657999999999998</v>
      </c>
      <c r="O57" s="4" t="s">
        <v>148</v>
      </c>
    </row>
    <row r="58" spans="1:15" x14ac:dyDescent="0.25">
      <c r="A58" s="2" t="s">
        <v>78</v>
      </c>
      <c r="B58" s="2">
        <v>7187</v>
      </c>
      <c r="C58" s="2"/>
      <c r="D58" s="3">
        <v>5.722500000000001</v>
      </c>
      <c r="E58" s="2">
        <v>7187</v>
      </c>
      <c r="F58" s="2"/>
      <c r="G58" s="3">
        <v>2.94</v>
      </c>
      <c r="H58" s="2">
        <v>7187</v>
      </c>
      <c r="I58" s="2"/>
      <c r="J58" s="3">
        <v>3.7199999999999993</v>
      </c>
      <c r="K58" s="2">
        <v>7187</v>
      </c>
      <c r="L58" s="2"/>
      <c r="M58" s="3">
        <v>4.0424999999999995</v>
      </c>
      <c r="N58" s="5">
        <f t="shared" si="1"/>
        <v>16.425000000000001</v>
      </c>
      <c r="O58" s="4" t="s">
        <v>148</v>
      </c>
    </row>
    <row r="59" spans="1:15" x14ac:dyDescent="0.25">
      <c r="A59" s="2" t="s">
        <v>141</v>
      </c>
      <c r="B59" s="2" t="s">
        <v>139</v>
      </c>
      <c r="C59" s="2"/>
      <c r="D59" s="3"/>
      <c r="E59" s="2" t="s">
        <v>139</v>
      </c>
      <c r="F59" s="2"/>
      <c r="G59" s="3"/>
      <c r="H59" s="2">
        <v>6620</v>
      </c>
      <c r="I59" s="2"/>
      <c r="J59" s="3">
        <v>16.387149999999998</v>
      </c>
      <c r="K59" s="2" t="s">
        <v>139</v>
      </c>
      <c r="L59" s="2"/>
      <c r="M59" s="3"/>
      <c r="N59" s="5">
        <f t="shared" si="1"/>
        <v>16.387149999999998</v>
      </c>
      <c r="O59" s="4" t="s">
        <v>148</v>
      </c>
    </row>
    <row r="60" spans="1:15" hidden="1" x14ac:dyDescent="0.25">
      <c r="A60" s="13" t="s">
        <v>33</v>
      </c>
      <c r="B60" s="13" t="s">
        <v>103</v>
      </c>
      <c r="C60" s="13" t="s">
        <v>117</v>
      </c>
      <c r="D60" s="14">
        <v>3.4099999999999997</v>
      </c>
      <c r="E60" s="13" t="s">
        <v>103</v>
      </c>
      <c r="F60" s="13" t="s">
        <v>117</v>
      </c>
      <c r="G60" s="14">
        <v>3.8124999999999996</v>
      </c>
      <c r="H60" s="13" t="s">
        <v>103</v>
      </c>
      <c r="I60" s="13" t="s">
        <v>117</v>
      </c>
      <c r="J60" s="14">
        <v>5.1425000000000001</v>
      </c>
      <c r="K60" s="13" t="s">
        <v>103</v>
      </c>
      <c r="L60" s="13" t="s">
        <v>117</v>
      </c>
      <c r="M60" s="14">
        <v>3.8675000000000006</v>
      </c>
      <c r="N60" s="15">
        <f t="shared" si="1"/>
        <v>16.232500000000002</v>
      </c>
      <c r="O60" s="13" t="s">
        <v>122</v>
      </c>
    </row>
    <row r="61" spans="1:15" x14ac:dyDescent="0.25">
      <c r="A61" s="2" t="s">
        <v>82</v>
      </c>
      <c r="B61" s="2">
        <v>7237</v>
      </c>
      <c r="C61" s="2"/>
      <c r="D61" s="3">
        <v>3.3670000000000009</v>
      </c>
      <c r="E61" s="2">
        <v>7237</v>
      </c>
      <c r="F61" s="2"/>
      <c r="G61" s="3">
        <v>3.9130000000000007</v>
      </c>
      <c r="H61" s="2">
        <v>7237</v>
      </c>
      <c r="I61" s="2"/>
      <c r="J61" s="3">
        <v>3.206</v>
      </c>
      <c r="K61" s="2">
        <v>7237</v>
      </c>
      <c r="L61" s="2"/>
      <c r="M61" s="3">
        <v>4.9489999999999998</v>
      </c>
      <c r="N61" s="5">
        <f t="shared" si="1"/>
        <v>15.435</v>
      </c>
      <c r="O61" s="4" t="s">
        <v>148</v>
      </c>
    </row>
    <row r="62" spans="1:15" x14ac:dyDescent="0.25">
      <c r="A62" s="2" t="s">
        <v>58</v>
      </c>
      <c r="B62" s="2">
        <v>6866</v>
      </c>
      <c r="C62" s="2"/>
      <c r="D62" s="3">
        <v>1.8236250000000001</v>
      </c>
      <c r="E62" s="2">
        <v>6866</v>
      </c>
      <c r="F62" s="2"/>
      <c r="G62" s="3">
        <v>3.3303000000000003</v>
      </c>
      <c r="H62" s="2">
        <v>6866</v>
      </c>
      <c r="I62" s="2"/>
      <c r="J62" s="3">
        <v>2.8876250000000003</v>
      </c>
      <c r="K62" s="2">
        <v>6866</v>
      </c>
      <c r="L62" s="2"/>
      <c r="M62" s="3">
        <v>6.8782999999999994</v>
      </c>
      <c r="N62" s="5">
        <f t="shared" si="1"/>
        <v>14.91985</v>
      </c>
      <c r="O62" s="4" t="s">
        <v>148</v>
      </c>
    </row>
    <row r="63" spans="1:15" x14ac:dyDescent="0.25">
      <c r="A63" s="2" t="s">
        <v>21</v>
      </c>
      <c r="B63" s="2">
        <v>6221</v>
      </c>
      <c r="C63" s="2"/>
      <c r="D63" s="3">
        <v>2.4615000000000005</v>
      </c>
      <c r="E63" s="2">
        <v>6221</v>
      </c>
      <c r="F63" s="2"/>
      <c r="G63" s="3">
        <v>6.93</v>
      </c>
      <c r="H63" s="2">
        <v>6221</v>
      </c>
      <c r="I63" s="2"/>
      <c r="J63" s="3">
        <v>4.0049999999999999</v>
      </c>
      <c r="K63" s="2">
        <v>6221</v>
      </c>
      <c r="L63" s="2"/>
      <c r="M63" s="3">
        <v>0.99</v>
      </c>
      <c r="N63" s="5">
        <f t="shared" si="1"/>
        <v>14.386500000000002</v>
      </c>
      <c r="O63" s="4" t="s">
        <v>148</v>
      </c>
    </row>
    <row r="64" spans="1:15" x14ac:dyDescent="0.25">
      <c r="A64" s="2" t="s">
        <v>4</v>
      </c>
      <c r="B64" s="2">
        <v>4117</v>
      </c>
      <c r="C64" s="2"/>
      <c r="D64" s="3">
        <v>3.1261750000000008</v>
      </c>
      <c r="E64" s="2">
        <v>4117</v>
      </c>
      <c r="F64" s="2"/>
      <c r="G64" s="3">
        <v>3.4448250000000002</v>
      </c>
      <c r="H64" s="2">
        <v>4117</v>
      </c>
      <c r="I64" s="2"/>
      <c r="J64" s="3">
        <v>3.8847249999999995</v>
      </c>
      <c r="K64" s="2">
        <v>4117</v>
      </c>
      <c r="L64" s="2"/>
      <c r="M64" s="3">
        <v>3.6690750000000003</v>
      </c>
      <c r="N64" s="5">
        <f t="shared" si="1"/>
        <v>14.1248</v>
      </c>
      <c r="O64" s="4" t="s">
        <v>148</v>
      </c>
    </row>
    <row r="65" spans="1:15" x14ac:dyDescent="0.25">
      <c r="A65" s="2" t="s">
        <v>37</v>
      </c>
      <c r="B65" s="2">
        <v>6495</v>
      </c>
      <c r="C65" s="2"/>
      <c r="D65" s="3">
        <v>3.165</v>
      </c>
      <c r="E65" s="2">
        <v>6495</v>
      </c>
      <c r="F65" s="2"/>
      <c r="G65" s="3">
        <v>5.13</v>
      </c>
      <c r="H65" s="2">
        <v>6495</v>
      </c>
      <c r="I65" s="2"/>
      <c r="J65" s="3">
        <v>4.6049999999999995</v>
      </c>
      <c r="K65" s="2">
        <v>6495</v>
      </c>
      <c r="L65" s="2"/>
      <c r="M65" s="3">
        <v>1.0799999999999998</v>
      </c>
      <c r="N65" s="5">
        <f t="shared" si="1"/>
        <v>13.98</v>
      </c>
      <c r="O65" s="4" t="s">
        <v>148</v>
      </c>
    </row>
    <row r="66" spans="1:15" x14ac:dyDescent="0.25">
      <c r="A66" s="2" t="s">
        <v>1</v>
      </c>
      <c r="B66" s="2">
        <v>3287</v>
      </c>
      <c r="C66" s="2"/>
      <c r="D66" s="3">
        <v>3.31915</v>
      </c>
      <c r="E66" s="2">
        <v>3287</v>
      </c>
      <c r="F66" s="2"/>
      <c r="G66" s="3">
        <v>1.3302750000000001</v>
      </c>
      <c r="H66" s="2">
        <v>3287</v>
      </c>
      <c r="I66" s="2"/>
      <c r="J66" s="3">
        <v>1.366625</v>
      </c>
      <c r="K66" s="2">
        <v>3287</v>
      </c>
      <c r="L66" s="2"/>
      <c r="M66" s="3">
        <v>6.9869250000000012</v>
      </c>
      <c r="N66" s="5">
        <f t="shared" si="1"/>
        <v>13.002975000000003</v>
      </c>
      <c r="O66" s="4" t="s">
        <v>148</v>
      </c>
    </row>
    <row r="67" spans="1:15" x14ac:dyDescent="0.25">
      <c r="A67" s="2" t="s">
        <v>14</v>
      </c>
      <c r="B67" s="2">
        <v>5708</v>
      </c>
      <c r="C67" s="2"/>
      <c r="D67" s="3">
        <v>2.0550249999999997</v>
      </c>
      <c r="E67" s="2">
        <v>5708</v>
      </c>
      <c r="F67" s="2"/>
      <c r="G67" s="3">
        <v>1.73275</v>
      </c>
      <c r="H67" s="2">
        <v>5708</v>
      </c>
      <c r="I67" s="2"/>
      <c r="J67" s="3">
        <v>4.4627249999999998</v>
      </c>
      <c r="K67" s="2">
        <v>5708</v>
      </c>
      <c r="L67" s="2"/>
      <c r="M67" s="3">
        <v>3.79955</v>
      </c>
      <c r="N67" s="5">
        <f t="shared" ref="N67:N98" si="2">M67+J67+G67+D67</f>
        <v>12.050049999999999</v>
      </c>
      <c r="O67" s="4" t="s">
        <v>148</v>
      </c>
    </row>
    <row r="68" spans="1:15" x14ac:dyDescent="0.25">
      <c r="A68" s="2" t="s">
        <v>142</v>
      </c>
      <c r="B68" s="2" t="s">
        <v>139</v>
      </c>
      <c r="C68" s="2"/>
      <c r="D68" s="3"/>
      <c r="E68" s="2" t="s">
        <v>139</v>
      </c>
      <c r="F68" s="2"/>
      <c r="G68" s="3"/>
      <c r="H68" s="2">
        <v>7149</v>
      </c>
      <c r="I68" s="2"/>
      <c r="J68" s="3">
        <v>8.504999999999999</v>
      </c>
      <c r="K68" s="2">
        <v>7149</v>
      </c>
      <c r="L68" s="2"/>
      <c r="M68" s="3">
        <v>2.7930000000000001</v>
      </c>
      <c r="N68" s="5">
        <f t="shared" si="2"/>
        <v>11.297999999999998</v>
      </c>
      <c r="O68" s="4" t="s">
        <v>148</v>
      </c>
    </row>
    <row r="69" spans="1:15" x14ac:dyDescent="0.25">
      <c r="A69" s="2" t="s">
        <v>79</v>
      </c>
      <c r="B69" s="2">
        <v>7231</v>
      </c>
      <c r="C69" s="2"/>
      <c r="D69" s="3">
        <v>1.575</v>
      </c>
      <c r="E69" s="2">
        <v>7231</v>
      </c>
      <c r="F69" s="2"/>
      <c r="G69" s="3">
        <v>3.6524999999999994</v>
      </c>
      <c r="H69" s="2">
        <v>7231</v>
      </c>
      <c r="I69" s="2"/>
      <c r="J69" s="3">
        <v>3.3974999999999995</v>
      </c>
      <c r="K69" s="2">
        <v>7231</v>
      </c>
      <c r="L69" s="2"/>
      <c r="M69" s="3">
        <v>2.5575000000000001</v>
      </c>
      <c r="N69" s="5">
        <f t="shared" si="2"/>
        <v>11.182499999999999</v>
      </c>
      <c r="O69" s="4" t="s">
        <v>148</v>
      </c>
    </row>
    <row r="70" spans="1:15" x14ac:dyDescent="0.25">
      <c r="A70" s="2" t="s">
        <v>54</v>
      </c>
      <c r="B70" s="2">
        <v>6807</v>
      </c>
      <c r="C70" s="2"/>
      <c r="D70" s="3">
        <v>1.7490000000000003</v>
      </c>
      <c r="E70" s="2">
        <v>6807</v>
      </c>
      <c r="F70" s="2"/>
      <c r="G70" s="3">
        <v>3.399</v>
      </c>
      <c r="H70" s="2">
        <v>6807</v>
      </c>
      <c r="I70" s="2"/>
      <c r="J70" s="3">
        <v>2.5822500000000002</v>
      </c>
      <c r="K70" s="2">
        <v>6807</v>
      </c>
      <c r="L70" s="2"/>
      <c r="M70" s="3">
        <v>3.09375</v>
      </c>
      <c r="N70" s="5">
        <f t="shared" si="2"/>
        <v>10.824</v>
      </c>
      <c r="O70" s="4" t="s">
        <v>148</v>
      </c>
    </row>
    <row r="71" spans="1:15" x14ac:dyDescent="0.25">
      <c r="A71" s="2" t="s">
        <v>18</v>
      </c>
      <c r="B71" s="2">
        <v>6008</v>
      </c>
      <c r="C71" s="2"/>
      <c r="D71" s="3">
        <v>2.2641999999999998</v>
      </c>
      <c r="E71" s="2">
        <v>6008</v>
      </c>
      <c r="F71" s="2"/>
      <c r="G71" s="3">
        <v>2.7843499999999999</v>
      </c>
      <c r="H71" s="2">
        <v>6008</v>
      </c>
      <c r="I71" s="2"/>
      <c r="J71" s="3">
        <v>1.8924999999999998</v>
      </c>
      <c r="K71" s="2">
        <v>6008</v>
      </c>
      <c r="L71" s="2"/>
      <c r="M71" s="3">
        <v>2.7239000000000004</v>
      </c>
      <c r="N71" s="5">
        <f t="shared" si="2"/>
        <v>9.664950000000001</v>
      </c>
      <c r="O71" s="4" t="s">
        <v>148</v>
      </c>
    </row>
    <row r="72" spans="1:15" x14ac:dyDescent="0.25">
      <c r="A72" s="2" t="s">
        <v>24</v>
      </c>
      <c r="B72" s="2">
        <v>6279</v>
      </c>
      <c r="C72" s="2"/>
      <c r="D72" s="3">
        <v>1.4962499999999999</v>
      </c>
      <c r="E72" s="2">
        <v>6279</v>
      </c>
      <c r="F72" s="2"/>
      <c r="G72" s="3">
        <v>2.7337499999999997</v>
      </c>
      <c r="H72" s="2">
        <v>6279</v>
      </c>
      <c r="I72" s="2"/>
      <c r="J72" s="3">
        <v>3.375</v>
      </c>
      <c r="K72" s="2">
        <v>6279</v>
      </c>
      <c r="L72" s="2"/>
      <c r="M72" s="3">
        <v>1.9087499999999999</v>
      </c>
      <c r="N72" s="5">
        <f t="shared" si="2"/>
        <v>9.5137499999999982</v>
      </c>
      <c r="O72" s="4" t="s">
        <v>148</v>
      </c>
    </row>
    <row r="73" spans="1:15" x14ac:dyDescent="0.25">
      <c r="A73" s="2" t="s">
        <v>59</v>
      </c>
      <c r="B73" s="2">
        <v>6925</v>
      </c>
      <c r="C73" s="2"/>
      <c r="D73" s="3">
        <v>6.1349999999999998</v>
      </c>
      <c r="E73" s="2">
        <v>6925</v>
      </c>
      <c r="F73" s="2"/>
      <c r="G73" s="3">
        <v>2.6849999999999996</v>
      </c>
      <c r="H73" s="2" t="s">
        <v>139</v>
      </c>
      <c r="I73" s="2"/>
      <c r="J73" s="3"/>
      <c r="K73" s="2" t="s">
        <v>139</v>
      </c>
      <c r="L73" s="2"/>
      <c r="M73" s="3"/>
      <c r="N73" s="5">
        <f t="shared" si="2"/>
        <v>8.82</v>
      </c>
      <c r="O73" s="4" t="s">
        <v>148</v>
      </c>
    </row>
    <row r="74" spans="1:15" x14ac:dyDescent="0.25">
      <c r="A74" s="2" t="s">
        <v>87</v>
      </c>
      <c r="B74" s="2">
        <v>7332</v>
      </c>
      <c r="C74" s="2"/>
      <c r="D74" s="3">
        <v>1.6870000000000003</v>
      </c>
      <c r="E74" s="2">
        <v>7332</v>
      </c>
      <c r="F74" s="2"/>
      <c r="G74" s="3">
        <v>0.98700000000000021</v>
      </c>
      <c r="H74" s="2" t="s">
        <v>139</v>
      </c>
      <c r="I74" s="2"/>
      <c r="J74" s="3"/>
      <c r="K74" s="2">
        <v>7332</v>
      </c>
      <c r="L74" s="2"/>
      <c r="M74" s="3">
        <v>5.1380000000000008</v>
      </c>
      <c r="N74" s="5">
        <f t="shared" si="2"/>
        <v>7.8120000000000012</v>
      </c>
      <c r="O74" s="4" t="s">
        <v>148</v>
      </c>
    </row>
    <row r="75" spans="1:15" x14ac:dyDescent="0.25">
      <c r="A75" s="16" t="s">
        <v>98</v>
      </c>
      <c r="B75" s="16">
        <v>7632</v>
      </c>
      <c r="C75" s="16" t="s">
        <v>109</v>
      </c>
      <c r="D75" s="17">
        <v>2.2200000000000002</v>
      </c>
      <c r="E75" s="16">
        <v>7632</v>
      </c>
      <c r="F75" s="16" t="s">
        <v>109</v>
      </c>
      <c r="G75" s="17">
        <v>3.5700000000000003</v>
      </c>
      <c r="H75" s="16">
        <v>7632</v>
      </c>
      <c r="I75" s="16" t="s">
        <v>109</v>
      </c>
      <c r="J75" s="17">
        <v>1.26</v>
      </c>
      <c r="K75" s="16">
        <v>7632</v>
      </c>
      <c r="L75" s="16" t="s">
        <v>109</v>
      </c>
      <c r="M75" s="17">
        <v>0.44000000000000006</v>
      </c>
      <c r="N75" s="18">
        <f t="shared" si="2"/>
        <v>7.49</v>
      </c>
      <c r="O75" s="4" t="s">
        <v>148</v>
      </c>
    </row>
    <row r="76" spans="1:15" x14ac:dyDescent="0.25">
      <c r="A76" s="16" t="s">
        <v>97</v>
      </c>
      <c r="B76" s="16">
        <v>7603</v>
      </c>
      <c r="C76" s="16" t="s">
        <v>135</v>
      </c>
      <c r="D76" s="17">
        <v>2.6317500000000003</v>
      </c>
      <c r="E76" s="16">
        <v>7603</v>
      </c>
      <c r="F76" s="16" t="s">
        <v>135</v>
      </c>
      <c r="G76" s="17">
        <v>1.6665000000000003</v>
      </c>
      <c r="H76" s="16">
        <v>7603</v>
      </c>
      <c r="I76" s="16"/>
      <c r="J76" s="17">
        <v>0.78375000000000006</v>
      </c>
      <c r="K76" s="16">
        <v>7603</v>
      </c>
      <c r="L76" s="16" t="s">
        <v>135</v>
      </c>
      <c r="M76" s="17">
        <v>2.2522500000000001</v>
      </c>
      <c r="N76" s="18">
        <f t="shared" si="2"/>
        <v>7.3342500000000008</v>
      </c>
      <c r="O76" s="4" t="s">
        <v>148</v>
      </c>
    </row>
    <row r="77" spans="1:15" x14ac:dyDescent="0.25">
      <c r="A77" s="2" t="s">
        <v>61</v>
      </c>
      <c r="B77" s="2">
        <v>6967</v>
      </c>
      <c r="C77" s="2"/>
      <c r="D77" s="3">
        <v>2.1875000000000004</v>
      </c>
      <c r="E77" s="2">
        <v>6967</v>
      </c>
      <c r="F77" s="2"/>
      <c r="G77" s="3">
        <v>2.2875000000000001</v>
      </c>
      <c r="H77" s="2">
        <v>6967</v>
      </c>
      <c r="I77" s="2"/>
      <c r="J77" s="3">
        <v>1.16875</v>
      </c>
      <c r="K77" s="2">
        <v>6967</v>
      </c>
      <c r="L77" s="2"/>
      <c r="M77" s="3">
        <v>1.3937499999999998</v>
      </c>
      <c r="N77" s="5">
        <f t="shared" si="2"/>
        <v>7.0374999999999996</v>
      </c>
      <c r="O77" s="4" t="s">
        <v>148</v>
      </c>
    </row>
    <row r="78" spans="1:15" x14ac:dyDescent="0.25">
      <c r="A78" s="2" t="s">
        <v>124</v>
      </c>
      <c r="B78" s="2" t="s">
        <v>139</v>
      </c>
      <c r="C78" s="2"/>
      <c r="D78" s="3"/>
      <c r="E78" s="2">
        <v>6861</v>
      </c>
      <c r="F78" s="2"/>
      <c r="G78" s="3">
        <v>2.9171</v>
      </c>
      <c r="H78" s="2">
        <v>6861</v>
      </c>
      <c r="I78" s="2" t="s">
        <v>145</v>
      </c>
      <c r="J78" s="3">
        <v>3.2631749999999999</v>
      </c>
      <c r="K78" s="2">
        <v>6861</v>
      </c>
      <c r="L78" s="2"/>
      <c r="M78" s="3">
        <v>0.24850000000000005</v>
      </c>
      <c r="N78" s="5">
        <f t="shared" si="2"/>
        <v>6.4287749999999999</v>
      </c>
      <c r="O78" s="4" t="s">
        <v>148</v>
      </c>
    </row>
    <row r="79" spans="1:15" x14ac:dyDescent="0.25">
      <c r="A79" s="2" t="s">
        <v>22</v>
      </c>
      <c r="B79" s="2">
        <v>6228</v>
      </c>
      <c r="C79" s="2"/>
      <c r="D79" s="3">
        <v>1.1204999999999998</v>
      </c>
      <c r="E79" s="2">
        <v>6228</v>
      </c>
      <c r="F79" s="2"/>
      <c r="G79" s="3">
        <v>1.7369999999999997</v>
      </c>
      <c r="H79" s="2">
        <v>6228</v>
      </c>
      <c r="I79" s="2"/>
      <c r="J79" s="3">
        <v>2.1914999999999996</v>
      </c>
      <c r="K79" s="2">
        <v>6228</v>
      </c>
      <c r="L79" s="2"/>
      <c r="M79" s="3">
        <v>1.1677499999999998</v>
      </c>
      <c r="N79" s="5">
        <f t="shared" si="2"/>
        <v>6.2167499999999993</v>
      </c>
      <c r="O79" s="4" t="s">
        <v>148</v>
      </c>
    </row>
    <row r="80" spans="1:15" x14ac:dyDescent="0.25">
      <c r="A80" s="2" t="s">
        <v>85</v>
      </c>
      <c r="B80" s="2">
        <v>7284</v>
      </c>
      <c r="C80" s="2"/>
      <c r="D80" s="3">
        <v>0</v>
      </c>
      <c r="E80" s="2">
        <v>7284</v>
      </c>
      <c r="F80" s="2"/>
      <c r="G80" s="3">
        <v>1.0972500000000001</v>
      </c>
      <c r="H80" s="2">
        <v>7284</v>
      </c>
      <c r="I80" s="2"/>
      <c r="J80" s="3">
        <v>2.4832500000000004</v>
      </c>
      <c r="K80" s="2">
        <v>7284</v>
      </c>
      <c r="L80" s="2"/>
      <c r="M80" s="3">
        <v>2.5327499999999996</v>
      </c>
      <c r="N80" s="5">
        <f t="shared" si="2"/>
        <v>6.1132499999999999</v>
      </c>
      <c r="O80" s="4" t="s">
        <v>148</v>
      </c>
    </row>
    <row r="81" spans="1:15" hidden="1" x14ac:dyDescent="0.25">
      <c r="A81" s="13" t="s">
        <v>32</v>
      </c>
      <c r="B81" s="13" t="s">
        <v>103</v>
      </c>
      <c r="C81" s="13" t="s">
        <v>116</v>
      </c>
      <c r="D81" s="14">
        <v>3.48</v>
      </c>
      <c r="E81" s="13" t="s">
        <v>103</v>
      </c>
      <c r="F81" s="13" t="s">
        <v>116</v>
      </c>
      <c r="G81" s="14">
        <v>0</v>
      </c>
      <c r="H81" s="13" t="s">
        <v>103</v>
      </c>
      <c r="I81" s="13" t="s">
        <v>116</v>
      </c>
      <c r="J81" s="14">
        <v>0</v>
      </c>
      <c r="K81" s="13" t="s">
        <v>103</v>
      </c>
      <c r="L81" s="13" t="s">
        <v>116</v>
      </c>
      <c r="M81" s="14">
        <v>2.4500000000000002</v>
      </c>
      <c r="N81" s="15">
        <f t="shared" si="2"/>
        <v>5.93</v>
      </c>
      <c r="O81" s="13" t="s">
        <v>122</v>
      </c>
    </row>
    <row r="82" spans="1:15" x14ac:dyDescent="0.25">
      <c r="A82" s="2" t="s">
        <v>93</v>
      </c>
      <c r="B82" s="2">
        <v>7489</v>
      </c>
      <c r="C82" s="2"/>
      <c r="D82" s="3">
        <v>1.456</v>
      </c>
      <c r="E82" s="2">
        <v>7489</v>
      </c>
      <c r="F82" s="2"/>
      <c r="G82" s="3">
        <v>1.2460000000000002</v>
      </c>
      <c r="H82" s="2">
        <v>7489</v>
      </c>
      <c r="I82" s="2"/>
      <c r="J82" s="3">
        <v>1.7570000000000003</v>
      </c>
      <c r="K82" s="2">
        <v>7489</v>
      </c>
      <c r="L82" s="2"/>
      <c r="M82" s="3">
        <v>1.393</v>
      </c>
      <c r="N82" s="5">
        <f t="shared" si="2"/>
        <v>5.8520000000000003</v>
      </c>
      <c r="O82" s="4" t="s">
        <v>148</v>
      </c>
    </row>
    <row r="83" spans="1:15" x14ac:dyDescent="0.25">
      <c r="A83" s="16" t="s">
        <v>96</v>
      </c>
      <c r="B83" s="16">
        <v>7564</v>
      </c>
      <c r="C83" s="16" t="s">
        <v>134</v>
      </c>
      <c r="D83" s="17">
        <v>4.019075</v>
      </c>
      <c r="E83" s="16">
        <v>7564</v>
      </c>
      <c r="F83" s="16" t="s">
        <v>134</v>
      </c>
      <c r="G83" s="17">
        <v>1.489125</v>
      </c>
      <c r="H83" s="16" t="s">
        <v>139</v>
      </c>
      <c r="I83" s="16"/>
      <c r="J83" s="17"/>
      <c r="K83" s="16" t="s">
        <v>139</v>
      </c>
      <c r="L83" s="16"/>
      <c r="M83" s="17"/>
      <c r="N83" s="18">
        <f t="shared" si="2"/>
        <v>5.5082000000000004</v>
      </c>
      <c r="O83" s="4" t="s">
        <v>148</v>
      </c>
    </row>
    <row r="84" spans="1:15" hidden="1" x14ac:dyDescent="0.25">
      <c r="A84" s="2" t="s">
        <v>123</v>
      </c>
      <c r="B84" s="2" t="s">
        <v>139</v>
      </c>
      <c r="C84" s="2"/>
      <c r="D84" s="3"/>
      <c r="E84" s="2">
        <v>6832</v>
      </c>
      <c r="F84" s="2"/>
      <c r="G84" s="3">
        <v>5.3634250000000012</v>
      </c>
      <c r="H84" s="2" t="s">
        <v>139</v>
      </c>
      <c r="I84" s="2"/>
      <c r="J84" s="3"/>
      <c r="K84" s="2" t="s">
        <v>139</v>
      </c>
      <c r="L84" s="2"/>
      <c r="M84" s="3"/>
      <c r="N84" s="5">
        <f t="shared" si="2"/>
        <v>5.3634250000000012</v>
      </c>
      <c r="O84" s="13" t="s">
        <v>122</v>
      </c>
    </row>
    <row r="85" spans="1:15" hidden="1" x14ac:dyDescent="0.25">
      <c r="A85" s="2" t="s">
        <v>128</v>
      </c>
      <c r="B85" s="2" t="s">
        <v>139</v>
      </c>
      <c r="C85" s="2"/>
      <c r="D85" s="3"/>
      <c r="E85" s="2">
        <v>7276</v>
      </c>
      <c r="F85" s="2"/>
      <c r="G85" s="3">
        <v>1.8525</v>
      </c>
      <c r="H85" s="2">
        <v>7276</v>
      </c>
      <c r="I85" s="2"/>
      <c r="J85" s="3">
        <v>1.5299999999999998</v>
      </c>
      <c r="K85" s="2">
        <v>7276</v>
      </c>
      <c r="L85" s="2"/>
      <c r="M85" s="3">
        <v>1.59</v>
      </c>
      <c r="N85" s="5">
        <f t="shared" si="2"/>
        <v>4.9725000000000001</v>
      </c>
      <c r="O85" s="13" t="s">
        <v>122</v>
      </c>
    </row>
    <row r="86" spans="1:15" hidden="1" x14ac:dyDescent="0.25">
      <c r="A86" s="2" t="s">
        <v>41</v>
      </c>
      <c r="B86" s="2">
        <v>6602</v>
      </c>
      <c r="C86" s="2"/>
      <c r="D86" s="3">
        <v>1.7499999999999998E-2</v>
      </c>
      <c r="E86" s="2" t="s">
        <v>139</v>
      </c>
      <c r="F86" s="2"/>
      <c r="G86" s="3"/>
      <c r="H86" s="2">
        <v>6602</v>
      </c>
      <c r="I86" s="2"/>
      <c r="J86" s="3">
        <v>3.3162499999999997</v>
      </c>
      <c r="K86" s="2">
        <v>6602</v>
      </c>
      <c r="L86" s="2"/>
      <c r="M86" s="3">
        <v>1.42625</v>
      </c>
      <c r="N86" s="5">
        <f t="shared" si="2"/>
        <v>4.76</v>
      </c>
      <c r="O86" s="13" t="s">
        <v>122</v>
      </c>
    </row>
    <row r="87" spans="1:15" x14ac:dyDescent="0.25">
      <c r="A87" s="16" t="s">
        <v>95</v>
      </c>
      <c r="B87" s="16">
        <v>7539</v>
      </c>
      <c r="C87" s="16" t="s">
        <v>119</v>
      </c>
      <c r="D87" s="17">
        <v>0.28875000000000001</v>
      </c>
      <c r="E87" s="16">
        <v>7539</v>
      </c>
      <c r="F87" s="16" t="s">
        <v>119</v>
      </c>
      <c r="G87" s="17">
        <v>6.1249999999999992E-2</v>
      </c>
      <c r="H87" s="16">
        <v>7539</v>
      </c>
      <c r="I87" s="16" t="s">
        <v>119</v>
      </c>
      <c r="J87" s="17">
        <v>1.3125</v>
      </c>
      <c r="K87" s="16">
        <v>7539</v>
      </c>
      <c r="L87" s="16" t="s">
        <v>119</v>
      </c>
      <c r="M87" s="17">
        <v>2.5987499999999999</v>
      </c>
      <c r="N87" s="18">
        <f t="shared" si="2"/>
        <v>4.2612499999999995</v>
      </c>
      <c r="O87" s="4" t="s">
        <v>148</v>
      </c>
    </row>
    <row r="88" spans="1:15" hidden="1" x14ac:dyDescent="0.25">
      <c r="A88" s="2" t="s">
        <v>143</v>
      </c>
      <c r="B88" s="2" t="s">
        <v>139</v>
      </c>
      <c r="C88" s="2"/>
      <c r="D88" s="3"/>
      <c r="E88" s="2" t="s">
        <v>139</v>
      </c>
      <c r="F88" s="2"/>
      <c r="G88" s="3"/>
      <c r="H88" s="2">
        <v>7343</v>
      </c>
      <c r="I88" s="2"/>
      <c r="J88" s="3">
        <v>2.7600000000000002</v>
      </c>
      <c r="K88" s="2">
        <v>7343</v>
      </c>
      <c r="L88" s="2"/>
      <c r="M88" s="3">
        <v>1.32</v>
      </c>
      <c r="N88" s="5">
        <f t="shared" si="2"/>
        <v>4.08</v>
      </c>
      <c r="O88" s="13" t="s">
        <v>122</v>
      </c>
    </row>
    <row r="89" spans="1:15" hidden="1" x14ac:dyDescent="0.25">
      <c r="A89" s="2" t="s">
        <v>35</v>
      </c>
      <c r="B89" s="2">
        <v>6470</v>
      </c>
      <c r="C89" s="2"/>
      <c r="D89" s="3">
        <v>1.6840000000000002</v>
      </c>
      <c r="E89" s="2">
        <v>6470</v>
      </c>
      <c r="F89" s="2" t="s">
        <v>132</v>
      </c>
      <c r="G89" s="3">
        <v>1.0449249999999999</v>
      </c>
      <c r="H89" s="2" t="s">
        <v>139</v>
      </c>
      <c r="I89" s="2"/>
      <c r="J89" s="3"/>
      <c r="K89" s="2">
        <v>6470</v>
      </c>
      <c r="L89" s="2"/>
      <c r="M89" s="3">
        <v>0.48002500000000003</v>
      </c>
      <c r="N89" s="5">
        <f t="shared" si="2"/>
        <v>3.2089500000000002</v>
      </c>
      <c r="O89" s="13" t="s">
        <v>122</v>
      </c>
    </row>
    <row r="90" spans="1:15" hidden="1" x14ac:dyDescent="0.25">
      <c r="A90" s="2" t="s">
        <v>125</v>
      </c>
      <c r="B90" s="2" t="s">
        <v>139</v>
      </c>
      <c r="C90" s="2"/>
      <c r="D90" s="3"/>
      <c r="E90" s="2">
        <v>6946</v>
      </c>
      <c r="F90" s="2"/>
      <c r="G90" s="3">
        <v>0.4501</v>
      </c>
      <c r="H90" s="2">
        <v>6946</v>
      </c>
      <c r="I90" s="2"/>
      <c r="J90" s="3">
        <v>2.1232890000000002</v>
      </c>
      <c r="K90" s="2" t="s">
        <v>139</v>
      </c>
      <c r="L90" s="2"/>
      <c r="M90" s="3"/>
      <c r="N90" s="5">
        <f t="shared" si="2"/>
        <v>2.5733890000000001</v>
      </c>
      <c r="O90" s="13" t="s">
        <v>122</v>
      </c>
    </row>
    <row r="91" spans="1:15" hidden="1" x14ac:dyDescent="0.25">
      <c r="A91" s="2" t="s">
        <v>19</v>
      </c>
      <c r="B91" s="2">
        <v>6208</v>
      </c>
      <c r="C91" s="2"/>
      <c r="D91" s="3">
        <v>0.20250000000000001</v>
      </c>
      <c r="E91" s="2">
        <v>6208</v>
      </c>
      <c r="F91" s="2"/>
      <c r="G91" s="3">
        <v>0.5625</v>
      </c>
      <c r="H91" s="2">
        <v>6208</v>
      </c>
      <c r="I91" s="2" t="s">
        <v>144</v>
      </c>
      <c r="J91" s="3">
        <v>0.71624999999999994</v>
      </c>
      <c r="K91" s="2">
        <v>6208</v>
      </c>
      <c r="L91" s="2"/>
      <c r="M91" s="3">
        <v>0.58500000000000008</v>
      </c>
      <c r="N91" s="5">
        <f t="shared" si="2"/>
        <v>2.0662500000000001</v>
      </c>
      <c r="O91" s="13" t="s">
        <v>122</v>
      </c>
    </row>
    <row r="92" spans="1:15" hidden="1" x14ac:dyDescent="0.25">
      <c r="A92" s="13" t="s">
        <v>73</v>
      </c>
      <c r="B92" s="13" t="s">
        <v>102</v>
      </c>
      <c r="C92" s="13"/>
      <c r="D92" s="14">
        <v>0</v>
      </c>
      <c r="E92" s="13" t="s">
        <v>139</v>
      </c>
      <c r="F92" s="13"/>
      <c r="G92" s="14"/>
      <c r="H92" s="13" t="s">
        <v>139</v>
      </c>
      <c r="I92" s="13"/>
      <c r="J92" s="14"/>
      <c r="K92" s="13">
        <v>7131</v>
      </c>
      <c r="L92" s="13"/>
      <c r="M92" s="14">
        <v>1.8492000000000002</v>
      </c>
      <c r="N92" s="15">
        <f t="shared" si="2"/>
        <v>1.8492000000000002</v>
      </c>
      <c r="O92" s="13" t="s">
        <v>122</v>
      </c>
    </row>
    <row r="93" spans="1:15" hidden="1" x14ac:dyDescent="0.25">
      <c r="A93" s="13" t="s">
        <v>34</v>
      </c>
      <c r="B93" s="13" t="s">
        <v>103</v>
      </c>
      <c r="C93" s="13" t="s">
        <v>118</v>
      </c>
      <c r="D93" s="14">
        <v>0.47500000000000003</v>
      </c>
      <c r="E93" s="13" t="s">
        <v>103</v>
      </c>
      <c r="F93" s="13" t="s">
        <v>118</v>
      </c>
      <c r="G93" s="14">
        <v>0</v>
      </c>
      <c r="H93" s="13" t="s">
        <v>103</v>
      </c>
      <c r="I93" s="13" t="s">
        <v>118</v>
      </c>
      <c r="J93" s="14">
        <v>0.9325</v>
      </c>
      <c r="K93" s="13" t="s">
        <v>103</v>
      </c>
      <c r="L93" s="13" t="s">
        <v>118</v>
      </c>
      <c r="M93" s="14">
        <v>0.38499999999999995</v>
      </c>
      <c r="N93" s="15">
        <f t="shared" si="2"/>
        <v>1.7925</v>
      </c>
      <c r="O93" s="13" t="s">
        <v>122</v>
      </c>
    </row>
    <row r="94" spans="1:15" hidden="1" x14ac:dyDescent="0.25">
      <c r="A94" s="2" t="s">
        <v>126</v>
      </c>
      <c r="B94" s="2" t="s">
        <v>139</v>
      </c>
      <c r="C94" s="2"/>
      <c r="D94" s="3"/>
      <c r="E94" s="2">
        <v>7147</v>
      </c>
      <c r="F94" s="2"/>
      <c r="G94" s="3">
        <v>0.48950000000000005</v>
      </c>
      <c r="H94" s="2" t="s">
        <v>139</v>
      </c>
      <c r="I94" s="2"/>
      <c r="J94" s="3"/>
      <c r="K94" s="2">
        <v>7147</v>
      </c>
      <c r="L94" s="2"/>
      <c r="M94" s="3">
        <v>1.2155000000000002</v>
      </c>
      <c r="N94" s="5">
        <f t="shared" si="2"/>
        <v>1.7050000000000003</v>
      </c>
      <c r="O94" s="13" t="s">
        <v>122</v>
      </c>
    </row>
    <row r="95" spans="1:15" hidden="1" x14ac:dyDescent="0.25">
      <c r="A95" s="2" t="s">
        <v>88</v>
      </c>
      <c r="B95" s="2">
        <v>7333</v>
      </c>
      <c r="C95" s="2"/>
      <c r="D95" s="3">
        <v>0.126</v>
      </c>
      <c r="E95" s="2">
        <v>7333</v>
      </c>
      <c r="F95" s="2"/>
      <c r="G95" s="3">
        <v>0.79799999999999993</v>
      </c>
      <c r="H95" s="2" t="s">
        <v>139</v>
      </c>
      <c r="I95" s="2"/>
      <c r="J95" s="3"/>
      <c r="K95" s="2">
        <v>7333</v>
      </c>
      <c r="L95" s="2"/>
      <c r="M95" s="3">
        <v>0.70000000000000007</v>
      </c>
      <c r="N95" s="5">
        <f t="shared" si="2"/>
        <v>1.6240000000000001</v>
      </c>
      <c r="O95" s="13" t="s">
        <v>122</v>
      </c>
    </row>
    <row r="96" spans="1:15" hidden="1" x14ac:dyDescent="0.25">
      <c r="A96" s="13" t="s">
        <v>86</v>
      </c>
      <c r="B96" s="13" t="s">
        <v>103</v>
      </c>
      <c r="C96" s="13" t="s">
        <v>107</v>
      </c>
      <c r="D96" s="14">
        <v>0.62249999999999994</v>
      </c>
      <c r="E96" s="13" t="s">
        <v>103</v>
      </c>
      <c r="F96" s="13" t="s">
        <v>107</v>
      </c>
      <c r="G96" s="14">
        <v>0</v>
      </c>
      <c r="H96" s="13" t="s">
        <v>103</v>
      </c>
      <c r="I96" s="13" t="s">
        <v>107</v>
      </c>
      <c r="J96" s="14">
        <v>0</v>
      </c>
      <c r="K96" s="13">
        <v>7288</v>
      </c>
      <c r="L96" s="13"/>
      <c r="M96" s="14">
        <v>0.71750000000000003</v>
      </c>
      <c r="N96" s="15">
        <f t="shared" si="2"/>
        <v>1.3399999999999999</v>
      </c>
      <c r="O96" s="13" t="s">
        <v>122</v>
      </c>
    </row>
    <row r="97" spans="1:15" hidden="1" x14ac:dyDescent="0.25">
      <c r="A97" s="2" t="s">
        <v>56</v>
      </c>
      <c r="B97" s="2">
        <v>6834</v>
      </c>
      <c r="C97" s="2"/>
      <c r="D97" s="3">
        <v>9.7500000000000003E-2</v>
      </c>
      <c r="E97" s="2">
        <v>6834</v>
      </c>
      <c r="F97" s="2"/>
      <c r="G97" s="3">
        <v>0.18000000000000002</v>
      </c>
      <c r="H97" s="2">
        <v>6834</v>
      </c>
      <c r="I97" s="2"/>
      <c r="J97" s="3">
        <v>0.72750000000000004</v>
      </c>
      <c r="K97" s="2">
        <v>6834</v>
      </c>
      <c r="L97" s="2"/>
      <c r="M97" s="3">
        <v>0.26500000000000001</v>
      </c>
      <c r="N97" s="5">
        <f t="shared" si="2"/>
        <v>1.27</v>
      </c>
      <c r="O97" s="13" t="s">
        <v>122</v>
      </c>
    </row>
    <row r="98" spans="1:15" x14ac:dyDescent="0.25">
      <c r="A98" s="16" t="s">
        <v>131</v>
      </c>
      <c r="B98" s="16" t="s">
        <v>139</v>
      </c>
      <c r="C98" s="16"/>
      <c r="D98" s="17"/>
      <c r="E98" s="16">
        <v>7616</v>
      </c>
      <c r="F98" s="16" t="s">
        <v>138</v>
      </c>
      <c r="G98" s="17">
        <v>0.68500000000000005</v>
      </c>
      <c r="H98" s="16">
        <v>7616</v>
      </c>
      <c r="I98" s="16" t="s">
        <v>138</v>
      </c>
      <c r="J98" s="17">
        <v>0.45</v>
      </c>
      <c r="K98" s="16" t="s">
        <v>139</v>
      </c>
      <c r="L98" s="16"/>
      <c r="M98" s="17"/>
      <c r="N98" s="18">
        <f t="shared" si="2"/>
        <v>1.135</v>
      </c>
      <c r="O98" s="4" t="s">
        <v>148</v>
      </c>
    </row>
    <row r="99" spans="1:15" hidden="1" x14ac:dyDescent="0.25">
      <c r="A99" s="2" t="s">
        <v>50</v>
      </c>
      <c r="B99" s="2">
        <v>6767</v>
      </c>
      <c r="C99" s="2"/>
      <c r="D99" s="3">
        <v>0.35275000000000001</v>
      </c>
      <c r="E99" s="2" t="s">
        <v>139</v>
      </c>
      <c r="F99" s="2"/>
      <c r="G99" s="3"/>
      <c r="H99" s="2" t="s">
        <v>139</v>
      </c>
      <c r="I99" s="2"/>
      <c r="J99" s="3"/>
      <c r="K99" s="2" t="s">
        <v>139</v>
      </c>
      <c r="L99" s="2"/>
      <c r="M99" s="3"/>
      <c r="N99" s="5">
        <f t="shared" ref="N99:N116" si="3">M99+J99+G99+D99</f>
        <v>0.35275000000000001</v>
      </c>
      <c r="O99" s="13" t="s">
        <v>122</v>
      </c>
    </row>
    <row r="100" spans="1:15" x14ac:dyDescent="0.25">
      <c r="A100" s="16" t="s">
        <v>130</v>
      </c>
      <c r="B100" s="16" t="s">
        <v>139</v>
      </c>
      <c r="C100" s="16"/>
      <c r="D100" s="17"/>
      <c r="E100" s="16">
        <v>7612</v>
      </c>
      <c r="F100" s="16" t="s">
        <v>137</v>
      </c>
      <c r="G100" s="17">
        <v>6.9999999999999993E-2</v>
      </c>
      <c r="H100" s="16">
        <v>7612</v>
      </c>
      <c r="I100" s="16" t="s">
        <v>137</v>
      </c>
      <c r="J100" s="17">
        <v>6.5000000000000002E-2</v>
      </c>
      <c r="K100" s="16" t="s">
        <v>139</v>
      </c>
      <c r="L100" s="16"/>
      <c r="M100" s="17"/>
      <c r="N100" s="18">
        <f t="shared" si="3"/>
        <v>0.13500000000000001</v>
      </c>
      <c r="O100" s="4" t="s">
        <v>148</v>
      </c>
    </row>
    <row r="101" spans="1:15" x14ac:dyDescent="0.25">
      <c r="A101" s="16" t="s">
        <v>129</v>
      </c>
      <c r="B101" s="16" t="s">
        <v>139</v>
      </c>
      <c r="C101" s="16"/>
      <c r="D101" s="17"/>
      <c r="E101" s="16">
        <v>7608</v>
      </c>
      <c r="F101" s="16" t="s">
        <v>136</v>
      </c>
      <c r="G101" s="17">
        <v>5.2500000000000005E-2</v>
      </c>
      <c r="H101" s="16" t="s">
        <v>139</v>
      </c>
      <c r="I101" s="16"/>
      <c r="J101" s="17"/>
      <c r="K101" s="16" t="s">
        <v>139</v>
      </c>
      <c r="L101" s="16"/>
      <c r="M101" s="17"/>
      <c r="N101" s="18">
        <f t="shared" si="3"/>
        <v>5.2500000000000005E-2</v>
      </c>
      <c r="O101" s="4" t="s">
        <v>148</v>
      </c>
    </row>
    <row r="102" spans="1:15" hidden="1" x14ac:dyDescent="0.25">
      <c r="A102" s="13" t="s">
        <v>8</v>
      </c>
      <c r="B102" s="13" t="s">
        <v>102</v>
      </c>
      <c r="C102" s="13"/>
      <c r="D102" s="14">
        <v>0</v>
      </c>
      <c r="E102" s="13" t="s">
        <v>139</v>
      </c>
      <c r="F102" s="13"/>
      <c r="G102" s="14"/>
      <c r="H102" s="13" t="s">
        <v>139</v>
      </c>
      <c r="I102" s="13"/>
      <c r="J102" s="14"/>
      <c r="K102" s="13" t="s">
        <v>139</v>
      </c>
      <c r="L102" s="13"/>
      <c r="M102" s="14"/>
      <c r="N102" s="15">
        <f t="shared" si="3"/>
        <v>0</v>
      </c>
      <c r="O102" s="13" t="s">
        <v>122</v>
      </c>
    </row>
    <row r="103" spans="1:15" hidden="1" x14ac:dyDescent="0.25">
      <c r="A103" s="13" t="s">
        <v>13</v>
      </c>
      <c r="B103" s="13" t="s">
        <v>102</v>
      </c>
      <c r="C103" s="13"/>
      <c r="D103" s="14">
        <v>0</v>
      </c>
      <c r="E103" s="13" t="s">
        <v>102</v>
      </c>
      <c r="F103" s="13"/>
      <c r="G103" s="14">
        <v>0</v>
      </c>
      <c r="H103" s="13" t="s">
        <v>139</v>
      </c>
      <c r="I103" s="13"/>
      <c r="J103" s="14"/>
      <c r="K103" s="13" t="s">
        <v>139</v>
      </c>
      <c r="L103" s="13"/>
      <c r="M103" s="14"/>
      <c r="N103" s="15">
        <f t="shared" si="3"/>
        <v>0</v>
      </c>
      <c r="O103" s="13" t="s">
        <v>122</v>
      </c>
    </row>
    <row r="104" spans="1:15" hidden="1" x14ac:dyDescent="0.25">
      <c r="A104" s="13" t="s">
        <v>23</v>
      </c>
      <c r="B104" s="13" t="s">
        <v>102</v>
      </c>
      <c r="C104" s="13"/>
      <c r="D104" s="14">
        <v>0</v>
      </c>
      <c r="E104" s="13" t="s">
        <v>102</v>
      </c>
      <c r="F104" s="13"/>
      <c r="G104" s="14">
        <v>0</v>
      </c>
      <c r="H104" s="13" t="s">
        <v>139</v>
      </c>
      <c r="I104" s="13"/>
      <c r="J104" s="14"/>
      <c r="K104" s="13" t="s">
        <v>139</v>
      </c>
      <c r="L104" s="13"/>
      <c r="M104" s="14"/>
      <c r="N104" s="15">
        <f t="shared" si="3"/>
        <v>0</v>
      </c>
      <c r="O104" s="13" t="s">
        <v>122</v>
      </c>
    </row>
    <row r="105" spans="1:15" hidden="1" x14ac:dyDescent="0.25">
      <c r="A105" s="13" t="s">
        <v>26</v>
      </c>
      <c r="B105" s="13" t="s">
        <v>103</v>
      </c>
      <c r="C105" s="13" t="s">
        <v>114</v>
      </c>
      <c r="D105" s="14">
        <v>0</v>
      </c>
      <c r="E105" s="13" t="s">
        <v>122</v>
      </c>
      <c r="F105" s="13"/>
      <c r="G105" s="14">
        <v>0</v>
      </c>
      <c r="H105" s="13" t="s">
        <v>139</v>
      </c>
      <c r="I105" s="13"/>
      <c r="J105" s="14"/>
      <c r="K105" s="13" t="s">
        <v>139</v>
      </c>
      <c r="L105" s="13"/>
      <c r="M105" s="14"/>
      <c r="N105" s="15">
        <f t="shared" si="3"/>
        <v>0</v>
      </c>
      <c r="O105" s="13" t="s">
        <v>122</v>
      </c>
    </row>
    <row r="106" spans="1:15" hidden="1" x14ac:dyDescent="0.25">
      <c r="A106" s="13" t="s">
        <v>29</v>
      </c>
      <c r="B106" s="13" t="s">
        <v>103</v>
      </c>
      <c r="C106" s="13" t="s">
        <v>115</v>
      </c>
      <c r="D106" s="14">
        <v>0</v>
      </c>
      <c r="E106" s="13" t="s">
        <v>103</v>
      </c>
      <c r="F106" s="13" t="s">
        <v>115</v>
      </c>
      <c r="G106" s="14">
        <v>0</v>
      </c>
      <c r="H106" s="13" t="s">
        <v>103</v>
      </c>
      <c r="I106" s="13" t="s">
        <v>115</v>
      </c>
      <c r="J106" s="14">
        <v>0</v>
      </c>
      <c r="K106" s="13" t="s">
        <v>103</v>
      </c>
      <c r="L106" s="13" t="s">
        <v>115</v>
      </c>
      <c r="M106" s="14">
        <v>0</v>
      </c>
      <c r="N106" s="15">
        <f t="shared" si="3"/>
        <v>0</v>
      </c>
      <c r="O106" s="13" t="s">
        <v>122</v>
      </c>
    </row>
    <row r="107" spans="1:15" hidden="1" x14ac:dyDescent="0.25">
      <c r="A107" s="13" t="s">
        <v>30</v>
      </c>
      <c r="B107" s="13" t="s">
        <v>102</v>
      </c>
      <c r="C107" s="13"/>
      <c r="D107" s="14">
        <v>0</v>
      </c>
      <c r="E107" s="13" t="s">
        <v>139</v>
      </c>
      <c r="F107" s="13"/>
      <c r="G107" s="14"/>
      <c r="H107" s="13" t="s">
        <v>139</v>
      </c>
      <c r="I107" s="13"/>
      <c r="J107" s="14"/>
      <c r="K107" s="13" t="s">
        <v>139</v>
      </c>
      <c r="L107" s="13"/>
      <c r="M107" s="14"/>
      <c r="N107" s="15">
        <f t="shared" si="3"/>
        <v>0</v>
      </c>
      <c r="O107" s="13" t="s">
        <v>122</v>
      </c>
    </row>
    <row r="108" spans="1:15" hidden="1" x14ac:dyDescent="0.25">
      <c r="A108" s="2" t="s">
        <v>48</v>
      </c>
      <c r="B108" s="2">
        <v>6761</v>
      </c>
      <c r="C108" s="2"/>
      <c r="D108" s="3">
        <v>0</v>
      </c>
      <c r="E108" s="2" t="s">
        <v>139</v>
      </c>
      <c r="F108" s="2"/>
      <c r="G108" s="3"/>
      <c r="H108" s="2" t="s">
        <v>139</v>
      </c>
      <c r="I108" s="2"/>
      <c r="J108" s="3"/>
      <c r="K108" s="2" t="s">
        <v>139</v>
      </c>
      <c r="L108" s="2"/>
      <c r="M108" s="3"/>
      <c r="N108" s="5">
        <f t="shared" si="3"/>
        <v>0</v>
      </c>
      <c r="O108" s="13" t="s">
        <v>122</v>
      </c>
    </row>
    <row r="109" spans="1:15" hidden="1" x14ac:dyDescent="0.25">
      <c r="A109" s="13" t="s">
        <v>52</v>
      </c>
      <c r="B109" s="13" t="s">
        <v>102</v>
      </c>
      <c r="C109" s="13"/>
      <c r="D109" s="14">
        <v>0</v>
      </c>
      <c r="E109" s="13" t="s">
        <v>139</v>
      </c>
      <c r="F109" s="13"/>
      <c r="G109" s="14"/>
      <c r="H109" s="13" t="s">
        <v>139</v>
      </c>
      <c r="I109" s="13"/>
      <c r="J109" s="14"/>
      <c r="K109" s="13" t="s">
        <v>139</v>
      </c>
      <c r="L109" s="13"/>
      <c r="M109" s="14"/>
      <c r="N109" s="15">
        <f t="shared" si="3"/>
        <v>0</v>
      </c>
      <c r="O109" s="13" t="s">
        <v>122</v>
      </c>
    </row>
    <row r="110" spans="1:15" hidden="1" x14ac:dyDescent="0.25">
      <c r="A110" s="2" t="s">
        <v>60</v>
      </c>
      <c r="B110" s="2" t="s">
        <v>102</v>
      </c>
      <c r="C110" s="2"/>
      <c r="D110" s="3">
        <v>0</v>
      </c>
      <c r="E110" s="2" t="s">
        <v>139</v>
      </c>
      <c r="F110" s="2"/>
      <c r="G110" s="3"/>
      <c r="H110" s="2" t="s">
        <v>139</v>
      </c>
      <c r="I110" s="2"/>
      <c r="J110" s="3"/>
      <c r="K110" s="2" t="s">
        <v>139</v>
      </c>
      <c r="L110" s="2"/>
      <c r="M110" s="3"/>
      <c r="N110" s="5">
        <f t="shared" si="3"/>
        <v>0</v>
      </c>
      <c r="O110" s="13" t="s">
        <v>122</v>
      </c>
    </row>
    <row r="111" spans="1:15" hidden="1" x14ac:dyDescent="0.25">
      <c r="A111" s="2" t="s">
        <v>69</v>
      </c>
      <c r="B111" s="2" t="s">
        <v>102</v>
      </c>
      <c r="C111" s="2"/>
      <c r="D111" s="3">
        <v>0</v>
      </c>
      <c r="E111" s="2" t="s">
        <v>102</v>
      </c>
      <c r="F111" s="2"/>
      <c r="G111" s="3">
        <v>0</v>
      </c>
      <c r="H111" s="2" t="s">
        <v>139</v>
      </c>
      <c r="I111" s="2"/>
      <c r="J111" s="3"/>
      <c r="K111" s="2" t="s">
        <v>139</v>
      </c>
      <c r="L111" s="2"/>
      <c r="M111" s="3"/>
      <c r="N111" s="5">
        <f t="shared" si="3"/>
        <v>0</v>
      </c>
      <c r="O111" s="13" t="s">
        <v>122</v>
      </c>
    </row>
    <row r="112" spans="1:15" hidden="1" x14ac:dyDescent="0.25">
      <c r="A112" s="2" t="s">
        <v>127</v>
      </c>
      <c r="B112" s="2" t="s">
        <v>139</v>
      </c>
      <c r="C112" s="2"/>
      <c r="D112" s="3"/>
      <c r="E112" s="2">
        <v>7163</v>
      </c>
      <c r="F112" s="2"/>
      <c r="G112" s="3">
        <v>0</v>
      </c>
      <c r="H112" s="2" t="s">
        <v>139</v>
      </c>
      <c r="I112" s="2"/>
      <c r="J112" s="3"/>
      <c r="K112" s="2" t="s">
        <v>139</v>
      </c>
      <c r="L112" s="2"/>
      <c r="M112" s="3"/>
      <c r="N112" s="5">
        <f t="shared" si="3"/>
        <v>0</v>
      </c>
      <c r="O112" s="13" t="s">
        <v>122</v>
      </c>
    </row>
    <row r="113" spans="1:15" x14ac:dyDescent="0.25">
      <c r="A113" s="16" t="s">
        <v>153</v>
      </c>
      <c r="B113" s="16">
        <v>7299</v>
      </c>
      <c r="C113" s="16" t="s">
        <v>108</v>
      </c>
      <c r="D113" s="17">
        <v>0</v>
      </c>
      <c r="E113" s="16">
        <v>7299</v>
      </c>
      <c r="F113" s="16" t="s">
        <v>108</v>
      </c>
      <c r="G113" s="17">
        <v>0</v>
      </c>
      <c r="H113" s="16">
        <v>7299</v>
      </c>
      <c r="I113" s="16" t="s">
        <v>108</v>
      </c>
      <c r="J113" s="17">
        <v>0</v>
      </c>
      <c r="K113" s="16">
        <v>7299</v>
      </c>
      <c r="L113" s="16" t="s">
        <v>108</v>
      </c>
      <c r="M113" s="17">
        <v>0</v>
      </c>
      <c r="N113" s="18">
        <f t="shared" si="3"/>
        <v>0</v>
      </c>
      <c r="O113" s="4" t="s">
        <v>148</v>
      </c>
    </row>
    <row r="114" spans="1:15" hidden="1" x14ac:dyDescent="0.25">
      <c r="A114" s="13" t="s">
        <v>92</v>
      </c>
      <c r="B114" s="13" t="s">
        <v>102</v>
      </c>
      <c r="C114" s="13"/>
      <c r="D114" s="14">
        <v>0</v>
      </c>
      <c r="E114" s="13" t="s">
        <v>139</v>
      </c>
      <c r="F114" s="13"/>
      <c r="G114" s="14"/>
      <c r="H114" s="13" t="s">
        <v>139</v>
      </c>
      <c r="I114" s="13"/>
      <c r="J114" s="14"/>
      <c r="K114" s="13" t="s">
        <v>139</v>
      </c>
      <c r="L114" s="13"/>
      <c r="M114" s="14"/>
      <c r="N114" s="15">
        <f t="shared" si="3"/>
        <v>0</v>
      </c>
      <c r="O114" s="13" t="s">
        <v>122</v>
      </c>
    </row>
    <row r="115" spans="1:15" x14ac:dyDescent="0.25">
      <c r="A115" s="16" t="s">
        <v>99</v>
      </c>
      <c r="B115" s="16">
        <v>7647</v>
      </c>
      <c r="C115" s="16" t="s">
        <v>108</v>
      </c>
      <c r="D115" s="17">
        <v>0</v>
      </c>
      <c r="E115" s="16">
        <v>7647</v>
      </c>
      <c r="F115" s="16" t="s">
        <v>108</v>
      </c>
      <c r="G115" s="17">
        <v>0</v>
      </c>
      <c r="H115" s="16">
        <v>7647</v>
      </c>
      <c r="I115" s="16" t="s">
        <v>108</v>
      </c>
      <c r="J115" s="17">
        <v>0</v>
      </c>
      <c r="K115" s="16">
        <v>7647</v>
      </c>
      <c r="L115" s="16" t="s">
        <v>108</v>
      </c>
      <c r="M115" s="17">
        <v>0</v>
      </c>
      <c r="N115" s="18">
        <f t="shared" si="3"/>
        <v>0</v>
      </c>
      <c r="O115" s="4" t="s">
        <v>148</v>
      </c>
    </row>
    <row r="116" spans="1:15" x14ac:dyDescent="0.25">
      <c r="A116" s="16" t="s">
        <v>100</v>
      </c>
      <c r="B116" s="16">
        <v>7651</v>
      </c>
      <c r="C116" s="16" t="s">
        <v>108</v>
      </c>
      <c r="D116" s="17">
        <v>0</v>
      </c>
      <c r="E116" s="16">
        <v>7651</v>
      </c>
      <c r="F116" s="16" t="s">
        <v>108</v>
      </c>
      <c r="G116" s="17">
        <v>0</v>
      </c>
      <c r="H116" s="16">
        <v>7651</v>
      </c>
      <c r="I116" s="16" t="s">
        <v>108</v>
      </c>
      <c r="J116" s="17">
        <v>0</v>
      </c>
      <c r="K116" s="16">
        <v>7651</v>
      </c>
      <c r="L116" s="16" t="s">
        <v>108</v>
      </c>
      <c r="M116" s="17">
        <v>0</v>
      </c>
      <c r="N116" s="18">
        <f t="shared" si="3"/>
        <v>0</v>
      </c>
      <c r="O116" s="4" t="s">
        <v>148</v>
      </c>
    </row>
    <row r="117" spans="1:15" x14ac:dyDescent="0.25">
      <c r="A117" s="16" t="s">
        <v>154</v>
      </c>
      <c r="B117" s="16"/>
      <c r="C117" s="16"/>
      <c r="D117" s="17">
        <v>0</v>
      </c>
      <c r="E117" s="16">
        <v>7651</v>
      </c>
      <c r="F117" s="16" t="s">
        <v>108</v>
      </c>
      <c r="G117" s="17">
        <v>0</v>
      </c>
      <c r="H117" s="16">
        <v>7651</v>
      </c>
      <c r="I117" s="16" t="s">
        <v>108</v>
      </c>
      <c r="J117" s="17">
        <v>0</v>
      </c>
      <c r="K117" s="16">
        <v>7651</v>
      </c>
      <c r="L117" s="16" t="s">
        <v>108</v>
      </c>
      <c r="M117" s="17">
        <v>0</v>
      </c>
      <c r="N117" s="18">
        <f t="shared" ref="N117" si="4">M117+J117+G117+D117</f>
        <v>0</v>
      </c>
      <c r="O117" s="4" t="s">
        <v>148</v>
      </c>
    </row>
    <row r="119" spans="1:15" x14ac:dyDescent="0.25">
      <c r="A119" s="13" t="s">
        <v>151</v>
      </c>
    </row>
    <row r="120" spans="1:15" x14ac:dyDescent="0.25">
      <c r="A120" s="16" t="s">
        <v>152</v>
      </c>
    </row>
  </sheetData>
  <autoFilter ref="A2:O117" xr:uid="{6E3B6DB2-5DDE-4D9F-BCFF-788575683F9A}">
    <filterColumn colId="14">
      <filters>
        <filter val="матрица"/>
      </filters>
    </filterColumn>
    <sortState xmlns:xlrd2="http://schemas.microsoft.com/office/spreadsheetml/2017/richdata2" ref="A3:O116">
      <sortCondition descending="1" ref="N2"/>
    </sortState>
  </autoFilter>
  <mergeCells count="4">
    <mergeCell ref="B1:D1"/>
    <mergeCell ref="E1:G1"/>
    <mergeCell ref="H1:J1"/>
    <mergeCell ref="K1:M1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User</cp:lastModifiedBy>
  <dcterms:created xsi:type="dcterms:W3CDTF">2015-06-05T18:19:34Z</dcterms:created>
  <dcterms:modified xsi:type="dcterms:W3CDTF">2026-07-20T17:15:48Z</dcterms:modified>
</cp:coreProperties>
</file>