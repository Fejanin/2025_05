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9,06,26 Останкино КИ и ЗПФ\"/>
    </mc:Choice>
  </mc:AlternateContent>
  <xr:revisionPtr revIDLastSave="0" documentId="13_ncr:1_{87720FEE-333A-4E1A-81FB-7926FEDEDD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Sheet!$A$3:$AE$106</definedName>
  </definedNames>
  <calcPr calcId="191029"/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6" i="1"/>
  <c r="AE10" i="1"/>
  <c r="AE73" i="1"/>
  <c r="T7" i="1"/>
  <c r="AF7" i="1" s="1"/>
  <c r="T8" i="1"/>
  <c r="AF8" i="1" s="1"/>
  <c r="T9" i="1"/>
  <c r="AF9" i="1" s="1"/>
  <c r="T10" i="1"/>
  <c r="AF10" i="1" s="1"/>
  <c r="T11" i="1"/>
  <c r="AF11" i="1" s="1"/>
  <c r="T12" i="1"/>
  <c r="AF12" i="1" s="1"/>
  <c r="T13" i="1"/>
  <c r="AF13" i="1" s="1"/>
  <c r="T14" i="1"/>
  <c r="AF14" i="1" s="1"/>
  <c r="T15" i="1"/>
  <c r="AF15" i="1" s="1"/>
  <c r="T16" i="1"/>
  <c r="AF16" i="1" s="1"/>
  <c r="T17" i="1"/>
  <c r="AF17" i="1" s="1"/>
  <c r="T18" i="1"/>
  <c r="AF18" i="1" s="1"/>
  <c r="T19" i="1"/>
  <c r="AF19" i="1" s="1"/>
  <c r="T20" i="1"/>
  <c r="AF20" i="1" s="1"/>
  <c r="T21" i="1"/>
  <c r="AF21" i="1" s="1"/>
  <c r="T22" i="1"/>
  <c r="AF22" i="1" s="1"/>
  <c r="T23" i="1"/>
  <c r="AF23" i="1" s="1"/>
  <c r="T24" i="1"/>
  <c r="AF24" i="1" s="1"/>
  <c r="T25" i="1"/>
  <c r="AF25" i="1" s="1"/>
  <c r="T26" i="1"/>
  <c r="AF26" i="1" s="1"/>
  <c r="T27" i="1"/>
  <c r="AF27" i="1" s="1"/>
  <c r="T28" i="1"/>
  <c r="AF28" i="1" s="1"/>
  <c r="T29" i="1"/>
  <c r="AF29" i="1" s="1"/>
  <c r="T30" i="1"/>
  <c r="AF30" i="1" s="1"/>
  <c r="T31" i="1"/>
  <c r="AF31" i="1" s="1"/>
  <c r="T32" i="1"/>
  <c r="AF32" i="1" s="1"/>
  <c r="T33" i="1"/>
  <c r="AF33" i="1" s="1"/>
  <c r="T34" i="1"/>
  <c r="AF34" i="1" s="1"/>
  <c r="T35" i="1"/>
  <c r="AF35" i="1" s="1"/>
  <c r="T36" i="1"/>
  <c r="AF36" i="1" s="1"/>
  <c r="T37" i="1"/>
  <c r="AF37" i="1" s="1"/>
  <c r="T38" i="1"/>
  <c r="AF38" i="1" s="1"/>
  <c r="T39" i="1"/>
  <c r="AF39" i="1" s="1"/>
  <c r="T40" i="1"/>
  <c r="AF40" i="1" s="1"/>
  <c r="T41" i="1"/>
  <c r="AF41" i="1" s="1"/>
  <c r="T42" i="1"/>
  <c r="AF42" i="1" s="1"/>
  <c r="T43" i="1"/>
  <c r="AF43" i="1" s="1"/>
  <c r="T44" i="1"/>
  <c r="AF44" i="1" s="1"/>
  <c r="T45" i="1"/>
  <c r="AF45" i="1" s="1"/>
  <c r="T46" i="1"/>
  <c r="AF46" i="1" s="1"/>
  <c r="T47" i="1"/>
  <c r="AF47" i="1" s="1"/>
  <c r="T48" i="1"/>
  <c r="AF48" i="1" s="1"/>
  <c r="T49" i="1"/>
  <c r="AF49" i="1" s="1"/>
  <c r="T50" i="1"/>
  <c r="AF50" i="1" s="1"/>
  <c r="T51" i="1"/>
  <c r="AF51" i="1" s="1"/>
  <c r="T52" i="1"/>
  <c r="AF52" i="1" s="1"/>
  <c r="T53" i="1"/>
  <c r="AF53" i="1" s="1"/>
  <c r="T54" i="1"/>
  <c r="AF54" i="1" s="1"/>
  <c r="T55" i="1"/>
  <c r="AF55" i="1" s="1"/>
  <c r="T56" i="1"/>
  <c r="AF56" i="1" s="1"/>
  <c r="T57" i="1"/>
  <c r="AF57" i="1" s="1"/>
  <c r="T58" i="1"/>
  <c r="AF58" i="1" s="1"/>
  <c r="T59" i="1"/>
  <c r="AF59" i="1" s="1"/>
  <c r="T60" i="1"/>
  <c r="AF60" i="1" s="1"/>
  <c r="T61" i="1"/>
  <c r="AF61" i="1" s="1"/>
  <c r="T62" i="1"/>
  <c r="AF62" i="1" s="1"/>
  <c r="T63" i="1"/>
  <c r="AF63" i="1" s="1"/>
  <c r="T64" i="1"/>
  <c r="AF64" i="1" s="1"/>
  <c r="T65" i="1"/>
  <c r="AF65" i="1" s="1"/>
  <c r="T66" i="1"/>
  <c r="AF66" i="1" s="1"/>
  <c r="T67" i="1"/>
  <c r="AF67" i="1" s="1"/>
  <c r="T68" i="1"/>
  <c r="AF68" i="1" s="1"/>
  <c r="T69" i="1"/>
  <c r="AF69" i="1" s="1"/>
  <c r="T70" i="1"/>
  <c r="AF70" i="1" s="1"/>
  <c r="T71" i="1"/>
  <c r="AF71" i="1" s="1"/>
  <c r="T72" i="1"/>
  <c r="AF72" i="1" s="1"/>
  <c r="T73" i="1"/>
  <c r="AF73" i="1" s="1"/>
  <c r="T74" i="1"/>
  <c r="AF74" i="1" s="1"/>
  <c r="T75" i="1"/>
  <c r="AF75" i="1" s="1"/>
  <c r="T76" i="1"/>
  <c r="AF76" i="1" s="1"/>
  <c r="T77" i="1"/>
  <c r="AF77" i="1" s="1"/>
  <c r="T78" i="1"/>
  <c r="AF78" i="1" s="1"/>
  <c r="T79" i="1"/>
  <c r="AF79" i="1" s="1"/>
  <c r="T80" i="1"/>
  <c r="AF80" i="1" s="1"/>
  <c r="T81" i="1"/>
  <c r="AF81" i="1" s="1"/>
  <c r="T82" i="1"/>
  <c r="AF82" i="1" s="1"/>
  <c r="T83" i="1"/>
  <c r="AF83" i="1" s="1"/>
  <c r="T84" i="1"/>
  <c r="AF84" i="1" s="1"/>
  <c r="T85" i="1"/>
  <c r="AF85" i="1" s="1"/>
  <c r="T86" i="1"/>
  <c r="AF86" i="1" s="1"/>
  <c r="T87" i="1"/>
  <c r="AF87" i="1" s="1"/>
  <c r="T88" i="1"/>
  <c r="AF88" i="1" s="1"/>
  <c r="T89" i="1"/>
  <c r="AF89" i="1" s="1"/>
  <c r="T90" i="1"/>
  <c r="AF90" i="1" s="1"/>
  <c r="T91" i="1"/>
  <c r="AF91" i="1" s="1"/>
  <c r="T92" i="1"/>
  <c r="AF92" i="1" s="1"/>
  <c r="T93" i="1"/>
  <c r="AF93" i="1" s="1"/>
  <c r="T94" i="1"/>
  <c r="AF94" i="1" s="1"/>
  <c r="T95" i="1"/>
  <c r="AF95" i="1" s="1"/>
  <c r="T96" i="1"/>
  <c r="AF96" i="1" s="1"/>
  <c r="T97" i="1"/>
  <c r="AF97" i="1" s="1"/>
  <c r="T98" i="1"/>
  <c r="AF98" i="1" s="1"/>
  <c r="T99" i="1"/>
  <c r="AF99" i="1" s="1"/>
  <c r="T100" i="1"/>
  <c r="AF100" i="1" s="1"/>
  <c r="T101" i="1"/>
  <c r="AF101" i="1" s="1"/>
  <c r="T102" i="1"/>
  <c r="AF102" i="1" s="1"/>
  <c r="T103" i="1"/>
  <c r="AF103" i="1" s="1"/>
  <c r="T104" i="1"/>
  <c r="AF104" i="1" s="1"/>
  <c r="T105" i="1"/>
  <c r="AF105" i="1" s="1"/>
  <c r="T106" i="1"/>
  <c r="AF106" i="1" s="1"/>
  <c r="T6" i="1"/>
  <c r="AF6" i="1" s="1"/>
  <c r="AH5" i="1" l="1"/>
  <c r="AF5" i="1"/>
  <c r="S7" i="1"/>
  <c r="AE7" i="1" s="1"/>
  <c r="S8" i="1"/>
  <c r="AE8" i="1" s="1"/>
  <c r="S9" i="1"/>
  <c r="AE9" i="1" s="1"/>
  <c r="S11" i="1"/>
  <c r="AE11" i="1" s="1"/>
  <c r="S12" i="1"/>
  <c r="AE12" i="1" s="1"/>
  <c r="S13" i="1"/>
  <c r="AE13" i="1" s="1"/>
  <c r="S14" i="1"/>
  <c r="AE14" i="1" s="1"/>
  <c r="S15" i="1"/>
  <c r="AE15" i="1" s="1"/>
  <c r="S16" i="1"/>
  <c r="AE16" i="1" s="1"/>
  <c r="S17" i="1"/>
  <c r="AE17" i="1" s="1"/>
  <c r="S18" i="1"/>
  <c r="AE18" i="1" s="1"/>
  <c r="S19" i="1"/>
  <c r="AE19" i="1" s="1"/>
  <c r="S20" i="1"/>
  <c r="AE20" i="1" s="1"/>
  <c r="S21" i="1"/>
  <c r="AE21" i="1" s="1"/>
  <c r="S22" i="1"/>
  <c r="AE22" i="1" s="1"/>
  <c r="S23" i="1"/>
  <c r="AE23" i="1" s="1"/>
  <c r="S24" i="1"/>
  <c r="AE24" i="1" s="1"/>
  <c r="S25" i="1"/>
  <c r="AE25" i="1" s="1"/>
  <c r="S26" i="1"/>
  <c r="AE26" i="1" s="1"/>
  <c r="S27" i="1"/>
  <c r="AE27" i="1" s="1"/>
  <c r="S28" i="1"/>
  <c r="AE28" i="1" s="1"/>
  <c r="S29" i="1"/>
  <c r="AE29" i="1" s="1"/>
  <c r="S30" i="1"/>
  <c r="AE30" i="1" s="1"/>
  <c r="S31" i="1"/>
  <c r="AE31" i="1" s="1"/>
  <c r="S32" i="1"/>
  <c r="AE32" i="1" s="1"/>
  <c r="S33" i="1"/>
  <c r="AE33" i="1" s="1"/>
  <c r="S34" i="1"/>
  <c r="AE34" i="1" s="1"/>
  <c r="S35" i="1"/>
  <c r="AE35" i="1" s="1"/>
  <c r="S36" i="1"/>
  <c r="AE36" i="1" s="1"/>
  <c r="S37" i="1"/>
  <c r="AE37" i="1" s="1"/>
  <c r="S38" i="1"/>
  <c r="AE38" i="1" s="1"/>
  <c r="S39" i="1"/>
  <c r="AE39" i="1" s="1"/>
  <c r="S40" i="1"/>
  <c r="AE40" i="1" s="1"/>
  <c r="S41" i="1"/>
  <c r="AE41" i="1" s="1"/>
  <c r="S42" i="1"/>
  <c r="AE42" i="1" s="1"/>
  <c r="S43" i="1"/>
  <c r="AE43" i="1" s="1"/>
  <c r="S44" i="1"/>
  <c r="AE44" i="1" s="1"/>
  <c r="S45" i="1"/>
  <c r="AE45" i="1" s="1"/>
  <c r="S46" i="1"/>
  <c r="AE46" i="1" s="1"/>
  <c r="S47" i="1"/>
  <c r="AE47" i="1" s="1"/>
  <c r="S48" i="1"/>
  <c r="AE48" i="1" s="1"/>
  <c r="S49" i="1"/>
  <c r="AE49" i="1" s="1"/>
  <c r="S50" i="1"/>
  <c r="AE50" i="1" s="1"/>
  <c r="S51" i="1"/>
  <c r="AE51" i="1" s="1"/>
  <c r="S52" i="1"/>
  <c r="AE52" i="1" s="1"/>
  <c r="S53" i="1"/>
  <c r="AE53" i="1" s="1"/>
  <c r="S54" i="1"/>
  <c r="AE54" i="1" s="1"/>
  <c r="S55" i="1"/>
  <c r="AE55" i="1" s="1"/>
  <c r="S56" i="1"/>
  <c r="AE56" i="1" s="1"/>
  <c r="S57" i="1"/>
  <c r="AE57" i="1" s="1"/>
  <c r="S58" i="1"/>
  <c r="AE58" i="1" s="1"/>
  <c r="S59" i="1"/>
  <c r="AE59" i="1" s="1"/>
  <c r="S60" i="1"/>
  <c r="AE60" i="1" s="1"/>
  <c r="S61" i="1"/>
  <c r="AE61" i="1" s="1"/>
  <c r="S62" i="1"/>
  <c r="AE62" i="1" s="1"/>
  <c r="S63" i="1"/>
  <c r="AE63" i="1" s="1"/>
  <c r="S64" i="1"/>
  <c r="AE64" i="1" s="1"/>
  <c r="S65" i="1"/>
  <c r="AE65" i="1" s="1"/>
  <c r="S66" i="1"/>
  <c r="AE66" i="1" s="1"/>
  <c r="S67" i="1"/>
  <c r="AE67" i="1" s="1"/>
  <c r="S68" i="1"/>
  <c r="AE68" i="1" s="1"/>
  <c r="S69" i="1"/>
  <c r="AE69" i="1" s="1"/>
  <c r="S70" i="1"/>
  <c r="AE70" i="1" s="1"/>
  <c r="S71" i="1"/>
  <c r="AE71" i="1" s="1"/>
  <c r="S72" i="1"/>
  <c r="AE72" i="1" s="1"/>
  <c r="S74" i="1"/>
  <c r="AE74" i="1" s="1"/>
  <c r="S75" i="1"/>
  <c r="AE75" i="1" s="1"/>
  <c r="S76" i="1"/>
  <c r="AE76" i="1" s="1"/>
  <c r="S77" i="1"/>
  <c r="AE77" i="1" s="1"/>
  <c r="S78" i="1"/>
  <c r="AE78" i="1" s="1"/>
  <c r="S79" i="1"/>
  <c r="AE79" i="1" s="1"/>
  <c r="S80" i="1"/>
  <c r="AE80" i="1" s="1"/>
  <c r="S81" i="1"/>
  <c r="AE81" i="1" s="1"/>
  <c r="S82" i="1"/>
  <c r="AE82" i="1" s="1"/>
  <c r="S83" i="1"/>
  <c r="AE83" i="1" s="1"/>
  <c r="S84" i="1"/>
  <c r="AE84" i="1" s="1"/>
  <c r="S85" i="1"/>
  <c r="AE85" i="1" s="1"/>
  <c r="S86" i="1"/>
  <c r="AE86" i="1" s="1"/>
  <c r="S87" i="1"/>
  <c r="AE87" i="1" s="1"/>
  <c r="S88" i="1"/>
  <c r="AE88" i="1" s="1"/>
  <c r="S89" i="1"/>
  <c r="AE89" i="1" s="1"/>
  <c r="S90" i="1"/>
  <c r="AE90" i="1" s="1"/>
  <c r="S91" i="1"/>
  <c r="AE91" i="1" s="1"/>
  <c r="S92" i="1"/>
  <c r="AE92" i="1" s="1"/>
  <c r="S93" i="1"/>
  <c r="AE93" i="1" s="1"/>
  <c r="S94" i="1"/>
  <c r="AE94" i="1" s="1"/>
  <c r="S95" i="1"/>
  <c r="AE95" i="1" s="1"/>
  <c r="S96" i="1"/>
  <c r="AE96" i="1" s="1"/>
  <c r="S97" i="1"/>
  <c r="AE97" i="1" s="1"/>
  <c r="S98" i="1"/>
  <c r="AE98" i="1" s="1"/>
  <c r="S99" i="1"/>
  <c r="AE99" i="1" s="1"/>
  <c r="S100" i="1"/>
  <c r="AE100" i="1" s="1"/>
  <c r="S101" i="1"/>
  <c r="AE101" i="1" s="1"/>
  <c r="S102" i="1"/>
  <c r="AE102" i="1" s="1"/>
  <c r="S103" i="1"/>
  <c r="AE103" i="1" s="1"/>
  <c r="S104" i="1"/>
  <c r="AE104" i="1" s="1"/>
  <c r="S105" i="1"/>
  <c r="AE105" i="1" s="1"/>
  <c r="S106" i="1"/>
  <c r="AE106" i="1" s="1"/>
  <c r="S6" i="1"/>
  <c r="AE6" i="1" s="1"/>
  <c r="T5" i="1" l="1"/>
  <c r="S5" i="1"/>
  <c r="F101" i="1" l="1"/>
  <c r="E101" i="1"/>
  <c r="F103" i="1"/>
  <c r="E103" i="1"/>
  <c r="F102" i="1"/>
  <c r="E102" i="1"/>
  <c r="Q106" i="1" l="1"/>
  <c r="X106" i="1" s="1"/>
  <c r="L106" i="1"/>
  <c r="Q105" i="1"/>
  <c r="X105" i="1" s="1"/>
  <c r="L105" i="1"/>
  <c r="Q104" i="1"/>
  <c r="X104" i="1" s="1"/>
  <c r="L104" i="1"/>
  <c r="Q103" i="1"/>
  <c r="AG103" i="1" s="1"/>
  <c r="L103" i="1"/>
  <c r="Q102" i="1"/>
  <c r="AG102" i="1" s="1"/>
  <c r="L102" i="1"/>
  <c r="L101" i="1"/>
  <c r="Q100" i="1"/>
  <c r="AG100" i="1" s="1"/>
  <c r="L100" i="1"/>
  <c r="Q99" i="1"/>
  <c r="AG99" i="1" s="1"/>
  <c r="L99" i="1"/>
  <c r="Q98" i="1"/>
  <c r="L98" i="1"/>
  <c r="Q97" i="1"/>
  <c r="AG97" i="1" s="1"/>
  <c r="L97" i="1"/>
  <c r="F97" i="1"/>
  <c r="Q96" i="1"/>
  <c r="AG96" i="1" s="1"/>
  <c r="L96" i="1"/>
  <c r="Q95" i="1"/>
  <c r="AG95" i="1" s="1"/>
  <c r="L95" i="1"/>
  <c r="Q94" i="1"/>
  <c r="AG94" i="1" s="1"/>
  <c r="L94" i="1"/>
  <c r="Q93" i="1"/>
  <c r="AG93" i="1" s="1"/>
  <c r="L93" i="1"/>
  <c r="Q92" i="1"/>
  <c r="AG92" i="1" s="1"/>
  <c r="L92" i="1"/>
  <c r="Q91" i="1"/>
  <c r="L91" i="1"/>
  <c r="Q90" i="1"/>
  <c r="AG90" i="1" s="1"/>
  <c r="L90" i="1"/>
  <c r="Q89" i="1"/>
  <c r="AG89" i="1" s="1"/>
  <c r="L89" i="1"/>
  <c r="Q88" i="1"/>
  <c r="AG88" i="1" s="1"/>
  <c r="L88" i="1"/>
  <c r="Q87" i="1"/>
  <c r="AG87" i="1" s="1"/>
  <c r="L87" i="1"/>
  <c r="Q86" i="1"/>
  <c r="AG86" i="1" s="1"/>
  <c r="L86" i="1"/>
  <c r="Q85" i="1"/>
  <c r="AG85" i="1" s="1"/>
  <c r="L85" i="1"/>
  <c r="Q84" i="1"/>
  <c r="AG84" i="1" s="1"/>
  <c r="L84" i="1"/>
  <c r="Q83" i="1"/>
  <c r="AG83" i="1" s="1"/>
  <c r="L83" i="1"/>
  <c r="Q82" i="1"/>
  <c r="AG82" i="1" s="1"/>
  <c r="L82" i="1"/>
  <c r="Q81" i="1"/>
  <c r="AG81" i="1" s="1"/>
  <c r="L81" i="1"/>
  <c r="Q80" i="1"/>
  <c r="AG80" i="1" s="1"/>
  <c r="L80" i="1"/>
  <c r="F80" i="1"/>
  <c r="Q79" i="1"/>
  <c r="AG79" i="1" s="1"/>
  <c r="L79" i="1"/>
  <c r="Q78" i="1"/>
  <c r="AG78" i="1" s="1"/>
  <c r="L78" i="1"/>
  <c r="Q77" i="1"/>
  <c r="AG77" i="1" s="1"/>
  <c r="L77" i="1"/>
  <c r="Q76" i="1"/>
  <c r="AG76" i="1" s="1"/>
  <c r="L76" i="1"/>
  <c r="Q75" i="1"/>
  <c r="AG75" i="1" s="1"/>
  <c r="L75" i="1"/>
  <c r="Q74" i="1"/>
  <c r="AG74" i="1" s="1"/>
  <c r="L74" i="1"/>
  <c r="Q73" i="1"/>
  <c r="AG73" i="1" s="1"/>
  <c r="L73" i="1"/>
  <c r="Q72" i="1"/>
  <c r="AG72" i="1" s="1"/>
  <c r="L72" i="1"/>
  <c r="Q71" i="1"/>
  <c r="AG71" i="1" s="1"/>
  <c r="L71" i="1"/>
  <c r="Q70" i="1"/>
  <c r="AG70" i="1" s="1"/>
  <c r="L70" i="1"/>
  <c r="F70" i="1"/>
  <c r="X70" i="1" s="1"/>
  <c r="Q69" i="1"/>
  <c r="AG69" i="1" s="1"/>
  <c r="L69" i="1"/>
  <c r="Q68" i="1"/>
  <c r="L68" i="1"/>
  <c r="Q67" i="1"/>
  <c r="L67" i="1"/>
  <c r="Q66" i="1"/>
  <c r="L66" i="1"/>
  <c r="Q65" i="1"/>
  <c r="AG65" i="1" s="1"/>
  <c r="L65" i="1"/>
  <c r="Q64" i="1"/>
  <c r="L64" i="1"/>
  <c r="Q63" i="1"/>
  <c r="AG63" i="1" s="1"/>
  <c r="L63" i="1"/>
  <c r="Q62" i="1"/>
  <c r="L62" i="1"/>
  <c r="Q61" i="1"/>
  <c r="AG61" i="1" s="1"/>
  <c r="L61" i="1"/>
  <c r="Q60" i="1"/>
  <c r="L60" i="1"/>
  <c r="Q59" i="1"/>
  <c r="AG59" i="1" s="1"/>
  <c r="L59" i="1"/>
  <c r="Q58" i="1"/>
  <c r="L58" i="1"/>
  <c r="Q57" i="1"/>
  <c r="AG57" i="1" s="1"/>
  <c r="L57" i="1"/>
  <c r="Q56" i="1"/>
  <c r="L56" i="1"/>
  <c r="Q55" i="1"/>
  <c r="AG55" i="1" s="1"/>
  <c r="L55" i="1"/>
  <c r="Q54" i="1"/>
  <c r="L54" i="1"/>
  <c r="Q53" i="1"/>
  <c r="AG53" i="1" s="1"/>
  <c r="L53" i="1"/>
  <c r="Q52" i="1"/>
  <c r="L52" i="1"/>
  <c r="Q51" i="1"/>
  <c r="L51" i="1"/>
  <c r="Q50" i="1"/>
  <c r="L50" i="1"/>
  <c r="Q49" i="1"/>
  <c r="AG49" i="1" s="1"/>
  <c r="L49" i="1"/>
  <c r="Q48" i="1"/>
  <c r="L48" i="1"/>
  <c r="Q47" i="1"/>
  <c r="AG47" i="1" s="1"/>
  <c r="L47" i="1"/>
  <c r="Q46" i="1"/>
  <c r="L46" i="1"/>
  <c r="Q45" i="1"/>
  <c r="AG45" i="1" s="1"/>
  <c r="L45" i="1"/>
  <c r="Q44" i="1"/>
  <c r="AG44" i="1" s="1"/>
  <c r="L44" i="1"/>
  <c r="Q43" i="1"/>
  <c r="AG43" i="1" s="1"/>
  <c r="L43" i="1"/>
  <c r="Q42" i="1"/>
  <c r="L42" i="1"/>
  <c r="Q41" i="1"/>
  <c r="AG41" i="1" s="1"/>
  <c r="L41" i="1"/>
  <c r="Q40" i="1"/>
  <c r="L40" i="1"/>
  <c r="Q39" i="1"/>
  <c r="AG39" i="1" s="1"/>
  <c r="L39" i="1"/>
  <c r="Q38" i="1"/>
  <c r="L38" i="1"/>
  <c r="Q37" i="1"/>
  <c r="L37" i="1"/>
  <c r="Q36" i="1"/>
  <c r="L36" i="1"/>
  <c r="Q35" i="1"/>
  <c r="L35" i="1"/>
  <c r="Q34" i="1"/>
  <c r="AG34" i="1" s="1"/>
  <c r="L34" i="1"/>
  <c r="Q33" i="1"/>
  <c r="AG33" i="1" s="1"/>
  <c r="L33" i="1"/>
  <c r="Q32" i="1"/>
  <c r="AG32" i="1" s="1"/>
  <c r="L32" i="1"/>
  <c r="Q31" i="1"/>
  <c r="L31" i="1"/>
  <c r="Q30" i="1"/>
  <c r="AG30" i="1" s="1"/>
  <c r="L30" i="1"/>
  <c r="Q29" i="1"/>
  <c r="AG29" i="1" s="1"/>
  <c r="L29" i="1"/>
  <c r="Q28" i="1"/>
  <c r="AG28" i="1" s="1"/>
  <c r="L28" i="1"/>
  <c r="Q27" i="1"/>
  <c r="AG27" i="1" s="1"/>
  <c r="L27" i="1"/>
  <c r="Q26" i="1"/>
  <c r="AG26" i="1" s="1"/>
  <c r="L26" i="1"/>
  <c r="Q25" i="1"/>
  <c r="AG25" i="1" s="1"/>
  <c r="L25" i="1"/>
  <c r="Q24" i="1"/>
  <c r="AG24" i="1" s="1"/>
  <c r="L24" i="1"/>
  <c r="Q23" i="1"/>
  <c r="AG23" i="1" s="1"/>
  <c r="L23" i="1"/>
  <c r="Q22" i="1"/>
  <c r="AG22" i="1" s="1"/>
  <c r="L22" i="1"/>
  <c r="Q21" i="1"/>
  <c r="AG21" i="1" s="1"/>
  <c r="L21" i="1"/>
  <c r="Q20" i="1"/>
  <c r="AG20" i="1" s="1"/>
  <c r="L20" i="1"/>
  <c r="Q19" i="1"/>
  <c r="AG19" i="1" s="1"/>
  <c r="L19" i="1"/>
  <c r="Q18" i="1"/>
  <c r="AG18" i="1" s="1"/>
  <c r="L18" i="1"/>
  <c r="Q17" i="1"/>
  <c r="AG17" i="1" s="1"/>
  <c r="L17" i="1"/>
  <c r="Q16" i="1"/>
  <c r="AG16" i="1" s="1"/>
  <c r="L16" i="1"/>
  <c r="Q15" i="1"/>
  <c r="AG15" i="1" s="1"/>
  <c r="L15" i="1"/>
  <c r="Q14" i="1"/>
  <c r="AG14" i="1" s="1"/>
  <c r="L14" i="1"/>
  <c r="Q13" i="1"/>
  <c r="L13" i="1"/>
  <c r="Q12" i="1"/>
  <c r="AG12" i="1" s="1"/>
  <c r="L12" i="1"/>
  <c r="Q11" i="1"/>
  <c r="AG11" i="1" s="1"/>
  <c r="L11" i="1"/>
  <c r="Q10" i="1"/>
  <c r="AG10" i="1" s="1"/>
  <c r="L10" i="1"/>
  <c r="Q9" i="1"/>
  <c r="AG9" i="1" s="1"/>
  <c r="L9" i="1"/>
  <c r="Q8" i="1"/>
  <c r="AG8" i="1" s="1"/>
  <c r="L8" i="1"/>
  <c r="Q7" i="1"/>
  <c r="AG7" i="1" s="1"/>
  <c r="L7" i="1"/>
  <c r="Q6" i="1"/>
  <c r="AG6" i="1" s="1"/>
  <c r="L6" i="1"/>
  <c r="AC5" i="1"/>
  <c r="AB5" i="1"/>
  <c r="AA5" i="1"/>
  <c r="Z5" i="1"/>
  <c r="Y5" i="1"/>
  <c r="U5" i="1"/>
  <c r="P5" i="1"/>
  <c r="O5" i="1"/>
  <c r="N5" i="1"/>
  <c r="M5" i="1"/>
  <c r="K5" i="1"/>
  <c r="X97" i="1" l="1"/>
  <c r="W98" i="1"/>
  <c r="AG98" i="1"/>
  <c r="X40" i="1"/>
  <c r="AG40" i="1"/>
  <c r="X50" i="1"/>
  <c r="AG50" i="1"/>
  <c r="X60" i="1"/>
  <c r="AG60" i="1"/>
  <c r="X68" i="1"/>
  <c r="AG68" i="1"/>
  <c r="R51" i="1"/>
  <c r="AG51" i="1"/>
  <c r="X42" i="1"/>
  <c r="AG42" i="1"/>
  <c r="X52" i="1"/>
  <c r="AG52" i="1"/>
  <c r="X62" i="1"/>
  <c r="AG62" i="1"/>
  <c r="X91" i="1"/>
  <c r="AG91" i="1"/>
  <c r="X58" i="1"/>
  <c r="AG58" i="1"/>
  <c r="X54" i="1"/>
  <c r="AG54" i="1"/>
  <c r="X64" i="1"/>
  <c r="AG64" i="1"/>
  <c r="X48" i="1"/>
  <c r="AG48" i="1"/>
  <c r="X38" i="1"/>
  <c r="AG38" i="1"/>
  <c r="R31" i="1"/>
  <c r="AG31" i="1"/>
  <c r="X36" i="1"/>
  <c r="AG36" i="1"/>
  <c r="X46" i="1"/>
  <c r="AG46" i="1"/>
  <c r="X56" i="1"/>
  <c r="AG56" i="1"/>
  <c r="X66" i="1"/>
  <c r="AG66" i="1"/>
  <c r="R13" i="1"/>
  <c r="AG13" i="1"/>
  <c r="R35" i="1"/>
  <c r="AG35" i="1"/>
  <c r="R37" i="1"/>
  <c r="AG37" i="1"/>
  <c r="R67" i="1"/>
  <c r="AG67" i="1"/>
  <c r="X44" i="1"/>
  <c r="R44" i="1"/>
  <c r="L5" i="1"/>
  <c r="F5" i="1"/>
  <c r="X8" i="1"/>
  <c r="R8" i="1"/>
  <c r="X10" i="1"/>
  <c r="R10" i="1"/>
  <c r="X16" i="1"/>
  <c r="R16" i="1"/>
  <c r="X18" i="1"/>
  <c r="R18" i="1"/>
  <c r="R21" i="1"/>
  <c r="X24" i="1"/>
  <c r="X26" i="1"/>
  <c r="R26" i="1"/>
  <c r="R27" i="1"/>
  <c r="X32" i="1"/>
  <c r="X34" i="1"/>
  <c r="R34" i="1"/>
  <c r="R70" i="1"/>
  <c r="X72" i="1"/>
  <c r="R72" i="1"/>
  <c r="R73" i="1"/>
  <c r="W75" i="1"/>
  <c r="X78" i="1"/>
  <c r="R78" i="1"/>
  <c r="X81" i="1"/>
  <c r="X83" i="1"/>
  <c r="R83" i="1"/>
  <c r="X85" i="1"/>
  <c r="X87" i="1"/>
  <c r="X89" i="1"/>
  <c r="R89" i="1"/>
  <c r="X92" i="1"/>
  <c r="R93" i="1"/>
  <c r="W95" i="1"/>
  <c r="X100" i="1"/>
  <c r="R100" i="1"/>
  <c r="X102" i="1"/>
  <c r="E5" i="1"/>
  <c r="X6" i="1"/>
  <c r="R6" i="1"/>
  <c r="R7" i="1"/>
  <c r="R9" i="1"/>
  <c r="X12" i="1"/>
  <c r="R12" i="1"/>
  <c r="X14" i="1"/>
  <c r="W15" i="1"/>
  <c r="R17" i="1"/>
  <c r="X20" i="1"/>
  <c r="R20" i="1"/>
  <c r="X22" i="1"/>
  <c r="R22" i="1"/>
  <c r="R23" i="1"/>
  <c r="R25" i="1"/>
  <c r="X28" i="1"/>
  <c r="R28" i="1"/>
  <c r="X30" i="1"/>
  <c r="R33" i="1"/>
  <c r="X37" i="1"/>
  <c r="R38" i="1"/>
  <c r="X39" i="1"/>
  <c r="R39" i="1"/>
  <c r="W40" i="1"/>
  <c r="X41" i="1"/>
  <c r="W42" i="1"/>
  <c r="X43" i="1"/>
  <c r="X45" i="1"/>
  <c r="R45" i="1"/>
  <c r="W46" i="1"/>
  <c r="X47" i="1"/>
  <c r="W48" i="1"/>
  <c r="X49" i="1"/>
  <c r="R49" i="1"/>
  <c r="W50" i="1"/>
  <c r="X51" i="1"/>
  <c r="W52" i="1"/>
  <c r="X53" i="1"/>
  <c r="W54" i="1"/>
  <c r="X55" i="1"/>
  <c r="W56" i="1"/>
  <c r="X57" i="1"/>
  <c r="X59" i="1"/>
  <c r="W60" i="1"/>
  <c r="X61" i="1"/>
  <c r="R61" i="1"/>
  <c r="W62" i="1"/>
  <c r="X63" i="1"/>
  <c r="W64" i="1"/>
  <c r="X65" i="1"/>
  <c r="W66" i="1"/>
  <c r="X67" i="1"/>
  <c r="W68" i="1"/>
  <c r="X69" i="1"/>
  <c r="W71" i="1"/>
  <c r="X74" i="1"/>
  <c r="R74" i="1"/>
  <c r="X76" i="1"/>
  <c r="R77" i="1"/>
  <c r="W80" i="1"/>
  <c r="R82" i="1"/>
  <c r="R84" i="1"/>
  <c r="R86" i="1"/>
  <c r="W88" i="1"/>
  <c r="R90" i="1"/>
  <c r="X94" i="1"/>
  <c r="X96" i="1"/>
  <c r="R99" i="1"/>
  <c r="W103" i="1"/>
  <c r="W105" i="1"/>
  <c r="W24" i="1"/>
  <c r="W32" i="1"/>
  <c r="W36" i="1"/>
  <c r="X80" i="1"/>
  <c r="W81" i="1"/>
  <c r="X82" i="1"/>
  <c r="X84" i="1"/>
  <c r="W85" i="1"/>
  <c r="X86" i="1"/>
  <c r="W87" i="1"/>
  <c r="X88" i="1"/>
  <c r="X90" i="1"/>
  <c r="W91" i="1"/>
  <c r="W97" i="1"/>
  <c r="X98" i="1"/>
  <c r="Q101" i="1"/>
  <c r="W102" i="1"/>
  <c r="X103" i="1"/>
  <c r="W104" i="1"/>
  <c r="W106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71" i="1"/>
  <c r="X73" i="1"/>
  <c r="X75" i="1"/>
  <c r="X77" i="1"/>
  <c r="X79" i="1"/>
  <c r="X93" i="1"/>
  <c r="X95" i="1"/>
  <c r="X99" i="1"/>
  <c r="Q5" i="1" l="1"/>
  <c r="AG101" i="1"/>
  <c r="AG5" i="1" s="1"/>
  <c r="W89" i="1"/>
  <c r="W83" i="1"/>
  <c r="W78" i="1"/>
  <c r="W12" i="1"/>
  <c r="W94" i="1"/>
  <c r="W58" i="1"/>
  <c r="W44" i="1"/>
  <c r="W38" i="1"/>
  <c r="W33" i="1"/>
  <c r="W31" i="1"/>
  <c r="W70" i="1"/>
  <c r="W16" i="1"/>
  <c r="W8" i="1"/>
  <c r="W73" i="1"/>
  <c r="W74" i="1"/>
  <c r="W28" i="1"/>
  <c r="W20" i="1"/>
  <c r="W99" i="1"/>
  <c r="W100" i="1"/>
  <c r="W90" i="1"/>
  <c r="W86" i="1"/>
  <c r="W84" i="1"/>
  <c r="W82" i="1"/>
  <c r="W79" i="1"/>
  <c r="W77" i="1"/>
  <c r="W25" i="1"/>
  <c r="W23" i="1"/>
  <c r="W17" i="1"/>
  <c r="W9" i="1"/>
  <c r="W7" i="1"/>
  <c r="W93" i="1"/>
  <c r="W34" i="1"/>
  <c r="W26" i="1"/>
  <c r="W18" i="1"/>
  <c r="W10" i="1"/>
  <c r="W96" i="1"/>
  <c r="W76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0" i="1"/>
  <c r="W22" i="1"/>
  <c r="W14" i="1"/>
  <c r="R5" i="1"/>
  <c r="W6" i="1"/>
  <c r="W92" i="1"/>
  <c r="W72" i="1"/>
  <c r="W35" i="1"/>
  <c r="W29" i="1"/>
  <c r="W27" i="1"/>
  <c r="W21" i="1"/>
  <c r="W19" i="1"/>
  <c r="W13" i="1"/>
  <c r="W11" i="1"/>
  <c r="X101" i="1"/>
  <c r="AE5" i="1" l="1"/>
  <c r="W101" i="1"/>
</calcChain>
</file>

<file path=xl/sharedStrings.xml><?xml version="1.0" encoding="utf-8"?>
<sst xmlns="http://schemas.openxmlformats.org/spreadsheetml/2006/main" count="295" uniqueCount="151">
  <si>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</si>
  <si>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</si>
  <si>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</si>
  <si>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</si>
  <si>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</si>
  <si>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</si>
  <si>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</si>
  <si>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</si>
  <si>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</si>
  <si>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</si>
  <si>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</si>
  <si>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</si>
  <si>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</si>
  <si>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</si>
  <si>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</si>
  <si>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</si>
  <si>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</si>
  <si>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</si>
  <si>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</si>
  <si>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</si>
  <si>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</si>
  <si>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</si>
  <si>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</si>
  <si>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</si>
  <si>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</si>
  <si>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</si>
  <si>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</si>
  <si>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</si>
  <si>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</si>
  <si>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</si>
  <si>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</si>
  <si>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</si>
  <si>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</si>
  <si>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</si>
  <si>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</si>
  <si>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</si>
  <si>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</si>
  <si>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</si>
  <si>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</si>
  <si>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</si>
  <si>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</si>
  <si>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</si>
  <si>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</si>
  <si>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</si>
  <si>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</si>
  <si>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</si>
  <si>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</si>
  <si>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</si>
  <si>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</si>
  <si>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</si>
  <si>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</si>
  <si>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</si>
  <si>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</si>
  <si>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</si>
  <si>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</si>
  <si>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</si>
  <si>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</si>
  <si>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</si>
  <si>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</si>
  <si>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</si>
  <si>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</si>
  <si>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</si>
  <si>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</si>
  <si>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</si>
  <si>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</si>
  <si>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</si>
  <si>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</si>
  <si>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</si>
  <si>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</si>
  <si>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</si>
  <si>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</si>
  <si>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</si>
  <si>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</si>
  <si>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</si>
  <si>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</si>
  <si>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</si>
  <si>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</si>
  <si>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</si>
  <si>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</si>
  <si>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</si>
  <si>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</si>
  <si>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</si>
  <si>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</si>
  <si>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</si>
  <si>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</si>
  <si>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</si>
  <si>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</si>
  <si>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</si>
  <si>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</si>
  <si>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</si>
  <si>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</si>
  <si>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</si>
  <si>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</si>
  <si>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</si>
  <si>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</si>
  <si>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</si>
  <si>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</si>
  <si>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</si>
  <si>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</si>
  <si>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</si>
  <si>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</si>
  <si>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</si>
  <si>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</si>
  <si>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</si>
  <si>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</si>
  <si>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</si>
  <si>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</si>
  <si>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</si>
  <si>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</si>
  <si>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</si>
  <si>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</si>
  <si>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</si>
  <si>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</si>
  <si>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</si>
  <si>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</si>
  <si>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</si>
  <si>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</si>
  <si>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</si>
  <si>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</si>
  <si>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</si>
  <si>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</si>
  <si>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</si>
  <si>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</si>
  <si>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</si>
  <si>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</si>
  <si>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</si>
  <si>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</si>
  <si>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</si>
  <si>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</si>
  <si>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</si>
  <si>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</si>
  <si>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</si>
  <si>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</si>
  <si>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</si>
  <si>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</si>
  <si>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</si>
  <si>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</si>
  <si>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</si>
  <si>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</si>
  <si>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</si>
  <si>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</si>
  <si>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</si>
  <si>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</si>
  <si>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</si>
  <si>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</si>
  <si>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</si>
  <si>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Бер</t>
  </si>
  <si>
    <t>Мар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</si>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</sst>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  <xf numFmtId="0" fontId="0" fillId="0" borderId="1" xfId="0"/>
    <xf numFmtId="164" fontId="1" fillId="7" borderId="2" xfId="1" applyNumberFormat="1" applyFill="1" applyBorder="1"/>
    <xf numFmtId="164" fontId="9" fillId="2" borderId="1" xfId="1" applyNumberFormat="1" applyFont="1" applyFill="1"/>
    <xf numFmtId="164" fontId="7" fillId="0" borderId="1" xfId="1" applyNumberFormat="1" applyFont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41;&#1077;&#1088;&#1076;&#1103;&#1085;&#1089;&#1082;%20&#1086;&#1089;&#1090;%20&#1082;&#1080;%20&#1086;&#1090;%20&#1058;&#1080;&#1090;&#1077;&#1085;&#1082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52;&#1072;&#1088;&#1080;&#1091;&#1087;&#1086;&#1083;&#1100;%20&#1086;&#1089;&#1090;%20&#1082;&#1080;%20&#1086;&#1090;%20&#1058;&#1080;&#1090;&#1077;&#1085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3" customWidth="1"/>
    <col min="21" max="21" width="7" customWidth="1"/>
    <col min="22" max="22" width="21" customWidth="1"/>
    <col min="23" max="24" width="5" customWidth="1"/>
    <col min="25" max="29" width="6" customWidth="1"/>
    <col min="30" max="30" width="32" style="22" customWidth="1"/>
    <col min="31" max="32" width="7" customWidth="1"/>
    <col min="33" max="33" width="6.85546875" customWidth="1"/>
    <col min="34" max="34" width="7.7109375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7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146</v>
      </c>
      <c r="T2" s="1" t="s">
        <v>147</v>
      </c>
      <c r="U2" s="1"/>
      <c r="V2" s="1"/>
      <c r="W2" s="1"/>
      <c r="X2" s="1"/>
      <c r="Y2" s="1"/>
      <c r="Z2" s="1"/>
      <c r="AA2" s="1"/>
      <c r="AB2" s="1"/>
      <c r="AC2" s="1"/>
      <c r="AD2" s="1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5" t="s">
        <v>148</v>
      </c>
      <c r="T3" s="25" t="s">
        <v>148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18" t="s">
        <v>22</v>
      </c>
      <c r="AE3" s="2" t="s">
        <v>23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150</v>
      </c>
      <c r="T4" s="26" t="s">
        <v>149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7"/>
      <c r="AE4" s="1" t="s">
        <v>150</v>
      </c>
      <c r="AF4" s="26" t="s">
        <v>149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U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4590</v>
      </c>
      <c r="T5" s="4">
        <f t="shared" si="0"/>
        <v>4551</v>
      </c>
      <c r="U5" s="4">
        <f t="shared" si="0"/>
        <v>0</v>
      </c>
      <c r="V5" s="1"/>
      <c r="W5" s="1"/>
      <c r="X5" s="1"/>
      <c r="Y5" s="4">
        <f>SUM(Y6:Y497)</f>
        <v>2441.1203999999993</v>
      </c>
      <c r="Z5" s="4">
        <f>SUM(Z6:Z497)</f>
        <v>2256.1319999999996</v>
      </c>
      <c r="AA5" s="4">
        <f>SUM(AA6:AA497)</f>
        <v>2417.159000000001</v>
      </c>
      <c r="AB5" s="4">
        <f>SUM(AB6:AB497)</f>
        <v>2205.0889999999999</v>
      </c>
      <c r="AC5" s="4">
        <f>SUM(AC6:AC497)</f>
        <v>2316.4051999999992</v>
      </c>
      <c r="AD5" s="17"/>
      <c r="AE5" s="4">
        <f>SUM(AE6:AE497)</f>
        <v>2245.4899999999998</v>
      </c>
      <c r="AF5" s="4">
        <f>SUM(AF6:AF497)</f>
        <v>2206.4899999999998</v>
      </c>
      <c r="AG5" s="4">
        <f>SUM(AG6:AG497)</f>
        <v>1058.3230000000001</v>
      </c>
      <c r="AH5" s="4">
        <f t="shared" ref="AH5" si="1">SUM(AH6:AH497)</f>
        <v>3009.8149999999996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2">E6-K6</f>
        <v>-14</v>
      </c>
      <c r="M6" s="1"/>
      <c r="N6" s="1"/>
      <c r="O6" s="1"/>
      <c r="P6" s="1"/>
      <c r="Q6" s="1">
        <f t="shared" ref="Q6:Q37" si="3">E6/5</f>
        <v>46.6</v>
      </c>
      <c r="R6" s="5">
        <f>14*Q6-P6-O6-F6</f>
        <v>320.39999999999998</v>
      </c>
      <c r="S6" s="5">
        <f>VLOOKUP(A6,[1]Sheet!$A:$S,19,0)</f>
        <v>160</v>
      </c>
      <c r="T6" s="5">
        <f>VLOOKUP(A6,[2]Sheet!$A:$S,19,0)</f>
        <v>160</v>
      </c>
      <c r="U6" s="5"/>
      <c r="V6" s="1"/>
      <c r="W6" s="1">
        <f t="shared" ref="W6:W37" si="4">(F6+O6+P6+R6)/Q6</f>
        <v>13.999999999999998</v>
      </c>
      <c r="X6" s="1">
        <f t="shared" ref="X6:X37" si="5">(F6+O6+P6)/Q6</f>
        <v>7.1244635193133048</v>
      </c>
      <c r="Y6" s="1">
        <v>37.799999999999997</v>
      </c>
      <c r="Z6" s="1">
        <v>41</v>
      </c>
      <c r="AA6" s="1">
        <v>57.8</v>
      </c>
      <c r="AB6" s="1">
        <v>39.6</v>
      </c>
      <c r="AC6" s="1">
        <v>53.6</v>
      </c>
      <c r="AD6" s="17"/>
      <c r="AE6" s="1">
        <f>G6*S6</f>
        <v>64</v>
      </c>
      <c r="AF6" s="1">
        <f>G6*T6</f>
        <v>64</v>
      </c>
      <c r="AG6" s="1">
        <f>Q6*G6</f>
        <v>18.64</v>
      </c>
      <c r="AH6" s="1">
        <f>P6*G6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2"/>
        <v>-2.9220000000000006</v>
      </c>
      <c r="M7" s="1"/>
      <c r="N7" s="1"/>
      <c r="O7" s="1"/>
      <c r="P7" s="1"/>
      <c r="Q7" s="1">
        <f t="shared" si="3"/>
        <v>4.5156000000000001</v>
      </c>
      <c r="R7" s="5">
        <f t="shared" ref="R7:R34" si="6">14*Q7-P7-O7-F7</f>
        <v>34.243400000000001</v>
      </c>
      <c r="S7" s="5">
        <f>VLOOKUP(A7,[1]Sheet!$A:$S,19,0)</f>
        <v>15</v>
      </c>
      <c r="T7" s="5">
        <f>VLOOKUP(A7,[2]Sheet!$A:$S,19,0)</f>
        <v>15</v>
      </c>
      <c r="U7" s="5"/>
      <c r="V7" s="1"/>
      <c r="W7" s="1">
        <f t="shared" si="4"/>
        <v>14</v>
      </c>
      <c r="X7" s="1">
        <f t="shared" si="5"/>
        <v>6.4166445212153427</v>
      </c>
      <c r="Y7" s="1">
        <v>3.8104</v>
      </c>
      <c r="Z7" s="1">
        <v>3.2134</v>
      </c>
      <c r="AA7" s="1">
        <v>4.6890000000000001</v>
      </c>
      <c r="AB7" s="1">
        <v>1.9738</v>
      </c>
      <c r="AC7" s="1">
        <v>2.7652000000000001</v>
      </c>
      <c r="AD7" s="17"/>
      <c r="AE7" s="1">
        <f t="shared" ref="AE7:AE70" si="7">G7*S7</f>
        <v>15</v>
      </c>
      <c r="AF7" s="1">
        <f t="shared" ref="AF7:AF70" si="8">G7*T7</f>
        <v>15</v>
      </c>
      <c r="AG7" s="1">
        <f t="shared" ref="AG7:AG70" si="9">Q7*G7</f>
        <v>4.5156000000000001</v>
      </c>
      <c r="AH7" s="1">
        <f t="shared" ref="AH7:AH70" si="10">P7*G7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2"/>
        <v>-42</v>
      </c>
      <c r="M8" s="1"/>
      <c r="N8" s="1"/>
      <c r="O8" s="27">
        <v>75</v>
      </c>
      <c r="P8" s="1">
        <v>60</v>
      </c>
      <c r="Q8" s="1">
        <f t="shared" si="3"/>
        <v>25.4</v>
      </c>
      <c r="R8" s="5">
        <f t="shared" si="6"/>
        <v>102.59999999999997</v>
      </c>
      <c r="S8" s="5">
        <f>VLOOKUP(A8,[1]Sheet!$A:$S,19,0)</f>
        <v>60</v>
      </c>
      <c r="T8" s="5">
        <f>VLOOKUP(A8,[2]Sheet!$A:$S,19,0)</f>
        <v>60</v>
      </c>
      <c r="U8" s="5"/>
      <c r="V8" s="1"/>
      <c r="W8" s="1">
        <f t="shared" si="4"/>
        <v>14</v>
      </c>
      <c r="X8" s="1">
        <f t="shared" si="5"/>
        <v>9.9606299212598426</v>
      </c>
      <c r="Y8" s="1">
        <v>25</v>
      </c>
      <c r="Z8" s="1">
        <v>28.6</v>
      </c>
      <c r="AA8" s="1">
        <v>35.799999999999997</v>
      </c>
      <c r="AB8" s="1">
        <v>26.8</v>
      </c>
      <c r="AC8" s="1">
        <v>30.8</v>
      </c>
      <c r="AD8" s="17"/>
      <c r="AE8" s="1">
        <f t="shared" si="7"/>
        <v>15</v>
      </c>
      <c r="AF8" s="1">
        <f t="shared" si="8"/>
        <v>15</v>
      </c>
      <c r="AG8" s="1">
        <f t="shared" si="9"/>
        <v>6.35</v>
      </c>
      <c r="AH8" s="1">
        <f t="shared" si="10"/>
        <v>15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2"/>
        <v>3.7669999999999959</v>
      </c>
      <c r="M9" s="1"/>
      <c r="N9" s="1"/>
      <c r="O9" s="1">
        <v>75</v>
      </c>
      <c r="P9" s="1">
        <v>65</v>
      </c>
      <c r="Q9" s="1">
        <f t="shared" si="3"/>
        <v>46.833399999999997</v>
      </c>
      <c r="R9" s="5">
        <f t="shared" si="6"/>
        <v>269.17259999999999</v>
      </c>
      <c r="S9" s="5">
        <f>VLOOKUP(A9,[1]Sheet!$A:$S,19,0)</f>
        <v>180</v>
      </c>
      <c r="T9" s="5">
        <f>VLOOKUP(A9,[2]Sheet!$A:$S,19,0)</f>
        <v>180</v>
      </c>
      <c r="U9" s="5"/>
      <c r="V9" s="1"/>
      <c r="W9" s="1">
        <f t="shared" si="4"/>
        <v>14</v>
      </c>
      <c r="X9" s="1">
        <f t="shared" si="5"/>
        <v>8.2525505301771815</v>
      </c>
      <c r="Y9" s="1">
        <v>41.058800000000012</v>
      </c>
      <c r="Z9" s="1">
        <v>45.109200000000001</v>
      </c>
      <c r="AA9" s="1">
        <v>45.118600000000001</v>
      </c>
      <c r="AB9" s="1">
        <v>37.232399999999998</v>
      </c>
      <c r="AC9" s="1">
        <v>55.194800000000001</v>
      </c>
      <c r="AD9" s="17"/>
      <c r="AE9" s="1">
        <f t="shared" si="7"/>
        <v>180</v>
      </c>
      <c r="AF9" s="1">
        <f t="shared" si="8"/>
        <v>180</v>
      </c>
      <c r="AG9" s="1">
        <f t="shared" si="9"/>
        <v>46.833399999999997</v>
      </c>
      <c r="AH9" s="1">
        <f t="shared" si="10"/>
        <v>65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2"/>
        <v>-3.6199999999999992</v>
      </c>
      <c r="M10" s="1"/>
      <c r="N10" s="1"/>
      <c r="O10" s="1">
        <v>0</v>
      </c>
      <c r="P10" s="1">
        <v>0</v>
      </c>
      <c r="Q10" s="1">
        <f t="shared" si="3"/>
        <v>3.0775999999999999</v>
      </c>
      <c r="R10" s="24">
        <f t="shared" si="6"/>
        <v>18.398399999999999</v>
      </c>
      <c r="S10" s="24">
        <v>18</v>
      </c>
      <c r="T10" s="5">
        <f>VLOOKUP(A10,[2]Sheet!$A:$S,19,0)</f>
        <v>0</v>
      </c>
      <c r="U10" s="5"/>
      <c r="V10" s="1"/>
      <c r="W10" s="1">
        <f t="shared" si="4"/>
        <v>14</v>
      </c>
      <c r="X10" s="1">
        <f t="shared" si="5"/>
        <v>8.0218351962568235</v>
      </c>
      <c r="Y10" s="1">
        <v>3.7627999999999999</v>
      </c>
      <c r="Z10" s="1">
        <v>3.2604000000000002</v>
      </c>
      <c r="AA10" s="1">
        <v>4.3255999999999997</v>
      </c>
      <c r="AB10" s="1">
        <v>2.0802</v>
      </c>
      <c r="AC10" s="1">
        <v>1.2904</v>
      </c>
      <c r="AD10" s="17"/>
      <c r="AE10" s="1">
        <f t="shared" si="7"/>
        <v>18</v>
      </c>
      <c r="AF10" s="1">
        <f t="shared" si="8"/>
        <v>0</v>
      </c>
      <c r="AG10" s="1">
        <f t="shared" si="9"/>
        <v>3.0775999999999999</v>
      </c>
      <c r="AH10" s="1">
        <f t="shared" si="10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2"/>
        <v>1.1490000000000009</v>
      </c>
      <c r="M11" s="1"/>
      <c r="N11" s="1"/>
      <c r="O11" s="1">
        <v>0</v>
      </c>
      <c r="P11" s="1">
        <v>0</v>
      </c>
      <c r="Q11" s="1">
        <f t="shared" si="3"/>
        <v>3.2698</v>
      </c>
      <c r="R11" s="5"/>
      <c r="S11" s="5">
        <f>VLOOKUP(A11,[1]Sheet!$A:$S,19,0)</f>
        <v>0</v>
      </c>
      <c r="T11" s="5">
        <f>VLOOKUP(A11,[2]Sheet!$A:$S,19,0)</f>
        <v>0</v>
      </c>
      <c r="U11" s="5"/>
      <c r="V11" s="1"/>
      <c r="W11" s="1">
        <f t="shared" si="4"/>
        <v>34.352559789589577</v>
      </c>
      <c r="X11" s="1">
        <f t="shared" si="5"/>
        <v>34.352559789589577</v>
      </c>
      <c r="Y11" s="1">
        <v>7.4385999999999992</v>
      </c>
      <c r="Z11" s="1">
        <v>9.5047999999999995</v>
      </c>
      <c r="AA11" s="1">
        <v>11.0764</v>
      </c>
      <c r="AB11" s="1">
        <v>9.4778000000000002</v>
      </c>
      <c r="AC11" s="1">
        <v>9.4993999999999996</v>
      </c>
      <c r="AD11" s="17"/>
      <c r="AE11" s="1">
        <f t="shared" si="7"/>
        <v>0</v>
      </c>
      <c r="AF11" s="1">
        <f t="shared" si="8"/>
        <v>0</v>
      </c>
      <c r="AG11" s="1">
        <f t="shared" si="9"/>
        <v>3.2698</v>
      </c>
      <c r="AH11" s="1">
        <f t="shared" si="10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2"/>
        <v>1.3119999999999834</v>
      </c>
      <c r="M12" s="1"/>
      <c r="N12" s="1"/>
      <c r="O12" s="27">
        <v>210</v>
      </c>
      <c r="P12" s="1">
        <v>150</v>
      </c>
      <c r="Q12" s="1">
        <f t="shared" si="3"/>
        <v>49.622399999999999</v>
      </c>
      <c r="R12" s="5">
        <f t="shared" si="6"/>
        <v>231.28760000000005</v>
      </c>
      <c r="S12" s="5">
        <f>VLOOKUP(A12,[1]Sheet!$A:$S,19,0)</f>
        <v>150</v>
      </c>
      <c r="T12" s="5">
        <f>VLOOKUP(A12,[2]Sheet!$A:$S,19,0)</f>
        <v>150</v>
      </c>
      <c r="U12" s="5"/>
      <c r="V12" s="1"/>
      <c r="W12" s="1">
        <f t="shared" si="4"/>
        <v>14.000000000000002</v>
      </c>
      <c r="X12" s="1">
        <f t="shared" si="5"/>
        <v>9.3390484942284129</v>
      </c>
      <c r="Y12" s="1">
        <v>48.169400000000003</v>
      </c>
      <c r="Z12" s="1">
        <v>38.220799999999997</v>
      </c>
      <c r="AA12" s="1">
        <v>50.7136</v>
      </c>
      <c r="AB12" s="1">
        <v>32.896999999999998</v>
      </c>
      <c r="AC12" s="1">
        <v>47.341200000000001</v>
      </c>
      <c r="AD12" s="17"/>
      <c r="AE12" s="1">
        <f t="shared" si="7"/>
        <v>150</v>
      </c>
      <c r="AF12" s="1">
        <f t="shared" si="8"/>
        <v>150</v>
      </c>
      <c r="AG12" s="1">
        <f t="shared" si="9"/>
        <v>49.622399999999999</v>
      </c>
      <c r="AH12" s="1">
        <f t="shared" si="10"/>
        <v>150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2"/>
        <v>-17</v>
      </c>
      <c r="M13" s="1"/>
      <c r="N13" s="1"/>
      <c r="O13" s="1">
        <v>0</v>
      </c>
      <c r="P13" s="1">
        <v>0</v>
      </c>
      <c r="Q13" s="1">
        <f t="shared" si="3"/>
        <v>43.8</v>
      </c>
      <c r="R13" s="5">
        <f>12*Q13-P13-O13-F13</f>
        <v>414.59999999999991</v>
      </c>
      <c r="S13" s="5">
        <f>VLOOKUP(A13,[1]Sheet!$A:$S,19,0)</f>
        <v>220</v>
      </c>
      <c r="T13" s="5">
        <f>VLOOKUP(A13,[2]Sheet!$A:$S,19,0)</f>
        <v>220</v>
      </c>
      <c r="U13" s="5"/>
      <c r="V13" s="1"/>
      <c r="W13" s="1">
        <f t="shared" si="4"/>
        <v>11.999999999999998</v>
      </c>
      <c r="X13" s="1">
        <f t="shared" si="5"/>
        <v>2.5342465753424661</v>
      </c>
      <c r="Y13" s="1">
        <v>21.4</v>
      </c>
      <c r="Z13" s="1">
        <v>28.2</v>
      </c>
      <c r="AA13" s="1">
        <v>28.2</v>
      </c>
      <c r="AB13" s="1">
        <v>22.6</v>
      </c>
      <c r="AC13" s="1">
        <v>16.8</v>
      </c>
      <c r="AD13" s="17"/>
      <c r="AE13" s="1">
        <f t="shared" si="7"/>
        <v>55</v>
      </c>
      <c r="AF13" s="1">
        <f t="shared" si="8"/>
        <v>55</v>
      </c>
      <c r="AG13" s="1">
        <f t="shared" si="9"/>
        <v>10.95</v>
      </c>
      <c r="AH13" s="1">
        <f t="shared" si="10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2"/>
        <v>0</v>
      </c>
      <c r="M14" s="10"/>
      <c r="N14" s="10"/>
      <c r="O14" s="10">
        <v>0</v>
      </c>
      <c r="P14" s="10">
        <v>0</v>
      </c>
      <c r="Q14" s="10">
        <f t="shared" si="3"/>
        <v>0</v>
      </c>
      <c r="R14" s="12"/>
      <c r="S14" s="5">
        <f>VLOOKUP(A14,[1]Sheet!$A:$S,19,0)</f>
        <v>0</v>
      </c>
      <c r="T14" s="5">
        <f>VLOOKUP(A14,[2]Sheet!$A:$S,19,0)</f>
        <v>0</v>
      </c>
      <c r="U14" s="12"/>
      <c r="V14" s="10"/>
      <c r="W14" s="10" t="e">
        <f t="shared" si="4"/>
        <v>#DIV/0!</v>
      </c>
      <c r="X14" s="10" t="e">
        <f t="shared" si="5"/>
        <v>#DIV/0!</v>
      </c>
      <c r="Y14" s="10">
        <v>-0.1348</v>
      </c>
      <c r="Z14" s="10">
        <v>0</v>
      </c>
      <c r="AA14" s="10">
        <v>0</v>
      </c>
      <c r="AB14" s="10">
        <v>0</v>
      </c>
      <c r="AC14" s="10">
        <v>0</v>
      </c>
      <c r="AD14" s="19"/>
      <c r="AE14" s="1">
        <f t="shared" si="7"/>
        <v>0</v>
      </c>
      <c r="AF14" s="1">
        <f t="shared" si="8"/>
        <v>0</v>
      </c>
      <c r="AG14" s="1">
        <f t="shared" si="9"/>
        <v>0</v>
      </c>
      <c r="AH14" s="1">
        <f t="shared" si="10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2"/>
        <v>-8.1649999999999991</v>
      </c>
      <c r="M15" s="1"/>
      <c r="N15" s="1"/>
      <c r="O15" s="1">
        <v>0</v>
      </c>
      <c r="P15" s="1">
        <v>0</v>
      </c>
      <c r="Q15" s="1">
        <f t="shared" si="3"/>
        <v>11.567</v>
      </c>
      <c r="R15" s="5"/>
      <c r="S15" s="5">
        <f>VLOOKUP(A15,[1]Sheet!$A:$S,19,0)</f>
        <v>0</v>
      </c>
      <c r="T15" s="5">
        <f>VLOOKUP(A15,[2]Sheet!$A:$S,19,0)</f>
        <v>0</v>
      </c>
      <c r="U15" s="5"/>
      <c r="V15" s="1"/>
      <c r="W15" s="1">
        <f t="shared" si="4"/>
        <v>18.555027232644594</v>
      </c>
      <c r="X15" s="1">
        <f t="shared" si="5"/>
        <v>18.555027232644594</v>
      </c>
      <c r="Y15" s="1">
        <v>18.520600000000002</v>
      </c>
      <c r="Z15" s="1">
        <v>24.869800000000001</v>
      </c>
      <c r="AA15" s="1">
        <v>20.437999999999999</v>
      </c>
      <c r="AB15" s="1">
        <v>13.4084</v>
      </c>
      <c r="AC15" s="1">
        <v>20.625</v>
      </c>
      <c r="AD15" s="17"/>
      <c r="AE15" s="1">
        <f t="shared" si="7"/>
        <v>0</v>
      </c>
      <c r="AF15" s="1">
        <f t="shared" si="8"/>
        <v>0</v>
      </c>
      <c r="AG15" s="1">
        <f t="shared" si="9"/>
        <v>11.567</v>
      </c>
      <c r="AH15" s="1">
        <f t="shared" si="10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2"/>
        <v>-15</v>
      </c>
      <c r="M16" s="1"/>
      <c r="N16" s="1"/>
      <c r="O16" s="1">
        <v>7.5</v>
      </c>
      <c r="P16" s="1">
        <v>7.5</v>
      </c>
      <c r="Q16" s="1">
        <f t="shared" si="3"/>
        <v>30.4</v>
      </c>
      <c r="R16" s="5">
        <f t="shared" si="6"/>
        <v>249.59999999999997</v>
      </c>
      <c r="S16" s="5">
        <f>VLOOKUP(A16,[1]Sheet!$A:$S,19,0)</f>
        <v>125</v>
      </c>
      <c r="T16" s="5">
        <f>VLOOKUP(A16,[2]Sheet!$A:$S,19,0)</f>
        <v>125</v>
      </c>
      <c r="U16" s="5"/>
      <c r="V16" s="1"/>
      <c r="W16" s="1">
        <f t="shared" si="4"/>
        <v>14</v>
      </c>
      <c r="X16" s="1">
        <f t="shared" si="5"/>
        <v>5.7894736842105265</v>
      </c>
      <c r="Y16" s="1">
        <v>24.4</v>
      </c>
      <c r="Z16" s="1">
        <v>28.8</v>
      </c>
      <c r="AA16" s="1">
        <v>23.2</v>
      </c>
      <c r="AB16" s="1">
        <v>23</v>
      </c>
      <c r="AC16" s="1">
        <v>35.6</v>
      </c>
      <c r="AD16" s="17"/>
      <c r="AE16" s="1">
        <f t="shared" si="7"/>
        <v>31.25</v>
      </c>
      <c r="AF16" s="1">
        <f t="shared" si="8"/>
        <v>31.25</v>
      </c>
      <c r="AG16" s="1">
        <f t="shared" si="9"/>
        <v>7.6</v>
      </c>
      <c r="AH16" s="1">
        <f t="shared" si="10"/>
        <v>1.875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2"/>
        <v>-9</v>
      </c>
      <c r="M17" s="1"/>
      <c r="N17" s="1"/>
      <c r="O17" s="1">
        <v>0</v>
      </c>
      <c r="P17" s="1">
        <v>0</v>
      </c>
      <c r="Q17" s="1">
        <f t="shared" si="3"/>
        <v>22.8</v>
      </c>
      <c r="R17" s="5">
        <f t="shared" si="6"/>
        <v>120.19999999999999</v>
      </c>
      <c r="S17" s="5">
        <f>VLOOKUP(A17,[1]Sheet!$A:$S,19,0)</f>
        <v>60</v>
      </c>
      <c r="T17" s="5">
        <f>VLOOKUP(A17,[2]Sheet!$A:$S,19,0)</f>
        <v>60</v>
      </c>
      <c r="U17" s="5"/>
      <c r="V17" s="1"/>
      <c r="W17" s="1">
        <f t="shared" si="4"/>
        <v>13.999999999999998</v>
      </c>
      <c r="X17" s="1">
        <f t="shared" si="5"/>
        <v>8.7280701754385959</v>
      </c>
      <c r="Y17" s="1">
        <v>21.8</v>
      </c>
      <c r="Z17" s="1">
        <v>26.6</v>
      </c>
      <c r="AA17" s="1">
        <v>22.4</v>
      </c>
      <c r="AB17" s="1">
        <v>17.399999999999999</v>
      </c>
      <c r="AC17" s="1">
        <v>12</v>
      </c>
      <c r="AD17" s="17"/>
      <c r="AE17" s="1">
        <f t="shared" si="7"/>
        <v>24</v>
      </c>
      <c r="AF17" s="1">
        <f t="shared" si="8"/>
        <v>24</v>
      </c>
      <c r="AG17" s="1">
        <f t="shared" si="9"/>
        <v>9.120000000000001</v>
      </c>
      <c r="AH17" s="1">
        <f t="shared" si="10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2"/>
        <v>-0.32299999999997908</v>
      </c>
      <c r="M18" s="1"/>
      <c r="N18" s="1"/>
      <c r="O18" s="1">
        <v>54</v>
      </c>
      <c r="P18" s="1">
        <v>45</v>
      </c>
      <c r="Q18" s="1">
        <f t="shared" si="3"/>
        <v>43.4754</v>
      </c>
      <c r="R18" s="5">
        <f t="shared" si="6"/>
        <v>237.69860000000006</v>
      </c>
      <c r="S18" s="5">
        <f>VLOOKUP(A18,[1]Sheet!$A:$S,19,0)</f>
        <v>125</v>
      </c>
      <c r="T18" s="5">
        <f>VLOOKUP(A18,[2]Sheet!$A:$S,19,0)</f>
        <v>125</v>
      </c>
      <c r="U18" s="5"/>
      <c r="V18" s="1"/>
      <c r="W18" s="1">
        <f t="shared" si="4"/>
        <v>14.000000000000002</v>
      </c>
      <c r="X18" s="1">
        <f t="shared" si="5"/>
        <v>8.5325724432667673</v>
      </c>
      <c r="Y18" s="1">
        <v>43.322000000000003</v>
      </c>
      <c r="Z18" s="1">
        <v>39.813400000000001</v>
      </c>
      <c r="AA18" s="1">
        <v>48.798999999999999</v>
      </c>
      <c r="AB18" s="1">
        <v>31.7788</v>
      </c>
      <c r="AC18" s="1">
        <v>33.668999999999997</v>
      </c>
      <c r="AD18" s="17" t="s">
        <v>48</v>
      </c>
      <c r="AE18" s="1">
        <f t="shared" si="7"/>
        <v>125</v>
      </c>
      <c r="AF18" s="1">
        <f t="shared" si="8"/>
        <v>125</v>
      </c>
      <c r="AG18" s="1">
        <f t="shared" si="9"/>
        <v>43.4754</v>
      </c>
      <c r="AH18" s="1">
        <f t="shared" si="10"/>
        <v>45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2"/>
        <v>-31.988</v>
      </c>
      <c r="M19" s="10"/>
      <c r="N19" s="10"/>
      <c r="O19" s="10">
        <v>0</v>
      </c>
      <c r="P19" s="10">
        <v>0</v>
      </c>
      <c r="Q19" s="10">
        <f t="shared" si="3"/>
        <v>0.80239999999999989</v>
      </c>
      <c r="R19" s="12"/>
      <c r="S19" s="5">
        <f>VLOOKUP(A19,[1]Sheet!$A:$S,19,0)</f>
        <v>0</v>
      </c>
      <c r="T19" s="5">
        <f>VLOOKUP(A19,[2]Sheet!$A:$S,19,0)</f>
        <v>0</v>
      </c>
      <c r="U19" s="12"/>
      <c r="V19" s="10"/>
      <c r="W19" s="10">
        <f t="shared" si="4"/>
        <v>-6.2462612163509474</v>
      </c>
      <c r="X19" s="10">
        <f t="shared" si="5"/>
        <v>-6.2462612163509474</v>
      </c>
      <c r="Y19" s="10">
        <v>0.2</v>
      </c>
      <c r="Z19" s="10">
        <v>0</v>
      </c>
      <c r="AA19" s="10">
        <v>-0.4</v>
      </c>
      <c r="AB19" s="10">
        <v>-0.2</v>
      </c>
      <c r="AC19" s="10">
        <v>-0.2</v>
      </c>
      <c r="AD19" s="19"/>
      <c r="AE19" s="1">
        <f t="shared" si="7"/>
        <v>0</v>
      </c>
      <c r="AF19" s="1">
        <f t="shared" si="8"/>
        <v>0</v>
      </c>
      <c r="AG19" s="1">
        <f t="shared" si="9"/>
        <v>0</v>
      </c>
      <c r="AH19" s="1">
        <f t="shared" si="10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2"/>
        <v>-3.2089999999999996</v>
      </c>
      <c r="M20" s="1"/>
      <c r="N20" s="1"/>
      <c r="O20" s="1">
        <v>0</v>
      </c>
      <c r="P20" s="1">
        <v>0</v>
      </c>
      <c r="Q20" s="1">
        <f t="shared" si="3"/>
        <v>3.0582000000000003</v>
      </c>
      <c r="R20" s="5">
        <f t="shared" si="6"/>
        <v>24.092800000000004</v>
      </c>
      <c r="S20" s="5">
        <f>VLOOKUP(A20,[1]Sheet!$A:$S,19,0)</f>
        <v>12</v>
      </c>
      <c r="T20" s="5">
        <f>VLOOKUP(A20,[2]Sheet!$A:$S,19,0)</f>
        <v>12</v>
      </c>
      <c r="U20" s="5"/>
      <c r="V20" s="1"/>
      <c r="W20" s="1">
        <f t="shared" si="4"/>
        <v>14</v>
      </c>
      <c r="X20" s="1">
        <f t="shared" si="5"/>
        <v>6.1219017722843505</v>
      </c>
      <c r="Y20" s="1">
        <v>1.0933999999999999</v>
      </c>
      <c r="Z20" s="1">
        <v>0.29680000000000001</v>
      </c>
      <c r="AA20" s="1">
        <v>3.2924000000000002</v>
      </c>
      <c r="AB20" s="1">
        <v>1.5960000000000001</v>
      </c>
      <c r="AC20" s="1">
        <v>2.1798000000000002</v>
      </c>
      <c r="AD20" s="17"/>
      <c r="AE20" s="1">
        <f t="shared" si="7"/>
        <v>12</v>
      </c>
      <c r="AF20" s="1">
        <f t="shared" si="8"/>
        <v>12</v>
      </c>
      <c r="AG20" s="1">
        <f t="shared" si="9"/>
        <v>3.0582000000000003</v>
      </c>
      <c r="AH20" s="1">
        <f t="shared" si="10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2"/>
        <v>-19</v>
      </c>
      <c r="M21" s="1"/>
      <c r="N21" s="1"/>
      <c r="O21" s="1">
        <v>0</v>
      </c>
      <c r="P21" s="1">
        <v>0</v>
      </c>
      <c r="Q21" s="1">
        <f t="shared" si="3"/>
        <v>22.2</v>
      </c>
      <c r="R21" s="5">
        <f t="shared" si="6"/>
        <v>9.8000000000000114</v>
      </c>
      <c r="S21" s="5">
        <f>VLOOKUP(A21,[1]Sheet!$A:$S,19,0)</f>
        <v>5</v>
      </c>
      <c r="T21" s="5">
        <f>VLOOKUP(A21,[2]Sheet!$A:$S,19,0)</f>
        <v>5</v>
      </c>
      <c r="U21" s="5"/>
      <c r="V21" s="1"/>
      <c r="W21" s="1">
        <f t="shared" si="4"/>
        <v>14.000000000000002</v>
      </c>
      <c r="X21" s="1">
        <f t="shared" si="5"/>
        <v>13.558558558558559</v>
      </c>
      <c r="Y21" s="1">
        <v>17.399999999999999</v>
      </c>
      <c r="Z21" s="1">
        <v>16.8</v>
      </c>
      <c r="AA21" s="1">
        <v>27.8</v>
      </c>
      <c r="AB21" s="1">
        <v>39.6</v>
      </c>
      <c r="AC21" s="1">
        <v>0</v>
      </c>
      <c r="AD21" s="17" t="s">
        <v>48</v>
      </c>
      <c r="AE21" s="1">
        <f t="shared" si="7"/>
        <v>2</v>
      </c>
      <c r="AF21" s="1">
        <f t="shared" si="8"/>
        <v>2</v>
      </c>
      <c r="AG21" s="1">
        <f t="shared" si="9"/>
        <v>8.8800000000000008</v>
      </c>
      <c r="AH21" s="1">
        <f t="shared" si="10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2"/>
        <v>-14.719999999999999</v>
      </c>
      <c r="M22" s="1"/>
      <c r="N22" s="1"/>
      <c r="O22" s="1">
        <v>60</v>
      </c>
      <c r="P22" s="1">
        <v>50</v>
      </c>
      <c r="Q22" s="1">
        <f t="shared" si="3"/>
        <v>26.175999999999998</v>
      </c>
      <c r="R22" s="5">
        <f t="shared" si="6"/>
        <v>84.753999999999991</v>
      </c>
      <c r="S22" s="5">
        <f>VLOOKUP(A22,[1]Sheet!$A:$S,19,0)</f>
        <v>50</v>
      </c>
      <c r="T22" s="5">
        <f>VLOOKUP(A22,[2]Sheet!$A:$S,19,0)</f>
        <v>50</v>
      </c>
      <c r="U22" s="5"/>
      <c r="V22" s="1"/>
      <c r="W22" s="1">
        <f t="shared" si="4"/>
        <v>14.000000000000004</v>
      </c>
      <c r="X22" s="1">
        <f t="shared" si="5"/>
        <v>10.762148533007338</v>
      </c>
      <c r="Y22" s="1">
        <v>27.4224</v>
      </c>
      <c r="Z22" s="1">
        <v>30.147200000000002</v>
      </c>
      <c r="AA22" s="1">
        <v>22.085999999999999</v>
      </c>
      <c r="AB22" s="1">
        <v>21.9102</v>
      </c>
      <c r="AC22" s="1">
        <v>28.4008</v>
      </c>
      <c r="AD22" s="17"/>
      <c r="AE22" s="1">
        <f t="shared" si="7"/>
        <v>50</v>
      </c>
      <c r="AF22" s="1">
        <f t="shared" si="8"/>
        <v>50</v>
      </c>
      <c r="AG22" s="1">
        <f t="shared" si="9"/>
        <v>26.175999999999998</v>
      </c>
      <c r="AH22" s="1">
        <f t="shared" si="10"/>
        <v>50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2"/>
        <v>-14</v>
      </c>
      <c r="M23" s="1"/>
      <c r="N23" s="1"/>
      <c r="O23" s="1">
        <v>110</v>
      </c>
      <c r="P23" s="1">
        <v>100</v>
      </c>
      <c r="Q23" s="1">
        <f t="shared" si="3"/>
        <v>39</v>
      </c>
      <c r="R23" s="5">
        <f t="shared" si="6"/>
        <v>186</v>
      </c>
      <c r="S23" s="5">
        <f>VLOOKUP(A23,[1]Sheet!$A:$S,19,0)</f>
        <v>90</v>
      </c>
      <c r="T23" s="5">
        <f>VLOOKUP(A23,[2]Sheet!$A:$S,19,0)</f>
        <v>90</v>
      </c>
      <c r="U23" s="5"/>
      <c r="V23" s="1"/>
      <c r="W23" s="1">
        <f t="shared" si="4"/>
        <v>14</v>
      </c>
      <c r="X23" s="1">
        <f t="shared" si="5"/>
        <v>9.2307692307692299</v>
      </c>
      <c r="Y23" s="1">
        <v>36.200000000000003</v>
      </c>
      <c r="Z23" s="1">
        <v>34</v>
      </c>
      <c r="AA23" s="1">
        <v>39.200000000000003</v>
      </c>
      <c r="AB23" s="1">
        <v>22.6</v>
      </c>
      <c r="AC23" s="1">
        <v>35</v>
      </c>
      <c r="AD23" s="17"/>
      <c r="AE23" s="1">
        <f t="shared" si="7"/>
        <v>19.8</v>
      </c>
      <c r="AF23" s="1">
        <f t="shared" si="8"/>
        <v>19.8</v>
      </c>
      <c r="AG23" s="1">
        <f t="shared" si="9"/>
        <v>8.58</v>
      </c>
      <c r="AH23" s="1">
        <f t="shared" si="10"/>
        <v>22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2"/>
        <v>0.75</v>
      </c>
      <c r="M24" s="1"/>
      <c r="N24" s="1"/>
      <c r="O24" s="1">
        <v>0</v>
      </c>
      <c r="P24" s="1">
        <v>0</v>
      </c>
      <c r="Q24" s="1">
        <f t="shared" si="3"/>
        <v>2.25</v>
      </c>
      <c r="R24" s="5"/>
      <c r="S24" s="5">
        <f>VLOOKUP(A24,[1]Sheet!$A:$S,19,0)</f>
        <v>0</v>
      </c>
      <c r="T24" s="5">
        <f>VLOOKUP(A24,[2]Sheet!$A:$S,19,0)</f>
        <v>0</v>
      </c>
      <c r="U24" s="5"/>
      <c r="V24" s="1"/>
      <c r="W24" s="1">
        <f t="shared" si="4"/>
        <v>81.438222222222223</v>
      </c>
      <c r="X24" s="1">
        <f t="shared" si="5"/>
        <v>81.438222222222223</v>
      </c>
      <c r="Y24" s="1">
        <v>2.5367999999999999</v>
      </c>
      <c r="Z24" s="1">
        <v>0</v>
      </c>
      <c r="AA24" s="1">
        <v>0</v>
      </c>
      <c r="AB24" s="1">
        <v>0</v>
      </c>
      <c r="AC24" s="1">
        <v>0</v>
      </c>
      <c r="AD24" s="17"/>
      <c r="AE24" s="1">
        <f t="shared" si="7"/>
        <v>0</v>
      </c>
      <c r="AF24" s="1">
        <f t="shared" si="8"/>
        <v>0</v>
      </c>
      <c r="AG24" s="1">
        <f t="shared" si="9"/>
        <v>2.25</v>
      </c>
      <c r="AH24" s="1">
        <f t="shared" si="10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2"/>
        <v>0</v>
      </c>
      <c r="M25" s="1"/>
      <c r="N25" s="1"/>
      <c r="O25" s="1">
        <v>0</v>
      </c>
      <c r="P25" s="1">
        <v>0</v>
      </c>
      <c r="Q25" s="1">
        <f t="shared" si="3"/>
        <v>1.4</v>
      </c>
      <c r="R25" s="5">
        <f t="shared" si="6"/>
        <v>12.599999999999998</v>
      </c>
      <c r="S25" s="5">
        <f>VLOOKUP(A25,[1]Sheet!$A:$S,19,0)</f>
        <v>5</v>
      </c>
      <c r="T25" s="5">
        <f>VLOOKUP(A25,[2]Sheet!$A:$S,19,0)</f>
        <v>5</v>
      </c>
      <c r="U25" s="5"/>
      <c r="V25" s="1"/>
      <c r="W25" s="1">
        <f t="shared" si="4"/>
        <v>14</v>
      </c>
      <c r="X25" s="1">
        <f t="shared" si="5"/>
        <v>5</v>
      </c>
      <c r="Y25" s="1">
        <v>1</v>
      </c>
      <c r="Z25" s="1">
        <v>0.4</v>
      </c>
      <c r="AA25" s="1">
        <v>1.6</v>
      </c>
      <c r="AB25" s="1">
        <v>1.4</v>
      </c>
      <c r="AC25" s="1">
        <v>1.4</v>
      </c>
      <c r="AD25" s="17"/>
      <c r="AE25" s="1">
        <f t="shared" si="7"/>
        <v>0.75</v>
      </c>
      <c r="AF25" s="1">
        <f t="shared" si="8"/>
        <v>0.75</v>
      </c>
      <c r="AG25" s="1">
        <f t="shared" si="9"/>
        <v>0.21</v>
      </c>
      <c r="AH25" s="1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2"/>
        <v>-16.71</v>
      </c>
      <c r="M26" s="1"/>
      <c r="N26" s="1"/>
      <c r="O26" s="1">
        <v>0</v>
      </c>
      <c r="P26" s="1">
        <v>0</v>
      </c>
      <c r="Q26" s="1">
        <f t="shared" si="3"/>
        <v>10.058</v>
      </c>
      <c r="R26" s="5">
        <f t="shared" si="6"/>
        <v>27.418000000000006</v>
      </c>
      <c r="S26" s="5">
        <f>VLOOKUP(A26,[1]Sheet!$A:$S,19,0)</f>
        <v>15</v>
      </c>
      <c r="T26" s="5">
        <f>VLOOKUP(A26,[2]Sheet!$A:$S,19,0)</f>
        <v>15</v>
      </c>
      <c r="U26" s="5"/>
      <c r="V26" s="1"/>
      <c r="W26" s="1">
        <f t="shared" si="4"/>
        <v>14.000000000000002</v>
      </c>
      <c r="X26" s="1">
        <f t="shared" si="5"/>
        <v>11.274010737721218</v>
      </c>
      <c r="Y26" s="1">
        <v>11.2278</v>
      </c>
      <c r="Z26" s="1">
        <v>13.8606</v>
      </c>
      <c r="AA26" s="1">
        <v>11.16</v>
      </c>
      <c r="AB26" s="1">
        <v>10.001799999999999</v>
      </c>
      <c r="AC26" s="1">
        <v>12.271599999999999</v>
      </c>
      <c r="AD26" s="17"/>
      <c r="AE26" s="1">
        <f t="shared" si="7"/>
        <v>15</v>
      </c>
      <c r="AF26" s="1">
        <f t="shared" si="8"/>
        <v>15</v>
      </c>
      <c r="AG26" s="1">
        <f t="shared" si="9"/>
        <v>10.058</v>
      </c>
      <c r="AH26" s="1">
        <f t="shared" si="10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2"/>
        <v>-66</v>
      </c>
      <c r="M27" s="1"/>
      <c r="N27" s="1"/>
      <c r="O27" s="27">
        <v>175</v>
      </c>
      <c r="P27" s="1">
        <v>150</v>
      </c>
      <c r="Q27" s="1">
        <f t="shared" si="3"/>
        <v>30.6</v>
      </c>
      <c r="R27" s="5">
        <f t="shared" si="6"/>
        <v>52.400000000000034</v>
      </c>
      <c r="S27" s="5">
        <f>VLOOKUP(A27,[1]Sheet!$A:$S,19,0)</f>
        <v>25</v>
      </c>
      <c r="T27" s="5">
        <f>VLOOKUP(A27,[2]Sheet!$A:$S,19,0)</f>
        <v>25</v>
      </c>
      <c r="U27" s="5"/>
      <c r="V27" s="1"/>
      <c r="W27" s="1">
        <f t="shared" si="4"/>
        <v>14</v>
      </c>
      <c r="X27" s="1">
        <f t="shared" si="5"/>
        <v>12.287581699346404</v>
      </c>
      <c r="Y27" s="1">
        <v>34.4</v>
      </c>
      <c r="Z27" s="1">
        <v>23.8</v>
      </c>
      <c r="AA27" s="1">
        <v>23.8</v>
      </c>
      <c r="AB27" s="1">
        <v>28</v>
      </c>
      <c r="AC27" s="1">
        <v>23.8</v>
      </c>
      <c r="AD27" s="17"/>
      <c r="AE27" s="1">
        <f t="shared" si="7"/>
        <v>2.25</v>
      </c>
      <c r="AF27" s="1">
        <f t="shared" si="8"/>
        <v>2.25</v>
      </c>
      <c r="AG27" s="1">
        <f t="shared" si="9"/>
        <v>2.754</v>
      </c>
      <c r="AH27" s="1">
        <f t="shared" si="10"/>
        <v>13.5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2"/>
        <v>-44</v>
      </c>
      <c r="M28" s="1"/>
      <c r="N28" s="1"/>
      <c r="O28" s="1">
        <v>125</v>
      </c>
      <c r="P28" s="1">
        <v>125</v>
      </c>
      <c r="Q28" s="1">
        <f t="shared" si="3"/>
        <v>22</v>
      </c>
      <c r="R28" s="5">
        <f t="shared" si="6"/>
        <v>56</v>
      </c>
      <c r="S28" s="5">
        <f>VLOOKUP(A28,[1]Sheet!$A:$S,19,0)</f>
        <v>25</v>
      </c>
      <c r="T28" s="5">
        <f>VLOOKUP(A28,[2]Sheet!$A:$S,19,0)</f>
        <v>25</v>
      </c>
      <c r="U28" s="5"/>
      <c r="V28" s="1"/>
      <c r="W28" s="1">
        <f t="shared" si="4"/>
        <v>14</v>
      </c>
      <c r="X28" s="1">
        <f t="shared" si="5"/>
        <v>11.454545454545455</v>
      </c>
      <c r="Y28" s="1">
        <v>18.8</v>
      </c>
      <c r="Z28" s="1">
        <v>7</v>
      </c>
      <c r="AA28" s="1">
        <v>14.6</v>
      </c>
      <c r="AB28" s="1">
        <v>10.6</v>
      </c>
      <c r="AC28" s="1">
        <v>7.4</v>
      </c>
      <c r="AD28" s="17"/>
      <c r="AE28" s="1">
        <f t="shared" si="7"/>
        <v>2.25</v>
      </c>
      <c r="AF28" s="1">
        <f t="shared" si="8"/>
        <v>2.25</v>
      </c>
      <c r="AG28" s="1">
        <f t="shared" si="9"/>
        <v>1.98</v>
      </c>
      <c r="AH28" s="1">
        <f t="shared" si="10"/>
        <v>11.25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2"/>
        <v>0</v>
      </c>
      <c r="M29" s="10"/>
      <c r="N29" s="10"/>
      <c r="O29" s="10">
        <v>0</v>
      </c>
      <c r="P29" s="10">
        <v>0</v>
      </c>
      <c r="Q29" s="10">
        <f t="shared" si="3"/>
        <v>0</v>
      </c>
      <c r="R29" s="12"/>
      <c r="S29" s="5">
        <f>VLOOKUP(A29,[1]Sheet!$A:$S,19,0)</f>
        <v>0</v>
      </c>
      <c r="T29" s="5">
        <f>VLOOKUP(A29,[2]Sheet!$A:$S,19,0)</f>
        <v>0</v>
      </c>
      <c r="U29" s="12"/>
      <c r="V29" s="10"/>
      <c r="W29" s="10" t="e">
        <f t="shared" si="4"/>
        <v>#DIV/0!</v>
      </c>
      <c r="X29" s="10" t="e">
        <f t="shared" si="5"/>
        <v>#DIV/0!</v>
      </c>
      <c r="Y29" s="10">
        <v>-0.8</v>
      </c>
      <c r="Z29" s="10">
        <v>0</v>
      </c>
      <c r="AA29" s="10">
        <v>0.8</v>
      </c>
      <c r="AB29" s="10">
        <v>-0.2</v>
      </c>
      <c r="AC29" s="10">
        <v>1.8</v>
      </c>
      <c r="AD29" s="19"/>
      <c r="AE29" s="1">
        <f t="shared" si="7"/>
        <v>0</v>
      </c>
      <c r="AF29" s="1">
        <f t="shared" si="8"/>
        <v>0</v>
      </c>
      <c r="AG29" s="1">
        <f t="shared" si="9"/>
        <v>0</v>
      </c>
      <c r="AH29" s="1">
        <f t="shared" si="10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2"/>
        <v>-41</v>
      </c>
      <c r="M30" s="1"/>
      <c r="N30" s="1"/>
      <c r="O30" s="1">
        <v>125</v>
      </c>
      <c r="P30" s="1">
        <v>100</v>
      </c>
      <c r="Q30" s="1">
        <f t="shared" si="3"/>
        <v>9.8000000000000007</v>
      </c>
      <c r="R30" s="5"/>
      <c r="S30" s="5">
        <f>VLOOKUP(A30,[1]Sheet!$A:$S,19,0)</f>
        <v>0</v>
      </c>
      <c r="T30" s="5">
        <f>VLOOKUP(A30,[2]Sheet!$A:$S,19,0)</f>
        <v>0</v>
      </c>
      <c r="U30" s="5"/>
      <c r="V30" s="1"/>
      <c r="W30" s="1">
        <f t="shared" si="4"/>
        <v>23.77551020408163</v>
      </c>
      <c r="X30" s="1">
        <f t="shared" si="5"/>
        <v>23.77551020408163</v>
      </c>
      <c r="Y30" s="1">
        <v>17.399999999999999</v>
      </c>
      <c r="Z30" s="1">
        <v>7.6</v>
      </c>
      <c r="AA30" s="1">
        <v>8.6</v>
      </c>
      <c r="AB30" s="1">
        <v>10</v>
      </c>
      <c r="AC30" s="1">
        <v>10.6</v>
      </c>
      <c r="AD30" s="17"/>
      <c r="AE30" s="1">
        <f t="shared" si="7"/>
        <v>0</v>
      </c>
      <c r="AF30" s="1">
        <f t="shared" si="8"/>
        <v>0</v>
      </c>
      <c r="AG30" s="1">
        <f t="shared" si="9"/>
        <v>1.47</v>
      </c>
      <c r="AH30" s="1">
        <f t="shared" si="10"/>
        <v>15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2"/>
        <v>-1.6700000000000159</v>
      </c>
      <c r="M31" s="1"/>
      <c r="N31" s="1"/>
      <c r="O31" s="1">
        <v>300</v>
      </c>
      <c r="P31" s="1">
        <v>250</v>
      </c>
      <c r="Q31" s="1">
        <f t="shared" si="3"/>
        <v>62.065999999999995</v>
      </c>
      <c r="R31" s="5">
        <f>13*Q31-P31-O31-F31</f>
        <v>276.07099999999997</v>
      </c>
      <c r="S31" s="5">
        <f>VLOOKUP(A31,[1]Sheet!$A:$S,19,0)</f>
        <v>180</v>
      </c>
      <c r="T31" s="5">
        <f>VLOOKUP(A31,[2]Sheet!$A:$S,19,0)</f>
        <v>180</v>
      </c>
      <c r="U31" s="5"/>
      <c r="V31" s="1"/>
      <c r="W31" s="1">
        <f t="shared" si="4"/>
        <v>13</v>
      </c>
      <c r="X31" s="1">
        <f t="shared" si="5"/>
        <v>8.5519769277865514</v>
      </c>
      <c r="Y31" s="1">
        <v>56.630200000000002</v>
      </c>
      <c r="Z31" s="1">
        <v>33.6648</v>
      </c>
      <c r="AA31" s="1">
        <v>46.767800000000001</v>
      </c>
      <c r="AB31" s="1">
        <v>33.6068</v>
      </c>
      <c r="AC31" s="1">
        <v>71.153400000000005</v>
      </c>
      <c r="AD31" s="17"/>
      <c r="AE31" s="1">
        <f t="shared" si="7"/>
        <v>180</v>
      </c>
      <c r="AF31" s="1">
        <f t="shared" si="8"/>
        <v>180</v>
      </c>
      <c r="AG31" s="1">
        <f t="shared" si="9"/>
        <v>62.065999999999995</v>
      </c>
      <c r="AH31" s="1">
        <f t="shared" si="10"/>
        <v>250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6.25" x14ac:dyDescent="0.2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2"/>
        <v>-84</v>
      </c>
      <c r="M32" s="10"/>
      <c r="N32" s="10"/>
      <c r="O32" s="10">
        <v>0</v>
      </c>
      <c r="P32" s="10">
        <v>0</v>
      </c>
      <c r="Q32" s="10">
        <f t="shared" si="3"/>
        <v>1.6</v>
      </c>
      <c r="R32" s="12"/>
      <c r="S32" s="5">
        <f>VLOOKUP(A32,[1]Sheet!$A:$S,19,0)</f>
        <v>0</v>
      </c>
      <c r="T32" s="5">
        <f>VLOOKUP(A32,[2]Sheet!$A:$S,19,0)</f>
        <v>0</v>
      </c>
      <c r="U32" s="12"/>
      <c r="V32" s="10"/>
      <c r="W32" s="10">
        <f t="shared" si="4"/>
        <v>141.25</v>
      </c>
      <c r="X32" s="10">
        <f t="shared" si="5"/>
        <v>141.25</v>
      </c>
      <c r="Y32" s="10">
        <v>6.2</v>
      </c>
      <c r="Z32" s="10">
        <v>4.2</v>
      </c>
      <c r="AA32" s="10">
        <v>18.600000000000001</v>
      </c>
      <c r="AB32" s="10">
        <v>16.600000000000001</v>
      </c>
      <c r="AC32" s="10">
        <v>9.4</v>
      </c>
      <c r="AD32" s="20" t="s">
        <v>143</v>
      </c>
      <c r="AE32" s="1">
        <f t="shared" si="7"/>
        <v>0</v>
      </c>
      <c r="AF32" s="1">
        <f t="shared" si="8"/>
        <v>0</v>
      </c>
      <c r="AG32" s="1">
        <f t="shared" si="9"/>
        <v>0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2"/>
        <v>-15</v>
      </c>
      <c r="M33" s="1"/>
      <c r="N33" s="1"/>
      <c r="O33" s="1">
        <v>24.5</v>
      </c>
      <c r="P33" s="1">
        <v>24.5</v>
      </c>
      <c r="Q33" s="1">
        <f t="shared" si="3"/>
        <v>22.4</v>
      </c>
      <c r="R33" s="5">
        <f t="shared" si="6"/>
        <v>175.59999999999997</v>
      </c>
      <c r="S33" s="5">
        <f>VLOOKUP(A33,[1]Sheet!$A:$S,19,0)</f>
        <v>75</v>
      </c>
      <c r="T33" s="5">
        <f>VLOOKUP(A33,[2]Sheet!$A:$S,19,0)</f>
        <v>75</v>
      </c>
      <c r="U33" s="5"/>
      <c r="V33" s="1"/>
      <c r="W33" s="1">
        <f t="shared" si="4"/>
        <v>14</v>
      </c>
      <c r="X33" s="1">
        <f t="shared" si="5"/>
        <v>6.1607142857142865</v>
      </c>
      <c r="Y33" s="1">
        <v>17.8</v>
      </c>
      <c r="Z33" s="1">
        <v>11.6</v>
      </c>
      <c r="AA33" s="1">
        <v>18.2</v>
      </c>
      <c r="AB33" s="1">
        <v>23.4</v>
      </c>
      <c r="AC33" s="1">
        <v>22.8</v>
      </c>
      <c r="AD33" s="17"/>
      <c r="AE33" s="1">
        <f t="shared" si="7"/>
        <v>30</v>
      </c>
      <c r="AF33" s="1">
        <f t="shared" si="8"/>
        <v>30</v>
      </c>
      <c r="AG33" s="1">
        <f t="shared" si="9"/>
        <v>8.9599999999999991</v>
      </c>
      <c r="AH33" s="1">
        <f t="shared" si="10"/>
        <v>9.8000000000000007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2"/>
        <v>-23</v>
      </c>
      <c r="M34" s="1"/>
      <c r="N34" s="1"/>
      <c r="O34" s="27">
        <v>375</v>
      </c>
      <c r="P34" s="1">
        <v>345</v>
      </c>
      <c r="Q34" s="1">
        <f t="shared" si="3"/>
        <v>80</v>
      </c>
      <c r="R34" s="5">
        <f t="shared" si="6"/>
        <v>107</v>
      </c>
      <c r="S34" s="5">
        <f>VLOOKUP(A34,[1]Sheet!$A:$S,19,0)</f>
        <v>60</v>
      </c>
      <c r="T34" s="5">
        <f>VLOOKUP(A34,[2]Sheet!$A:$S,19,0)</f>
        <v>60</v>
      </c>
      <c r="U34" s="5"/>
      <c r="V34" s="1"/>
      <c r="W34" s="1">
        <f t="shared" si="4"/>
        <v>14</v>
      </c>
      <c r="X34" s="1">
        <f t="shared" si="5"/>
        <v>12.6625</v>
      </c>
      <c r="Y34" s="1">
        <v>95.8</v>
      </c>
      <c r="Z34" s="1">
        <v>83.4</v>
      </c>
      <c r="AA34" s="1">
        <v>98.6</v>
      </c>
      <c r="AB34" s="1">
        <v>90</v>
      </c>
      <c r="AC34" s="1">
        <v>73.8</v>
      </c>
      <c r="AD34" s="17"/>
      <c r="AE34" s="1">
        <f t="shared" si="7"/>
        <v>24</v>
      </c>
      <c r="AF34" s="1">
        <f t="shared" si="8"/>
        <v>24</v>
      </c>
      <c r="AG34" s="1">
        <f t="shared" si="9"/>
        <v>32</v>
      </c>
      <c r="AH34" s="1">
        <f t="shared" si="10"/>
        <v>138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2"/>
        <v>-24</v>
      </c>
      <c r="M35" s="1"/>
      <c r="N35" s="1"/>
      <c r="O35" s="1">
        <v>0</v>
      </c>
      <c r="P35" s="1">
        <v>0</v>
      </c>
      <c r="Q35" s="1">
        <f t="shared" si="3"/>
        <v>65</v>
      </c>
      <c r="R35" s="5">
        <f>9*Q35-P35-O35-F35</f>
        <v>503</v>
      </c>
      <c r="S35" s="5">
        <f>VLOOKUP(A35,[1]Sheet!$A:$S,19,0)</f>
        <v>300</v>
      </c>
      <c r="T35" s="5">
        <f>VLOOKUP(A35,[2]Sheet!$A:$S,19,0)</f>
        <v>300</v>
      </c>
      <c r="U35" s="5"/>
      <c r="V35" s="1"/>
      <c r="W35" s="1">
        <f t="shared" si="4"/>
        <v>9</v>
      </c>
      <c r="X35" s="1">
        <f t="shared" si="5"/>
        <v>1.2615384615384615</v>
      </c>
      <c r="Y35" s="1">
        <v>42.8</v>
      </c>
      <c r="Z35" s="1">
        <v>53.6</v>
      </c>
      <c r="AA35" s="1">
        <v>45.4</v>
      </c>
      <c r="AB35" s="1">
        <v>40</v>
      </c>
      <c r="AC35" s="1">
        <v>67</v>
      </c>
      <c r="AD35" s="17" t="s">
        <v>48</v>
      </c>
      <c r="AE35" s="1">
        <f t="shared" si="7"/>
        <v>120</v>
      </c>
      <c r="AF35" s="1">
        <f t="shared" si="8"/>
        <v>120</v>
      </c>
      <c r="AG35" s="1">
        <f t="shared" si="9"/>
        <v>26</v>
      </c>
      <c r="AH35" s="1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f t="shared" si="3"/>
        <v>0</v>
      </c>
      <c r="R36" s="12"/>
      <c r="S36" s="5">
        <f>VLOOKUP(A36,[1]Sheet!$A:$S,19,0)</f>
        <v>0</v>
      </c>
      <c r="T36" s="5">
        <f>VLOOKUP(A36,[2]Sheet!$A:$S,19,0)</f>
        <v>0</v>
      </c>
      <c r="U36" s="12"/>
      <c r="V36" s="10"/>
      <c r="W36" s="10" t="e">
        <f t="shared" si="4"/>
        <v>#DIV/0!</v>
      </c>
      <c r="X36" s="10" t="e">
        <f t="shared" si="5"/>
        <v>#DIV/0!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9"/>
      <c r="AE36" s="1">
        <f t="shared" si="7"/>
        <v>0</v>
      </c>
      <c r="AF36" s="1">
        <f t="shared" si="8"/>
        <v>0</v>
      </c>
      <c r="AG36" s="1">
        <f t="shared" si="9"/>
        <v>0</v>
      </c>
      <c r="AH36" s="1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2"/>
        <v>-13</v>
      </c>
      <c r="M37" s="1"/>
      <c r="N37" s="1"/>
      <c r="O37" s="1">
        <v>0</v>
      </c>
      <c r="P37" s="1">
        <v>0</v>
      </c>
      <c r="Q37" s="1">
        <f t="shared" si="3"/>
        <v>87.2</v>
      </c>
      <c r="R37" s="5">
        <f>12*Q37-P37-O37-F37</f>
        <v>708.40000000000009</v>
      </c>
      <c r="S37" s="5">
        <f>VLOOKUP(A37,[1]Sheet!$A:$S,19,0)</f>
        <v>450</v>
      </c>
      <c r="T37" s="5">
        <f>VLOOKUP(A37,[2]Sheet!$A:$S,19,0)</f>
        <v>450</v>
      </c>
      <c r="U37" s="5"/>
      <c r="V37" s="1"/>
      <c r="W37" s="1">
        <f t="shared" si="4"/>
        <v>12</v>
      </c>
      <c r="X37" s="1">
        <f t="shared" si="5"/>
        <v>3.8761467889908254</v>
      </c>
      <c r="Y37" s="1">
        <v>56.2</v>
      </c>
      <c r="Z37" s="1">
        <v>72.599999999999994</v>
      </c>
      <c r="AA37" s="1">
        <v>60.8</v>
      </c>
      <c r="AB37" s="1">
        <v>73.599999999999994</v>
      </c>
      <c r="AC37" s="1">
        <v>88.8</v>
      </c>
      <c r="AD37" s="17" t="s">
        <v>48</v>
      </c>
      <c r="AE37" s="1">
        <f t="shared" si="7"/>
        <v>180</v>
      </c>
      <c r="AF37" s="1">
        <f t="shared" si="8"/>
        <v>180</v>
      </c>
      <c r="AG37" s="1">
        <f t="shared" si="9"/>
        <v>34.880000000000003</v>
      </c>
      <c r="AH37" s="1">
        <f t="shared" si="10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11">E38-K38</f>
        <v>-62</v>
      </c>
      <c r="M38" s="1"/>
      <c r="N38" s="1"/>
      <c r="O38" s="1">
        <v>110</v>
      </c>
      <c r="P38" s="1">
        <v>100</v>
      </c>
      <c r="Q38" s="1">
        <f t="shared" ref="Q38:Q69" si="12">E38/5</f>
        <v>49</v>
      </c>
      <c r="R38" s="5">
        <f t="shared" ref="R38:R90" si="13">14*Q38-P38-O38-F38</f>
        <v>404</v>
      </c>
      <c r="S38" s="5">
        <f>VLOOKUP(A38,[1]Sheet!$A:$S,19,0)</f>
        <v>220</v>
      </c>
      <c r="T38" s="5">
        <f>VLOOKUP(A38,[2]Sheet!$A:$S,19,0)</f>
        <v>220</v>
      </c>
      <c r="U38" s="5"/>
      <c r="V38" s="1"/>
      <c r="W38" s="1">
        <f t="shared" ref="W38:W69" si="14">(F38+O38+P38+R38)/Q38</f>
        <v>14</v>
      </c>
      <c r="X38" s="1">
        <f t="shared" ref="X38:X69" si="15">(F38+O38+P38)/Q38</f>
        <v>5.7551020408163263</v>
      </c>
      <c r="Y38" s="1">
        <v>32</v>
      </c>
      <c r="Z38" s="1">
        <v>33.4</v>
      </c>
      <c r="AA38" s="1">
        <v>31.2</v>
      </c>
      <c r="AB38" s="1">
        <v>32.799999999999997</v>
      </c>
      <c r="AC38" s="1">
        <v>45.4</v>
      </c>
      <c r="AD38" s="17" t="s">
        <v>48</v>
      </c>
      <c r="AE38" s="1">
        <f t="shared" si="7"/>
        <v>22</v>
      </c>
      <c r="AF38" s="1">
        <f t="shared" si="8"/>
        <v>22</v>
      </c>
      <c r="AG38" s="1">
        <f t="shared" si="9"/>
        <v>4.9000000000000004</v>
      </c>
      <c r="AH38" s="1">
        <f t="shared" si="10"/>
        <v>10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11"/>
        <v>-23</v>
      </c>
      <c r="M39" s="1"/>
      <c r="N39" s="1"/>
      <c r="O39" s="1">
        <v>150</v>
      </c>
      <c r="P39" s="1">
        <v>100</v>
      </c>
      <c r="Q39" s="1">
        <f t="shared" si="12"/>
        <v>33.799999999999997</v>
      </c>
      <c r="R39" s="5">
        <f t="shared" si="13"/>
        <v>105.19999999999993</v>
      </c>
      <c r="S39" s="5">
        <f>VLOOKUP(A39,[1]Sheet!$A:$S,19,0)</f>
        <v>60</v>
      </c>
      <c r="T39" s="5">
        <f>VLOOKUP(A39,[2]Sheet!$A:$S,19,0)</f>
        <v>60</v>
      </c>
      <c r="U39" s="5"/>
      <c r="V39" s="1"/>
      <c r="W39" s="1">
        <f t="shared" si="14"/>
        <v>14</v>
      </c>
      <c r="X39" s="1">
        <f t="shared" si="15"/>
        <v>10.887573964497042</v>
      </c>
      <c r="Y39" s="1">
        <v>37.799999999999997</v>
      </c>
      <c r="Z39" s="1">
        <v>30</v>
      </c>
      <c r="AA39" s="1">
        <v>33.799999999999997</v>
      </c>
      <c r="AB39" s="1">
        <v>33</v>
      </c>
      <c r="AC39" s="1">
        <v>33.4</v>
      </c>
      <c r="AD39" s="17"/>
      <c r="AE39" s="1">
        <f t="shared" si="7"/>
        <v>6</v>
      </c>
      <c r="AF39" s="1">
        <f t="shared" si="8"/>
        <v>6</v>
      </c>
      <c r="AG39" s="1">
        <f t="shared" si="9"/>
        <v>3.38</v>
      </c>
      <c r="AH39" s="1">
        <f t="shared" si="10"/>
        <v>10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11"/>
        <v>-9</v>
      </c>
      <c r="M40" s="1"/>
      <c r="N40" s="1"/>
      <c r="O40" s="1">
        <v>0</v>
      </c>
      <c r="P40" s="1">
        <v>0</v>
      </c>
      <c r="Q40" s="1">
        <f t="shared" si="12"/>
        <v>2.8</v>
      </c>
      <c r="R40" s="5"/>
      <c r="S40" s="5">
        <f>VLOOKUP(A40,[1]Sheet!$A:$S,19,0)</f>
        <v>0</v>
      </c>
      <c r="T40" s="5">
        <f>VLOOKUP(A40,[2]Sheet!$A:$S,19,0)</f>
        <v>0</v>
      </c>
      <c r="U40" s="5"/>
      <c r="V40" s="1"/>
      <c r="W40" s="1">
        <f t="shared" si="14"/>
        <v>31.428571428571431</v>
      </c>
      <c r="X40" s="1">
        <f t="shared" si="15"/>
        <v>31.428571428571431</v>
      </c>
      <c r="Y40" s="1">
        <v>-0.4</v>
      </c>
      <c r="Z40" s="1">
        <v>4.2</v>
      </c>
      <c r="AA40" s="1">
        <v>5.2</v>
      </c>
      <c r="AB40" s="1">
        <v>9.8000000000000007</v>
      </c>
      <c r="AC40" s="1">
        <v>5.8</v>
      </c>
      <c r="AD40" s="17"/>
      <c r="AE40" s="1">
        <f t="shared" si="7"/>
        <v>0</v>
      </c>
      <c r="AF40" s="1">
        <f t="shared" si="8"/>
        <v>0</v>
      </c>
      <c r="AG40" s="1">
        <f t="shared" si="9"/>
        <v>0.27999999999999997</v>
      </c>
      <c r="AH40" s="1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11"/>
        <v>0.46499999999999986</v>
      </c>
      <c r="M41" s="1"/>
      <c r="N41" s="1"/>
      <c r="O41" s="1">
        <v>45.5</v>
      </c>
      <c r="P41" s="1">
        <v>45.5</v>
      </c>
      <c r="Q41" s="1">
        <f t="shared" si="12"/>
        <v>1.4330000000000001</v>
      </c>
      <c r="R41" s="5"/>
      <c r="S41" s="5">
        <f>VLOOKUP(A41,[1]Sheet!$A:$S,19,0)</f>
        <v>0</v>
      </c>
      <c r="T41" s="5">
        <f>VLOOKUP(A41,[2]Sheet!$A:$S,19,0)</f>
        <v>0</v>
      </c>
      <c r="U41" s="5"/>
      <c r="V41" s="1"/>
      <c r="W41" s="1">
        <f t="shared" si="14"/>
        <v>72.759944173063502</v>
      </c>
      <c r="X41" s="1">
        <f t="shared" si="15"/>
        <v>72.759944173063502</v>
      </c>
      <c r="Y41" s="1">
        <v>7.9530000000000003</v>
      </c>
      <c r="Z41" s="1">
        <v>1.4390000000000001</v>
      </c>
      <c r="AA41" s="1">
        <v>0</v>
      </c>
      <c r="AB41" s="1">
        <v>0</v>
      </c>
      <c r="AC41" s="1">
        <v>0</v>
      </c>
      <c r="AD41" s="20" t="s">
        <v>144</v>
      </c>
      <c r="AE41" s="1">
        <f t="shared" si="7"/>
        <v>0</v>
      </c>
      <c r="AF41" s="1">
        <f t="shared" si="8"/>
        <v>0</v>
      </c>
      <c r="AG41" s="1">
        <f t="shared" si="9"/>
        <v>1.4330000000000001</v>
      </c>
      <c r="AH41" s="1">
        <f t="shared" si="10"/>
        <v>45.5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11"/>
        <v>-52</v>
      </c>
      <c r="M42" s="1"/>
      <c r="N42" s="1"/>
      <c r="O42" s="1">
        <v>61.5</v>
      </c>
      <c r="P42" s="1">
        <v>61.5</v>
      </c>
      <c r="Q42" s="1">
        <f t="shared" si="12"/>
        <v>13.6</v>
      </c>
      <c r="R42" s="5"/>
      <c r="S42" s="5">
        <f>VLOOKUP(A42,[1]Sheet!$A:$S,19,0)</f>
        <v>0</v>
      </c>
      <c r="T42" s="5">
        <f>VLOOKUP(A42,[2]Sheet!$A:$S,19,0)</f>
        <v>0</v>
      </c>
      <c r="U42" s="5"/>
      <c r="V42" s="1"/>
      <c r="W42" s="1">
        <f t="shared" si="14"/>
        <v>21.25</v>
      </c>
      <c r="X42" s="1">
        <f t="shared" si="15"/>
        <v>21.25</v>
      </c>
      <c r="Y42" s="1">
        <v>27</v>
      </c>
      <c r="Z42" s="1">
        <v>24</v>
      </c>
      <c r="AA42" s="1">
        <v>19</v>
      </c>
      <c r="AB42" s="1">
        <v>27</v>
      </c>
      <c r="AC42" s="1">
        <v>19.8</v>
      </c>
      <c r="AD42" s="17"/>
      <c r="AE42" s="1">
        <f t="shared" si="7"/>
        <v>0</v>
      </c>
      <c r="AF42" s="1">
        <f t="shared" si="8"/>
        <v>0</v>
      </c>
      <c r="AG42" s="1">
        <f t="shared" si="9"/>
        <v>5.44</v>
      </c>
      <c r="AH42" s="1">
        <f t="shared" si="10"/>
        <v>24.6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11"/>
        <v>-32</v>
      </c>
      <c r="M43" s="1"/>
      <c r="N43" s="1"/>
      <c r="O43" s="1">
        <v>261</v>
      </c>
      <c r="P43" s="1">
        <v>220</v>
      </c>
      <c r="Q43" s="1">
        <f t="shared" si="12"/>
        <v>1.4</v>
      </c>
      <c r="R43" s="5"/>
      <c r="S43" s="5">
        <f>VLOOKUP(A43,[1]Sheet!$A:$S,19,0)</f>
        <v>0</v>
      </c>
      <c r="T43" s="5">
        <f>VLOOKUP(A43,[2]Sheet!$A:$S,19,0)</f>
        <v>0</v>
      </c>
      <c r="U43" s="5"/>
      <c r="V43" s="1"/>
      <c r="W43" s="1">
        <f t="shared" si="14"/>
        <v>344.28571428571433</v>
      </c>
      <c r="X43" s="1">
        <f t="shared" si="15"/>
        <v>344.28571428571433</v>
      </c>
      <c r="Y43" s="1">
        <v>37.6</v>
      </c>
      <c r="Z43" s="1">
        <v>10.4</v>
      </c>
      <c r="AA43" s="1">
        <v>0</v>
      </c>
      <c r="AB43" s="1">
        <v>0</v>
      </c>
      <c r="AC43" s="1">
        <v>0</v>
      </c>
      <c r="AD43" s="17"/>
      <c r="AE43" s="1">
        <f t="shared" si="7"/>
        <v>0</v>
      </c>
      <c r="AF43" s="1">
        <f t="shared" si="8"/>
        <v>0</v>
      </c>
      <c r="AG43" s="1">
        <f t="shared" si="9"/>
        <v>0.42</v>
      </c>
      <c r="AH43" s="1">
        <f t="shared" si="10"/>
        <v>66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11"/>
        <v>-39.006999999999977</v>
      </c>
      <c r="M44" s="1"/>
      <c r="N44" s="1"/>
      <c r="O44" s="1">
        <v>28</v>
      </c>
      <c r="P44" s="1">
        <v>28</v>
      </c>
      <c r="Q44" s="1">
        <f t="shared" si="12"/>
        <v>31.838600000000003</v>
      </c>
      <c r="R44" s="5">
        <f>12*Q44-P44-O44-F44</f>
        <v>254.39620000000005</v>
      </c>
      <c r="S44" s="5">
        <f>VLOOKUP(A44,[1]Sheet!$A:$S,19,0)</f>
        <v>175</v>
      </c>
      <c r="T44" s="5">
        <f>VLOOKUP(A44,[2]Sheet!$A:$S,19,0)</f>
        <v>175</v>
      </c>
      <c r="U44" s="5"/>
      <c r="V44" s="1"/>
      <c r="W44" s="1">
        <f t="shared" si="14"/>
        <v>12</v>
      </c>
      <c r="X44" s="1">
        <f t="shared" si="15"/>
        <v>4.009818270903871</v>
      </c>
      <c r="Y44" s="1">
        <v>20.409600000000001</v>
      </c>
      <c r="Z44" s="1">
        <v>20.263400000000001</v>
      </c>
      <c r="AA44" s="1">
        <v>15.980399999999999</v>
      </c>
      <c r="AB44" s="1">
        <v>16.8432</v>
      </c>
      <c r="AC44" s="1">
        <v>22.037800000000001</v>
      </c>
      <c r="AD44" s="17"/>
      <c r="AE44" s="1">
        <f t="shared" si="7"/>
        <v>175</v>
      </c>
      <c r="AF44" s="1">
        <f t="shared" si="8"/>
        <v>175</v>
      </c>
      <c r="AG44" s="1">
        <f t="shared" si="9"/>
        <v>31.838600000000003</v>
      </c>
      <c r="AH44" s="1">
        <f t="shared" si="10"/>
        <v>28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11"/>
        <v>-3.847999999999999</v>
      </c>
      <c r="M45" s="1"/>
      <c r="N45" s="1"/>
      <c r="O45" s="1">
        <v>7</v>
      </c>
      <c r="P45" s="1">
        <v>7</v>
      </c>
      <c r="Q45" s="1">
        <f t="shared" si="12"/>
        <v>13.090399999999999</v>
      </c>
      <c r="R45" s="5">
        <f t="shared" si="13"/>
        <v>91.421599999999984</v>
      </c>
      <c r="S45" s="5">
        <f>VLOOKUP(A45,[1]Sheet!$A:$S,19,0)</f>
        <v>45</v>
      </c>
      <c r="T45" s="5">
        <f>VLOOKUP(A45,[2]Sheet!$A:$S,19,0)</f>
        <v>45</v>
      </c>
      <c r="U45" s="5"/>
      <c r="V45" s="1"/>
      <c r="W45" s="1">
        <f t="shared" si="14"/>
        <v>14</v>
      </c>
      <c r="X45" s="1">
        <f t="shared" si="15"/>
        <v>7.0161339607651412</v>
      </c>
      <c r="Y45" s="1">
        <v>11.298400000000001</v>
      </c>
      <c r="Z45" s="1">
        <v>4.6558000000000002</v>
      </c>
      <c r="AA45" s="1">
        <v>13.087199999999999</v>
      </c>
      <c r="AB45" s="1">
        <v>12.334199999999999</v>
      </c>
      <c r="AC45" s="1">
        <v>7.4770000000000003</v>
      </c>
      <c r="AD45" s="17"/>
      <c r="AE45" s="1">
        <f t="shared" si="7"/>
        <v>45</v>
      </c>
      <c r="AF45" s="1">
        <f t="shared" si="8"/>
        <v>45</v>
      </c>
      <c r="AG45" s="1">
        <f t="shared" si="9"/>
        <v>13.090399999999999</v>
      </c>
      <c r="AH45" s="1">
        <f t="shared" si="10"/>
        <v>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11"/>
        <v>-12.129000000000001</v>
      </c>
      <c r="M46" s="1"/>
      <c r="N46" s="1"/>
      <c r="O46" s="1">
        <v>40</v>
      </c>
      <c r="P46" s="1">
        <v>40</v>
      </c>
      <c r="Q46" s="1">
        <f t="shared" si="12"/>
        <v>4.9942000000000002</v>
      </c>
      <c r="R46" s="5"/>
      <c r="S46" s="5">
        <f>VLOOKUP(A46,[1]Sheet!$A:$S,19,0)</f>
        <v>0</v>
      </c>
      <c r="T46" s="5">
        <f>VLOOKUP(A46,[2]Sheet!$A:$S,19,0)</f>
        <v>0</v>
      </c>
      <c r="U46" s="5"/>
      <c r="V46" s="1"/>
      <c r="W46" s="1">
        <f t="shared" si="14"/>
        <v>36.69176244443554</v>
      </c>
      <c r="X46" s="1">
        <f t="shared" si="15"/>
        <v>36.69176244443554</v>
      </c>
      <c r="Y46" s="1">
        <v>14.587400000000001</v>
      </c>
      <c r="Z46" s="1">
        <v>10.8218</v>
      </c>
      <c r="AA46" s="1">
        <v>7.1630000000000003</v>
      </c>
      <c r="AB46" s="1">
        <v>9.2463999999999995</v>
      </c>
      <c r="AC46" s="1">
        <v>11.1358</v>
      </c>
      <c r="AD46" s="17"/>
      <c r="AE46" s="1">
        <f t="shared" si="7"/>
        <v>0</v>
      </c>
      <c r="AF46" s="1">
        <f t="shared" si="8"/>
        <v>0</v>
      </c>
      <c r="AG46" s="1">
        <f t="shared" si="9"/>
        <v>4.9942000000000002</v>
      </c>
      <c r="AH46" s="1">
        <f t="shared" si="10"/>
        <v>40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11"/>
        <v>-1</v>
      </c>
      <c r="M47" s="1"/>
      <c r="N47" s="1"/>
      <c r="O47" s="1">
        <v>0</v>
      </c>
      <c r="P47" s="1">
        <v>0</v>
      </c>
      <c r="Q47" s="1">
        <f t="shared" si="12"/>
        <v>0</v>
      </c>
      <c r="R47" s="5"/>
      <c r="S47" s="5">
        <f>VLOOKUP(A47,[1]Sheet!$A:$S,19,0)</f>
        <v>0</v>
      </c>
      <c r="T47" s="5">
        <f>VLOOKUP(A47,[2]Sheet!$A:$S,19,0)</f>
        <v>0</v>
      </c>
      <c r="U47" s="5"/>
      <c r="V47" s="1"/>
      <c r="W47" s="1" t="e">
        <f t="shared" si="14"/>
        <v>#DIV/0!</v>
      </c>
      <c r="X47" s="1" t="e">
        <f t="shared" si="15"/>
        <v>#DIV/0!</v>
      </c>
      <c r="Y47" s="1">
        <v>-0.2</v>
      </c>
      <c r="Z47" s="1">
        <v>0</v>
      </c>
      <c r="AA47" s="1">
        <v>0.6</v>
      </c>
      <c r="AB47" s="1">
        <v>0</v>
      </c>
      <c r="AC47" s="1">
        <v>0</v>
      </c>
      <c r="AD47" s="21" t="s">
        <v>36</v>
      </c>
      <c r="AE47" s="1">
        <f t="shared" si="7"/>
        <v>0</v>
      </c>
      <c r="AF47" s="1">
        <f t="shared" si="8"/>
        <v>0</v>
      </c>
      <c r="AG47" s="1">
        <f t="shared" si="9"/>
        <v>0</v>
      </c>
      <c r="AH47" s="1">
        <f t="shared" si="10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11"/>
        <v>-10.579999999999998</v>
      </c>
      <c r="M48" s="1"/>
      <c r="N48" s="1"/>
      <c r="O48" s="1">
        <v>40</v>
      </c>
      <c r="P48" s="1">
        <v>40</v>
      </c>
      <c r="Q48" s="1">
        <f t="shared" si="12"/>
        <v>8.0839999999999996</v>
      </c>
      <c r="R48" s="5"/>
      <c r="S48" s="5">
        <f>VLOOKUP(A48,[1]Sheet!$A:$S,19,0)</f>
        <v>0</v>
      </c>
      <c r="T48" s="5">
        <f>VLOOKUP(A48,[2]Sheet!$A:$S,19,0)</f>
        <v>0</v>
      </c>
      <c r="U48" s="5"/>
      <c r="V48" s="1"/>
      <c r="W48" s="1">
        <f t="shared" si="14"/>
        <v>17.202127659574469</v>
      </c>
      <c r="X48" s="1">
        <f t="shared" si="15"/>
        <v>17.202127659574469</v>
      </c>
      <c r="Y48" s="1">
        <v>12.8954</v>
      </c>
      <c r="Z48" s="1">
        <v>8.7932000000000006</v>
      </c>
      <c r="AA48" s="1">
        <v>8.6042000000000005</v>
      </c>
      <c r="AB48" s="1">
        <v>11.228199999999999</v>
      </c>
      <c r="AC48" s="1">
        <v>6.4436</v>
      </c>
      <c r="AD48" s="17" t="s">
        <v>48</v>
      </c>
      <c r="AE48" s="1">
        <f t="shared" si="7"/>
        <v>0</v>
      </c>
      <c r="AF48" s="1">
        <f t="shared" si="8"/>
        <v>0</v>
      </c>
      <c r="AG48" s="1">
        <f t="shared" si="9"/>
        <v>8.0839999999999996</v>
      </c>
      <c r="AH48" s="1">
        <f t="shared" si="10"/>
        <v>40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11"/>
        <v>-23</v>
      </c>
      <c r="M49" s="1"/>
      <c r="N49" s="1"/>
      <c r="O49" s="1">
        <v>175</v>
      </c>
      <c r="P49" s="1">
        <v>150</v>
      </c>
      <c r="Q49" s="1">
        <f t="shared" si="12"/>
        <v>56.2</v>
      </c>
      <c r="R49" s="5">
        <f t="shared" si="13"/>
        <v>41.800000000000068</v>
      </c>
      <c r="S49" s="5">
        <f>VLOOKUP(A49,[1]Sheet!$A:$S,19,0)</f>
        <v>20</v>
      </c>
      <c r="T49" s="5">
        <f>VLOOKUP(A49,[2]Sheet!$A:$S,19,0)</f>
        <v>20</v>
      </c>
      <c r="U49" s="5"/>
      <c r="V49" s="1"/>
      <c r="W49" s="1">
        <f t="shared" si="14"/>
        <v>14</v>
      </c>
      <c r="X49" s="1">
        <f t="shared" si="15"/>
        <v>13.256227758007118</v>
      </c>
      <c r="Y49" s="1">
        <v>68.400000000000006</v>
      </c>
      <c r="Z49" s="1">
        <v>71.2</v>
      </c>
      <c r="AA49" s="1">
        <v>74.400000000000006</v>
      </c>
      <c r="AB49" s="1">
        <v>63.6</v>
      </c>
      <c r="AC49" s="1">
        <v>64.2</v>
      </c>
      <c r="AD49" s="17"/>
      <c r="AE49" s="1">
        <f t="shared" si="7"/>
        <v>6</v>
      </c>
      <c r="AF49" s="1">
        <f t="shared" si="8"/>
        <v>6</v>
      </c>
      <c r="AG49" s="1">
        <f t="shared" si="9"/>
        <v>16.86</v>
      </c>
      <c r="AH49" s="1">
        <f t="shared" si="10"/>
        <v>45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11"/>
        <v>-2.738999999999999</v>
      </c>
      <c r="M50" s="1"/>
      <c r="N50" s="1"/>
      <c r="O50" s="1">
        <v>0</v>
      </c>
      <c r="P50" s="1">
        <v>0</v>
      </c>
      <c r="Q50" s="1">
        <f t="shared" si="12"/>
        <v>2.4722</v>
      </c>
      <c r="R50" s="5"/>
      <c r="S50" s="5">
        <f>VLOOKUP(A50,[1]Sheet!$A:$S,19,0)</f>
        <v>0</v>
      </c>
      <c r="T50" s="5">
        <f>VLOOKUP(A50,[2]Sheet!$A:$S,19,0)</f>
        <v>0</v>
      </c>
      <c r="U50" s="5"/>
      <c r="V50" s="1"/>
      <c r="W50" s="1">
        <f t="shared" si="14"/>
        <v>36.130167462179436</v>
      </c>
      <c r="X50" s="1">
        <f t="shared" si="15"/>
        <v>36.130167462179436</v>
      </c>
      <c r="Y50" s="1">
        <v>1.8528</v>
      </c>
      <c r="Z50" s="1">
        <v>4.0805999999999996</v>
      </c>
      <c r="AA50" s="1">
        <v>3.7909999999999999</v>
      </c>
      <c r="AB50" s="1">
        <v>1.5278</v>
      </c>
      <c r="AC50" s="1">
        <v>1.7096</v>
      </c>
      <c r="AD50" s="20" t="s">
        <v>144</v>
      </c>
      <c r="AE50" s="1">
        <f t="shared" si="7"/>
        <v>0</v>
      </c>
      <c r="AF50" s="1">
        <f t="shared" si="8"/>
        <v>0</v>
      </c>
      <c r="AG50" s="1">
        <f t="shared" si="9"/>
        <v>2.4722</v>
      </c>
      <c r="AH50" s="1">
        <f t="shared" si="10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11"/>
        <v>-67</v>
      </c>
      <c r="M51" s="1"/>
      <c r="N51" s="1"/>
      <c r="O51" s="1">
        <v>300</v>
      </c>
      <c r="P51" s="1">
        <v>250</v>
      </c>
      <c r="Q51" s="1">
        <f t="shared" si="12"/>
        <v>106.4</v>
      </c>
      <c r="R51" s="5">
        <f>13*Q51-P51-O51-F51</f>
        <v>400.20000000000005</v>
      </c>
      <c r="S51" s="5">
        <f>VLOOKUP(A51,[1]Sheet!$A:$S,19,0)</f>
        <v>220</v>
      </c>
      <c r="T51" s="5">
        <f>VLOOKUP(A51,[2]Sheet!$A:$S,19,0)</f>
        <v>220</v>
      </c>
      <c r="U51" s="5"/>
      <c r="V51" s="1"/>
      <c r="W51" s="1">
        <f t="shared" si="14"/>
        <v>13</v>
      </c>
      <c r="X51" s="1">
        <f t="shared" si="15"/>
        <v>9.2387218045112771</v>
      </c>
      <c r="Y51" s="1">
        <v>105.4</v>
      </c>
      <c r="Z51" s="1">
        <v>105</v>
      </c>
      <c r="AA51" s="1">
        <v>115.8</v>
      </c>
      <c r="AB51" s="1">
        <v>93.8</v>
      </c>
      <c r="AC51" s="1">
        <v>113.4</v>
      </c>
      <c r="AD51" s="17" t="s">
        <v>84</v>
      </c>
      <c r="AE51" s="1">
        <f t="shared" si="7"/>
        <v>77</v>
      </c>
      <c r="AF51" s="1">
        <f t="shared" si="8"/>
        <v>77</v>
      </c>
      <c r="AG51" s="1">
        <f t="shared" si="9"/>
        <v>37.24</v>
      </c>
      <c r="AH51" s="1">
        <f t="shared" si="10"/>
        <v>87.5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11"/>
        <v>-74</v>
      </c>
      <c r="M52" s="1"/>
      <c r="N52" s="1"/>
      <c r="O52" s="1">
        <v>425</v>
      </c>
      <c r="P52" s="1">
        <v>400</v>
      </c>
      <c r="Q52" s="1">
        <f t="shared" si="12"/>
        <v>47.6</v>
      </c>
      <c r="R52" s="5"/>
      <c r="S52" s="5">
        <f>VLOOKUP(A52,[1]Sheet!$A:$S,19,0)</f>
        <v>0</v>
      </c>
      <c r="T52" s="5">
        <f>VLOOKUP(A52,[2]Sheet!$A:$S,19,0)</f>
        <v>0</v>
      </c>
      <c r="U52" s="5"/>
      <c r="V52" s="1"/>
      <c r="W52" s="1">
        <f t="shared" si="14"/>
        <v>17.352941176470587</v>
      </c>
      <c r="X52" s="1">
        <f t="shared" si="15"/>
        <v>17.352941176470587</v>
      </c>
      <c r="Y52" s="1">
        <v>73.2</v>
      </c>
      <c r="Z52" s="1">
        <v>41.4</v>
      </c>
      <c r="AA52" s="1">
        <v>61.8</v>
      </c>
      <c r="AB52" s="1">
        <v>60.2</v>
      </c>
      <c r="AC52" s="1">
        <v>39.4</v>
      </c>
      <c r="AD52" s="17"/>
      <c r="AE52" s="1">
        <f t="shared" si="7"/>
        <v>0</v>
      </c>
      <c r="AF52" s="1">
        <f t="shared" si="8"/>
        <v>0</v>
      </c>
      <c r="AG52" s="1">
        <f t="shared" si="9"/>
        <v>19.515999999999998</v>
      </c>
      <c r="AH52" s="1">
        <f t="shared" si="10"/>
        <v>164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11"/>
        <v>-18</v>
      </c>
      <c r="M53" s="1"/>
      <c r="N53" s="1"/>
      <c r="O53" s="1">
        <v>0</v>
      </c>
      <c r="P53" s="1">
        <v>0</v>
      </c>
      <c r="Q53" s="1">
        <f t="shared" si="12"/>
        <v>21.2</v>
      </c>
      <c r="R53" s="5"/>
      <c r="S53" s="5">
        <f>VLOOKUP(A53,[1]Sheet!$A:$S,19,0)</f>
        <v>0</v>
      </c>
      <c r="T53" s="5">
        <f>VLOOKUP(A53,[2]Sheet!$A:$S,19,0)</f>
        <v>0</v>
      </c>
      <c r="U53" s="5"/>
      <c r="V53" s="1"/>
      <c r="W53" s="1">
        <f t="shared" si="14"/>
        <v>14.009433962264151</v>
      </c>
      <c r="X53" s="1">
        <f t="shared" si="15"/>
        <v>14.009433962264151</v>
      </c>
      <c r="Y53" s="1">
        <v>22.8</v>
      </c>
      <c r="Z53" s="1">
        <v>28.6</v>
      </c>
      <c r="AA53" s="1">
        <v>24</v>
      </c>
      <c r="AB53" s="1">
        <v>27.8</v>
      </c>
      <c r="AC53" s="1">
        <v>40.799999999999997</v>
      </c>
      <c r="AD53" s="17"/>
      <c r="AE53" s="1">
        <f t="shared" si="7"/>
        <v>0</v>
      </c>
      <c r="AF53" s="1">
        <f t="shared" si="8"/>
        <v>0</v>
      </c>
      <c r="AG53" s="1">
        <f t="shared" si="9"/>
        <v>8.6919999999999984</v>
      </c>
      <c r="AH53" s="1">
        <f t="shared" si="10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11"/>
        <v>0</v>
      </c>
      <c r="M54" s="1"/>
      <c r="N54" s="1"/>
      <c r="O54" s="1">
        <v>0</v>
      </c>
      <c r="P54" s="1">
        <v>0</v>
      </c>
      <c r="Q54" s="1">
        <f t="shared" si="12"/>
        <v>0</v>
      </c>
      <c r="R54" s="5"/>
      <c r="S54" s="5">
        <f>VLOOKUP(A54,[1]Sheet!$A:$S,19,0)</f>
        <v>0</v>
      </c>
      <c r="T54" s="5">
        <f>VLOOKUP(A54,[2]Sheet!$A:$S,19,0)</f>
        <v>0</v>
      </c>
      <c r="U54" s="5"/>
      <c r="V54" s="1"/>
      <c r="W54" s="1" t="e">
        <f t="shared" si="14"/>
        <v>#DIV/0!</v>
      </c>
      <c r="X54" s="1" t="e">
        <f t="shared" si="15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21" t="s">
        <v>36</v>
      </c>
      <c r="AE54" s="1">
        <f t="shared" si="7"/>
        <v>0</v>
      </c>
      <c r="AF54" s="1">
        <f t="shared" si="8"/>
        <v>0</v>
      </c>
      <c r="AG54" s="1">
        <f t="shared" si="9"/>
        <v>0</v>
      </c>
      <c r="AH54" s="1">
        <f t="shared" si="1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11"/>
        <v>-104</v>
      </c>
      <c r="M55" s="1"/>
      <c r="N55" s="1"/>
      <c r="O55" s="1">
        <v>0</v>
      </c>
      <c r="P55" s="1">
        <v>0</v>
      </c>
      <c r="Q55" s="1">
        <f t="shared" si="12"/>
        <v>-1</v>
      </c>
      <c r="R55" s="5"/>
      <c r="S55" s="5">
        <f>VLOOKUP(A55,[1]Sheet!$A:$S,19,0)</f>
        <v>0</v>
      </c>
      <c r="T55" s="5">
        <f>VLOOKUP(A55,[2]Sheet!$A:$S,19,0)</f>
        <v>0</v>
      </c>
      <c r="U55" s="5"/>
      <c r="V55" s="1"/>
      <c r="W55" s="1">
        <f t="shared" si="14"/>
        <v>-35</v>
      </c>
      <c r="X55" s="1">
        <f t="shared" si="15"/>
        <v>-35</v>
      </c>
      <c r="Y55" s="1">
        <v>-0.6</v>
      </c>
      <c r="Z55" s="1">
        <v>-2.4</v>
      </c>
      <c r="AA55" s="1">
        <v>5.2</v>
      </c>
      <c r="AB55" s="1">
        <v>4.2</v>
      </c>
      <c r="AC55" s="1">
        <v>8.6</v>
      </c>
      <c r="AD55" s="17" t="s">
        <v>48</v>
      </c>
      <c r="AE55" s="1">
        <f t="shared" si="7"/>
        <v>0</v>
      </c>
      <c r="AF55" s="1">
        <f t="shared" si="8"/>
        <v>0</v>
      </c>
      <c r="AG55" s="1">
        <f t="shared" si="9"/>
        <v>-0.36</v>
      </c>
      <c r="AH55" s="1">
        <f t="shared" si="1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12"/>
        <v>0</v>
      </c>
      <c r="R56" s="5"/>
      <c r="S56" s="5">
        <f>VLOOKUP(A56,[1]Sheet!$A:$S,19,0)</f>
        <v>0</v>
      </c>
      <c r="T56" s="5">
        <f>VLOOKUP(A56,[2]Sheet!$A:$S,19,0)</f>
        <v>0</v>
      </c>
      <c r="U56" s="5"/>
      <c r="V56" s="1"/>
      <c r="W56" s="1" t="e">
        <f t="shared" si="14"/>
        <v>#DIV/0!</v>
      </c>
      <c r="X56" s="1" t="e">
        <f t="shared" si="15"/>
        <v>#DIV/0!</v>
      </c>
      <c r="Y56" s="1">
        <v>0.21940000000000001</v>
      </c>
      <c r="Z56" s="1">
        <v>1.0768</v>
      </c>
      <c r="AA56" s="1">
        <v>0.21679999999999999</v>
      </c>
      <c r="AB56" s="1">
        <v>0</v>
      </c>
      <c r="AC56" s="1">
        <v>0.87439999999999996</v>
      </c>
      <c r="AD56" s="17"/>
      <c r="AE56" s="1">
        <f t="shared" si="7"/>
        <v>0</v>
      </c>
      <c r="AF56" s="1">
        <f t="shared" si="8"/>
        <v>0</v>
      </c>
      <c r="AG56" s="1">
        <f t="shared" si="9"/>
        <v>0</v>
      </c>
      <c r="AH56" s="1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11"/>
        <v>-39</v>
      </c>
      <c r="M57" s="1"/>
      <c r="N57" s="1"/>
      <c r="O57" s="1">
        <v>0</v>
      </c>
      <c r="P57" s="1">
        <v>0</v>
      </c>
      <c r="Q57" s="1">
        <f t="shared" si="12"/>
        <v>7.8</v>
      </c>
      <c r="R57" s="5"/>
      <c r="S57" s="5">
        <f>VLOOKUP(A57,[1]Sheet!$A:$S,19,0)</f>
        <v>0</v>
      </c>
      <c r="T57" s="5">
        <f>VLOOKUP(A57,[2]Sheet!$A:$S,19,0)</f>
        <v>0</v>
      </c>
      <c r="U57" s="5"/>
      <c r="V57" s="1"/>
      <c r="W57" s="1">
        <f t="shared" si="14"/>
        <v>17.692307692307693</v>
      </c>
      <c r="X57" s="1">
        <f t="shared" si="15"/>
        <v>17.692307692307693</v>
      </c>
      <c r="Y57" s="1">
        <v>4.2</v>
      </c>
      <c r="Z57" s="1">
        <v>11.8</v>
      </c>
      <c r="AA57" s="1">
        <v>12.6</v>
      </c>
      <c r="AB57" s="1">
        <v>6</v>
      </c>
      <c r="AC57" s="1">
        <v>3.6</v>
      </c>
      <c r="AD57" s="17"/>
      <c r="AE57" s="1">
        <f t="shared" si="7"/>
        <v>0</v>
      </c>
      <c r="AF57" s="1">
        <f t="shared" si="8"/>
        <v>0</v>
      </c>
      <c r="AG57" s="1">
        <f t="shared" si="9"/>
        <v>2.5739999999999998</v>
      </c>
      <c r="AH57" s="1">
        <f t="shared" si="1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11"/>
        <v>-60</v>
      </c>
      <c r="M58" s="10"/>
      <c r="N58" s="10"/>
      <c r="O58" s="10">
        <v>0</v>
      </c>
      <c r="P58" s="10">
        <v>0</v>
      </c>
      <c r="Q58" s="10">
        <f t="shared" si="12"/>
        <v>16.2</v>
      </c>
      <c r="R58" s="12"/>
      <c r="S58" s="5">
        <f>VLOOKUP(A58,[1]Sheet!$A:$S,19,0)</f>
        <v>0</v>
      </c>
      <c r="T58" s="5">
        <f>VLOOKUP(A58,[2]Sheet!$A:$S,19,0)</f>
        <v>0</v>
      </c>
      <c r="U58" s="12"/>
      <c r="V58" s="10"/>
      <c r="W58" s="10">
        <f t="shared" si="14"/>
        <v>-5.0617283950617287</v>
      </c>
      <c r="X58" s="10">
        <f t="shared" si="15"/>
        <v>-5.0617283950617287</v>
      </c>
      <c r="Y58" s="10">
        <v>2.8</v>
      </c>
      <c r="Z58" s="10">
        <v>36.799999999999997</v>
      </c>
      <c r="AA58" s="10">
        <v>8.8000000000000007</v>
      </c>
      <c r="AB58" s="10">
        <v>16.600000000000001</v>
      </c>
      <c r="AC58" s="10">
        <v>27.4</v>
      </c>
      <c r="AD58" s="19"/>
      <c r="AE58" s="1">
        <f t="shared" si="7"/>
        <v>0</v>
      </c>
      <c r="AF58" s="1">
        <f t="shared" si="8"/>
        <v>0</v>
      </c>
      <c r="AG58" s="1">
        <f t="shared" si="9"/>
        <v>0</v>
      </c>
      <c r="AH58" s="1">
        <f t="shared" si="1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11"/>
        <v>-7</v>
      </c>
      <c r="M59" s="1"/>
      <c r="N59" s="1"/>
      <c r="O59" s="1">
        <v>0</v>
      </c>
      <c r="P59" s="1">
        <v>0</v>
      </c>
      <c r="Q59" s="1">
        <f t="shared" si="12"/>
        <v>14.6</v>
      </c>
      <c r="R59" s="5"/>
      <c r="S59" s="5">
        <f>VLOOKUP(A59,[1]Sheet!$A:$S,19,0)</f>
        <v>0</v>
      </c>
      <c r="T59" s="5">
        <f>VLOOKUP(A59,[2]Sheet!$A:$S,19,0)</f>
        <v>0</v>
      </c>
      <c r="U59" s="5"/>
      <c r="V59" s="1"/>
      <c r="W59" s="1">
        <f t="shared" si="14"/>
        <v>32.19178082191781</v>
      </c>
      <c r="X59" s="1">
        <f t="shared" si="15"/>
        <v>32.19178082191781</v>
      </c>
      <c r="Y59" s="1">
        <v>28</v>
      </c>
      <c r="Z59" s="1">
        <v>41.8</v>
      </c>
      <c r="AA59" s="1">
        <v>2.8</v>
      </c>
      <c r="AB59" s="1">
        <v>0</v>
      </c>
      <c r="AC59" s="1">
        <v>0</v>
      </c>
      <c r="AD59" s="20" t="s">
        <v>144</v>
      </c>
      <c r="AE59" s="1">
        <f t="shared" si="7"/>
        <v>0</v>
      </c>
      <c r="AF59" s="1">
        <f t="shared" si="8"/>
        <v>0</v>
      </c>
      <c r="AG59" s="1">
        <f t="shared" si="9"/>
        <v>5.84</v>
      </c>
      <c r="AH59" s="1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11"/>
        <v>-7</v>
      </c>
      <c r="M60" s="1"/>
      <c r="N60" s="1"/>
      <c r="O60" s="1">
        <v>0</v>
      </c>
      <c r="P60" s="1">
        <v>0</v>
      </c>
      <c r="Q60" s="1">
        <f t="shared" si="12"/>
        <v>2.6</v>
      </c>
      <c r="R60" s="5"/>
      <c r="S60" s="5">
        <f>VLOOKUP(A60,[1]Sheet!$A:$S,19,0)</f>
        <v>0</v>
      </c>
      <c r="T60" s="5">
        <f>VLOOKUP(A60,[2]Sheet!$A:$S,19,0)</f>
        <v>0</v>
      </c>
      <c r="U60" s="5"/>
      <c r="V60" s="1"/>
      <c r="W60" s="1">
        <f t="shared" si="14"/>
        <v>27.307692307692307</v>
      </c>
      <c r="X60" s="1">
        <f t="shared" si="15"/>
        <v>27.307692307692307</v>
      </c>
      <c r="Y60" s="1">
        <v>2</v>
      </c>
      <c r="Z60" s="1">
        <v>3</v>
      </c>
      <c r="AA60" s="1">
        <v>9.8000000000000007</v>
      </c>
      <c r="AB60" s="1">
        <v>9.8000000000000007</v>
      </c>
      <c r="AC60" s="1">
        <v>11.8</v>
      </c>
      <c r="AD60" s="21" t="s">
        <v>36</v>
      </c>
      <c r="AE60" s="1">
        <f t="shared" si="7"/>
        <v>0</v>
      </c>
      <c r="AF60" s="1">
        <f t="shared" si="8"/>
        <v>0</v>
      </c>
      <c r="AG60" s="1">
        <f t="shared" si="9"/>
        <v>0.8580000000000001</v>
      </c>
      <c r="AH60" s="1">
        <f t="shared" si="1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11"/>
        <v>-10.711000000000013</v>
      </c>
      <c r="M61" s="1"/>
      <c r="N61" s="1"/>
      <c r="O61" s="1">
        <v>130</v>
      </c>
      <c r="P61" s="1">
        <v>100</v>
      </c>
      <c r="Q61" s="1">
        <f t="shared" si="12"/>
        <v>35.937799999999996</v>
      </c>
      <c r="R61" s="5">
        <f t="shared" si="13"/>
        <v>136.60219999999998</v>
      </c>
      <c r="S61" s="5">
        <f>VLOOKUP(A61,[1]Sheet!$A:$S,19,0)</f>
        <v>80</v>
      </c>
      <c r="T61" s="5">
        <f>VLOOKUP(A61,[2]Sheet!$A:$S,19,0)</f>
        <v>80</v>
      </c>
      <c r="U61" s="5"/>
      <c r="V61" s="1"/>
      <c r="W61" s="1">
        <f t="shared" si="14"/>
        <v>14</v>
      </c>
      <c r="X61" s="1">
        <f t="shared" si="15"/>
        <v>10.198927035043882</v>
      </c>
      <c r="Y61" s="1">
        <v>37.403599999999997</v>
      </c>
      <c r="Z61" s="1">
        <v>36.323599999999999</v>
      </c>
      <c r="AA61" s="1">
        <v>40.341200000000001</v>
      </c>
      <c r="AB61" s="1">
        <v>31.178799999999999</v>
      </c>
      <c r="AC61" s="1">
        <v>31.852</v>
      </c>
      <c r="AD61" s="17"/>
      <c r="AE61" s="1">
        <f t="shared" si="7"/>
        <v>80</v>
      </c>
      <c r="AF61" s="1">
        <f t="shared" si="8"/>
        <v>80</v>
      </c>
      <c r="AG61" s="1">
        <f t="shared" si="9"/>
        <v>35.937799999999996</v>
      </c>
      <c r="AH61" s="1">
        <f t="shared" si="10"/>
        <v>100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11"/>
        <v>-6</v>
      </c>
      <c r="M62" s="1"/>
      <c r="N62" s="1"/>
      <c r="O62" s="1">
        <v>50</v>
      </c>
      <c r="P62" s="1">
        <v>50</v>
      </c>
      <c r="Q62" s="1">
        <f t="shared" si="12"/>
        <v>1.2</v>
      </c>
      <c r="R62" s="5"/>
      <c r="S62" s="5">
        <f>VLOOKUP(A62,[1]Sheet!$A:$S,19,0)</f>
        <v>0</v>
      </c>
      <c r="T62" s="5">
        <f>VLOOKUP(A62,[2]Sheet!$A:$S,19,0)</f>
        <v>0</v>
      </c>
      <c r="U62" s="5"/>
      <c r="V62" s="1"/>
      <c r="W62" s="1">
        <f t="shared" si="14"/>
        <v>108.33333333333334</v>
      </c>
      <c r="X62" s="1">
        <f t="shared" si="15"/>
        <v>108.33333333333334</v>
      </c>
      <c r="Y62" s="1">
        <v>3.8</v>
      </c>
      <c r="Z62" s="1">
        <v>0</v>
      </c>
      <c r="AA62" s="1">
        <v>1.2</v>
      </c>
      <c r="AB62" s="1">
        <v>1.2</v>
      </c>
      <c r="AC62" s="1">
        <v>-0.2</v>
      </c>
      <c r="AD62" s="20" t="s">
        <v>144</v>
      </c>
      <c r="AE62" s="1">
        <f t="shared" si="7"/>
        <v>0</v>
      </c>
      <c r="AF62" s="1">
        <f t="shared" si="8"/>
        <v>0</v>
      </c>
      <c r="AG62" s="1">
        <f t="shared" si="9"/>
        <v>0.12</v>
      </c>
      <c r="AH62" s="1">
        <f t="shared" si="10"/>
        <v>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11"/>
        <v>-43</v>
      </c>
      <c r="M63" s="1"/>
      <c r="N63" s="1"/>
      <c r="O63" s="1">
        <v>25</v>
      </c>
      <c r="P63" s="1">
        <v>25</v>
      </c>
      <c r="Q63" s="1">
        <f t="shared" si="12"/>
        <v>10.4</v>
      </c>
      <c r="R63" s="5"/>
      <c r="S63" s="5">
        <f>VLOOKUP(A63,[1]Sheet!$A:$S,19,0)</f>
        <v>0</v>
      </c>
      <c r="T63" s="5">
        <f>VLOOKUP(A63,[2]Sheet!$A:$S,19,0)</f>
        <v>0</v>
      </c>
      <c r="U63" s="5"/>
      <c r="V63" s="1"/>
      <c r="W63" s="1">
        <f t="shared" si="14"/>
        <v>16.923076923076923</v>
      </c>
      <c r="X63" s="1">
        <f t="shared" si="15"/>
        <v>16.923076923076923</v>
      </c>
      <c r="Y63" s="1">
        <v>15.8</v>
      </c>
      <c r="Z63" s="1">
        <v>16</v>
      </c>
      <c r="AA63" s="1">
        <v>17.2</v>
      </c>
      <c r="AB63" s="1">
        <v>12.2</v>
      </c>
      <c r="AC63" s="1">
        <v>19.399999999999999</v>
      </c>
      <c r="AD63" s="17"/>
      <c r="AE63" s="1">
        <f t="shared" si="7"/>
        <v>0</v>
      </c>
      <c r="AF63" s="1">
        <f t="shared" si="8"/>
        <v>0</v>
      </c>
      <c r="AG63" s="1">
        <f t="shared" si="9"/>
        <v>4.16</v>
      </c>
      <c r="AH63" s="1">
        <f t="shared" si="10"/>
        <v>10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11"/>
        <v>-3</v>
      </c>
      <c r="M64" s="1"/>
      <c r="N64" s="1"/>
      <c r="O64" s="1">
        <v>25</v>
      </c>
      <c r="P64" s="1">
        <v>25</v>
      </c>
      <c r="Q64" s="1">
        <f t="shared" si="12"/>
        <v>1.9</v>
      </c>
      <c r="R64" s="5"/>
      <c r="S64" s="5">
        <f>VLOOKUP(A64,[1]Sheet!$A:$S,19,0)</f>
        <v>0</v>
      </c>
      <c r="T64" s="5">
        <f>VLOOKUP(A64,[2]Sheet!$A:$S,19,0)</f>
        <v>0</v>
      </c>
      <c r="U64" s="5"/>
      <c r="V64" s="1"/>
      <c r="W64" s="1">
        <f t="shared" si="14"/>
        <v>26.315789473684212</v>
      </c>
      <c r="X64" s="1">
        <f t="shared" si="15"/>
        <v>26.315789473684212</v>
      </c>
      <c r="Y64" s="1">
        <v>1.615</v>
      </c>
      <c r="Z64" s="1">
        <v>0.88800000000000001</v>
      </c>
      <c r="AA64" s="1">
        <v>2.411</v>
      </c>
      <c r="AB64" s="1">
        <v>1.518</v>
      </c>
      <c r="AC64" s="1">
        <v>1.8169999999999999</v>
      </c>
      <c r="AD64" s="17" t="s">
        <v>98</v>
      </c>
      <c r="AE64" s="1">
        <f t="shared" si="7"/>
        <v>0</v>
      </c>
      <c r="AF64" s="1">
        <f t="shared" si="8"/>
        <v>0</v>
      </c>
      <c r="AG64" s="1">
        <f t="shared" si="9"/>
        <v>1.9</v>
      </c>
      <c r="AH64" s="1">
        <f t="shared" si="10"/>
        <v>25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11"/>
        <v>-1</v>
      </c>
      <c r="M65" s="1"/>
      <c r="N65" s="1"/>
      <c r="O65" s="1">
        <v>0</v>
      </c>
      <c r="P65" s="1">
        <v>0</v>
      </c>
      <c r="Q65" s="1">
        <f t="shared" si="12"/>
        <v>7.6</v>
      </c>
      <c r="R65" s="5"/>
      <c r="S65" s="5">
        <f>VLOOKUP(A65,[1]Sheet!$A:$S,19,0)</f>
        <v>0</v>
      </c>
      <c r="T65" s="5">
        <f>VLOOKUP(A65,[2]Sheet!$A:$S,19,0)</f>
        <v>0</v>
      </c>
      <c r="U65" s="5"/>
      <c r="V65" s="1"/>
      <c r="W65" s="1">
        <f t="shared" si="14"/>
        <v>25.789473684210527</v>
      </c>
      <c r="X65" s="1">
        <f t="shared" si="15"/>
        <v>25.789473684210527</v>
      </c>
      <c r="Y65" s="1">
        <v>4.2</v>
      </c>
      <c r="Z65" s="1">
        <v>14.2</v>
      </c>
      <c r="AA65" s="1">
        <v>14.4</v>
      </c>
      <c r="AB65" s="1">
        <v>8.8000000000000007</v>
      </c>
      <c r="AC65" s="1">
        <v>5.8</v>
      </c>
      <c r="AD65" s="20" t="s">
        <v>144</v>
      </c>
      <c r="AE65" s="1">
        <f t="shared" si="7"/>
        <v>0</v>
      </c>
      <c r="AF65" s="1">
        <f t="shared" si="8"/>
        <v>0</v>
      </c>
      <c r="AG65" s="1">
        <f t="shared" si="9"/>
        <v>4.5599999999999996</v>
      </c>
      <c r="AH65" s="1">
        <f t="shared" si="1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11"/>
        <v>0</v>
      </c>
      <c r="M66" s="10"/>
      <c r="N66" s="10"/>
      <c r="O66" s="10">
        <v>32</v>
      </c>
      <c r="P66" s="10">
        <v>32</v>
      </c>
      <c r="Q66" s="10">
        <f t="shared" si="12"/>
        <v>0</v>
      </c>
      <c r="R66" s="12"/>
      <c r="S66" s="5">
        <f>VLOOKUP(A66,[1]Sheet!$A:$S,19,0)</f>
        <v>0</v>
      </c>
      <c r="T66" s="5">
        <f>VLOOKUP(A66,[2]Sheet!$A:$S,19,0)</f>
        <v>0</v>
      </c>
      <c r="U66" s="12"/>
      <c r="V66" s="10"/>
      <c r="W66" s="10" t="e">
        <f t="shared" si="14"/>
        <v>#DIV/0!</v>
      </c>
      <c r="X66" s="10" t="e">
        <f t="shared" si="15"/>
        <v>#DIV/0!</v>
      </c>
      <c r="Y66" s="10">
        <v>0.311</v>
      </c>
      <c r="Z66" s="10">
        <v>0</v>
      </c>
      <c r="AA66" s="10">
        <v>0</v>
      </c>
      <c r="AB66" s="10">
        <v>0</v>
      </c>
      <c r="AC66" s="10">
        <v>0</v>
      </c>
      <c r="AD66" s="19"/>
      <c r="AE66" s="1">
        <f t="shared" si="7"/>
        <v>0</v>
      </c>
      <c r="AF66" s="1">
        <f t="shared" si="8"/>
        <v>0</v>
      </c>
      <c r="AG66" s="1">
        <f t="shared" si="9"/>
        <v>0</v>
      </c>
      <c r="AH66" s="1">
        <f t="shared" si="10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11"/>
        <v>-9</v>
      </c>
      <c r="M67" s="1"/>
      <c r="N67" s="1"/>
      <c r="O67" s="1">
        <v>0</v>
      </c>
      <c r="P67" s="1">
        <v>0</v>
      </c>
      <c r="Q67" s="1">
        <f t="shared" si="12"/>
        <v>12.8</v>
      </c>
      <c r="R67" s="5">
        <f>13*Q67-P67-O67-F67</f>
        <v>115.4</v>
      </c>
      <c r="S67" s="5">
        <f>VLOOKUP(A67,[1]Sheet!$A:$S,19,0)</f>
        <v>60</v>
      </c>
      <c r="T67" s="5">
        <f>VLOOKUP(A67,[2]Sheet!$A:$S,19,0)</f>
        <v>60</v>
      </c>
      <c r="U67" s="5"/>
      <c r="V67" s="1"/>
      <c r="W67" s="1">
        <f t="shared" si="14"/>
        <v>13</v>
      </c>
      <c r="X67" s="1">
        <f t="shared" si="15"/>
        <v>3.984375</v>
      </c>
      <c r="Y67" s="1">
        <v>4.2</v>
      </c>
      <c r="Z67" s="1">
        <v>6.2</v>
      </c>
      <c r="AA67" s="1">
        <v>12</v>
      </c>
      <c r="AB67" s="1">
        <v>7.6</v>
      </c>
      <c r="AC67" s="1">
        <v>9.4</v>
      </c>
      <c r="AD67" s="17"/>
      <c r="AE67" s="1">
        <f t="shared" si="7"/>
        <v>15</v>
      </c>
      <c r="AF67" s="1">
        <f t="shared" si="8"/>
        <v>15</v>
      </c>
      <c r="AG67" s="1">
        <f t="shared" si="9"/>
        <v>3.2</v>
      </c>
      <c r="AH67" s="1">
        <f t="shared" si="1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11"/>
        <v>-4.6539999999999999</v>
      </c>
      <c r="M68" s="1"/>
      <c r="N68" s="1"/>
      <c r="O68" s="1">
        <v>0</v>
      </c>
      <c r="P68" s="1">
        <v>0</v>
      </c>
      <c r="Q68" s="1">
        <f t="shared" si="12"/>
        <v>2.0691999999999999</v>
      </c>
      <c r="R68" s="5"/>
      <c r="S68" s="5">
        <f>VLOOKUP(A68,[1]Sheet!$A:$S,19,0)</f>
        <v>0</v>
      </c>
      <c r="T68" s="5">
        <f>VLOOKUP(A68,[2]Sheet!$A:$S,19,0)</f>
        <v>0</v>
      </c>
      <c r="U68" s="5"/>
      <c r="V68" s="1"/>
      <c r="W68" s="1">
        <f t="shared" si="14"/>
        <v>39.721148269862752</v>
      </c>
      <c r="X68" s="1">
        <f t="shared" si="15"/>
        <v>39.721148269862752</v>
      </c>
      <c r="Y68" s="1">
        <v>0.59420000000000006</v>
      </c>
      <c r="Z68" s="1">
        <v>5.7103999999999999</v>
      </c>
      <c r="AA68" s="1">
        <v>6.8785999999999996</v>
      </c>
      <c r="AB68" s="1">
        <v>3.8618000000000001</v>
      </c>
      <c r="AC68" s="1">
        <v>3.7509999999999999</v>
      </c>
      <c r="AD68" s="17"/>
      <c r="AE68" s="1">
        <f t="shared" si="7"/>
        <v>0</v>
      </c>
      <c r="AF68" s="1">
        <f t="shared" si="8"/>
        <v>0</v>
      </c>
      <c r="AG68" s="1">
        <f t="shared" si="9"/>
        <v>2.0691999999999999</v>
      </c>
      <c r="AH68" s="1">
        <f t="shared" si="10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11"/>
        <v>-12</v>
      </c>
      <c r="M69" s="1"/>
      <c r="N69" s="1"/>
      <c r="O69" s="1">
        <v>150</v>
      </c>
      <c r="P69" s="1">
        <v>150</v>
      </c>
      <c r="Q69" s="1">
        <f t="shared" si="12"/>
        <v>25.4</v>
      </c>
      <c r="R69" s="5"/>
      <c r="S69" s="5">
        <f>VLOOKUP(A69,[1]Sheet!$A:$S,19,0)</f>
        <v>0</v>
      </c>
      <c r="T69" s="5">
        <f>VLOOKUP(A69,[2]Sheet!$A:$S,19,0)</f>
        <v>0</v>
      </c>
      <c r="U69" s="5"/>
      <c r="V69" s="1"/>
      <c r="W69" s="1">
        <f t="shared" si="14"/>
        <v>18.818897637795278</v>
      </c>
      <c r="X69" s="1">
        <f t="shared" si="15"/>
        <v>18.818897637795278</v>
      </c>
      <c r="Y69" s="1">
        <v>37.799999999999997</v>
      </c>
      <c r="Z69" s="1">
        <v>31.8</v>
      </c>
      <c r="AA69" s="1">
        <v>37.200000000000003</v>
      </c>
      <c r="AB69" s="1">
        <v>12.8</v>
      </c>
      <c r="AC69" s="1">
        <v>20</v>
      </c>
      <c r="AD69" s="17"/>
      <c r="AE69" s="1">
        <f t="shared" si="7"/>
        <v>0</v>
      </c>
      <c r="AF69" s="1">
        <f t="shared" si="8"/>
        <v>0</v>
      </c>
      <c r="AG69" s="1">
        <f t="shared" si="9"/>
        <v>7.6199999999999992</v>
      </c>
      <c r="AH69" s="1">
        <f t="shared" si="10"/>
        <v>45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6">E70-K70</f>
        <v>-48</v>
      </c>
      <c r="M70" s="1"/>
      <c r="N70" s="1"/>
      <c r="O70" s="1">
        <v>750</v>
      </c>
      <c r="P70" s="1">
        <v>750</v>
      </c>
      <c r="Q70" s="1">
        <f t="shared" ref="Q70:Q106" si="17">E70/5</f>
        <v>150.80000000000001</v>
      </c>
      <c r="R70" s="5">
        <f t="shared" si="13"/>
        <v>51.200000000000273</v>
      </c>
      <c r="S70" s="5">
        <f>VLOOKUP(A70,[1]Sheet!$A:$S,19,0)</f>
        <v>25</v>
      </c>
      <c r="T70" s="5">
        <f>VLOOKUP(A70,[2]Sheet!$A:$S,19,0)</f>
        <v>25</v>
      </c>
      <c r="U70" s="5"/>
      <c r="V70" s="1"/>
      <c r="W70" s="1">
        <f t="shared" ref="W70:W106" si="18">(F70+O70+P70+R70)/Q70</f>
        <v>14</v>
      </c>
      <c r="X70" s="1">
        <f t="shared" ref="X70:X106" si="19">(F70+O70+P70)/Q70</f>
        <v>13.660477453580901</v>
      </c>
      <c r="Y70" s="1">
        <v>190.8</v>
      </c>
      <c r="Z70" s="1">
        <v>154.6</v>
      </c>
      <c r="AA70" s="1">
        <v>201.6</v>
      </c>
      <c r="AB70" s="1">
        <v>171.6</v>
      </c>
      <c r="AC70" s="1">
        <v>126.6</v>
      </c>
      <c r="AD70" s="17"/>
      <c r="AE70" s="1">
        <f t="shared" si="7"/>
        <v>10.25</v>
      </c>
      <c r="AF70" s="1">
        <f t="shared" si="8"/>
        <v>10.25</v>
      </c>
      <c r="AG70" s="1">
        <f t="shared" si="9"/>
        <v>61.828000000000003</v>
      </c>
      <c r="AH70" s="1">
        <f t="shared" si="10"/>
        <v>307.5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6"/>
        <v>-15.631999999999991</v>
      </c>
      <c r="M71" s="1"/>
      <c r="N71" s="1"/>
      <c r="O71" s="1">
        <v>100</v>
      </c>
      <c r="P71" s="1">
        <v>100</v>
      </c>
      <c r="Q71" s="1">
        <f t="shared" si="17"/>
        <v>16.393599999999999</v>
      </c>
      <c r="R71" s="5"/>
      <c r="S71" s="5">
        <f>VLOOKUP(A71,[1]Sheet!$A:$S,19,0)</f>
        <v>0</v>
      </c>
      <c r="T71" s="5">
        <f>VLOOKUP(A71,[2]Sheet!$A:$S,19,0)</f>
        <v>0</v>
      </c>
      <c r="U71" s="5"/>
      <c r="V71" s="1"/>
      <c r="W71" s="1">
        <f t="shared" si="18"/>
        <v>18.214547140347452</v>
      </c>
      <c r="X71" s="1">
        <f t="shared" si="19"/>
        <v>18.214547140347452</v>
      </c>
      <c r="Y71" s="1">
        <v>23.993600000000001</v>
      </c>
      <c r="Z71" s="1">
        <v>17.883800000000001</v>
      </c>
      <c r="AA71" s="1">
        <v>28.195399999999999</v>
      </c>
      <c r="AB71" s="1">
        <v>23.4</v>
      </c>
      <c r="AC71" s="1">
        <v>19.577400000000001</v>
      </c>
      <c r="AD71" s="17"/>
      <c r="AE71" s="1">
        <f t="shared" ref="AE71:AE106" si="20">G71*S71</f>
        <v>0</v>
      </c>
      <c r="AF71" s="1">
        <f t="shared" ref="AF71:AF106" si="21">G71*T71</f>
        <v>0</v>
      </c>
      <c r="AG71" s="1">
        <f t="shared" ref="AG71:AG103" si="22">Q71*G71</f>
        <v>16.393599999999999</v>
      </c>
      <c r="AH71" s="1">
        <f t="shared" ref="AH71:AH106" si="23">P71*G71</f>
        <v>100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6"/>
        <v>-37</v>
      </c>
      <c r="M72" s="1"/>
      <c r="N72" s="1"/>
      <c r="O72" s="1">
        <v>180</v>
      </c>
      <c r="P72" s="1">
        <v>180</v>
      </c>
      <c r="Q72" s="1">
        <f t="shared" si="17"/>
        <v>27.8</v>
      </c>
      <c r="R72" s="5">
        <f t="shared" si="13"/>
        <v>12.199999999999989</v>
      </c>
      <c r="S72" s="5">
        <f>VLOOKUP(A72,[1]Sheet!$A:$S,19,0)</f>
        <v>6</v>
      </c>
      <c r="T72" s="5">
        <f>VLOOKUP(A72,[2]Sheet!$A:$S,19,0)</f>
        <v>6</v>
      </c>
      <c r="U72" s="5"/>
      <c r="V72" s="1"/>
      <c r="W72" s="1">
        <f t="shared" si="18"/>
        <v>14</v>
      </c>
      <c r="X72" s="1">
        <f t="shared" si="19"/>
        <v>13.561151079136691</v>
      </c>
      <c r="Y72" s="1">
        <v>32</v>
      </c>
      <c r="Z72" s="1">
        <v>11.2</v>
      </c>
      <c r="AA72" s="1">
        <v>26.4</v>
      </c>
      <c r="AB72" s="1">
        <v>26.8</v>
      </c>
      <c r="AC72" s="1">
        <v>11.2</v>
      </c>
      <c r="AD72" s="17"/>
      <c r="AE72" s="1">
        <f t="shared" si="20"/>
        <v>2.0999999999999996</v>
      </c>
      <c r="AF72" s="1">
        <f t="shared" si="21"/>
        <v>2.0999999999999996</v>
      </c>
      <c r="AG72" s="1">
        <f t="shared" si="22"/>
        <v>9.73</v>
      </c>
      <c r="AH72" s="1">
        <f t="shared" si="23"/>
        <v>62.999999999999993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6"/>
        <v>-0.73300000000000054</v>
      </c>
      <c r="M73" s="1"/>
      <c r="N73" s="1"/>
      <c r="O73" s="1">
        <v>0</v>
      </c>
      <c r="P73" s="1">
        <v>0</v>
      </c>
      <c r="Q73" s="1">
        <f t="shared" si="17"/>
        <v>3.1534</v>
      </c>
      <c r="R73" s="24">
        <f t="shared" si="13"/>
        <v>21.390599999999996</v>
      </c>
      <c r="S73" s="24">
        <v>21</v>
      </c>
      <c r="T73" s="5">
        <f>VLOOKUP(A73,[2]Sheet!$A:$S,19,0)</f>
        <v>0</v>
      </c>
      <c r="U73" s="5"/>
      <c r="V73" s="1"/>
      <c r="W73" s="1">
        <f t="shared" si="18"/>
        <v>14</v>
      </c>
      <c r="X73" s="1">
        <f t="shared" si="19"/>
        <v>7.2166550390055182</v>
      </c>
      <c r="Y73" s="1">
        <v>0.312</v>
      </c>
      <c r="Z73" s="1">
        <v>2.4882</v>
      </c>
      <c r="AA73" s="1">
        <v>4.0224000000000002</v>
      </c>
      <c r="AB73" s="1">
        <v>1.2316</v>
      </c>
      <c r="AC73" s="1">
        <v>1.0014000000000001</v>
      </c>
      <c r="AD73" s="17"/>
      <c r="AE73" s="1">
        <f t="shared" si="20"/>
        <v>21</v>
      </c>
      <c r="AF73" s="1">
        <f t="shared" si="21"/>
        <v>0</v>
      </c>
      <c r="AG73" s="1">
        <f t="shared" si="22"/>
        <v>3.1534</v>
      </c>
      <c r="AH73" s="1">
        <f t="shared" si="23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6"/>
        <v>-96</v>
      </c>
      <c r="M74" s="1"/>
      <c r="N74" s="1"/>
      <c r="O74" s="1">
        <v>260</v>
      </c>
      <c r="P74" s="1">
        <v>250</v>
      </c>
      <c r="Q74" s="1">
        <f t="shared" si="17"/>
        <v>94.6</v>
      </c>
      <c r="R74" s="5">
        <f t="shared" si="13"/>
        <v>343.39999999999986</v>
      </c>
      <c r="S74" s="5">
        <f>VLOOKUP(A74,[1]Sheet!$A:$S,19,0)</f>
        <v>160</v>
      </c>
      <c r="T74" s="5">
        <f>VLOOKUP(A74,[2]Sheet!$A:$S,19,0)</f>
        <v>160</v>
      </c>
      <c r="U74" s="5"/>
      <c r="V74" s="1"/>
      <c r="W74" s="1">
        <f t="shared" si="18"/>
        <v>14</v>
      </c>
      <c r="X74" s="1">
        <f t="shared" si="19"/>
        <v>10.369978858350953</v>
      </c>
      <c r="Y74" s="1">
        <v>99</v>
      </c>
      <c r="Z74" s="1">
        <v>97.4</v>
      </c>
      <c r="AA74" s="1">
        <v>92.2</v>
      </c>
      <c r="AB74" s="1">
        <v>115.4</v>
      </c>
      <c r="AC74" s="1">
        <v>126.8</v>
      </c>
      <c r="AD74" s="17"/>
      <c r="AE74" s="1">
        <f t="shared" si="20"/>
        <v>65.599999999999994</v>
      </c>
      <c r="AF74" s="1">
        <f t="shared" si="21"/>
        <v>65.599999999999994</v>
      </c>
      <c r="AG74" s="1">
        <f t="shared" si="22"/>
        <v>38.785999999999994</v>
      </c>
      <c r="AH74" s="1">
        <f t="shared" si="23"/>
        <v>102.5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6"/>
        <v>-8.0449999999999999</v>
      </c>
      <c r="M75" s="10"/>
      <c r="N75" s="10"/>
      <c r="O75" s="10">
        <v>0</v>
      </c>
      <c r="P75" s="10">
        <v>0</v>
      </c>
      <c r="Q75" s="10">
        <f t="shared" si="17"/>
        <v>-0.70899999999999996</v>
      </c>
      <c r="R75" s="12"/>
      <c r="S75" s="5">
        <f>VLOOKUP(A75,[1]Sheet!$A:$S,19,0)</f>
        <v>0</v>
      </c>
      <c r="T75" s="5">
        <f>VLOOKUP(A75,[2]Sheet!$A:$S,19,0)</f>
        <v>0</v>
      </c>
      <c r="U75" s="12"/>
      <c r="V75" s="10"/>
      <c r="W75" s="10">
        <f t="shared" si="18"/>
        <v>2.2031029619181948</v>
      </c>
      <c r="X75" s="10">
        <f t="shared" si="19"/>
        <v>2.2031029619181948</v>
      </c>
      <c r="Y75" s="10">
        <v>-0.60739999999999994</v>
      </c>
      <c r="Z75" s="10">
        <v>-0.43080000000000002</v>
      </c>
      <c r="AA75" s="10">
        <v>0</v>
      </c>
      <c r="AB75" s="10">
        <v>0</v>
      </c>
      <c r="AC75" s="10">
        <v>0</v>
      </c>
      <c r="AD75" s="19"/>
      <c r="AE75" s="1">
        <f t="shared" si="20"/>
        <v>0</v>
      </c>
      <c r="AF75" s="1">
        <f t="shared" si="21"/>
        <v>0</v>
      </c>
      <c r="AG75" s="1">
        <f t="shared" si="22"/>
        <v>0</v>
      </c>
      <c r="AH75" s="1">
        <f t="shared" si="23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6"/>
        <v>-2.384999999999998</v>
      </c>
      <c r="M76" s="1"/>
      <c r="N76" s="1"/>
      <c r="O76" s="1">
        <v>75</v>
      </c>
      <c r="P76" s="1">
        <v>75</v>
      </c>
      <c r="Q76" s="1">
        <f t="shared" si="17"/>
        <v>10.343</v>
      </c>
      <c r="R76" s="5"/>
      <c r="S76" s="5">
        <f>VLOOKUP(A76,[1]Sheet!$A:$S,19,0)</f>
        <v>0</v>
      </c>
      <c r="T76" s="5">
        <f>VLOOKUP(A76,[2]Sheet!$A:$S,19,0)</f>
        <v>0</v>
      </c>
      <c r="U76" s="5"/>
      <c r="V76" s="1"/>
      <c r="W76" s="1">
        <f t="shared" si="18"/>
        <v>19.033259209126946</v>
      </c>
      <c r="X76" s="1">
        <f t="shared" si="19"/>
        <v>19.033259209126946</v>
      </c>
      <c r="Y76" s="1">
        <v>12.386799999999999</v>
      </c>
      <c r="Z76" s="1">
        <v>6.1597999999999997</v>
      </c>
      <c r="AA76" s="1">
        <v>12.334199999999999</v>
      </c>
      <c r="AB76" s="1">
        <v>16.249199999999998</v>
      </c>
      <c r="AC76" s="1">
        <v>10.958600000000001</v>
      </c>
      <c r="AD76" s="17"/>
      <c r="AE76" s="1">
        <f t="shared" si="20"/>
        <v>0</v>
      </c>
      <c r="AF76" s="1">
        <f t="shared" si="21"/>
        <v>0</v>
      </c>
      <c r="AG76" s="1">
        <f t="shared" si="22"/>
        <v>10.343</v>
      </c>
      <c r="AH76" s="1">
        <f t="shared" si="23"/>
        <v>75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6"/>
        <v>-24</v>
      </c>
      <c r="M77" s="1"/>
      <c r="N77" s="1"/>
      <c r="O77" s="1">
        <v>0</v>
      </c>
      <c r="P77" s="1">
        <v>0</v>
      </c>
      <c r="Q77" s="1">
        <f t="shared" si="17"/>
        <v>25</v>
      </c>
      <c r="R77" s="5">
        <f t="shared" si="13"/>
        <v>182</v>
      </c>
      <c r="S77" s="5">
        <f>VLOOKUP(A77,[1]Sheet!$A:$S,19,0)</f>
        <v>100</v>
      </c>
      <c r="T77" s="5">
        <f>VLOOKUP(A77,[2]Sheet!$A:$S,19,0)</f>
        <v>100</v>
      </c>
      <c r="U77" s="5"/>
      <c r="V77" s="1"/>
      <c r="W77" s="1">
        <f t="shared" si="18"/>
        <v>14</v>
      </c>
      <c r="X77" s="1">
        <f t="shared" si="19"/>
        <v>6.72</v>
      </c>
      <c r="Y77" s="1">
        <v>18.8</v>
      </c>
      <c r="Z77" s="1">
        <v>18.600000000000001</v>
      </c>
      <c r="AA77" s="1">
        <v>33.200000000000003</v>
      </c>
      <c r="AB77" s="1">
        <v>29.6</v>
      </c>
      <c r="AC77" s="1">
        <v>35.799999999999997</v>
      </c>
      <c r="AD77" s="17"/>
      <c r="AE77" s="1">
        <f t="shared" si="20"/>
        <v>30</v>
      </c>
      <c r="AF77" s="1">
        <f t="shared" si="21"/>
        <v>30</v>
      </c>
      <c r="AG77" s="1">
        <f t="shared" si="22"/>
        <v>7.5</v>
      </c>
      <c r="AH77" s="1">
        <f t="shared" si="23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6"/>
        <v>-12</v>
      </c>
      <c r="M78" s="1"/>
      <c r="N78" s="1"/>
      <c r="O78" s="1">
        <v>0</v>
      </c>
      <c r="P78" s="1">
        <v>0</v>
      </c>
      <c r="Q78" s="1">
        <f t="shared" si="17"/>
        <v>20.399999999999999</v>
      </c>
      <c r="R78" s="5">
        <f t="shared" si="13"/>
        <v>164.59999999999997</v>
      </c>
      <c r="S78" s="5">
        <f>VLOOKUP(A78,[1]Sheet!$A:$S,19,0)</f>
        <v>100</v>
      </c>
      <c r="T78" s="5">
        <f>VLOOKUP(A78,[2]Sheet!$A:$S,19,0)</f>
        <v>100</v>
      </c>
      <c r="U78" s="5"/>
      <c r="V78" s="1"/>
      <c r="W78" s="1">
        <f t="shared" si="18"/>
        <v>14</v>
      </c>
      <c r="X78" s="1">
        <f t="shared" si="19"/>
        <v>5.9313725490196081</v>
      </c>
      <c r="Y78" s="1">
        <v>13.6</v>
      </c>
      <c r="Z78" s="1">
        <v>9.4</v>
      </c>
      <c r="AA78" s="1">
        <v>21.8</v>
      </c>
      <c r="AB78" s="1">
        <v>11</v>
      </c>
      <c r="AC78" s="1">
        <v>12.8</v>
      </c>
      <c r="AD78" s="17"/>
      <c r="AE78" s="1">
        <f t="shared" si="20"/>
        <v>18</v>
      </c>
      <c r="AF78" s="1">
        <f t="shared" si="21"/>
        <v>18</v>
      </c>
      <c r="AG78" s="1">
        <f t="shared" si="22"/>
        <v>3.6719999999999997</v>
      </c>
      <c r="AH78" s="1">
        <f t="shared" si="23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6"/>
        <v>-25.129999999999995</v>
      </c>
      <c r="M79" s="10"/>
      <c r="N79" s="10"/>
      <c r="O79" s="10">
        <v>0</v>
      </c>
      <c r="P79" s="10">
        <v>0</v>
      </c>
      <c r="Q79" s="10">
        <f t="shared" si="17"/>
        <v>2.0339999999999998</v>
      </c>
      <c r="R79" s="12"/>
      <c r="S79" s="5">
        <f>VLOOKUP(A79,[1]Sheet!$A:$S,19,0)</f>
        <v>0</v>
      </c>
      <c r="T79" s="5">
        <f>VLOOKUP(A79,[2]Sheet!$A:$S,19,0)</f>
        <v>0</v>
      </c>
      <c r="U79" s="12"/>
      <c r="V79" s="10"/>
      <c r="W79" s="10">
        <f t="shared" si="18"/>
        <v>-5.5663716814159292</v>
      </c>
      <c r="X79" s="10">
        <f t="shared" si="19"/>
        <v>-5.5663716814159292</v>
      </c>
      <c r="Y79" s="10">
        <v>0</v>
      </c>
      <c r="Z79" s="10">
        <v>0.16800000000000001</v>
      </c>
      <c r="AA79" s="10">
        <v>5.0579999999999998</v>
      </c>
      <c r="AB79" s="10">
        <v>5.4142000000000001</v>
      </c>
      <c r="AC79" s="10">
        <v>8.0774000000000008</v>
      </c>
      <c r="AD79" s="19"/>
      <c r="AE79" s="1">
        <f t="shared" si="20"/>
        <v>0</v>
      </c>
      <c r="AF79" s="1">
        <f t="shared" si="21"/>
        <v>0</v>
      </c>
      <c r="AG79" s="1">
        <f t="shared" si="22"/>
        <v>0</v>
      </c>
      <c r="AH79" s="1">
        <f t="shared" si="23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6"/>
        <v>-138</v>
      </c>
      <c r="M80" s="1"/>
      <c r="N80" s="1"/>
      <c r="O80" s="1">
        <v>225</v>
      </c>
      <c r="P80" s="1">
        <v>200</v>
      </c>
      <c r="Q80" s="1">
        <f t="shared" si="17"/>
        <v>62.8</v>
      </c>
      <c r="R80" s="5"/>
      <c r="S80" s="5">
        <f>VLOOKUP(A80,[1]Sheet!$A:$S,19,0)</f>
        <v>0</v>
      </c>
      <c r="T80" s="5">
        <f>VLOOKUP(A80,[2]Sheet!$A:$S,19,0)</f>
        <v>0</v>
      </c>
      <c r="U80" s="5"/>
      <c r="V80" s="1"/>
      <c r="W80" s="1">
        <f t="shared" si="18"/>
        <v>16.146496815286625</v>
      </c>
      <c r="X80" s="1">
        <f t="shared" si="19"/>
        <v>16.146496815286625</v>
      </c>
      <c r="Y80" s="1">
        <v>93.2</v>
      </c>
      <c r="Z80" s="1">
        <v>91.6</v>
      </c>
      <c r="AA80" s="1">
        <v>70.8</v>
      </c>
      <c r="AB80" s="1">
        <v>82.8</v>
      </c>
      <c r="AC80" s="1">
        <v>90.4</v>
      </c>
      <c r="AD80" s="17"/>
      <c r="AE80" s="1">
        <f t="shared" si="20"/>
        <v>0</v>
      </c>
      <c r="AF80" s="1">
        <f t="shared" si="21"/>
        <v>0</v>
      </c>
      <c r="AG80" s="1">
        <f t="shared" si="22"/>
        <v>21.979999999999997</v>
      </c>
      <c r="AH80" s="1">
        <f t="shared" si="23"/>
        <v>70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6"/>
        <v>-15.691000000000003</v>
      </c>
      <c r="M81" s="1"/>
      <c r="N81" s="1"/>
      <c r="O81" s="1">
        <v>75</v>
      </c>
      <c r="P81" s="1">
        <v>75</v>
      </c>
      <c r="Q81" s="1">
        <f t="shared" si="17"/>
        <v>20.761800000000001</v>
      </c>
      <c r="R81" s="5"/>
      <c r="S81" s="5">
        <f>VLOOKUP(A81,[1]Sheet!$A:$S,19,0)</f>
        <v>0</v>
      </c>
      <c r="T81" s="5">
        <f>VLOOKUP(A81,[2]Sheet!$A:$S,19,0)</f>
        <v>0</v>
      </c>
      <c r="U81" s="5"/>
      <c r="V81" s="1"/>
      <c r="W81" s="1">
        <f t="shared" si="18"/>
        <v>15.839763411650241</v>
      </c>
      <c r="X81" s="1">
        <f t="shared" si="19"/>
        <v>15.839763411650241</v>
      </c>
      <c r="Y81" s="1">
        <v>27.382000000000001</v>
      </c>
      <c r="Z81" s="1">
        <v>25.835999999999999</v>
      </c>
      <c r="AA81" s="1">
        <v>21.861799999999999</v>
      </c>
      <c r="AB81" s="1">
        <v>17.0016</v>
      </c>
      <c r="AC81" s="1">
        <v>19.853999999999999</v>
      </c>
      <c r="AD81" s="17"/>
      <c r="AE81" s="1">
        <f t="shared" si="20"/>
        <v>0</v>
      </c>
      <c r="AF81" s="1">
        <f t="shared" si="21"/>
        <v>0</v>
      </c>
      <c r="AG81" s="1">
        <f t="shared" si="22"/>
        <v>20.761800000000001</v>
      </c>
      <c r="AH81" s="1">
        <f t="shared" si="23"/>
        <v>75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6"/>
        <v>-21.422000000000025</v>
      </c>
      <c r="M82" s="1"/>
      <c r="N82" s="1"/>
      <c r="O82" s="1">
        <v>225</v>
      </c>
      <c r="P82" s="1">
        <v>200</v>
      </c>
      <c r="Q82" s="1">
        <f t="shared" si="17"/>
        <v>33.9756</v>
      </c>
      <c r="R82" s="5">
        <f t="shared" si="13"/>
        <v>130.64140000000003</v>
      </c>
      <c r="S82" s="5">
        <f>VLOOKUP(A82,[1]Sheet!$A:$S,19,0)</f>
        <v>90</v>
      </c>
      <c r="T82" s="5">
        <f>VLOOKUP(A82,[2]Sheet!$A:$S,19,0)</f>
        <v>90</v>
      </c>
      <c r="U82" s="5"/>
      <c r="V82" s="1"/>
      <c r="W82" s="1">
        <f t="shared" si="18"/>
        <v>14</v>
      </c>
      <c r="X82" s="1">
        <f t="shared" si="19"/>
        <v>10.154846419194952</v>
      </c>
      <c r="Y82" s="1">
        <v>30.172999999999998</v>
      </c>
      <c r="Z82" s="1">
        <v>18.625</v>
      </c>
      <c r="AA82" s="1">
        <v>37.547400000000003</v>
      </c>
      <c r="AB82" s="1">
        <v>32.890799999999999</v>
      </c>
      <c r="AC82" s="1">
        <v>37.647599999999997</v>
      </c>
      <c r="AD82" s="17"/>
      <c r="AE82" s="1">
        <f t="shared" si="20"/>
        <v>90</v>
      </c>
      <c r="AF82" s="1">
        <f t="shared" si="21"/>
        <v>90</v>
      </c>
      <c r="AG82" s="1">
        <f t="shared" si="22"/>
        <v>33.9756</v>
      </c>
      <c r="AH82" s="1">
        <f t="shared" si="23"/>
        <v>200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6"/>
        <v>-37</v>
      </c>
      <c r="M83" s="1"/>
      <c r="N83" s="1"/>
      <c r="O83" s="1">
        <v>325</v>
      </c>
      <c r="P83" s="1">
        <v>315</v>
      </c>
      <c r="Q83" s="1">
        <f t="shared" si="17"/>
        <v>90</v>
      </c>
      <c r="R83" s="5">
        <f t="shared" si="13"/>
        <v>219</v>
      </c>
      <c r="S83" s="5">
        <f>VLOOKUP(A83,[1]Sheet!$A:$S,19,0)</f>
        <v>120</v>
      </c>
      <c r="T83" s="5">
        <f>VLOOKUP(A83,[2]Sheet!$A:$S,19,0)</f>
        <v>120</v>
      </c>
      <c r="U83" s="5"/>
      <c r="V83" s="1"/>
      <c r="W83" s="1">
        <f t="shared" si="18"/>
        <v>14</v>
      </c>
      <c r="X83" s="1">
        <f t="shared" si="19"/>
        <v>11.566666666666666</v>
      </c>
      <c r="Y83" s="1">
        <v>103.2</v>
      </c>
      <c r="Z83" s="1">
        <v>74.8</v>
      </c>
      <c r="AA83" s="1">
        <v>110.6</v>
      </c>
      <c r="AB83" s="1">
        <v>86.2</v>
      </c>
      <c r="AC83" s="1">
        <v>95.8</v>
      </c>
      <c r="AD83" s="17"/>
      <c r="AE83" s="1">
        <f t="shared" si="20"/>
        <v>42</v>
      </c>
      <c r="AF83" s="1">
        <f t="shared" si="21"/>
        <v>42</v>
      </c>
      <c r="AG83" s="1">
        <f t="shared" si="22"/>
        <v>31.499999999999996</v>
      </c>
      <c r="AH83" s="1">
        <f t="shared" si="23"/>
        <v>110.25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6"/>
        <v>-19</v>
      </c>
      <c r="M84" s="1"/>
      <c r="N84" s="1"/>
      <c r="O84" s="1">
        <v>60</v>
      </c>
      <c r="P84" s="1">
        <v>60</v>
      </c>
      <c r="Q84" s="1">
        <f t="shared" si="17"/>
        <v>21.6</v>
      </c>
      <c r="R84" s="5">
        <f t="shared" si="13"/>
        <v>96.400000000000034</v>
      </c>
      <c r="S84" s="5">
        <f>VLOOKUP(A84,[1]Sheet!$A:$S,19,0)</f>
        <v>50</v>
      </c>
      <c r="T84" s="5">
        <f>VLOOKUP(A84,[2]Sheet!$A:$S,19,0)</f>
        <v>50</v>
      </c>
      <c r="U84" s="5"/>
      <c r="V84" s="1"/>
      <c r="W84" s="1">
        <f t="shared" si="18"/>
        <v>14</v>
      </c>
      <c r="X84" s="1">
        <f t="shared" si="19"/>
        <v>9.5370370370370363</v>
      </c>
      <c r="Y84" s="1">
        <v>18.399999999999999</v>
      </c>
      <c r="Z84" s="1">
        <v>12.4</v>
      </c>
      <c r="AA84" s="1">
        <v>21.4</v>
      </c>
      <c r="AB84" s="1">
        <v>15.8</v>
      </c>
      <c r="AC84" s="1">
        <v>15.6</v>
      </c>
      <c r="AD84" s="17"/>
      <c r="AE84" s="1">
        <f t="shared" si="20"/>
        <v>15</v>
      </c>
      <c r="AF84" s="1">
        <f t="shared" si="21"/>
        <v>15</v>
      </c>
      <c r="AG84" s="1">
        <f t="shared" si="22"/>
        <v>6.48</v>
      </c>
      <c r="AH84" s="1">
        <f t="shared" si="23"/>
        <v>18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6"/>
        <v>-13</v>
      </c>
      <c r="M85" s="1"/>
      <c r="N85" s="1"/>
      <c r="O85" s="1">
        <v>0</v>
      </c>
      <c r="P85" s="1">
        <v>0</v>
      </c>
      <c r="Q85" s="1">
        <f t="shared" si="17"/>
        <v>6.4</v>
      </c>
      <c r="R85" s="5"/>
      <c r="S85" s="5">
        <f>VLOOKUP(A85,[1]Sheet!$A:$S,19,0)</f>
        <v>0</v>
      </c>
      <c r="T85" s="5">
        <f>VLOOKUP(A85,[2]Sheet!$A:$S,19,0)</f>
        <v>0</v>
      </c>
      <c r="U85" s="5"/>
      <c r="V85" s="1"/>
      <c r="W85" s="1">
        <f t="shared" si="18"/>
        <v>33.125</v>
      </c>
      <c r="X85" s="1">
        <f t="shared" si="19"/>
        <v>33.125</v>
      </c>
      <c r="Y85" s="1">
        <v>3.4</v>
      </c>
      <c r="Z85" s="1">
        <v>4.8</v>
      </c>
      <c r="AA85" s="1">
        <v>6.2</v>
      </c>
      <c r="AB85" s="1">
        <v>4.4000000000000004</v>
      </c>
      <c r="AC85" s="1">
        <v>2</v>
      </c>
      <c r="AD85" s="21" t="s">
        <v>36</v>
      </c>
      <c r="AE85" s="1">
        <f t="shared" si="20"/>
        <v>0</v>
      </c>
      <c r="AF85" s="1">
        <f t="shared" si="21"/>
        <v>0</v>
      </c>
      <c r="AG85" s="1">
        <f t="shared" si="22"/>
        <v>1.92</v>
      </c>
      <c r="AH85" s="1">
        <f t="shared" si="23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6"/>
        <v>-27</v>
      </c>
      <c r="M86" s="1"/>
      <c r="N86" s="1"/>
      <c r="O86" s="1">
        <v>151.5</v>
      </c>
      <c r="P86" s="1">
        <v>145</v>
      </c>
      <c r="Q86" s="1">
        <f t="shared" si="17"/>
        <v>54.8</v>
      </c>
      <c r="R86" s="5">
        <f t="shared" si="13"/>
        <v>212.69999999999993</v>
      </c>
      <c r="S86" s="5">
        <f>VLOOKUP(A86,[1]Sheet!$A:$S,19,0)</f>
        <v>150</v>
      </c>
      <c r="T86" s="5">
        <f>VLOOKUP(A86,[2]Sheet!$A:$S,19,0)</f>
        <v>150</v>
      </c>
      <c r="U86" s="5"/>
      <c r="V86" s="1"/>
      <c r="W86" s="1">
        <f t="shared" si="18"/>
        <v>14</v>
      </c>
      <c r="X86" s="1">
        <f t="shared" si="19"/>
        <v>10.118613138686133</v>
      </c>
      <c r="Y86" s="1">
        <v>60.4</v>
      </c>
      <c r="Z86" s="1">
        <v>54.2</v>
      </c>
      <c r="AA86" s="1">
        <v>56.8</v>
      </c>
      <c r="AB86" s="1">
        <v>44.2</v>
      </c>
      <c r="AC86" s="1">
        <v>32</v>
      </c>
      <c r="AD86" s="17"/>
      <c r="AE86" s="1">
        <f t="shared" si="20"/>
        <v>42.000000000000007</v>
      </c>
      <c r="AF86" s="1">
        <f t="shared" si="21"/>
        <v>42.000000000000007</v>
      </c>
      <c r="AG86" s="1">
        <f t="shared" si="22"/>
        <v>15.344000000000001</v>
      </c>
      <c r="AH86" s="1">
        <f t="shared" si="23"/>
        <v>40.6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6"/>
        <v>-97</v>
      </c>
      <c r="M87" s="1"/>
      <c r="N87" s="1"/>
      <c r="O87" s="1">
        <v>140</v>
      </c>
      <c r="P87" s="1">
        <v>140</v>
      </c>
      <c r="Q87" s="1">
        <f t="shared" si="17"/>
        <v>44.4</v>
      </c>
      <c r="R87" s="5"/>
      <c r="S87" s="5">
        <f>VLOOKUP(A87,[1]Sheet!$A:$S,19,0)</f>
        <v>0</v>
      </c>
      <c r="T87" s="5">
        <f>VLOOKUP(A87,[2]Sheet!$A:$S,19,0)</f>
        <v>0</v>
      </c>
      <c r="U87" s="5"/>
      <c r="V87" s="1"/>
      <c r="W87" s="1">
        <f t="shared" si="18"/>
        <v>15.225225225225225</v>
      </c>
      <c r="X87" s="1">
        <f t="shared" si="19"/>
        <v>15.225225225225225</v>
      </c>
      <c r="Y87" s="1">
        <v>60.6</v>
      </c>
      <c r="Z87" s="1">
        <v>61</v>
      </c>
      <c r="AA87" s="1">
        <v>47</v>
      </c>
      <c r="AB87" s="1">
        <v>60.2</v>
      </c>
      <c r="AC87" s="1">
        <v>69.400000000000006</v>
      </c>
      <c r="AD87" s="17"/>
      <c r="AE87" s="1">
        <f t="shared" si="20"/>
        <v>0</v>
      </c>
      <c r="AF87" s="1">
        <f t="shared" si="21"/>
        <v>0</v>
      </c>
      <c r="AG87" s="1">
        <f t="shared" si="22"/>
        <v>12.432</v>
      </c>
      <c r="AH87" s="1">
        <f t="shared" si="23"/>
        <v>39.200000000000003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6"/>
        <v>-36</v>
      </c>
      <c r="M88" s="1"/>
      <c r="N88" s="1"/>
      <c r="O88" s="1">
        <v>0</v>
      </c>
      <c r="P88" s="1">
        <v>0</v>
      </c>
      <c r="Q88" s="1">
        <f t="shared" si="17"/>
        <v>7.2</v>
      </c>
      <c r="R88" s="5"/>
      <c r="S88" s="5">
        <f>VLOOKUP(A88,[1]Sheet!$A:$S,19,0)</f>
        <v>0</v>
      </c>
      <c r="T88" s="5">
        <f>VLOOKUP(A88,[2]Sheet!$A:$S,19,0)</f>
        <v>0</v>
      </c>
      <c r="U88" s="5"/>
      <c r="V88" s="1"/>
      <c r="W88" s="1">
        <f t="shared" si="18"/>
        <v>27.5</v>
      </c>
      <c r="X88" s="1">
        <f t="shared" si="19"/>
        <v>27.5</v>
      </c>
      <c r="Y88" s="1">
        <v>9.4</v>
      </c>
      <c r="Z88" s="1">
        <v>15.6</v>
      </c>
      <c r="AA88" s="1">
        <v>7.8</v>
      </c>
      <c r="AB88" s="1">
        <v>14</v>
      </c>
      <c r="AC88" s="1">
        <v>16.600000000000001</v>
      </c>
      <c r="AD88" s="17"/>
      <c r="AE88" s="1">
        <f t="shared" si="20"/>
        <v>0</v>
      </c>
      <c r="AF88" s="1">
        <f t="shared" si="21"/>
        <v>0</v>
      </c>
      <c r="AG88" s="1">
        <f t="shared" si="22"/>
        <v>2.0160000000000005</v>
      </c>
      <c r="AH88" s="1">
        <f t="shared" si="23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6"/>
        <v>-68</v>
      </c>
      <c r="M89" s="1"/>
      <c r="N89" s="1"/>
      <c r="O89" s="1">
        <v>75</v>
      </c>
      <c r="P89" s="1">
        <v>75</v>
      </c>
      <c r="Q89" s="1">
        <f t="shared" si="17"/>
        <v>43.2</v>
      </c>
      <c r="R89" s="5">
        <f t="shared" si="13"/>
        <v>209.80000000000007</v>
      </c>
      <c r="S89" s="5">
        <f>VLOOKUP(A89,[1]Sheet!$A:$S,19,0)</f>
        <v>150</v>
      </c>
      <c r="T89" s="5">
        <f>VLOOKUP(A89,[2]Sheet!$A:$S,19,0)</f>
        <v>150</v>
      </c>
      <c r="U89" s="5"/>
      <c r="V89" s="1"/>
      <c r="W89" s="1">
        <f t="shared" si="18"/>
        <v>14</v>
      </c>
      <c r="X89" s="1">
        <f t="shared" si="19"/>
        <v>9.1435185185185173</v>
      </c>
      <c r="Y89" s="1">
        <v>40</v>
      </c>
      <c r="Z89" s="1">
        <v>44.6</v>
      </c>
      <c r="AA89" s="1">
        <v>35.799999999999997</v>
      </c>
      <c r="AB89" s="1">
        <v>31.2</v>
      </c>
      <c r="AC89" s="1">
        <v>45</v>
      </c>
      <c r="AD89" s="17"/>
      <c r="AE89" s="1">
        <f t="shared" si="20"/>
        <v>42.000000000000007</v>
      </c>
      <c r="AF89" s="1">
        <f t="shared" si="21"/>
        <v>42.000000000000007</v>
      </c>
      <c r="AG89" s="1">
        <f t="shared" si="22"/>
        <v>12.096000000000002</v>
      </c>
      <c r="AH89" s="1">
        <f t="shared" si="23"/>
        <v>21.000000000000004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6"/>
        <v>-29</v>
      </c>
      <c r="M90" s="1"/>
      <c r="N90" s="1"/>
      <c r="O90" s="1">
        <v>325</v>
      </c>
      <c r="P90" s="1">
        <v>325</v>
      </c>
      <c r="Q90" s="1">
        <f t="shared" si="17"/>
        <v>94.4</v>
      </c>
      <c r="R90" s="5">
        <f t="shared" si="13"/>
        <v>285.60000000000014</v>
      </c>
      <c r="S90" s="5">
        <f>VLOOKUP(A90,[1]Sheet!$A:$S,19,0)</f>
        <v>175</v>
      </c>
      <c r="T90" s="5">
        <f>VLOOKUP(A90,[2]Sheet!$A:$S,19,0)</f>
        <v>175</v>
      </c>
      <c r="U90" s="5"/>
      <c r="V90" s="1"/>
      <c r="W90" s="1">
        <f t="shared" si="18"/>
        <v>14</v>
      </c>
      <c r="X90" s="1">
        <f t="shared" si="19"/>
        <v>10.974576271186439</v>
      </c>
      <c r="Y90" s="1">
        <v>101.8</v>
      </c>
      <c r="Z90" s="1">
        <v>92.8</v>
      </c>
      <c r="AA90" s="1">
        <v>89</v>
      </c>
      <c r="AB90" s="1">
        <v>89.4</v>
      </c>
      <c r="AC90" s="1">
        <v>95</v>
      </c>
      <c r="AD90" s="17"/>
      <c r="AE90" s="1">
        <f t="shared" si="20"/>
        <v>70</v>
      </c>
      <c r="AF90" s="1">
        <f t="shared" si="21"/>
        <v>70</v>
      </c>
      <c r="AG90" s="1">
        <f t="shared" si="22"/>
        <v>37.760000000000005</v>
      </c>
      <c r="AH90" s="1">
        <f t="shared" si="23"/>
        <v>130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6"/>
        <v>-8</v>
      </c>
      <c r="M91" s="10"/>
      <c r="N91" s="10"/>
      <c r="O91" s="10"/>
      <c r="P91" s="10"/>
      <c r="Q91" s="10">
        <f t="shared" si="17"/>
        <v>0</v>
      </c>
      <c r="R91" s="12"/>
      <c r="S91" s="5">
        <f>VLOOKUP(A91,[1]Sheet!$A:$S,19,0)</f>
        <v>0</v>
      </c>
      <c r="T91" s="5">
        <f>VLOOKUP(A91,[2]Sheet!$A:$S,19,0)</f>
        <v>0</v>
      </c>
      <c r="U91" s="12"/>
      <c r="V91" s="10"/>
      <c r="W91" s="10" t="e">
        <f t="shared" si="18"/>
        <v>#DIV/0!</v>
      </c>
      <c r="X91" s="10" t="e">
        <f t="shared" si="19"/>
        <v>#DIV/0!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9"/>
      <c r="AE91" s="1">
        <f t="shared" si="20"/>
        <v>0</v>
      </c>
      <c r="AF91" s="1">
        <f t="shared" si="21"/>
        <v>0</v>
      </c>
      <c r="AG91" s="1">
        <f t="shared" si="22"/>
        <v>0</v>
      </c>
      <c r="AH91" s="1">
        <f t="shared" si="23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6"/>
        <v>-3</v>
      </c>
      <c r="M92" s="1"/>
      <c r="N92" s="1"/>
      <c r="O92" s="1">
        <v>27</v>
      </c>
      <c r="P92" s="1">
        <v>27</v>
      </c>
      <c r="Q92" s="1">
        <f t="shared" si="17"/>
        <v>2.6</v>
      </c>
      <c r="R92" s="5"/>
      <c r="S92" s="5">
        <f>VLOOKUP(A92,[1]Sheet!$A:$S,19,0)</f>
        <v>0</v>
      </c>
      <c r="T92" s="5">
        <f>VLOOKUP(A92,[2]Sheet!$A:$S,19,0)</f>
        <v>0</v>
      </c>
      <c r="U92" s="5"/>
      <c r="V92" s="1"/>
      <c r="W92" s="1">
        <f t="shared" si="18"/>
        <v>34.230769230769226</v>
      </c>
      <c r="X92" s="1">
        <f t="shared" si="19"/>
        <v>34.230769230769226</v>
      </c>
      <c r="Y92" s="1">
        <v>8</v>
      </c>
      <c r="Z92" s="1">
        <v>6.4</v>
      </c>
      <c r="AA92" s="1">
        <v>5.8</v>
      </c>
      <c r="AB92" s="1">
        <v>7.8</v>
      </c>
      <c r="AC92" s="1">
        <v>6.4</v>
      </c>
      <c r="AD92" s="17"/>
      <c r="AE92" s="1">
        <f t="shared" si="20"/>
        <v>0</v>
      </c>
      <c r="AF92" s="1">
        <f t="shared" si="21"/>
        <v>0</v>
      </c>
      <c r="AG92" s="1">
        <f t="shared" si="22"/>
        <v>0.26</v>
      </c>
      <c r="AH92" s="1">
        <f t="shared" si="23"/>
        <v>2.7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6"/>
        <v>-9</v>
      </c>
      <c r="M93" s="1"/>
      <c r="N93" s="1"/>
      <c r="O93" s="1">
        <v>10.5</v>
      </c>
      <c r="P93" s="1">
        <v>10.5</v>
      </c>
      <c r="Q93" s="1">
        <f t="shared" si="17"/>
        <v>6.4</v>
      </c>
      <c r="R93" s="5">
        <f t="shared" ref="R93" si="24">14*Q93-P93-O93-F93</f>
        <v>54.600000000000009</v>
      </c>
      <c r="S93" s="5">
        <f>VLOOKUP(A93,[1]Sheet!$A:$S,19,0)</f>
        <v>25</v>
      </c>
      <c r="T93" s="5">
        <f>VLOOKUP(A93,[2]Sheet!$A:$S,19,0)</f>
        <v>25</v>
      </c>
      <c r="U93" s="5"/>
      <c r="V93" s="1"/>
      <c r="W93" s="1">
        <f t="shared" si="18"/>
        <v>14</v>
      </c>
      <c r="X93" s="1">
        <f t="shared" si="19"/>
        <v>5.46875</v>
      </c>
      <c r="Y93" s="1">
        <v>5.2</v>
      </c>
      <c r="Z93" s="1">
        <v>5.6</v>
      </c>
      <c r="AA93" s="1">
        <v>6.2</v>
      </c>
      <c r="AB93" s="1">
        <v>5.8</v>
      </c>
      <c r="AC93" s="1">
        <v>11</v>
      </c>
      <c r="AD93" s="17"/>
      <c r="AE93" s="1">
        <f t="shared" si="20"/>
        <v>7.0000000000000009</v>
      </c>
      <c r="AF93" s="1">
        <f t="shared" si="21"/>
        <v>7.0000000000000009</v>
      </c>
      <c r="AG93" s="1">
        <f t="shared" si="22"/>
        <v>1.7920000000000003</v>
      </c>
      <c r="AH93" s="1">
        <f t="shared" si="23"/>
        <v>2.9400000000000004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6"/>
        <v>0</v>
      </c>
      <c r="M94" s="1"/>
      <c r="N94" s="1"/>
      <c r="O94" s="1">
        <v>0</v>
      </c>
      <c r="P94" s="1">
        <v>0</v>
      </c>
      <c r="Q94" s="1">
        <f t="shared" si="17"/>
        <v>0.6</v>
      </c>
      <c r="R94" s="5"/>
      <c r="S94" s="5">
        <f>VLOOKUP(A94,[1]Sheet!$A:$S,19,0)</f>
        <v>0</v>
      </c>
      <c r="T94" s="5">
        <f>VLOOKUP(A94,[2]Sheet!$A:$S,19,0)</f>
        <v>0</v>
      </c>
      <c r="U94" s="5"/>
      <c r="V94" s="1"/>
      <c r="W94" s="1">
        <f t="shared" si="18"/>
        <v>11.666666666666668</v>
      </c>
      <c r="X94" s="1">
        <f t="shared" si="19"/>
        <v>11.666666666666668</v>
      </c>
      <c r="Y94" s="1">
        <v>0.2</v>
      </c>
      <c r="Z94" s="1">
        <v>0.6</v>
      </c>
      <c r="AA94" s="1">
        <v>0.4</v>
      </c>
      <c r="AB94" s="1">
        <v>0</v>
      </c>
      <c r="AC94" s="1">
        <v>1.2</v>
      </c>
      <c r="AD94" s="17"/>
      <c r="AE94" s="1">
        <f t="shared" si="20"/>
        <v>0</v>
      </c>
      <c r="AF94" s="1">
        <f t="shared" si="21"/>
        <v>0</v>
      </c>
      <c r="AG94" s="1">
        <f t="shared" si="22"/>
        <v>0.16800000000000001</v>
      </c>
      <c r="AH94" s="1">
        <f t="shared" si="23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6"/>
        <v>0</v>
      </c>
      <c r="M95" s="1"/>
      <c r="N95" s="1"/>
      <c r="O95" s="1">
        <v>145</v>
      </c>
      <c r="P95" s="1">
        <v>145</v>
      </c>
      <c r="Q95" s="1">
        <f t="shared" si="17"/>
        <v>16.399999999999999</v>
      </c>
      <c r="R95" s="5"/>
      <c r="S95" s="5">
        <f>VLOOKUP(A95,[1]Sheet!$A:$S,19,0)</f>
        <v>0</v>
      </c>
      <c r="T95" s="5">
        <f>VLOOKUP(A95,[2]Sheet!$A:$S,19,0)</f>
        <v>0</v>
      </c>
      <c r="U95" s="5"/>
      <c r="V95" s="1"/>
      <c r="W95" s="1">
        <f t="shared" si="18"/>
        <v>28.231707317073173</v>
      </c>
      <c r="X95" s="1">
        <f t="shared" si="19"/>
        <v>28.231707317073173</v>
      </c>
      <c r="Y95" s="1">
        <v>39</v>
      </c>
      <c r="Z95" s="1">
        <v>22.2</v>
      </c>
      <c r="AA95" s="1">
        <v>37</v>
      </c>
      <c r="AB95" s="1">
        <v>35.799999999999997</v>
      </c>
      <c r="AC95" s="1">
        <v>24.6</v>
      </c>
      <c r="AD95" s="21" t="s">
        <v>36</v>
      </c>
      <c r="AE95" s="1">
        <f t="shared" si="20"/>
        <v>0</v>
      </c>
      <c r="AF95" s="1">
        <f t="shared" si="21"/>
        <v>0</v>
      </c>
      <c r="AG95" s="1">
        <f t="shared" si="22"/>
        <v>4.919999999999999</v>
      </c>
      <c r="AH95" s="1">
        <f t="shared" si="23"/>
        <v>43.5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6"/>
        <v>-86</v>
      </c>
      <c r="M96" s="1"/>
      <c r="N96" s="1"/>
      <c r="O96" s="1">
        <v>192.5</v>
      </c>
      <c r="P96" s="1">
        <v>192.5</v>
      </c>
      <c r="Q96" s="1">
        <f t="shared" si="17"/>
        <v>18.399999999999999</v>
      </c>
      <c r="R96" s="5"/>
      <c r="S96" s="5">
        <f>VLOOKUP(A96,[1]Sheet!$A:$S,19,0)</f>
        <v>0</v>
      </c>
      <c r="T96" s="5">
        <f>VLOOKUP(A96,[2]Sheet!$A:$S,19,0)</f>
        <v>0</v>
      </c>
      <c r="U96" s="5"/>
      <c r="V96" s="1"/>
      <c r="W96" s="1">
        <f t="shared" si="18"/>
        <v>20.217391304347828</v>
      </c>
      <c r="X96" s="1">
        <f t="shared" si="19"/>
        <v>20.217391304347828</v>
      </c>
      <c r="Y96" s="1">
        <v>33.799999999999997</v>
      </c>
      <c r="Z96" s="1">
        <v>18.8</v>
      </c>
      <c r="AA96" s="1">
        <v>24.8</v>
      </c>
      <c r="AB96" s="1">
        <v>32</v>
      </c>
      <c r="AC96" s="1">
        <v>26.6</v>
      </c>
      <c r="AD96" s="17"/>
      <c r="AE96" s="1">
        <f t="shared" si="20"/>
        <v>0</v>
      </c>
      <c r="AF96" s="1">
        <f t="shared" si="21"/>
        <v>0</v>
      </c>
      <c r="AG96" s="1">
        <f t="shared" si="22"/>
        <v>2.2079999999999997</v>
      </c>
      <c r="AH96" s="1">
        <f t="shared" si="23"/>
        <v>23.099999999999998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6"/>
        <v>-70</v>
      </c>
      <c r="M97" s="1"/>
      <c r="N97" s="1"/>
      <c r="O97" s="1">
        <v>15</v>
      </c>
      <c r="P97" s="1">
        <v>15</v>
      </c>
      <c r="Q97" s="1">
        <f t="shared" si="17"/>
        <v>23</v>
      </c>
      <c r="R97" s="5"/>
      <c r="S97" s="5">
        <f>VLOOKUP(A97,[1]Sheet!$A:$S,19,0)</f>
        <v>0</v>
      </c>
      <c r="T97" s="5">
        <f>VLOOKUP(A97,[2]Sheet!$A:$S,19,0)</f>
        <v>0</v>
      </c>
      <c r="U97" s="5"/>
      <c r="V97" s="1"/>
      <c r="W97" s="1">
        <f t="shared" si="18"/>
        <v>17.739130434782609</v>
      </c>
      <c r="X97" s="1">
        <f t="shared" si="19"/>
        <v>17.739130434782609</v>
      </c>
      <c r="Y97" s="1">
        <v>38</v>
      </c>
      <c r="Z97" s="1">
        <v>49.6</v>
      </c>
      <c r="AA97" s="1">
        <v>18</v>
      </c>
      <c r="AB97" s="1">
        <v>29.2</v>
      </c>
      <c r="AC97" s="1">
        <v>30.6</v>
      </c>
      <c r="AD97" s="17"/>
      <c r="AE97" s="1">
        <f t="shared" si="20"/>
        <v>0</v>
      </c>
      <c r="AF97" s="1">
        <f t="shared" si="21"/>
        <v>0</v>
      </c>
      <c r="AG97" s="1">
        <f t="shared" si="22"/>
        <v>7.5900000000000007</v>
      </c>
      <c r="AH97" s="1">
        <f t="shared" si="23"/>
        <v>4.95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6"/>
        <v>-2</v>
      </c>
      <c r="M98" s="10"/>
      <c r="N98" s="10"/>
      <c r="O98" s="10"/>
      <c r="P98" s="10"/>
      <c r="Q98" s="10">
        <f t="shared" si="17"/>
        <v>0.2</v>
      </c>
      <c r="R98" s="12"/>
      <c r="S98" s="5">
        <f>VLOOKUP(A98,[1]Sheet!$A:$S,19,0)</f>
        <v>0</v>
      </c>
      <c r="T98" s="5">
        <f>VLOOKUP(A98,[2]Sheet!$A:$S,19,0)</f>
        <v>0</v>
      </c>
      <c r="U98" s="12"/>
      <c r="V98" s="10"/>
      <c r="W98" s="10">
        <f t="shared" si="18"/>
        <v>-5</v>
      </c>
      <c r="X98" s="10">
        <f t="shared" si="19"/>
        <v>-5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9"/>
      <c r="AE98" s="1">
        <f t="shared" si="20"/>
        <v>0</v>
      </c>
      <c r="AF98" s="1">
        <f t="shared" si="21"/>
        <v>0</v>
      </c>
      <c r="AG98" s="1">
        <f t="shared" si="22"/>
        <v>0</v>
      </c>
      <c r="AH98" s="1">
        <f t="shared" si="23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6"/>
        <v>-4</v>
      </c>
      <c r="M99" s="1"/>
      <c r="N99" s="1"/>
      <c r="O99" s="1">
        <v>0</v>
      </c>
      <c r="P99" s="1">
        <v>0</v>
      </c>
      <c r="Q99" s="1">
        <f t="shared" si="17"/>
        <v>15.8</v>
      </c>
      <c r="R99" s="5">
        <f t="shared" ref="R99:R100" si="25">14*Q99-P99-O99-F99</f>
        <v>66.200000000000017</v>
      </c>
      <c r="S99" s="5">
        <f>VLOOKUP(A99,[1]Sheet!$A:$S,19,0)</f>
        <v>33</v>
      </c>
      <c r="T99" s="5">
        <f>VLOOKUP(A99,[2]Sheet!$A:$S,19,0)</f>
        <v>33</v>
      </c>
      <c r="U99" s="5"/>
      <c r="V99" s="1"/>
      <c r="W99" s="1">
        <f t="shared" si="18"/>
        <v>14</v>
      </c>
      <c r="X99" s="1">
        <f t="shared" si="19"/>
        <v>9.81012658227848</v>
      </c>
      <c r="Y99" s="1">
        <v>2.8</v>
      </c>
      <c r="Z99" s="1">
        <v>0</v>
      </c>
      <c r="AA99" s="1">
        <v>0</v>
      </c>
      <c r="AB99" s="1">
        <v>0</v>
      </c>
      <c r="AC99" s="1">
        <v>0</v>
      </c>
      <c r="AD99" s="17"/>
      <c r="AE99" s="1">
        <f t="shared" si="20"/>
        <v>9.24</v>
      </c>
      <c r="AF99" s="1">
        <f t="shared" si="21"/>
        <v>9.24</v>
      </c>
      <c r="AG99" s="1">
        <f t="shared" si="22"/>
        <v>4.4240000000000004</v>
      </c>
      <c r="AH99" s="1">
        <f t="shared" si="23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6"/>
        <v>-12</v>
      </c>
      <c r="M100" s="1"/>
      <c r="N100" s="1"/>
      <c r="O100" s="1">
        <v>82</v>
      </c>
      <c r="P100" s="1">
        <v>82</v>
      </c>
      <c r="Q100" s="1">
        <f t="shared" si="17"/>
        <v>22.2</v>
      </c>
      <c r="R100" s="5">
        <f t="shared" si="25"/>
        <v>135.80000000000001</v>
      </c>
      <c r="S100" s="5">
        <f>VLOOKUP(A100,[1]Sheet!$A:$S,19,0)</f>
        <v>100</v>
      </c>
      <c r="T100" s="5">
        <f>VLOOKUP(A100,[2]Sheet!$A:$S,19,0)</f>
        <v>100</v>
      </c>
      <c r="U100" s="5"/>
      <c r="V100" s="1"/>
      <c r="W100" s="1">
        <f t="shared" si="18"/>
        <v>14.000000000000002</v>
      </c>
      <c r="X100" s="1">
        <f t="shared" si="19"/>
        <v>7.8828828828828827</v>
      </c>
      <c r="Y100" s="1">
        <v>20.399999999999999</v>
      </c>
      <c r="Z100" s="1">
        <v>15.8</v>
      </c>
      <c r="AA100" s="1">
        <v>16</v>
      </c>
      <c r="AB100" s="1">
        <v>20</v>
      </c>
      <c r="AC100" s="1">
        <v>14</v>
      </c>
      <c r="AD100" s="17"/>
      <c r="AE100" s="1">
        <f t="shared" si="20"/>
        <v>40</v>
      </c>
      <c r="AF100" s="1">
        <f t="shared" si="21"/>
        <v>40</v>
      </c>
      <c r="AG100" s="1">
        <f t="shared" si="22"/>
        <v>8.8800000000000008</v>
      </c>
      <c r="AH100" s="1">
        <f t="shared" si="23"/>
        <v>32.800000000000004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6.25" x14ac:dyDescent="0.2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6"/>
        <v>7</v>
      </c>
      <c r="M101" s="1"/>
      <c r="N101" s="1"/>
      <c r="O101" s="1">
        <v>25</v>
      </c>
      <c r="P101" s="1">
        <v>25</v>
      </c>
      <c r="Q101" s="1">
        <f t="shared" si="17"/>
        <v>1.8</v>
      </c>
      <c r="R101" s="5"/>
      <c r="S101" s="5">
        <f>VLOOKUP(A101,[1]Sheet!$A:$S,19,0)</f>
        <v>0</v>
      </c>
      <c r="T101" s="5">
        <f>VLOOKUP(A101,[2]Sheet!$A:$S,19,0)</f>
        <v>0</v>
      </c>
      <c r="U101" s="5"/>
      <c r="V101" s="1"/>
      <c r="W101" s="1">
        <f t="shared" si="18"/>
        <v>174.44444444444443</v>
      </c>
      <c r="X101" s="1">
        <f t="shared" si="19"/>
        <v>174.44444444444443</v>
      </c>
      <c r="Y101" s="1">
        <v>0.4</v>
      </c>
      <c r="Z101" s="1">
        <v>0.8</v>
      </c>
      <c r="AA101" s="1">
        <v>0.4</v>
      </c>
      <c r="AB101" s="1">
        <v>0</v>
      </c>
      <c r="AC101" s="1">
        <v>0</v>
      </c>
      <c r="AD101" s="20" t="s">
        <v>145</v>
      </c>
      <c r="AE101" s="1">
        <f t="shared" si="20"/>
        <v>0</v>
      </c>
      <c r="AF101" s="1">
        <f t="shared" si="21"/>
        <v>0</v>
      </c>
      <c r="AG101" s="1">
        <f t="shared" si="22"/>
        <v>0.63</v>
      </c>
      <c r="AH101" s="1">
        <f t="shared" si="23"/>
        <v>8.75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6">E102-K102</f>
        <v>8.1840000000000011</v>
      </c>
      <c r="M102" s="1"/>
      <c r="N102" s="1"/>
      <c r="O102" s="1">
        <v>0</v>
      </c>
      <c r="P102" s="1">
        <v>0</v>
      </c>
      <c r="Q102" s="1">
        <f t="shared" si="17"/>
        <v>2.3768000000000002</v>
      </c>
      <c r="R102" s="5"/>
      <c r="S102" s="5">
        <f>VLOOKUP(A102,[1]Sheet!$A:$S,19,0)</f>
        <v>0</v>
      </c>
      <c r="T102" s="5">
        <f>VLOOKUP(A102,[2]Sheet!$A:$S,19,0)</f>
        <v>0</v>
      </c>
      <c r="U102" s="5"/>
      <c r="V102" s="1"/>
      <c r="W102" s="1">
        <f t="shared" si="18"/>
        <v>48.526590373611569</v>
      </c>
      <c r="X102" s="1">
        <f t="shared" si="19"/>
        <v>48.526590373611569</v>
      </c>
      <c r="Y102" s="1">
        <v>0.50239999999999996</v>
      </c>
      <c r="Z102" s="1">
        <v>9.3881999999999994</v>
      </c>
      <c r="AA102" s="1">
        <v>0</v>
      </c>
      <c r="AB102" s="1">
        <v>0</v>
      </c>
      <c r="AC102" s="1">
        <v>0</v>
      </c>
      <c r="AD102" s="17"/>
      <c r="AE102" s="1">
        <f t="shared" si="20"/>
        <v>0</v>
      </c>
      <c r="AF102" s="1">
        <f t="shared" si="21"/>
        <v>0</v>
      </c>
      <c r="AG102" s="1">
        <f t="shared" si="22"/>
        <v>2.3768000000000002</v>
      </c>
      <c r="AH102" s="1">
        <f t="shared" si="23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6"/>
        <v>80</v>
      </c>
      <c r="M103" s="1"/>
      <c r="N103" s="1"/>
      <c r="O103" s="1">
        <v>0</v>
      </c>
      <c r="P103" s="1">
        <v>0</v>
      </c>
      <c r="Q103" s="1">
        <f t="shared" si="17"/>
        <v>18</v>
      </c>
      <c r="R103" s="5"/>
      <c r="S103" s="5">
        <f>VLOOKUP(A103,[1]Sheet!$A:$S,19,0)</f>
        <v>0</v>
      </c>
      <c r="T103" s="5">
        <f>VLOOKUP(A103,[2]Sheet!$A:$S,19,0)</f>
        <v>0</v>
      </c>
      <c r="U103" s="5"/>
      <c r="V103" s="1"/>
      <c r="W103" s="1">
        <f t="shared" si="18"/>
        <v>37</v>
      </c>
      <c r="X103" s="1">
        <f t="shared" si="19"/>
        <v>37</v>
      </c>
      <c r="Y103" s="1">
        <v>0.2</v>
      </c>
      <c r="Z103" s="1">
        <v>0.4</v>
      </c>
      <c r="AA103" s="1">
        <v>0</v>
      </c>
      <c r="AB103" s="1">
        <v>0</v>
      </c>
      <c r="AC103" s="1">
        <v>0</v>
      </c>
      <c r="AD103" s="17"/>
      <c r="AE103" s="1">
        <f t="shared" si="20"/>
        <v>0</v>
      </c>
      <c r="AF103" s="1">
        <f t="shared" si="21"/>
        <v>0</v>
      </c>
      <c r="AG103" s="1">
        <f t="shared" si="22"/>
        <v>5.94</v>
      </c>
      <c r="AH103" s="1">
        <f t="shared" si="23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6"/>
        <v>-25.261000000000003</v>
      </c>
      <c r="M104" s="10"/>
      <c r="N104" s="10"/>
      <c r="O104" s="10">
        <v>0</v>
      </c>
      <c r="P104" s="10">
        <v>0</v>
      </c>
      <c r="Q104" s="10">
        <f t="shared" si="17"/>
        <v>0.26779999999999998</v>
      </c>
      <c r="R104" s="12"/>
      <c r="S104" s="5">
        <f>VLOOKUP(A104,[1]Sheet!$A:$S,19,0)</f>
        <v>0</v>
      </c>
      <c r="T104" s="5">
        <f>VLOOKUP(A104,[2]Sheet!$A:$S,19,0)</f>
        <v>0</v>
      </c>
      <c r="U104" s="12"/>
      <c r="V104" s="10"/>
      <c r="W104" s="10">
        <f t="shared" si="18"/>
        <v>-10.048543689320388</v>
      </c>
      <c r="X104" s="10">
        <f t="shared" si="19"/>
        <v>-10.048543689320388</v>
      </c>
      <c r="Y104" s="10">
        <v>0.27039999999999997</v>
      </c>
      <c r="Z104" s="10">
        <v>0</v>
      </c>
      <c r="AA104" s="10">
        <v>0</v>
      </c>
      <c r="AB104" s="10">
        <v>0</v>
      </c>
      <c r="AC104" s="10">
        <v>0</v>
      </c>
      <c r="AD104" s="19"/>
      <c r="AE104" s="1">
        <f t="shared" si="20"/>
        <v>0</v>
      </c>
      <c r="AF104" s="1">
        <f t="shared" si="21"/>
        <v>0</v>
      </c>
      <c r="AG104" s="1"/>
      <c r="AH104" s="1">
        <f t="shared" si="23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>
        <v>0</v>
      </c>
      <c r="Q105" s="10">
        <f t="shared" si="17"/>
        <v>0</v>
      </c>
      <c r="R105" s="12"/>
      <c r="S105" s="5">
        <f>VLOOKUP(A105,[1]Sheet!$A:$S,19,0)</f>
        <v>0</v>
      </c>
      <c r="T105" s="5">
        <f>VLOOKUP(A105,[2]Sheet!$A:$S,19,0)</f>
        <v>0</v>
      </c>
      <c r="U105" s="12"/>
      <c r="V105" s="10"/>
      <c r="W105" s="10" t="e">
        <f t="shared" si="18"/>
        <v>#DIV/0!</v>
      </c>
      <c r="X105" s="10" t="e">
        <f t="shared" si="19"/>
        <v>#DIV/0!</v>
      </c>
      <c r="Y105" s="10">
        <v>0.50940000000000007</v>
      </c>
      <c r="Z105" s="10">
        <v>0</v>
      </c>
      <c r="AA105" s="10">
        <v>0</v>
      </c>
      <c r="AB105" s="10">
        <v>0</v>
      </c>
      <c r="AC105" s="10">
        <v>0</v>
      </c>
      <c r="AD105" s="19"/>
      <c r="AE105" s="1">
        <f t="shared" si="20"/>
        <v>0</v>
      </c>
      <c r="AF105" s="1">
        <f t="shared" si="21"/>
        <v>0</v>
      </c>
      <c r="AG105" s="1"/>
      <c r="AH105" s="1">
        <f t="shared" si="23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6"/>
        <v>-3</v>
      </c>
      <c r="M106" s="10"/>
      <c r="N106" s="10"/>
      <c r="O106" s="10">
        <v>0</v>
      </c>
      <c r="P106" s="10">
        <v>0</v>
      </c>
      <c r="Q106" s="10">
        <f t="shared" si="17"/>
        <v>0</v>
      </c>
      <c r="R106" s="12"/>
      <c r="S106" s="5">
        <f>VLOOKUP(A106,[1]Sheet!$A:$S,19,0)</f>
        <v>0</v>
      </c>
      <c r="T106" s="5">
        <f>VLOOKUP(A106,[2]Sheet!$A:$S,19,0)</f>
        <v>0</v>
      </c>
      <c r="U106" s="12"/>
      <c r="V106" s="10"/>
      <c r="W106" s="10" t="e">
        <f t="shared" si="18"/>
        <v>#DIV/0!</v>
      </c>
      <c r="X106" s="10" t="e">
        <f t="shared" si="19"/>
        <v>#DIV/0!</v>
      </c>
      <c r="Y106" s="10">
        <v>0</v>
      </c>
      <c r="Z106" s="10">
        <v>1.2</v>
      </c>
      <c r="AA106" s="10">
        <v>0</v>
      </c>
      <c r="AB106" s="10">
        <v>0</v>
      </c>
      <c r="AC106" s="10">
        <v>0</v>
      </c>
      <c r="AD106" s="19"/>
      <c r="AE106" s="1">
        <f t="shared" si="20"/>
        <v>0</v>
      </c>
      <c r="AF106" s="1">
        <f t="shared" si="21"/>
        <v>0</v>
      </c>
      <c r="AG106" s="1"/>
      <c r="AH106" s="1">
        <f t="shared" si="23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7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7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7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7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7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7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7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7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7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7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7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7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7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7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7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7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7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7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7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7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7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7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7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7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7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7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7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7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7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7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7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7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7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7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7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7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7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7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7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7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7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7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7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7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7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7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7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7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7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7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7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7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7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7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7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7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7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7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7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7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7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7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7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7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7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7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7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7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7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7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7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7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7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7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7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7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7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7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7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7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7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7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7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7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7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7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7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7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7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7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7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7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7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7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7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7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7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7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7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7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7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7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7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7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7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7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7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7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7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7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7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7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7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7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7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7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7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7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7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7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7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7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7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7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7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7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7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7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7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7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7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7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7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7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7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7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7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7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7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7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7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7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7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7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7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7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7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7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7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7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7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7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7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7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7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7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7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7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7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7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7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7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7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7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7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7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7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7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7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7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7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7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7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7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7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7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7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7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7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7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7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7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7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7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7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7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7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7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7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7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7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7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7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7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7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7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7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7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7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7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7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7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7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7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7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7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7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7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7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7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7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7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7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7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7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7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7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7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7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7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7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7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7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7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7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7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7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7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7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7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7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7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7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7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7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7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7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7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7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7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7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7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7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7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7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7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7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7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7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7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7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7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7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7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7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7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7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7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7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7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7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7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7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7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7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7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7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7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7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7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7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7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7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7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7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7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7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7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7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7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7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7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7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7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7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7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7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7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7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7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7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7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7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7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7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7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7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7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7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7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7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7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7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7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7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7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7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7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7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7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7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7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7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7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7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7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7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7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7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7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7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7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7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7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7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7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7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7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7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7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7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7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7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7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7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7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7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7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7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7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7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7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7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7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7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7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7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7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7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7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7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7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7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7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7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7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7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7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7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7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7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7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7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7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7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7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7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7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7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7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7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7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7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E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2026-06-29T07:21:35Z</dcterms:created>
  <dcterms:modified xsi:type="dcterms:W3CDTF">2026-07-05T06:03:03Z</dcterms:modified>
</cp:coreProperties>
</file>