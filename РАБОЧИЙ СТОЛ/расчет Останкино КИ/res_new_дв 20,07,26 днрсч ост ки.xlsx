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"/>
    </mc:Choice>
  </mc:AlternateContent>
  <xr:revisionPtr revIDLastSave="0" documentId="13_ncr:1_{00DD76A5-2A96-4844-9BF3-DFD94A5B86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Sheet!$A$3:$AD$107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107" i="1" l="1"/>
  <c r="F107" i="1"/>
  <c r="E107" i="1"/>
  <c r="Q107" i="1" s="1"/>
  <c r="S106" i="1"/>
  <c r="Q106" i="1"/>
  <c r="T106" i="1" s="1"/>
  <c r="L106" i="1"/>
  <c r="S105" i="1"/>
  <c r="Q105" i="1"/>
  <c r="T105" i="1" s="1"/>
  <c r="L105" i="1"/>
  <c r="AD104" i="1"/>
  <c r="Q104" i="1"/>
  <c r="S104" i="1" s="1"/>
  <c r="L104" i="1"/>
  <c r="AD103" i="1"/>
  <c r="S103" i="1"/>
  <c r="Q103" i="1"/>
  <c r="T103" i="1" s="1"/>
  <c r="L103" i="1"/>
  <c r="AD102" i="1"/>
  <c r="Q102" i="1"/>
  <c r="F102" i="1"/>
  <c r="S102" i="1" s="1"/>
  <c r="E102" i="1"/>
  <c r="L102" i="1" s="1"/>
  <c r="AD101" i="1"/>
  <c r="F101" i="1"/>
  <c r="E101" i="1"/>
  <c r="Q101" i="1" s="1"/>
  <c r="S101" i="1" s="1"/>
  <c r="AD100" i="1"/>
  <c r="Q100" i="1"/>
  <c r="F100" i="1"/>
  <c r="S100" i="1" s="1"/>
  <c r="E100" i="1"/>
  <c r="L100" i="1" s="1"/>
  <c r="AD99" i="1"/>
  <c r="F99" i="1"/>
  <c r="E99" i="1"/>
  <c r="Q99" i="1" s="1"/>
  <c r="S99" i="1" s="1"/>
  <c r="AD98" i="1"/>
  <c r="T98" i="1"/>
  <c r="Q98" i="1"/>
  <c r="S98" i="1" s="1"/>
  <c r="L98" i="1"/>
  <c r="AD97" i="1"/>
  <c r="S97" i="1"/>
  <c r="Q97" i="1"/>
  <c r="T97" i="1" s="1"/>
  <c r="L97" i="1"/>
  <c r="AD96" i="1"/>
  <c r="T96" i="1"/>
  <c r="Q96" i="1"/>
  <c r="L96" i="1"/>
  <c r="F96" i="1"/>
  <c r="S96" i="1" s="1"/>
  <c r="AD95" i="1"/>
  <c r="Q95" i="1"/>
  <c r="S95" i="1" s="1"/>
  <c r="L95" i="1"/>
  <c r="AD94" i="1"/>
  <c r="S94" i="1"/>
  <c r="Q94" i="1"/>
  <c r="T94" i="1" s="1"/>
  <c r="L94" i="1"/>
  <c r="AD93" i="1"/>
  <c r="Q93" i="1"/>
  <c r="S93" i="1" s="1"/>
  <c r="L93" i="1"/>
  <c r="AD92" i="1"/>
  <c r="S92" i="1"/>
  <c r="Q92" i="1"/>
  <c r="T92" i="1" s="1"/>
  <c r="L92" i="1"/>
  <c r="AD91" i="1"/>
  <c r="Q91" i="1"/>
  <c r="S91" i="1" s="1"/>
  <c r="L91" i="1"/>
  <c r="T90" i="1"/>
  <c r="Q90" i="1"/>
  <c r="S90" i="1" s="1"/>
  <c r="L90" i="1"/>
  <c r="AD89" i="1"/>
  <c r="S89" i="1"/>
  <c r="Q89" i="1"/>
  <c r="T89" i="1" s="1"/>
  <c r="L89" i="1"/>
  <c r="AD88" i="1"/>
  <c r="Q88" i="1"/>
  <c r="S88" i="1" s="1"/>
  <c r="L88" i="1"/>
  <c r="T87" i="1"/>
  <c r="Q87" i="1"/>
  <c r="S87" i="1" s="1"/>
  <c r="L87" i="1"/>
  <c r="AD86" i="1"/>
  <c r="S86" i="1"/>
  <c r="Q86" i="1"/>
  <c r="T86" i="1" s="1"/>
  <c r="L86" i="1"/>
  <c r="S85" i="1"/>
  <c r="Q85" i="1"/>
  <c r="T85" i="1" s="1"/>
  <c r="L85" i="1"/>
  <c r="AD84" i="1"/>
  <c r="T84" i="1"/>
  <c r="Q84" i="1"/>
  <c r="S84" i="1" s="1"/>
  <c r="L84" i="1"/>
  <c r="AD83" i="1"/>
  <c r="S83" i="1"/>
  <c r="Q83" i="1"/>
  <c r="T83" i="1" s="1"/>
  <c r="L83" i="1"/>
  <c r="AD82" i="1"/>
  <c r="T82" i="1"/>
  <c r="Q82" i="1"/>
  <c r="S82" i="1" s="1"/>
  <c r="L82" i="1"/>
  <c r="AD81" i="1"/>
  <c r="S81" i="1"/>
  <c r="Q81" i="1"/>
  <c r="T81" i="1" s="1"/>
  <c r="L81" i="1"/>
  <c r="AD80" i="1"/>
  <c r="Q80" i="1"/>
  <c r="S80" i="1" s="1"/>
  <c r="L80" i="1"/>
  <c r="AD79" i="1"/>
  <c r="S79" i="1"/>
  <c r="Q79" i="1"/>
  <c r="T79" i="1" s="1"/>
  <c r="L79" i="1"/>
  <c r="AD78" i="1"/>
  <c r="Q78" i="1"/>
  <c r="S78" i="1" s="1"/>
  <c r="L78" i="1"/>
  <c r="AD77" i="1"/>
  <c r="S77" i="1"/>
  <c r="Q77" i="1"/>
  <c r="T77" i="1" s="1"/>
  <c r="L77" i="1"/>
  <c r="AD76" i="1"/>
  <c r="Q76" i="1"/>
  <c r="S76" i="1" s="1"/>
  <c r="L76" i="1"/>
  <c r="T75" i="1"/>
  <c r="Q75" i="1"/>
  <c r="S75" i="1" s="1"/>
  <c r="L75" i="1"/>
  <c r="AD74" i="1"/>
  <c r="S74" i="1"/>
  <c r="Q74" i="1"/>
  <c r="T74" i="1" s="1"/>
  <c r="L74" i="1"/>
  <c r="AD73" i="1"/>
  <c r="Q73" i="1"/>
  <c r="S73" i="1" s="1"/>
  <c r="L73" i="1"/>
  <c r="T72" i="1"/>
  <c r="Q72" i="1"/>
  <c r="S72" i="1" s="1"/>
  <c r="L72" i="1"/>
  <c r="AD71" i="1"/>
  <c r="S71" i="1"/>
  <c r="Q71" i="1"/>
  <c r="T71" i="1" s="1"/>
  <c r="L71" i="1"/>
  <c r="AD70" i="1"/>
  <c r="Q70" i="1"/>
  <c r="S70" i="1" s="1"/>
  <c r="L70" i="1"/>
  <c r="AD69" i="1"/>
  <c r="S69" i="1"/>
  <c r="Q69" i="1"/>
  <c r="T69" i="1" s="1"/>
  <c r="L69" i="1"/>
  <c r="AD68" i="1"/>
  <c r="Q68" i="1"/>
  <c r="S68" i="1" s="1"/>
  <c r="L68" i="1"/>
  <c r="AD67" i="1"/>
  <c r="S67" i="1"/>
  <c r="Q67" i="1"/>
  <c r="T67" i="1" s="1"/>
  <c r="L67" i="1"/>
  <c r="AD66" i="1"/>
  <c r="Q66" i="1"/>
  <c r="F66" i="1"/>
  <c r="S66" i="1" s="1"/>
  <c r="E66" i="1"/>
  <c r="L66" i="1" s="1"/>
  <c r="T65" i="1"/>
  <c r="Q65" i="1"/>
  <c r="S65" i="1" s="1"/>
  <c r="L65" i="1"/>
  <c r="AD64" i="1"/>
  <c r="F64" i="1"/>
  <c r="T64" i="1" s="1"/>
  <c r="E64" i="1"/>
  <c r="Q64" i="1" s="1"/>
  <c r="S64" i="1" s="1"/>
  <c r="AD63" i="1"/>
  <c r="Q63" i="1"/>
  <c r="S63" i="1" s="1"/>
  <c r="L63" i="1"/>
  <c r="AD62" i="1"/>
  <c r="S62" i="1"/>
  <c r="Q62" i="1"/>
  <c r="T62" i="1" s="1"/>
  <c r="L62" i="1"/>
  <c r="AD61" i="1"/>
  <c r="Q61" i="1"/>
  <c r="S61" i="1" s="1"/>
  <c r="L61" i="1"/>
  <c r="T60" i="1"/>
  <c r="Q60" i="1"/>
  <c r="S60" i="1" s="1"/>
  <c r="L60" i="1"/>
  <c r="Q59" i="1"/>
  <c r="S59" i="1" s="1"/>
  <c r="L59" i="1"/>
  <c r="AD58" i="1"/>
  <c r="S58" i="1"/>
  <c r="Q58" i="1"/>
  <c r="T58" i="1" s="1"/>
  <c r="L58" i="1"/>
  <c r="AD57" i="1"/>
  <c r="Q57" i="1"/>
  <c r="S57" i="1" s="1"/>
  <c r="L57" i="1"/>
  <c r="AD56" i="1"/>
  <c r="S56" i="1"/>
  <c r="Q56" i="1"/>
  <c r="T56" i="1" s="1"/>
  <c r="L56" i="1"/>
  <c r="AD55" i="1"/>
  <c r="Q55" i="1"/>
  <c r="S55" i="1" s="1"/>
  <c r="L55" i="1"/>
  <c r="T54" i="1"/>
  <c r="Q54" i="1"/>
  <c r="S54" i="1" s="1"/>
  <c r="L54" i="1"/>
  <c r="AD53" i="1"/>
  <c r="S53" i="1"/>
  <c r="Q53" i="1"/>
  <c r="T53" i="1" s="1"/>
  <c r="L53" i="1"/>
  <c r="AD52" i="1"/>
  <c r="T52" i="1"/>
  <c r="Q52" i="1"/>
  <c r="S52" i="1" s="1"/>
  <c r="L52" i="1"/>
  <c r="AD51" i="1"/>
  <c r="S51" i="1"/>
  <c r="Q51" i="1"/>
  <c r="T51" i="1" s="1"/>
  <c r="L51" i="1"/>
  <c r="AD50" i="1"/>
  <c r="T50" i="1"/>
  <c r="Q50" i="1"/>
  <c r="S50" i="1" s="1"/>
  <c r="L50" i="1"/>
  <c r="AD49" i="1"/>
  <c r="S49" i="1"/>
  <c r="Q49" i="1"/>
  <c r="T49" i="1" s="1"/>
  <c r="L49" i="1"/>
  <c r="AD48" i="1"/>
  <c r="T48" i="1"/>
  <c r="Q48" i="1"/>
  <c r="S48" i="1" s="1"/>
  <c r="L48" i="1"/>
  <c r="AD47" i="1"/>
  <c r="S47" i="1"/>
  <c r="Q47" i="1"/>
  <c r="T47" i="1" s="1"/>
  <c r="L47" i="1"/>
  <c r="AD46" i="1"/>
  <c r="T46" i="1"/>
  <c r="Q46" i="1"/>
  <c r="S46" i="1" s="1"/>
  <c r="L46" i="1"/>
  <c r="AD45" i="1"/>
  <c r="S45" i="1"/>
  <c r="Q45" i="1"/>
  <c r="T45" i="1" s="1"/>
  <c r="L45" i="1"/>
  <c r="AD44" i="1"/>
  <c r="T44" i="1"/>
  <c r="Q44" i="1"/>
  <c r="S44" i="1" s="1"/>
  <c r="L44" i="1"/>
  <c r="AD43" i="1"/>
  <c r="S43" i="1"/>
  <c r="Q43" i="1"/>
  <c r="T43" i="1" s="1"/>
  <c r="L43" i="1"/>
  <c r="AD42" i="1"/>
  <c r="Q42" i="1"/>
  <c r="S42" i="1" s="1"/>
  <c r="L42" i="1"/>
  <c r="AD41" i="1"/>
  <c r="S41" i="1"/>
  <c r="Q41" i="1"/>
  <c r="T41" i="1" s="1"/>
  <c r="L41" i="1"/>
  <c r="AD40" i="1"/>
  <c r="Q40" i="1"/>
  <c r="S40" i="1" s="1"/>
  <c r="L40" i="1"/>
  <c r="AD39" i="1"/>
  <c r="S39" i="1"/>
  <c r="Q39" i="1"/>
  <c r="T39" i="1" s="1"/>
  <c r="L39" i="1"/>
  <c r="AD38" i="1"/>
  <c r="Q38" i="1"/>
  <c r="S38" i="1" s="1"/>
  <c r="L38" i="1"/>
  <c r="T37" i="1"/>
  <c r="Q37" i="1"/>
  <c r="S37" i="1" s="1"/>
  <c r="L37" i="1"/>
  <c r="Q36" i="1"/>
  <c r="S36" i="1" s="1"/>
  <c r="L36" i="1"/>
  <c r="T35" i="1"/>
  <c r="Q35" i="1"/>
  <c r="S35" i="1" s="1"/>
  <c r="L35" i="1"/>
  <c r="Q34" i="1"/>
  <c r="S34" i="1" s="1"/>
  <c r="L34" i="1"/>
  <c r="AD33" i="1"/>
  <c r="S33" i="1"/>
  <c r="Q33" i="1"/>
  <c r="T33" i="1" s="1"/>
  <c r="L33" i="1"/>
  <c r="S32" i="1"/>
  <c r="Q32" i="1"/>
  <c r="T32" i="1" s="1"/>
  <c r="L32" i="1"/>
  <c r="AD31" i="1"/>
  <c r="T31" i="1"/>
  <c r="Q31" i="1"/>
  <c r="S31" i="1" s="1"/>
  <c r="L31" i="1"/>
  <c r="AD30" i="1"/>
  <c r="S30" i="1"/>
  <c r="Q30" i="1"/>
  <c r="T30" i="1" s="1"/>
  <c r="L30" i="1"/>
  <c r="Q29" i="1"/>
  <c r="T29" i="1" s="1"/>
  <c r="L29" i="1"/>
  <c r="AD28" i="1"/>
  <c r="Q28" i="1"/>
  <c r="L28" i="1"/>
  <c r="F28" i="1"/>
  <c r="T28" i="1" s="1"/>
  <c r="AD27" i="1"/>
  <c r="Q27" i="1"/>
  <c r="T27" i="1" s="1"/>
  <c r="L27" i="1"/>
  <c r="AD26" i="1"/>
  <c r="Q26" i="1"/>
  <c r="S26" i="1" s="1"/>
  <c r="L26" i="1"/>
  <c r="AD25" i="1"/>
  <c r="Q25" i="1"/>
  <c r="T25" i="1" s="1"/>
  <c r="L25" i="1"/>
  <c r="AD24" i="1"/>
  <c r="Q24" i="1"/>
  <c r="S24" i="1" s="1"/>
  <c r="L24" i="1"/>
  <c r="Q23" i="1"/>
  <c r="S23" i="1" s="1"/>
  <c r="L23" i="1"/>
  <c r="AD22" i="1"/>
  <c r="Q22" i="1"/>
  <c r="T22" i="1" s="1"/>
  <c r="L22" i="1"/>
  <c r="AD21" i="1"/>
  <c r="Q21" i="1"/>
  <c r="S21" i="1" s="1"/>
  <c r="L21" i="1"/>
  <c r="AD20" i="1"/>
  <c r="Q20" i="1"/>
  <c r="T20" i="1" s="1"/>
  <c r="L20" i="1"/>
  <c r="AD19" i="1"/>
  <c r="Q19" i="1"/>
  <c r="S19" i="1" s="1"/>
  <c r="L19" i="1"/>
  <c r="AD18" i="1"/>
  <c r="Q18" i="1"/>
  <c r="T18" i="1" s="1"/>
  <c r="L18" i="1"/>
  <c r="AD17" i="1"/>
  <c r="Q17" i="1"/>
  <c r="S17" i="1" s="1"/>
  <c r="L17" i="1"/>
  <c r="AD16" i="1"/>
  <c r="Q16" i="1"/>
  <c r="T16" i="1" s="1"/>
  <c r="L16" i="1"/>
  <c r="AD15" i="1"/>
  <c r="S15" i="1"/>
  <c r="Q15" i="1"/>
  <c r="T15" i="1" s="1"/>
  <c r="L15" i="1"/>
  <c r="AD14" i="1"/>
  <c r="Q14" i="1"/>
  <c r="T14" i="1" s="1"/>
  <c r="L14" i="1"/>
  <c r="AD13" i="1"/>
  <c r="S13" i="1"/>
  <c r="Q13" i="1"/>
  <c r="T13" i="1" s="1"/>
  <c r="L13" i="1"/>
  <c r="AD12" i="1"/>
  <c r="Q12" i="1"/>
  <c r="T12" i="1" s="1"/>
  <c r="L12" i="1"/>
  <c r="AD11" i="1"/>
  <c r="S11" i="1"/>
  <c r="Q11" i="1"/>
  <c r="T11" i="1" s="1"/>
  <c r="L11" i="1"/>
  <c r="AD10" i="1"/>
  <c r="Q10" i="1"/>
  <c r="T10" i="1" s="1"/>
  <c r="L10" i="1"/>
  <c r="AD9" i="1"/>
  <c r="S9" i="1"/>
  <c r="Q9" i="1"/>
  <c r="T9" i="1" s="1"/>
  <c r="L9" i="1"/>
  <c r="AD8" i="1"/>
  <c r="Q8" i="1"/>
  <c r="T8" i="1" s="1"/>
  <c r="L8" i="1"/>
  <c r="AD7" i="1"/>
  <c r="S7" i="1"/>
  <c r="Q7" i="1"/>
  <c r="T7" i="1" s="1"/>
  <c r="L7" i="1"/>
  <c r="AD6" i="1"/>
  <c r="Q6" i="1"/>
  <c r="T6" i="1" s="1"/>
  <c r="L6" i="1"/>
  <c r="AD5" i="1"/>
  <c r="AB5" i="1"/>
  <c r="AA5" i="1"/>
  <c r="Z5" i="1"/>
  <c r="Y5" i="1"/>
  <c r="X5" i="1"/>
  <c r="W5" i="1"/>
  <c r="V5" i="1"/>
  <c r="U5" i="1"/>
  <c r="R5" i="1"/>
  <c r="P5" i="1"/>
  <c r="O5" i="1"/>
  <c r="N5" i="1"/>
  <c r="M5" i="1"/>
  <c r="K5" i="1"/>
  <c r="F5" i="1"/>
  <c r="E5" i="1"/>
  <c r="Q5" i="1" l="1"/>
  <c r="T107" i="1"/>
  <c r="S6" i="1"/>
  <c r="S8" i="1"/>
  <c r="S10" i="1"/>
  <c r="S12" i="1"/>
  <c r="S14" i="1"/>
  <c r="S16" i="1"/>
  <c r="T17" i="1"/>
  <c r="S18" i="1"/>
  <c r="T19" i="1"/>
  <c r="S20" i="1"/>
  <c r="T21" i="1"/>
  <c r="S22" i="1"/>
  <c r="T23" i="1"/>
  <c r="T24" i="1"/>
  <c r="S25" i="1"/>
  <c r="T26" i="1"/>
  <c r="S27" i="1"/>
  <c r="S28" i="1"/>
  <c r="T55" i="1"/>
  <c r="T57" i="1"/>
  <c r="T59" i="1"/>
  <c r="T61" i="1"/>
  <c r="T63" i="1"/>
  <c r="L64" i="1"/>
  <c r="T73" i="1"/>
  <c r="T91" i="1"/>
  <c r="T93" i="1"/>
  <c r="T95" i="1"/>
  <c r="T99" i="1"/>
  <c r="T101" i="1"/>
  <c r="S107" i="1"/>
  <c r="S29" i="1"/>
  <c r="T34" i="1"/>
  <c r="T36" i="1"/>
  <c r="T38" i="1"/>
  <c r="T40" i="1"/>
  <c r="T42" i="1"/>
  <c r="T66" i="1"/>
  <c r="T68" i="1"/>
  <c r="T70" i="1"/>
  <c r="T76" i="1"/>
  <c r="T78" i="1"/>
  <c r="T80" i="1"/>
  <c r="T88" i="1"/>
  <c r="L99" i="1"/>
  <c r="T100" i="1"/>
  <c r="L101" i="1"/>
  <c r="T102" i="1"/>
  <c r="T104" i="1"/>
  <c r="L5" i="1" l="1"/>
</calcChain>
</file>

<file path=xl/sharedStrings.xml><?xml version="1.0" encoding="utf-8"?>
<sst xmlns="http://schemas.openxmlformats.org/spreadsheetml/2006/main" count="396" uniqueCount="164">
  <si>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</si>
  <si>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</si>
  <si>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</si>
  <si>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</si>
  <si>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</si>
  <si>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</si>
  <si>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</si>
  <si>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</si>
  <si>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</si>
  <si>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</si>
  <si>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</si>
  <si>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</si>
  <si>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</si>
  <si>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</si>
  <si>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</si>
  <si>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</si>
  <si>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</si>
  <si>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</si>
  <si>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</si>
  <si>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</si>
  <si>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</si>
  <si>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</si>
  <si>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19,07,</t>
  </si>
  <si>
    <t>20,07,</t>
  </si>
  <si>
    <t>13,07,</t>
  </si>
  <si>
    <t>06,07,</t>
  </si>
  <si>
    <t>29,06,</t>
  </si>
  <si>
    <t>22,06,</t>
  </si>
  <si>
    <t>26,05,</t>
  </si>
  <si>
    <t>01,06,</t>
  </si>
  <si>
    <t>08,06,</t>
  </si>
  <si>
    <t>15,06,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</si>
  <si>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</si>
  <si>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</si>
  <si>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</si>
  <si>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</si>
  <si>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</si>
  <si>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</si>
  <si>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</si>
  <si>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</si>
  <si>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</si>
  <si>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</si>
  <si>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</si>
  <si>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</si>
  <si>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</si>
  <si>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</si>
  <si>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нужно увеличить продажи!!!</t>
  </si>
  <si>
    <t>5495 ВЕТЧ.С ИНДЕЙКОЙ Папа может п/о 400*6  Останкино</t>
  </si>
  <si>
    <t>ВНИМАНИЕ / матрица</t>
  </si>
  <si>
    <t>14,07,26 ноль (Босых) / 07,07,26 +600шт в заказ (просьба Босых под сети)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</si>
  <si>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</si>
  <si>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</si>
  <si>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</si>
  <si>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</si>
  <si>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</si>
  <si>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</si>
  <si>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</si>
  <si>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</si>
  <si>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</si>
  <si>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</si>
  <si>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</si>
  <si>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</si>
  <si>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</si>
  <si>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</si>
  <si>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</si>
  <si>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</si>
  <si>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</si>
  <si>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</si>
  <si>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</si>
  <si>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</si>
  <si>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</si>
  <si>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</si>
  <si>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</si>
  <si>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</si>
  <si>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</si>
  <si>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</si>
  <si>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</si>
  <si>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</si>
  <si>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</si>
  <si>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на7608</t>
  </si>
  <si>
    <t>6470 ВЕТЧ.МРАМОРНАЯ в/у_45с  ОСТАНКИНО</t>
  </si>
  <si>
    <t>22 кг в уценку (08,07,26)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</si>
  <si>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</si>
  <si>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</si>
  <si>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</si>
  <si>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</si>
  <si>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</si>
  <si>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</si>
  <si>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</si>
  <si>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</si>
  <si>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пересчет +155кг (12,07,26)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</si>
  <si>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</si>
  <si>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</si>
  <si>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</si>
  <si>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</si>
  <si>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</si>
  <si>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</si>
  <si>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</si>
  <si>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</si>
  <si>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</si>
  <si>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</si>
  <si>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нужно увеличить продажи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</si>
  <si>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</si>
  <si>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</si>
  <si>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</si>
  <si>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</si>
  <si>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</si>
  <si>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дубль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</si>
  <si>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</si>
  <si>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</si>
  <si>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</si>
  <si>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</si>
  <si>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</si>
  <si>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</si>
  <si>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</si>
  <si>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</si>
  <si>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07,07,26 +600шт в заказ (просьба Босых под сети - просил 700) / нужно увеличить продажи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</si>
  <si>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</si>
  <si>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</si>
  <si>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</si>
  <si>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</si>
  <si>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</si>
  <si>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</si>
  <si>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</si>
  <si>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</si>
  <si>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</si>
  <si>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</si>
  <si>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</si>
  <si>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</si>
  <si>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</si>
  <si>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</si>
  <si>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</si>
  <si>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</si>
  <si>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</si>
  <si>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</si>
  <si>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</si>
  <si>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</si>
  <si>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</si>
  <si>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</si>
  <si>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новинка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</si>
  <si>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</si>
  <si>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</si>
  <si>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</si>
  <si>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</si>
  <si>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07,07,26 +400шт в заказ (просьба Босых под сети)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</si>
  <si>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</si>
  <si>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</si>
  <si>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</si>
  <si>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вместо 6324</t>
  </si>
  <si>
    <t>7564 Балыковая в/к в/у Останкино Вес  ОСТАНКИНО</t>
  </si>
  <si>
    <t>вместо 7131</t>
  </si>
  <si>
    <t>7603 БАЛЫКОВАЯ в/к в/у 0.33кг 8шт. ОСТАНКИНО</t>
  </si>
  <si>
    <t>вместо 6793</t>
  </si>
  <si>
    <t>вместо 6459</t>
  </si>
  <si>
    <t>вместо 7288</t>
  </si>
  <si>
    <t>вместо 6453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</si>
  <si>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</si>
  <si>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</si>
  <si>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</si>
  <si>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</si>
  <si>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БОНУС_6086 МЯСНЫЕ  Папа может сос п/о мгс 1.3*_UZ  ОСТАНКИНО</t>
  </si>
  <si>
    <t>бонус</t>
  </si>
  <si>
    <t>БОНУС_6954 СОЧНЫЕ Папа может сос п/о мгс 1.5*4_Х5  ОСТАНКИНО</t>
  </si>
  <si>
    <t>вместо 6454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</si>
</sst>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0" borderId="1" xfId="1" applyNumberFormat="1" applyFont="1"/>
    <xf numFmtId="164" fontId="5" fillId="4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10" sqref="AC10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4" customWidth="1"/>
    <col min="8" max="8" width="5" style="9" customWidth="1"/>
    <col min="9" max="9" width="12" style="9" customWidth="1"/>
    <col min="10" max="10" width="1" style="9" customWidth="1"/>
    <col min="11" max="12" width="7" style="9" customWidth="1"/>
    <col min="13" max="14" width="0.5703125" style="9" customWidth="1"/>
    <col min="15" max="18" width="7" style="9" customWidth="1"/>
    <col min="19" max="20" width="5" style="9" customWidth="1"/>
    <col min="21" max="28" width="6" style="9" customWidth="1"/>
    <col min="29" max="29" width="54.28515625" style="9" customWidth="1"/>
    <col min="30" max="30" width="7" style="9" customWidth="1"/>
    <col min="31" max="47" width="3" style="9" customWidth="1"/>
  </cols>
  <sheetData>
    <row r="1" spans="1:47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2" spans="1:47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20</v>
      </c>
      <c r="AD3" s="1" t="s">
        <v>21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22</v>
      </c>
      <c r="P4" s="6" t="s">
        <v>23</v>
      </c>
      <c r="Q4" s="6" t="s">
        <v>23</v>
      </c>
      <c r="R4" s="6"/>
      <c r="S4" s="6"/>
      <c r="T4" s="6"/>
      <c r="U4" s="6" t="s">
        <v>24</v>
      </c>
      <c r="V4" s="6" t="s">
        <v>25</v>
      </c>
      <c r="W4" s="6" t="s">
        <v>26</v>
      </c>
      <c r="X4" s="6" t="s">
        <v>27</v>
      </c>
      <c r="Y4" s="6" t="s">
        <v>28</v>
      </c>
      <c r="Z4" s="6" t="s">
        <v>29</v>
      </c>
      <c r="AA4" s="6" t="s">
        <v>30</v>
      </c>
      <c r="AB4" s="6" t="s">
        <v>31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x14ac:dyDescent="0.25">
      <c r="A5" s="6"/>
      <c r="B5" s="6"/>
      <c r="C5" s="6"/>
      <c r="D5" s="6"/>
      <c r="E5" s="3">
        <f>SUM(E6:E493)</f>
        <v>15074.242999999999</v>
      </c>
      <c r="F5" s="3">
        <f>SUM(F6:F493)</f>
        <v>22827.185999999998</v>
      </c>
      <c r="G5" s="7"/>
      <c r="H5" s="6"/>
      <c r="I5" s="6"/>
      <c r="J5" s="6"/>
      <c r="K5" s="3">
        <f t="shared" ref="K5:R5" si="0">SUM(K6:K493)</f>
        <v>22274.82</v>
      </c>
      <c r="L5" s="3">
        <f t="shared" si="0"/>
        <v>-7394.5769999999993</v>
      </c>
      <c r="M5" s="3">
        <f t="shared" si="0"/>
        <v>0</v>
      </c>
      <c r="N5" s="3">
        <f t="shared" si="0"/>
        <v>0</v>
      </c>
      <c r="O5" s="3">
        <f t="shared" si="0"/>
        <v>5943</v>
      </c>
      <c r="P5" s="3">
        <f t="shared" si="0"/>
        <v>5768</v>
      </c>
      <c r="Q5" s="3">
        <f t="shared" si="0"/>
        <v>3014.8485999999994</v>
      </c>
      <c r="R5" s="3">
        <f t="shared" si="0"/>
        <v>0</v>
      </c>
      <c r="S5" s="6"/>
      <c r="T5" s="6"/>
      <c r="U5" s="3">
        <f t="shared" ref="U5:AB5" si="1">SUM(U6:U493)</f>
        <v>3554.4295999999995</v>
      </c>
      <c r="V5" s="3">
        <f t="shared" si="1"/>
        <v>3689.7988000000005</v>
      </c>
      <c r="W5" s="3">
        <f t="shared" si="1"/>
        <v>3886.4230000000011</v>
      </c>
      <c r="X5" s="3">
        <f t="shared" si="1"/>
        <v>5282.4044000000004</v>
      </c>
      <c r="Y5" s="3">
        <f t="shared" si="1"/>
        <v>3451.8326000000002</v>
      </c>
      <c r="Z5" s="3">
        <f t="shared" si="1"/>
        <v>3665.0409999999997</v>
      </c>
      <c r="AA5" s="3">
        <f t="shared" si="1"/>
        <v>3586.3323999999993</v>
      </c>
      <c r="AB5" s="3">
        <f t="shared" si="1"/>
        <v>3497.4075999999995</v>
      </c>
      <c r="AC5" s="6"/>
      <c r="AD5" s="3">
        <f>SUM(AD6:AD493)</f>
        <v>0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</row>
    <row r="6" spans="1:47" x14ac:dyDescent="0.25">
      <c r="A6" s="6" t="s">
        <v>32</v>
      </c>
      <c r="B6" s="6" t="s">
        <v>33</v>
      </c>
      <c r="C6" s="6">
        <v>66</v>
      </c>
      <c r="D6" s="6">
        <v>886</v>
      </c>
      <c r="E6" s="6">
        <v>273</v>
      </c>
      <c r="F6" s="6">
        <v>556</v>
      </c>
      <c r="G6" s="7">
        <v>0.4</v>
      </c>
      <c r="H6" s="6">
        <v>60</v>
      </c>
      <c r="I6" s="6" t="s">
        <v>34</v>
      </c>
      <c r="J6" s="6"/>
      <c r="K6" s="6">
        <v>438</v>
      </c>
      <c r="L6" s="6">
        <f t="shared" ref="L6:L37" si="2">E6-K6</f>
        <v>-165</v>
      </c>
      <c r="M6" s="6"/>
      <c r="N6" s="6"/>
      <c r="O6" s="6">
        <v>92</v>
      </c>
      <c r="P6" s="6"/>
      <c r="Q6" s="6">
        <f t="shared" ref="Q6:Q37" si="3">E6/5</f>
        <v>54.6</v>
      </c>
      <c r="R6" s="8"/>
      <c r="S6" s="6">
        <f t="shared" ref="S6:S37" si="4">(F6+O6+P6+R6)/Q6</f>
        <v>11.868131868131869</v>
      </c>
      <c r="T6" s="6">
        <f t="shared" ref="T6:T37" si="5">(F6+O6+P6)/Q6</f>
        <v>11.868131868131869</v>
      </c>
      <c r="U6" s="6">
        <v>62.6</v>
      </c>
      <c r="V6" s="6">
        <v>77.400000000000006</v>
      </c>
      <c r="W6" s="6">
        <v>50</v>
      </c>
      <c r="X6" s="6">
        <v>76.400000000000006</v>
      </c>
      <c r="Y6" s="6">
        <v>59.8</v>
      </c>
      <c r="Z6" s="6">
        <v>79.8</v>
      </c>
      <c r="AA6" s="6">
        <v>60.4</v>
      </c>
      <c r="AB6" s="6">
        <v>56.2</v>
      </c>
      <c r="AC6" s="6"/>
      <c r="AD6" s="6">
        <f t="shared" ref="AD6:AD22" si="6">G6*R6</f>
        <v>0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</row>
    <row r="7" spans="1:47" x14ac:dyDescent="0.25">
      <c r="A7" s="6" t="s">
        <v>35</v>
      </c>
      <c r="B7" s="6" t="s">
        <v>36</v>
      </c>
      <c r="C7" s="6">
        <v>20.600999999999999</v>
      </c>
      <c r="D7" s="6"/>
      <c r="E7" s="6">
        <v>10.557</v>
      </c>
      <c r="F7" s="6">
        <v>10.044</v>
      </c>
      <c r="G7" s="7">
        <v>1</v>
      </c>
      <c r="H7" s="6">
        <v>120</v>
      </c>
      <c r="I7" s="6" t="s">
        <v>34</v>
      </c>
      <c r="J7" s="6"/>
      <c r="K7" s="6">
        <v>9.5</v>
      </c>
      <c r="L7" s="6">
        <f t="shared" si="2"/>
        <v>1.0570000000000004</v>
      </c>
      <c r="M7" s="6"/>
      <c r="N7" s="6"/>
      <c r="O7" s="6">
        <v>8</v>
      </c>
      <c r="P7" s="6"/>
      <c r="Q7" s="6">
        <f t="shared" si="3"/>
        <v>2.1114000000000002</v>
      </c>
      <c r="R7" s="8"/>
      <c r="S7" s="6">
        <f t="shared" si="4"/>
        <v>8.5459884436866531</v>
      </c>
      <c r="T7" s="6">
        <f t="shared" si="5"/>
        <v>8.5459884436866531</v>
      </c>
      <c r="U7" s="6">
        <v>1.4079999999999999</v>
      </c>
      <c r="V7" s="6">
        <v>0.70300000000000007</v>
      </c>
      <c r="W7" s="6">
        <v>1.204</v>
      </c>
      <c r="X7" s="6">
        <v>1.9656</v>
      </c>
      <c r="Y7" s="6">
        <v>1.6342000000000001</v>
      </c>
      <c r="Z7" s="6">
        <v>1.167</v>
      </c>
      <c r="AA7" s="6">
        <v>0.98599999999999999</v>
      </c>
      <c r="AB7" s="6">
        <v>1.5744</v>
      </c>
      <c r="AC7" s="6" t="s">
        <v>37</v>
      </c>
      <c r="AD7" s="6">
        <f t="shared" si="6"/>
        <v>0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</row>
    <row r="8" spans="1:47" x14ac:dyDescent="0.25">
      <c r="A8" s="6" t="s">
        <v>38</v>
      </c>
      <c r="B8" s="6" t="s">
        <v>33</v>
      </c>
      <c r="C8" s="6">
        <v>16</v>
      </c>
      <c r="D8" s="6">
        <v>616</v>
      </c>
      <c r="E8" s="6">
        <v>185</v>
      </c>
      <c r="F8" s="6">
        <v>340</v>
      </c>
      <c r="G8" s="7">
        <v>0.25</v>
      </c>
      <c r="H8" s="6">
        <v>120</v>
      </c>
      <c r="I8" s="6" t="s">
        <v>34</v>
      </c>
      <c r="J8" s="6"/>
      <c r="K8" s="6">
        <v>317</v>
      </c>
      <c r="L8" s="6">
        <f t="shared" si="2"/>
        <v>-132</v>
      </c>
      <c r="M8" s="6"/>
      <c r="N8" s="6"/>
      <c r="O8" s="6">
        <v>97</v>
      </c>
      <c r="P8" s="6"/>
      <c r="Q8" s="6">
        <f t="shared" si="3"/>
        <v>37</v>
      </c>
      <c r="R8" s="8"/>
      <c r="S8" s="6">
        <f t="shared" si="4"/>
        <v>11.810810810810811</v>
      </c>
      <c r="T8" s="6">
        <f t="shared" si="5"/>
        <v>11.810810810810811</v>
      </c>
      <c r="U8" s="6">
        <v>32</v>
      </c>
      <c r="V8" s="6">
        <v>56.8</v>
      </c>
      <c r="W8" s="6">
        <v>27</v>
      </c>
      <c r="X8" s="6">
        <v>45.8</v>
      </c>
      <c r="Y8" s="6">
        <v>42.2</v>
      </c>
      <c r="Z8" s="6">
        <v>25.8</v>
      </c>
      <c r="AA8" s="6">
        <v>49.4</v>
      </c>
      <c r="AB8" s="6">
        <v>55.2</v>
      </c>
      <c r="AC8" s="6" t="s">
        <v>37</v>
      </c>
      <c r="AD8" s="6">
        <f t="shared" si="6"/>
        <v>0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spans="1:47" x14ac:dyDescent="0.25">
      <c r="A9" s="6" t="s">
        <v>39</v>
      </c>
      <c r="B9" s="6" t="s">
        <v>36</v>
      </c>
      <c r="C9" s="6">
        <v>1158.201</v>
      </c>
      <c r="D9" s="6">
        <v>844.19299999999998</v>
      </c>
      <c r="E9" s="6">
        <v>1081.723</v>
      </c>
      <c r="F9" s="6">
        <v>715.66899999999998</v>
      </c>
      <c r="G9" s="7">
        <v>1</v>
      </c>
      <c r="H9" s="6">
        <v>60</v>
      </c>
      <c r="I9" s="6" t="s">
        <v>34</v>
      </c>
      <c r="J9" s="6"/>
      <c r="K9" s="6">
        <v>1194.9000000000001</v>
      </c>
      <c r="L9" s="6">
        <f t="shared" si="2"/>
        <v>-113.17700000000013</v>
      </c>
      <c r="M9" s="6"/>
      <c r="N9" s="6"/>
      <c r="O9" s="6">
        <v>358</v>
      </c>
      <c r="P9" s="6">
        <v>421</v>
      </c>
      <c r="Q9" s="6">
        <f t="shared" si="3"/>
        <v>216.34459999999999</v>
      </c>
      <c r="R9" s="8"/>
      <c r="S9" s="6">
        <f t="shared" si="4"/>
        <v>6.9087418867861734</v>
      </c>
      <c r="T9" s="6">
        <f t="shared" si="5"/>
        <v>6.9087418867861734</v>
      </c>
      <c r="U9" s="6">
        <v>179.56120000000001</v>
      </c>
      <c r="V9" s="6">
        <v>188.56039999999999</v>
      </c>
      <c r="W9" s="6">
        <v>210.9682</v>
      </c>
      <c r="X9" s="6">
        <v>273.19080000000002</v>
      </c>
      <c r="Y9" s="6">
        <v>182.46039999999999</v>
      </c>
      <c r="Z9" s="6">
        <v>221.37100000000001</v>
      </c>
      <c r="AA9" s="6">
        <v>197.34700000000001</v>
      </c>
      <c r="AB9" s="6">
        <v>222.8562</v>
      </c>
      <c r="AC9" s="6"/>
      <c r="AD9" s="6">
        <f t="shared" si="6"/>
        <v>0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 spans="1:47" x14ac:dyDescent="0.25">
      <c r="A10" s="6" t="s">
        <v>40</v>
      </c>
      <c r="B10" s="6" t="s">
        <v>36</v>
      </c>
      <c r="C10" s="6">
        <v>51.613999999999997</v>
      </c>
      <c r="D10" s="6"/>
      <c r="E10" s="6">
        <v>37.676000000000002</v>
      </c>
      <c r="F10" s="6">
        <v>13.938000000000001</v>
      </c>
      <c r="G10" s="7">
        <v>1</v>
      </c>
      <c r="H10" s="6">
        <v>120</v>
      </c>
      <c r="I10" s="6" t="s">
        <v>34</v>
      </c>
      <c r="J10" s="6"/>
      <c r="K10" s="6">
        <v>36.700000000000003</v>
      </c>
      <c r="L10" s="6">
        <f t="shared" si="2"/>
        <v>0.97599999999999909</v>
      </c>
      <c r="M10" s="6"/>
      <c r="N10" s="6"/>
      <c r="O10" s="6">
        <v>15</v>
      </c>
      <c r="P10" s="6"/>
      <c r="Q10" s="6">
        <f t="shared" si="3"/>
        <v>7.5352000000000006</v>
      </c>
      <c r="R10" s="8"/>
      <c r="S10" s="6">
        <f t="shared" si="4"/>
        <v>3.8403758360760167</v>
      </c>
      <c r="T10" s="6">
        <f t="shared" si="5"/>
        <v>3.8403758360760167</v>
      </c>
      <c r="U10" s="6">
        <v>4.4573999999999998</v>
      </c>
      <c r="V10" s="6">
        <v>2.1379999999999999</v>
      </c>
      <c r="W10" s="6">
        <v>1.2092000000000001</v>
      </c>
      <c r="X10" s="6">
        <v>6.8614000000000006</v>
      </c>
      <c r="Y10" s="6">
        <v>1.8819999999999999</v>
      </c>
      <c r="Z10" s="6">
        <v>0.79900000000000004</v>
      </c>
      <c r="AA10" s="6">
        <v>6.34</v>
      </c>
      <c r="AB10" s="6">
        <v>3.8715999999999999</v>
      </c>
      <c r="AC10" s="6"/>
      <c r="AD10" s="6">
        <f t="shared" si="6"/>
        <v>0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</row>
    <row r="11" spans="1:47" x14ac:dyDescent="0.25">
      <c r="A11" s="6" t="s">
        <v>41</v>
      </c>
      <c r="B11" s="6" t="s">
        <v>36</v>
      </c>
      <c r="C11" s="6">
        <v>291.93700000000001</v>
      </c>
      <c r="D11" s="6">
        <v>6.7249999999999996</v>
      </c>
      <c r="E11" s="6">
        <v>64.417000000000002</v>
      </c>
      <c r="F11" s="6">
        <v>220.52799999999999</v>
      </c>
      <c r="G11" s="7">
        <v>1</v>
      </c>
      <c r="H11" s="6">
        <v>60</v>
      </c>
      <c r="I11" s="6" t="s">
        <v>34</v>
      </c>
      <c r="J11" s="6"/>
      <c r="K11" s="6">
        <v>74.8</v>
      </c>
      <c r="L11" s="6">
        <f t="shared" si="2"/>
        <v>-10.382999999999996</v>
      </c>
      <c r="M11" s="6"/>
      <c r="N11" s="6"/>
      <c r="O11" s="6">
        <v>53</v>
      </c>
      <c r="P11" s="6"/>
      <c r="Q11" s="6">
        <f t="shared" si="3"/>
        <v>12.8834</v>
      </c>
      <c r="R11" s="8"/>
      <c r="S11" s="6">
        <f t="shared" si="4"/>
        <v>21.231041495257465</v>
      </c>
      <c r="T11" s="6">
        <f t="shared" si="5"/>
        <v>21.231041495257465</v>
      </c>
      <c r="U11" s="6">
        <v>22.982600000000001</v>
      </c>
      <c r="V11" s="6">
        <v>20.1874</v>
      </c>
      <c r="W11" s="6">
        <v>35.412799999999997</v>
      </c>
      <c r="X11" s="6">
        <v>36.8416</v>
      </c>
      <c r="Y11" s="6">
        <v>21.529199999999999</v>
      </c>
      <c r="Z11" s="6">
        <v>24.9114</v>
      </c>
      <c r="AA11" s="6">
        <v>29.545400000000001</v>
      </c>
      <c r="AB11" s="6">
        <v>27.542200000000001</v>
      </c>
      <c r="AC11" s="6"/>
      <c r="AD11" s="6">
        <f t="shared" si="6"/>
        <v>0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spans="1:47" x14ac:dyDescent="0.25">
      <c r="A12" s="6" t="s">
        <v>42</v>
      </c>
      <c r="B12" s="6" t="s">
        <v>36</v>
      </c>
      <c r="C12" s="6">
        <v>477.238</v>
      </c>
      <c r="D12" s="6">
        <v>637.93700000000001</v>
      </c>
      <c r="E12" s="6">
        <v>390.20400000000001</v>
      </c>
      <c r="F12" s="6">
        <v>638.75800000000004</v>
      </c>
      <c r="G12" s="7">
        <v>1</v>
      </c>
      <c r="H12" s="6">
        <v>60</v>
      </c>
      <c r="I12" s="6" t="s">
        <v>34</v>
      </c>
      <c r="J12" s="6"/>
      <c r="K12" s="6">
        <v>451.4</v>
      </c>
      <c r="L12" s="6">
        <f t="shared" si="2"/>
        <v>-61.19599999999997</v>
      </c>
      <c r="M12" s="6"/>
      <c r="N12" s="6"/>
      <c r="O12" s="6">
        <v>97</v>
      </c>
      <c r="P12" s="6">
        <v>115</v>
      </c>
      <c r="Q12" s="6">
        <f t="shared" si="3"/>
        <v>78.040800000000004</v>
      </c>
      <c r="R12" s="8"/>
      <c r="S12" s="6">
        <f t="shared" si="4"/>
        <v>10.901451548420827</v>
      </c>
      <c r="T12" s="6">
        <f t="shared" si="5"/>
        <v>10.901451548420827</v>
      </c>
      <c r="U12" s="6">
        <v>85.428200000000004</v>
      </c>
      <c r="V12" s="6">
        <v>98.685399999999987</v>
      </c>
      <c r="W12" s="6">
        <v>97.275999999999996</v>
      </c>
      <c r="X12" s="6">
        <v>103.453</v>
      </c>
      <c r="Y12" s="6">
        <v>79.201400000000007</v>
      </c>
      <c r="Z12" s="6">
        <v>95.4328</v>
      </c>
      <c r="AA12" s="6">
        <v>114.4444</v>
      </c>
      <c r="AB12" s="6">
        <v>86.782200000000003</v>
      </c>
      <c r="AC12" s="6"/>
      <c r="AD12" s="6">
        <f t="shared" si="6"/>
        <v>0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spans="1:47" x14ac:dyDescent="0.25">
      <c r="A13" s="6" t="s">
        <v>43</v>
      </c>
      <c r="B13" s="6" t="s">
        <v>33</v>
      </c>
      <c r="C13" s="6">
        <v>156</v>
      </c>
      <c r="D13" s="6">
        <v>29</v>
      </c>
      <c r="E13" s="6">
        <v>62</v>
      </c>
      <c r="F13" s="6">
        <v>88</v>
      </c>
      <c r="G13" s="7">
        <v>0.25</v>
      </c>
      <c r="H13" s="6">
        <v>120</v>
      </c>
      <c r="I13" s="6" t="s">
        <v>34</v>
      </c>
      <c r="J13" s="6"/>
      <c r="K13" s="6">
        <v>117</v>
      </c>
      <c r="L13" s="6">
        <f t="shared" si="2"/>
        <v>-55</v>
      </c>
      <c r="M13" s="6"/>
      <c r="N13" s="6"/>
      <c r="O13" s="6">
        <v>12</v>
      </c>
      <c r="P13" s="6"/>
      <c r="Q13" s="6">
        <f t="shared" si="3"/>
        <v>12.4</v>
      </c>
      <c r="R13" s="8"/>
      <c r="S13" s="6">
        <f t="shared" si="4"/>
        <v>8.064516129032258</v>
      </c>
      <c r="T13" s="6">
        <f t="shared" si="5"/>
        <v>8.064516129032258</v>
      </c>
      <c r="U13" s="6">
        <v>8.4</v>
      </c>
      <c r="V13" s="6">
        <v>8.4</v>
      </c>
      <c r="W13" s="6">
        <v>17.399999999999999</v>
      </c>
      <c r="X13" s="6">
        <v>20.097200000000001</v>
      </c>
      <c r="Y13" s="6">
        <v>15.8</v>
      </c>
      <c r="Z13" s="6">
        <v>13.2</v>
      </c>
      <c r="AA13" s="6">
        <v>23</v>
      </c>
      <c r="AB13" s="6">
        <v>14.2</v>
      </c>
      <c r="AC13" s="6" t="s">
        <v>37</v>
      </c>
      <c r="AD13" s="6">
        <f t="shared" si="6"/>
        <v>0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 spans="1:47" x14ac:dyDescent="0.25">
      <c r="A14" s="6" t="s">
        <v>44</v>
      </c>
      <c r="B14" s="6" t="s">
        <v>36</v>
      </c>
      <c r="C14" s="6">
        <v>132.13399999999999</v>
      </c>
      <c r="D14" s="6">
        <v>163.62</v>
      </c>
      <c r="E14" s="6">
        <v>63.38</v>
      </c>
      <c r="F14" s="6">
        <v>225.54599999999999</v>
      </c>
      <c r="G14" s="7">
        <v>1</v>
      </c>
      <c r="H14" s="6">
        <v>60</v>
      </c>
      <c r="I14" s="6" t="s">
        <v>34</v>
      </c>
      <c r="J14" s="6"/>
      <c r="K14" s="6">
        <v>70.8</v>
      </c>
      <c r="L14" s="6">
        <f t="shared" si="2"/>
        <v>-7.4199999999999946</v>
      </c>
      <c r="M14" s="6"/>
      <c r="N14" s="6"/>
      <c r="O14" s="6">
        <v>0</v>
      </c>
      <c r="P14" s="6"/>
      <c r="Q14" s="6">
        <f t="shared" si="3"/>
        <v>12.676</v>
      </c>
      <c r="R14" s="8"/>
      <c r="S14" s="6">
        <f t="shared" si="4"/>
        <v>17.793152414010727</v>
      </c>
      <c r="T14" s="6">
        <f t="shared" si="5"/>
        <v>17.793152414010727</v>
      </c>
      <c r="U14" s="6">
        <v>10.680199999999999</v>
      </c>
      <c r="V14" s="6">
        <v>23.291399999999999</v>
      </c>
      <c r="W14" s="6">
        <v>15.771800000000001</v>
      </c>
      <c r="X14" s="6">
        <v>13.082800000000001</v>
      </c>
      <c r="Y14" s="6">
        <v>7.8231999999999999</v>
      </c>
      <c r="Z14" s="6">
        <v>13.077400000000001</v>
      </c>
      <c r="AA14" s="6">
        <v>11.439399999999999</v>
      </c>
      <c r="AB14" s="6">
        <v>10.8256</v>
      </c>
      <c r="AC14" s="6"/>
      <c r="AD14" s="6">
        <f t="shared" si="6"/>
        <v>0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</row>
    <row r="15" spans="1:47" x14ac:dyDescent="0.25">
      <c r="A15" s="6" t="s">
        <v>45</v>
      </c>
      <c r="B15" s="6" t="s">
        <v>33</v>
      </c>
      <c r="C15" s="6">
        <v>360</v>
      </c>
      <c r="D15" s="6">
        <v>5</v>
      </c>
      <c r="E15" s="6">
        <v>57</v>
      </c>
      <c r="F15" s="6">
        <v>297</v>
      </c>
      <c r="G15" s="7">
        <v>0.25</v>
      </c>
      <c r="H15" s="6">
        <v>120</v>
      </c>
      <c r="I15" s="6" t="s">
        <v>34</v>
      </c>
      <c r="J15" s="6"/>
      <c r="K15" s="6">
        <v>172</v>
      </c>
      <c r="L15" s="6">
        <f t="shared" si="2"/>
        <v>-115</v>
      </c>
      <c r="M15" s="6"/>
      <c r="N15" s="6"/>
      <c r="O15" s="6">
        <v>0</v>
      </c>
      <c r="P15" s="6"/>
      <c r="Q15" s="6">
        <f t="shared" si="3"/>
        <v>11.4</v>
      </c>
      <c r="R15" s="8"/>
      <c r="S15" s="6">
        <f t="shared" si="4"/>
        <v>26.052631578947366</v>
      </c>
      <c r="T15" s="6">
        <f t="shared" si="5"/>
        <v>26.052631578947366</v>
      </c>
      <c r="U15" s="6">
        <v>10</v>
      </c>
      <c r="V15" s="6">
        <v>10.4</v>
      </c>
      <c r="W15" s="6">
        <v>14</v>
      </c>
      <c r="X15" s="6">
        <v>13.6</v>
      </c>
      <c r="Y15" s="6">
        <v>61</v>
      </c>
      <c r="Z15" s="6">
        <v>10.4</v>
      </c>
      <c r="AA15" s="6">
        <v>34</v>
      </c>
      <c r="AB15" s="6">
        <v>20.2</v>
      </c>
      <c r="AC15" s="6" t="s">
        <v>46</v>
      </c>
      <c r="AD15" s="6">
        <f t="shared" si="6"/>
        <v>0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 spans="1:47" x14ac:dyDescent="0.25">
      <c r="A16" s="6" t="s">
        <v>47</v>
      </c>
      <c r="B16" s="6" t="s">
        <v>33</v>
      </c>
      <c r="C16" s="6">
        <v>489</v>
      </c>
      <c r="D16" s="6">
        <v>665</v>
      </c>
      <c r="E16" s="6">
        <v>460</v>
      </c>
      <c r="F16" s="6">
        <v>571</v>
      </c>
      <c r="G16" s="7">
        <v>0.4</v>
      </c>
      <c r="H16" s="6">
        <v>60</v>
      </c>
      <c r="I16" s="6" t="s">
        <v>48</v>
      </c>
      <c r="J16" s="6"/>
      <c r="K16" s="6">
        <v>667</v>
      </c>
      <c r="L16" s="6">
        <f t="shared" si="2"/>
        <v>-207</v>
      </c>
      <c r="M16" s="6"/>
      <c r="N16" s="6"/>
      <c r="O16" s="6">
        <v>0</v>
      </c>
      <c r="P16" s="6"/>
      <c r="Q16" s="6">
        <f t="shared" si="3"/>
        <v>92</v>
      </c>
      <c r="R16" s="8"/>
      <c r="S16" s="6">
        <f t="shared" si="4"/>
        <v>6.2065217391304346</v>
      </c>
      <c r="T16" s="6">
        <f t="shared" si="5"/>
        <v>6.2065217391304346</v>
      </c>
      <c r="U16" s="6">
        <v>271.2</v>
      </c>
      <c r="V16" s="6">
        <v>117.8</v>
      </c>
      <c r="W16" s="6">
        <v>83.6</v>
      </c>
      <c r="X16" s="6">
        <v>90.4</v>
      </c>
      <c r="Y16" s="6">
        <v>68</v>
      </c>
      <c r="Z16" s="6">
        <v>82.4</v>
      </c>
      <c r="AA16" s="6">
        <v>65.400000000000006</v>
      </c>
      <c r="AB16" s="6">
        <v>74.8</v>
      </c>
      <c r="AC16" s="6" t="s">
        <v>49</v>
      </c>
      <c r="AD16" s="6">
        <f t="shared" si="6"/>
        <v>0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 spans="1:47" x14ac:dyDescent="0.25">
      <c r="A17" s="6" t="s">
        <v>50</v>
      </c>
      <c r="B17" s="6" t="s">
        <v>36</v>
      </c>
      <c r="C17" s="6">
        <v>326.84399999999999</v>
      </c>
      <c r="D17" s="6">
        <v>246.93199999999999</v>
      </c>
      <c r="E17" s="6">
        <v>319.15300000000002</v>
      </c>
      <c r="F17" s="6">
        <v>189.46</v>
      </c>
      <c r="G17" s="7">
        <v>1</v>
      </c>
      <c r="H17" s="6">
        <v>45</v>
      </c>
      <c r="I17" s="6" t="s">
        <v>34</v>
      </c>
      <c r="J17" s="6"/>
      <c r="K17" s="6">
        <v>340.7</v>
      </c>
      <c r="L17" s="6">
        <f t="shared" si="2"/>
        <v>-21.546999999999969</v>
      </c>
      <c r="M17" s="6"/>
      <c r="N17" s="6"/>
      <c r="O17" s="6">
        <v>156</v>
      </c>
      <c r="P17" s="6">
        <v>183</v>
      </c>
      <c r="Q17" s="6">
        <f t="shared" si="3"/>
        <v>63.830600000000004</v>
      </c>
      <c r="R17" s="8"/>
      <c r="S17" s="6">
        <f t="shared" si="4"/>
        <v>8.2791012461108</v>
      </c>
      <c r="T17" s="6">
        <f t="shared" si="5"/>
        <v>8.2791012461108</v>
      </c>
      <c r="U17" s="6">
        <v>58.777599999999993</v>
      </c>
      <c r="V17" s="6">
        <v>55.939200000000007</v>
      </c>
      <c r="W17" s="6">
        <v>60.511800000000008</v>
      </c>
      <c r="X17" s="6">
        <v>76.385400000000004</v>
      </c>
      <c r="Y17" s="6">
        <v>56.423400000000001</v>
      </c>
      <c r="Z17" s="6">
        <v>67.234400000000008</v>
      </c>
      <c r="AA17" s="6">
        <v>65.8172</v>
      </c>
      <c r="AB17" s="6">
        <v>70.875</v>
      </c>
      <c r="AC17" s="6"/>
      <c r="AD17" s="6">
        <f t="shared" si="6"/>
        <v>0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spans="1:47" x14ac:dyDescent="0.25">
      <c r="A18" s="6" t="s">
        <v>51</v>
      </c>
      <c r="B18" s="6" t="s">
        <v>36</v>
      </c>
      <c r="C18" s="6">
        <v>21.574000000000002</v>
      </c>
      <c r="D18" s="6"/>
      <c r="E18" s="6">
        <v>21.062000000000001</v>
      </c>
      <c r="F18" s="6"/>
      <c r="G18" s="7">
        <v>1</v>
      </c>
      <c r="H18" s="6">
        <v>120</v>
      </c>
      <c r="I18" s="6" t="s">
        <v>34</v>
      </c>
      <c r="J18" s="6"/>
      <c r="K18" s="6">
        <v>36.200000000000003</v>
      </c>
      <c r="L18" s="6">
        <f t="shared" si="2"/>
        <v>-15.138000000000002</v>
      </c>
      <c r="M18" s="6"/>
      <c r="N18" s="6"/>
      <c r="O18" s="6">
        <v>0</v>
      </c>
      <c r="P18" s="6"/>
      <c r="Q18" s="6">
        <f t="shared" si="3"/>
        <v>4.2124000000000006</v>
      </c>
      <c r="R18" s="8"/>
      <c r="S18" s="6">
        <f t="shared" si="4"/>
        <v>0</v>
      </c>
      <c r="T18" s="6">
        <f t="shared" si="5"/>
        <v>0</v>
      </c>
      <c r="U18" s="6">
        <v>0.98399999999999999</v>
      </c>
      <c r="V18" s="6">
        <v>2.4192</v>
      </c>
      <c r="W18" s="6">
        <v>2.4304000000000001</v>
      </c>
      <c r="X18" s="6">
        <v>0.68220000000000003</v>
      </c>
      <c r="Y18" s="6">
        <v>2.8746</v>
      </c>
      <c r="Z18" s="6">
        <v>0.99380000000000002</v>
      </c>
      <c r="AA18" s="6">
        <v>3.379</v>
      </c>
      <c r="AB18" s="6">
        <v>9.8799999999999999E-2</v>
      </c>
      <c r="AC18" s="6" t="s">
        <v>37</v>
      </c>
      <c r="AD18" s="6">
        <f t="shared" si="6"/>
        <v>0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</row>
    <row r="19" spans="1:47" x14ac:dyDescent="0.25">
      <c r="A19" s="6" t="s">
        <v>52</v>
      </c>
      <c r="B19" s="6" t="s">
        <v>33</v>
      </c>
      <c r="C19" s="6">
        <v>147</v>
      </c>
      <c r="D19" s="6">
        <v>676</v>
      </c>
      <c r="E19" s="6">
        <v>225</v>
      </c>
      <c r="F19" s="6">
        <v>487</v>
      </c>
      <c r="G19" s="7">
        <v>0.4</v>
      </c>
      <c r="H19" s="6">
        <v>45</v>
      </c>
      <c r="I19" s="6" t="s">
        <v>34</v>
      </c>
      <c r="J19" s="6"/>
      <c r="K19" s="6">
        <v>369</v>
      </c>
      <c r="L19" s="6">
        <f t="shared" si="2"/>
        <v>-144</v>
      </c>
      <c r="M19" s="6"/>
      <c r="N19" s="6"/>
      <c r="O19" s="6">
        <v>57</v>
      </c>
      <c r="P19" s="6">
        <v>68</v>
      </c>
      <c r="Q19" s="6">
        <f t="shared" si="3"/>
        <v>45</v>
      </c>
      <c r="R19" s="8"/>
      <c r="S19" s="6">
        <f t="shared" si="4"/>
        <v>13.6</v>
      </c>
      <c r="T19" s="6">
        <f t="shared" si="5"/>
        <v>13.6</v>
      </c>
      <c r="U19" s="6">
        <v>56.6</v>
      </c>
      <c r="V19" s="6">
        <v>68.2</v>
      </c>
      <c r="W19" s="6">
        <v>54.6</v>
      </c>
      <c r="X19" s="6">
        <v>56.6</v>
      </c>
      <c r="Y19" s="6">
        <v>67.400000000000006</v>
      </c>
      <c r="Z19" s="6">
        <v>44</v>
      </c>
      <c r="AA19" s="6">
        <v>55</v>
      </c>
      <c r="AB19" s="6">
        <v>71.2</v>
      </c>
      <c r="AC19" s="6"/>
      <c r="AD19" s="6">
        <f t="shared" si="6"/>
        <v>0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</row>
    <row r="20" spans="1:47" x14ac:dyDescent="0.25">
      <c r="A20" s="6" t="s">
        <v>53</v>
      </c>
      <c r="B20" s="6" t="s">
        <v>36</v>
      </c>
      <c r="C20" s="6">
        <v>317.678</v>
      </c>
      <c r="D20" s="6">
        <v>412.471</v>
      </c>
      <c r="E20" s="6">
        <v>217.94300000000001</v>
      </c>
      <c r="F20" s="6">
        <v>472.01400000000001</v>
      </c>
      <c r="G20" s="7">
        <v>1</v>
      </c>
      <c r="H20" s="6">
        <v>60</v>
      </c>
      <c r="I20" s="6" t="s">
        <v>34</v>
      </c>
      <c r="J20" s="6"/>
      <c r="K20" s="6">
        <v>246.1</v>
      </c>
      <c r="L20" s="6">
        <f t="shared" si="2"/>
        <v>-28.156999999999982</v>
      </c>
      <c r="M20" s="6"/>
      <c r="N20" s="6"/>
      <c r="O20" s="6">
        <v>0</v>
      </c>
      <c r="P20" s="6"/>
      <c r="Q20" s="6">
        <f t="shared" si="3"/>
        <v>43.5886</v>
      </c>
      <c r="R20" s="8"/>
      <c r="S20" s="6">
        <f t="shared" si="4"/>
        <v>10.8288405684055</v>
      </c>
      <c r="T20" s="6">
        <f t="shared" si="5"/>
        <v>10.8288405684055</v>
      </c>
      <c r="U20" s="6">
        <v>30.848199999999999</v>
      </c>
      <c r="V20" s="6">
        <v>57.430399999999999</v>
      </c>
      <c r="W20" s="6">
        <v>43.7378</v>
      </c>
      <c r="X20" s="6">
        <v>68.502600000000001</v>
      </c>
      <c r="Y20" s="6">
        <v>41.588000000000001</v>
      </c>
      <c r="Z20" s="6">
        <v>50.5824</v>
      </c>
      <c r="AA20" s="6">
        <v>56.876399999999997</v>
      </c>
      <c r="AB20" s="6">
        <v>42.729599999999998</v>
      </c>
      <c r="AC20" s="6" t="s">
        <v>46</v>
      </c>
      <c r="AD20" s="6">
        <f t="shared" si="6"/>
        <v>0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 spans="1:47" x14ac:dyDescent="0.25">
      <c r="A21" s="6" t="s">
        <v>54</v>
      </c>
      <c r="B21" s="6" t="s">
        <v>33</v>
      </c>
      <c r="C21" s="6">
        <v>124</v>
      </c>
      <c r="D21" s="6">
        <v>336</v>
      </c>
      <c r="E21" s="6">
        <v>147</v>
      </c>
      <c r="F21" s="6">
        <v>287</v>
      </c>
      <c r="G21" s="7">
        <v>0.22</v>
      </c>
      <c r="H21" s="6">
        <v>120</v>
      </c>
      <c r="I21" s="6" t="s">
        <v>34</v>
      </c>
      <c r="J21" s="6"/>
      <c r="K21" s="6">
        <v>240</v>
      </c>
      <c r="L21" s="6">
        <f t="shared" si="2"/>
        <v>-93</v>
      </c>
      <c r="M21" s="6"/>
      <c r="N21" s="6"/>
      <c r="O21" s="6">
        <v>127</v>
      </c>
      <c r="P21" s="6">
        <v>150</v>
      </c>
      <c r="Q21" s="6">
        <f t="shared" si="3"/>
        <v>29.4</v>
      </c>
      <c r="R21" s="8"/>
      <c r="S21" s="6">
        <f t="shared" si="4"/>
        <v>19.183673469387756</v>
      </c>
      <c r="T21" s="6">
        <f t="shared" si="5"/>
        <v>19.183673469387756</v>
      </c>
      <c r="U21" s="6">
        <v>36</v>
      </c>
      <c r="V21" s="6">
        <v>41.8</v>
      </c>
      <c r="W21" s="6">
        <v>34.799999999999997</v>
      </c>
      <c r="X21" s="6">
        <v>44</v>
      </c>
      <c r="Y21" s="6">
        <v>26.4</v>
      </c>
      <c r="Z21" s="6">
        <v>17.2</v>
      </c>
      <c r="AA21" s="6">
        <v>28.8</v>
      </c>
      <c r="AB21" s="6">
        <v>17.399999999999999</v>
      </c>
      <c r="AC21" s="6" t="s">
        <v>37</v>
      </c>
      <c r="AD21" s="6">
        <f t="shared" si="6"/>
        <v>0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 spans="1:47" x14ac:dyDescent="0.25">
      <c r="A22" s="6" t="s">
        <v>55</v>
      </c>
      <c r="B22" s="6" t="s">
        <v>36</v>
      </c>
      <c r="C22" s="6">
        <v>73.426000000000002</v>
      </c>
      <c r="D22" s="6">
        <v>51.323999999999998</v>
      </c>
      <c r="E22" s="6">
        <v>17.521999999999998</v>
      </c>
      <c r="F22" s="6">
        <v>39.53</v>
      </c>
      <c r="G22" s="7">
        <v>1</v>
      </c>
      <c r="H22" s="6">
        <v>40</v>
      </c>
      <c r="I22" s="6" t="s">
        <v>34</v>
      </c>
      <c r="J22" s="6"/>
      <c r="K22" s="6">
        <v>16.876000000000001</v>
      </c>
      <c r="L22" s="6">
        <f t="shared" si="2"/>
        <v>0.64599999999999724</v>
      </c>
      <c r="M22" s="6"/>
      <c r="N22" s="6"/>
      <c r="O22" s="6">
        <v>0</v>
      </c>
      <c r="P22" s="6"/>
      <c r="Q22" s="6">
        <f t="shared" si="3"/>
        <v>3.5043999999999995</v>
      </c>
      <c r="R22" s="8"/>
      <c r="S22" s="6">
        <f t="shared" si="4"/>
        <v>11.280105010843513</v>
      </c>
      <c r="T22" s="6">
        <f t="shared" si="5"/>
        <v>11.280105010843513</v>
      </c>
      <c r="U22" s="6">
        <v>4.4631999999999996</v>
      </c>
      <c r="V22" s="6">
        <v>9.3635999999999999</v>
      </c>
      <c r="W22" s="6">
        <v>8.4480000000000004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 t="s">
        <v>46</v>
      </c>
      <c r="AD22" s="6">
        <f t="shared" si="6"/>
        <v>0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</row>
    <row r="23" spans="1:47" x14ac:dyDescent="0.25">
      <c r="A23" s="10" t="s">
        <v>56</v>
      </c>
      <c r="B23" s="10" t="s">
        <v>33</v>
      </c>
      <c r="C23" s="10">
        <v>38</v>
      </c>
      <c r="D23" s="10">
        <v>1</v>
      </c>
      <c r="E23" s="10">
        <v>5</v>
      </c>
      <c r="F23" s="10">
        <v>18</v>
      </c>
      <c r="G23" s="11">
        <v>0</v>
      </c>
      <c r="H23" s="10">
        <v>45</v>
      </c>
      <c r="I23" s="10" t="s">
        <v>57</v>
      </c>
      <c r="J23" s="10"/>
      <c r="K23" s="10">
        <v>8</v>
      </c>
      <c r="L23" s="10">
        <f t="shared" si="2"/>
        <v>-3</v>
      </c>
      <c r="M23" s="10"/>
      <c r="N23" s="10"/>
      <c r="O23" s="10">
        <v>46</v>
      </c>
      <c r="P23" s="10"/>
      <c r="Q23" s="10">
        <f t="shared" si="3"/>
        <v>1</v>
      </c>
      <c r="R23" s="12"/>
      <c r="S23" s="10">
        <f t="shared" si="4"/>
        <v>64</v>
      </c>
      <c r="T23" s="10">
        <f t="shared" si="5"/>
        <v>64</v>
      </c>
      <c r="U23" s="10">
        <v>5.6</v>
      </c>
      <c r="V23" s="10">
        <v>0.8</v>
      </c>
      <c r="W23" s="10">
        <v>3.8</v>
      </c>
      <c r="X23" s="10">
        <v>2.2000000000000002</v>
      </c>
      <c r="Y23" s="10">
        <v>1.8</v>
      </c>
      <c r="Z23" s="10">
        <v>9</v>
      </c>
      <c r="AA23" s="10">
        <v>2.8</v>
      </c>
      <c r="AB23" s="10">
        <v>4</v>
      </c>
      <c r="AC23" s="14" t="s">
        <v>46</v>
      </c>
      <c r="AD23" s="10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</row>
    <row r="24" spans="1:47" x14ac:dyDescent="0.25">
      <c r="A24" s="6" t="s">
        <v>58</v>
      </c>
      <c r="B24" s="6" t="s">
        <v>36</v>
      </c>
      <c r="C24" s="6">
        <v>148.49100000000001</v>
      </c>
      <c r="D24" s="6">
        <v>250.78899999999999</v>
      </c>
      <c r="E24" s="6">
        <v>288.62299999999999</v>
      </c>
      <c r="F24" s="6">
        <v>80.897000000000006</v>
      </c>
      <c r="G24" s="7">
        <v>1</v>
      </c>
      <c r="H24" s="6">
        <v>60</v>
      </c>
      <c r="I24" s="6" t="s">
        <v>34</v>
      </c>
      <c r="J24" s="6"/>
      <c r="K24" s="6">
        <v>309</v>
      </c>
      <c r="L24" s="6">
        <f t="shared" si="2"/>
        <v>-20.37700000000001</v>
      </c>
      <c r="M24" s="6"/>
      <c r="N24" s="6"/>
      <c r="O24" s="6">
        <v>145</v>
      </c>
      <c r="P24" s="6">
        <v>169</v>
      </c>
      <c r="Q24" s="6">
        <f t="shared" si="3"/>
        <v>57.724599999999995</v>
      </c>
      <c r="R24" s="8"/>
      <c r="S24" s="6">
        <f t="shared" si="4"/>
        <v>6.8410521683996084</v>
      </c>
      <c r="T24" s="6">
        <f t="shared" si="5"/>
        <v>6.8410521683996084</v>
      </c>
      <c r="U24" s="6">
        <v>46.6706</v>
      </c>
      <c r="V24" s="6">
        <v>41.666800000000002</v>
      </c>
      <c r="W24" s="6">
        <v>53.355600000000003</v>
      </c>
      <c r="X24" s="6">
        <v>72.2042</v>
      </c>
      <c r="Y24" s="6">
        <v>33.979999999999997</v>
      </c>
      <c r="Z24" s="6">
        <v>58.654400000000003</v>
      </c>
      <c r="AA24" s="6">
        <v>38.292200000000001</v>
      </c>
      <c r="AB24" s="6">
        <v>37.873399999999997</v>
      </c>
      <c r="AC24" s="6"/>
      <c r="AD24" s="6">
        <f>G24*R24</f>
        <v>0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 spans="1:47" x14ac:dyDescent="0.25">
      <c r="A25" s="6" t="s">
        <v>59</v>
      </c>
      <c r="B25" s="6" t="s">
        <v>33</v>
      </c>
      <c r="C25" s="6">
        <v>380</v>
      </c>
      <c r="D25" s="6">
        <v>402</v>
      </c>
      <c r="E25" s="6">
        <v>295</v>
      </c>
      <c r="F25" s="6">
        <v>368</v>
      </c>
      <c r="G25" s="7">
        <v>0.09</v>
      </c>
      <c r="H25" s="6">
        <v>60</v>
      </c>
      <c r="I25" s="6" t="s">
        <v>34</v>
      </c>
      <c r="J25" s="6"/>
      <c r="K25" s="6">
        <v>440</v>
      </c>
      <c r="L25" s="6">
        <f t="shared" si="2"/>
        <v>-145</v>
      </c>
      <c r="M25" s="6"/>
      <c r="N25" s="6"/>
      <c r="O25" s="6">
        <v>54</v>
      </c>
      <c r="P25" s="6">
        <v>64</v>
      </c>
      <c r="Q25" s="6">
        <f t="shared" si="3"/>
        <v>59</v>
      </c>
      <c r="R25" s="8"/>
      <c r="S25" s="6">
        <f t="shared" si="4"/>
        <v>8.2372881355932197</v>
      </c>
      <c r="T25" s="6">
        <f t="shared" si="5"/>
        <v>8.2372881355932197</v>
      </c>
      <c r="U25" s="6">
        <v>53.4</v>
      </c>
      <c r="V25" s="6">
        <v>74.400000000000006</v>
      </c>
      <c r="W25" s="6">
        <v>83</v>
      </c>
      <c r="X25" s="6">
        <v>88.8</v>
      </c>
      <c r="Y25" s="6">
        <v>72</v>
      </c>
      <c r="Z25" s="6">
        <v>76.599999999999994</v>
      </c>
      <c r="AA25" s="6">
        <v>96</v>
      </c>
      <c r="AB25" s="6">
        <v>71.8</v>
      </c>
      <c r="AC25" s="6"/>
      <c r="AD25" s="6">
        <f>G25*R25</f>
        <v>0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 spans="1:47" x14ac:dyDescent="0.25">
      <c r="A26" s="6" t="s">
        <v>60</v>
      </c>
      <c r="B26" s="6" t="s">
        <v>33</v>
      </c>
      <c r="C26" s="6">
        <v>312</v>
      </c>
      <c r="D26" s="6">
        <v>13</v>
      </c>
      <c r="E26" s="6">
        <v>92</v>
      </c>
      <c r="F26" s="6">
        <v>215</v>
      </c>
      <c r="G26" s="7">
        <v>0.09</v>
      </c>
      <c r="H26" s="6">
        <v>45</v>
      </c>
      <c r="I26" s="6" t="s">
        <v>34</v>
      </c>
      <c r="J26" s="6"/>
      <c r="K26" s="6">
        <v>178</v>
      </c>
      <c r="L26" s="6">
        <f t="shared" si="2"/>
        <v>-86</v>
      </c>
      <c r="M26" s="6"/>
      <c r="N26" s="6"/>
      <c r="O26" s="6">
        <v>0</v>
      </c>
      <c r="P26" s="6"/>
      <c r="Q26" s="6">
        <f t="shared" si="3"/>
        <v>18.399999999999999</v>
      </c>
      <c r="R26" s="8"/>
      <c r="S26" s="6">
        <f t="shared" si="4"/>
        <v>11.684782608695652</v>
      </c>
      <c r="T26" s="6">
        <f t="shared" si="5"/>
        <v>11.684782608695652</v>
      </c>
      <c r="U26" s="6">
        <v>16</v>
      </c>
      <c r="V26" s="6">
        <v>20.399999999999999</v>
      </c>
      <c r="W26" s="6">
        <v>10</v>
      </c>
      <c r="X26" s="6">
        <v>40.799999999999997</v>
      </c>
      <c r="Y26" s="6">
        <v>19</v>
      </c>
      <c r="Z26" s="6">
        <v>14.8</v>
      </c>
      <c r="AA26" s="6">
        <v>20.2</v>
      </c>
      <c r="AB26" s="6">
        <v>13.2</v>
      </c>
      <c r="AC26" s="6" t="s">
        <v>46</v>
      </c>
      <c r="AD26" s="6">
        <f>G26*R26</f>
        <v>0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</row>
    <row r="27" spans="1:47" x14ac:dyDescent="0.25">
      <c r="A27" s="6" t="s">
        <v>61</v>
      </c>
      <c r="B27" s="6" t="s">
        <v>33</v>
      </c>
      <c r="C27" s="6">
        <v>280</v>
      </c>
      <c r="D27" s="6">
        <v>30</v>
      </c>
      <c r="E27" s="6">
        <v>9</v>
      </c>
      <c r="F27" s="6">
        <v>268</v>
      </c>
      <c r="G27" s="7">
        <v>0.15</v>
      </c>
      <c r="H27" s="6">
        <v>45</v>
      </c>
      <c r="I27" s="6" t="s">
        <v>34</v>
      </c>
      <c r="J27" s="6"/>
      <c r="K27" s="6">
        <v>123</v>
      </c>
      <c r="L27" s="6">
        <f t="shared" si="2"/>
        <v>-114</v>
      </c>
      <c r="M27" s="6"/>
      <c r="N27" s="6"/>
      <c r="O27" s="6">
        <v>0</v>
      </c>
      <c r="P27" s="6"/>
      <c r="Q27" s="6">
        <f t="shared" si="3"/>
        <v>1.8</v>
      </c>
      <c r="R27" s="8"/>
      <c r="S27" s="6">
        <f t="shared" si="4"/>
        <v>148.88888888888889</v>
      </c>
      <c r="T27" s="6">
        <f t="shared" si="5"/>
        <v>148.88888888888889</v>
      </c>
      <c r="U27" s="6">
        <v>3.8</v>
      </c>
      <c r="V27" s="6">
        <v>6</v>
      </c>
      <c r="W27" s="6">
        <v>13.6</v>
      </c>
      <c r="X27" s="6">
        <v>29.4</v>
      </c>
      <c r="Y27" s="6">
        <v>16.600000000000001</v>
      </c>
      <c r="Z27" s="6">
        <v>24.6</v>
      </c>
      <c r="AA27" s="6">
        <v>45.6</v>
      </c>
      <c r="AB27" s="6">
        <v>6.2</v>
      </c>
      <c r="AC27" s="6" t="s">
        <v>46</v>
      </c>
      <c r="AD27" s="6">
        <f>G27*R27</f>
        <v>0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 spans="1:47" x14ac:dyDescent="0.25">
      <c r="A28" s="6" t="s">
        <v>62</v>
      </c>
      <c r="B28" s="6" t="s">
        <v>36</v>
      </c>
      <c r="C28" s="6">
        <v>147.94200000000001</v>
      </c>
      <c r="D28" s="6">
        <v>149.10300000000001</v>
      </c>
      <c r="E28" s="6">
        <v>244.297</v>
      </c>
      <c r="F28" s="15">
        <f>14.395+F105</f>
        <v>144.02500000000001</v>
      </c>
      <c r="G28" s="7">
        <v>1</v>
      </c>
      <c r="H28" s="6">
        <v>45</v>
      </c>
      <c r="I28" s="6" t="s">
        <v>34</v>
      </c>
      <c r="J28" s="6"/>
      <c r="K28" s="6">
        <v>248.1</v>
      </c>
      <c r="L28" s="6">
        <f t="shared" si="2"/>
        <v>-3.8029999999999973</v>
      </c>
      <c r="M28" s="6"/>
      <c r="N28" s="6"/>
      <c r="O28" s="6">
        <v>92</v>
      </c>
      <c r="P28" s="6">
        <v>107</v>
      </c>
      <c r="Q28" s="6">
        <f t="shared" si="3"/>
        <v>48.859400000000001</v>
      </c>
      <c r="R28" s="8"/>
      <c r="S28" s="6">
        <f t="shared" si="4"/>
        <v>7.0206551861054365</v>
      </c>
      <c r="T28" s="6">
        <f t="shared" si="5"/>
        <v>7.0206551861054365</v>
      </c>
      <c r="U28" s="6">
        <v>40.973200000000013</v>
      </c>
      <c r="V28" s="6">
        <v>46.067999999999998</v>
      </c>
      <c r="W28" s="6">
        <v>42.266199999999998</v>
      </c>
      <c r="X28" s="6">
        <v>73.7684</v>
      </c>
      <c r="Y28" s="6">
        <v>25.926400000000001</v>
      </c>
      <c r="Z28" s="6">
        <v>46.323399999999999</v>
      </c>
      <c r="AA28" s="6">
        <v>37.568800000000003</v>
      </c>
      <c r="AB28" s="6">
        <v>53.324800000000003</v>
      </c>
      <c r="AC28" s="6"/>
      <c r="AD28" s="6">
        <f>G28*R28</f>
        <v>0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 spans="1:47" x14ac:dyDescent="0.25">
      <c r="A29" s="10" t="s">
        <v>63</v>
      </c>
      <c r="B29" s="10" t="s">
        <v>33</v>
      </c>
      <c r="C29" s="10"/>
      <c r="D29" s="10">
        <v>4</v>
      </c>
      <c r="E29" s="10"/>
      <c r="F29" s="15">
        <v>4</v>
      </c>
      <c r="G29" s="11">
        <v>0</v>
      </c>
      <c r="H29" s="10"/>
      <c r="I29" s="10" t="s">
        <v>57</v>
      </c>
      <c r="J29" s="10" t="s">
        <v>64</v>
      </c>
      <c r="K29" s="10">
        <v>27</v>
      </c>
      <c r="L29" s="10">
        <f t="shared" si="2"/>
        <v>-27</v>
      </c>
      <c r="M29" s="10"/>
      <c r="N29" s="10"/>
      <c r="O29" s="10">
        <v>0</v>
      </c>
      <c r="P29" s="10"/>
      <c r="Q29" s="10">
        <f t="shared" si="3"/>
        <v>0</v>
      </c>
      <c r="R29" s="12"/>
      <c r="S29" s="10" t="e">
        <f t="shared" si="4"/>
        <v>#DIV/0!</v>
      </c>
      <c r="T29" s="10" t="e">
        <f t="shared" si="5"/>
        <v>#DIV/0!</v>
      </c>
      <c r="U29" s="10">
        <v>0.2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/>
      <c r="AD29" s="10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spans="1:47" x14ac:dyDescent="0.25">
      <c r="A30" s="6" t="s">
        <v>65</v>
      </c>
      <c r="B30" s="6" t="s">
        <v>33</v>
      </c>
      <c r="C30" s="6">
        <v>7</v>
      </c>
      <c r="D30" s="6">
        <v>94</v>
      </c>
      <c r="E30" s="6">
        <v>79</v>
      </c>
      <c r="F30" s="6">
        <v>7</v>
      </c>
      <c r="G30" s="7">
        <v>0.4</v>
      </c>
      <c r="H30" s="6">
        <v>60</v>
      </c>
      <c r="I30" s="6" t="s">
        <v>34</v>
      </c>
      <c r="J30" s="6"/>
      <c r="K30" s="6">
        <v>202</v>
      </c>
      <c r="L30" s="6">
        <f t="shared" si="2"/>
        <v>-123</v>
      </c>
      <c r="M30" s="6"/>
      <c r="N30" s="6"/>
      <c r="O30" s="6">
        <v>58</v>
      </c>
      <c r="P30" s="6">
        <v>69</v>
      </c>
      <c r="Q30" s="6">
        <f t="shared" si="3"/>
        <v>15.8</v>
      </c>
      <c r="R30" s="8"/>
      <c r="S30" s="6">
        <f t="shared" si="4"/>
        <v>8.4810126582278471</v>
      </c>
      <c r="T30" s="6">
        <f t="shared" si="5"/>
        <v>8.4810126582278471</v>
      </c>
      <c r="U30" s="6">
        <v>14.4</v>
      </c>
      <c r="V30" s="6">
        <v>10.8</v>
      </c>
      <c r="W30" s="6">
        <v>7</v>
      </c>
      <c r="X30" s="6">
        <v>9.1999999999999993</v>
      </c>
      <c r="Y30" s="6">
        <v>5.2</v>
      </c>
      <c r="Z30" s="6">
        <v>-0.2</v>
      </c>
      <c r="AA30" s="6">
        <v>6</v>
      </c>
      <c r="AB30" s="6">
        <v>-0.2</v>
      </c>
      <c r="AC30" s="6"/>
      <c r="AD30" s="6">
        <f>G30*R30</f>
        <v>0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</row>
    <row r="31" spans="1:47" x14ac:dyDescent="0.25">
      <c r="A31" s="6" t="s">
        <v>66</v>
      </c>
      <c r="B31" s="6" t="s">
        <v>33</v>
      </c>
      <c r="C31" s="6">
        <v>839</v>
      </c>
      <c r="D31" s="6">
        <v>202</v>
      </c>
      <c r="E31" s="6">
        <v>346</v>
      </c>
      <c r="F31" s="6">
        <v>476</v>
      </c>
      <c r="G31" s="7">
        <v>0.4</v>
      </c>
      <c r="H31" s="6">
        <v>60</v>
      </c>
      <c r="I31" s="6" t="s">
        <v>34</v>
      </c>
      <c r="J31" s="6"/>
      <c r="K31" s="6">
        <v>607</v>
      </c>
      <c r="L31" s="6">
        <f t="shared" si="2"/>
        <v>-261</v>
      </c>
      <c r="M31" s="6"/>
      <c r="N31" s="6"/>
      <c r="O31" s="6">
        <v>485</v>
      </c>
      <c r="P31" s="6">
        <v>570</v>
      </c>
      <c r="Q31" s="6">
        <f t="shared" si="3"/>
        <v>69.2</v>
      </c>
      <c r="R31" s="8"/>
      <c r="S31" s="6">
        <f t="shared" si="4"/>
        <v>22.124277456647398</v>
      </c>
      <c r="T31" s="6">
        <f t="shared" si="5"/>
        <v>22.124277456647398</v>
      </c>
      <c r="U31" s="6">
        <v>126.4</v>
      </c>
      <c r="V31" s="6">
        <v>97</v>
      </c>
      <c r="W31" s="6">
        <v>134.6</v>
      </c>
      <c r="X31" s="6">
        <v>131.6</v>
      </c>
      <c r="Y31" s="6">
        <v>108.6</v>
      </c>
      <c r="Z31" s="6">
        <v>119.2</v>
      </c>
      <c r="AA31" s="6">
        <v>106</v>
      </c>
      <c r="AB31" s="6">
        <v>145</v>
      </c>
      <c r="AC31" s="6"/>
      <c r="AD31" s="6">
        <f>G31*R31</f>
        <v>0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</row>
    <row r="32" spans="1:47" x14ac:dyDescent="0.25">
      <c r="A32" s="10" t="s">
        <v>67</v>
      </c>
      <c r="B32" s="10" t="s">
        <v>33</v>
      </c>
      <c r="C32" s="10"/>
      <c r="D32" s="10"/>
      <c r="E32" s="15">
        <v>6</v>
      </c>
      <c r="F32" s="15">
        <v>-6</v>
      </c>
      <c r="G32" s="11">
        <v>0</v>
      </c>
      <c r="H32" s="10">
        <v>60</v>
      </c>
      <c r="I32" s="10" t="s">
        <v>57</v>
      </c>
      <c r="J32" s="10" t="s">
        <v>68</v>
      </c>
      <c r="K32" s="10">
        <v>58</v>
      </c>
      <c r="L32" s="10">
        <f t="shared" si="2"/>
        <v>-52</v>
      </c>
      <c r="M32" s="10"/>
      <c r="N32" s="10"/>
      <c r="O32" s="10">
        <v>0</v>
      </c>
      <c r="P32" s="10"/>
      <c r="Q32" s="10">
        <f t="shared" si="3"/>
        <v>1.2</v>
      </c>
      <c r="R32" s="12"/>
      <c r="S32" s="10">
        <f t="shared" si="4"/>
        <v>-5</v>
      </c>
      <c r="T32" s="10">
        <f t="shared" si="5"/>
        <v>-5</v>
      </c>
      <c r="U32" s="10">
        <v>1</v>
      </c>
      <c r="V32" s="10">
        <v>0</v>
      </c>
      <c r="W32" s="10">
        <v>57.4</v>
      </c>
      <c r="X32" s="10">
        <v>111</v>
      </c>
      <c r="Y32" s="10">
        <v>112.6</v>
      </c>
      <c r="Z32" s="10">
        <v>84</v>
      </c>
      <c r="AA32" s="10">
        <v>105.4</v>
      </c>
      <c r="AB32" s="10">
        <v>131.80000000000001</v>
      </c>
      <c r="AC32" s="10" t="s">
        <v>69</v>
      </c>
      <c r="AD32" s="10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</row>
    <row r="33" spans="1:47" x14ac:dyDescent="0.25">
      <c r="A33" s="6" t="s">
        <v>70</v>
      </c>
      <c r="B33" s="6" t="s">
        <v>33</v>
      </c>
      <c r="C33" s="6">
        <v>471</v>
      </c>
      <c r="D33" s="6">
        <v>1319</v>
      </c>
      <c r="E33" s="6">
        <v>459</v>
      </c>
      <c r="F33" s="6">
        <v>1068</v>
      </c>
      <c r="G33" s="7">
        <v>0.4</v>
      </c>
      <c r="H33" s="6">
        <v>60</v>
      </c>
      <c r="I33" s="6" t="s">
        <v>34</v>
      </c>
      <c r="J33" s="6"/>
      <c r="K33" s="6">
        <v>779</v>
      </c>
      <c r="L33" s="6">
        <f t="shared" si="2"/>
        <v>-320</v>
      </c>
      <c r="M33" s="6"/>
      <c r="N33" s="6"/>
      <c r="O33" s="6">
        <v>305</v>
      </c>
      <c r="P33" s="6">
        <v>357</v>
      </c>
      <c r="Q33" s="6">
        <f t="shared" si="3"/>
        <v>91.8</v>
      </c>
      <c r="R33" s="8"/>
      <c r="S33" s="6">
        <f t="shared" si="4"/>
        <v>18.845315904139433</v>
      </c>
      <c r="T33" s="6">
        <f t="shared" si="5"/>
        <v>18.845315904139433</v>
      </c>
      <c r="U33" s="6">
        <v>147.6</v>
      </c>
      <c r="V33" s="6">
        <v>152.4</v>
      </c>
      <c r="W33" s="6">
        <v>133.94</v>
      </c>
      <c r="X33" s="6">
        <v>162.6</v>
      </c>
      <c r="Y33" s="6">
        <v>195.6</v>
      </c>
      <c r="Z33" s="6">
        <v>155.80000000000001</v>
      </c>
      <c r="AA33" s="6">
        <v>136.4</v>
      </c>
      <c r="AB33" s="6">
        <v>189.4</v>
      </c>
      <c r="AC33" s="6"/>
      <c r="AD33" s="6">
        <f>G33*R33</f>
        <v>0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</row>
    <row r="34" spans="1:47" x14ac:dyDescent="0.25">
      <c r="A34" s="10" t="s">
        <v>71</v>
      </c>
      <c r="B34" s="10" t="s">
        <v>33</v>
      </c>
      <c r="C34" s="10">
        <v>116</v>
      </c>
      <c r="D34" s="10">
        <v>8</v>
      </c>
      <c r="E34" s="15">
        <v>128</v>
      </c>
      <c r="F34" s="15">
        <v>-17</v>
      </c>
      <c r="G34" s="11">
        <v>0</v>
      </c>
      <c r="H34" s="10">
        <v>60</v>
      </c>
      <c r="I34" s="10" t="s">
        <v>57</v>
      </c>
      <c r="J34" s="10" t="s">
        <v>72</v>
      </c>
      <c r="K34" s="10">
        <v>385</v>
      </c>
      <c r="L34" s="10">
        <f t="shared" si="2"/>
        <v>-257</v>
      </c>
      <c r="M34" s="10"/>
      <c r="N34" s="10"/>
      <c r="O34" s="10">
        <v>0</v>
      </c>
      <c r="P34" s="10"/>
      <c r="Q34" s="10">
        <f t="shared" si="3"/>
        <v>25.6</v>
      </c>
      <c r="R34" s="12"/>
      <c r="S34" s="10">
        <f t="shared" si="4"/>
        <v>-0.6640625</v>
      </c>
      <c r="T34" s="10">
        <f t="shared" si="5"/>
        <v>-0.6640625</v>
      </c>
      <c r="U34" s="10">
        <v>54.8</v>
      </c>
      <c r="V34" s="10">
        <v>70.599999999999994</v>
      </c>
      <c r="W34" s="10">
        <v>60</v>
      </c>
      <c r="X34" s="10">
        <v>72.400000000000006</v>
      </c>
      <c r="Y34" s="10">
        <v>65.2</v>
      </c>
      <c r="Z34" s="10">
        <v>59</v>
      </c>
      <c r="AA34" s="10">
        <v>96.6</v>
      </c>
      <c r="AB34" s="10">
        <v>47.6</v>
      </c>
      <c r="AC34" s="10" t="s">
        <v>73</v>
      </c>
      <c r="AD34" s="10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</row>
    <row r="35" spans="1:47" x14ac:dyDescent="0.25">
      <c r="A35" s="10" t="s">
        <v>74</v>
      </c>
      <c r="B35" s="10" t="s">
        <v>33</v>
      </c>
      <c r="C35" s="10">
        <v>234</v>
      </c>
      <c r="D35" s="10">
        <v>15</v>
      </c>
      <c r="E35" s="15">
        <v>194</v>
      </c>
      <c r="F35" s="15">
        <v>15</v>
      </c>
      <c r="G35" s="11">
        <v>0</v>
      </c>
      <c r="H35" s="10">
        <v>60</v>
      </c>
      <c r="I35" s="10" t="s">
        <v>57</v>
      </c>
      <c r="J35" s="10" t="s">
        <v>75</v>
      </c>
      <c r="K35" s="10">
        <v>252</v>
      </c>
      <c r="L35" s="10">
        <f t="shared" si="2"/>
        <v>-58</v>
      </c>
      <c r="M35" s="10"/>
      <c r="N35" s="10"/>
      <c r="O35" s="10"/>
      <c r="P35" s="10"/>
      <c r="Q35" s="10">
        <f t="shared" si="3"/>
        <v>38.799999999999997</v>
      </c>
      <c r="R35" s="12"/>
      <c r="S35" s="10">
        <f t="shared" si="4"/>
        <v>0.38659793814432991</v>
      </c>
      <c r="T35" s="10">
        <f t="shared" si="5"/>
        <v>0.38659793814432991</v>
      </c>
      <c r="U35" s="10">
        <v>31.8</v>
      </c>
      <c r="V35" s="10">
        <v>36.4</v>
      </c>
      <c r="W35" s="10">
        <v>41.2</v>
      </c>
      <c r="X35" s="10">
        <v>44</v>
      </c>
      <c r="Y35" s="10">
        <v>32.799999999999997</v>
      </c>
      <c r="Z35" s="10">
        <v>42.6</v>
      </c>
      <c r="AA35" s="10">
        <v>28</v>
      </c>
      <c r="AB35" s="10">
        <v>48.2</v>
      </c>
      <c r="AC35" s="10" t="s">
        <v>76</v>
      </c>
      <c r="AD35" s="10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</row>
    <row r="36" spans="1:47" x14ac:dyDescent="0.25">
      <c r="A36" s="10" t="s">
        <v>77</v>
      </c>
      <c r="B36" s="10" t="s">
        <v>33</v>
      </c>
      <c r="C36" s="10">
        <v>107</v>
      </c>
      <c r="D36" s="10"/>
      <c r="E36" s="15">
        <v>52</v>
      </c>
      <c r="F36" s="15">
        <v>52</v>
      </c>
      <c r="G36" s="11">
        <v>0</v>
      </c>
      <c r="H36" s="10">
        <v>45</v>
      </c>
      <c r="I36" s="10" t="s">
        <v>57</v>
      </c>
      <c r="J36" s="10" t="s">
        <v>78</v>
      </c>
      <c r="K36" s="10">
        <v>92</v>
      </c>
      <c r="L36" s="10">
        <f t="shared" si="2"/>
        <v>-40</v>
      </c>
      <c r="M36" s="10"/>
      <c r="N36" s="10"/>
      <c r="O36" s="10">
        <v>0</v>
      </c>
      <c r="P36" s="10"/>
      <c r="Q36" s="10">
        <f t="shared" si="3"/>
        <v>10.4</v>
      </c>
      <c r="R36" s="12"/>
      <c r="S36" s="10">
        <f t="shared" si="4"/>
        <v>5</v>
      </c>
      <c r="T36" s="10">
        <f t="shared" si="5"/>
        <v>5</v>
      </c>
      <c r="U36" s="10">
        <v>4.2</v>
      </c>
      <c r="V36" s="10">
        <v>14.4</v>
      </c>
      <c r="W36" s="10">
        <v>21.2</v>
      </c>
      <c r="X36" s="10">
        <v>25.2</v>
      </c>
      <c r="Y36" s="10">
        <v>13.4</v>
      </c>
      <c r="Z36" s="10">
        <v>5</v>
      </c>
      <c r="AA36" s="10">
        <v>20.6</v>
      </c>
      <c r="AB36" s="10">
        <v>13.2</v>
      </c>
      <c r="AC36" s="10" t="s">
        <v>79</v>
      </c>
      <c r="AD36" s="10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</row>
    <row r="37" spans="1:47" x14ac:dyDescent="0.25">
      <c r="A37" s="10" t="s">
        <v>80</v>
      </c>
      <c r="B37" s="10" t="s">
        <v>36</v>
      </c>
      <c r="C37" s="10"/>
      <c r="D37" s="10">
        <v>29.425000000000001</v>
      </c>
      <c r="E37" s="10">
        <v>13.51</v>
      </c>
      <c r="F37" s="10">
        <v>15.914999999999999</v>
      </c>
      <c r="G37" s="11">
        <v>0</v>
      </c>
      <c r="H37" s="10">
        <v>45</v>
      </c>
      <c r="I37" s="10" t="s">
        <v>57</v>
      </c>
      <c r="J37" s="10"/>
      <c r="K37" s="10">
        <v>19.5</v>
      </c>
      <c r="L37" s="10">
        <f t="shared" si="2"/>
        <v>-5.99</v>
      </c>
      <c r="M37" s="10"/>
      <c r="N37" s="10"/>
      <c r="O37" s="10">
        <v>24</v>
      </c>
      <c r="P37" s="10"/>
      <c r="Q37" s="10">
        <f t="shared" si="3"/>
        <v>2.702</v>
      </c>
      <c r="R37" s="12"/>
      <c r="S37" s="10">
        <f t="shared" si="4"/>
        <v>14.772390821613619</v>
      </c>
      <c r="T37" s="10">
        <f t="shared" si="5"/>
        <v>14.772390821613619</v>
      </c>
      <c r="U37" s="10">
        <v>1.6173999999999999</v>
      </c>
      <c r="V37" s="10">
        <v>4.3179999999999996</v>
      </c>
      <c r="W37" s="10">
        <v>2.4239999999999999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 t="s">
        <v>81</v>
      </c>
      <c r="AD37" s="10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</row>
    <row r="38" spans="1:47" x14ac:dyDescent="0.25">
      <c r="A38" s="6" t="s">
        <v>82</v>
      </c>
      <c r="B38" s="6" t="s">
        <v>33</v>
      </c>
      <c r="C38" s="6">
        <v>29</v>
      </c>
      <c r="D38" s="6">
        <v>6</v>
      </c>
      <c r="E38" s="6">
        <v>27</v>
      </c>
      <c r="F38" s="6"/>
      <c r="G38" s="7">
        <v>0.4</v>
      </c>
      <c r="H38" s="6">
        <v>45</v>
      </c>
      <c r="I38" s="6" t="s">
        <v>34</v>
      </c>
      <c r="J38" s="6"/>
      <c r="K38" s="6">
        <v>77</v>
      </c>
      <c r="L38" s="6">
        <f t="shared" ref="L38:L69" si="7">E38-K38</f>
        <v>-50</v>
      </c>
      <c r="M38" s="6"/>
      <c r="N38" s="6"/>
      <c r="O38" s="6">
        <v>58</v>
      </c>
      <c r="P38" s="6">
        <v>69</v>
      </c>
      <c r="Q38" s="6">
        <f t="shared" ref="Q38:Q69" si="8">E38/5</f>
        <v>5.4</v>
      </c>
      <c r="R38" s="8"/>
      <c r="S38" s="6">
        <f t="shared" ref="S38:S69" si="9">(F38+O38+P38+R38)/Q38</f>
        <v>23.518518518518515</v>
      </c>
      <c r="T38" s="6">
        <f t="shared" ref="T38:T69" si="10">(F38+O38+P38)/Q38</f>
        <v>23.518518518518515</v>
      </c>
      <c r="U38" s="6">
        <v>13</v>
      </c>
      <c r="V38" s="6">
        <v>1.2</v>
      </c>
      <c r="W38" s="6">
        <v>10.6</v>
      </c>
      <c r="X38" s="6">
        <v>3</v>
      </c>
      <c r="Y38" s="6">
        <v>7.4</v>
      </c>
      <c r="Z38" s="6">
        <v>1.6</v>
      </c>
      <c r="AA38" s="6">
        <v>0</v>
      </c>
      <c r="AB38" s="6">
        <v>1.2</v>
      </c>
      <c r="AC38" s="6"/>
      <c r="AD38" s="6">
        <f t="shared" ref="AD38:AD53" si="11">G38*R38</f>
        <v>0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</row>
    <row r="39" spans="1:47" x14ac:dyDescent="0.25">
      <c r="A39" s="6" t="s">
        <v>83</v>
      </c>
      <c r="B39" s="6" t="s">
        <v>33</v>
      </c>
      <c r="C39" s="6">
        <v>175</v>
      </c>
      <c r="D39" s="6">
        <v>19</v>
      </c>
      <c r="E39" s="6">
        <v>115</v>
      </c>
      <c r="F39" s="6">
        <v>46</v>
      </c>
      <c r="G39" s="7">
        <v>0.3</v>
      </c>
      <c r="H39" s="6">
        <v>45</v>
      </c>
      <c r="I39" s="6" t="s">
        <v>34</v>
      </c>
      <c r="J39" s="6"/>
      <c r="K39" s="6">
        <v>190</v>
      </c>
      <c r="L39" s="6">
        <f t="shared" si="7"/>
        <v>-75</v>
      </c>
      <c r="M39" s="6"/>
      <c r="N39" s="6"/>
      <c r="O39" s="6">
        <v>124</v>
      </c>
      <c r="P39" s="6">
        <v>145</v>
      </c>
      <c r="Q39" s="6">
        <f t="shared" si="8"/>
        <v>23</v>
      </c>
      <c r="R39" s="8"/>
      <c r="S39" s="6">
        <f t="shared" si="9"/>
        <v>13.695652173913043</v>
      </c>
      <c r="T39" s="6">
        <f t="shared" si="10"/>
        <v>13.695652173913043</v>
      </c>
      <c r="U39" s="6">
        <v>29.6</v>
      </c>
      <c r="V39" s="6">
        <v>17.600000000000001</v>
      </c>
      <c r="W39" s="6">
        <v>29.2</v>
      </c>
      <c r="X39" s="6">
        <v>42</v>
      </c>
      <c r="Y39" s="6">
        <v>0</v>
      </c>
      <c r="Z39" s="6">
        <v>0</v>
      </c>
      <c r="AA39" s="6">
        <v>0</v>
      </c>
      <c r="AB39" s="6">
        <v>18.399999999999999</v>
      </c>
      <c r="AC39" s="6"/>
      <c r="AD39" s="6">
        <f t="shared" si="11"/>
        <v>0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</row>
    <row r="40" spans="1:47" x14ac:dyDescent="0.25">
      <c r="A40" s="6" t="s">
        <v>84</v>
      </c>
      <c r="B40" s="6" t="s">
        <v>36</v>
      </c>
      <c r="C40" s="6">
        <v>82.918000000000006</v>
      </c>
      <c r="D40" s="6">
        <v>211.97499999999999</v>
      </c>
      <c r="E40" s="6">
        <v>115.227</v>
      </c>
      <c r="F40" s="6">
        <v>169.179</v>
      </c>
      <c r="G40" s="7">
        <v>1</v>
      </c>
      <c r="H40" s="6">
        <v>60</v>
      </c>
      <c r="I40" s="6" t="s">
        <v>34</v>
      </c>
      <c r="J40" s="6"/>
      <c r="K40" s="6">
        <v>121.6</v>
      </c>
      <c r="L40" s="6">
        <f t="shared" si="7"/>
        <v>-6.3729999999999905</v>
      </c>
      <c r="M40" s="6"/>
      <c r="N40" s="6"/>
      <c r="O40" s="6">
        <v>0</v>
      </c>
      <c r="P40" s="6"/>
      <c r="Q40" s="6">
        <f t="shared" si="8"/>
        <v>23.045400000000001</v>
      </c>
      <c r="R40" s="8"/>
      <c r="S40" s="6">
        <f t="shared" si="9"/>
        <v>7.3411179671431173</v>
      </c>
      <c r="T40" s="6">
        <f t="shared" si="10"/>
        <v>7.3411179671431173</v>
      </c>
      <c r="U40" s="6">
        <v>18.9406</v>
      </c>
      <c r="V40" s="6">
        <v>26.659800000000001</v>
      </c>
      <c r="W40" s="6">
        <v>21.777200000000001</v>
      </c>
      <c r="X40" s="6">
        <v>22.845600000000001</v>
      </c>
      <c r="Y40" s="6">
        <v>21.195799999999998</v>
      </c>
      <c r="Z40" s="6">
        <v>26.767199999999999</v>
      </c>
      <c r="AA40" s="6">
        <v>22.452999999999999</v>
      </c>
      <c r="AB40" s="6">
        <v>14.877000000000001</v>
      </c>
      <c r="AC40" s="6"/>
      <c r="AD40" s="6">
        <f t="shared" si="11"/>
        <v>0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</row>
    <row r="41" spans="1:47" x14ac:dyDescent="0.25">
      <c r="A41" s="6" t="s">
        <v>85</v>
      </c>
      <c r="B41" s="6" t="s">
        <v>36</v>
      </c>
      <c r="C41" s="6">
        <v>41.015999999999998</v>
      </c>
      <c r="D41" s="6">
        <v>59.798000000000002</v>
      </c>
      <c r="E41" s="6">
        <v>55.154000000000003</v>
      </c>
      <c r="F41" s="6">
        <v>24.954000000000001</v>
      </c>
      <c r="G41" s="7">
        <v>1</v>
      </c>
      <c r="H41" s="6">
        <v>45</v>
      </c>
      <c r="I41" s="6" t="s">
        <v>34</v>
      </c>
      <c r="J41" s="6"/>
      <c r="K41" s="6">
        <v>69.343999999999994</v>
      </c>
      <c r="L41" s="6">
        <f t="shared" si="7"/>
        <v>-14.189999999999991</v>
      </c>
      <c r="M41" s="6"/>
      <c r="N41" s="6"/>
      <c r="O41" s="6">
        <v>61</v>
      </c>
      <c r="P41" s="6">
        <v>71</v>
      </c>
      <c r="Q41" s="6">
        <f t="shared" si="8"/>
        <v>11.030800000000001</v>
      </c>
      <c r="R41" s="8"/>
      <c r="S41" s="6">
        <f t="shared" si="9"/>
        <v>14.228705080320557</v>
      </c>
      <c r="T41" s="6">
        <f t="shared" si="10"/>
        <v>14.228705080320557</v>
      </c>
      <c r="U41" s="6">
        <v>15.082599999999999</v>
      </c>
      <c r="V41" s="6">
        <v>11.778600000000001</v>
      </c>
      <c r="W41" s="6">
        <v>11.2448</v>
      </c>
      <c r="X41" s="6">
        <v>14.4396</v>
      </c>
      <c r="Y41" s="6">
        <v>14.8492</v>
      </c>
      <c r="Z41" s="6">
        <v>17.9648</v>
      </c>
      <c r="AA41" s="6">
        <v>14.7774</v>
      </c>
      <c r="AB41" s="6">
        <v>12.758800000000001</v>
      </c>
      <c r="AC41" s="6"/>
      <c r="AD41" s="6">
        <f t="shared" si="11"/>
        <v>0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</row>
    <row r="42" spans="1:47" x14ac:dyDescent="0.25">
      <c r="A42" s="6" t="s">
        <v>86</v>
      </c>
      <c r="B42" s="6" t="s">
        <v>36</v>
      </c>
      <c r="C42" s="6">
        <v>110.749</v>
      </c>
      <c r="D42" s="6">
        <v>145.73500000000001</v>
      </c>
      <c r="E42" s="6">
        <v>102.836</v>
      </c>
      <c r="F42" s="6">
        <v>110.053</v>
      </c>
      <c r="G42" s="7">
        <v>1</v>
      </c>
      <c r="H42" s="6">
        <v>45</v>
      </c>
      <c r="I42" s="6" t="s">
        <v>34</v>
      </c>
      <c r="J42" s="6"/>
      <c r="K42" s="6">
        <v>147.5</v>
      </c>
      <c r="L42" s="6">
        <f t="shared" si="7"/>
        <v>-44.664000000000001</v>
      </c>
      <c r="M42" s="6"/>
      <c r="N42" s="6"/>
      <c r="O42" s="6">
        <v>24</v>
      </c>
      <c r="P42" s="6"/>
      <c r="Q42" s="6">
        <f t="shared" si="8"/>
        <v>20.5672</v>
      </c>
      <c r="R42" s="8"/>
      <c r="S42" s="6">
        <f t="shared" si="9"/>
        <v>6.5178050488155899</v>
      </c>
      <c r="T42" s="6">
        <f t="shared" si="10"/>
        <v>6.5178050488155899</v>
      </c>
      <c r="U42" s="6">
        <v>17.590800000000002</v>
      </c>
      <c r="V42" s="6">
        <v>22.394200000000001</v>
      </c>
      <c r="W42" s="6">
        <v>22.173999999999999</v>
      </c>
      <c r="X42" s="6">
        <v>24.6816</v>
      </c>
      <c r="Y42" s="6">
        <v>17.996200000000002</v>
      </c>
      <c r="Z42" s="6">
        <v>17.272200000000002</v>
      </c>
      <c r="AA42" s="6">
        <v>10.6646</v>
      </c>
      <c r="AB42" s="6">
        <v>20.632000000000001</v>
      </c>
      <c r="AC42" s="6"/>
      <c r="AD42" s="6">
        <f t="shared" si="11"/>
        <v>0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</row>
    <row r="43" spans="1:47" x14ac:dyDescent="0.25">
      <c r="A43" s="6" t="s">
        <v>87</v>
      </c>
      <c r="B43" s="6" t="s">
        <v>36</v>
      </c>
      <c r="C43" s="6">
        <v>271.55</v>
      </c>
      <c r="D43" s="6">
        <v>26.004000000000001</v>
      </c>
      <c r="E43" s="6">
        <v>122.53</v>
      </c>
      <c r="F43" s="6">
        <v>129.82</v>
      </c>
      <c r="G43" s="7">
        <v>1</v>
      </c>
      <c r="H43" s="6">
        <v>45</v>
      </c>
      <c r="I43" s="6" t="s">
        <v>34</v>
      </c>
      <c r="J43" s="6"/>
      <c r="K43" s="6">
        <v>164.4</v>
      </c>
      <c r="L43" s="6">
        <f t="shared" si="7"/>
        <v>-41.870000000000005</v>
      </c>
      <c r="M43" s="6"/>
      <c r="N43" s="6"/>
      <c r="O43" s="6">
        <v>63</v>
      </c>
      <c r="P43" s="6">
        <v>75</v>
      </c>
      <c r="Q43" s="6">
        <f t="shared" si="8"/>
        <v>24.506</v>
      </c>
      <c r="R43" s="8"/>
      <c r="S43" s="6">
        <f t="shared" si="9"/>
        <v>10.92875214233249</v>
      </c>
      <c r="T43" s="6">
        <f t="shared" si="10"/>
        <v>10.92875214233249</v>
      </c>
      <c r="U43" s="6">
        <v>27.321200000000001</v>
      </c>
      <c r="V43" s="6">
        <v>24.925999999999998</v>
      </c>
      <c r="W43" s="6">
        <v>38.509399999999999</v>
      </c>
      <c r="X43" s="6">
        <v>42.509799999999998</v>
      </c>
      <c r="Y43" s="6">
        <v>27.579799999999999</v>
      </c>
      <c r="Z43" s="6">
        <v>40.957799999999999</v>
      </c>
      <c r="AA43" s="6">
        <v>29.583200000000001</v>
      </c>
      <c r="AB43" s="6">
        <v>33.079799999999999</v>
      </c>
      <c r="AC43" s="6"/>
      <c r="AD43" s="6">
        <f t="shared" si="11"/>
        <v>0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</row>
    <row r="44" spans="1:47" x14ac:dyDescent="0.25">
      <c r="A44" s="6" t="s">
        <v>88</v>
      </c>
      <c r="B44" s="6" t="s">
        <v>33</v>
      </c>
      <c r="C44" s="6">
        <v>1874</v>
      </c>
      <c r="D44" s="6">
        <v>36</v>
      </c>
      <c r="E44" s="6">
        <v>227</v>
      </c>
      <c r="F44" s="6">
        <v>1624</v>
      </c>
      <c r="G44" s="7">
        <v>0.3</v>
      </c>
      <c r="H44" s="6">
        <v>45</v>
      </c>
      <c r="I44" s="6" t="s">
        <v>34</v>
      </c>
      <c r="J44" s="6"/>
      <c r="K44" s="6">
        <v>320</v>
      </c>
      <c r="L44" s="6">
        <f t="shared" si="7"/>
        <v>-93</v>
      </c>
      <c r="M44" s="6"/>
      <c r="N44" s="6"/>
      <c r="O44" s="6">
        <v>0</v>
      </c>
      <c r="P44" s="6"/>
      <c r="Q44" s="6">
        <f t="shared" si="8"/>
        <v>45.4</v>
      </c>
      <c r="R44" s="8"/>
      <c r="S44" s="6">
        <f t="shared" si="9"/>
        <v>35.770925110132161</v>
      </c>
      <c r="T44" s="6">
        <f t="shared" si="10"/>
        <v>35.770925110132161</v>
      </c>
      <c r="U44" s="6">
        <v>55.4</v>
      </c>
      <c r="V44" s="6">
        <v>70.8</v>
      </c>
      <c r="W44" s="6">
        <v>472.6</v>
      </c>
      <c r="X44" s="6">
        <v>1125</v>
      </c>
      <c r="Y44" s="6">
        <v>88.8</v>
      </c>
      <c r="Z44" s="6">
        <v>92.2</v>
      </c>
      <c r="AA44" s="6">
        <v>90.2</v>
      </c>
      <c r="AB44" s="6">
        <v>75.2</v>
      </c>
      <c r="AC44" s="6" t="s">
        <v>46</v>
      </c>
      <c r="AD44" s="6">
        <f t="shared" si="11"/>
        <v>0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</row>
    <row r="45" spans="1:47" x14ac:dyDescent="0.25">
      <c r="A45" s="6" t="s">
        <v>89</v>
      </c>
      <c r="B45" s="6" t="s">
        <v>36</v>
      </c>
      <c r="C45" s="6">
        <v>170.69</v>
      </c>
      <c r="D45" s="6"/>
      <c r="E45" s="6"/>
      <c r="F45" s="6">
        <v>170.69</v>
      </c>
      <c r="G45" s="7">
        <v>1</v>
      </c>
      <c r="H45" s="6">
        <v>45</v>
      </c>
      <c r="I45" s="6" t="s">
        <v>34</v>
      </c>
      <c r="J45" s="6"/>
      <c r="K45" s="6"/>
      <c r="L45" s="6">
        <f t="shared" si="7"/>
        <v>0</v>
      </c>
      <c r="M45" s="6"/>
      <c r="N45" s="6"/>
      <c r="O45" s="6">
        <v>0</v>
      </c>
      <c r="P45" s="6"/>
      <c r="Q45" s="6">
        <f t="shared" si="8"/>
        <v>0</v>
      </c>
      <c r="R45" s="8"/>
      <c r="S45" s="6" t="e">
        <f t="shared" si="9"/>
        <v>#DIV/0!</v>
      </c>
      <c r="T45" s="6" t="e">
        <f t="shared" si="10"/>
        <v>#DIV/0!</v>
      </c>
      <c r="U45" s="6">
        <v>2.1534</v>
      </c>
      <c r="V45" s="6">
        <v>0.62980000000000003</v>
      </c>
      <c r="W45" s="6">
        <v>2.1646000000000001</v>
      </c>
      <c r="X45" s="6">
        <v>2.6646000000000001</v>
      </c>
      <c r="Y45" s="6">
        <v>1.2427999999999999</v>
      </c>
      <c r="Z45" s="6">
        <v>1.234</v>
      </c>
      <c r="AA45" s="6">
        <v>3.0461999999999998</v>
      </c>
      <c r="AB45" s="6">
        <v>2.7833999999999999</v>
      </c>
      <c r="AC45" s="6" t="s">
        <v>90</v>
      </c>
      <c r="AD45" s="6">
        <f t="shared" si="11"/>
        <v>0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</row>
    <row r="46" spans="1:47" x14ac:dyDescent="0.25">
      <c r="A46" s="6" t="s">
        <v>91</v>
      </c>
      <c r="B46" s="6" t="s">
        <v>33</v>
      </c>
      <c r="C46" s="6">
        <v>1113</v>
      </c>
      <c r="D46" s="6">
        <v>2013</v>
      </c>
      <c r="E46" s="6">
        <v>803</v>
      </c>
      <c r="F46" s="6">
        <v>1956</v>
      </c>
      <c r="G46" s="7">
        <v>0.35</v>
      </c>
      <c r="H46" s="6">
        <v>45</v>
      </c>
      <c r="I46" s="6" t="s">
        <v>34</v>
      </c>
      <c r="J46" s="6"/>
      <c r="K46" s="6">
        <v>1216</v>
      </c>
      <c r="L46" s="6">
        <f t="shared" si="7"/>
        <v>-413</v>
      </c>
      <c r="M46" s="6"/>
      <c r="N46" s="6"/>
      <c r="O46" s="6">
        <v>0</v>
      </c>
      <c r="P46" s="6"/>
      <c r="Q46" s="6">
        <f t="shared" si="8"/>
        <v>160.6</v>
      </c>
      <c r="R46" s="8"/>
      <c r="S46" s="6">
        <f t="shared" si="9"/>
        <v>12.179327521793276</v>
      </c>
      <c r="T46" s="6">
        <f t="shared" si="10"/>
        <v>12.179327521793276</v>
      </c>
      <c r="U46" s="6">
        <v>152.19999999999999</v>
      </c>
      <c r="V46" s="6">
        <v>238</v>
      </c>
      <c r="W46" s="6">
        <v>215.8</v>
      </c>
      <c r="X46" s="6">
        <v>254.4</v>
      </c>
      <c r="Y46" s="6">
        <v>225.4</v>
      </c>
      <c r="Z46" s="6">
        <v>174.6</v>
      </c>
      <c r="AA46" s="6">
        <v>242.8</v>
      </c>
      <c r="AB46" s="6">
        <v>195.2</v>
      </c>
      <c r="AC46" s="6"/>
      <c r="AD46" s="6">
        <f t="shared" si="11"/>
        <v>0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</row>
    <row r="47" spans="1:47" x14ac:dyDescent="0.25">
      <c r="A47" s="6" t="s">
        <v>92</v>
      </c>
      <c r="B47" s="6" t="s">
        <v>33</v>
      </c>
      <c r="C47" s="6">
        <v>563</v>
      </c>
      <c r="D47" s="6">
        <v>383</v>
      </c>
      <c r="E47" s="6">
        <v>186</v>
      </c>
      <c r="F47" s="6">
        <v>622</v>
      </c>
      <c r="G47" s="7">
        <v>0.41</v>
      </c>
      <c r="H47" s="6">
        <v>45</v>
      </c>
      <c r="I47" s="6" t="s">
        <v>34</v>
      </c>
      <c r="J47" s="6"/>
      <c r="K47" s="6">
        <v>320</v>
      </c>
      <c r="L47" s="6">
        <f t="shared" si="7"/>
        <v>-134</v>
      </c>
      <c r="M47" s="6"/>
      <c r="N47" s="6"/>
      <c r="O47" s="6">
        <v>0</v>
      </c>
      <c r="P47" s="6"/>
      <c r="Q47" s="6">
        <f t="shared" si="8"/>
        <v>37.200000000000003</v>
      </c>
      <c r="R47" s="8"/>
      <c r="S47" s="6">
        <f t="shared" si="9"/>
        <v>16.72043010752688</v>
      </c>
      <c r="T47" s="6">
        <f t="shared" si="10"/>
        <v>16.72043010752688</v>
      </c>
      <c r="U47" s="6">
        <v>47.2</v>
      </c>
      <c r="V47" s="6">
        <v>73.8</v>
      </c>
      <c r="W47" s="6">
        <v>85.4</v>
      </c>
      <c r="X47" s="6">
        <v>90</v>
      </c>
      <c r="Y47" s="6">
        <v>70.8</v>
      </c>
      <c r="Z47" s="6">
        <v>61</v>
      </c>
      <c r="AA47" s="6">
        <v>64.599999999999994</v>
      </c>
      <c r="AB47" s="6">
        <v>87.2</v>
      </c>
      <c r="AC47" s="6"/>
      <c r="AD47" s="6">
        <f t="shared" si="11"/>
        <v>0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</row>
    <row r="48" spans="1:47" x14ac:dyDescent="0.25">
      <c r="A48" s="6" t="s">
        <v>93</v>
      </c>
      <c r="B48" s="6" t="s">
        <v>33</v>
      </c>
      <c r="C48" s="6">
        <v>98</v>
      </c>
      <c r="D48" s="6">
        <v>55</v>
      </c>
      <c r="E48" s="6">
        <v>38</v>
      </c>
      <c r="F48" s="6">
        <v>84</v>
      </c>
      <c r="G48" s="7">
        <v>0.41</v>
      </c>
      <c r="H48" s="6">
        <v>45</v>
      </c>
      <c r="I48" s="6" t="s">
        <v>34</v>
      </c>
      <c r="J48" s="6"/>
      <c r="K48" s="6">
        <v>63</v>
      </c>
      <c r="L48" s="6">
        <f t="shared" si="7"/>
        <v>-25</v>
      </c>
      <c r="M48" s="6"/>
      <c r="N48" s="6"/>
      <c r="O48" s="6">
        <v>66</v>
      </c>
      <c r="P48" s="6"/>
      <c r="Q48" s="6">
        <f t="shared" si="8"/>
        <v>7.6</v>
      </c>
      <c r="R48" s="8"/>
      <c r="S48" s="6">
        <f t="shared" si="9"/>
        <v>19.736842105263158</v>
      </c>
      <c r="T48" s="6">
        <f t="shared" si="10"/>
        <v>19.736842105263158</v>
      </c>
      <c r="U48" s="6">
        <v>13.8</v>
      </c>
      <c r="V48" s="6">
        <v>14</v>
      </c>
      <c r="W48" s="6">
        <v>12.6</v>
      </c>
      <c r="X48" s="6">
        <v>24.6</v>
      </c>
      <c r="Y48" s="6">
        <v>24.6</v>
      </c>
      <c r="Z48" s="6">
        <v>19</v>
      </c>
      <c r="AA48" s="6">
        <v>12.2</v>
      </c>
      <c r="AB48" s="6">
        <v>19.8</v>
      </c>
      <c r="AC48" s="6"/>
      <c r="AD48" s="6">
        <f t="shared" si="11"/>
        <v>0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</row>
    <row r="49" spans="1:47" x14ac:dyDescent="0.25">
      <c r="A49" s="6" t="s">
        <v>94</v>
      </c>
      <c r="B49" s="6" t="s">
        <v>33</v>
      </c>
      <c r="C49" s="6">
        <v>109</v>
      </c>
      <c r="D49" s="6">
        <v>591</v>
      </c>
      <c r="E49" s="6">
        <v>184</v>
      </c>
      <c r="F49" s="6">
        <v>501</v>
      </c>
      <c r="G49" s="7">
        <v>0.36</v>
      </c>
      <c r="H49" s="6">
        <v>45</v>
      </c>
      <c r="I49" s="6" t="s">
        <v>34</v>
      </c>
      <c r="J49" s="6"/>
      <c r="K49" s="6">
        <v>246</v>
      </c>
      <c r="L49" s="6">
        <f t="shared" si="7"/>
        <v>-62</v>
      </c>
      <c r="M49" s="6"/>
      <c r="N49" s="6"/>
      <c r="O49" s="6">
        <v>0</v>
      </c>
      <c r="P49" s="6"/>
      <c r="Q49" s="6">
        <f t="shared" si="8"/>
        <v>36.799999999999997</v>
      </c>
      <c r="R49" s="8"/>
      <c r="S49" s="6">
        <f t="shared" si="9"/>
        <v>13.614130434782609</v>
      </c>
      <c r="T49" s="6">
        <f t="shared" si="10"/>
        <v>13.614130434782609</v>
      </c>
      <c r="U49" s="6">
        <v>35.6</v>
      </c>
      <c r="V49" s="6">
        <v>58.4</v>
      </c>
      <c r="W49" s="6">
        <v>42.6</v>
      </c>
      <c r="X49" s="6">
        <v>61.8</v>
      </c>
      <c r="Y49" s="6">
        <v>30.8</v>
      </c>
      <c r="Z49" s="6">
        <v>48.8</v>
      </c>
      <c r="AA49" s="6">
        <v>26.6</v>
      </c>
      <c r="AB49" s="6">
        <v>45.8</v>
      </c>
      <c r="AC49" s="6"/>
      <c r="AD49" s="6">
        <f t="shared" si="11"/>
        <v>0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</row>
    <row r="50" spans="1:47" x14ac:dyDescent="0.25">
      <c r="A50" s="6" t="s">
        <v>95</v>
      </c>
      <c r="B50" s="6" t="s">
        <v>33</v>
      </c>
      <c r="C50" s="6">
        <v>385</v>
      </c>
      <c r="D50" s="6">
        <v>271</v>
      </c>
      <c r="E50" s="6">
        <v>132</v>
      </c>
      <c r="F50" s="6">
        <v>458</v>
      </c>
      <c r="G50" s="7">
        <v>0.33</v>
      </c>
      <c r="H50" s="6">
        <v>45</v>
      </c>
      <c r="I50" s="6" t="s">
        <v>34</v>
      </c>
      <c r="J50" s="6"/>
      <c r="K50" s="6">
        <v>211</v>
      </c>
      <c r="L50" s="6">
        <f t="shared" si="7"/>
        <v>-79</v>
      </c>
      <c r="M50" s="6"/>
      <c r="N50" s="6"/>
      <c r="O50" s="6">
        <v>0</v>
      </c>
      <c r="P50" s="6"/>
      <c r="Q50" s="6">
        <f t="shared" si="8"/>
        <v>26.4</v>
      </c>
      <c r="R50" s="8"/>
      <c r="S50" s="6">
        <f t="shared" si="9"/>
        <v>17.348484848484848</v>
      </c>
      <c r="T50" s="6">
        <f t="shared" si="10"/>
        <v>17.348484848484848</v>
      </c>
      <c r="U50" s="6">
        <v>39.4</v>
      </c>
      <c r="V50" s="6">
        <v>53.2</v>
      </c>
      <c r="W50" s="6">
        <v>56.4</v>
      </c>
      <c r="X50" s="6">
        <v>54.2</v>
      </c>
      <c r="Y50" s="6">
        <v>59.2</v>
      </c>
      <c r="Z50" s="6">
        <v>41.2</v>
      </c>
      <c r="AA50" s="6">
        <v>51.6</v>
      </c>
      <c r="AB50" s="6">
        <v>54.8</v>
      </c>
      <c r="AC50" s="6"/>
      <c r="AD50" s="6">
        <f t="shared" si="11"/>
        <v>0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</row>
    <row r="51" spans="1:47" x14ac:dyDescent="0.25">
      <c r="A51" s="6" t="s">
        <v>96</v>
      </c>
      <c r="B51" s="6" t="s">
        <v>33</v>
      </c>
      <c r="C51" s="6">
        <v>259</v>
      </c>
      <c r="D51" s="6">
        <v>18</v>
      </c>
      <c r="E51" s="6">
        <v>119</v>
      </c>
      <c r="F51" s="6">
        <v>130</v>
      </c>
      <c r="G51" s="7">
        <v>0.4</v>
      </c>
      <c r="H51" s="6">
        <v>60</v>
      </c>
      <c r="I51" s="6" t="s">
        <v>34</v>
      </c>
      <c r="J51" s="6"/>
      <c r="K51" s="6">
        <v>162</v>
      </c>
      <c r="L51" s="6">
        <f t="shared" si="7"/>
        <v>-43</v>
      </c>
      <c r="M51" s="6"/>
      <c r="N51" s="6"/>
      <c r="O51" s="6">
        <v>110</v>
      </c>
      <c r="P51" s="6">
        <v>129</v>
      </c>
      <c r="Q51" s="6">
        <f t="shared" si="8"/>
        <v>23.8</v>
      </c>
      <c r="R51" s="8"/>
      <c r="S51" s="6">
        <f t="shared" si="9"/>
        <v>15.504201680672269</v>
      </c>
      <c r="T51" s="6">
        <f t="shared" si="10"/>
        <v>15.504201680672269</v>
      </c>
      <c r="U51" s="6">
        <v>33.200000000000003</v>
      </c>
      <c r="V51" s="6">
        <v>20.8</v>
      </c>
      <c r="W51" s="6">
        <v>38.799999999999997</v>
      </c>
      <c r="X51" s="6">
        <v>37.4</v>
      </c>
      <c r="Y51" s="6">
        <v>0</v>
      </c>
      <c r="Z51" s="6">
        <v>0</v>
      </c>
      <c r="AA51" s="6">
        <v>11.2</v>
      </c>
      <c r="AB51" s="6">
        <v>40.200000000000003</v>
      </c>
      <c r="AC51" s="6"/>
      <c r="AD51" s="6">
        <f t="shared" si="11"/>
        <v>0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</row>
    <row r="52" spans="1:47" x14ac:dyDescent="0.25">
      <c r="A52" s="6" t="s">
        <v>97</v>
      </c>
      <c r="B52" s="6" t="s">
        <v>33</v>
      </c>
      <c r="C52" s="6">
        <v>305</v>
      </c>
      <c r="D52" s="6">
        <v>6</v>
      </c>
      <c r="E52" s="6">
        <v>18</v>
      </c>
      <c r="F52" s="6">
        <v>22</v>
      </c>
      <c r="G52" s="7">
        <v>0.33</v>
      </c>
      <c r="H52" s="6">
        <v>45</v>
      </c>
      <c r="I52" s="6" t="s">
        <v>34</v>
      </c>
      <c r="J52" s="6"/>
      <c r="K52" s="6">
        <v>37</v>
      </c>
      <c r="L52" s="6">
        <f t="shared" si="7"/>
        <v>-19</v>
      </c>
      <c r="M52" s="6"/>
      <c r="N52" s="6"/>
      <c r="O52" s="6">
        <v>0</v>
      </c>
      <c r="P52" s="6"/>
      <c r="Q52" s="6">
        <f t="shared" si="8"/>
        <v>3.6</v>
      </c>
      <c r="R52" s="8"/>
      <c r="S52" s="6">
        <f t="shared" si="9"/>
        <v>6.1111111111111107</v>
      </c>
      <c r="T52" s="6">
        <f t="shared" si="10"/>
        <v>6.1111111111111107</v>
      </c>
      <c r="U52" s="6">
        <v>3.6</v>
      </c>
      <c r="V52" s="6">
        <v>4.5999999999999996</v>
      </c>
      <c r="W52" s="6">
        <v>5.6</v>
      </c>
      <c r="X52" s="6">
        <v>6.2</v>
      </c>
      <c r="Y52" s="6">
        <v>18</v>
      </c>
      <c r="Z52" s="6">
        <v>13</v>
      </c>
      <c r="AA52" s="6">
        <v>26.6</v>
      </c>
      <c r="AB52" s="6">
        <v>4.8</v>
      </c>
      <c r="AC52" s="6" t="s">
        <v>46</v>
      </c>
      <c r="AD52" s="6">
        <f t="shared" si="11"/>
        <v>0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</row>
    <row r="53" spans="1:47" x14ac:dyDescent="0.25">
      <c r="A53" s="6" t="s">
        <v>98</v>
      </c>
      <c r="B53" s="6" t="s">
        <v>36</v>
      </c>
      <c r="C53" s="6">
        <v>523.39400000000001</v>
      </c>
      <c r="D53" s="6">
        <v>48.503</v>
      </c>
      <c r="E53" s="6">
        <v>334.54599999999999</v>
      </c>
      <c r="F53" s="6">
        <v>160.15600000000001</v>
      </c>
      <c r="G53" s="7">
        <v>1</v>
      </c>
      <c r="H53" s="6">
        <v>45</v>
      </c>
      <c r="I53" s="6" t="s">
        <v>34</v>
      </c>
      <c r="J53" s="6"/>
      <c r="K53" s="6">
        <v>410.3</v>
      </c>
      <c r="L53" s="6">
        <f t="shared" si="7"/>
        <v>-75.754000000000019</v>
      </c>
      <c r="M53" s="6"/>
      <c r="N53" s="6"/>
      <c r="O53" s="6">
        <v>305</v>
      </c>
      <c r="P53" s="6">
        <v>359</v>
      </c>
      <c r="Q53" s="6">
        <f t="shared" si="8"/>
        <v>66.909199999999998</v>
      </c>
      <c r="R53" s="8"/>
      <c r="S53" s="6">
        <f t="shared" si="9"/>
        <v>12.317528830116037</v>
      </c>
      <c r="T53" s="6">
        <f t="shared" si="10"/>
        <v>12.317528830116037</v>
      </c>
      <c r="U53" s="6">
        <v>79.169799999999995</v>
      </c>
      <c r="V53" s="6">
        <v>59.140799999999999</v>
      </c>
      <c r="W53" s="6">
        <v>88.197000000000003</v>
      </c>
      <c r="X53" s="6">
        <v>93.295600000000007</v>
      </c>
      <c r="Y53" s="6">
        <v>55.942399999999999</v>
      </c>
      <c r="Z53" s="6">
        <v>66.259600000000006</v>
      </c>
      <c r="AA53" s="6">
        <v>76.353999999999999</v>
      </c>
      <c r="AB53" s="6">
        <v>67.717999999999989</v>
      </c>
      <c r="AC53" s="6"/>
      <c r="AD53" s="6">
        <f t="shared" si="11"/>
        <v>0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</row>
    <row r="54" spans="1:47" x14ac:dyDescent="0.25">
      <c r="A54" s="10" t="s">
        <v>99</v>
      </c>
      <c r="B54" s="10" t="s">
        <v>36</v>
      </c>
      <c r="C54" s="10">
        <v>4.4240000000000004</v>
      </c>
      <c r="D54" s="10"/>
      <c r="E54" s="10">
        <v>3.6120000000000001</v>
      </c>
      <c r="F54" s="10"/>
      <c r="G54" s="11">
        <v>0</v>
      </c>
      <c r="H54" s="10">
        <v>30</v>
      </c>
      <c r="I54" s="10" t="s">
        <v>57</v>
      </c>
      <c r="J54" s="10"/>
      <c r="K54" s="10">
        <v>19.3</v>
      </c>
      <c r="L54" s="10">
        <f t="shared" si="7"/>
        <v>-15.688000000000001</v>
      </c>
      <c r="M54" s="10"/>
      <c r="N54" s="10"/>
      <c r="O54" s="10">
        <v>0</v>
      </c>
      <c r="P54" s="10"/>
      <c r="Q54" s="10">
        <f t="shared" si="8"/>
        <v>0.72240000000000004</v>
      </c>
      <c r="R54" s="12"/>
      <c r="S54" s="10">
        <f t="shared" si="9"/>
        <v>0</v>
      </c>
      <c r="T54" s="10">
        <f t="shared" si="10"/>
        <v>0</v>
      </c>
      <c r="U54" s="10">
        <v>6.4917999999999996</v>
      </c>
      <c r="V54" s="10">
        <v>12.2532</v>
      </c>
      <c r="W54" s="10">
        <v>3.6048</v>
      </c>
      <c r="X54" s="10">
        <v>8.5906000000000002</v>
      </c>
      <c r="Y54" s="10">
        <v>5.4905999999999997</v>
      </c>
      <c r="Z54" s="10">
        <v>0.93459999999999999</v>
      </c>
      <c r="AA54" s="10">
        <v>5.4938000000000002</v>
      </c>
      <c r="AB54" s="10">
        <v>4.8000000000000001E-2</v>
      </c>
      <c r="AC54" s="10"/>
      <c r="AD54" s="10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</row>
    <row r="55" spans="1:47" x14ac:dyDescent="0.25">
      <c r="A55" s="6" t="s">
        <v>100</v>
      </c>
      <c r="B55" s="6" t="s">
        <v>33</v>
      </c>
      <c r="C55" s="6">
        <v>63</v>
      </c>
      <c r="D55" s="6">
        <v>5</v>
      </c>
      <c r="E55" s="6">
        <v>14</v>
      </c>
      <c r="F55" s="6">
        <v>38</v>
      </c>
      <c r="G55" s="7">
        <v>0.4</v>
      </c>
      <c r="H55" s="6">
        <v>45</v>
      </c>
      <c r="I55" s="6" t="s">
        <v>34</v>
      </c>
      <c r="J55" s="6"/>
      <c r="K55" s="6">
        <v>24</v>
      </c>
      <c r="L55" s="6">
        <f t="shared" si="7"/>
        <v>-10</v>
      </c>
      <c r="M55" s="6"/>
      <c r="N55" s="6"/>
      <c r="O55" s="6">
        <v>0</v>
      </c>
      <c r="P55" s="6"/>
      <c r="Q55" s="6">
        <f t="shared" si="8"/>
        <v>2.8</v>
      </c>
      <c r="R55" s="8"/>
      <c r="S55" s="6">
        <f t="shared" si="9"/>
        <v>13.571428571428573</v>
      </c>
      <c r="T55" s="6">
        <f t="shared" si="10"/>
        <v>13.571428571428573</v>
      </c>
      <c r="U55" s="6">
        <v>3.4</v>
      </c>
      <c r="V55" s="6">
        <v>1.6</v>
      </c>
      <c r="W55" s="6">
        <v>4.2</v>
      </c>
      <c r="X55" s="6">
        <v>9</v>
      </c>
      <c r="Y55" s="6">
        <v>6.2</v>
      </c>
      <c r="Z55" s="6">
        <v>7.2</v>
      </c>
      <c r="AA55" s="6">
        <v>7.2</v>
      </c>
      <c r="AB55" s="6">
        <v>2.6</v>
      </c>
      <c r="AC55" s="6" t="s">
        <v>101</v>
      </c>
      <c r="AD55" s="6">
        <f>G55*R55</f>
        <v>0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</row>
    <row r="56" spans="1:47" x14ac:dyDescent="0.25">
      <c r="A56" s="6" t="s">
        <v>102</v>
      </c>
      <c r="B56" s="6" t="s">
        <v>36</v>
      </c>
      <c r="C56" s="6">
        <v>11.882</v>
      </c>
      <c r="D56" s="6">
        <v>15.760999999999999</v>
      </c>
      <c r="E56" s="6">
        <v>15.814</v>
      </c>
      <c r="F56" s="6">
        <v>11.829000000000001</v>
      </c>
      <c r="G56" s="7">
        <v>1</v>
      </c>
      <c r="H56" s="6">
        <v>60</v>
      </c>
      <c r="I56" s="6" t="s">
        <v>34</v>
      </c>
      <c r="J56" s="6"/>
      <c r="K56" s="6">
        <v>18.2</v>
      </c>
      <c r="L56" s="6">
        <f t="shared" si="7"/>
        <v>-2.3859999999999992</v>
      </c>
      <c r="M56" s="6"/>
      <c r="N56" s="6"/>
      <c r="O56" s="6">
        <v>7</v>
      </c>
      <c r="P56" s="6"/>
      <c r="Q56" s="6">
        <f t="shared" si="8"/>
        <v>3.1627999999999998</v>
      </c>
      <c r="R56" s="8"/>
      <c r="S56" s="6">
        <f t="shared" si="9"/>
        <v>5.9532692550904267</v>
      </c>
      <c r="T56" s="6">
        <f t="shared" si="10"/>
        <v>5.9532692550904267</v>
      </c>
      <c r="U56" s="6">
        <v>2.3344</v>
      </c>
      <c r="V56" s="6">
        <v>0.3916</v>
      </c>
      <c r="W56" s="6">
        <v>2.6023999999999998</v>
      </c>
      <c r="X56" s="6">
        <v>0.76580000000000004</v>
      </c>
      <c r="Y56" s="6">
        <v>4.7548000000000004</v>
      </c>
      <c r="Z56" s="6">
        <v>5.0624000000000002</v>
      </c>
      <c r="AA56" s="6">
        <v>3.1055999999999999</v>
      </c>
      <c r="AB56" s="6">
        <v>4.3197999999999999</v>
      </c>
      <c r="AC56" s="6"/>
      <c r="AD56" s="6">
        <f>G56*R56</f>
        <v>0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</row>
    <row r="57" spans="1:47" x14ac:dyDescent="0.25">
      <c r="A57" s="6" t="s">
        <v>103</v>
      </c>
      <c r="B57" s="6" t="s">
        <v>36</v>
      </c>
      <c r="C57" s="6">
        <v>12.03</v>
      </c>
      <c r="D57" s="6">
        <v>28.68</v>
      </c>
      <c r="E57" s="6">
        <v>10.56</v>
      </c>
      <c r="F57" s="6">
        <v>16.64</v>
      </c>
      <c r="G57" s="7">
        <v>1</v>
      </c>
      <c r="H57" s="6">
        <v>60</v>
      </c>
      <c r="I57" s="6" t="s">
        <v>34</v>
      </c>
      <c r="J57" s="6"/>
      <c r="K57" s="6">
        <v>33</v>
      </c>
      <c r="L57" s="6">
        <f t="shared" si="7"/>
        <v>-22.439999999999998</v>
      </c>
      <c r="M57" s="6"/>
      <c r="N57" s="6"/>
      <c r="O57" s="6">
        <v>36</v>
      </c>
      <c r="P57" s="6"/>
      <c r="Q57" s="6">
        <f t="shared" si="8"/>
        <v>2.1120000000000001</v>
      </c>
      <c r="R57" s="8"/>
      <c r="S57" s="6">
        <f t="shared" si="9"/>
        <v>24.924242424242422</v>
      </c>
      <c r="T57" s="6">
        <f t="shared" si="10"/>
        <v>24.924242424242422</v>
      </c>
      <c r="U57" s="6">
        <v>4.5110000000000001</v>
      </c>
      <c r="V57" s="6">
        <v>3.62</v>
      </c>
      <c r="W57" s="6">
        <v>2.024</v>
      </c>
      <c r="X57" s="6">
        <v>4.5279999999999996</v>
      </c>
      <c r="Y57" s="6">
        <v>3.6309999999999998</v>
      </c>
      <c r="Z57" s="6">
        <v>3.617</v>
      </c>
      <c r="AA57" s="6">
        <v>1.8580000000000001</v>
      </c>
      <c r="AB57" s="6">
        <v>2.8534000000000002</v>
      </c>
      <c r="AC57" s="6"/>
      <c r="AD57" s="6">
        <f>G57*R57</f>
        <v>0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</row>
    <row r="58" spans="1:47" x14ac:dyDescent="0.25">
      <c r="A58" s="6" t="s">
        <v>104</v>
      </c>
      <c r="B58" s="6" t="s">
        <v>33</v>
      </c>
      <c r="C58" s="6">
        <v>33</v>
      </c>
      <c r="D58" s="6"/>
      <c r="E58" s="6">
        <v>24</v>
      </c>
      <c r="F58" s="6">
        <v>8</v>
      </c>
      <c r="G58" s="7">
        <v>0.6</v>
      </c>
      <c r="H58" s="6">
        <v>45</v>
      </c>
      <c r="I58" s="6" t="s">
        <v>34</v>
      </c>
      <c r="J58" s="6"/>
      <c r="K58" s="6">
        <v>25</v>
      </c>
      <c r="L58" s="6">
        <f t="shared" si="7"/>
        <v>-1</v>
      </c>
      <c r="M58" s="6"/>
      <c r="N58" s="6"/>
      <c r="O58" s="6">
        <v>27</v>
      </c>
      <c r="P58" s="6"/>
      <c r="Q58" s="6">
        <f t="shared" si="8"/>
        <v>4.8</v>
      </c>
      <c r="R58" s="8"/>
      <c r="S58" s="6">
        <f t="shared" si="9"/>
        <v>7.291666666666667</v>
      </c>
      <c r="T58" s="6">
        <f t="shared" si="10"/>
        <v>7.291666666666667</v>
      </c>
      <c r="U58" s="6">
        <v>4</v>
      </c>
      <c r="V58" s="6">
        <v>-0.2</v>
      </c>
      <c r="W58" s="6">
        <v>0.8</v>
      </c>
      <c r="X58" s="6">
        <v>3</v>
      </c>
      <c r="Y58" s="6">
        <v>10.4</v>
      </c>
      <c r="Z58" s="6">
        <v>6</v>
      </c>
      <c r="AA58" s="6">
        <v>7</v>
      </c>
      <c r="AB58" s="6">
        <v>4.8</v>
      </c>
      <c r="AC58" s="6"/>
      <c r="AD58" s="6">
        <f>G58*R58</f>
        <v>0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</row>
    <row r="59" spans="1:47" x14ac:dyDescent="0.25">
      <c r="A59" s="10" t="s">
        <v>105</v>
      </c>
      <c r="B59" s="10" t="s">
        <v>36</v>
      </c>
      <c r="C59" s="10"/>
      <c r="D59" s="10"/>
      <c r="E59" s="10">
        <v>-0.85899999999999999</v>
      </c>
      <c r="F59" s="10"/>
      <c r="G59" s="11">
        <v>0</v>
      </c>
      <c r="H59" s="10">
        <v>45</v>
      </c>
      <c r="I59" s="10" t="s">
        <v>57</v>
      </c>
      <c r="J59" s="10"/>
      <c r="K59" s="10">
        <v>0.8</v>
      </c>
      <c r="L59" s="10">
        <f t="shared" si="7"/>
        <v>-1.659</v>
      </c>
      <c r="M59" s="10"/>
      <c r="N59" s="10"/>
      <c r="O59" s="10">
        <v>17</v>
      </c>
      <c r="P59" s="10"/>
      <c r="Q59" s="10">
        <f t="shared" si="8"/>
        <v>-0.17180000000000001</v>
      </c>
      <c r="R59" s="12"/>
      <c r="S59" s="10">
        <f t="shared" si="9"/>
        <v>-98.952270081490099</v>
      </c>
      <c r="T59" s="10">
        <f t="shared" si="10"/>
        <v>-98.952270081490099</v>
      </c>
      <c r="U59" s="10">
        <v>1.7132000000000001</v>
      </c>
      <c r="V59" s="10">
        <v>1.03</v>
      </c>
      <c r="W59" s="10">
        <v>0.85760000000000003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/>
      <c r="AD59" s="10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</row>
    <row r="60" spans="1:47" x14ac:dyDescent="0.25">
      <c r="A60" s="10" t="s">
        <v>106</v>
      </c>
      <c r="B60" s="10" t="s">
        <v>36</v>
      </c>
      <c r="C60" s="10"/>
      <c r="D60" s="10"/>
      <c r="E60" s="15">
        <v>12.435</v>
      </c>
      <c r="F60" s="15">
        <v>-12.435</v>
      </c>
      <c r="G60" s="11">
        <v>0</v>
      </c>
      <c r="H60" s="10">
        <v>0</v>
      </c>
      <c r="I60" s="10" t="s">
        <v>107</v>
      </c>
      <c r="J60" s="10" t="s">
        <v>108</v>
      </c>
      <c r="K60" s="10">
        <v>16.5</v>
      </c>
      <c r="L60" s="10">
        <f t="shared" si="7"/>
        <v>-4.0649999999999995</v>
      </c>
      <c r="M60" s="10"/>
      <c r="N60" s="10"/>
      <c r="O60" s="10"/>
      <c r="P60" s="10"/>
      <c r="Q60" s="10">
        <f t="shared" si="8"/>
        <v>2.4870000000000001</v>
      </c>
      <c r="R60" s="12"/>
      <c r="S60" s="10">
        <f t="shared" si="9"/>
        <v>-5</v>
      </c>
      <c r="T60" s="10">
        <f t="shared" si="10"/>
        <v>-5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/>
      <c r="AD60" s="10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</row>
    <row r="61" spans="1:47" x14ac:dyDescent="0.25">
      <c r="A61" s="6" t="s">
        <v>109</v>
      </c>
      <c r="B61" s="6" t="s">
        <v>33</v>
      </c>
      <c r="C61" s="6">
        <v>70</v>
      </c>
      <c r="D61" s="6">
        <v>47</v>
      </c>
      <c r="E61" s="6">
        <v>50</v>
      </c>
      <c r="F61" s="6">
        <v>57</v>
      </c>
      <c r="G61" s="7">
        <v>0.25</v>
      </c>
      <c r="H61" s="6">
        <v>120</v>
      </c>
      <c r="I61" s="6" t="s">
        <v>34</v>
      </c>
      <c r="J61" s="6"/>
      <c r="K61" s="6">
        <v>77</v>
      </c>
      <c r="L61" s="6">
        <f t="shared" si="7"/>
        <v>-27</v>
      </c>
      <c r="M61" s="6"/>
      <c r="N61" s="6"/>
      <c r="O61" s="6">
        <v>40</v>
      </c>
      <c r="P61" s="6"/>
      <c r="Q61" s="6">
        <f t="shared" si="8"/>
        <v>10</v>
      </c>
      <c r="R61" s="8"/>
      <c r="S61" s="6">
        <f t="shared" si="9"/>
        <v>9.6999999999999993</v>
      </c>
      <c r="T61" s="6">
        <f t="shared" si="10"/>
        <v>9.6999999999999993</v>
      </c>
      <c r="U61" s="6">
        <v>7.6</v>
      </c>
      <c r="V61" s="6">
        <v>10</v>
      </c>
      <c r="W61" s="6">
        <v>11.4</v>
      </c>
      <c r="X61" s="6">
        <v>4.5999999999999996</v>
      </c>
      <c r="Y61" s="6">
        <v>7</v>
      </c>
      <c r="Z61" s="6">
        <v>8.8000000000000007</v>
      </c>
      <c r="AA61" s="6">
        <v>15.8</v>
      </c>
      <c r="AB61" s="6">
        <v>8</v>
      </c>
      <c r="AC61" s="6" t="s">
        <v>37</v>
      </c>
      <c r="AD61" s="6">
        <f>G61*R61</f>
        <v>0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</row>
    <row r="62" spans="1:47" x14ac:dyDescent="0.25">
      <c r="A62" s="6" t="s">
        <v>110</v>
      </c>
      <c r="B62" s="6" t="s">
        <v>36</v>
      </c>
      <c r="C62" s="6">
        <v>8.2710000000000008</v>
      </c>
      <c r="D62" s="6">
        <v>10.301</v>
      </c>
      <c r="E62" s="6">
        <v>9.9760000000000009</v>
      </c>
      <c r="F62" s="6">
        <v>7.2220000000000004</v>
      </c>
      <c r="G62" s="7">
        <v>1</v>
      </c>
      <c r="H62" s="6">
        <v>45</v>
      </c>
      <c r="I62" s="6" t="s">
        <v>34</v>
      </c>
      <c r="J62" s="6"/>
      <c r="K62" s="6">
        <v>12.3</v>
      </c>
      <c r="L62" s="6">
        <f t="shared" si="7"/>
        <v>-2.3239999999999998</v>
      </c>
      <c r="M62" s="6"/>
      <c r="N62" s="6"/>
      <c r="O62" s="6">
        <v>18</v>
      </c>
      <c r="P62" s="6"/>
      <c r="Q62" s="6">
        <f t="shared" si="8"/>
        <v>1.9952000000000001</v>
      </c>
      <c r="R62" s="8"/>
      <c r="S62" s="6">
        <f t="shared" si="9"/>
        <v>12.641339214113874</v>
      </c>
      <c r="T62" s="6">
        <f t="shared" si="10"/>
        <v>12.641339214113874</v>
      </c>
      <c r="U62" s="6">
        <v>2.8637999999999999</v>
      </c>
      <c r="V62" s="6">
        <v>2.9007999999999998</v>
      </c>
      <c r="W62" s="6">
        <v>3.1057999999999999</v>
      </c>
      <c r="X62" s="6">
        <v>3.4205999999999999</v>
      </c>
      <c r="Y62" s="6">
        <v>3.7978000000000001</v>
      </c>
      <c r="Z62" s="6">
        <v>2.9956</v>
      </c>
      <c r="AA62" s="6">
        <v>3.9388000000000001</v>
      </c>
      <c r="AB62" s="6">
        <v>3.18</v>
      </c>
      <c r="AC62" s="6"/>
      <c r="AD62" s="6">
        <f>G62*R62</f>
        <v>0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</row>
    <row r="63" spans="1:47" x14ac:dyDescent="0.25">
      <c r="A63" s="6" t="s">
        <v>111</v>
      </c>
      <c r="B63" s="6" t="s">
        <v>33</v>
      </c>
      <c r="C63" s="6"/>
      <c r="D63" s="6">
        <v>251</v>
      </c>
      <c r="E63" s="6">
        <v>79</v>
      </c>
      <c r="F63" s="6">
        <v>159</v>
      </c>
      <c r="G63" s="7">
        <v>0.3</v>
      </c>
      <c r="H63" s="6">
        <v>60</v>
      </c>
      <c r="I63" s="6" t="s">
        <v>34</v>
      </c>
      <c r="J63" s="6"/>
      <c r="K63" s="6">
        <v>133</v>
      </c>
      <c r="L63" s="6">
        <f t="shared" si="7"/>
        <v>-54</v>
      </c>
      <c r="M63" s="6"/>
      <c r="N63" s="6"/>
      <c r="O63" s="6">
        <v>52</v>
      </c>
      <c r="P63" s="6">
        <v>62</v>
      </c>
      <c r="Q63" s="6">
        <f t="shared" si="8"/>
        <v>15.8</v>
      </c>
      <c r="R63" s="8"/>
      <c r="S63" s="6">
        <f t="shared" si="9"/>
        <v>17.278481012658226</v>
      </c>
      <c r="T63" s="6">
        <f t="shared" si="10"/>
        <v>17.278481012658226</v>
      </c>
      <c r="U63" s="6">
        <v>24.4</v>
      </c>
      <c r="V63" s="6">
        <v>27.4</v>
      </c>
      <c r="W63" s="6">
        <v>18.399999999999999</v>
      </c>
      <c r="X63" s="6">
        <v>26.2</v>
      </c>
      <c r="Y63" s="6">
        <v>33.4</v>
      </c>
      <c r="Z63" s="6">
        <v>35.6</v>
      </c>
      <c r="AA63" s="6">
        <v>17.600000000000001</v>
      </c>
      <c r="AB63" s="6">
        <v>13.2</v>
      </c>
      <c r="AC63" s="6"/>
      <c r="AD63" s="6">
        <f>G63*R63</f>
        <v>0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</row>
    <row r="64" spans="1:47" x14ac:dyDescent="0.25">
      <c r="A64" s="6" t="s">
        <v>112</v>
      </c>
      <c r="B64" s="6" t="s">
        <v>33</v>
      </c>
      <c r="C64" s="6">
        <v>200</v>
      </c>
      <c r="D64" s="6">
        <v>2796</v>
      </c>
      <c r="E64" s="15">
        <f>885+E65</f>
        <v>889</v>
      </c>
      <c r="F64" s="15">
        <f>1736+F65</f>
        <v>1733</v>
      </c>
      <c r="G64" s="7">
        <v>0.41</v>
      </c>
      <c r="H64" s="6">
        <v>50</v>
      </c>
      <c r="I64" s="6" t="s">
        <v>34</v>
      </c>
      <c r="J64" s="6"/>
      <c r="K64" s="6">
        <v>1419</v>
      </c>
      <c r="L64" s="6">
        <f t="shared" si="7"/>
        <v>-530</v>
      </c>
      <c r="M64" s="6"/>
      <c r="N64" s="6"/>
      <c r="O64" s="6">
        <v>298</v>
      </c>
      <c r="P64" s="6">
        <v>350</v>
      </c>
      <c r="Q64" s="6">
        <f t="shared" si="8"/>
        <v>177.8</v>
      </c>
      <c r="R64" s="8"/>
      <c r="S64" s="6">
        <f t="shared" si="9"/>
        <v>13.391451068616423</v>
      </c>
      <c r="T64" s="6">
        <f t="shared" si="10"/>
        <v>13.391451068616423</v>
      </c>
      <c r="U64" s="6">
        <v>224.2</v>
      </c>
      <c r="V64" s="6">
        <v>325.39999999999998</v>
      </c>
      <c r="W64" s="6">
        <v>226.4</v>
      </c>
      <c r="X64" s="6">
        <v>282</v>
      </c>
      <c r="Y64" s="6">
        <v>262.39999999999998</v>
      </c>
      <c r="Z64" s="6">
        <v>228</v>
      </c>
      <c r="AA64" s="6">
        <v>234</v>
      </c>
      <c r="AB64" s="6">
        <v>316.39999999999998</v>
      </c>
      <c r="AC64" s="6"/>
      <c r="AD64" s="6">
        <f>G64*R64</f>
        <v>0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</row>
    <row r="65" spans="1:47" x14ac:dyDescent="0.25">
      <c r="A65" s="10" t="s">
        <v>113</v>
      </c>
      <c r="B65" s="10" t="s">
        <v>33</v>
      </c>
      <c r="C65" s="10">
        <v>1</v>
      </c>
      <c r="D65" s="10"/>
      <c r="E65" s="15">
        <v>4</v>
      </c>
      <c r="F65" s="15">
        <v>-3</v>
      </c>
      <c r="G65" s="11">
        <v>0</v>
      </c>
      <c r="H65" s="10"/>
      <c r="I65" s="10" t="s">
        <v>107</v>
      </c>
      <c r="J65" s="10" t="s">
        <v>112</v>
      </c>
      <c r="K65" s="10">
        <v>22</v>
      </c>
      <c r="L65" s="10">
        <f t="shared" si="7"/>
        <v>-18</v>
      </c>
      <c r="M65" s="10"/>
      <c r="N65" s="10"/>
      <c r="O65" s="10">
        <v>0</v>
      </c>
      <c r="P65" s="10"/>
      <c r="Q65" s="10">
        <f t="shared" si="8"/>
        <v>0.8</v>
      </c>
      <c r="R65" s="12"/>
      <c r="S65" s="10">
        <f t="shared" si="9"/>
        <v>-3.75</v>
      </c>
      <c r="T65" s="10">
        <f t="shared" si="10"/>
        <v>-3.75</v>
      </c>
      <c r="U65" s="10">
        <v>33.4</v>
      </c>
      <c r="V65" s="10">
        <v>184.6</v>
      </c>
      <c r="W65" s="10">
        <v>20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/>
      <c r="AD65" s="10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</row>
    <row r="66" spans="1:47" x14ac:dyDescent="0.25">
      <c r="A66" s="6" t="s">
        <v>108</v>
      </c>
      <c r="B66" s="6" t="s">
        <v>36</v>
      </c>
      <c r="C66" s="6">
        <v>465.98899999999998</v>
      </c>
      <c r="D66" s="6">
        <v>224.358</v>
      </c>
      <c r="E66" s="15">
        <f>330.133+E60+E106</f>
        <v>344.12799999999999</v>
      </c>
      <c r="F66" s="15">
        <f>331.888+F60+F106</f>
        <v>356.13</v>
      </c>
      <c r="G66" s="7">
        <v>1</v>
      </c>
      <c r="H66" s="6">
        <v>50</v>
      </c>
      <c r="I66" s="6" t="s">
        <v>34</v>
      </c>
      <c r="J66" s="6"/>
      <c r="K66" s="6">
        <v>393.4</v>
      </c>
      <c r="L66" s="6">
        <f t="shared" si="7"/>
        <v>-49.271999999999991</v>
      </c>
      <c r="M66" s="6"/>
      <c r="N66" s="6"/>
      <c r="O66" s="6">
        <v>103</v>
      </c>
      <c r="P66" s="6">
        <v>120</v>
      </c>
      <c r="Q66" s="6">
        <f t="shared" si="8"/>
        <v>68.825599999999994</v>
      </c>
      <c r="R66" s="8"/>
      <c r="S66" s="6">
        <f t="shared" si="9"/>
        <v>8.4144562488376433</v>
      </c>
      <c r="T66" s="6">
        <f t="shared" si="10"/>
        <v>8.4144562488376433</v>
      </c>
      <c r="U66" s="6">
        <v>62.052600000000012</v>
      </c>
      <c r="V66" s="6">
        <v>67.328400000000002</v>
      </c>
      <c r="W66" s="6">
        <v>75.135400000000004</v>
      </c>
      <c r="X66" s="6">
        <v>94.911000000000001</v>
      </c>
      <c r="Y66" s="6">
        <v>43.7624</v>
      </c>
      <c r="Z66" s="6">
        <v>79.599999999999994</v>
      </c>
      <c r="AA66" s="6">
        <v>20.056000000000001</v>
      </c>
      <c r="AB66" s="6">
        <v>51.692399999999999</v>
      </c>
      <c r="AC66" s="6"/>
      <c r="AD66" s="6">
        <f t="shared" ref="AD66:AD71" si="12">G66*R66</f>
        <v>0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</row>
    <row r="67" spans="1:47" x14ac:dyDescent="0.25">
      <c r="A67" s="6" t="s">
        <v>114</v>
      </c>
      <c r="B67" s="6" t="s">
        <v>33</v>
      </c>
      <c r="C67" s="6">
        <v>25</v>
      </c>
      <c r="D67" s="6">
        <v>79</v>
      </c>
      <c r="E67" s="6">
        <v>47</v>
      </c>
      <c r="F67" s="6">
        <v>37</v>
      </c>
      <c r="G67" s="7">
        <v>0.35</v>
      </c>
      <c r="H67" s="6">
        <v>50</v>
      </c>
      <c r="I67" s="6" t="s">
        <v>34</v>
      </c>
      <c r="J67" s="6"/>
      <c r="K67" s="6">
        <v>69</v>
      </c>
      <c r="L67" s="6">
        <f t="shared" si="7"/>
        <v>-22</v>
      </c>
      <c r="M67" s="6"/>
      <c r="N67" s="6"/>
      <c r="O67" s="6">
        <v>26</v>
      </c>
      <c r="P67" s="6"/>
      <c r="Q67" s="6">
        <f t="shared" si="8"/>
        <v>9.4</v>
      </c>
      <c r="R67" s="8"/>
      <c r="S67" s="6">
        <f t="shared" si="9"/>
        <v>6.7021276595744679</v>
      </c>
      <c r="T67" s="6">
        <f t="shared" si="10"/>
        <v>6.7021276595744679</v>
      </c>
      <c r="U67" s="6">
        <v>8</v>
      </c>
      <c r="V67" s="6">
        <v>9.8000000000000007</v>
      </c>
      <c r="W67" s="6">
        <v>10</v>
      </c>
      <c r="X67" s="6">
        <v>9.4</v>
      </c>
      <c r="Y67" s="6">
        <v>8</v>
      </c>
      <c r="Z67" s="6">
        <v>7.6</v>
      </c>
      <c r="AA67" s="6">
        <v>12.6</v>
      </c>
      <c r="AB67" s="6">
        <v>5.4</v>
      </c>
      <c r="AC67" s="6"/>
      <c r="AD67" s="6">
        <f t="shared" si="12"/>
        <v>0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</row>
    <row r="68" spans="1:47" x14ac:dyDescent="0.25">
      <c r="A68" s="6" t="s">
        <v>115</v>
      </c>
      <c r="B68" s="6" t="s">
        <v>33</v>
      </c>
      <c r="C68" s="6">
        <v>864</v>
      </c>
      <c r="D68" s="6">
        <v>609</v>
      </c>
      <c r="E68" s="6">
        <v>257</v>
      </c>
      <c r="F68" s="6">
        <v>145</v>
      </c>
      <c r="G68" s="7">
        <v>0.41</v>
      </c>
      <c r="H68" s="6">
        <v>50</v>
      </c>
      <c r="I68" s="6" t="s">
        <v>48</v>
      </c>
      <c r="J68" s="6"/>
      <c r="K68" s="6">
        <v>938</v>
      </c>
      <c r="L68" s="6">
        <f t="shared" si="7"/>
        <v>-681</v>
      </c>
      <c r="M68" s="6"/>
      <c r="N68" s="6"/>
      <c r="O68" s="6">
        <v>184</v>
      </c>
      <c r="P68" s="6">
        <v>216</v>
      </c>
      <c r="Q68" s="6">
        <f t="shared" si="8"/>
        <v>51.4</v>
      </c>
      <c r="R68" s="8"/>
      <c r="S68" s="6">
        <f t="shared" si="9"/>
        <v>10.603112840466926</v>
      </c>
      <c r="T68" s="6">
        <f t="shared" si="10"/>
        <v>10.603112840466926</v>
      </c>
      <c r="U68" s="6">
        <v>131.80000000000001</v>
      </c>
      <c r="V68" s="6">
        <v>48</v>
      </c>
      <c r="W68" s="6">
        <v>131.4</v>
      </c>
      <c r="X68" s="6">
        <v>124</v>
      </c>
      <c r="Y68" s="6">
        <v>154.19999999999999</v>
      </c>
      <c r="Z68" s="6">
        <v>270.60000000000002</v>
      </c>
      <c r="AA68" s="6">
        <v>133</v>
      </c>
      <c r="AB68" s="6">
        <v>136.80000000000001</v>
      </c>
      <c r="AC68" s="6" t="s">
        <v>116</v>
      </c>
      <c r="AD68" s="6">
        <f t="shared" si="12"/>
        <v>0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</row>
    <row r="69" spans="1:47" x14ac:dyDescent="0.25">
      <c r="A69" s="6" t="s">
        <v>117</v>
      </c>
      <c r="B69" s="6" t="s">
        <v>36</v>
      </c>
      <c r="C69" s="6">
        <v>160.78899999999999</v>
      </c>
      <c r="D69" s="6">
        <v>23.260999999999999</v>
      </c>
      <c r="E69" s="6">
        <v>52.436</v>
      </c>
      <c r="F69" s="6">
        <v>111.125</v>
      </c>
      <c r="G69" s="7">
        <v>1</v>
      </c>
      <c r="H69" s="6">
        <v>50</v>
      </c>
      <c r="I69" s="6" t="s">
        <v>34</v>
      </c>
      <c r="J69" s="6"/>
      <c r="K69" s="6">
        <v>66.099999999999994</v>
      </c>
      <c r="L69" s="6">
        <f t="shared" si="7"/>
        <v>-13.663999999999994</v>
      </c>
      <c r="M69" s="6"/>
      <c r="N69" s="6"/>
      <c r="O69" s="6">
        <v>52</v>
      </c>
      <c r="P69" s="6">
        <v>62</v>
      </c>
      <c r="Q69" s="6">
        <f t="shared" si="8"/>
        <v>10.4872</v>
      </c>
      <c r="R69" s="8"/>
      <c r="S69" s="6">
        <f t="shared" si="9"/>
        <v>21.466645053017011</v>
      </c>
      <c r="T69" s="6">
        <f t="shared" si="10"/>
        <v>21.466645053017011</v>
      </c>
      <c r="U69" s="6">
        <v>19.265799999999999</v>
      </c>
      <c r="V69" s="6">
        <v>18.461200000000002</v>
      </c>
      <c r="W69" s="6">
        <v>25.2182</v>
      </c>
      <c r="X69" s="6">
        <v>39</v>
      </c>
      <c r="Y69" s="6">
        <v>44.2</v>
      </c>
      <c r="Z69" s="6">
        <v>23.9648</v>
      </c>
      <c r="AA69" s="6">
        <v>22.8184</v>
      </c>
      <c r="AB69" s="6">
        <v>27.2654</v>
      </c>
      <c r="AC69" s="6"/>
      <c r="AD69" s="6">
        <f t="shared" si="12"/>
        <v>0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</row>
    <row r="70" spans="1:47" x14ac:dyDescent="0.25">
      <c r="A70" s="6" t="s">
        <v>118</v>
      </c>
      <c r="B70" s="6" t="s">
        <v>33</v>
      </c>
      <c r="C70" s="6"/>
      <c r="D70" s="6">
        <v>56</v>
      </c>
      <c r="E70" s="6">
        <v>43</v>
      </c>
      <c r="F70" s="6">
        <v>-1</v>
      </c>
      <c r="G70" s="7">
        <v>0.3</v>
      </c>
      <c r="H70" s="6">
        <v>50</v>
      </c>
      <c r="I70" s="6" t="s">
        <v>34</v>
      </c>
      <c r="J70" s="6"/>
      <c r="K70" s="6">
        <v>163</v>
      </c>
      <c r="L70" s="6">
        <f t="shared" ref="L70:L101" si="13">E70-K70</f>
        <v>-120</v>
      </c>
      <c r="M70" s="6"/>
      <c r="N70" s="6"/>
      <c r="O70" s="6">
        <v>16</v>
      </c>
      <c r="P70" s="6"/>
      <c r="Q70" s="6">
        <f t="shared" ref="Q70:Q101" si="14">E70/5</f>
        <v>8.6</v>
      </c>
      <c r="R70" s="8"/>
      <c r="S70" s="6">
        <f t="shared" ref="S70:S101" si="15">(F70+O70+P70+R70)/Q70</f>
        <v>1.7441860465116279</v>
      </c>
      <c r="T70" s="6">
        <f t="shared" ref="T70:T101" si="16">(F70+O70+P70)/Q70</f>
        <v>1.7441860465116279</v>
      </c>
      <c r="U70" s="6">
        <v>4.4000000000000004</v>
      </c>
      <c r="V70" s="6">
        <v>-0.6</v>
      </c>
      <c r="W70" s="6">
        <v>3</v>
      </c>
      <c r="X70" s="6">
        <v>-0.6</v>
      </c>
      <c r="Y70" s="6">
        <v>7.2</v>
      </c>
      <c r="Z70" s="6">
        <v>39.799999999999997</v>
      </c>
      <c r="AA70" s="6">
        <v>10.6</v>
      </c>
      <c r="AB70" s="6">
        <v>1.2</v>
      </c>
      <c r="AC70" s="6"/>
      <c r="AD70" s="6">
        <f t="shared" si="12"/>
        <v>0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</row>
    <row r="71" spans="1:47" x14ac:dyDescent="0.25">
      <c r="A71" s="6" t="s">
        <v>119</v>
      </c>
      <c r="B71" s="6" t="s">
        <v>33</v>
      </c>
      <c r="C71" s="6">
        <v>89</v>
      </c>
      <c r="D71" s="6">
        <v>360</v>
      </c>
      <c r="E71" s="6">
        <v>330</v>
      </c>
      <c r="F71" s="6">
        <v>90</v>
      </c>
      <c r="G71" s="7">
        <v>0.18</v>
      </c>
      <c r="H71" s="6">
        <v>50</v>
      </c>
      <c r="I71" s="6" t="s">
        <v>34</v>
      </c>
      <c r="J71" s="6"/>
      <c r="K71" s="6">
        <v>409</v>
      </c>
      <c r="L71" s="6">
        <f t="shared" si="13"/>
        <v>-79</v>
      </c>
      <c r="M71" s="6"/>
      <c r="N71" s="6"/>
      <c r="O71" s="6">
        <v>156</v>
      </c>
      <c r="P71" s="6">
        <v>183</v>
      </c>
      <c r="Q71" s="6">
        <f t="shared" si="14"/>
        <v>66</v>
      </c>
      <c r="R71" s="8"/>
      <c r="S71" s="6">
        <f t="shared" si="15"/>
        <v>6.5</v>
      </c>
      <c r="T71" s="6">
        <f t="shared" si="16"/>
        <v>6.5</v>
      </c>
      <c r="U71" s="6">
        <v>52.6</v>
      </c>
      <c r="V71" s="6">
        <v>48.4</v>
      </c>
      <c r="W71" s="6">
        <v>41.2</v>
      </c>
      <c r="X71" s="6">
        <v>48.6</v>
      </c>
      <c r="Y71" s="6">
        <v>28</v>
      </c>
      <c r="Z71" s="6">
        <v>25.8</v>
      </c>
      <c r="AA71" s="6">
        <v>49.4</v>
      </c>
      <c r="AB71" s="6">
        <v>15.2</v>
      </c>
      <c r="AC71" s="6"/>
      <c r="AD71" s="6">
        <f t="shared" si="12"/>
        <v>0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</row>
    <row r="72" spans="1:47" x14ac:dyDescent="0.25">
      <c r="A72" s="10" t="s">
        <v>120</v>
      </c>
      <c r="B72" s="10" t="s">
        <v>33</v>
      </c>
      <c r="C72" s="10"/>
      <c r="D72" s="10"/>
      <c r="E72" s="10">
        <v>8</v>
      </c>
      <c r="F72" s="10">
        <v>-8</v>
      </c>
      <c r="G72" s="11">
        <v>0</v>
      </c>
      <c r="H72" s="10">
        <v>120</v>
      </c>
      <c r="I72" s="10" t="s">
        <v>57</v>
      </c>
      <c r="J72" s="10"/>
      <c r="K72" s="10">
        <v>14</v>
      </c>
      <c r="L72" s="10">
        <f t="shared" si="13"/>
        <v>-6</v>
      </c>
      <c r="M72" s="10"/>
      <c r="N72" s="10"/>
      <c r="O72" s="10">
        <v>24</v>
      </c>
      <c r="P72" s="10"/>
      <c r="Q72" s="10">
        <f t="shared" si="14"/>
        <v>1.6</v>
      </c>
      <c r="R72" s="12"/>
      <c r="S72" s="10">
        <f t="shared" si="15"/>
        <v>10</v>
      </c>
      <c r="T72" s="10">
        <f t="shared" si="16"/>
        <v>10</v>
      </c>
      <c r="U72" s="10">
        <v>0</v>
      </c>
      <c r="V72" s="10">
        <v>1.4</v>
      </c>
      <c r="W72" s="10">
        <v>1.8</v>
      </c>
      <c r="X72" s="10">
        <v>3</v>
      </c>
      <c r="Y72" s="10">
        <v>2.4</v>
      </c>
      <c r="Z72" s="10">
        <v>2.4</v>
      </c>
      <c r="AA72" s="10">
        <v>1.6</v>
      </c>
      <c r="AB72" s="10">
        <v>5.2</v>
      </c>
      <c r="AC72" s="10" t="s">
        <v>37</v>
      </c>
      <c r="AD72" s="10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</row>
    <row r="73" spans="1:47" x14ac:dyDescent="0.25">
      <c r="A73" s="6" t="s">
        <v>121</v>
      </c>
      <c r="B73" s="6" t="s">
        <v>33</v>
      </c>
      <c r="C73" s="6">
        <v>747</v>
      </c>
      <c r="D73" s="6">
        <v>1447</v>
      </c>
      <c r="E73" s="6">
        <v>620</v>
      </c>
      <c r="F73" s="6">
        <v>1343</v>
      </c>
      <c r="G73" s="7">
        <v>0.35</v>
      </c>
      <c r="H73" s="6">
        <v>50</v>
      </c>
      <c r="I73" s="6" t="s">
        <v>34</v>
      </c>
      <c r="J73" s="6"/>
      <c r="K73" s="6">
        <v>893</v>
      </c>
      <c r="L73" s="6">
        <f t="shared" si="13"/>
        <v>-273</v>
      </c>
      <c r="M73" s="6"/>
      <c r="N73" s="6"/>
      <c r="O73" s="6">
        <v>0</v>
      </c>
      <c r="P73" s="6"/>
      <c r="Q73" s="6">
        <f t="shared" si="14"/>
        <v>124</v>
      </c>
      <c r="R73" s="8"/>
      <c r="S73" s="6">
        <f t="shared" si="15"/>
        <v>10.830645161290322</v>
      </c>
      <c r="T73" s="6">
        <f t="shared" si="16"/>
        <v>10.830645161290322</v>
      </c>
      <c r="U73" s="6">
        <v>132.19999999999999</v>
      </c>
      <c r="V73" s="6">
        <v>175.6</v>
      </c>
      <c r="W73" s="6">
        <v>149.80000000000001</v>
      </c>
      <c r="X73" s="6">
        <v>176.6688</v>
      </c>
      <c r="Y73" s="6">
        <v>152.4</v>
      </c>
      <c r="Z73" s="6">
        <v>142.6</v>
      </c>
      <c r="AA73" s="6">
        <v>166</v>
      </c>
      <c r="AB73" s="6">
        <v>139</v>
      </c>
      <c r="AC73" s="6"/>
      <c r="AD73" s="6">
        <f>G73*R73</f>
        <v>0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</row>
    <row r="74" spans="1:47" x14ac:dyDescent="0.25">
      <c r="A74" s="6" t="s">
        <v>122</v>
      </c>
      <c r="B74" s="6" t="s">
        <v>36</v>
      </c>
      <c r="C74" s="6">
        <v>115.035</v>
      </c>
      <c r="D74" s="6">
        <v>109.806</v>
      </c>
      <c r="E74" s="6">
        <v>146.47</v>
      </c>
      <c r="F74" s="6">
        <v>75.039000000000001</v>
      </c>
      <c r="G74" s="7">
        <v>1</v>
      </c>
      <c r="H74" s="6">
        <v>50</v>
      </c>
      <c r="I74" s="6" t="s">
        <v>34</v>
      </c>
      <c r="J74" s="6"/>
      <c r="K74" s="6">
        <v>156.30000000000001</v>
      </c>
      <c r="L74" s="6">
        <f t="shared" si="13"/>
        <v>-9.8300000000000125</v>
      </c>
      <c r="M74" s="6"/>
      <c r="N74" s="6"/>
      <c r="O74" s="6">
        <v>81</v>
      </c>
      <c r="P74" s="6"/>
      <c r="Q74" s="6">
        <f t="shared" si="14"/>
        <v>29.294</v>
      </c>
      <c r="R74" s="8"/>
      <c r="S74" s="6">
        <f t="shared" si="15"/>
        <v>5.3266539223049083</v>
      </c>
      <c r="T74" s="6">
        <f t="shared" si="16"/>
        <v>5.3266539223049083</v>
      </c>
      <c r="U74" s="6">
        <v>20.121400000000001</v>
      </c>
      <c r="V74" s="6">
        <v>21.1388</v>
      </c>
      <c r="W74" s="6">
        <v>21.977599999999999</v>
      </c>
      <c r="X74" s="6">
        <v>24.486999999999998</v>
      </c>
      <c r="Y74" s="6">
        <v>16.852399999999999</v>
      </c>
      <c r="Z74" s="6">
        <v>27.894400000000001</v>
      </c>
      <c r="AA74" s="6">
        <v>17.2348</v>
      </c>
      <c r="AB74" s="6">
        <v>19.504200000000001</v>
      </c>
      <c r="AC74" s="6"/>
      <c r="AD74" s="6">
        <f>G74*R74</f>
        <v>0</v>
      </c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</row>
    <row r="75" spans="1:47" x14ac:dyDescent="0.25">
      <c r="A75" s="10" t="s">
        <v>123</v>
      </c>
      <c r="B75" s="10" t="s">
        <v>33</v>
      </c>
      <c r="C75" s="10">
        <v>14</v>
      </c>
      <c r="D75" s="10"/>
      <c r="E75" s="10"/>
      <c r="F75" s="10">
        <v>14</v>
      </c>
      <c r="G75" s="11">
        <v>0</v>
      </c>
      <c r="H75" s="10">
        <v>50</v>
      </c>
      <c r="I75" s="10" t="s">
        <v>57</v>
      </c>
      <c r="J75" s="10"/>
      <c r="K75" s="10"/>
      <c r="L75" s="10">
        <f t="shared" si="13"/>
        <v>0</v>
      </c>
      <c r="M75" s="10"/>
      <c r="N75" s="10"/>
      <c r="O75" s="10">
        <v>0</v>
      </c>
      <c r="P75" s="10"/>
      <c r="Q75" s="10">
        <f t="shared" si="14"/>
        <v>0</v>
      </c>
      <c r="R75" s="12"/>
      <c r="S75" s="10" t="e">
        <f t="shared" si="15"/>
        <v>#DIV/0!</v>
      </c>
      <c r="T75" s="10" t="e">
        <f t="shared" si="16"/>
        <v>#DIV/0!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4" t="s">
        <v>46</v>
      </c>
      <c r="AD75" s="10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</row>
    <row r="76" spans="1:47" x14ac:dyDescent="0.25">
      <c r="A76" s="6" t="s">
        <v>124</v>
      </c>
      <c r="B76" s="6" t="s">
        <v>36</v>
      </c>
      <c r="C76" s="6">
        <v>256.61799999999999</v>
      </c>
      <c r="D76" s="6">
        <v>214.446</v>
      </c>
      <c r="E76" s="6">
        <v>281.75099999999998</v>
      </c>
      <c r="F76" s="6">
        <v>128.625</v>
      </c>
      <c r="G76" s="7">
        <v>1</v>
      </c>
      <c r="H76" s="6">
        <v>50</v>
      </c>
      <c r="I76" s="6" t="s">
        <v>34</v>
      </c>
      <c r="J76" s="6"/>
      <c r="K76" s="6">
        <v>306.2</v>
      </c>
      <c r="L76" s="6">
        <f t="shared" si="13"/>
        <v>-24.449000000000012</v>
      </c>
      <c r="M76" s="6"/>
      <c r="N76" s="6"/>
      <c r="O76" s="6">
        <v>162</v>
      </c>
      <c r="P76" s="6">
        <v>191</v>
      </c>
      <c r="Q76" s="6">
        <f t="shared" si="14"/>
        <v>56.350199999999994</v>
      </c>
      <c r="R76" s="8"/>
      <c r="S76" s="6">
        <f t="shared" si="15"/>
        <v>8.5469971712611503</v>
      </c>
      <c r="T76" s="6">
        <f t="shared" si="16"/>
        <v>8.5469971712611503</v>
      </c>
      <c r="U76" s="6">
        <v>53.830199999999998</v>
      </c>
      <c r="V76" s="6">
        <v>48.284999999999989</v>
      </c>
      <c r="W76" s="6">
        <v>52.988399999999999</v>
      </c>
      <c r="X76" s="6">
        <v>77.6614</v>
      </c>
      <c r="Y76" s="6">
        <v>51.933399999999992</v>
      </c>
      <c r="Z76" s="6">
        <v>61.083799999999997</v>
      </c>
      <c r="AA76" s="6">
        <v>50.800600000000003</v>
      </c>
      <c r="AB76" s="6">
        <v>63.891399999999997</v>
      </c>
      <c r="AC76" s="6"/>
      <c r="AD76" s="6">
        <f t="shared" ref="AD76:AD84" si="17">G76*R76</f>
        <v>0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</row>
    <row r="77" spans="1:47" x14ac:dyDescent="0.25">
      <c r="A77" s="6" t="s">
        <v>125</v>
      </c>
      <c r="B77" s="6" t="s">
        <v>33</v>
      </c>
      <c r="C77" s="6">
        <v>331</v>
      </c>
      <c r="D77" s="6">
        <v>1924</v>
      </c>
      <c r="E77" s="6">
        <v>663</v>
      </c>
      <c r="F77" s="6">
        <v>1062</v>
      </c>
      <c r="G77" s="7">
        <v>0.35</v>
      </c>
      <c r="H77" s="6">
        <v>50</v>
      </c>
      <c r="I77" s="6" t="s">
        <v>34</v>
      </c>
      <c r="J77" s="6"/>
      <c r="K77" s="6">
        <v>1101</v>
      </c>
      <c r="L77" s="6">
        <f t="shared" si="13"/>
        <v>-438</v>
      </c>
      <c r="M77" s="6"/>
      <c r="N77" s="6"/>
      <c r="O77" s="6">
        <v>244</v>
      </c>
      <c r="P77" s="6">
        <v>287</v>
      </c>
      <c r="Q77" s="6">
        <f t="shared" si="14"/>
        <v>132.6</v>
      </c>
      <c r="R77" s="8"/>
      <c r="S77" s="6">
        <f t="shared" si="15"/>
        <v>12.013574660633484</v>
      </c>
      <c r="T77" s="6">
        <f t="shared" si="16"/>
        <v>12.013574660633484</v>
      </c>
      <c r="U77" s="6">
        <v>161.6</v>
      </c>
      <c r="V77" s="6">
        <v>172.8</v>
      </c>
      <c r="W77" s="6">
        <v>140.2818</v>
      </c>
      <c r="X77" s="6">
        <v>173.4</v>
      </c>
      <c r="Y77" s="6">
        <v>162.80000000000001</v>
      </c>
      <c r="Z77" s="6">
        <v>250.2</v>
      </c>
      <c r="AA77" s="6">
        <v>195.6</v>
      </c>
      <c r="AB77" s="6">
        <v>125.8</v>
      </c>
      <c r="AC77" s="6"/>
      <c r="AD77" s="6">
        <f t="shared" si="17"/>
        <v>0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</row>
    <row r="78" spans="1:47" x14ac:dyDescent="0.25">
      <c r="A78" s="6" t="s">
        <v>126</v>
      </c>
      <c r="B78" s="6" t="s">
        <v>33</v>
      </c>
      <c r="C78" s="6">
        <v>144</v>
      </c>
      <c r="D78" s="6">
        <v>106</v>
      </c>
      <c r="E78" s="6">
        <v>81</v>
      </c>
      <c r="F78" s="6">
        <v>144</v>
      </c>
      <c r="G78" s="7">
        <v>0.3</v>
      </c>
      <c r="H78" s="6">
        <v>50</v>
      </c>
      <c r="I78" s="6" t="s">
        <v>34</v>
      </c>
      <c r="J78" s="6"/>
      <c r="K78" s="6">
        <v>104</v>
      </c>
      <c r="L78" s="6">
        <f t="shared" si="13"/>
        <v>-23</v>
      </c>
      <c r="M78" s="6"/>
      <c r="N78" s="6"/>
      <c r="O78" s="6">
        <v>20</v>
      </c>
      <c r="P78" s="6"/>
      <c r="Q78" s="6">
        <f t="shared" si="14"/>
        <v>16.2</v>
      </c>
      <c r="R78" s="8"/>
      <c r="S78" s="6">
        <f t="shared" si="15"/>
        <v>10.123456790123457</v>
      </c>
      <c r="T78" s="6">
        <f t="shared" si="16"/>
        <v>10.123456790123457</v>
      </c>
      <c r="U78" s="6">
        <v>17</v>
      </c>
      <c r="V78" s="6">
        <v>22</v>
      </c>
      <c r="W78" s="6">
        <v>20.6</v>
      </c>
      <c r="X78" s="6">
        <v>1</v>
      </c>
      <c r="Y78" s="6">
        <v>0</v>
      </c>
      <c r="Z78" s="6">
        <v>0</v>
      </c>
      <c r="AA78" s="6">
        <v>0</v>
      </c>
      <c r="AB78" s="6">
        <v>17.8</v>
      </c>
      <c r="AC78" s="6"/>
      <c r="AD78" s="6">
        <f t="shared" si="17"/>
        <v>0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</row>
    <row r="79" spans="1:47" x14ac:dyDescent="0.25">
      <c r="A79" s="6" t="s">
        <v>127</v>
      </c>
      <c r="B79" s="6" t="s">
        <v>33</v>
      </c>
      <c r="C79" s="6">
        <v>97</v>
      </c>
      <c r="D79" s="6"/>
      <c r="E79" s="6">
        <v>39</v>
      </c>
      <c r="F79" s="6">
        <v>54</v>
      </c>
      <c r="G79" s="7">
        <v>0.3</v>
      </c>
      <c r="H79" s="6">
        <v>60</v>
      </c>
      <c r="I79" s="6" t="s">
        <v>34</v>
      </c>
      <c r="J79" s="6"/>
      <c r="K79" s="6">
        <v>66</v>
      </c>
      <c r="L79" s="6">
        <f t="shared" si="13"/>
        <v>-27</v>
      </c>
      <c r="M79" s="6"/>
      <c r="N79" s="6"/>
      <c r="O79" s="6">
        <v>46</v>
      </c>
      <c r="P79" s="6"/>
      <c r="Q79" s="6">
        <f t="shared" si="14"/>
        <v>7.8</v>
      </c>
      <c r="R79" s="8"/>
      <c r="S79" s="6">
        <f t="shared" si="15"/>
        <v>12.820512820512821</v>
      </c>
      <c r="T79" s="6">
        <f t="shared" si="16"/>
        <v>12.820512820512821</v>
      </c>
      <c r="U79" s="6">
        <v>11</v>
      </c>
      <c r="V79" s="6">
        <v>10.8</v>
      </c>
      <c r="W79" s="6">
        <v>14.2</v>
      </c>
      <c r="X79" s="6">
        <v>15</v>
      </c>
      <c r="Y79" s="6">
        <v>7.6</v>
      </c>
      <c r="Z79" s="6">
        <v>19</v>
      </c>
      <c r="AA79" s="6">
        <v>10.199999999999999</v>
      </c>
      <c r="AB79" s="6">
        <v>9.6</v>
      </c>
      <c r="AC79" s="6"/>
      <c r="AD79" s="6">
        <f t="shared" si="17"/>
        <v>0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</row>
    <row r="80" spans="1:47" x14ac:dyDescent="0.25">
      <c r="A80" s="6" t="s">
        <v>128</v>
      </c>
      <c r="B80" s="6" t="s">
        <v>33</v>
      </c>
      <c r="C80" s="6">
        <v>82</v>
      </c>
      <c r="D80" s="6">
        <v>227</v>
      </c>
      <c r="E80" s="6">
        <v>146</v>
      </c>
      <c r="F80" s="6">
        <v>125</v>
      </c>
      <c r="G80" s="7">
        <v>0.28000000000000003</v>
      </c>
      <c r="H80" s="6">
        <v>50</v>
      </c>
      <c r="I80" s="6" t="s">
        <v>34</v>
      </c>
      <c r="J80" s="6"/>
      <c r="K80" s="6">
        <v>193</v>
      </c>
      <c r="L80" s="6">
        <f t="shared" si="13"/>
        <v>-47</v>
      </c>
      <c r="M80" s="6"/>
      <c r="N80" s="6"/>
      <c r="O80" s="6">
        <v>64</v>
      </c>
      <c r="P80" s="6"/>
      <c r="Q80" s="6">
        <f t="shared" si="14"/>
        <v>29.2</v>
      </c>
      <c r="R80" s="8"/>
      <c r="S80" s="6">
        <f t="shared" si="15"/>
        <v>6.4726027397260273</v>
      </c>
      <c r="T80" s="6">
        <f t="shared" si="16"/>
        <v>6.4726027397260273</v>
      </c>
      <c r="U80" s="6">
        <v>23</v>
      </c>
      <c r="V80" s="6">
        <v>27.2</v>
      </c>
      <c r="W80" s="6">
        <v>25.2</v>
      </c>
      <c r="X80" s="6">
        <v>32.6</v>
      </c>
      <c r="Y80" s="6">
        <v>18.8</v>
      </c>
      <c r="Z80" s="6">
        <v>33.6</v>
      </c>
      <c r="AA80" s="6">
        <v>27</v>
      </c>
      <c r="AB80" s="6">
        <v>37</v>
      </c>
      <c r="AC80" s="6"/>
      <c r="AD80" s="6">
        <f t="shared" si="17"/>
        <v>0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</row>
    <row r="81" spans="1:47" x14ac:dyDescent="0.25">
      <c r="A81" s="6" t="s">
        <v>129</v>
      </c>
      <c r="B81" s="6" t="s">
        <v>33</v>
      </c>
      <c r="C81" s="6">
        <v>223</v>
      </c>
      <c r="D81" s="6">
        <v>130</v>
      </c>
      <c r="E81" s="6">
        <v>286</v>
      </c>
      <c r="F81" s="6">
        <v>12</v>
      </c>
      <c r="G81" s="7">
        <v>0.28000000000000003</v>
      </c>
      <c r="H81" s="6">
        <v>45</v>
      </c>
      <c r="I81" s="6" t="s">
        <v>34</v>
      </c>
      <c r="J81" s="6"/>
      <c r="K81" s="6">
        <v>366</v>
      </c>
      <c r="L81" s="6">
        <f t="shared" si="13"/>
        <v>-80</v>
      </c>
      <c r="M81" s="6"/>
      <c r="N81" s="6"/>
      <c r="O81" s="6">
        <v>170</v>
      </c>
      <c r="P81" s="6">
        <v>199</v>
      </c>
      <c r="Q81" s="6">
        <f t="shared" si="14"/>
        <v>57.2</v>
      </c>
      <c r="R81" s="8"/>
      <c r="S81" s="6">
        <f t="shared" si="15"/>
        <v>6.6608391608391608</v>
      </c>
      <c r="T81" s="6">
        <f t="shared" si="16"/>
        <v>6.6608391608391608</v>
      </c>
      <c r="U81" s="6">
        <v>46.6</v>
      </c>
      <c r="V81" s="6">
        <v>39</v>
      </c>
      <c r="W81" s="6">
        <v>8.4</v>
      </c>
      <c r="X81" s="6">
        <v>60.4</v>
      </c>
      <c r="Y81" s="6">
        <v>40.799999999999997</v>
      </c>
      <c r="Z81" s="6">
        <v>41.2</v>
      </c>
      <c r="AA81" s="6">
        <v>42.6</v>
      </c>
      <c r="AB81" s="6">
        <v>22.4</v>
      </c>
      <c r="AC81" s="6"/>
      <c r="AD81" s="6">
        <f t="shared" si="17"/>
        <v>0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</row>
    <row r="82" spans="1:47" x14ac:dyDescent="0.25">
      <c r="A82" s="6" t="s">
        <v>130</v>
      </c>
      <c r="B82" s="6" t="s">
        <v>33</v>
      </c>
      <c r="C82" s="6">
        <v>1</v>
      </c>
      <c r="D82" s="6">
        <v>163</v>
      </c>
      <c r="E82" s="6">
        <v>34</v>
      </c>
      <c r="F82" s="6">
        <v>110</v>
      </c>
      <c r="G82" s="7">
        <v>0.28000000000000003</v>
      </c>
      <c r="H82" s="6">
        <v>45</v>
      </c>
      <c r="I82" s="6" t="s">
        <v>34</v>
      </c>
      <c r="J82" s="6"/>
      <c r="K82" s="6">
        <v>57</v>
      </c>
      <c r="L82" s="6">
        <f t="shared" si="13"/>
        <v>-23</v>
      </c>
      <c r="M82" s="6"/>
      <c r="N82" s="6"/>
      <c r="O82" s="6">
        <v>35</v>
      </c>
      <c r="P82" s="6"/>
      <c r="Q82" s="6">
        <f t="shared" si="14"/>
        <v>6.8</v>
      </c>
      <c r="R82" s="8"/>
      <c r="S82" s="6">
        <f t="shared" si="15"/>
        <v>21.323529411764707</v>
      </c>
      <c r="T82" s="6">
        <f t="shared" si="16"/>
        <v>21.323529411764707</v>
      </c>
      <c r="U82" s="6">
        <v>12.6</v>
      </c>
      <c r="V82" s="6">
        <v>14.6</v>
      </c>
      <c r="W82" s="6">
        <v>9.1999999999999993</v>
      </c>
      <c r="X82" s="6">
        <v>10.8</v>
      </c>
      <c r="Y82" s="6">
        <v>17.600000000000001</v>
      </c>
      <c r="Z82" s="6">
        <v>12</v>
      </c>
      <c r="AA82" s="6">
        <v>16.399999999999999</v>
      </c>
      <c r="AB82" s="6">
        <v>18.600000000000001</v>
      </c>
      <c r="AC82" s="6"/>
      <c r="AD82" s="6">
        <f t="shared" si="17"/>
        <v>0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</row>
    <row r="83" spans="1:47" x14ac:dyDescent="0.25">
      <c r="A83" s="6" t="s">
        <v>131</v>
      </c>
      <c r="B83" s="6" t="s">
        <v>33</v>
      </c>
      <c r="C83" s="6">
        <v>193</v>
      </c>
      <c r="D83" s="6">
        <v>359</v>
      </c>
      <c r="E83" s="6">
        <v>206</v>
      </c>
      <c r="F83" s="6">
        <v>282</v>
      </c>
      <c r="G83" s="7">
        <v>0.28000000000000003</v>
      </c>
      <c r="H83" s="6">
        <v>45</v>
      </c>
      <c r="I83" s="6" t="s">
        <v>34</v>
      </c>
      <c r="J83" s="6"/>
      <c r="K83" s="6">
        <v>343</v>
      </c>
      <c r="L83" s="6">
        <f t="shared" si="13"/>
        <v>-137</v>
      </c>
      <c r="M83" s="6"/>
      <c r="N83" s="6"/>
      <c r="O83" s="6">
        <v>0</v>
      </c>
      <c r="P83" s="6"/>
      <c r="Q83" s="6">
        <f t="shared" si="14"/>
        <v>41.2</v>
      </c>
      <c r="R83" s="8"/>
      <c r="S83" s="6">
        <f t="shared" si="15"/>
        <v>6.8446601941747565</v>
      </c>
      <c r="T83" s="6">
        <f t="shared" si="16"/>
        <v>6.8446601941747565</v>
      </c>
      <c r="U83" s="6">
        <v>34</v>
      </c>
      <c r="V83" s="6">
        <v>45.8</v>
      </c>
      <c r="W83" s="6">
        <v>23.4</v>
      </c>
      <c r="X83" s="6">
        <v>51</v>
      </c>
      <c r="Y83" s="6">
        <v>34</v>
      </c>
      <c r="Z83" s="6">
        <v>10.8</v>
      </c>
      <c r="AA83" s="6">
        <v>50.6</v>
      </c>
      <c r="AB83" s="6">
        <v>9.1999999999999993</v>
      </c>
      <c r="AC83" s="6"/>
      <c r="AD83" s="6">
        <f t="shared" si="17"/>
        <v>0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</row>
    <row r="84" spans="1:47" x14ac:dyDescent="0.25">
      <c r="A84" s="6" t="s">
        <v>132</v>
      </c>
      <c r="B84" s="6" t="s">
        <v>33</v>
      </c>
      <c r="C84" s="6">
        <v>482</v>
      </c>
      <c r="D84" s="6">
        <v>72</v>
      </c>
      <c r="E84" s="6">
        <v>340</v>
      </c>
      <c r="F84" s="6">
        <v>116</v>
      </c>
      <c r="G84" s="7">
        <v>0.4</v>
      </c>
      <c r="H84" s="6">
        <v>50</v>
      </c>
      <c r="I84" s="6" t="s">
        <v>34</v>
      </c>
      <c r="J84" s="6"/>
      <c r="K84" s="6">
        <v>478</v>
      </c>
      <c r="L84" s="6">
        <f t="shared" si="13"/>
        <v>-138</v>
      </c>
      <c r="M84" s="6"/>
      <c r="N84" s="6"/>
      <c r="O84" s="6">
        <v>174</v>
      </c>
      <c r="P84" s="6">
        <v>205</v>
      </c>
      <c r="Q84" s="6">
        <f t="shared" si="14"/>
        <v>68</v>
      </c>
      <c r="R84" s="8"/>
      <c r="S84" s="6">
        <f t="shared" si="15"/>
        <v>7.2794117647058822</v>
      </c>
      <c r="T84" s="6">
        <f t="shared" si="16"/>
        <v>7.2794117647058822</v>
      </c>
      <c r="U84" s="6">
        <v>57.4</v>
      </c>
      <c r="V84" s="6">
        <v>43.4</v>
      </c>
      <c r="W84" s="6">
        <v>68.400000000000006</v>
      </c>
      <c r="X84" s="6">
        <v>89.6</v>
      </c>
      <c r="Y84" s="6">
        <v>57.4</v>
      </c>
      <c r="Z84" s="6">
        <v>83.4</v>
      </c>
      <c r="AA84" s="6">
        <v>67</v>
      </c>
      <c r="AB84" s="6">
        <v>52.6</v>
      </c>
      <c r="AC84" s="6"/>
      <c r="AD84" s="6">
        <f t="shared" si="17"/>
        <v>0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</row>
    <row r="85" spans="1:47" x14ac:dyDescent="0.25">
      <c r="A85" s="10" t="s">
        <v>133</v>
      </c>
      <c r="B85" s="10" t="s">
        <v>33</v>
      </c>
      <c r="C85" s="10">
        <v>143</v>
      </c>
      <c r="D85" s="10">
        <v>14</v>
      </c>
      <c r="E85" s="10">
        <v>18</v>
      </c>
      <c r="F85" s="10">
        <v>123</v>
      </c>
      <c r="G85" s="11">
        <v>0</v>
      </c>
      <c r="H85" s="10">
        <v>50</v>
      </c>
      <c r="I85" s="10" t="s">
        <v>57</v>
      </c>
      <c r="J85" s="10"/>
      <c r="K85" s="10">
        <v>37</v>
      </c>
      <c r="L85" s="10">
        <f t="shared" si="13"/>
        <v>-19</v>
      </c>
      <c r="M85" s="10"/>
      <c r="N85" s="10"/>
      <c r="O85" s="10">
        <v>0</v>
      </c>
      <c r="P85" s="10"/>
      <c r="Q85" s="10">
        <f t="shared" si="14"/>
        <v>3.6</v>
      </c>
      <c r="R85" s="12"/>
      <c r="S85" s="10">
        <f t="shared" si="15"/>
        <v>34.166666666666664</v>
      </c>
      <c r="T85" s="10">
        <f t="shared" si="16"/>
        <v>34.166666666666664</v>
      </c>
      <c r="U85" s="10">
        <v>1.4</v>
      </c>
      <c r="V85" s="10">
        <v>2.2000000000000002</v>
      </c>
      <c r="W85" s="10">
        <v>1.8</v>
      </c>
      <c r="X85" s="10">
        <v>2.4</v>
      </c>
      <c r="Y85" s="10">
        <v>10.4</v>
      </c>
      <c r="Z85" s="10">
        <v>6.2</v>
      </c>
      <c r="AA85" s="10">
        <v>11.4</v>
      </c>
      <c r="AB85" s="10">
        <v>13.6</v>
      </c>
      <c r="AC85" s="14" t="s">
        <v>46</v>
      </c>
      <c r="AD85" s="10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</row>
    <row r="86" spans="1:47" x14ac:dyDescent="0.25">
      <c r="A86" s="6" t="s">
        <v>134</v>
      </c>
      <c r="B86" s="6" t="s">
        <v>33</v>
      </c>
      <c r="C86" s="6">
        <v>5</v>
      </c>
      <c r="D86" s="6"/>
      <c r="E86" s="6">
        <v>12</v>
      </c>
      <c r="F86" s="6">
        <v>-8</v>
      </c>
      <c r="G86" s="7">
        <v>0.33</v>
      </c>
      <c r="H86" s="6">
        <v>30</v>
      </c>
      <c r="I86" s="6" t="s">
        <v>34</v>
      </c>
      <c r="J86" s="6"/>
      <c r="K86" s="6">
        <v>31</v>
      </c>
      <c r="L86" s="6">
        <f t="shared" si="13"/>
        <v>-19</v>
      </c>
      <c r="M86" s="6"/>
      <c r="N86" s="6"/>
      <c r="O86" s="6">
        <v>39</v>
      </c>
      <c r="P86" s="6"/>
      <c r="Q86" s="6">
        <f t="shared" si="14"/>
        <v>2.4</v>
      </c>
      <c r="R86" s="8"/>
      <c r="S86" s="6">
        <f t="shared" si="15"/>
        <v>12.916666666666668</v>
      </c>
      <c r="T86" s="6">
        <f t="shared" si="16"/>
        <v>12.916666666666668</v>
      </c>
      <c r="U86" s="6">
        <v>4</v>
      </c>
      <c r="V86" s="6">
        <v>1.6</v>
      </c>
      <c r="W86" s="6">
        <v>3.4</v>
      </c>
      <c r="X86" s="6">
        <v>3.6</v>
      </c>
      <c r="Y86" s="6">
        <v>2.8</v>
      </c>
      <c r="Z86" s="6">
        <v>5.8</v>
      </c>
      <c r="AA86" s="6">
        <v>4</v>
      </c>
      <c r="AB86" s="6">
        <v>1.4</v>
      </c>
      <c r="AC86" s="6"/>
      <c r="AD86" s="6">
        <f>G86*R86</f>
        <v>0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</row>
    <row r="87" spans="1:47" x14ac:dyDescent="0.25">
      <c r="A87" s="10" t="s">
        <v>135</v>
      </c>
      <c r="B87" s="10" t="s">
        <v>33</v>
      </c>
      <c r="C87" s="10">
        <v>92</v>
      </c>
      <c r="D87" s="10">
        <v>3</v>
      </c>
      <c r="E87" s="15">
        <v>48</v>
      </c>
      <c r="F87" s="15">
        <v>37</v>
      </c>
      <c r="G87" s="11">
        <v>0</v>
      </c>
      <c r="H87" s="10">
        <v>60</v>
      </c>
      <c r="I87" s="10" t="s">
        <v>57</v>
      </c>
      <c r="J87" s="10" t="s">
        <v>136</v>
      </c>
      <c r="K87" s="10">
        <v>55</v>
      </c>
      <c r="L87" s="10">
        <f t="shared" si="13"/>
        <v>-7</v>
      </c>
      <c r="M87" s="10"/>
      <c r="N87" s="10"/>
      <c r="O87" s="10">
        <v>0</v>
      </c>
      <c r="P87" s="10"/>
      <c r="Q87" s="10">
        <f t="shared" si="14"/>
        <v>9.6</v>
      </c>
      <c r="R87" s="12"/>
      <c r="S87" s="10">
        <f t="shared" si="15"/>
        <v>3.854166666666667</v>
      </c>
      <c r="T87" s="10">
        <f t="shared" si="16"/>
        <v>3.854166666666667</v>
      </c>
      <c r="U87" s="10">
        <v>5.6</v>
      </c>
      <c r="V87" s="10">
        <v>5.2</v>
      </c>
      <c r="W87" s="10">
        <v>9.8000000000000007</v>
      </c>
      <c r="X87" s="10">
        <v>13</v>
      </c>
      <c r="Y87" s="10">
        <v>9.1999999999999993</v>
      </c>
      <c r="Z87" s="10">
        <v>13.6</v>
      </c>
      <c r="AA87" s="10">
        <v>8.8000000000000007</v>
      </c>
      <c r="AB87" s="10">
        <v>5.2</v>
      </c>
      <c r="AC87" s="10" t="s">
        <v>137</v>
      </c>
      <c r="AD87" s="10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</row>
    <row r="88" spans="1:47" x14ac:dyDescent="0.25">
      <c r="A88" s="6" t="s">
        <v>138</v>
      </c>
      <c r="B88" s="6" t="s">
        <v>36</v>
      </c>
      <c r="C88" s="6"/>
      <c r="D88" s="6">
        <v>49.738</v>
      </c>
      <c r="E88" s="6"/>
      <c r="F88" s="6">
        <v>48.527999999999999</v>
      </c>
      <c r="G88" s="7">
        <v>1</v>
      </c>
      <c r="H88" s="6"/>
      <c r="I88" s="6" t="s">
        <v>34</v>
      </c>
      <c r="J88" s="6"/>
      <c r="K88" s="6"/>
      <c r="L88" s="6">
        <f t="shared" si="13"/>
        <v>0</v>
      </c>
      <c r="M88" s="6"/>
      <c r="N88" s="6"/>
      <c r="O88" s="6">
        <v>0</v>
      </c>
      <c r="P88" s="6"/>
      <c r="Q88" s="6">
        <f t="shared" si="14"/>
        <v>0</v>
      </c>
      <c r="R88" s="8"/>
      <c r="S88" s="6" t="e">
        <f t="shared" si="15"/>
        <v>#DIV/0!</v>
      </c>
      <c r="T88" s="6" t="e">
        <f t="shared" si="16"/>
        <v>#DIV/0!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 t="s">
        <v>139</v>
      </c>
      <c r="AD88" s="6">
        <f>G88*R88</f>
        <v>0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</row>
    <row r="89" spans="1:47" x14ac:dyDescent="0.25">
      <c r="A89" s="6" t="s">
        <v>140</v>
      </c>
      <c r="B89" s="6" t="s">
        <v>33</v>
      </c>
      <c r="C89" s="6"/>
      <c r="D89" s="6">
        <v>33</v>
      </c>
      <c r="E89" s="6">
        <v>6</v>
      </c>
      <c r="F89" s="6">
        <v>26</v>
      </c>
      <c r="G89" s="7">
        <v>0.28000000000000003</v>
      </c>
      <c r="H89" s="6">
        <v>50</v>
      </c>
      <c r="I89" s="6" t="s">
        <v>34</v>
      </c>
      <c r="J89" s="6"/>
      <c r="K89" s="6">
        <v>14</v>
      </c>
      <c r="L89" s="6">
        <f t="shared" si="13"/>
        <v>-8</v>
      </c>
      <c r="M89" s="6"/>
      <c r="N89" s="6"/>
      <c r="O89" s="6">
        <v>17</v>
      </c>
      <c r="P89" s="6"/>
      <c r="Q89" s="6">
        <f t="shared" si="14"/>
        <v>1.2</v>
      </c>
      <c r="R89" s="8"/>
      <c r="S89" s="6">
        <f t="shared" si="15"/>
        <v>35.833333333333336</v>
      </c>
      <c r="T89" s="6">
        <f t="shared" si="16"/>
        <v>35.833333333333336</v>
      </c>
      <c r="U89" s="6">
        <v>3.6</v>
      </c>
      <c r="V89" s="6">
        <v>3.8</v>
      </c>
      <c r="W89" s="6">
        <v>2.8</v>
      </c>
      <c r="X89" s="6">
        <v>4.4000000000000004</v>
      </c>
      <c r="Y89" s="6">
        <v>0.4</v>
      </c>
      <c r="Z89" s="6">
        <v>3.2</v>
      </c>
      <c r="AA89" s="6">
        <v>6.4</v>
      </c>
      <c r="AB89" s="6">
        <v>3.6</v>
      </c>
      <c r="AC89" s="6"/>
      <c r="AD89" s="6">
        <f>G89*R89</f>
        <v>0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</row>
    <row r="90" spans="1:47" x14ac:dyDescent="0.25">
      <c r="A90" s="10" t="s">
        <v>141</v>
      </c>
      <c r="B90" s="10" t="s">
        <v>33</v>
      </c>
      <c r="C90" s="10">
        <v>52</v>
      </c>
      <c r="D90" s="10">
        <v>6</v>
      </c>
      <c r="E90" s="10">
        <v>17</v>
      </c>
      <c r="F90" s="10">
        <v>30</v>
      </c>
      <c r="G90" s="11">
        <v>0</v>
      </c>
      <c r="H90" s="10">
        <v>50</v>
      </c>
      <c r="I90" s="10" t="s">
        <v>57</v>
      </c>
      <c r="J90" s="10"/>
      <c r="K90" s="10">
        <v>34</v>
      </c>
      <c r="L90" s="10">
        <f t="shared" si="13"/>
        <v>-17</v>
      </c>
      <c r="M90" s="10"/>
      <c r="N90" s="10"/>
      <c r="O90" s="10">
        <v>0</v>
      </c>
      <c r="P90" s="10"/>
      <c r="Q90" s="10">
        <f t="shared" si="14"/>
        <v>3.4</v>
      </c>
      <c r="R90" s="12"/>
      <c r="S90" s="10">
        <f t="shared" si="15"/>
        <v>8.8235294117647065</v>
      </c>
      <c r="T90" s="10">
        <f t="shared" si="16"/>
        <v>8.8235294117647065</v>
      </c>
      <c r="U90" s="10">
        <v>0.2</v>
      </c>
      <c r="V90" s="10">
        <v>1.4</v>
      </c>
      <c r="W90" s="10">
        <v>3</v>
      </c>
      <c r="X90" s="10">
        <v>4</v>
      </c>
      <c r="Y90" s="10">
        <v>0.2</v>
      </c>
      <c r="Z90" s="10">
        <v>4.5999999999999996</v>
      </c>
      <c r="AA90" s="10">
        <v>6</v>
      </c>
      <c r="AB90" s="10">
        <v>3.4</v>
      </c>
      <c r="AC90" s="10"/>
      <c r="AD90" s="10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</row>
    <row r="91" spans="1:47" x14ac:dyDescent="0.25">
      <c r="A91" s="6" t="s">
        <v>142</v>
      </c>
      <c r="B91" s="6" t="s">
        <v>33</v>
      </c>
      <c r="C91" s="6">
        <v>304</v>
      </c>
      <c r="D91" s="6">
        <v>35</v>
      </c>
      <c r="E91" s="6">
        <v>117</v>
      </c>
      <c r="F91" s="6">
        <v>172</v>
      </c>
      <c r="G91" s="7">
        <v>0.3</v>
      </c>
      <c r="H91" s="6">
        <v>45</v>
      </c>
      <c r="I91" s="6" t="s">
        <v>34</v>
      </c>
      <c r="J91" s="6"/>
      <c r="K91" s="6">
        <v>164</v>
      </c>
      <c r="L91" s="6">
        <f t="shared" si="13"/>
        <v>-47</v>
      </c>
      <c r="M91" s="6"/>
      <c r="N91" s="6"/>
      <c r="O91" s="6">
        <v>62</v>
      </c>
      <c r="P91" s="6"/>
      <c r="Q91" s="6">
        <f t="shared" si="14"/>
        <v>23.4</v>
      </c>
      <c r="R91" s="8"/>
      <c r="S91" s="6">
        <f t="shared" si="15"/>
        <v>10</v>
      </c>
      <c r="T91" s="6">
        <f t="shared" si="16"/>
        <v>10</v>
      </c>
      <c r="U91" s="6">
        <v>24.4</v>
      </c>
      <c r="V91" s="6">
        <v>12.4</v>
      </c>
      <c r="W91" s="6">
        <v>33.200000000000003</v>
      </c>
      <c r="X91" s="6">
        <v>32.6</v>
      </c>
      <c r="Y91" s="6">
        <v>21</v>
      </c>
      <c r="Z91" s="6">
        <v>33.6</v>
      </c>
      <c r="AA91" s="6">
        <v>28.4</v>
      </c>
      <c r="AB91" s="6">
        <v>25.8</v>
      </c>
      <c r="AC91" s="6"/>
      <c r="AD91" s="6">
        <f t="shared" ref="AD91:AD104" si="18">G91*R91</f>
        <v>0</v>
      </c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</row>
    <row r="92" spans="1:47" x14ac:dyDescent="0.25">
      <c r="A92" s="6" t="s">
        <v>143</v>
      </c>
      <c r="B92" s="6" t="s">
        <v>33</v>
      </c>
      <c r="C92" s="6">
        <v>126</v>
      </c>
      <c r="D92" s="6">
        <v>569</v>
      </c>
      <c r="E92" s="6">
        <v>335</v>
      </c>
      <c r="F92" s="6">
        <v>343</v>
      </c>
      <c r="G92" s="7">
        <v>0.12</v>
      </c>
      <c r="H92" s="6">
        <v>60</v>
      </c>
      <c r="I92" s="6" t="s">
        <v>48</v>
      </c>
      <c r="J92" s="6"/>
      <c r="K92" s="6">
        <v>550</v>
      </c>
      <c r="L92" s="6">
        <f t="shared" si="13"/>
        <v>-215</v>
      </c>
      <c r="M92" s="6"/>
      <c r="N92" s="6"/>
      <c r="O92" s="6">
        <v>92</v>
      </c>
      <c r="P92" s="6">
        <v>108</v>
      </c>
      <c r="Q92" s="6">
        <f t="shared" si="14"/>
        <v>67</v>
      </c>
      <c r="R92" s="8"/>
      <c r="S92" s="6">
        <f t="shared" si="15"/>
        <v>8.1044776119402986</v>
      </c>
      <c r="T92" s="6">
        <f t="shared" si="16"/>
        <v>8.1044776119402986</v>
      </c>
      <c r="U92" s="6">
        <v>112.6</v>
      </c>
      <c r="V92" s="6">
        <v>98</v>
      </c>
      <c r="W92" s="6">
        <v>31</v>
      </c>
      <c r="X92" s="6">
        <v>50.6</v>
      </c>
      <c r="Y92" s="6">
        <v>42.6</v>
      </c>
      <c r="Z92" s="6">
        <v>30.8</v>
      </c>
      <c r="AA92" s="6">
        <v>46.2</v>
      </c>
      <c r="AB92" s="6">
        <v>34.200000000000003</v>
      </c>
      <c r="AC92" s="6" t="s">
        <v>144</v>
      </c>
      <c r="AD92" s="6">
        <f t="shared" si="18"/>
        <v>0</v>
      </c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</row>
    <row r="93" spans="1:47" x14ac:dyDescent="0.25">
      <c r="A93" s="6" t="s">
        <v>145</v>
      </c>
      <c r="B93" s="6" t="s">
        <v>33</v>
      </c>
      <c r="C93" s="6">
        <v>1</v>
      </c>
      <c r="D93" s="6">
        <v>391</v>
      </c>
      <c r="E93" s="6">
        <v>140</v>
      </c>
      <c r="F93" s="6">
        <v>185</v>
      </c>
      <c r="G93" s="7">
        <v>0.33</v>
      </c>
      <c r="H93" s="6">
        <v>30</v>
      </c>
      <c r="I93" s="6" t="s">
        <v>34</v>
      </c>
      <c r="J93" s="6"/>
      <c r="K93" s="6">
        <v>217</v>
      </c>
      <c r="L93" s="6">
        <f t="shared" si="13"/>
        <v>-77</v>
      </c>
      <c r="M93" s="6"/>
      <c r="N93" s="6"/>
      <c r="O93" s="6">
        <v>0</v>
      </c>
      <c r="P93" s="6"/>
      <c r="Q93" s="6">
        <f t="shared" si="14"/>
        <v>28</v>
      </c>
      <c r="R93" s="8"/>
      <c r="S93" s="6">
        <f t="shared" si="15"/>
        <v>6.6071428571428568</v>
      </c>
      <c r="T93" s="6">
        <f t="shared" si="16"/>
        <v>6.6071428571428568</v>
      </c>
      <c r="U93" s="6">
        <v>24</v>
      </c>
      <c r="V93" s="6">
        <v>41.2</v>
      </c>
      <c r="W93" s="6">
        <v>37.200000000000003</v>
      </c>
      <c r="X93" s="6">
        <v>56.2</v>
      </c>
      <c r="Y93" s="6">
        <v>49.8</v>
      </c>
      <c r="Z93" s="6">
        <v>31</v>
      </c>
      <c r="AA93" s="6">
        <v>40.799999999999997</v>
      </c>
      <c r="AB93" s="6">
        <v>42.8</v>
      </c>
      <c r="AC93" s="6"/>
      <c r="AD93" s="6">
        <f t="shared" si="18"/>
        <v>0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</row>
    <row r="94" spans="1:47" x14ac:dyDescent="0.25">
      <c r="A94" s="6" t="s">
        <v>146</v>
      </c>
      <c r="B94" s="6" t="s">
        <v>33</v>
      </c>
      <c r="C94" s="6">
        <v>245</v>
      </c>
      <c r="D94" s="6">
        <v>24</v>
      </c>
      <c r="E94" s="6">
        <v>23</v>
      </c>
      <c r="F94" s="6">
        <v>221</v>
      </c>
      <c r="G94" s="7">
        <v>0.28000000000000003</v>
      </c>
      <c r="H94" s="6">
        <v>45</v>
      </c>
      <c r="I94" s="6" t="s">
        <v>34</v>
      </c>
      <c r="J94" s="6"/>
      <c r="K94" s="6">
        <v>48</v>
      </c>
      <c r="L94" s="6">
        <f t="shared" si="13"/>
        <v>-25</v>
      </c>
      <c r="M94" s="6"/>
      <c r="N94" s="6"/>
      <c r="O94" s="6">
        <v>0</v>
      </c>
      <c r="P94" s="6"/>
      <c r="Q94" s="6">
        <f t="shared" si="14"/>
        <v>4.5999999999999996</v>
      </c>
      <c r="R94" s="8"/>
      <c r="S94" s="6">
        <f t="shared" si="15"/>
        <v>48.04347826086957</v>
      </c>
      <c r="T94" s="6">
        <f t="shared" si="16"/>
        <v>48.04347826086957</v>
      </c>
      <c r="U94" s="6">
        <v>4.4000000000000004</v>
      </c>
      <c r="V94" s="6">
        <v>0</v>
      </c>
      <c r="W94" s="6">
        <v>31.2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/>
      <c r="AD94" s="6">
        <f t="shared" si="18"/>
        <v>0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</row>
    <row r="95" spans="1:47" x14ac:dyDescent="0.25">
      <c r="A95" s="6" t="s">
        <v>147</v>
      </c>
      <c r="B95" s="6" t="s">
        <v>33</v>
      </c>
      <c r="C95" s="6">
        <v>132</v>
      </c>
      <c r="D95" s="6">
        <v>7</v>
      </c>
      <c r="E95" s="6">
        <v>129</v>
      </c>
      <c r="F95" s="6"/>
      <c r="G95" s="7">
        <v>0.4</v>
      </c>
      <c r="H95" s="6">
        <v>60</v>
      </c>
      <c r="I95" s="6" t="s">
        <v>34</v>
      </c>
      <c r="J95" s="6"/>
      <c r="K95" s="6">
        <v>230</v>
      </c>
      <c r="L95" s="6">
        <f t="shared" si="13"/>
        <v>-101</v>
      </c>
      <c r="M95" s="6"/>
      <c r="N95" s="6"/>
      <c r="O95" s="6">
        <v>175</v>
      </c>
      <c r="P95" s="6">
        <v>205</v>
      </c>
      <c r="Q95" s="6">
        <f t="shared" si="14"/>
        <v>25.8</v>
      </c>
      <c r="R95" s="8"/>
      <c r="S95" s="6">
        <f t="shared" si="15"/>
        <v>14.728682170542635</v>
      </c>
      <c r="T95" s="6">
        <f t="shared" si="16"/>
        <v>14.728682170542635</v>
      </c>
      <c r="U95" s="6">
        <v>39.4</v>
      </c>
      <c r="V95" s="6">
        <v>20.399999999999999</v>
      </c>
      <c r="W95" s="6">
        <v>9.4</v>
      </c>
      <c r="X95" s="6">
        <v>35.200000000000003</v>
      </c>
      <c r="Y95" s="6">
        <v>13</v>
      </c>
      <c r="Z95" s="6">
        <v>27.6</v>
      </c>
      <c r="AA95" s="6">
        <v>20.2</v>
      </c>
      <c r="AB95" s="6">
        <v>18.8</v>
      </c>
      <c r="AC95" s="6"/>
      <c r="AD95" s="6">
        <f t="shared" si="18"/>
        <v>0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</row>
    <row r="96" spans="1:47" x14ac:dyDescent="0.25">
      <c r="A96" s="6" t="s">
        <v>64</v>
      </c>
      <c r="B96" s="6" t="s">
        <v>33</v>
      </c>
      <c r="C96" s="6">
        <v>74</v>
      </c>
      <c r="D96" s="6">
        <v>3</v>
      </c>
      <c r="E96" s="6">
        <v>22</v>
      </c>
      <c r="F96" s="15">
        <f>49+F29</f>
        <v>53</v>
      </c>
      <c r="G96" s="7">
        <v>0.35</v>
      </c>
      <c r="H96" s="6">
        <v>60</v>
      </c>
      <c r="I96" s="6" t="s">
        <v>34</v>
      </c>
      <c r="J96" s="6"/>
      <c r="K96" s="6">
        <v>28</v>
      </c>
      <c r="L96" s="6">
        <f t="shared" si="13"/>
        <v>-6</v>
      </c>
      <c r="M96" s="6"/>
      <c r="N96" s="6"/>
      <c r="O96" s="6">
        <v>0</v>
      </c>
      <c r="P96" s="6"/>
      <c r="Q96" s="6">
        <f t="shared" si="14"/>
        <v>4.4000000000000004</v>
      </c>
      <c r="R96" s="8"/>
      <c r="S96" s="6">
        <f t="shared" si="15"/>
        <v>12.045454545454545</v>
      </c>
      <c r="T96" s="6">
        <f t="shared" si="16"/>
        <v>12.045454545454545</v>
      </c>
      <c r="U96" s="6">
        <v>1.4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 t="s">
        <v>148</v>
      </c>
      <c r="AD96" s="6">
        <f t="shared" si="18"/>
        <v>0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</row>
    <row r="97" spans="1:47" x14ac:dyDescent="0.25">
      <c r="A97" s="6" t="s">
        <v>149</v>
      </c>
      <c r="B97" s="6" t="s">
        <v>36</v>
      </c>
      <c r="C97" s="6"/>
      <c r="D97" s="6"/>
      <c r="E97" s="6"/>
      <c r="F97" s="6"/>
      <c r="G97" s="7">
        <v>1</v>
      </c>
      <c r="H97" s="6">
        <v>45</v>
      </c>
      <c r="I97" s="6" t="s">
        <v>34</v>
      </c>
      <c r="J97" s="6"/>
      <c r="K97" s="6">
        <v>2</v>
      </c>
      <c r="L97" s="6">
        <f t="shared" si="13"/>
        <v>-2</v>
      </c>
      <c r="M97" s="6"/>
      <c r="N97" s="6"/>
      <c r="O97" s="6">
        <v>24</v>
      </c>
      <c r="P97" s="6"/>
      <c r="Q97" s="6">
        <f t="shared" si="14"/>
        <v>0</v>
      </c>
      <c r="R97" s="8"/>
      <c r="S97" s="6" t="e">
        <f t="shared" si="15"/>
        <v>#DIV/0!</v>
      </c>
      <c r="T97" s="6" t="e">
        <f t="shared" si="16"/>
        <v>#DIV/0!</v>
      </c>
      <c r="U97" s="6">
        <v>2.0257999999999998</v>
      </c>
      <c r="V97" s="6">
        <v>0.68120000000000003</v>
      </c>
      <c r="W97" s="6">
        <v>1.6926000000000001</v>
      </c>
      <c r="X97" s="6">
        <v>4.6631999999999998</v>
      </c>
      <c r="Y97" s="6">
        <v>0</v>
      </c>
      <c r="Z97" s="6">
        <v>0</v>
      </c>
      <c r="AA97" s="6">
        <v>0</v>
      </c>
      <c r="AB97" s="6">
        <v>2.8502000000000001</v>
      </c>
      <c r="AC97" s="6" t="s">
        <v>150</v>
      </c>
      <c r="AD97" s="6">
        <f t="shared" si="18"/>
        <v>0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 spans="1:47" x14ac:dyDescent="0.25">
      <c r="A98" s="6" t="s">
        <v>151</v>
      </c>
      <c r="B98" s="6" t="s">
        <v>33</v>
      </c>
      <c r="C98" s="6">
        <v>14</v>
      </c>
      <c r="D98" s="6"/>
      <c r="E98" s="6">
        <v>13</v>
      </c>
      <c r="F98" s="6">
        <v>-7</v>
      </c>
      <c r="G98" s="7">
        <v>0.33</v>
      </c>
      <c r="H98" s="6">
        <v>45</v>
      </c>
      <c r="I98" s="6" t="s">
        <v>34</v>
      </c>
      <c r="J98" s="6"/>
      <c r="K98" s="6">
        <v>138</v>
      </c>
      <c r="L98" s="6">
        <f t="shared" si="13"/>
        <v>-125</v>
      </c>
      <c r="M98" s="6"/>
      <c r="N98" s="6"/>
      <c r="O98" s="6">
        <v>118</v>
      </c>
      <c r="P98" s="6">
        <v>139</v>
      </c>
      <c r="Q98" s="6">
        <f t="shared" si="14"/>
        <v>2.6</v>
      </c>
      <c r="R98" s="8"/>
      <c r="S98" s="6">
        <f t="shared" si="15"/>
        <v>96.153846153846146</v>
      </c>
      <c r="T98" s="6">
        <f t="shared" si="16"/>
        <v>96.153846153846146</v>
      </c>
      <c r="U98" s="6">
        <v>24.6</v>
      </c>
      <c r="V98" s="6">
        <v>1</v>
      </c>
      <c r="W98" s="6">
        <v>14.8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 t="s">
        <v>152</v>
      </c>
      <c r="AD98" s="6">
        <f t="shared" si="18"/>
        <v>0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</row>
    <row r="99" spans="1:47" x14ac:dyDescent="0.25">
      <c r="A99" s="6" t="s">
        <v>78</v>
      </c>
      <c r="B99" s="6" t="s">
        <v>33</v>
      </c>
      <c r="C99" s="6">
        <v>89</v>
      </c>
      <c r="D99" s="6"/>
      <c r="E99" s="15">
        <f>3+E36</f>
        <v>55</v>
      </c>
      <c r="F99" s="15">
        <f>85+F36</f>
        <v>137</v>
      </c>
      <c r="G99" s="7">
        <v>0.1</v>
      </c>
      <c r="H99" s="6">
        <v>45</v>
      </c>
      <c r="I99" s="6" t="s">
        <v>34</v>
      </c>
      <c r="J99" s="6"/>
      <c r="K99" s="6">
        <v>3</v>
      </c>
      <c r="L99" s="6">
        <f t="shared" si="13"/>
        <v>52</v>
      </c>
      <c r="M99" s="6"/>
      <c r="N99" s="6"/>
      <c r="O99" s="6">
        <v>0</v>
      </c>
      <c r="P99" s="6"/>
      <c r="Q99" s="6">
        <f t="shared" si="14"/>
        <v>11</v>
      </c>
      <c r="R99" s="8"/>
      <c r="S99" s="6">
        <f t="shared" si="15"/>
        <v>12.454545454545455</v>
      </c>
      <c r="T99" s="6">
        <f t="shared" si="16"/>
        <v>12.454545454545455</v>
      </c>
      <c r="U99" s="6">
        <v>4.2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 t="s">
        <v>153</v>
      </c>
      <c r="AD99" s="6">
        <f t="shared" si="18"/>
        <v>0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</row>
    <row r="100" spans="1:47" x14ac:dyDescent="0.25">
      <c r="A100" s="6" t="s">
        <v>136</v>
      </c>
      <c r="B100" s="6" t="s">
        <v>33</v>
      </c>
      <c r="C100" s="6">
        <v>29</v>
      </c>
      <c r="D100" s="6"/>
      <c r="E100" s="15">
        <f>0+E87</f>
        <v>48</v>
      </c>
      <c r="F100" s="15">
        <f>29+F87</f>
        <v>66</v>
      </c>
      <c r="G100" s="7">
        <v>0.1</v>
      </c>
      <c r="H100" s="6">
        <v>60</v>
      </c>
      <c r="I100" s="6" t="s">
        <v>34</v>
      </c>
      <c r="J100" s="6"/>
      <c r="K100" s="6"/>
      <c r="L100" s="6">
        <f t="shared" si="13"/>
        <v>48</v>
      </c>
      <c r="M100" s="6"/>
      <c r="N100" s="6"/>
      <c r="O100" s="6">
        <v>0</v>
      </c>
      <c r="P100" s="6"/>
      <c r="Q100" s="6">
        <f t="shared" si="14"/>
        <v>9.6</v>
      </c>
      <c r="R100" s="8"/>
      <c r="S100" s="6">
        <f t="shared" si="15"/>
        <v>6.875</v>
      </c>
      <c r="T100" s="6">
        <f t="shared" si="16"/>
        <v>6.875</v>
      </c>
      <c r="U100" s="6">
        <v>5.6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 t="s">
        <v>154</v>
      </c>
      <c r="AD100" s="6">
        <f t="shared" si="18"/>
        <v>0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</row>
    <row r="101" spans="1:47" x14ac:dyDescent="0.25">
      <c r="A101" s="6" t="s">
        <v>72</v>
      </c>
      <c r="B101" s="6" t="s">
        <v>33</v>
      </c>
      <c r="C101" s="6">
        <v>80</v>
      </c>
      <c r="D101" s="6">
        <v>501</v>
      </c>
      <c r="E101" s="15">
        <f>15+E34</f>
        <v>143</v>
      </c>
      <c r="F101" s="15">
        <f>551+F34</f>
        <v>534</v>
      </c>
      <c r="G101" s="7">
        <v>0.1</v>
      </c>
      <c r="H101" s="6">
        <v>60</v>
      </c>
      <c r="I101" s="6" t="s">
        <v>34</v>
      </c>
      <c r="J101" s="6"/>
      <c r="K101" s="6">
        <v>44</v>
      </c>
      <c r="L101" s="6">
        <f t="shared" si="13"/>
        <v>99</v>
      </c>
      <c r="M101" s="6"/>
      <c r="N101" s="6"/>
      <c r="O101" s="6">
        <v>51</v>
      </c>
      <c r="P101" s="6">
        <v>60</v>
      </c>
      <c r="Q101" s="6">
        <f t="shared" si="14"/>
        <v>28.6</v>
      </c>
      <c r="R101" s="8"/>
      <c r="S101" s="6">
        <f t="shared" si="15"/>
        <v>22.55244755244755</v>
      </c>
      <c r="T101" s="6">
        <f t="shared" si="16"/>
        <v>22.55244755244755</v>
      </c>
      <c r="U101" s="6">
        <v>54.8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 t="s">
        <v>155</v>
      </c>
      <c r="AD101" s="6">
        <f t="shared" si="18"/>
        <v>0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</row>
    <row r="102" spans="1:47" x14ac:dyDescent="0.25">
      <c r="A102" s="6" t="s">
        <v>68</v>
      </c>
      <c r="B102" s="6" t="s">
        <v>33</v>
      </c>
      <c r="C102" s="6">
        <v>225</v>
      </c>
      <c r="D102" s="6">
        <v>611</v>
      </c>
      <c r="E102" s="15">
        <f>287+E32</f>
        <v>293</v>
      </c>
      <c r="F102" s="15">
        <f>412+F32</f>
        <v>406</v>
      </c>
      <c r="G102" s="7">
        <v>0.4</v>
      </c>
      <c r="H102" s="6">
        <v>60</v>
      </c>
      <c r="I102" s="6" t="s">
        <v>34</v>
      </c>
      <c r="J102" s="6"/>
      <c r="K102" s="6">
        <v>480</v>
      </c>
      <c r="L102" s="6">
        <f t="shared" ref="L102:L133" si="19">E102-K102</f>
        <v>-187</v>
      </c>
      <c r="M102" s="6"/>
      <c r="N102" s="6"/>
      <c r="O102" s="6">
        <v>168</v>
      </c>
      <c r="P102" s="6">
        <v>198</v>
      </c>
      <c r="Q102" s="6">
        <f t="shared" ref="Q102:Q107" si="20">E102/5</f>
        <v>58.6</v>
      </c>
      <c r="R102" s="8"/>
      <c r="S102" s="6">
        <f t="shared" ref="S102:S133" si="21">(F102+O102+P102+R102)/Q102</f>
        <v>13.174061433447099</v>
      </c>
      <c r="T102" s="6">
        <f t="shared" ref="T102:T107" si="22">(F102+O102+P102)/Q102</f>
        <v>13.174061433447099</v>
      </c>
      <c r="U102" s="6">
        <v>71.400000000000006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 t="s">
        <v>156</v>
      </c>
      <c r="AD102" s="6">
        <f t="shared" si="18"/>
        <v>0</v>
      </c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</row>
    <row r="103" spans="1:47" x14ac:dyDescent="0.25">
      <c r="A103" s="6" t="s">
        <v>157</v>
      </c>
      <c r="B103" s="6" t="s">
        <v>33</v>
      </c>
      <c r="C103" s="6"/>
      <c r="D103" s="6"/>
      <c r="E103" s="6"/>
      <c r="F103" s="6"/>
      <c r="G103" s="7">
        <v>0.1</v>
      </c>
      <c r="H103" s="6"/>
      <c r="I103" s="6" t="s">
        <v>34</v>
      </c>
      <c r="J103" s="6"/>
      <c r="K103" s="6"/>
      <c r="L103" s="6">
        <f t="shared" si="19"/>
        <v>0</v>
      </c>
      <c r="M103" s="6"/>
      <c r="N103" s="6"/>
      <c r="O103" s="6">
        <v>0</v>
      </c>
      <c r="P103" s="6"/>
      <c r="Q103" s="6">
        <f t="shared" si="20"/>
        <v>0</v>
      </c>
      <c r="R103" s="8"/>
      <c r="S103" s="6" t="e">
        <f t="shared" si="21"/>
        <v>#DIV/0!</v>
      </c>
      <c r="T103" s="6" t="e">
        <f t="shared" si="22"/>
        <v>#DIV/0!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 t="s">
        <v>158</v>
      </c>
      <c r="AD103" s="6">
        <f t="shared" si="18"/>
        <v>0</v>
      </c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</row>
    <row r="104" spans="1:47" x14ac:dyDescent="0.25">
      <c r="A104" s="6" t="s">
        <v>159</v>
      </c>
      <c r="B104" s="6" t="s">
        <v>33</v>
      </c>
      <c r="C104" s="6"/>
      <c r="D104" s="6"/>
      <c r="E104" s="6"/>
      <c r="F104" s="6"/>
      <c r="G104" s="7">
        <v>0.1</v>
      </c>
      <c r="H104" s="6"/>
      <c r="I104" s="6" t="s">
        <v>34</v>
      </c>
      <c r="J104" s="6"/>
      <c r="K104" s="6"/>
      <c r="L104" s="6">
        <f t="shared" si="19"/>
        <v>0</v>
      </c>
      <c r="M104" s="6"/>
      <c r="N104" s="6"/>
      <c r="O104" s="6">
        <v>0</v>
      </c>
      <c r="P104" s="6"/>
      <c r="Q104" s="6">
        <f t="shared" si="20"/>
        <v>0</v>
      </c>
      <c r="R104" s="8"/>
      <c r="S104" s="6" t="e">
        <f t="shared" si="21"/>
        <v>#DIV/0!</v>
      </c>
      <c r="T104" s="6" t="e">
        <f t="shared" si="22"/>
        <v>#DIV/0!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 t="s">
        <v>158</v>
      </c>
      <c r="AD104" s="6">
        <f t="shared" si="18"/>
        <v>0</v>
      </c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</row>
    <row r="105" spans="1:47" x14ac:dyDescent="0.25">
      <c r="A105" s="10" t="s">
        <v>160</v>
      </c>
      <c r="B105" s="10" t="s">
        <v>36</v>
      </c>
      <c r="C105" s="10">
        <v>129.63</v>
      </c>
      <c r="D105" s="10"/>
      <c r="E105" s="10"/>
      <c r="F105" s="15">
        <v>129.63</v>
      </c>
      <c r="G105" s="11">
        <v>0</v>
      </c>
      <c r="H105" s="10"/>
      <c r="I105" s="10" t="s">
        <v>161</v>
      </c>
      <c r="J105" s="10" t="s">
        <v>62</v>
      </c>
      <c r="K105" s="10"/>
      <c r="L105" s="10">
        <f t="shared" si="19"/>
        <v>0</v>
      </c>
      <c r="M105" s="10"/>
      <c r="N105" s="10"/>
      <c r="O105" s="10">
        <v>0</v>
      </c>
      <c r="P105" s="10"/>
      <c r="Q105" s="10">
        <f t="shared" si="20"/>
        <v>0</v>
      </c>
      <c r="R105" s="12"/>
      <c r="S105" s="10" t="e">
        <f t="shared" si="21"/>
        <v>#DIV/0!</v>
      </c>
      <c r="T105" s="10" t="e">
        <f t="shared" si="22"/>
        <v>#DIV/0!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/>
      <c r="AD105" s="10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</row>
    <row r="106" spans="1:47" x14ac:dyDescent="0.25">
      <c r="A106" s="10" t="s">
        <v>162</v>
      </c>
      <c r="B106" s="10" t="s">
        <v>36</v>
      </c>
      <c r="C106" s="10">
        <v>38.237000000000002</v>
      </c>
      <c r="D106" s="10">
        <v>1.56</v>
      </c>
      <c r="E106" s="15">
        <v>1.56</v>
      </c>
      <c r="F106" s="15">
        <v>36.677</v>
      </c>
      <c r="G106" s="11">
        <v>0</v>
      </c>
      <c r="H106" s="10"/>
      <c r="I106" s="10" t="s">
        <v>161</v>
      </c>
      <c r="J106" s="10" t="s">
        <v>108</v>
      </c>
      <c r="K106" s="10">
        <v>3</v>
      </c>
      <c r="L106" s="10">
        <f t="shared" si="19"/>
        <v>-1.44</v>
      </c>
      <c r="M106" s="10"/>
      <c r="N106" s="10"/>
      <c r="O106" s="10">
        <v>0</v>
      </c>
      <c r="P106" s="10"/>
      <c r="Q106" s="10">
        <f t="shared" si="20"/>
        <v>0.312</v>
      </c>
      <c r="R106" s="12"/>
      <c r="S106" s="10">
        <f t="shared" si="21"/>
        <v>117.55448717948718</v>
      </c>
      <c r="T106" s="10">
        <f t="shared" si="22"/>
        <v>117.55448717948718</v>
      </c>
      <c r="U106" s="10">
        <v>0.30940000000000001</v>
      </c>
      <c r="V106" s="10">
        <v>6.8086000000000002</v>
      </c>
      <c r="W106" s="10">
        <v>15.711600000000001</v>
      </c>
      <c r="X106" s="10">
        <v>12.635999999999999</v>
      </c>
      <c r="Y106" s="10">
        <v>14.8812</v>
      </c>
      <c r="Z106" s="10">
        <v>13.2858</v>
      </c>
      <c r="AA106" s="10">
        <v>0.31219999999999998</v>
      </c>
      <c r="AB106" s="10">
        <v>0</v>
      </c>
      <c r="AC106" s="10"/>
      <c r="AD106" s="10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</row>
    <row r="107" spans="1:47" x14ac:dyDescent="0.25">
      <c r="A107" s="13" t="s">
        <v>75</v>
      </c>
      <c r="B107" s="13" t="s">
        <v>33</v>
      </c>
      <c r="C107" s="6"/>
      <c r="D107" s="6"/>
      <c r="E107" s="15">
        <f>0+E35</f>
        <v>194</v>
      </c>
      <c r="F107" s="15">
        <f>0+F35</f>
        <v>15</v>
      </c>
      <c r="G107" s="7">
        <v>0.1</v>
      </c>
      <c r="H107" s="6">
        <v>60</v>
      </c>
      <c r="I107" s="6" t="s">
        <v>34</v>
      </c>
      <c r="J107" s="6"/>
      <c r="K107" s="6"/>
      <c r="L107" s="6"/>
      <c r="M107" s="6"/>
      <c r="N107" s="6"/>
      <c r="O107" s="6">
        <v>53</v>
      </c>
      <c r="P107" s="6">
        <v>62</v>
      </c>
      <c r="Q107" s="6">
        <f t="shared" si="20"/>
        <v>38.799999999999997</v>
      </c>
      <c r="R107" s="8"/>
      <c r="S107" s="6">
        <f t="shared" si="21"/>
        <v>3.3505154639175259</v>
      </c>
      <c r="T107" s="6">
        <f t="shared" si="22"/>
        <v>3.3505154639175259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 t="s">
        <v>163</v>
      </c>
      <c r="AD107" s="6">
        <f>G107*R107</f>
        <v>0</v>
      </c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</row>
    <row r="108" spans="1:47" x14ac:dyDescent="0.2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</row>
    <row r="109" spans="1:47" x14ac:dyDescent="0.2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</row>
    <row r="110" spans="1:47" x14ac:dyDescent="0.2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</row>
    <row r="111" spans="1:47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</row>
    <row r="112" spans="1:47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</row>
    <row r="113" spans="1:47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</row>
    <row r="114" spans="1:47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</row>
    <row r="115" spans="1:47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</row>
    <row r="116" spans="1:47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</row>
    <row r="117" spans="1:47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</row>
    <row r="118" spans="1:47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</row>
    <row r="119" spans="1:47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</row>
    <row r="120" spans="1:47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</row>
    <row r="121" spans="1:47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</row>
    <row r="122" spans="1:47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</row>
    <row r="123" spans="1:47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</row>
    <row r="124" spans="1:47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</row>
    <row r="125" spans="1:47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</row>
    <row r="126" spans="1:47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</row>
    <row r="127" spans="1:47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</row>
    <row r="128" spans="1:47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</row>
    <row r="129" spans="1:47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</row>
    <row r="130" spans="1:47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</row>
    <row r="131" spans="1:47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</row>
    <row r="132" spans="1:47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</row>
    <row r="133" spans="1:47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</row>
    <row r="134" spans="1:47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</row>
    <row r="135" spans="1:47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</row>
    <row r="136" spans="1:47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</row>
    <row r="137" spans="1:47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</row>
    <row r="138" spans="1:47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</row>
    <row r="139" spans="1:47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</row>
    <row r="140" spans="1:47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</row>
    <row r="141" spans="1:47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</row>
    <row r="142" spans="1:47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</row>
    <row r="143" spans="1:47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</row>
    <row r="144" spans="1:47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</row>
    <row r="145" spans="1:47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</row>
    <row r="146" spans="1:47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</row>
    <row r="147" spans="1:47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</row>
    <row r="148" spans="1:47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</row>
    <row r="149" spans="1:47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</row>
    <row r="150" spans="1:47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</row>
    <row r="151" spans="1:47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</row>
    <row r="152" spans="1:47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</row>
    <row r="153" spans="1:47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</row>
    <row r="154" spans="1:47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</row>
    <row r="155" spans="1:47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</row>
    <row r="156" spans="1:47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</row>
    <row r="157" spans="1:47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</row>
    <row r="158" spans="1:47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</row>
    <row r="159" spans="1:47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</row>
    <row r="160" spans="1:47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</row>
    <row r="161" spans="1:47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</row>
    <row r="162" spans="1:47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</row>
    <row r="163" spans="1:47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</row>
    <row r="164" spans="1:47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</row>
    <row r="165" spans="1:47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</row>
    <row r="166" spans="1:47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</row>
    <row r="167" spans="1:47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</row>
    <row r="168" spans="1:47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</row>
    <row r="169" spans="1:47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</row>
    <row r="170" spans="1:47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</row>
    <row r="171" spans="1:47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</row>
    <row r="172" spans="1:47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</row>
    <row r="173" spans="1:47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</row>
    <row r="174" spans="1:47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</row>
    <row r="175" spans="1:47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</row>
    <row r="176" spans="1:47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</row>
    <row r="177" spans="1:47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</row>
    <row r="178" spans="1:47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</row>
    <row r="179" spans="1:47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</row>
    <row r="180" spans="1:47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</row>
    <row r="181" spans="1:47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</row>
    <row r="182" spans="1:47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</row>
    <row r="183" spans="1:47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</row>
    <row r="184" spans="1:47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</row>
    <row r="185" spans="1:47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</row>
    <row r="186" spans="1:47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</row>
    <row r="187" spans="1:47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</row>
    <row r="188" spans="1:47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</row>
    <row r="189" spans="1:47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</row>
    <row r="190" spans="1:47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</row>
    <row r="191" spans="1:47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</row>
    <row r="192" spans="1:47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</row>
    <row r="193" spans="1:47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</row>
    <row r="194" spans="1:47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</row>
    <row r="195" spans="1:47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</row>
    <row r="196" spans="1:47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</row>
    <row r="197" spans="1:47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</row>
    <row r="198" spans="1:47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</row>
    <row r="199" spans="1:47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</row>
    <row r="200" spans="1:47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</row>
    <row r="201" spans="1:47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</row>
    <row r="202" spans="1:47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</row>
    <row r="203" spans="1:47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</row>
    <row r="204" spans="1:47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</row>
    <row r="205" spans="1:47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</row>
    <row r="206" spans="1:47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</row>
    <row r="207" spans="1:47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</row>
    <row r="208" spans="1:47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</row>
    <row r="209" spans="1:47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</row>
    <row r="210" spans="1:47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</row>
    <row r="211" spans="1:47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</row>
    <row r="212" spans="1:47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</row>
    <row r="213" spans="1:47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</row>
    <row r="214" spans="1:47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</row>
    <row r="215" spans="1:47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</row>
    <row r="216" spans="1:47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</row>
    <row r="217" spans="1:47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</row>
    <row r="218" spans="1:47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</row>
    <row r="219" spans="1:47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</row>
    <row r="220" spans="1:47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</row>
    <row r="221" spans="1:47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</row>
    <row r="222" spans="1:47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</row>
    <row r="223" spans="1:47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</row>
    <row r="224" spans="1:47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</row>
    <row r="225" spans="1:47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</row>
    <row r="226" spans="1:47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</row>
    <row r="227" spans="1:47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</row>
    <row r="228" spans="1:47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</row>
    <row r="229" spans="1:47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</row>
    <row r="230" spans="1:47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</row>
    <row r="231" spans="1:47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</row>
    <row r="232" spans="1:47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</row>
    <row r="233" spans="1:47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</row>
    <row r="234" spans="1:47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</row>
    <row r="235" spans="1:47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</row>
    <row r="236" spans="1:47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</row>
    <row r="237" spans="1:47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</row>
    <row r="238" spans="1:47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</row>
    <row r="239" spans="1:47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</row>
    <row r="240" spans="1:47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</row>
    <row r="241" spans="1:47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</row>
    <row r="242" spans="1:47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</row>
    <row r="243" spans="1:47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</row>
    <row r="244" spans="1:47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</row>
    <row r="245" spans="1:47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</row>
    <row r="246" spans="1:47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</row>
    <row r="247" spans="1:47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</row>
    <row r="248" spans="1:47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</row>
    <row r="249" spans="1:47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</row>
    <row r="250" spans="1:47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</row>
    <row r="251" spans="1:47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</row>
    <row r="252" spans="1:47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</row>
    <row r="253" spans="1:47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</row>
    <row r="254" spans="1:47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</row>
    <row r="255" spans="1:47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</row>
    <row r="256" spans="1:47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</row>
    <row r="257" spans="1:47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</row>
    <row r="258" spans="1:47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</row>
    <row r="259" spans="1:47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</row>
    <row r="260" spans="1:47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</row>
    <row r="261" spans="1:47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</row>
    <row r="262" spans="1:47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</row>
    <row r="263" spans="1:47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</row>
    <row r="264" spans="1:47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</row>
    <row r="265" spans="1:47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</row>
    <row r="266" spans="1:47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</row>
    <row r="267" spans="1:47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</row>
    <row r="268" spans="1:47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</row>
    <row r="269" spans="1:47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</row>
    <row r="270" spans="1:47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</row>
    <row r="271" spans="1:47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</row>
    <row r="272" spans="1:47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</row>
    <row r="273" spans="1:47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</row>
    <row r="274" spans="1:47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</row>
    <row r="275" spans="1:47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</row>
    <row r="276" spans="1:47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</row>
    <row r="277" spans="1:47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</row>
    <row r="278" spans="1:47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</row>
    <row r="279" spans="1:47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</row>
    <row r="280" spans="1:47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</row>
    <row r="281" spans="1:47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</row>
    <row r="282" spans="1:47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</row>
    <row r="283" spans="1:47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</row>
    <row r="284" spans="1:47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</row>
    <row r="285" spans="1:47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</row>
    <row r="286" spans="1:47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</row>
    <row r="287" spans="1:47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</row>
    <row r="288" spans="1:47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</row>
    <row r="289" spans="1:47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</row>
    <row r="290" spans="1:47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</row>
    <row r="291" spans="1:47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</row>
    <row r="292" spans="1:47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</row>
    <row r="293" spans="1:47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</row>
    <row r="294" spans="1:47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</row>
    <row r="295" spans="1:47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</row>
    <row r="296" spans="1:47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</row>
    <row r="297" spans="1:47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</row>
    <row r="298" spans="1:47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</row>
    <row r="299" spans="1:47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</row>
    <row r="300" spans="1:47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</row>
    <row r="301" spans="1:47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</row>
    <row r="302" spans="1:47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</row>
    <row r="303" spans="1:47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</row>
    <row r="304" spans="1:47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</row>
    <row r="305" spans="1:47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</row>
    <row r="306" spans="1:47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</row>
    <row r="307" spans="1:47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</row>
    <row r="308" spans="1:47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</row>
    <row r="309" spans="1:47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</row>
    <row r="310" spans="1:47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</row>
    <row r="311" spans="1:47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</row>
    <row r="312" spans="1:47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</row>
    <row r="313" spans="1:47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</row>
    <row r="314" spans="1:47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</row>
    <row r="315" spans="1:47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</row>
    <row r="316" spans="1:47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</row>
    <row r="317" spans="1:47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</row>
    <row r="318" spans="1:47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</row>
    <row r="319" spans="1:47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</row>
    <row r="320" spans="1:47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</row>
    <row r="321" spans="1:47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</row>
    <row r="322" spans="1:47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</row>
    <row r="323" spans="1:47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</row>
    <row r="324" spans="1:47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</row>
    <row r="325" spans="1:47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</row>
    <row r="326" spans="1:47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</row>
    <row r="327" spans="1:47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</row>
    <row r="328" spans="1:47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</row>
    <row r="329" spans="1:47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</row>
    <row r="330" spans="1:47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</row>
    <row r="331" spans="1:47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</row>
    <row r="332" spans="1:47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</row>
    <row r="333" spans="1:47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</row>
    <row r="334" spans="1:47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</row>
    <row r="335" spans="1:47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</row>
    <row r="336" spans="1:47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</row>
    <row r="337" spans="1:47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</row>
    <row r="338" spans="1:47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</row>
    <row r="339" spans="1:47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</row>
    <row r="340" spans="1:47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</row>
    <row r="341" spans="1:47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</row>
    <row r="342" spans="1:47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</row>
    <row r="343" spans="1:47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</row>
    <row r="344" spans="1:47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</row>
    <row r="345" spans="1:47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</row>
    <row r="346" spans="1:47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</row>
    <row r="347" spans="1:47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</row>
    <row r="348" spans="1:47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</row>
    <row r="349" spans="1:47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</row>
    <row r="350" spans="1:47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</row>
    <row r="351" spans="1:47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</row>
    <row r="352" spans="1:47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</row>
    <row r="353" spans="1:47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</row>
    <row r="354" spans="1:47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</row>
    <row r="355" spans="1:47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</row>
    <row r="356" spans="1:47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</row>
    <row r="357" spans="1:47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</row>
    <row r="358" spans="1:47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</row>
    <row r="359" spans="1:47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</row>
    <row r="360" spans="1:47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</row>
    <row r="361" spans="1:47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</row>
    <row r="362" spans="1:47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</row>
    <row r="363" spans="1:47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</row>
    <row r="364" spans="1:47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</row>
    <row r="365" spans="1:47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</row>
    <row r="366" spans="1:47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</row>
    <row r="367" spans="1:47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</row>
    <row r="368" spans="1:47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</row>
    <row r="369" spans="1:47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</row>
    <row r="370" spans="1:47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</row>
    <row r="371" spans="1:47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</row>
    <row r="372" spans="1:47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</row>
    <row r="373" spans="1:47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</row>
    <row r="374" spans="1:47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</row>
    <row r="375" spans="1:47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</row>
    <row r="376" spans="1:47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</row>
    <row r="377" spans="1:47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</row>
    <row r="378" spans="1:47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</row>
    <row r="379" spans="1:47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</row>
    <row r="380" spans="1:47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</row>
    <row r="381" spans="1:47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</row>
    <row r="382" spans="1:47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</row>
    <row r="383" spans="1:47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</row>
    <row r="384" spans="1:47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</row>
    <row r="385" spans="1:47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</row>
    <row r="386" spans="1:47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</row>
    <row r="387" spans="1:47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</row>
    <row r="388" spans="1:47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</row>
    <row r="389" spans="1:47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</row>
    <row r="390" spans="1:47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</row>
    <row r="391" spans="1:47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</row>
    <row r="392" spans="1:47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</row>
    <row r="393" spans="1:47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</row>
    <row r="394" spans="1:47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</row>
    <row r="395" spans="1:47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</row>
    <row r="396" spans="1:47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</row>
    <row r="397" spans="1:47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</row>
    <row r="398" spans="1:47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</row>
    <row r="399" spans="1:47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</row>
    <row r="400" spans="1:47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</row>
    <row r="401" spans="1:47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</row>
    <row r="402" spans="1:47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</row>
    <row r="403" spans="1:47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</row>
    <row r="404" spans="1:47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</row>
    <row r="405" spans="1:47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</row>
    <row r="406" spans="1:47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</row>
    <row r="407" spans="1:47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</row>
    <row r="408" spans="1:47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</row>
    <row r="409" spans="1:47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</row>
    <row r="410" spans="1:47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</row>
    <row r="411" spans="1:47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</row>
    <row r="412" spans="1:47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</row>
    <row r="413" spans="1:47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</row>
    <row r="414" spans="1:47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</row>
    <row r="415" spans="1:47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</row>
    <row r="416" spans="1:47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</row>
    <row r="417" spans="1:47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</row>
    <row r="418" spans="1:47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</row>
    <row r="419" spans="1:47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</row>
    <row r="420" spans="1:47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</row>
    <row r="421" spans="1:47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</row>
    <row r="422" spans="1:47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</row>
    <row r="423" spans="1:47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</row>
    <row r="424" spans="1:47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</row>
    <row r="425" spans="1:47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</row>
    <row r="426" spans="1:47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</row>
    <row r="427" spans="1:47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</row>
    <row r="428" spans="1:47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</row>
    <row r="429" spans="1:47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</row>
    <row r="430" spans="1:47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</row>
    <row r="431" spans="1:47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</row>
    <row r="432" spans="1:47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</row>
    <row r="433" spans="1:47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</row>
    <row r="434" spans="1:47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</row>
    <row r="435" spans="1:47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</row>
    <row r="436" spans="1:47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</row>
    <row r="437" spans="1:47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</row>
    <row r="438" spans="1:47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</row>
    <row r="439" spans="1:47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</row>
    <row r="440" spans="1:47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</row>
    <row r="441" spans="1:47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</row>
    <row r="442" spans="1:47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</row>
    <row r="443" spans="1:47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</row>
    <row r="444" spans="1:47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</row>
    <row r="445" spans="1:47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</row>
    <row r="446" spans="1:47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</row>
    <row r="447" spans="1:47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</row>
    <row r="448" spans="1:47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</row>
    <row r="449" spans="1:47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</row>
    <row r="450" spans="1:47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</row>
    <row r="451" spans="1:47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</row>
    <row r="452" spans="1:47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</row>
    <row r="453" spans="1:47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</row>
    <row r="454" spans="1:47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</row>
    <row r="455" spans="1:47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</row>
    <row r="456" spans="1:47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</row>
    <row r="457" spans="1:47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</row>
    <row r="458" spans="1:47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</row>
    <row r="459" spans="1:47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</row>
    <row r="460" spans="1:47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</row>
    <row r="461" spans="1:47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</row>
    <row r="462" spans="1:47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</row>
    <row r="463" spans="1:47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</row>
    <row r="464" spans="1:47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</row>
    <row r="465" spans="1:47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</row>
    <row r="466" spans="1:47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</row>
    <row r="467" spans="1:47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</row>
    <row r="468" spans="1:47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</row>
    <row r="469" spans="1:47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</row>
    <row r="470" spans="1:47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</row>
    <row r="471" spans="1:47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</row>
    <row r="472" spans="1:47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</row>
    <row r="473" spans="1:47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</row>
    <row r="474" spans="1:47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</row>
    <row r="475" spans="1:47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</row>
    <row r="476" spans="1:47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</row>
    <row r="477" spans="1:47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</row>
    <row r="478" spans="1:47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</row>
    <row r="479" spans="1:47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</row>
    <row r="480" spans="1:47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</row>
    <row r="481" spans="1:47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</row>
    <row r="482" spans="1:47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</row>
    <row r="483" spans="1:47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</row>
    <row r="484" spans="1:47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</row>
    <row r="485" spans="1:47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</row>
    <row r="486" spans="1:47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</row>
    <row r="487" spans="1:47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</row>
    <row r="488" spans="1:47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</row>
    <row r="489" spans="1:47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</row>
    <row r="490" spans="1:47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</row>
    <row r="491" spans="1:47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</row>
    <row r="492" spans="1:47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</row>
    <row r="493" spans="1:47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</row>
  </sheetData>
  <autoFilter ref="A3:AD107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2026-07-20T13:38:35Z</dcterms:created>
  <dcterms:modified xsi:type="dcterms:W3CDTF">2026-07-20T13:55:50Z</dcterms:modified>
</cp:coreProperties>
</file>