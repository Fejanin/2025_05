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9B19B2B0-F9CB-48EB-8853-921C17E153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04" i="1" l="1"/>
  <c r="U104" i="1" s="1"/>
  <c r="L104" i="1"/>
  <c r="R103" i="1"/>
  <c r="U103" i="1" s="1"/>
  <c r="L103" i="1"/>
  <c r="R102" i="1"/>
  <c r="L102" i="1"/>
  <c r="R101" i="1"/>
  <c r="L101" i="1"/>
  <c r="R100" i="1"/>
  <c r="L100" i="1"/>
  <c r="R99" i="1"/>
  <c r="L99" i="1"/>
  <c r="R98" i="1"/>
  <c r="L98" i="1"/>
  <c r="R97" i="1"/>
  <c r="L97" i="1"/>
  <c r="R96" i="1"/>
  <c r="L96" i="1"/>
  <c r="R95" i="1"/>
  <c r="L95" i="1"/>
  <c r="R94" i="1"/>
  <c r="L94" i="1"/>
  <c r="R93" i="1"/>
  <c r="L93" i="1"/>
  <c r="R92" i="1"/>
  <c r="L92" i="1"/>
  <c r="R91" i="1"/>
  <c r="L91" i="1"/>
  <c r="R90" i="1"/>
  <c r="L90" i="1"/>
  <c r="R89" i="1"/>
  <c r="L89" i="1"/>
  <c r="R88" i="1"/>
  <c r="L88" i="1"/>
  <c r="R87" i="1"/>
  <c r="L87" i="1"/>
  <c r="R86" i="1"/>
  <c r="L86" i="1"/>
  <c r="R85" i="1"/>
  <c r="L85" i="1"/>
  <c r="R84" i="1"/>
  <c r="L84" i="1"/>
  <c r="R83" i="1"/>
  <c r="L83" i="1"/>
  <c r="R82" i="1"/>
  <c r="L82" i="1"/>
  <c r="R81" i="1"/>
  <c r="L81" i="1"/>
  <c r="R80" i="1"/>
  <c r="L80" i="1"/>
  <c r="R79" i="1"/>
  <c r="L79" i="1"/>
  <c r="R78" i="1"/>
  <c r="L78" i="1"/>
  <c r="R77" i="1"/>
  <c r="L77" i="1"/>
  <c r="R76" i="1"/>
  <c r="L76" i="1"/>
  <c r="R75" i="1"/>
  <c r="L75" i="1"/>
  <c r="R74" i="1"/>
  <c r="L74" i="1"/>
  <c r="R73" i="1"/>
  <c r="L73" i="1"/>
  <c r="R72" i="1"/>
  <c r="L72" i="1"/>
  <c r="R71" i="1"/>
  <c r="L71" i="1"/>
  <c r="R70" i="1"/>
  <c r="L70" i="1"/>
  <c r="R69" i="1"/>
  <c r="L69" i="1"/>
  <c r="R68" i="1"/>
  <c r="L68" i="1"/>
  <c r="E67" i="1"/>
  <c r="R66" i="1"/>
  <c r="L66" i="1"/>
  <c r="F65" i="1"/>
  <c r="E65" i="1"/>
  <c r="R65" i="1" s="1"/>
  <c r="R64" i="1"/>
  <c r="L64" i="1"/>
  <c r="R63" i="1"/>
  <c r="L63" i="1"/>
  <c r="R62" i="1"/>
  <c r="L62" i="1"/>
  <c r="R61" i="1"/>
  <c r="L61" i="1"/>
  <c r="R60" i="1"/>
  <c r="L60" i="1"/>
  <c r="R59" i="1"/>
  <c r="L59" i="1"/>
  <c r="R58" i="1"/>
  <c r="L58" i="1"/>
  <c r="R57" i="1"/>
  <c r="L57" i="1"/>
  <c r="R56" i="1"/>
  <c r="L56" i="1"/>
  <c r="R55" i="1"/>
  <c r="L55" i="1"/>
  <c r="R54" i="1"/>
  <c r="L54" i="1"/>
  <c r="R53" i="1"/>
  <c r="L53" i="1"/>
  <c r="R52" i="1"/>
  <c r="L52" i="1"/>
  <c r="R51" i="1"/>
  <c r="L51" i="1"/>
  <c r="R50" i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L36" i="1"/>
  <c r="R35" i="1"/>
  <c r="L35" i="1"/>
  <c r="R34" i="1"/>
  <c r="L34" i="1"/>
  <c r="R33" i="1"/>
  <c r="L33" i="1"/>
  <c r="R32" i="1"/>
  <c r="L32" i="1"/>
  <c r="R31" i="1"/>
  <c r="L31" i="1"/>
  <c r="R30" i="1"/>
  <c r="L30" i="1"/>
  <c r="R29" i="1"/>
  <c r="L29" i="1"/>
  <c r="R28" i="1"/>
  <c r="U28" i="1" s="1"/>
  <c r="L28" i="1"/>
  <c r="R27" i="1"/>
  <c r="L27" i="1"/>
  <c r="R26" i="1"/>
  <c r="L26" i="1"/>
  <c r="R25" i="1"/>
  <c r="L25" i="1"/>
  <c r="R24" i="1"/>
  <c r="L24" i="1"/>
  <c r="R23" i="1"/>
  <c r="L23" i="1"/>
  <c r="R22" i="1"/>
  <c r="L22" i="1"/>
  <c r="R21" i="1"/>
  <c r="L21" i="1"/>
  <c r="R20" i="1"/>
  <c r="L20" i="1"/>
  <c r="R19" i="1"/>
  <c r="L19" i="1"/>
  <c r="R18" i="1"/>
  <c r="L18" i="1"/>
  <c r="R17" i="1"/>
  <c r="L17" i="1"/>
  <c r="R16" i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L9" i="1"/>
  <c r="R8" i="1"/>
  <c r="L8" i="1"/>
  <c r="R7" i="1"/>
  <c r="L7" i="1"/>
  <c r="R6" i="1"/>
  <c r="L6" i="1"/>
  <c r="AA5" i="1"/>
  <c r="Z5" i="1"/>
  <c r="Y5" i="1"/>
  <c r="X5" i="1"/>
  <c r="W5" i="1"/>
  <c r="V5" i="1"/>
  <c r="Q5" i="1"/>
  <c r="P5" i="1"/>
  <c r="O5" i="1"/>
  <c r="N5" i="1"/>
  <c r="M5" i="1"/>
  <c r="K5" i="1"/>
  <c r="F5" i="1"/>
  <c r="T103" i="1" l="1"/>
  <c r="U8" i="1"/>
  <c r="AC11" i="1"/>
  <c r="U14" i="1"/>
  <c r="AC14" i="1"/>
  <c r="AC17" i="1"/>
  <c r="U24" i="1"/>
  <c r="AC24" i="1"/>
  <c r="U29" i="1"/>
  <c r="S32" i="1"/>
  <c r="AC32" i="1" s="1"/>
  <c r="U35" i="1"/>
  <c r="AC35" i="1"/>
  <c r="AC38" i="1"/>
  <c r="U45" i="1"/>
  <c r="S45" i="1"/>
  <c r="AC48" i="1"/>
  <c r="U51" i="1"/>
  <c r="S51" i="1"/>
  <c r="AC51" i="1" s="1"/>
  <c r="AC54" i="1"/>
  <c r="U61" i="1"/>
  <c r="AC64" i="1"/>
  <c r="R67" i="1"/>
  <c r="R5" i="1" s="1"/>
  <c r="L67" i="1"/>
  <c r="AC70" i="1"/>
  <c r="U73" i="1"/>
  <c r="AC73" i="1"/>
  <c r="S76" i="1"/>
  <c r="AC76" i="1" s="1"/>
  <c r="U83" i="1"/>
  <c r="AC86" i="1"/>
  <c r="U89" i="1"/>
  <c r="AC89" i="1"/>
  <c r="E5" i="1"/>
  <c r="U6" i="1"/>
  <c r="S6" i="1"/>
  <c r="S9" i="1"/>
  <c r="AC9" i="1" s="1"/>
  <c r="U16" i="1"/>
  <c r="T19" i="1"/>
  <c r="AC19" i="1"/>
  <c r="U22" i="1"/>
  <c r="S22" i="1"/>
  <c r="AC22" i="1" s="1"/>
  <c r="U26" i="1"/>
  <c r="S26" i="1"/>
  <c r="AC26" i="1" s="1"/>
  <c r="S30" i="1"/>
  <c r="AC30" i="1" s="1"/>
  <c r="U37" i="1"/>
  <c r="S37" i="1"/>
  <c r="T40" i="1"/>
  <c r="AC40" i="1"/>
  <c r="U43" i="1"/>
  <c r="AC43" i="1"/>
  <c r="T46" i="1"/>
  <c r="AC46" i="1"/>
  <c r="U53" i="1"/>
  <c r="S56" i="1"/>
  <c r="AC56" i="1" s="1"/>
  <c r="U59" i="1"/>
  <c r="AC59" i="1"/>
  <c r="S62" i="1"/>
  <c r="AC62" i="1" s="1"/>
  <c r="S65" i="1"/>
  <c r="AC65" i="1" s="1"/>
  <c r="T66" i="1"/>
  <c r="U66" i="1"/>
  <c r="S68" i="1"/>
  <c r="AC68" i="1" s="1"/>
  <c r="U75" i="1"/>
  <c r="S78" i="1"/>
  <c r="AC78" i="1" s="1"/>
  <c r="U81" i="1"/>
  <c r="S81" i="1"/>
  <c r="AC81" i="1" s="1"/>
  <c r="S84" i="1"/>
  <c r="AC84" i="1" s="1"/>
  <c r="U91" i="1"/>
  <c r="S92" i="1"/>
  <c r="AC92" i="1" s="1"/>
  <c r="S94" i="1"/>
  <c r="AC94" i="1" s="1"/>
  <c r="U97" i="1"/>
  <c r="S97" i="1"/>
  <c r="AC97" i="1" s="1"/>
  <c r="U99" i="1"/>
  <c r="T100" i="1"/>
  <c r="AC100" i="1"/>
  <c r="T102" i="1"/>
  <c r="AC102" i="1"/>
  <c r="T7" i="1"/>
  <c r="AC7" i="1"/>
  <c r="U10" i="1"/>
  <c r="AC10" i="1"/>
  <c r="U12" i="1"/>
  <c r="T13" i="1"/>
  <c r="AC13" i="1"/>
  <c r="T15" i="1"/>
  <c r="AC15" i="1"/>
  <c r="U18" i="1"/>
  <c r="S18" i="1"/>
  <c r="AC18" i="1" s="1"/>
  <c r="U20" i="1"/>
  <c r="T21" i="1"/>
  <c r="AC21" i="1"/>
  <c r="T23" i="1"/>
  <c r="AC23" i="1"/>
  <c r="S25" i="1"/>
  <c r="AC25" i="1" s="1"/>
  <c r="T27" i="1"/>
  <c r="AC27" i="1"/>
  <c r="U31" i="1"/>
  <c r="AC31" i="1"/>
  <c r="U33" i="1"/>
  <c r="S33" i="1"/>
  <c r="S34" i="1"/>
  <c r="AC34" i="1" s="1"/>
  <c r="T36" i="1"/>
  <c r="AC36" i="1"/>
  <c r="U39" i="1"/>
  <c r="AC39" i="1"/>
  <c r="U41" i="1"/>
  <c r="T42" i="1"/>
  <c r="AC42" i="1"/>
  <c r="T44" i="1"/>
  <c r="AC44" i="1"/>
  <c r="U47" i="1"/>
  <c r="AC47" i="1"/>
  <c r="U49" i="1"/>
  <c r="S49" i="1"/>
  <c r="S50" i="1"/>
  <c r="AC50" i="1" s="1"/>
  <c r="T52" i="1"/>
  <c r="AC52" i="1"/>
  <c r="U55" i="1"/>
  <c r="AC55" i="1"/>
  <c r="U57" i="1"/>
  <c r="T58" i="1"/>
  <c r="S58" i="1"/>
  <c r="AC58" i="1" s="1"/>
  <c r="T60" i="1"/>
  <c r="AC60" i="1"/>
  <c r="U63" i="1"/>
  <c r="S63" i="1"/>
  <c r="AC63" i="1" s="1"/>
  <c r="U69" i="1"/>
  <c r="AC69" i="1"/>
  <c r="U71" i="1"/>
  <c r="S71" i="1"/>
  <c r="T72" i="1"/>
  <c r="AC72" i="1"/>
  <c r="T74" i="1"/>
  <c r="S74" i="1"/>
  <c r="AC74" i="1" s="1"/>
  <c r="U77" i="1"/>
  <c r="AC77" i="1"/>
  <c r="U79" i="1"/>
  <c r="S80" i="1"/>
  <c r="AC80" i="1" s="1"/>
  <c r="S82" i="1"/>
  <c r="AC82" i="1" s="1"/>
  <c r="U85" i="1"/>
  <c r="AC85" i="1"/>
  <c r="U87" i="1"/>
  <c r="T88" i="1"/>
  <c r="AC88" i="1"/>
  <c r="T90" i="1"/>
  <c r="AC90" i="1"/>
  <c r="U93" i="1"/>
  <c r="AC93" i="1"/>
  <c r="U95" i="1"/>
  <c r="S95" i="1"/>
  <c r="T96" i="1"/>
  <c r="AC96" i="1"/>
  <c r="T98" i="1"/>
  <c r="AC98" i="1"/>
  <c r="U101" i="1"/>
  <c r="AC101" i="1"/>
  <c r="T6" i="1"/>
  <c r="T10" i="1"/>
  <c r="T14" i="1"/>
  <c r="U23" i="1"/>
  <c r="T24" i="1"/>
  <c r="U25" i="1"/>
  <c r="U27" i="1"/>
  <c r="T28" i="1"/>
  <c r="T31" i="1"/>
  <c r="T35" i="1"/>
  <c r="T39" i="1"/>
  <c r="T43" i="1"/>
  <c r="T47" i="1"/>
  <c r="T55" i="1"/>
  <c r="T59" i="1"/>
  <c r="T63" i="1"/>
  <c r="U65" i="1"/>
  <c r="T69" i="1"/>
  <c r="T73" i="1"/>
  <c r="T77" i="1"/>
  <c r="T85" i="1"/>
  <c r="T89" i="1"/>
  <c r="T93" i="1"/>
  <c r="T97" i="1"/>
  <c r="T101" i="1"/>
  <c r="T104" i="1"/>
  <c r="U7" i="1"/>
  <c r="U9" i="1"/>
  <c r="U11" i="1"/>
  <c r="U13" i="1"/>
  <c r="U15" i="1"/>
  <c r="U17" i="1"/>
  <c r="U19" i="1"/>
  <c r="U21" i="1"/>
  <c r="U30" i="1"/>
  <c r="U32" i="1"/>
  <c r="U34" i="1"/>
  <c r="U36" i="1"/>
  <c r="U38" i="1"/>
  <c r="U40" i="1"/>
  <c r="U42" i="1"/>
  <c r="U44" i="1"/>
  <c r="U46" i="1"/>
  <c r="U48" i="1"/>
  <c r="U50" i="1"/>
  <c r="U52" i="1"/>
  <c r="U54" i="1"/>
  <c r="U56" i="1"/>
  <c r="U58" i="1"/>
  <c r="U60" i="1"/>
  <c r="U62" i="1"/>
  <c r="U64" i="1"/>
  <c r="L65" i="1"/>
  <c r="L5" i="1" s="1"/>
  <c r="U68" i="1"/>
  <c r="U70" i="1"/>
  <c r="U72" i="1"/>
  <c r="U74" i="1"/>
  <c r="U76" i="1"/>
  <c r="U78" i="1"/>
  <c r="U80" i="1"/>
  <c r="U82" i="1"/>
  <c r="U84" i="1"/>
  <c r="U86" i="1"/>
  <c r="U88" i="1"/>
  <c r="U90" i="1"/>
  <c r="U92" i="1"/>
  <c r="U94" i="1"/>
  <c r="U96" i="1"/>
  <c r="U98" i="1"/>
  <c r="U100" i="1"/>
  <c r="U102" i="1"/>
  <c r="T81" i="1" l="1"/>
  <c r="T51" i="1"/>
  <c r="T26" i="1"/>
  <c r="T22" i="1"/>
  <c r="T34" i="1"/>
  <c r="T25" i="1"/>
  <c r="T84" i="1"/>
  <c r="T78" i="1"/>
  <c r="T30" i="1"/>
  <c r="T18" i="1"/>
  <c r="T82" i="1"/>
  <c r="T80" i="1"/>
  <c r="T50" i="1"/>
  <c r="T94" i="1"/>
  <c r="T92" i="1"/>
  <c r="T68" i="1"/>
  <c r="T65" i="1"/>
  <c r="T62" i="1"/>
  <c r="T56" i="1"/>
  <c r="T9" i="1"/>
  <c r="T83" i="1"/>
  <c r="AC83" i="1"/>
  <c r="T61" i="1"/>
  <c r="AC61" i="1"/>
  <c r="T45" i="1"/>
  <c r="AC45" i="1"/>
  <c r="T29" i="1"/>
  <c r="AC29" i="1"/>
  <c r="T8" i="1"/>
  <c r="AC8" i="1"/>
  <c r="AC95" i="1"/>
  <c r="T95" i="1"/>
  <c r="AC87" i="1"/>
  <c r="T87" i="1"/>
  <c r="AC79" i="1"/>
  <c r="T79" i="1"/>
  <c r="AC71" i="1"/>
  <c r="T71" i="1"/>
  <c r="AC57" i="1"/>
  <c r="T57" i="1"/>
  <c r="AC49" i="1"/>
  <c r="T49" i="1"/>
  <c r="AC41" i="1"/>
  <c r="T41" i="1"/>
  <c r="AC33" i="1"/>
  <c r="T33" i="1"/>
  <c r="AC20" i="1"/>
  <c r="T20" i="1"/>
  <c r="AC12" i="1"/>
  <c r="T12" i="1"/>
  <c r="T99" i="1"/>
  <c r="AC99" i="1"/>
  <c r="T91" i="1"/>
  <c r="AC91" i="1"/>
  <c r="T75" i="1"/>
  <c r="AC75" i="1"/>
  <c r="T53" i="1"/>
  <c r="AC53" i="1"/>
  <c r="T37" i="1"/>
  <c r="AC37" i="1"/>
  <c r="T16" i="1"/>
  <c r="AC16" i="1"/>
  <c r="AC6" i="1"/>
  <c r="S5" i="1"/>
  <c r="T86" i="1"/>
  <c r="T76" i="1"/>
  <c r="T70" i="1"/>
  <c r="U67" i="1"/>
  <c r="T64" i="1"/>
  <c r="T54" i="1"/>
  <c r="T48" i="1"/>
  <c r="T38" i="1"/>
  <c r="T32" i="1"/>
  <c r="T17" i="1"/>
  <c r="T11" i="1"/>
  <c r="AC67" i="1" l="1"/>
  <c r="T67" i="1"/>
  <c r="AC5" i="1"/>
</calcChain>
</file>

<file path=xl/sharedStrings.xml><?xml version="1.0" encoding="utf-8"?>
<sst xmlns="http://schemas.openxmlformats.org/spreadsheetml/2006/main" count="254" uniqueCount="136">
  <si>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</si>
  <si>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</si>
  <si>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</si>
  <si>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</si>
  <si>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</si>
  <si>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</si>
  <si>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</si>
  <si>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</si>
  <si>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</si>
  <si>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</si>
  <si>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</si>
  <si>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</si>
  <si>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</si>
  <si>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</si>
  <si>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</si>
  <si>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</si>
  <si>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</si>
  <si>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</si>
  <si>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</si>
  <si>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</si>
  <si>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</si>
  <si>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</si>
  <si>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29,06,</t>
  </si>
  <si>
    <t>04,07,</t>
  </si>
  <si>
    <t>06,07,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</si>
  <si>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</si>
  <si>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</si>
  <si>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</si>
  <si>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</si>
  <si>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</si>
  <si>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</si>
  <si>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</si>
  <si>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</si>
  <si>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</si>
  <si>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</si>
  <si>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</si>
  <si>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</si>
  <si>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</si>
  <si>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</si>
  <si>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</si>
  <si>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</si>
  <si>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</si>
  <si>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</si>
  <si>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</si>
  <si>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</si>
  <si>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</si>
  <si>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нужно увеличить продажи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</si>
  <si>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</si>
  <si>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</si>
  <si>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</si>
  <si>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</si>
  <si>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</si>
  <si>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</si>
  <si>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</si>
  <si>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</si>
  <si>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</si>
  <si>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</si>
  <si>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</si>
  <si>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</si>
  <si>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</si>
  <si>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</si>
  <si>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</si>
  <si>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</si>
  <si>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</si>
  <si>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</si>
  <si>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</si>
  <si>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</si>
  <si>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</si>
  <si>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нужно увеличить продажи!!!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</si>
  <si>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</si>
  <si>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</si>
  <si>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</si>
  <si>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</si>
  <si>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</si>
  <si>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</si>
  <si>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</si>
  <si>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</si>
  <si>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</si>
  <si>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</si>
  <si>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</si>
  <si>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</si>
  <si>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</si>
  <si>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</si>
  <si>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</si>
  <si>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</si>
  <si>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</si>
  <si>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</si>
  <si>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</si>
  <si>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</si>
  <si>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</si>
  <si>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</si>
  <si>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</si>
  <si>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</si>
  <si>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</si>
  <si>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</si>
  <si>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</si>
  <si>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</si>
  <si>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</si>
  <si>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</si>
  <si>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</si>
  <si>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</si>
  <si>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</si>
  <si>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</si>
  <si>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</si>
  <si>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</si>
  <si>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</si>
  <si>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</si>
  <si>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</si>
  <si>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</si>
  <si>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</si>
  <si>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</si>
  <si>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</si>
  <si>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</si>
  <si>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</si>
  <si>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</si>
  <si>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</si>
  <si>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</si>
  <si>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</si>
  <si>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</si>
  <si>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</si>
  <si>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</si>
  <si>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</si>
  <si>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</si>
  <si>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</si>
  <si>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</si>
  <si>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</si>
  <si>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</si>
  <si>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22,06,26 в уценку - 197 шт.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</si>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</sst>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1" customWidth="1"/>
    <col min="15" max="19" width="7" customWidth="1"/>
    <col min="20" max="21" width="5" customWidth="1"/>
    <col min="22" max="27" width="6" customWidth="1"/>
    <col min="28" max="28" width="32.85546875" customWidth="1"/>
    <col min="29" max="29" width="7" customWidth="1"/>
    <col min="3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/>
      <c r="U4" s="1"/>
      <c r="V4" s="1" t="s">
        <v>22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10594.780999999999</v>
      </c>
      <c r="F5" s="4">
        <f>SUM(F6:F499)</f>
        <v>12101.503000000001</v>
      </c>
      <c r="G5" s="7"/>
      <c r="H5" s="1"/>
      <c r="I5" s="1"/>
      <c r="J5" s="1"/>
      <c r="K5" s="4">
        <f t="shared" ref="K5:S5" si="0">SUM(K6:K499)</f>
        <v>10895.100999999997</v>
      </c>
      <c r="L5" s="4">
        <f t="shared" si="0"/>
        <v>-300.31999999999994</v>
      </c>
      <c r="M5" s="4">
        <f t="shared" si="0"/>
        <v>0</v>
      </c>
      <c r="N5" s="4">
        <f t="shared" si="0"/>
        <v>0</v>
      </c>
      <c r="O5" s="4">
        <f t="shared" si="0"/>
        <v>6710</v>
      </c>
      <c r="P5" s="4">
        <f t="shared" si="0"/>
        <v>7533</v>
      </c>
      <c r="Q5" s="4">
        <f t="shared" si="0"/>
        <v>7338</v>
      </c>
      <c r="R5" s="4">
        <f t="shared" si="0"/>
        <v>2118.9562000000001</v>
      </c>
      <c r="S5" s="4">
        <f t="shared" si="0"/>
        <v>2815.2246</v>
      </c>
      <c r="T5" s="1"/>
      <c r="U5" s="1"/>
      <c r="V5" s="4">
        <f t="shared" ref="V5:AA5" si="1">SUM(V6:V499)</f>
        <v>2750.3498</v>
      </c>
      <c r="W5" s="4">
        <f t="shared" si="1"/>
        <v>2136.7131999999997</v>
      </c>
      <c r="X5" s="4">
        <f t="shared" si="1"/>
        <v>2259.2824000000001</v>
      </c>
      <c r="Y5" s="4">
        <f t="shared" si="1"/>
        <v>2209.5762</v>
      </c>
      <c r="Z5" s="4">
        <f t="shared" si="1"/>
        <v>2390.0110000000004</v>
      </c>
      <c r="AA5" s="4">
        <f t="shared" si="1"/>
        <v>1790.5239999999999</v>
      </c>
      <c r="AB5" s="1"/>
      <c r="AC5" s="4">
        <f>SUM(AC6:AC499)</f>
        <v>1366.1705999999999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30</v>
      </c>
      <c r="B6" s="1" t="s">
        <v>31</v>
      </c>
      <c r="C6" s="1">
        <v>273</v>
      </c>
      <c r="D6" s="1">
        <v>194</v>
      </c>
      <c r="E6" s="1">
        <v>216</v>
      </c>
      <c r="F6" s="1">
        <v>147</v>
      </c>
      <c r="G6" s="7">
        <v>0.4</v>
      </c>
      <c r="H6" s="1">
        <v>60</v>
      </c>
      <c r="I6" s="1">
        <v>3215</v>
      </c>
      <c r="J6" s="1"/>
      <c r="K6" s="1">
        <v>217</v>
      </c>
      <c r="L6" s="1">
        <f t="shared" ref="L6:L37" si="2">E6-K6</f>
        <v>-1</v>
      </c>
      <c r="M6" s="1"/>
      <c r="N6" s="1"/>
      <c r="O6" s="1">
        <v>45</v>
      </c>
      <c r="P6" s="1">
        <v>192</v>
      </c>
      <c r="Q6" s="1">
        <v>193</v>
      </c>
      <c r="R6" s="1">
        <f t="shared" ref="R6:R37" si="3">E6/5</f>
        <v>43.2</v>
      </c>
      <c r="S6" s="5">
        <f>14*R6-Q6-P6-O6-F6</f>
        <v>27.800000000000068</v>
      </c>
      <c r="T6" s="1">
        <f t="shared" ref="T6:T37" si="4">(F6+O6+P6+Q6+S6)/R6</f>
        <v>14</v>
      </c>
      <c r="U6" s="1">
        <f t="shared" ref="U6:U37" si="5">(F6+O6+P6+Q6)/R6</f>
        <v>13.356481481481481</v>
      </c>
      <c r="V6" s="1">
        <v>54</v>
      </c>
      <c r="W6" s="1">
        <v>43.4</v>
      </c>
      <c r="X6" s="1">
        <v>44.2</v>
      </c>
      <c r="Y6" s="1">
        <v>54.4</v>
      </c>
      <c r="Z6" s="1">
        <v>58.2</v>
      </c>
      <c r="AA6" s="1">
        <v>26.6</v>
      </c>
      <c r="AB6" s="1"/>
      <c r="AC6" s="1">
        <f t="shared" ref="AC6:AC27" si="6">G6*S6</f>
        <v>11.120000000000028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78.584999999999994</v>
      </c>
      <c r="D7" s="1">
        <v>19.475000000000001</v>
      </c>
      <c r="E7" s="1">
        <v>25.216999999999999</v>
      </c>
      <c r="F7" s="1">
        <v>67.5</v>
      </c>
      <c r="G7" s="7">
        <v>1</v>
      </c>
      <c r="H7" s="1">
        <v>120</v>
      </c>
      <c r="I7" s="1">
        <v>3287</v>
      </c>
      <c r="J7" s="1"/>
      <c r="K7" s="1">
        <v>27.9</v>
      </c>
      <c r="L7" s="1">
        <f t="shared" si="2"/>
        <v>-2.6829999999999998</v>
      </c>
      <c r="M7" s="1"/>
      <c r="N7" s="1"/>
      <c r="O7" s="1">
        <v>0</v>
      </c>
      <c r="P7" s="1">
        <v>33</v>
      </c>
      <c r="Q7" s="1">
        <v>33</v>
      </c>
      <c r="R7" s="1">
        <f t="shared" si="3"/>
        <v>5.0434000000000001</v>
      </c>
      <c r="S7" s="5"/>
      <c r="T7" s="1">
        <f t="shared" si="4"/>
        <v>26.470238331284449</v>
      </c>
      <c r="U7" s="1">
        <f t="shared" si="5"/>
        <v>26.470238331284449</v>
      </c>
      <c r="V7" s="1">
        <v>10.417999999999999</v>
      </c>
      <c r="W7" s="1">
        <v>7.246599999999999</v>
      </c>
      <c r="X7" s="1">
        <v>4.9813999999999998</v>
      </c>
      <c r="Y7" s="1">
        <v>9.3382000000000005</v>
      </c>
      <c r="Z7" s="1">
        <v>7.6756000000000002</v>
      </c>
      <c r="AA7" s="1">
        <v>4.343</v>
      </c>
      <c r="AB7" s="1"/>
      <c r="AC7" s="1">
        <f t="shared" si="6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31</v>
      </c>
      <c r="C8" s="1">
        <v>307</v>
      </c>
      <c r="D8" s="1">
        <v>108</v>
      </c>
      <c r="E8" s="1">
        <v>147</v>
      </c>
      <c r="F8" s="1">
        <v>187</v>
      </c>
      <c r="G8" s="7">
        <v>0.25</v>
      </c>
      <c r="H8" s="1">
        <v>120</v>
      </c>
      <c r="I8" s="1">
        <v>3986</v>
      </c>
      <c r="J8" s="1"/>
      <c r="K8" s="1">
        <v>142</v>
      </c>
      <c r="L8" s="1">
        <f t="shared" si="2"/>
        <v>5</v>
      </c>
      <c r="M8" s="1"/>
      <c r="N8" s="1"/>
      <c r="O8" s="1">
        <v>0</v>
      </c>
      <c r="P8" s="1">
        <v>195</v>
      </c>
      <c r="Q8" s="1">
        <v>195</v>
      </c>
      <c r="R8" s="1">
        <f t="shared" si="3"/>
        <v>29.4</v>
      </c>
      <c r="S8" s="5"/>
      <c r="T8" s="1">
        <f t="shared" si="4"/>
        <v>19.625850340136054</v>
      </c>
      <c r="U8" s="1">
        <f t="shared" si="5"/>
        <v>19.625850340136054</v>
      </c>
      <c r="V8" s="1">
        <v>53.8</v>
      </c>
      <c r="W8" s="1">
        <v>3</v>
      </c>
      <c r="X8" s="1">
        <v>23</v>
      </c>
      <c r="Y8" s="1">
        <v>29.8</v>
      </c>
      <c r="Z8" s="1">
        <v>17.600000000000001</v>
      </c>
      <c r="AA8" s="1">
        <v>20.2</v>
      </c>
      <c r="AB8" s="1"/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33</v>
      </c>
      <c r="C9" s="1">
        <v>381.72300000000001</v>
      </c>
      <c r="D9" s="1">
        <v>258.99299999999999</v>
      </c>
      <c r="E9" s="1">
        <v>176.05600000000001</v>
      </c>
      <c r="F9" s="1">
        <v>231.036</v>
      </c>
      <c r="G9" s="7">
        <v>1</v>
      </c>
      <c r="H9" s="1">
        <v>60</v>
      </c>
      <c r="I9" s="1">
        <v>4063</v>
      </c>
      <c r="J9" s="1"/>
      <c r="K9" s="1">
        <v>179.48</v>
      </c>
      <c r="L9" s="1">
        <f t="shared" si="2"/>
        <v>-3.4239999999999782</v>
      </c>
      <c r="M9" s="1"/>
      <c r="N9" s="1"/>
      <c r="O9" s="1">
        <v>0</v>
      </c>
      <c r="P9" s="1">
        <v>69</v>
      </c>
      <c r="Q9" s="1">
        <v>68</v>
      </c>
      <c r="R9" s="1">
        <f t="shared" si="3"/>
        <v>35.211200000000005</v>
      </c>
      <c r="S9" s="5">
        <f t="shared" ref="S7:S27" si="7">14*R9-Q9-P9-O9-F9</f>
        <v>124.92080000000004</v>
      </c>
      <c r="T9" s="1">
        <f t="shared" si="4"/>
        <v>14</v>
      </c>
      <c r="U9" s="1">
        <f t="shared" si="5"/>
        <v>10.452242468305538</v>
      </c>
      <c r="V9" s="1">
        <v>37.505800000000001</v>
      </c>
      <c r="W9" s="1">
        <v>28.898199999999999</v>
      </c>
      <c r="X9" s="1">
        <v>42.983400000000003</v>
      </c>
      <c r="Y9" s="1">
        <v>37.770800000000001</v>
      </c>
      <c r="Z9" s="1">
        <v>41.238999999999997</v>
      </c>
      <c r="AA9" s="1">
        <v>44.527200000000001</v>
      </c>
      <c r="AB9" s="1"/>
      <c r="AC9" s="1">
        <f t="shared" si="6"/>
        <v>124.92080000000004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33</v>
      </c>
      <c r="C10" s="1">
        <v>2.44</v>
      </c>
      <c r="D10" s="1">
        <v>2.9630000000000001</v>
      </c>
      <c r="E10" s="1">
        <v>0.98799999999999999</v>
      </c>
      <c r="F10" s="1">
        <v>3</v>
      </c>
      <c r="G10" s="7">
        <v>1</v>
      </c>
      <c r="H10" s="1">
        <v>120</v>
      </c>
      <c r="I10" s="1">
        <v>4117</v>
      </c>
      <c r="J10" s="1"/>
      <c r="K10" s="1">
        <v>1.5</v>
      </c>
      <c r="L10" s="1">
        <f t="shared" si="2"/>
        <v>-0.51200000000000001</v>
      </c>
      <c r="M10" s="1"/>
      <c r="N10" s="1"/>
      <c r="O10" s="1">
        <v>0</v>
      </c>
      <c r="P10" s="1">
        <v>28</v>
      </c>
      <c r="Q10" s="1">
        <v>28</v>
      </c>
      <c r="R10" s="1">
        <f t="shared" si="3"/>
        <v>0.1976</v>
      </c>
      <c r="S10" s="5"/>
      <c r="T10" s="1">
        <f t="shared" si="4"/>
        <v>298.58299595141699</v>
      </c>
      <c r="U10" s="1">
        <f t="shared" si="5"/>
        <v>298.58299595141699</v>
      </c>
      <c r="V10" s="1">
        <v>6.0484</v>
      </c>
      <c r="W10" s="1">
        <v>6.9627999999999997</v>
      </c>
      <c r="X10" s="1">
        <v>3.1852</v>
      </c>
      <c r="Y10" s="1">
        <v>4.3540000000000001</v>
      </c>
      <c r="Z10" s="1">
        <v>5.3411999999999997</v>
      </c>
      <c r="AA10" s="1">
        <v>3.0634000000000001</v>
      </c>
      <c r="AB10" s="1"/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33</v>
      </c>
      <c r="C11" s="1">
        <v>76.963999999999999</v>
      </c>
      <c r="D11" s="1">
        <v>17.143000000000001</v>
      </c>
      <c r="E11" s="1">
        <v>31.003</v>
      </c>
      <c r="F11" s="1">
        <v>54.7</v>
      </c>
      <c r="G11" s="7">
        <v>1</v>
      </c>
      <c r="H11" s="1">
        <v>60</v>
      </c>
      <c r="I11" s="1">
        <v>4574</v>
      </c>
      <c r="J11" s="1"/>
      <c r="K11" s="1">
        <v>26.5</v>
      </c>
      <c r="L11" s="1">
        <f t="shared" si="2"/>
        <v>4.5030000000000001</v>
      </c>
      <c r="M11" s="1"/>
      <c r="N11" s="1"/>
      <c r="O11" s="1">
        <v>0</v>
      </c>
      <c r="P11" s="1">
        <v>48</v>
      </c>
      <c r="Q11" s="1"/>
      <c r="R11" s="1">
        <f t="shared" si="3"/>
        <v>6.2005999999999997</v>
      </c>
      <c r="S11" s="5"/>
      <c r="T11" s="1">
        <f t="shared" si="4"/>
        <v>16.562913266458086</v>
      </c>
      <c r="U11" s="1">
        <f t="shared" si="5"/>
        <v>16.562913266458086</v>
      </c>
      <c r="V11" s="1">
        <v>9.0286000000000008</v>
      </c>
      <c r="W11" s="1">
        <v>7.8545999999999996</v>
      </c>
      <c r="X11" s="1">
        <v>8.6346000000000007</v>
      </c>
      <c r="Y11" s="1">
        <v>11.516999999999999</v>
      </c>
      <c r="Z11" s="1">
        <v>10.395</v>
      </c>
      <c r="AA11" s="1">
        <v>10.9404</v>
      </c>
      <c r="AB11" s="1"/>
      <c r="AC11" s="1">
        <f t="shared" si="6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33</v>
      </c>
      <c r="C12" s="1">
        <v>410.23599999999999</v>
      </c>
      <c r="D12" s="1">
        <v>74.488</v>
      </c>
      <c r="E12" s="1">
        <v>118.71899999999999</v>
      </c>
      <c r="F12" s="1">
        <v>329.37</v>
      </c>
      <c r="G12" s="7">
        <v>1</v>
      </c>
      <c r="H12" s="1">
        <v>60</v>
      </c>
      <c r="I12" s="1">
        <v>4813</v>
      </c>
      <c r="J12" s="1"/>
      <c r="K12" s="1">
        <v>158.6</v>
      </c>
      <c r="L12" s="1">
        <f t="shared" si="2"/>
        <v>-39.881</v>
      </c>
      <c r="M12" s="1"/>
      <c r="N12" s="1"/>
      <c r="O12" s="1">
        <v>0</v>
      </c>
      <c r="P12" s="1">
        <v>17</v>
      </c>
      <c r="Q12" s="1"/>
      <c r="R12" s="1">
        <f t="shared" si="3"/>
        <v>23.7438</v>
      </c>
      <c r="S12" s="5"/>
      <c r="T12" s="1">
        <f t="shared" si="4"/>
        <v>14.587808185715851</v>
      </c>
      <c r="U12" s="1">
        <f t="shared" si="5"/>
        <v>14.587808185715851</v>
      </c>
      <c r="V12" s="1">
        <v>30.880600000000001</v>
      </c>
      <c r="W12" s="1">
        <v>18.755199999999999</v>
      </c>
      <c r="X12" s="1">
        <v>41.007599999999996</v>
      </c>
      <c r="Y12" s="1">
        <v>40.128599999999999</v>
      </c>
      <c r="Z12" s="1">
        <v>29.197199999999999</v>
      </c>
      <c r="AA12" s="1">
        <v>35.5212</v>
      </c>
      <c r="AB12" s="1"/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31</v>
      </c>
      <c r="C13" s="1">
        <v>71</v>
      </c>
      <c r="D13" s="1">
        <v>243</v>
      </c>
      <c r="E13" s="1">
        <v>91</v>
      </c>
      <c r="F13" s="1">
        <v>144</v>
      </c>
      <c r="G13" s="7">
        <v>0.25</v>
      </c>
      <c r="H13" s="1">
        <v>120</v>
      </c>
      <c r="I13" s="1">
        <v>4993</v>
      </c>
      <c r="J13" s="1"/>
      <c r="K13" s="1">
        <v>89</v>
      </c>
      <c r="L13" s="1">
        <f t="shared" si="2"/>
        <v>2</v>
      </c>
      <c r="M13" s="1"/>
      <c r="N13" s="1"/>
      <c r="O13" s="1">
        <v>150</v>
      </c>
      <c r="P13" s="1">
        <v>91</v>
      </c>
      <c r="Q13" s="1">
        <v>92</v>
      </c>
      <c r="R13" s="1">
        <f t="shared" si="3"/>
        <v>18.2</v>
      </c>
      <c r="S13" s="5"/>
      <c r="T13" s="1">
        <f t="shared" si="4"/>
        <v>26.208791208791208</v>
      </c>
      <c r="U13" s="1">
        <f t="shared" si="5"/>
        <v>26.208791208791208</v>
      </c>
      <c r="V13" s="1">
        <v>39.799999999999997</v>
      </c>
      <c r="W13" s="1">
        <v>32.200000000000003</v>
      </c>
      <c r="X13" s="1">
        <v>24</v>
      </c>
      <c r="Y13" s="1">
        <v>16.8</v>
      </c>
      <c r="Z13" s="1">
        <v>39</v>
      </c>
      <c r="AA13" s="1">
        <v>21.2</v>
      </c>
      <c r="AB13" s="1"/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33</v>
      </c>
      <c r="C14" s="1">
        <v>83.555000000000007</v>
      </c>
      <c r="D14" s="1">
        <v>15.494</v>
      </c>
      <c r="E14" s="1">
        <v>19.068000000000001</v>
      </c>
      <c r="F14" s="1">
        <v>67.400000000000006</v>
      </c>
      <c r="G14" s="7">
        <v>1</v>
      </c>
      <c r="H14" s="1">
        <v>60</v>
      </c>
      <c r="I14" s="1">
        <v>5452</v>
      </c>
      <c r="J14" s="1"/>
      <c r="K14" s="1">
        <v>17.7</v>
      </c>
      <c r="L14" s="1">
        <f t="shared" si="2"/>
        <v>1.3680000000000021</v>
      </c>
      <c r="M14" s="1"/>
      <c r="N14" s="1"/>
      <c r="O14" s="1">
        <v>0</v>
      </c>
      <c r="P14" s="1">
        <v>0</v>
      </c>
      <c r="Q14" s="1"/>
      <c r="R14" s="1">
        <f t="shared" si="3"/>
        <v>3.8136000000000001</v>
      </c>
      <c r="S14" s="5"/>
      <c r="T14" s="1">
        <f t="shared" si="4"/>
        <v>17.673589259492346</v>
      </c>
      <c r="U14" s="1">
        <f t="shared" si="5"/>
        <v>17.673589259492346</v>
      </c>
      <c r="V14" s="1">
        <v>3.4849999999999999</v>
      </c>
      <c r="W14" s="1">
        <v>7.4036</v>
      </c>
      <c r="X14" s="1">
        <v>10.1214</v>
      </c>
      <c r="Y14" s="1">
        <v>7.6818</v>
      </c>
      <c r="Z14" s="1">
        <v>7.3453999999999997</v>
      </c>
      <c r="AA14" s="1">
        <v>5.9554</v>
      </c>
      <c r="AB14" s="1"/>
      <c r="AC14" s="1">
        <f t="shared" si="6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31</v>
      </c>
      <c r="C15" s="1">
        <v>180</v>
      </c>
      <c r="D15" s="1">
        <v>189</v>
      </c>
      <c r="E15" s="1">
        <v>185</v>
      </c>
      <c r="F15" s="1">
        <v>133</v>
      </c>
      <c r="G15" s="7">
        <v>0.25</v>
      </c>
      <c r="H15" s="1">
        <v>120</v>
      </c>
      <c r="I15" s="1">
        <v>5483</v>
      </c>
      <c r="J15" s="1"/>
      <c r="K15" s="1">
        <v>191</v>
      </c>
      <c r="L15" s="1">
        <f t="shared" si="2"/>
        <v>-6</v>
      </c>
      <c r="M15" s="1"/>
      <c r="N15" s="1"/>
      <c r="O15" s="1">
        <v>125</v>
      </c>
      <c r="P15" s="1">
        <v>175</v>
      </c>
      <c r="Q15" s="1">
        <v>175</v>
      </c>
      <c r="R15" s="1">
        <f t="shared" si="3"/>
        <v>37</v>
      </c>
      <c r="S15" s="5"/>
      <c r="T15" s="1">
        <f t="shared" si="4"/>
        <v>16.432432432432432</v>
      </c>
      <c r="U15" s="1">
        <f t="shared" si="5"/>
        <v>16.432432432432432</v>
      </c>
      <c r="V15" s="1">
        <v>50.6</v>
      </c>
      <c r="W15" s="1">
        <v>39</v>
      </c>
      <c r="X15" s="1">
        <v>43.6</v>
      </c>
      <c r="Y15" s="1">
        <v>47.4</v>
      </c>
      <c r="Z15" s="1">
        <v>40.6</v>
      </c>
      <c r="AA15" s="1">
        <v>29.6</v>
      </c>
      <c r="AB15" s="1"/>
      <c r="AC15" s="1">
        <f t="shared" si="6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31</v>
      </c>
      <c r="C16" s="1">
        <v>69</v>
      </c>
      <c r="D16" s="1">
        <v>127</v>
      </c>
      <c r="E16" s="1">
        <v>77</v>
      </c>
      <c r="F16" s="1">
        <v>56</v>
      </c>
      <c r="G16" s="7">
        <v>0.4</v>
      </c>
      <c r="H16" s="1">
        <v>60</v>
      </c>
      <c r="I16" s="1">
        <v>5495</v>
      </c>
      <c r="J16" s="1"/>
      <c r="K16" s="1">
        <v>76</v>
      </c>
      <c r="L16" s="1">
        <f t="shared" si="2"/>
        <v>1</v>
      </c>
      <c r="M16" s="1"/>
      <c r="N16" s="1"/>
      <c r="O16" s="1">
        <v>50</v>
      </c>
      <c r="P16" s="1">
        <v>175</v>
      </c>
      <c r="Q16" s="1">
        <v>175</v>
      </c>
      <c r="R16" s="1">
        <f t="shared" si="3"/>
        <v>15.4</v>
      </c>
      <c r="S16" s="5"/>
      <c r="T16" s="1">
        <f t="shared" si="4"/>
        <v>29.61038961038961</v>
      </c>
      <c r="U16" s="1">
        <f t="shared" si="5"/>
        <v>29.61038961038961</v>
      </c>
      <c r="V16" s="1">
        <v>33.6</v>
      </c>
      <c r="W16" s="1">
        <v>22.8</v>
      </c>
      <c r="X16" s="1">
        <v>8.1999999999999993</v>
      </c>
      <c r="Y16" s="1">
        <v>19.600000000000001</v>
      </c>
      <c r="Z16" s="1">
        <v>16.399999999999999</v>
      </c>
      <c r="AA16" s="1">
        <v>10</v>
      </c>
      <c r="AB16" s="1"/>
      <c r="AC16" s="1">
        <f t="shared" si="6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43</v>
      </c>
      <c r="B17" s="1" t="s">
        <v>33</v>
      </c>
      <c r="C17" s="1">
        <v>187.09</v>
      </c>
      <c r="D17" s="1">
        <v>376.42599999999999</v>
      </c>
      <c r="E17" s="1">
        <v>152.672</v>
      </c>
      <c r="F17" s="1">
        <v>267.58300000000003</v>
      </c>
      <c r="G17" s="7">
        <v>1</v>
      </c>
      <c r="H17" s="1">
        <v>45</v>
      </c>
      <c r="I17" s="1">
        <v>5544</v>
      </c>
      <c r="J17" s="1"/>
      <c r="K17" s="1">
        <v>156.30000000000001</v>
      </c>
      <c r="L17" s="1">
        <f t="shared" si="2"/>
        <v>-3.6280000000000143</v>
      </c>
      <c r="M17" s="1"/>
      <c r="N17" s="1"/>
      <c r="O17" s="1">
        <v>175</v>
      </c>
      <c r="P17" s="1">
        <v>21</v>
      </c>
      <c r="Q17" s="1"/>
      <c r="R17" s="1">
        <f t="shared" si="3"/>
        <v>30.534399999999998</v>
      </c>
      <c r="S17" s="5"/>
      <c r="T17" s="1">
        <f t="shared" si="4"/>
        <v>15.182318958289668</v>
      </c>
      <c r="U17" s="1">
        <f t="shared" si="5"/>
        <v>15.182318958289668</v>
      </c>
      <c r="V17" s="1">
        <v>39.906199999999998</v>
      </c>
      <c r="W17" s="1">
        <v>48.837800000000001</v>
      </c>
      <c r="X17" s="1">
        <v>42.3718</v>
      </c>
      <c r="Y17" s="1">
        <v>42.197000000000003</v>
      </c>
      <c r="Z17" s="1">
        <v>46.965800000000002</v>
      </c>
      <c r="AA17" s="1">
        <v>39.526200000000003</v>
      </c>
      <c r="AB17" s="1"/>
      <c r="AC17" s="1">
        <f t="shared" si="6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44</v>
      </c>
      <c r="B18" s="1" t="s">
        <v>31</v>
      </c>
      <c r="C18" s="1"/>
      <c r="D18" s="1">
        <v>16</v>
      </c>
      <c r="E18" s="1">
        <v>12</v>
      </c>
      <c r="F18" s="1"/>
      <c r="G18" s="7">
        <v>0.15</v>
      </c>
      <c r="H18" s="1">
        <v>60</v>
      </c>
      <c r="I18" s="1">
        <v>5679</v>
      </c>
      <c r="J18" s="1"/>
      <c r="K18" s="1">
        <v>12</v>
      </c>
      <c r="L18" s="1">
        <f t="shared" si="2"/>
        <v>0</v>
      </c>
      <c r="M18" s="1"/>
      <c r="N18" s="1"/>
      <c r="O18" s="1">
        <v>25</v>
      </c>
      <c r="P18" s="1">
        <v>0</v>
      </c>
      <c r="Q18" s="1"/>
      <c r="R18" s="1">
        <f t="shared" si="3"/>
        <v>2.4</v>
      </c>
      <c r="S18" s="5">
        <f t="shared" si="7"/>
        <v>8.6000000000000014</v>
      </c>
      <c r="T18" s="1">
        <f t="shared" si="4"/>
        <v>14.000000000000002</v>
      </c>
      <c r="U18" s="1">
        <f t="shared" si="5"/>
        <v>10.416666666666668</v>
      </c>
      <c r="V18" s="1">
        <v>0</v>
      </c>
      <c r="W18" s="1">
        <v>1.4</v>
      </c>
      <c r="X18" s="1">
        <v>1.4</v>
      </c>
      <c r="Y18" s="1">
        <v>0.2</v>
      </c>
      <c r="Z18" s="1">
        <v>6</v>
      </c>
      <c r="AA18" s="1">
        <v>3.2</v>
      </c>
      <c r="AB18" s="1"/>
      <c r="AC18" s="1">
        <f t="shared" si="6"/>
        <v>1.2900000000000003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45</v>
      </c>
      <c r="B19" s="1" t="s">
        <v>33</v>
      </c>
      <c r="C19" s="1">
        <v>12.824</v>
      </c>
      <c r="D19" s="1">
        <v>83.168000000000006</v>
      </c>
      <c r="E19" s="1">
        <v>11.887</v>
      </c>
      <c r="F19" s="1">
        <v>77.599999999999994</v>
      </c>
      <c r="G19" s="7">
        <v>1</v>
      </c>
      <c r="H19" s="1">
        <v>120</v>
      </c>
      <c r="I19" s="1">
        <v>5708</v>
      </c>
      <c r="J19" s="1"/>
      <c r="K19" s="1">
        <v>23.5</v>
      </c>
      <c r="L19" s="1">
        <f t="shared" si="2"/>
        <v>-11.613</v>
      </c>
      <c r="M19" s="1"/>
      <c r="N19" s="1"/>
      <c r="O19" s="1">
        <v>75</v>
      </c>
      <c r="P19" s="1">
        <v>0</v>
      </c>
      <c r="Q19" s="1"/>
      <c r="R19" s="1">
        <f t="shared" si="3"/>
        <v>2.3774000000000002</v>
      </c>
      <c r="S19" s="5"/>
      <c r="T19" s="1">
        <f t="shared" si="4"/>
        <v>64.187768150079918</v>
      </c>
      <c r="U19" s="1">
        <f t="shared" si="5"/>
        <v>64.187768150079918</v>
      </c>
      <c r="V19" s="1">
        <v>3.0162</v>
      </c>
      <c r="W19" s="1">
        <v>7.0650000000000004</v>
      </c>
      <c r="X19" s="1">
        <v>2.3460000000000001</v>
      </c>
      <c r="Y19" s="1">
        <v>3.508</v>
      </c>
      <c r="Z19" s="1">
        <v>3.726</v>
      </c>
      <c r="AA19" s="1">
        <v>1.4081999999999999</v>
      </c>
      <c r="AB19" s="13" t="s">
        <v>46</v>
      </c>
      <c r="AC19" s="1">
        <f t="shared" si="6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47</v>
      </c>
      <c r="B20" s="1" t="s">
        <v>31</v>
      </c>
      <c r="C20" s="1">
        <v>180</v>
      </c>
      <c r="D20" s="1">
        <v>286</v>
      </c>
      <c r="E20" s="1">
        <v>157</v>
      </c>
      <c r="F20" s="1">
        <v>108</v>
      </c>
      <c r="G20" s="7">
        <v>0.4</v>
      </c>
      <c r="H20" s="1">
        <v>45</v>
      </c>
      <c r="I20" s="1">
        <v>5819</v>
      </c>
      <c r="J20" s="1"/>
      <c r="K20" s="1">
        <v>156</v>
      </c>
      <c r="L20" s="1">
        <f t="shared" si="2"/>
        <v>1</v>
      </c>
      <c r="M20" s="1"/>
      <c r="N20" s="1"/>
      <c r="O20" s="1">
        <v>60</v>
      </c>
      <c r="P20" s="1">
        <v>160</v>
      </c>
      <c r="Q20" s="1">
        <v>160</v>
      </c>
      <c r="R20" s="1">
        <f t="shared" si="3"/>
        <v>31.4</v>
      </c>
      <c r="S20" s="5"/>
      <c r="T20" s="1">
        <f t="shared" si="4"/>
        <v>15.54140127388535</v>
      </c>
      <c r="U20" s="1">
        <f t="shared" si="5"/>
        <v>15.54140127388535</v>
      </c>
      <c r="V20" s="1">
        <v>39.799999999999997</v>
      </c>
      <c r="W20" s="1">
        <v>30.4</v>
      </c>
      <c r="X20" s="1">
        <v>33.4</v>
      </c>
      <c r="Y20" s="1">
        <v>17.399999999999999</v>
      </c>
      <c r="Z20" s="1">
        <v>29.4</v>
      </c>
      <c r="AA20" s="1">
        <v>27.2</v>
      </c>
      <c r="AB20" s="1"/>
      <c r="AC20" s="1">
        <f t="shared" si="6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48</v>
      </c>
      <c r="B21" s="1" t="s">
        <v>33</v>
      </c>
      <c r="C21" s="1">
        <v>149.32</v>
      </c>
      <c r="D21" s="1">
        <v>281.452</v>
      </c>
      <c r="E21" s="1">
        <v>88.525000000000006</v>
      </c>
      <c r="F21" s="1">
        <v>283.36</v>
      </c>
      <c r="G21" s="7">
        <v>1</v>
      </c>
      <c r="H21" s="1">
        <v>60</v>
      </c>
      <c r="I21" s="1">
        <v>5851</v>
      </c>
      <c r="J21" s="1"/>
      <c r="K21" s="1">
        <v>86.8</v>
      </c>
      <c r="L21" s="1">
        <f t="shared" si="2"/>
        <v>1.7250000000000085</v>
      </c>
      <c r="M21" s="1"/>
      <c r="N21" s="1"/>
      <c r="O21" s="1">
        <v>120</v>
      </c>
      <c r="P21" s="1">
        <v>0</v>
      </c>
      <c r="Q21" s="1"/>
      <c r="R21" s="1">
        <f t="shared" si="3"/>
        <v>17.705000000000002</v>
      </c>
      <c r="S21" s="5"/>
      <c r="T21" s="1">
        <f t="shared" si="4"/>
        <v>22.78226489692177</v>
      </c>
      <c r="U21" s="1">
        <f t="shared" si="5"/>
        <v>22.78226489692177</v>
      </c>
      <c r="V21" s="1">
        <v>11.230600000000001</v>
      </c>
      <c r="W21" s="1">
        <v>31.431000000000001</v>
      </c>
      <c r="X21" s="1">
        <v>23.541599999999999</v>
      </c>
      <c r="Y21" s="1">
        <v>20.12</v>
      </c>
      <c r="Z21" s="1">
        <v>23.421399999999998</v>
      </c>
      <c r="AA21" s="1">
        <v>19.7346</v>
      </c>
      <c r="AB21" s="1"/>
      <c r="AC21" s="1">
        <f t="shared" si="6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49</v>
      </c>
      <c r="B22" s="1" t="s">
        <v>31</v>
      </c>
      <c r="C22" s="1">
        <v>160</v>
      </c>
      <c r="D22" s="1">
        <v>279</v>
      </c>
      <c r="E22" s="1">
        <v>196</v>
      </c>
      <c r="F22" s="1">
        <v>129</v>
      </c>
      <c r="G22" s="7">
        <v>0.22</v>
      </c>
      <c r="H22" s="1">
        <v>120</v>
      </c>
      <c r="I22" s="1">
        <v>5931</v>
      </c>
      <c r="J22" s="1"/>
      <c r="K22" s="1">
        <v>200</v>
      </c>
      <c r="L22" s="1">
        <f t="shared" si="2"/>
        <v>-4</v>
      </c>
      <c r="M22" s="1"/>
      <c r="N22" s="1"/>
      <c r="O22" s="1">
        <v>125</v>
      </c>
      <c r="P22" s="1">
        <v>119</v>
      </c>
      <c r="Q22" s="1">
        <v>120</v>
      </c>
      <c r="R22" s="1">
        <f t="shared" si="3"/>
        <v>39.200000000000003</v>
      </c>
      <c r="S22" s="5">
        <f t="shared" si="7"/>
        <v>55.800000000000068</v>
      </c>
      <c r="T22" s="1">
        <f t="shared" si="4"/>
        <v>14</v>
      </c>
      <c r="U22" s="1">
        <f t="shared" si="5"/>
        <v>12.576530612244897</v>
      </c>
      <c r="V22" s="1">
        <v>46.6</v>
      </c>
      <c r="W22" s="1">
        <v>40.4</v>
      </c>
      <c r="X22" s="1">
        <v>43.2</v>
      </c>
      <c r="Y22" s="1">
        <v>45</v>
      </c>
      <c r="Z22" s="1">
        <v>49.2</v>
      </c>
      <c r="AA22" s="1">
        <v>40</v>
      </c>
      <c r="AB22" s="1"/>
      <c r="AC22" s="1">
        <f t="shared" si="6"/>
        <v>12.276000000000016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50</v>
      </c>
      <c r="B23" s="1" t="s">
        <v>33</v>
      </c>
      <c r="C23" s="1">
        <v>87.481999999999999</v>
      </c>
      <c r="D23" s="1">
        <v>14.116</v>
      </c>
      <c r="E23" s="1">
        <v>10.576000000000001</v>
      </c>
      <c r="F23" s="1">
        <v>88</v>
      </c>
      <c r="G23" s="7">
        <v>1</v>
      </c>
      <c r="H23" s="1"/>
      <c r="I23" s="1"/>
      <c r="J23" s="1"/>
      <c r="K23" s="1">
        <v>12.8</v>
      </c>
      <c r="L23" s="1">
        <f t="shared" si="2"/>
        <v>-2.2240000000000002</v>
      </c>
      <c r="M23" s="1"/>
      <c r="N23" s="1"/>
      <c r="O23" s="1"/>
      <c r="P23" s="1">
        <v>41</v>
      </c>
      <c r="Q23" s="1">
        <v>42</v>
      </c>
      <c r="R23" s="1">
        <f t="shared" si="3"/>
        <v>2.1152000000000002</v>
      </c>
      <c r="S23" s="5"/>
      <c r="T23" s="1">
        <f t="shared" si="4"/>
        <v>80.843419062027223</v>
      </c>
      <c r="U23" s="1">
        <f t="shared" si="5"/>
        <v>80.843419062027223</v>
      </c>
      <c r="V23" s="1">
        <v>12.4244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3" t="s">
        <v>46</v>
      </c>
      <c r="AC23" s="1">
        <f t="shared" si="6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51</v>
      </c>
      <c r="B24" s="1" t="s">
        <v>31</v>
      </c>
      <c r="C24" s="1">
        <v>7</v>
      </c>
      <c r="D24" s="1">
        <v>143</v>
      </c>
      <c r="E24" s="1">
        <v>3</v>
      </c>
      <c r="F24" s="1">
        <v>123</v>
      </c>
      <c r="G24" s="7">
        <v>0.15</v>
      </c>
      <c r="H24" s="1">
        <v>45</v>
      </c>
      <c r="I24" s="1">
        <v>6208</v>
      </c>
      <c r="J24" s="1"/>
      <c r="K24" s="1">
        <v>15</v>
      </c>
      <c r="L24" s="1">
        <f t="shared" si="2"/>
        <v>-12</v>
      </c>
      <c r="M24" s="1"/>
      <c r="N24" s="1"/>
      <c r="O24" s="1">
        <v>125</v>
      </c>
      <c r="P24" s="1">
        <v>0</v>
      </c>
      <c r="Q24" s="1"/>
      <c r="R24" s="1">
        <f t="shared" si="3"/>
        <v>0.6</v>
      </c>
      <c r="S24" s="5"/>
      <c r="T24" s="1">
        <f t="shared" si="4"/>
        <v>413.33333333333337</v>
      </c>
      <c r="U24" s="1">
        <f t="shared" si="5"/>
        <v>413.33333333333337</v>
      </c>
      <c r="V24" s="1">
        <v>6.4</v>
      </c>
      <c r="W24" s="1">
        <v>12.4</v>
      </c>
      <c r="X24" s="1">
        <v>1.4</v>
      </c>
      <c r="Y24" s="1">
        <v>1</v>
      </c>
      <c r="Z24" s="1">
        <v>0.6</v>
      </c>
      <c r="AA24" s="1">
        <v>5.4</v>
      </c>
      <c r="AB24" s="1"/>
      <c r="AC24" s="1">
        <f t="shared" si="6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52</v>
      </c>
      <c r="B25" s="1" t="s">
        <v>33</v>
      </c>
      <c r="C25" s="1">
        <v>260.57600000000002</v>
      </c>
      <c r="D25" s="1">
        <v>44.643999999999998</v>
      </c>
      <c r="E25" s="1">
        <v>96.144000000000005</v>
      </c>
      <c r="F25" s="1">
        <v>198.4</v>
      </c>
      <c r="G25" s="7">
        <v>1</v>
      </c>
      <c r="H25" s="1">
        <v>60</v>
      </c>
      <c r="I25" s="1">
        <v>6220</v>
      </c>
      <c r="J25" s="1"/>
      <c r="K25" s="1">
        <v>92.5</v>
      </c>
      <c r="L25" s="1">
        <f t="shared" si="2"/>
        <v>3.6440000000000055</v>
      </c>
      <c r="M25" s="1"/>
      <c r="N25" s="1"/>
      <c r="O25" s="1">
        <v>0</v>
      </c>
      <c r="P25" s="1">
        <v>0</v>
      </c>
      <c r="Q25" s="1"/>
      <c r="R25" s="1">
        <f t="shared" si="3"/>
        <v>19.2288</v>
      </c>
      <c r="S25" s="5">
        <f t="shared" si="7"/>
        <v>70.803199999999975</v>
      </c>
      <c r="T25" s="1">
        <f t="shared" si="4"/>
        <v>14</v>
      </c>
      <c r="U25" s="1">
        <f t="shared" si="5"/>
        <v>10.317856548510568</v>
      </c>
      <c r="V25" s="1">
        <v>4.0523999999999996</v>
      </c>
      <c r="W25" s="1">
        <v>4.8731999999999998</v>
      </c>
      <c r="X25" s="1">
        <v>18.799199999999999</v>
      </c>
      <c r="Y25" s="1">
        <v>6.53</v>
      </c>
      <c r="Z25" s="1">
        <v>11.285399999999999</v>
      </c>
      <c r="AA25" s="1">
        <v>11.37</v>
      </c>
      <c r="AB25" s="1"/>
      <c r="AC25" s="1">
        <f t="shared" si="6"/>
        <v>70.803199999999975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53</v>
      </c>
      <c r="B26" s="1" t="s">
        <v>31</v>
      </c>
      <c r="C26" s="1">
        <v>74</v>
      </c>
      <c r="D26" s="1">
        <v>148</v>
      </c>
      <c r="E26" s="1">
        <v>72</v>
      </c>
      <c r="F26" s="1">
        <v>102</v>
      </c>
      <c r="G26" s="7">
        <v>0.09</v>
      </c>
      <c r="H26" s="1">
        <v>60</v>
      </c>
      <c r="I26" s="1">
        <v>6221</v>
      </c>
      <c r="J26" s="1"/>
      <c r="K26" s="1">
        <v>65</v>
      </c>
      <c r="L26" s="1">
        <f t="shared" si="2"/>
        <v>7</v>
      </c>
      <c r="M26" s="1"/>
      <c r="N26" s="1"/>
      <c r="O26" s="1">
        <v>60</v>
      </c>
      <c r="P26" s="1">
        <v>0</v>
      </c>
      <c r="Q26" s="1"/>
      <c r="R26" s="1">
        <f t="shared" si="3"/>
        <v>14.4</v>
      </c>
      <c r="S26" s="5">
        <f t="shared" si="7"/>
        <v>39.599999999999994</v>
      </c>
      <c r="T26" s="1">
        <f t="shared" si="4"/>
        <v>14</v>
      </c>
      <c r="U26" s="1">
        <f t="shared" si="5"/>
        <v>11.25</v>
      </c>
      <c r="V26" s="1">
        <v>7.8</v>
      </c>
      <c r="W26" s="1">
        <v>14.6</v>
      </c>
      <c r="X26" s="1">
        <v>14.4</v>
      </c>
      <c r="Y26" s="1">
        <v>9.4</v>
      </c>
      <c r="Z26" s="1">
        <v>11.4</v>
      </c>
      <c r="AA26" s="1">
        <v>12</v>
      </c>
      <c r="AB26" s="1"/>
      <c r="AC26" s="1">
        <f t="shared" si="6"/>
        <v>3.5639999999999992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54</v>
      </c>
      <c r="B27" s="1" t="s">
        <v>31</v>
      </c>
      <c r="C27" s="1">
        <v>81</v>
      </c>
      <c r="D27" s="1">
        <v>155</v>
      </c>
      <c r="E27" s="1">
        <v>70</v>
      </c>
      <c r="F27" s="1">
        <v>84</v>
      </c>
      <c r="G27" s="7">
        <v>0.09</v>
      </c>
      <c r="H27" s="1">
        <v>45</v>
      </c>
      <c r="I27" s="1">
        <v>6228</v>
      </c>
      <c r="J27" s="1"/>
      <c r="K27" s="1">
        <v>66</v>
      </c>
      <c r="L27" s="1">
        <f t="shared" si="2"/>
        <v>4</v>
      </c>
      <c r="M27" s="1"/>
      <c r="N27" s="1"/>
      <c r="O27" s="1">
        <v>0</v>
      </c>
      <c r="P27" s="1">
        <v>109</v>
      </c>
      <c r="Q27" s="1">
        <v>109</v>
      </c>
      <c r="R27" s="1">
        <f t="shared" si="3"/>
        <v>14</v>
      </c>
      <c r="S27" s="5"/>
      <c r="T27" s="1">
        <f t="shared" si="4"/>
        <v>21.571428571428573</v>
      </c>
      <c r="U27" s="1">
        <f t="shared" si="5"/>
        <v>21.571428571428573</v>
      </c>
      <c r="V27" s="1">
        <v>24</v>
      </c>
      <c r="W27" s="1">
        <v>9.4</v>
      </c>
      <c r="X27" s="1">
        <v>20.6</v>
      </c>
      <c r="Y27" s="1">
        <v>11.8</v>
      </c>
      <c r="Z27" s="1">
        <v>11.2</v>
      </c>
      <c r="AA27" s="1">
        <v>7.2</v>
      </c>
      <c r="AB27" s="1"/>
      <c r="AC27" s="1">
        <f t="shared" si="6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idden="1" x14ac:dyDescent="0.25">
      <c r="A28" s="9" t="s">
        <v>55</v>
      </c>
      <c r="B28" s="9" t="s">
        <v>31</v>
      </c>
      <c r="C28" s="9">
        <v>-1</v>
      </c>
      <c r="D28" s="9">
        <v>1</v>
      </c>
      <c r="E28" s="9"/>
      <c r="F28" s="9"/>
      <c r="G28" s="10">
        <v>0</v>
      </c>
      <c r="H28" s="9"/>
      <c r="I28" s="9" t="s">
        <v>56</v>
      </c>
      <c r="J28" s="9" t="s">
        <v>57</v>
      </c>
      <c r="K28" s="9">
        <v>12</v>
      </c>
      <c r="L28" s="9">
        <f t="shared" si="2"/>
        <v>-12</v>
      </c>
      <c r="M28" s="9"/>
      <c r="N28" s="9"/>
      <c r="O28" s="9"/>
      <c r="P28" s="9">
        <v>0</v>
      </c>
      <c r="Q28" s="9"/>
      <c r="R28" s="9">
        <f t="shared" si="3"/>
        <v>0</v>
      </c>
      <c r="S28" s="11"/>
      <c r="T28" s="9" t="e">
        <f t="shared" si="4"/>
        <v>#DIV/0!</v>
      </c>
      <c r="U28" s="9" t="e">
        <f t="shared" si="5"/>
        <v>#DIV/0!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/>
      <c r="AC28" s="9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58</v>
      </c>
      <c r="B29" s="1" t="s">
        <v>31</v>
      </c>
      <c r="C29" s="1">
        <v>44</v>
      </c>
      <c r="D29" s="1">
        <v>89</v>
      </c>
      <c r="E29" s="1">
        <v>66</v>
      </c>
      <c r="F29" s="1">
        <v>31</v>
      </c>
      <c r="G29" s="7">
        <v>0.15</v>
      </c>
      <c r="H29" s="1">
        <v>45</v>
      </c>
      <c r="I29" s="1">
        <v>6279</v>
      </c>
      <c r="J29" s="1"/>
      <c r="K29" s="1">
        <v>92</v>
      </c>
      <c r="L29" s="1">
        <f t="shared" si="2"/>
        <v>-26</v>
      </c>
      <c r="M29" s="1"/>
      <c r="N29" s="1"/>
      <c r="O29" s="1">
        <v>0</v>
      </c>
      <c r="P29" s="1">
        <v>148</v>
      </c>
      <c r="Q29" s="1">
        <v>148</v>
      </c>
      <c r="R29" s="1">
        <f t="shared" si="3"/>
        <v>13.2</v>
      </c>
      <c r="S29" s="5"/>
      <c r="T29" s="1">
        <f t="shared" si="4"/>
        <v>24.772727272727273</v>
      </c>
      <c r="U29" s="1">
        <f t="shared" si="5"/>
        <v>24.772727272727273</v>
      </c>
      <c r="V29" s="1">
        <v>34.799999999999997</v>
      </c>
      <c r="W29" s="1">
        <v>1.8</v>
      </c>
      <c r="X29" s="1">
        <v>13.4</v>
      </c>
      <c r="Y29" s="1">
        <v>15.4</v>
      </c>
      <c r="Z29" s="1">
        <v>5.2</v>
      </c>
      <c r="AA29" s="1">
        <v>11.8</v>
      </c>
      <c r="AB29" s="1"/>
      <c r="AC29" s="1">
        <f t="shared" ref="AC29:AC65" si="8">G29*S29</f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59</v>
      </c>
      <c r="B30" s="1" t="s">
        <v>33</v>
      </c>
      <c r="C30" s="1">
        <v>342.53199999999998</v>
      </c>
      <c r="D30" s="1">
        <v>369.33199999999999</v>
      </c>
      <c r="E30" s="1">
        <v>297.56099999999998</v>
      </c>
      <c r="F30" s="1">
        <v>163.239</v>
      </c>
      <c r="G30" s="7">
        <v>1</v>
      </c>
      <c r="H30" s="1">
        <v>45</v>
      </c>
      <c r="I30" s="1">
        <v>6303</v>
      </c>
      <c r="J30" s="1"/>
      <c r="K30" s="1">
        <v>275.44400000000002</v>
      </c>
      <c r="L30" s="1">
        <f t="shared" si="2"/>
        <v>22.116999999999962</v>
      </c>
      <c r="M30" s="1"/>
      <c r="N30" s="1"/>
      <c r="O30" s="1">
        <v>0</v>
      </c>
      <c r="P30" s="1">
        <v>236</v>
      </c>
      <c r="Q30" s="1">
        <v>237</v>
      </c>
      <c r="R30" s="1">
        <f t="shared" si="3"/>
        <v>59.512199999999993</v>
      </c>
      <c r="S30" s="5">
        <f t="shared" ref="S29:S65" si="9">14*R30-Q30-P30-O30-F30</f>
        <v>196.93179999999987</v>
      </c>
      <c r="T30" s="1">
        <f t="shared" si="4"/>
        <v>14</v>
      </c>
      <c r="U30" s="1">
        <f t="shared" si="5"/>
        <v>10.69090035320489</v>
      </c>
      <c r="V30" s="1">
        <v>62.627200000000002</v>
      </c>
      <c r="W30" s="1">
        <v>30.008800000000001</v>
      </c>
      <c r="X30" s="1">
        <v>37.003999999999998</v>
      </c>
      <c r="Y30" s="1">
        <v>51.902200000000001</v>
      </c>
      <c r="Z30" s="1">
        <v>56.673999999999999</v>
      </c>
      <c r="AA30" s="1">
        <v>41.094799999999999</v>
      </c>
      <c r="AB30" s="1"/>
      <c r="AC30" s="1">
        <f t="shared" si="8"/>
        <v>196.93179999999987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60</v>
      </c>
      <c r="B31" s="1" t="s">
        <v>31</v>
      </c>
      <c r="C31" s="1">
        <v>-3</v>
      </c>
      <c r="D31" s="1">
        <v>163</v>
      </c>
      <c r="E31" s="1">
        <v>22</v>
      </c>
      <c r="F31" s="1">
        <v>105</v>
      </c>
      <c r="G31" s="7">
        <v>0.4</v>
      </c>
      <c r="H31" s="1">
        <v>60</v>
      </c>
      <c r="I31" s="1">
        <v>6325</v>
      </c>
      <c r="J31" s="1"/>
      <c r="K31" s="1">
        <v>42</v>
      </c>
      <c r="L31" s="1">
        <f t="shared" si="2"/>
        <v>-20</v>
      </c>
      <c r="M31" s="1"/>
      <c r="N31" s="1"/>
      <c r="O31" s="1">
        <v>135</v>
      </c>
      <c r="P31" s="1">
        <v>0</v>
      </c>
      <c r="Q31" s="1"/>
      <c r="R31" s="1">
        <f t="shared" si="3"/>
        <v>4.4000000000000004</v>
      </c>
      <c r="S31" s="5"/>
      <c r="T31" s="1">
        <f t="shared" si="4"/>
        <v>54.54545454545454</v>
      </c>
      <c r="U31" s="1">
        <f t="shared" si="5"/>
        <v>54.54545454545454</v>
      </c>
      <c r="V31" s="1">
        <v>4.8</v>
      </c>
      <c r="W31" s="1">
        <v>20.2</v>
      </c>
      <c r="X31" s="1">
        <v>9</v>
      </c>
      <c r="Y31" s="1">
        <v>9.1999999999999993</v>
      </c>
      <c r="Z31" s="1">
        <v>12.6</v>
      </c>
      <c r="AA31" s="1">
        <v>6</v>
      </c>
      <c r="AB31" s="1"/>
      <c r="AC31" s="1">
        <f t="shared" si="8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61</v>
      </c>
      <c r="B32" s="1" t="s">
        <v>31</v>
      </c>
      <c r="C32" s="1">
        <v>275</v>
      </c>
      <c r="D32" s="1">
        <v>292</v>
      </c>
      <c r="E32" s="1">
        <v>281</v>
      </c>
      <c r="F32" s="1">
        <v>198</v>
      </c>
      <c r="G32" s="7">
        <v>0.4</v>
      </c>
      <c r="H32" s="1">
        <v>60</v>
      </c>
      <c r="I32" s="1">
        <v>6333</v>
      </c>
      <c r="J32" s="1"/>
      <c r="K32" s="1">
        <v>360</v>
      </c>
      <c r="L32" s="1">
        <f t="shared" si="2"/>
        <v>-79</v>
      </c>
      <c r="M32" s="1"/>
      <c r="N32" s="1"/>
      <c r="O32" s="1">
        <v>155</v>
      </c>
      <c r="P32" s="1">
        <v>199</v>
      </c>
      <c r="Q32" s="1">
        <v>200</v>
      </c>
      <c r="R32" s="1">
        <f t="shared" si="3"/>
        <v>56.2</v>
      </c>
      <c r="S32" s="5">
        <f t="shared" si="9"/>
        <v>34.800000000000068</v>
      </c>
      <c r="T32" s="1">
        <f t="shared" si="4"/>
        <v>14</v>
      </c>
      <c r="U32" s="1">
        <f t="shared" si="5"/>
        <v>13.380782918149466</v>
      </c>
      <c r="V32" s="1">
        <v>71.599999999999994</v>
      </c>
      <c r="W32" s="1">
        <v>65.2</v>
      </c>
      <c r="X32" s="1">
        <v>40.200000000000003</v>
      </c>
      <c r="Y32" s="1">
        <v>72.400000000000006</v>
      </c>
      <c r="Z32" s="1">
        <v>67.400000000000006</v>
      </c>
      <c r="AA32" s="1">
        <v>48.4</v>
      </c>
      <c r="AB32" s="1"/>
      <c r="AC32" s="1">
        <f t="shared" si="8"/>
        <v>13.920000000000028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62</v>
      </c>
      <c r="B33" s="1" t="s">
        <v>31</v>
      </c>
      <c r="C33" s="1">
        <v>190</v>
      </c>
      <c r="D33" s="1">
        <v>135</v>
      </c>
      <c r="E33" s="1">
        <v>213</v>
      </c>
      <c r="F33" s="1">
        <v>41</v>
      </c>
      <c r="G33" s="7">
        <v>0.4</v>
      </c>
      <c r="H33" s="1">
        <v>60</v>
      </c>
      <c r="I33" s="1">
        <v>6353</v>
      </c>
      <c r="J33" s="1"/>
      <c r="K33" s="1">
        <v>216</v>
      </c>
      <c r="L33" s="1">
        <f t="shared" si="2"/>
        <v>-3</v>
      </c>
      <c r="M33" s="1"/>
      <c r="N33" s="1"/>
      <c r="O33" s="1">
        <v>0</v>
      </c>
      <c r="P33" s="1">
        <v>266</v>
      </c>
      <c r="Q33" s="1">
        <v>267</v>
      </c>
      <c r="R33" s="1">
        <f t="shared" si="3"/>
        <v>42.6</v>
      </c>
      <c r="S33" s="5">
        <f t="shared" si="9"/>
        <v>22.399999999999977</v>
      </c>
      <c r="T33" s="1">
        <f t="shared" si="4"/>
        <v>13.999999999999998</v>
      </c>
      <c r="U33" s="1">
        <f t="shared" si="5"/>
        <v>13.474178403755868</v>
      </c>
      <c r="V33" s="1">
        <v>57</v>
      </c>
      <c r="W33" s="1">
        <v>48.2</v>
      </c>
      <c r="X33" s="1">
        <v>28.2</v>
      </c>
      <c r="Y33" s="1">
        <v>33.200000000000003</v>
      </c>
      <c r="Z33" s="1">
        <v>67.400000000000006</v>
      </c>
      <c r="AA33" s="1">
        <v>35.200000000000003</v>
      </c>
      <c r="AB33" s="1"/>
      <c r="AC33" s="1">
        <f t="shared" si="8"/>
        <v>8.959999999999992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63</v>
      </c>
      <c r="B34" s="1" t="s">
        <v>31</v>
      </c>
      <c r="C34" s="1">
        <v>175</v>
      </c>
      <c r="D34" s="1">
        <v>613</v>
      </c>
      <c r="E34" s="1">
        <v>285</v>
      </c>
      <c r="F34" s="1">
        <v>177</v>
      </c>
      <c r="G34" s="7">
        <v>0.4</v>
      </c>
      <c r="H34" s="1">
        <v>60</v>
      </c>
      <c r="I34" s="1">
        <v>6392</v>
      </c>
      <c r="J34" s="1"/>
      <c r="K34" s="1">
        <v>285</v>
      </c>
      <c r="L34" s="1">
        <f t="shared" si="2"/>
        <v>0</v>
      </c>
      <c r="M34" s="1"/>
      <c r="N34" s="1"/>
      <c r="O34" s="1">
        <v>250</v>
      </c>
      <c r="P34" s="1">
        <v>128</v>
      </c>
      <c r="Q34" s="1">
        <v>128</v>
      </c>
      <c r="R34" s="1">
        <f t="shared" si="3"/>
        <v>57</v>
      </c>
      <c r="S34" s="5">
        <f t="shared" si="9"/>
        <v>115</v>
      </c>
      <c r="T34" s="1">
        <f t="shared" si="4"/>
        <v>14</v>
      </c>
      <c r="U34" s="1">
        <f t="shared" si="5"/>
        <v>11.982456140350877</v>
      </c>
      <c r="V34" s="1">
        <v>67.8</v>
      </c>
      <c r="W34" s="1">
        <v>64.599999999999994</v>
      </c>
      <c r="X34" s="1">
        <v>57.2</v>
      </c>
      <c r="Y34" s="1">
        <v>63.2</v>
      </c>
      <c r="Z34" s="1">
        <v>67.599999999999994</v>
      </c>
      <c r="AA34" s="1">
        <v>52.8</v>
      </c>
      <c r="AB34" s="1"/>
      <c r="AC34" s="1">
        <f t="shared" si="8"/>
        <v>46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64</v>
      </c>
      <c r="B35" s="1" t="s">
        <v>31</v>
      </c>
      <c r="C35" s="1">
        <v>87</v>
      </c>
      <c r="D35" s="1">
        <v>132</v>
      </c>
      <c r="E35" s="1">
        <v>88</v>
      </c>
      <c r="F35" s="1">
        <v>82</v>
      </c>
      <c r="G35" s="7">
        <v>0.1</v>
      </c>
      <c r="H35" s="1">
        <v>60</v>
      </c>
      <c r="I35" s="1">
        <v>6453</v>
      </c>
      <c r="J35" s="1"/>
      <c r="K35" s="1">
        <v>89</v>
      </c>
      <c r="L35" s="1">
        <f t="shared" si="2"/>
        <v>-1</v>
      </c>
      <c r="M35" s="1"/>
      <c r="N35" s="1"/>
      <c r="O35" s="1">
        <v>70</v>
      </c>
      <c r="P35" s="1">
        <v>148</v>
      </c>
      <c r="Q35" s="1">
        <v>148</v>
      </c>
      <c r="R35" s="1">
        <f t="shared" si="3"/>
        <v>17.600000000000001</v>
      </c>
      <c r="S35" s="5"/>
      <c r="T35" s="1">
        <f t="shared" si="4"/>
        <v>25.454545454545453</v>
      </c>
      <c r="U35" s="1">
        <f t="shared" si="5"/>
        <v>25.454545454545453</v>
      </c>
      <c r="V35" s="1">
        <v>37.6</v>
      </c>
      <c r="W35" s="1">
        <v>23.8</v>
      </c>
      <c r="X35" s="1">
        <v>15.6</v>
      </c>
      <c r="Y35" s="1">
        <v>20.6</v>
      </c>
      <c r="Z35" s="1">
        <v>38.6</v>
      </c>
      <c r="AA35" s="1">
        <v>20.399999999999999</v>
      </c>
      <c r="AB35" s="1"/>
      <c r="AC35" s="1">
        <f t="shared" si="8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65</v>
      </c>
      <c r="B36" s="1" t="s">
        <v>31</v>
      </c>
      <c r="C36" s="1">
        <v>5</v>
      </c>
      <c r="D36" s="1">
        <v>262</v>
      </c>
      <c r="E36" s="1">
        <v>166</v>
      </c>
      <c r="F36" s="1">
        <v>7</v>
      </c>
      <c r="G36" s="7">
        <v>0.1</v>
      </c>
      <c r="H36" s="1">
        <v>60</v>
      </c>
      <c r="I36" s="1">
        <v>6454</v>
      </c>
      <c r="J36" s="1"/>
      <c r="K36" s="1">
        <v>159</v>
      </c>
      <c r="L36" s="1">
        <f t="shared" si="2"/>
        <v>7</v>
      </c>
      <c r="M36" s="1"/>
      <c r="N36" s="1"/>
      <c r="O36" s="1">
        <v>150</v>
      </c>
      <c r="P36" s="1">
        <v>222</v>
      </c>
      <c r="Q36" s="1">
        <v>222</v>
      </c>
      <c r="R36" s="1">
        <f t="shared" si="3"/>
        <v>33.200000000000003</v>
      </c>
      <c r="S36" s="5"/>
      <c r="T36" s="1">
        <f t="shared" si="4"/>
        <v>18.102409638554214</v>
      </c>
      <c r="U36" s="1">
        <f t="shared" si="5"/>
        <v>18.102409638554214</v>
      </c>
      <c r="V36" s="1">
        <v>58.6</v>
      </c>
      <c r="W36" s="1">
        <v>40.799999999999997</v>
      </c>
      <c r="X36" s="1">
        <v>38.200000000000003</v>
      </c>
      <c r="Y36" s="1">
        <v>25.8</v>
      </c>
      <c r="Z36" s="1">
        <v>52.2</v>
      </c>
      <c r="AA36" s="1">
        <v>24.6</v>
      </c>
      <c r="AB36" s="1"/>
      <c r="AC36" s="1">
        <f t="shared" si="8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66</v>
      </c>
      <c r="B37" s="1" t="s">
        <v>31</v>
      </c>
      <c r="C37" s="1">
        <v>123</v>
      </c>
      <c r="D37" s="1">
        <v>75</v>
      </c>
      <c r="E37" s="1">
        <v>53</v>
      </c>
      <c r="F37" s="1">
        <v>106</v>
      </c>
      <c r="G37" s="7">
        <v>0.1</v>
      </c>
      <c r="H37" s="1">
        <v>45</v>
      </c>
      <c r="I37" s="1">
        <v>6459</v>
      </c>
      <c r="J37" s="1"/>
      <c r="K37" s="1">
        <v>53</v>
      </c>
      <c r="L37" s="1">
        <f t="shared" si="2"/>
        <v>0</v>
      </c>
      <c r="M37" s="1"/>
      <c r="N37" s="1"/>
      <c r="O37" s="1">
        <v>0</v>
      </c>
      <c r="P37" s="1">
        <v>0</v>
      </c>
      <c r="Q37" s="1"/>
      <c r="R37" s="1">
        <f t="shared" si="3"/>
        <v>10.6</v>
      </c>
      <c r="S37" s="5">
        <f t="shared" si="9"/>
        <v>42.400000000000006</v>
      </c>
      <c r="T37" s="1">
        <f t="shared" si="4"/>
        <v>14.000000000000002</v>
      </c>
      <c r="U37" s="1">
        <f t="shared" si="5"/>
        <v>10</v>
      </c>
      <c r="V37" s="1">
        <v>3.2</v>
      </c>
      <c r="W37" s="1">
        <v>-0.6</v>
      </c>
      <c r="X37" s="1">
        <v>8.1999999999999993</v>
      </c>
      <c r="Y37" s="1">
        <v>1.4</v>
      </c>
      <c r="Z37" s="1">
        <v>1.4</v>
      </c>
      <c r="AA37" s="1">
        <v>2.8</v>
      </c>
      <c r="AB37" s="1"/>
      <c r="AC37" s="1">
        <f t="shared" si="8"/>
        <v>4.2400000000000011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67</v>
      </c>
      <c r="B38" s="1" t="s">
        <v>33</v>
      </c>
      <c r="C38" s="1">
        <v>56.38</v>
      </c>
      <c r="D38" s="1">
        <v>1.175</v>
      </c>
      <c r="E38" s="1"/>
      <c r="F38" s="1">
        <v>57.555</v>
      </c>
      <c r="G38" s="7">
        <v>1</v>
      </c>
      <c r="H38" s="1"/>
      <c r="I38" s="1">
        <v>6470</v>
      </c>
      <c r="J38" s="1"/>
      <c r="K38" s="1"/>
      <c r="L38" s="1">
        <f t="shared" ref="L38:L69" si="10">E38-K38</f>
        <v>0</v>
      </c>
      <c r="M38" s="1"/>
      <c r="N38" s="1"/>
      <c r="O38" s="1">
        <v>0</v>
      </c>
      <c r="P38" s="1">
        <v>0</v>
      </c>
      <c r="Q38" s="1"/>
      <c r="R38" s="1">
        <f t="shared" ref="R38:R69" si="11">E38/5</f>
        <v>0</v>
      </c>
      <c r="S38" s="5"/>
      <c r="T38" s="1" t="e">
        <f t="shared" ref="T38:T69" si="12">(F38+O38+P38+Q38+S38)/R38</f>
        <v>#DIV/0!</v>
      </c>
      <c r="U38" s="1" t="e">
        <f t="shared" ref="U38:U69" si="13">(F38+O38+P38+Q38)/R38</f>
        <v>#DIV/0!</v>
      </c>
      <c r="V38" s="1">
        <v>1.6779999999999999</v>
      </c>
      <c r="W38" s="1">
        <v>0</v>
      </c>
      <c r="X38" s="1">
        <v>0.245</v>
      </c>
      <c r="Y38" s="1">
        <v>0</v>
      </c>
      <c r="Z38" s="1">
        <v>0</v>
      </c>
      <c r="AA38" s="1">
        <v>0</v>
      </c>
      <c r="AB38" s="14" t="s">
        <v>68</v>
      </c>
      <c r="AC38" s="1">
        <f t="shared" si="8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69</v>
      </c>
      <c r="B39" s="1" t="s">
        <v>31</v>
      </c>
      <c r="C39" s="1">
        <v>171</v>
      </c>
      <c r="D39" s="1">
        <v>141</v>
      </c>
      <c r="E39" s="1">
        <v>182</v>
      </c>
      <c r="F39" s="1">
        <v>66</v>
      </c>
      <c r="G39" s="7">
        <v>0.4</v>
      </c>
      <c r="H39" s="1">
        <v>45</v>
      </c>
      <c r="I39" s="1">
        <v>6475</v>
      </c>
      <c r="J39" s="1"/>
      <c r="K39" s="1">
        <v>188</v>
      </c>
      <c r="L39" s="1">
        <f t="shared" si="10"/>
        <v>-6</v>
      </c>
      <c r="M39" s="1"/>
      <c r="N39" s="1"/>
      <c r="O39" s="1">
        <v>0</v>
      </c>
      <c r="P39" s="1">
        <v>300</v>
      </c>
      <c r="Q39" s="1">
        <v>300</v>
      </c>
      <c r="R39" s="1">
        <f t="shared" si="11"/>
        <v>36.4</v>
      </c>
      <c r="S39" s="5"/>
      <c r="T39" s="1">
        <f t="shared" si="12"/>
        <v>18.296703296703296</v>
      </c>
      <c r="U39" s="1">
        <f t="shared" si="13"/>
        <v>18.296703296703296</v>
      </c>
      <c r="V39" s="1">
        <v>56.8</v>
      </c>
      <c r="W39" s="1">
        <v>33.799999999999997</v>
      </c>
      <c r="X39" s="1">
        <v>35.6</v>
      </c>
      <c r="Y39" s="1">
        <v>16.600000000000001</v>
      </c>
      <c r="Z39" s="1">
        <v>69</v>
      </c>
      <c r="AA39" s="1">
        <v>28.8</v>
      </c>
      <c r="AB39" s="1"/>
      <c r="AC39" s="1">
        <f t="shared" si="8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70</v>
      </c>
      <c r="B40" s="1" t="s">
        <v>31</v>
      </c>
      <c r="C40" s="1">
        <v>177</v>
      </c>
      <c r="D40" s="1">
        <v>15</v>
      </c>
      <c r="E40" s="1">
        <v>17</v>
      </c>
      <c r="F40" s="1">
        <v>173</v>
      </c>
      <c r="G40" s="7">
        <v>0.3</v>
      </c>
      <c r="H40" s="1"/>
      <c r="I40" s="1">
        <v>6495</v>
      </c>
      <c r="J40" s="1"/>
      <c r="K40" s="1">
        <v>19</v>
      </c>
      <c r="L40" s="1">
        <f t="shared" si="10"/>
        <v>-2</v>
      </c>
      <c r="M40" s="1"/>
      <c r="N40" s="1"/>
      <c r="O40" s="1">
        <v>0</v>
      </c>
      <c r="P40" s="1">
        <v>0</v>
      </c>
      <c r="Q40" s="1"/>
      <c r="R40" s="1">
        <f t="shared" si="11"/>
        <v>3.4</v>
      </c>
      <c r="S40" s="5"/>
      <c r="T40" s="1">
        <f t="shared" si="12"/>
        <v>50.882352941176471</v>
      </c>
      <c r="U40" s="1">
        <f t="shared" si="13"/>
        <v>50.882352941176471</v>
      </c>
      <c r="V40" s="1">
        <v>8.1999999999999993</v>
      </c>
      <c r="W40" s="1">
        <v>4.2</v>
      </c>
      <c r="X40" s="1">
        <v>0.2</v>
      </c>
      <c r="Y40" s="1">
        <v>0</v>
      </c>
      <c r="Z40" s="1">
        <v>0</v>
      </c>
      <c r="AA40" s="1">
        <v>0</v>
      </c>
      <c r="AB40" s="14" t="s">
        <v>68</v>
      </c>
      <c r="AC40" s="1">
        <f t="shared" si="8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71</v>
      </c>
      <c r="B41" s="1" t="s">
        <v>33</v>
      </c>
      <c r="C41" s="1">
        <v>180.70400000000001</v>
      </c>
      <c r="D41" s="1">
        <v>116.277</v>
      </c>
      <c r="E41" s="1">
        <v>84.376000000000005</v>
      </c>
      <c r="F41" s="1">
        <v>144</v>
      </c>
      <c r="G41" s="7">
        <v>1</v>
      </c>
      <c r="H41" s="1">
        <v>60</v>
      </c>
      <c r="I41" s="1">
        <v>6498</v>
      </c>
      <c r="J41" s="1"/>
      <c r="K41" s="1">
        <v>76.7</v>
      </c>
      <c r="L41" s="1">
        <f t="shared" si="10"/>
        <v>7.6760000000000019</v>
      </c>
      <c r="M41" s="1"/>
      <c r="N41" s="1"/>
      <c r="O41" s="1">
        <v>0</v>
      </c>
      <c r="P41" s="1">
        <v>52</v>
      </c>
      <c r="Q41" s="1">
        <v>51</v>
      </c>
      <c r="R41" s="1">
        <f t="shared" si="11"/>
        <v>16.8752</v>
      </c>
      <c r="S41" s="5"/>
      <c r="T41" s="1">
        <f t="shared" si="12"/>
        <v>14.636863563098512</v>
      </c>
      <c r="U41" s="1">
        <f t="shared" si="13"/>
        <v>14.636863563098512</v>
      </c>
      <c r="V41" s="1">
        <v>20.814599999999999</v>
      </c>
      <c r="W41" s="1">
        <v>3.6019999999999999</v>
      </c>
      <c r="X41" s="1">
        <v>20.556999999999999</v>
      </c>
      <c r="Y41" s="1">
        <v>16.373200000000001</v>
      </c>
      <c r="Z41" s="1">
        <v>10.4732</v>
      </c>
      <c r="AA41" s="1">
        <v>14.219799999999999</v>
      </c>
      <c r="AB41" s="1"/>
      <c r="AC41" s="1">
        <f t="shared" si="8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72</v>
      </c>
      <c r="B42" s="1" t="s">
        <v>33</v>
      </c>
      <c r="C42" s="1">
        <v>31.314</v>
      </c>
      <c r="D42" s="1">
        <v>104.157</v>
      </c>
      <c r="E42" s="1">
        <v>40.473999999999997</v>
      </c>
      <c r="F42" s="1">
        <v>53.746000000000002</v>
      </c>
      <c r="G42" s="7">
        <v>1</v>
      </c>
      <c r="H42" s="1">
        <v>45</v>
      </c>
      <c r="I42" s="1">
        <v>6527</v>
      </c>
      <c r="J42" s="1"/>
      <c r="K42" s="1">
        <v>42</v>
      </c>
      <c r="L42" s="1">
        <f t="shared" si="10"/>
        <v>-1.5260000000000034</v>
      </c>
      <c r="M42" s="1"/>
      <c r="N42" s="1"/>
      <c r="O42" s="1">
        <v>40</v>
      </c>
      <c r="P42" s="1">
        <v>116</v>
      </c>
      <c r="Q42" s="1">
        <v>115</v>
      </c>
      <c r="R42" s="1">
        <f t="shared" si="11"/>
        <v>8.0947999999999993</v>
      </c>
      <c r="S42" s="5"/>
      <c r="T42" s="1">
        <f t="shared" si="12"/>
        <v>40.117853436774226</v>
      </c>
      <c r="U42" s="1">
        <f t="shared" si="13"/>
        <v>40.117853436774226</v>
      </c>
      <c r="V42" s="1">
        <v>26.728999999999999</v>
      </c>
      <c r="W42" s="1">
        <v>16.625599999999999</v>
      </c>
      <c r="X42" s="1">
        <v>14.937200000000001</v>
      </c>
      <c r="Y42" s="1">
        <v>18.5396</v>
      </c>
      <c r="Z42" s="1">
        <v>19.953600000000002</v>
      </c>
      <c r="AA42" s="1">
        <v>17.642199999999999</v>
      </c>
      <c r="AB42" s="1"/>
      <c r="AC42" s="1">
        <f t="shared" si="8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73</v>
      </c>
      <c r="B43" s="1" t="s">
        <v>33</v>
      </c>
      <c r="C43" s="1">
        <v>-1.2070000000000001</v>
      </c>
      <c r="D43" s="1">
        <v>228.67099999999999</v>
      </c>
      <c r="E43" s="1">
        <v>78.853999999999999</v>
      </c>
      <c r="F43" s="1">
        <v>75.444000000000003</v>
      </c>
      <c r="G43" s="7">
        <v>1</v>
      </c>
      <c r="H43" s="1">
        <v>45</v>
      </c>
      <c r="I43" s="1">
        <v>6550</v>
      </c>
      <c r="J43" s="1"/>
      <c r="K43" s="1">
        <v>79.123999999999995</v>
      </c>
      <c r="L43" s="1">
        <f t="shared" si="10"/>
        <v>-0.26999999999999602</v>
      </c>
      <c r="M43" s="1"/>
      <c r="N43" s="1"/>
      <c r="O43" s="1">
        <v>120</v>
      </c>
      <c r="P43" s="1">
        <v>71</v>
      </c>
      <c r="Q43" s="1">
        <v>72</v>
      </c>
      <c r="R43" s="1">
        <f t="shared" si="11"/>
        <v>15.770799999999999</v>
      </c>
      <c r="S43" s="5"/>
      <c r="T43" s="1">
        <f t="shared" si="12"/>
        <v>21.460166890709413</v>
      </c>
      <c r="U43" s="1">
        <f t="shared" si="13"/>
        <v>21.460166890709413</v>
      </c>
      <c r="V43" s="1">
        <v>27.8246</v>
      </c>
      <c r="W43" s="1">
        <v>26.491800000000001</v>
      </c>
      <c r="X43" s="1">
        <v>19.845199999999998</v>
      </c>
      <c r="Y43" s="1">
        <v>21.102599999999999</v>
      </c>
      <c r="Z43" s="1">
        <v>20.839200000000002</v>
      </c>
      <c r="AA43" s="1">
        <v>14.5502</v>
      </c>
      <c r="AB43" s="1"/>
      <c r="AC43" s="1">
        <f t="shared" si="8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74</v>
      </c>
      <c r="B44" s="1" t="s">
        <v>31</v>
      </c>
      <c r="C44" s="1">
        <v>20</v>
      </c>
      <c r="D44" s="1">
        <v>33</v>
      </c>
      <c r="E44" s="1">
        <v>17</v>
      </c>
      <c r="F44" s="1">
        <v>8</v>
      </c>
      <c r="G44" s="7">
        <v>0.35</v>
      </c>
      <c r="H44" s="1">
        <v>45</v>
      </c>
      <c r="I44" s="1">
        <v>6602</v>
      </c>
      <c r="J44" s="1"/>
      <c r="K44" s="1">
        <v>34</v>
      </c>
      <c r="L44" s="1">
        <f t="shared" si="10"/>
        <v>-17</v>
      </c>
      <c r="M44" s="1"/>
      <c r="N44" s="1"/>
      <c r="O44" s="1">
        <v>0</v>
      </c>
      <c r="P44" s="1">
        <v>27</v>
      </c>
      <c r="Q44" s="1">
        <v>26</v>
      </c>
      <c r="R44" s="1">
        <f t="shared" si="11"/>
        <v>3.4</v>
      </c>
      <c r="S44" s="5"/>
      <c r="T44" s="1">
        <f t="shared" si="12"/>
        <v>17.941176470588236</v>
      </c>
      <c r="U44" s="1">
        <f t="shared" si="13"/>
        <v>17.941176470588236</v>
      </c>
      <c r="V44" s="1">
        <v>5.6</v>
      </c>
      <c r="W44" s="1">
        <v>4.2</v>
      </c>
      <c r="X44" s="1">
        <v>5</v>
      </c>
      <c r="Y44" s="1">
        <v>4</v>
      </c>
      <c r="Z44" s="1">
        <v>4</v>
      </c>
      <c r="AA44" s="1">
        <v>5.4</v>
      </c>
      <c r="AB44" s="1"/>
      <c r="AC44" s="1">
        <f t="shared" si="8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75</v>
      </c>
      <c r="B45" s="1" t="s">
        <v>33</v>
      </c>
      <c r="C45" s="1">
        <v>170.989</v>
      </c>
      <c r="D45" s="1">
        <v>69.388000000000005</v>
      </c>
      <c r="E45" s="1">
        <v>77.227999999999994</v>
      </c>
      <c r="F45" s="1">
        <v>123.03400000000001</v>
      </c>
      <c r="G45" s="7">
        <v>1</v>
      </c>
      <c r="H45" s="1">
        <v>45</v>
      </c>
      <c r="I45" s="1">
        <v>6608</v>
      </c>
      <c r="J45" s="1"/>
      <c r="K45" s="1">
        <v>77</v>
      </c>
      <c r="L45" s="1">
        <f t="shared" si="10"/>
        <v>0.22799999999999443</v>
      </c>
      <c r="M45" s="1"/>
      <c r="N45" s="1"/>
      <c r="O45" s="1">
        <v>0</v>
      </c>
      <c r="P45" s="1">
        <v>16</v>
      </c>
      <c r="Q45" s="1"/>
      <c r="R45" s="1">
        <f t="shared" si="11"/>
        <v>15.445599999999999</v>
      </c>
      <c r="S45" s="5">
        <f t="shared" si="9"/>
        <v>77.204399999999978</v>
      </c>
      <c r="T45" s="1">
        <f t="shared" si="12"/>
        <v>13.999999999999998</v>
      </c>
      <c r="U45" s="1">
        <f t="shared" si="13"/>
        <v>9.0015279432330253</v>
      </c>
      <c r="V45" s="1">
        <v>13.050800000000001</v>
      </c>
      <c r="W45" s="1">
        <v>15.378399999999999</v>
      </c>
      <c r="X45" s="1">
        <v>16.527000000000001</v>
      </c>
      <c r="Y45" s="1">
        <v>13.536799999999999</v>
      </c>
      <c r="Z45" s="1">
        <v>16.508800000000001</v>
      </c>
      <c r="AA45" s="1">
        <v>15.13</v>
      </c>
      <c r="AB45" s="1"/>
      <c r="AC45" s="1">
        <f t="shared" si="8"/>
        <v>77.204399999999978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76</v>
      </c>
      <c r="B46" s="1" t="s">
        <v>31</v>
      </c>
      <c r="C46" s="1">
        <v>126</v>
      </c>
      <c r="D46" s="1">
        <v>486</v>
      </c>
      <c r="E46" s="1">
        <v>179</v>
      </c>
      <c r="F46" s="1">
        <v>348</v>
      </c>
      <c r="G46" s="7">
        <v>0.3</v>
      </c>
      <c r="H46" s="1">
        <v>45</v>
      </c>
      <c r="I46" s="1">
        <v>6616</v>
      </c>
      <c r="J46" s="1"/>
      <c r="K46" s="1">
        <v>182</v>
      </c>
      <c r="L46" s="1">
        <f t="shared" si="10"/>
        <v>-3</v>
      </c>
      <c r="M46" s="1"/>
      <c r="N46" s="1"/>
      <c r="O46" s="1">
        <v>375</v>
      </c>
      <c r="P46" s="1">
        <v>21</v>
      </c>
      <c r="Q46" s="1"/>
      <c r="R46" s="1">
        <f t="shared" si="11"/>
        <v>35.799999999999997</v>
      </c>
      <c r="S46" s="5"/>
      <c r="T46" s="1">
        <f t="shared" si="12"/>
        <v>20.782122905027936</v>
      </c>
      <c r="U46" s="1">
        <f t="shared" si="13"/>
        <v>20.782122905027936</v>
      </c>
      <c r="V46" s="1">
        <v>64.8</v>
      </c>
      <c r="W46" s="1">
        <v>75.8</v>
      </c>
      <c r="X46" s="1">
        <v>57.2</v>
      </c>
      <c r="Y46" s="1">
        <v>53.4</v>
      </c>
      <c r="Z46" s="1">
        <v>77</v>
      </c>
      <c r="AA46" s="1">
        <v>47.8</v>
      </c>
      <c r="AB46" s="1"/>
      <c r="AC46" s="1">
        <f t="shared" si="8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77</v>
      </c>
      <c r="B47" s="1" t="s">
        <v>33</v>
      </c>
      <c r="C47" s="1">
        <v>18.106000000000002</v>
      </c>
      <c r="D47" s="1">
        <v>207.018</v>
      </c>
      <c r="E47" s="1">
        <v>37.438000000000002</v>
      </c>
      <c r="F47" s="1">
        <v>155</v>
      </c>
      <c r="G47" s="7">
        <v>1</v>
      </c>
      <c r="H47" s="1">
        <v>45</v>
      </c>
      <c r="I47" s="1">
        <v>6661</v>
      </c>
      <c r="J47" s="1"/>
      <c r="K47" s="1">
        <v>41.5</v>
      </c>
      <c r="L47" s="1">
        <f t="shared" si="10"/>
        <v>-4.0619999999999976</v>
      </c>
      <c r="M47" s="1"/>
      <c r="N47" s="1"/>
      <c r="O47" s="1">
        <v>150</v>
      </c>
      <c r="P47" s="1">
        <v>0</v>
      </c>
      <c r="Q47" s="1"/>
      <c r="R47" s="1">
        <f t="shared" si="11"/>
        <v>7.4876000000000005</v>
      </c>
      <c r="S47" s="5"/>
      <c r="T47" s="1">
        <f t="shared" si="12"/>
        <v>40.73401356910091</v>
      </c>
      <c r="U47" s="1">
        <f t="shared" si="13"/>
        <v>40.73401356910091</v>
      </c>
      <c r="V47" s="1">
        <v>18.929200000000002</v>
      </c>
      <c r="W47" s="1">
        <v>23.3964</v>
      </c>
      <c r="X47" s="1">
        <v>8.8699999999999992</v>
      </c>
      <c r="Y47" s="1">
        <v>15.527799999999999</v>
      </c>
      <c r="Z47" s="1">
        <v>14.678599999999999</v>
      </c>
      <c r="AA47" s="1">
        <v>9.5939999999999994</v>
      </c>
      <c r="AB47" s="1"/>
      <c r="AC47" s="1">
        <f t="shared" si="8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78</v>
      </c>
      <c r="B48" s="1" t="s">
        <v>31</v>
      </c>
      <c r="C48" s="1">
        <v>573</v>
      </c>
      <c r="D48" s="1">
        <v>343</v>
      </c>
      <c r="E48" s="1">
        <v>332</v>
      </c>
      <c r="F48" s="1">
        <v>308</v>
      </c>
      <c r="G48" s="7">
        <v>0.35</v>
      </c>
      <c r="H48" s="1">
        <v>45</v>
      </c>
      <c r="I48" s="1">
        <v>6697</v>
      </c>
      <c r="J48" s="1"/>
      <c r="K48" s="1">
        <v>334</v>
      </c>
      <c r="L48" s="1">
        <f t="shared" si="10"/>
        <v>-2</v>
      </c>
      <c r="M48" s="1"/>
      <c r="N48" s="1"/>
      <c r="O48" s="1">
        <v>0</v>
      </c>
      <c r="P48" s="1">
        <v>387</v>
      </c>
      <c r="Q48" s="1">
        <v>387</v>
      </c>
      <c r="R48" s="1">
        <f t="shared" si="11"/>
        <v>66.400000000000006</v>
      </c>
      <c r="S48" s="5"/>
      <c r="T48" s="1">
        <f t="shared" si="12"/>
        <v>16.295180722891565</v>
      </c>
      <c r="U48" s="1">
        <f t="shared" si="13"/>
        <v>16.295180722891565</v>
      </c>
      <c r="V48" s="1">
        <v>97</v>
      </c>
      <c r="W48" s="1">
        <v>35.4</v>
      </c>
      <c r="X48" s="1">
        <v>90.2</v>
      </c>
      <c r="Y48" s="1">
        <v>96.6</v>
      </c>
      <c r="Z48" s="1">
        <v>73.599999999999994</v>
      </c>
      <c r="AA48" s="1">
        <v>73.8</v>
      </c>
      <c r="AB48" s="1"/>
      <c r="AC48" s="1">
        <f t="shared" si="8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79</v>
      </c>
      <c r="B49" s="1" t="s">
        <v>31</v>
      </c>
      <c r="C49" s="1">
        <v>53</v>
      </c>
      <c r="D49" s="1">
        <v>436</v>
      </c>
      <c r="E49" s="1">
        <v>252</v>
      </c>
      <c r="F49" s="1">
        <v>118</v>
      </c>
      <c r="G49" s="7">
        <v>0.41</v>
      </c>
      <c r="H49" s="1">
        <v>45</v>
      </c>
      <c r="I49" s="1">
        <v>6713</v>
      </c>
      <c r="J49" s="1"/>
      <c r="K49" s="1">
        <v>279</v>
      </c>
      <c r="L49" s="1">
        <f t="shared" si="10"/>
        <v>-27</v>
      </c>
      <c r="M49" s="1"/>
      <c r="N49" s="1"/>
      <c r="O49" s="1">
        <v>225</v>
      </c>
      <c r="P49" s="1">
        <v>138</v>
      </c>
      <c r="Q49" s="1">
        <v>139</v>
      </c>
      <c r="R49" s="1">
        <f t="shared" si="11"/>
        <v>50.4</v>
      </c>
      <c r="S49" s="5">
        <f t="shared" si="9"/>
        <v>85.600000000000023</v>
      </c>
      <c r="T49" s="1">
        <f t="shared" si="12"/>
        <v>14</v>
      </c>
      <c r="U49" s="1">
        <f t="shared" si="13"/>
        <v>12.301587301587302</v>
      </c>
      <c r="V49" s="1">
        <v>57.6</v>
      </c>
      <c r="W49" s="1">
        <v>51</v>
      </c>
      <c r="X49" s="1">
        <v>42.2</v>
      </c>
      <c r="Y49" s="1">
        <v>35.6</v>
      </c>
      <c r="Z49" s="1">
        <v>66.8</v>
      </c>
      <c r="AA49" s="1">
        <v>32.6</v>
      </c>
      <c r="AB49" s="1"/>
      <c r="AC49" s="1">
        <f t="shared" si="8"/>
        <v>35.096000000000011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80</v>
      </c>
      <c r="B50" s="1" t="s">
        <v>31</v>
      </c>
      <c r="C50" s="1">
        <v>216</v>
      </c>
      <c r="D50" s="1">
        <v>304</v>
      </c>
      <c r="E50" s="1">
        <v>194</v>
      </c>
      <c r="F50" s="1">
        <v>130</v>
      </c>
      <c r="G50" s="7">
        <v>0.41</v>
      </c>
      <c r="H50" s="1">
        <v>45</v>
      </c>
      <c r="I50" s="1">
        <v>6724</v>
      </c>
      <c r="J50" s="1"/>
      <c r="K50" s="1">
        <v>180</v>
      </c>
      <c r="L50" s="1">
        <f t="shared" si="10"/>
        <v>14</v>
      </c>
      <c r="M50" s="1"/>
      <c r="N50" s="1"/>
      <c r="O50" s="1">
        <v>0</v>
      </c>
      <c r="P50" s="1">
        <v>200</v>
      </c>
      <c r="Q50" s="1">
        <v>200</v>
      </c>
      <c r="R50" s="1">
        <f t="shared" si="11"/>
        <v>38.799999999999997</v>
      </c>
      <c r="S50" s="5">
        <f t="shared" si="9"/>
        <v>13.199999999999932</v>
      </c>
      <c r="T50" s="1">
        <f t="shared" si="12"/>
        <v>14</v>
      </c>
      <c r="U50" s="1">
        <f t="shared" si="13"/>
        <v>13.659793814432991</v>
      </c>
      <c r="V50" s="1">
        <v>53</v>
      </c>
      <c r="W50" s="1">
        <v>5.2</v>
      </c>
      <c r="X50" s="1">
        <v>33.799999999999997</v>
      </c>
      <c r="Y50" s="1">
        <v>31.8</v>
      </c>
      <c r="Z50" s="1">
        <v>10.4</v>
      </c>
      <c r="AA50" s="1">
        <v>24</v>
      </c>
      <c r="AB50" s="1"/>
      <c r="AC50" s="1">
        <f t="shared" si="8"/>
        <v>5.4119999999999715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81</v>
      </c>
      <c r="B51" s="1" t="s">
        <v>31</v>
      </c>
      <c r="C51" s="1">
        <v>116</v>
      </c>
      <c r="D51" s="1">
        <v>88</v>
      </c>
      <c r="E51" s="1">
        <v>133</v>
      </c>
      <c r="F51" s="1">
        <v>15</v>
      </c>
      <c r="G51" s="7">
        <v>0.36</v>
      </c>
      <c r="H51" s="1">
        <v>45</v>
      </c>
      <c r="I51" s="1">
        <v>6765</v>
      </c>
      <c r="J51" s="1"/>
      <c r="K51" s="1">
        <v>132</v>
      </c>
      <c r="L51" s="1">
        <f t="shared" si="10"/>
        <v>1</v>
      </c>
      <c r="M51" s="1"/>
      <c r="N51" s="1"/>
      <c r="O51" s="1">
        <v>0</v>
      </c>
      <c r="P51" s="1">
        <v>107</v>
      </c>
      <c r="Q51" s="1">
        <v>107</v>
      </c>
      <c r="R51" s="1">
        <f t="shared" si="11"/>
        <v>26.6</v>
      </c>
      <c r="S51" s="5">
        <f t="shared" si="9"/>
        <v>143.40000000000003</v>
      </c>
      <c r="T51" s="1">
        <f t="shared" si="12"/>
        <v>14</v>
      </c>
      <c r="U51" s="1">
        <f t="shared" si="13"/>
        <v>8.6090225563909772</v>
      </c>
      <c r="V51" s="1">
        <v>24</v>
      </c>
      <c r="W51" s="1">
        <v>20.399999999999999</v>
      </c>
      <c r="X51" s="1">
        <v>23.2</v>
      </c>
      <c r="Y51" s="1">
        <v>10.199999999999999</v>
      </c>
      <c r="Z51" s="1">
        <v>27</v>
      </c>
      <c r="AA51" s="1">
        <v>15</v>
      </c>
      <c r="AB51" s="1"/>
      <c r="AC51" s="1">
        <f t="shared" si="8"/>
        <v>51.624000000000009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82</v>
      </c>
      <c r="B52" s="1" t="s">
        <v>31</v>
      </c>
      <c r="C52" s="1">
        <v>33</v>
      </c>
      <c r="D52" s="1">
        <v>22</v>
      </c>
      <c r="E52" s="1">
        <v>29</v>
      </c>
      <c r="F52" s="1">
        <v>16</v>
      </c>
      <c r="G52" s="7">
        <v>0.33</v>
      </c>
      <c r="H52" s="1">
        <v>45</v>
      </c>
      <c r="I52" s="1">
        <v>6787</v>
      </c>
      <c r="J52" s="1"/>
      <c r="K52" s="1">
        <v>30</v>
      </c>
      <c r="L52" s="1">
        <f t="shared" si="10"/>
        <v>-1</v>
      </c>
      <c r="M52" s="1"/>
      <c r="N52" s="1"/>
      <c r="O52" s="1">
        <v>0</v>
      </c>
      <c r="P52" s="1">
        <v>59</v>
      </c>
      <c r="Q52" s="1">
        <v>59</v>
      </c>
      <c r="R52" s="1">
        <f t="shared" si="11"/>
        <v>5.8</v>
      </c>
      <c r="S52" s="5"/>
      <c r="T52" s="1">
        <f t="shared" si="12"/>
        <v>23.103448275862071</v>
      </c>
      <c r="U52" s="1">
        <f t="shared" si="13"/>
        <v>23.103448275862071</v>
      </c>
      <c r="V52" s="1">
        <v>13</v>
      </c>
      <c r="W52" s="1">
        <v>1.8</v>
      </c>
      <c r="X52" s="1">
        <v>-0.4</v>
      </c>
      <c r="Y52" s="1">
        <v>5.4</v>
      </c>
      <c r="Z52" s="1">
        <v>0.2</v>
      </c>
      <c r="AA52" s="1">
        <v>1</v>
      </c>
      <c r="AB52" s="1"/>
      <c r="AC52" s="1">
        <f t="shared" si="8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83</v>
      </c>
      <c r="B53" s="1" t="s">
        <v>31</v>
      </c>
      <c r="C53" s="1">
        <v>-19</v>
      </c>
      <c r="D53" s="1">
        <v>19</v>
      </c>
      <c r="E53" s="1">
        <v>-39</v>
      </c>
      <c r="F53" s="1"/>
      <c r="G53" s="7">
        <v>0.33</v>
      </c>
      <c r="H53" s="1">
        <v>45</v>
      </c>
      <c r="I53" s="1">
        <v>6793</v>
      </c>
      <c r="J53" s="1"/>
      <c r="K53" s="1">
        <v>74</v>
      </c>
      <c r="L53" s="1">
        <f t="shared" si="10"/>
        <v>-113</v>
      </c>
      <c r="M53" s="1"/>
      <c r="N53" s="1"/>
      <c r="O53" s="1">
        <v>0</v>
      </c>
      <c r="P53" s="1">
        <v>50</v>
      </c>
      <c r="Q53" s="1">
        <v>50</v>
      </c>
      <c r="R53" s="1">
        <f t="shared" si="11"/>
        <v>-7.8</v>
      </c>
      <c r="S53" s="5"/>
      <c r="T53" s="1">
        <f t="shared" si="12"/>
        <v>-12.820512820512821</v>
      </c>
      <c r="U53" s="1">
        <f t="shared" si="13"/>
        <v>-12.820512820512821</v>
      </c>
      <c r="V53" s="1">
        <v>1</v>
      </c>
      <c r="W53" s="1">
        <v>-3.2</v>
      </c>
      <c r="X53" s="1">
        <v>22</v>
      </c>
      <c r="Y53" s="1">
        <v>19.600000000000001</v>
      </c>
      <c r="Z53" s="1">
        <v>21.4</v>
      </c>
      <c r="AA53" s="1">
        <v>23.6</v>
      </c>
      <c r="AB53" s="1"/>
      <c r="AC53" s="1">
        <f t="shared" si="8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84</v>
      </c>
      <c r="B54" s="1" t="s">
        <v>31</v>
      </c>
      <c r="C54" s="1">
        <v>80</v>
      </c>
      <c r="D54" s="1">
        <v>81</v>
      </c>
      <c r="E54" s="1">
        <v>42</v>
      </c>
      <c r="F54" s="1">
        <v>118</v>
      </c>
      <c r="G54" s="7">
        <v>0.4</v>
      </c>
      <c r="H54" s="1"/>
      <c r="I54" s="1">
        <v>6797</v>
      </c>
      <c r="J54" s="1"/>
      <c r="K54" s="1">
        <v>42</v>
      </c>
      <c r="L54" s="1">
        <f t="shared" si="10"/>
        <v>0</v>
      </c>
      <c r="M54" s="1"/>
      <c r="N54" s="1"/>
      <c r="O54" s="1">
        <v>50</v>
      </c>
      <c r="P54" s="1">
        <v>0</v>
      </c>
      <c r="Q54" s="1"/>
      <c r="R54" s="1">
        <f t="shared" si="11"/>
        <v>8.4</v>
      </c>
      <c r="S54" s="5"/>
      <c r="T54" s="1">
        <f t="shared" si="12"/>
        <v>20</v>
      </c>
      <c r="U54" s="1">
        <f t="shared" si="13"/>
        <v>20</v>
      </c>
      <c r="V54" s="1">
        <v>6.4</v>
      </c>
      <c r="W54" s="1">
        <v>15</v>
      </c>
      <c r="X54" s="1">
        <v>11.6</v>
      </c>
      <c r="Y54" s="1">
        <v>1</v>
      </c>
      <c r="Z54" s="1">
        <v>0</v>
      </c>
      <c r="AA54" s="1">
        <v>0</v>
      </c>
      <c r="AB54" s="1"/>
      <c r="AC54" s="1">
        <f t="shared" si="8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85</v>
      </c>
      <c r="B55" s="1" t="s">
        <v>31</v>
      </c>
      <c r="C55" s="1">
        <v>71</v>
      </c>
      <c r="D55" s="1">
        <v>62</v>
      </c>
      <c r="E55" s="1">
        <v>53</v>
      </c>
      <c r="F55" s="1">
        <v>59</v>
      </c>
      <c r="G55" s="7">
        <v>0.33</v>
      </c>
      <c r="H55" s="1">
        <v>45</v>
      </c>
      <c r="I55" s="1">
        <v>6807</v>
      </c>
      <c r="J55" s="1"/>
      <c r="K55" s="1">
        <v>51</v>
      </c>
      <c r="L55" s="1">
        <f t="shared" si="10"/>
        <v>2</v>
      </c>
      <c r="M55" s="1"/>
      <c r="N55" s="1"/>
      <c r="O55" s="1">
        <v>0</v>
      </c>
      <c r="P55" s="1">
        <v>97</v>
      </c>
      <c r="Q55" s="1">
        <v>96</v>
      </c>
      <c r="R55" s="1">
        <f t="shared" si="11"/>
        <v>10.6</v>
      </c>
      <c r="S55" s="5"/>
      <c r="T55" s="1">
        <f t="shared" si="12"/>
        <v>23.773584905660378</v>
      </c>
      <c r="U55" s="1">
        <f t="shared" si="13"/>
        <v>23.773584905660378</v>
      </c>
      <c r="V55" s="1">
        <v>22.4</v>
      </c>
      <c r="W55" s="1">
        <v>4.2</v>
      </c>
      <c r="X55" s="1">
        <v>13.2</v>
      </c>
      <c r="Y55" s="1">
        <v>13.8</v>
      </c>
      <c r="Z55" s="1">
        <v>2</v>
      </c>
      <c r="AA55" s="1">
        <v>3.4</v>
      </c>
      <c r="AB55" s="1"/>
      <c r="AC55" s="1">
        <f t="shared" si="8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86</v>
      </c>
      <c r="B56" s="1" t="s">
        <v>33</v>
      </c>
      <c r="C56" s="1">
        <v>401.85300000000001</v>
      </c>
      <c r="D56" s="1">
        <v>537.952</v>
      </c>
      <c r="E56" s="1">
        <v>407.79500000000002</v>
      </c>
      <c r="F56" s="1">
        <v>203.11699999999999</v>
      </c>
      <c r="G56" s="7">
        <v>1</v>
      </c>
      <c r="H56" s="1">
        <v>45</v>
      </c>
      <c r="I56" s="1">
        <v>6829</v>
      </c>
      <c r="J56" s="1"/>
      <c r="K56" s="1">
        <v>398.38299999999998</v>
      </c>
      <c r="L56" s="1">
        <f t="shared" si="10"/>
        <v>9.4120000000000346</v>
      </c>
      <c r="M56" s="1"/>
      <c r="N56" s="1"/>
      <c r="O56" s="1">
        <v>115</v>
      </c>
      <c r="P56" s="1">
        <v>275</v>
      </c>
      <c r="Q56" s="1">
        <v>276</v>
      </c>
      <c r="R56" s="1">
        <f t="shared" si="11"/>
        <v>81.558999999999997</v>
      </c>
      <c r="S56" s="5">
        <f t="shared" si="9"/>
        <v>272.70900000000006</v>
      </c>
      <c r="T56" s="1">
        <f t="shared" si="12"/>
        <v>14</v>
      </c>
      <c r="U56" s="1">
        <f t="shared" si="13"/>
        <v>10.656297894775561</v>
      </c>
      <c r="V56" s="1">
        <v>91.169399999999996</v>
      </c>
      <c r="W56" s="1">
        <v>78.173599999999993</v>
      </c>
      <c r="X56" s="1">
        <v>86.486199999999997</v>
      </c>
      <c r="Y56" s="1">
        <v>76.927999999999997</v>
      </c>
      <c r="Z56" s="1">
        <v>77.873199999999997</v>
      </c>
      <c r="AA56" s="1">
        <v>66.671400000000006</v>
      </c>
      <c r="AB56" s="1"/>
      <c r="AC56" s="1">
        <f t="shared" si="8"/>
        <v>272.70900000000006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87</v>
      </c>
      <c r="B57" s="1" t="s">
        <v>31</v>
      </c>
      <c r="C57" s="1"/>
      <c r="D57" s="1">
        <v>2</v>
      </c>
      <c r="E57" s="1"/>
      <c r="F57" s="1"/>
      <c r="G57" s="7">
        <v>0.1</v>
      </c>
      <c r="H57" s="1">
        <v>60</v>
      </c>
      <c r="I57" s="1">
        <v>6834</v>
      </c>
      <c r="J57" s="1"/>
      <c r="K57" s="1"/>
      <c r="L57" s="1">
        <f t="shared" si="10"/>
        <v>0</v>
      </c>
      <c r="M57" s="1"/>
      <c r="N57" s="1"/>
      <c r="O57" s="1">
        <v>0</v>
      </c>
      <c r="P57" s="1">
        <v>25</v>
      </c>
      <c r="Q57" s="1">
        <v>25</v>
      </c>
      <c r="R57" s="1">
        <f t="shared" si="11"/>
        <v>0</v>
      </c>
      <c r="S57" s="5"/>
      <c r="T57" s="1" t="e">
        <f t="shared" si="12"/>
        <v>#DIV/0!</v>
      </c>
      <c r="U57" s="1" t="e">
        <f t="shared" si="13"/>
        <v>#DIV/0!</v>
      </c>
      <c r="V57" s="1">
        <v>5.8</v>
      </c>
      <c r="W57" s="1">
        <v>6.4</v>
      </c>
      <c r="X57" s="1">
        <v>2.8</v>
      </c>
      <c r="Y57" s="1">
        <v>0.4</v>
      </c>
      <c r="Z57" s="1">
        <v>4.4000000000000004</v>
      </c>
      <c r="AA57" s="1">
        <v>1.4</v>
      </c>
      <c r="AB57" s="1"/>
      <c r="AC57" s="1">
        <f t="shared" si="8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88</v>
      </c>
      <c r="B58" s="1" t="s">
        <v>31</v>
      </c>
      <c r="C58" s="1">
        <v>464</v>
      </c>
      <c r="D58" s="1">
        <v>81</v>
      </c>
      <c r="E58" s="1">
        <v>177</v>
      </c>
      <c r="F58" s="1">
        <v>351</v>
      </c>
      <c r="G58" s="7">
        <v>0.4</v>
      </c>
      <c r="H58" s="1">
        <v>45</v>
      </c>
      <c r="I58" s="1">
        <v>6837</v>
      </c>
      <c r="J58" s="1"/>
      <c r="K58" s="1">
        <v>175</v>
      </c>
      <c r="L58" s="1">
        <f t="shared" si="10"/>
        <v>2</v>
      </c>
      <c r="M58" s="1"/>
      <c r="N58" s="1"/>
      <c r="O58" s="1">
        <v>0</v>
      </c>
      <c r="P58" s="1">
        <v>0</v>
      </c>
      <c r="Q58" s="1"/>
      <c r="R58" s="1">
        <f t="shared" si="11"/>
        <v>35.4</v>
      </c>
      <c r="S58" s="5">
        <f t="shared" si="9"/>
        <v>144.59999999999997</v>
      </c>
      <c r="T58" s="1">
        <f t="shared" si="12"/>
        <v>14</v>
      </c>
      <c r="U58" s="1">
        <f t="shared" si="13"/>
        <v>9.9152542372881367</v>
      </c>
      <c r="V58" s="1">
        <v>18.8</v>
      </c>
      <c r="W58" s="1">
        <v>0.2</v>
      </c>
      <c r="X58" s="1">
        <v>35</v>
      </c>
      <c r="Y58" s="1">
        <v>11.8</v>
      </c>
      <c r="Z58" s="1">
        <v>15.8</v>
      </c>
      <c r="AA58" s="1">
        <v>18.399999999999999</v>
      </c>
      <c r="AB58" s="1"/>
      <c r="AC58" s="1">
        <f t="shared" si="8"/>
        <v>57.839999999999989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89</v>
      </c>
      <c r="B59" s="1" t="s">
        <v>33</v>
      </c>
      <c r="C59" s="1">
        <v>17.581</v>
      </c>
      <c r="D59" s="1">
        <v>3.907</v>
      </c>
      <c r="E59" s="1">
        <v>1.9570000000000001</v>
      </c>
      <c r="F59" s="1">
        <v>17.581</v>
      </c>
      <c r="G59" s="7">
        <v>1</v>
      </c>
      <c r="H59" s="1"/>
      <c r="I59" s="1">
        <v>6861</v>
      </c>
      <c r="J59" s="1"/>
      <c r="K59" s="1">
        <v>2</v>
      </c>
      <c r="L59" s="1">
        <f t="shared" si="10"/>
        <v>-4.2999999999999927E-2</v>
      </c>
      <c r="M59" s="1"/>
      <c r="N59" s="1"/>
      <c r="O59" s="1">
        <v>0</v>
      </c>
      <c r="P59" s="1">
        <v>0</v>
      </c>
      <c r="Q59" s="1"/>
      <c r="R59" s="1">
        <f t="shared" si="11"/>
        <v>0.39140000000000003</v>
      </c>
      <c r="S59" s="5"/>
      <c r="T59" s="1">
        <f t="shared" si="12"/>
        <v>44.918242207460395</v>
      </c>
      <c r="U59" s="1">
        <f t="shared" si="13"/>
        <v>44.918242207460395</v>
      </c>
      <c r="V59" s="1">
        <v>0.8146000000000001</v>
      </c>
      <c r="W59" s="1">
        <v>0</v>
      </c>
      <c r="X59" s="1">
        <v>0.39</v>
      </c>
      <c r="Y59" s="1">
        <v>0</v>
      </c>
      <c r="Z59" s="1">
        <v>0</v>
      </c>
      <c r="AA59" s="1">
        <v>0</v>
      </c>
      <c r="AB59" s="14" t="s">
        <v>68</v>
      </c>
      <c r="AC59" s="1">
        <f t="shared" si="8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90</v>
      </c>
      <c r="B60" s="1" t="s">
        <v>33</v>
      </c>
      <c r="C60" s="1">
        <v>3.8809999999999998</v>
      </c>
      <c r="D60" s="1"/>
      <c r="E60" s="1"/>
      <c r="F60" s="1">
        <v>3.8809999999999998</v>
      </c>
      <c r="G60" s="7">
        <v>1</v>
      </c>
      <c r="H60" s="1"/>
      <c r="I60" s="1">
        <v>6892</v>
      </c>
      <c r="J60" s="1"/>
      <c r="K60" s="1"/>
      <c r="L60" s="1">
        <f t="shared" si="10"/>
        <v>0</v>
      </c>
      <c r="M60" s="1"/>
      <c r="N60" s="1"/>
      <c r="O60" s="1">
        <v>0</v>
      </c>
      <c r="P60" s="1">
        <v>0</v>
      </c>
      <c r="Q60" s="1"/>
      <c r="R60" s="1">
        <f t="shared" si="11"/>
        <v>0</v>
      </c>
      <c r="S60" s="5"/>
      <c r="T60" s="1" t="e">
        <f t="shared" si="12"/>
        <v>#DIV/0!</v>
      </c>
      <c r="U60" s="1" t="e">
        <f t="shared" si="13"/>
        <v>#DIV/0!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0.78059999999999996</v>
      </c>
      <c r="AB60" s="14" t="s">
        <v>68</v>
      </c>
      <c r="AC60" s="1">
        <f t="shared" si="8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91</v>
      </c>
      <c r="B61" s="1" t="s">
        <v>33</v>
      </c>
      <c r="C61" s="1">
        <v>51.034999999999997</v>
      </c>
      <c r="D61" s="1">
        <v>23.895</v>
      </c>
      <c r="E61" s="1">
        <v>38.97</v>
      </c>
      <c r="F61" s="1">
        <v>20.8</v>
      </c>
      <c r="G61" s="7">
        <v>1</v>
      </c>
      <c r="H61" s="1">
        <v>60</v>
      </c>
      <c r="I61" s="1">
        <v>6866</v>
      </c>
      <c r="J61" s="1"/>
      <c r="K61" s="1">
        <v>38.799999999999997</v>
      </c>
      <c r="L61" s="1">
        <f t="shared" si="10"/>
        <v>0.17000000000000171</v>
      </c>
      <c r="M61" s="1"/>
      <c r="N61" s="1"/>
      <c r="O61" s="1">
        <v>0</v>
      </c>
      <c r="P61" s="1">
        <v>52</v>
      </c>
      <c r="Q61" s="1">
        <v>53</v>
      </c>
      <c r="R61" s="1">
        <f t="shared" si="11"/>
        <v>7.7939999999999996</v>
      </c>
      <c r="S61" s="5"/>
      <c r="T61" s="1">
        <f t="shared" si="12"/>
        <v>16.140620990505518</v>
      </c>
      <c r="U61" s="1">
        <f t="shared" si="13"/>
        <v>16.140620990505518</v>
      </c>
      <c r="V61" s="1">
        <v>11.387</v>
      </c>
      <c r="W61" s="1">
        <v>0.59699999999999998</v>
      </c>
      <c r="X61" s="1">
        <v>9.3550000000000004</v>
      </c>
      <c r="Y61" s="1">
        <v>3.5259999999999998</v>
      </c>
      <c r="Z61" s="1">
        <v>10.635999999999999</v>
      </c>
      <c r="AA61" s="1">
        <v>7.5484</v>
      </c>
      <c r="AB61" s="1"/>
      <c r="AC61" s="1">
        <f t="shared" si="8"/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92</v>
      </c>
      <c r="B62" s="1" t="s">
        <v>31</v>
      </c>
      <c r="C62" s="1">
        <v>194</v>
      </c>
      <c r="D62" s="1">
        <v>39</v>
      </c>
      <c r="E62" s="1">
        <v>66</v>
      </c>
      <c r="F62" s="1">
        <v>165</v>
      </c>
      <c r="G62" s="7">
        <v>0.25</v>
      </c>
      <c r="H62" s="1">
        <v>120</v>
      </c>
      <c r="I62" s="1">
        <v>6967</v>
      </c>
      <c r="J62" s="1"/>
      <c r="K62" s="1">
        <v>64.599999999999994</v>
      </c>
      <c r="L62" s="1">
        <f t="shared" si="10"/>
        <v>1.4000000000000057</v>
      </c>
      <c r="M62" s="1"/>
      <c r="N62" s="1"/>
      <c r="O62" s="1">
        <v>0</v>
      </c>
      <c r="P62" s="1">
        <v>0</v>
      </c>
      <c r="Q62" s="1"/>
      <c r="R62" s="1">
        <f t="shared" si="11"/>
        <v>13.2</v>
      </c>
      <c r="S62" s="5">
        <f t="shared" si="9"/>
        <v>19.799999999999983</v>
      </c>
      <c r="T62" s="1">
        <f t="shared" si="12"/>
        <v>14</v>
      </c>
      <c r="U62" s="1">
        <f t="shared" si="13"/>
        <v>12.5</v>
      </c>
      <c r="V62" s="1">
        <v>2.8</v>
      </c>
      <c r="W62" s="1">
        <v>0.8</v>
      </c>
      <c r="X62" s="1">
        <v>14</v>
      </c>
      <c r="Y62" s="1">
        <v>0.8</v>
      </c>
      <c r="Z62" s="1">
        <v>0.8</v>
      </c>
      <c r="AA62" s="1">
        <v>5.8</v>
      </c>
      <c r="AB62" s="1"/>
      <c r="AC62" s="1">
        <f t="shared" si="8"/>
        <v>4.9499999999999957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93</v>
      </c>
      <c r="B63" s="1" t="s">
        <v>33</v>
      </c>
      <c r="C63" s="1">
        <v>207.05699999999999</v>
      </c>
      <c r="D63" s="1">
        <v>55.906999999999996</v>
      </c>
      <c r="E63" s="1">
        <v>66.536000000000001</v>
      </c>
      <c r="F63" s="1">
        <v>161.017</v>
      </c>
      <c r="G63" s="7">
        <v>1</v>
      </c>
      <c r="H63" s="1">
        <v>45</v>
      </c>
      <c r="I63" s="1">
        <v>7001</v>
      </c>
      <c r="J63" s="1"/>
      <c r="K63" s="1">
        <v>69</v>
      </c>
      <c r="L63" s="1">
        <f t="shared" si="10"/>
        <v>-2.4639999999999986</v>
      </c>
      <c r="M63" s="1"/>
      <c r="N63" s="1"/>
      <c r="O63" s="1">
        <v>0</v>
      </c>
      <c r="P63" s="1">
        <v>0</v>
      </c>
      <c r="Q63" s="1"/>
      <c r="R63" s="1">
        <f t="shared" si="11"/>
        <v>13.3072</v>
      </c>
      <c r="S63" s="5">
        <f t="shared" si="9"/>
        <v>25.283800000000014</v>
      </c>
      <c r="T63" s="1">
        <f t="shared" si="12"/>
        <v>14</v>
      </c>
      <c r="U63" s="1">
        <f t="shared" si="13"/>
        <v>12.099990982325357</v>
      </c>
      <c r="V63" s="1">
        <v>7.6114000000000006</v>
      </c>
      <c r="W63" s="1">
        <v>11.939399999999999</v>
      </c>
      <c r="X63" s="1">
        <v>18.562999999999999</v>
      </c>
      <c r="Y63" s="1">
        <v>5.4871999999999996</v>
      </c>
      <c r="Z63" s="1">
        <v>4.3868</v>
      </c>
      <c r="AA63" s="1">
        <v>14.728400000000001</v>
      </c>
      <c r="AB63" s="1"/>
      <c r="AC63" s="1">
        <f t="shared" si="8"/>
        <v>25.283800000000014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94</v>
      </c>
      <c r="B64" s="1" t="s">
        <v>31</v>
      </c>
      <c r="C64" s="1">
        <v>194</v>
      </c>
      <c r="D64" s="1">
        <v>39</v>
      </c>
      <c r="E64" s="1">
        <v>21</v>
      </c>
      <c r="F64" s="1">
        <v>176</v>
      </c>
      <c r="G64" s="7">
        <v>0.3</v>
      </c>
      <c r="H64" s="1"/>
      <c r="I64" s="1">
        <v>7059</v>
      </c>
      <c r="J64" s="1"/>
      <c r="K64" s="1">
        <v>27</v>
      </c>
      <c r="L64" s="1">
        <f t="shared" si="10"/>
        <v>-6</v>
      </c>
      <c r="M64" s="1"/>
      <c r="N64" s="1"/>
      <c r="O64" s="1">
        <v>0</v>
      </c>
      <c r="P64" s="1">
        <v>84</v>
      </c>
      <c r="Q64" s="1">
        <v>85</v>
      </c>
      <c r="R64" s="1">
        <f t="shared" si="11"/>
        <v>4.2</v>
      </c>
      <c r="S64" s="5"/>
      <c r="T64" s="1">
        <f t="shared" si="12"/>
        <v>82.142857142857139</v>
      </c>
      <c r="U64" s="1">
        <f t="shared" si="13"/>
        <v>82.142857142857139</v>
      </c>
      <c r="V64" s="1">
        <v>25.8</v>
      </c>
      <c r="W64" s="1">
        <v>16.600000000000001</v>
      </c>
      <c r="X64" s="1">
        <v>19.600000000000001</v>
      </c>
      <c r="Y64" s="1">
        <v>23</v>
      </c>
      <c r="Z64" s="1">
        <v>8.1999999999999993</v>
      </c>
      <c r="AA64" s="1">
        <v>12</v>
      </c>
      <c r="AB64" s="14" t="s">
        <v>68</v>
      </c>
      <c r="AC64" s="1">
        <f t="shared" si="8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95</v>
      </c>
      <c r="B65" s="1" t="s">
        <v>31</v>
      </c>
      <c r="C65" s="1">
        <v>38</v>
      </c>
      <c r="D65" s="1">
        <v>617</v>
      </c>
      <c r="E65" s="12">
        <f>308+E66</f>
        <v>386</v>
      </c>
      <c r="F65" s="12">
        <f>208+F66+F103</f>
        <v>296</v>
      </c>
      <c r="G65" s="7">
        <v>0.41</v>
      </c>
      <c r="H65" s="1">
        <v>50</v>
      </c>
      <c r="I65" s="1">
        <v>7066</v>
      </c>
      <c r="J65" s="1"/>
      <c r="K65" s="1">
        <v>333</v>
      </c>
      <c r="L65" s="1">
        <f t="shared" si="10"/>
        <v>53</v>
      </c>
      <c r="M65" s="1"/>
      <c r="N65" s="1"/>
      <c r="O65" s="1">
        <v>450</v>
      </c>
      <c r="P65" s="1">
        <v>99</v>
      </c>
      <c r="Q65" s="1">
        <v>100</v>
      </c>
      <c r="R65" s="1">
        <f t="shared" si="11"/>
        <v>77.2</v>
      </c>
      <c r="S65" s="5">
        <f t="shared" si="9"/>
        <v>135.79999999999995</v>
      </c>
      <c r="T65" s="1">
        <f t="shared" si="12"/>
        <v>13.999999999999998</v>
      </c>
      <c r="U65" s="1">
        <f t="shared" si="13"/>
        <v>12.240932642487046</v>
      </c>
      <c r="V65" s="1">
        <v>89.8</v>
      </c>
      <c r="W65" s="1">
        <v>95.6</v>
      </c>
      <c r="X65" s="1">
        <v>75</v>
      </c>
      <c r="Y65" s="1">
        <v>97</v>
      </c>
      <c r="Z65" s="1">
        <v>117.8</v>
      </c>
      <c r="AA65" s="1">
        <v>54.2</v>
      </c>
      <c r="AB65" s="1"/>
      <c r="AC65" s="1">
        <f t="shared" si="8"/>
        <v>55.677999999999976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idden="1" x14ac:dyDescent="0.25">
      <c r="A66" s="9" t="s">
        <v>96</v>
      </c>
      <c r="B66" s="9" t="s">
        <v>31</v>
      </c>
      <c r="C66" s="9">
        <v>77</v>
      </c>
      <c r="D66" s="9">
        <v>76</v>
      </c>
      <c r="E66" s="12">
        <v>78</v>
      </c>
      <c r="F66" s="12">
        <v>59</v>
      </c>
      <c r="G66" s="10">
        <v>0</v>
      </c>
      <c r="H66" s="9"/>
      <c r="I66" s="9" t="s">
        <v>56</v>
      </c>
      <c r="J66" s="9" t="s">
        <v>95</v>
      </c>
      <c r="K66" s="9">
        <v>79.5</v>
      </c>
      <c r="L66" s="9">
        <f t="shared" si="10"/>
        <v>-1.5</v>
      </c>
      <c r="M66" s="9"/>
      <c r="N66" s="9"/>
      <c r="O66" s="9"/>
      <c r="P66" s="9">
        <v>0</v>
      </c>
      <c r="Q66" s="9"/>
      <c r="R66" s="9">
        <f t="shared" si="11"/>
        <v>15.6</v>
      </c>
      <c r="S66" s="11"/>
      <c r="T66" s="9">
        <f t="shared" si="12"/>
        <v>3.7820512820512819</v>
      </c>
      <c r="U66" s="9">
        <f t="shared" si="13"/>
        <v>3.7820512820512819</v>
      </c>
      <c r="V66" s="9">
        <v>4.5999999999999996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/>
      <c r="AC66" s="9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97</v>
      </c>
      <c r="B67" s="1" t="s">
        <v>33</v>
      </c>
      <c r="C67" s="1">
        <v>455.76499999999999</v>
      </c>
      <c r="D67" s="1">
        <v>183.28700000000001</v>
      </c>
      <c r="E67" s="12">
        <f>157.131+E104</f>
        <v>161.89099999999999</v>
      </c>
      <c r="F67" s="1">
        <v>420.74700000000001</v>
      </c>
      <c r="G67" s="7">
        <v>1</v>
      </c>
      <c r="H67" s="1">
        <v>50</v>
      </c>
      <c r="I67" s="1">
        <v>7070</v>
      </c>
      <c r="J67" s="1"/>
      <c r="K67" s="1">
        <v>166.07</v>
      </c>
      <c r="L67" s="1">
        <f t="shared" si="10"/>
        <v>-4.179000000000002</v>
      </c>
      <c r="M67" s="1"/>
      <c r="N67" s="1"/>
      <c r="O67" s="1">
        <v>0</v>
      </c>
      <c r="P67" s="1">
        <v>43</v>
      </c>
      <c r="Q67" s="1">
        <v>42</v>
      </c>
      <c r="R67" s="1">
        <f t="shared" si="11"/>
        <v>32.3782</v>
      </c>
      <c r="S67" s="5"/>
      <c r="T67" s="1">
        <f t="shared" si="12"/>
        <v>15.61998505167057</v>
      </c>
      <c r="U67" s="1">
        <f t="shared" si="13"/>
        <v>15.61998505167057</v>
      </c>
      <c r="V67" s="1">
        <v>45.654600000000002</v>
      </c>
      <c r="W67" s="1">
        <v>10.1288</v>
      </c>
      <c r="X67" s="1">
        <v>53.4602</v>
      </c>
      <c r="Y67" s="1">
        <v>36.601999999999997</v>
      </c>
      <c r="Z67" s="1">
        <v>34.4</v>
      </c>
      <c r="AA67" s="1">
        <v>39.615600000000001</v>
      </c>
      <c r="AB67" s="1"/>
      <c r="AC67" s="1">
        <f t="shared" ref="AC67:AC102" si="14">G67*S67</f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98</v>
      </c>
      <c r="B68" s="1" t="s">
        <v>31</v>
      </c>
      <c r="C68" s="1">
        <v>267</v>
      </c>
      <c r="D68" s="1">
        <v>110</v>
      </c>
      <c r="E68" s="1">
        <v>116</v>
      </c>
      <c r="F68" s="1">
        <v>225</v>
      </c>
      <c r="G68" s="7">
        <v>0.35</v>
      </c>
      <c r="H68" s="1">
        <v>50</v>
      </c>
      <c r="I68" s="1">
        <v>7073</v>
      </c>
      <c r="J68" s="1"/>
      <c r="K68" s="1">
        <v>104</v>
      </c>
      <c r="L68" s="1">
        <f t="shared" si="10"/>
        <v>12</v>
      </c>
      <c r="M68" s="1"/>
      <c r="N68" s="1"/>
      <c r="O68" s="1">
        <v>0</v>
      </c>
      <c r="P68" s="1">
        <v>0</v>
      </c>
      <c r="Q68" s="1"/>
      <c r="R68" s="1">
        <f t="shared" si="11"/>
        <v>23.2</v>
      </c>
      <c r="S68" s="5">
        <f t="shared" ref="S67:S102" si="15">14*R68-Q68-P68-O68-F68</f>
        <v>99.800000000000011</v>
      </c>
      <c r="T68" s="1">
        <f t="shared" si="12"/>
        <v>14.000000000000002</v>
      </c>
      <c r="U68" s="1">
        <f t="shared" si="13"/>
        <v>9.6982758620689662</v>
      </c>
      <c r="V68" s="1">
        <v>13.4</v>
      </c>
      <c r="W68" s="1">
        <v>4.4000000000000004</v>
      </c>
      <c r="X68" s="1">
        <v>21.4</v>
      </c>
      <c r="Y68" s="1">
        <v>9.6</v>
      </c>
      <c r="Z68" s="1">
        <v>10.6</v>
      </c>
      <c r="AA68" s="1">
        <v>6.8</v>
      </c>
      <c r="AB68" s="1"/>
      <c r="AC68" s="1">
        <f t="shared" si="14"/>
        <v>34.93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99</v>
      </c>
      <c r="B69" s="1" t="s">
        <v>33</v>
      </c>
      <c r="C69" s="1">
        <v>-3.1850000000000001</v>
      </c>
      <c r="D69" s="1">
        <v>145.01</v>
      </c>
      <c r="E69" s="1">
        <v>9.5559999999999992</v>
      </c>
      <c r="F69" s="1">
        <v>117.5</v>
      </c>
      <c r="G69" s="7">
        <v>1</v>
      </c>
      <c r="H69" s="1">
        <v>50</v>
      </c>
      <c r="I69" s="1">
        <v>7075</v>
      </c>
      <c r="J69" s="1"/>
      <c r="K69" s="1">
        <v>9</v>
      </c>
      <c r="L69" s="1">
        <f t="shared" si="10"/>
        <v>0.55599999999999916</v>
      </c>
      <c r="M69" s="1"/>
      <c r="N69" s="1"/>
      <c r="O69" s="1">
        <v>125</v>
      </c>
      <c r="P69" s="1">
        <v>0</v>
      </c>
      <c r="Q69" s="1"/>
      <c r="R69" s="1">
        <f t="shared" si="11"/>
        <v>1.9111999999999998</v>
      </c>
      <c r="S69" s="5"/>
      <c r="T69" s="1">
        <f t="shared" si="12"/>
        <v>126.88363331938051</v>
      </c>
      <c r="U69" s="1">
        <f t="shared" si="13"/>
        <v>126.88363331938051</v>
      </c>
      <c r="V69" s="1">
        <v>3.419</v>
      </c>
      <c r="W69" s="1">
        <v>12.1236</v>
      </c>
      <c r="X69" s="1">
        <v>5.9020000000000001</v>
      </c>
      <c r="Y69" s="1">
        <v>12.3688</v>
      </c>
      <c r="Z69" s="1">
        <v>10.2056</v>
      </c>
      <c r="AA69" s="1">
        <v>10.2094</v>
      </c>
      <c r="AB69" s="1"/>
      <c r="AC69" s="1">
        <f t="shared" si="14"/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100</v>
      </c>
      <c r="B70" s="1" t="s">
        <v>31</v>
      </c>
      <c r="C70" s="1">
        <v>93</v>
      </c>
      <c r="D70" s="1">
        <v>875</v>
      </c>
      <c r="E70" s="1">
        <v>377</v>
      </c>
      <c r="F70" s="1">
        <v>235</v>
      </c>
      <c r="G70" s="7">
        <v>0.41</v>
      </c>
      <c r="H70" s="1">
        <v>50</v>
      </c>
      <c r="I70" s="1">
        <v>7080</v>
      </c>
      <c r="J70" s="1"/>
      <c r="K70" s="1">
        <v>389</v>
      </c>
      <c r="L70" s="1">
        <f t="shared" ref="L70:L101" si="16">E70-K70</f>
        <v>-12</v>
      </c>
      <c r="M70" s="1"/>
      <c r="N70" s="1"/>
      <c r="O70" s="1">
        <v>490</v>
      </c>
      <c r="P70" s="1">
        <v>191</v>
      </c>
      <c r="Q70" s="1">
        <v>191</v>
      </c>
      <c r="R70" s="1">
        <f t="shared" ref="R70:R104" si="17">E70/5</f>
        <v>75.400000000000006</v>
      </c>
      <c r="S70" s="5"/>
      <c r="T70" s="1">
        <f t="shared" ref="T70:T101" si="18">(F70+O70+P70+Q70+S70)/R70</f>
        <v>14.681697612732094</v>
      </c>
      <c r="U70" s="1">
        <f t="shared" ref="U70:U104" si="19">(F70+O70+P70+Q70)/R70</f>
        <v>14.681697612732094</v>
      </c>
      <c r="V70" s="1">
        <v>106</v>
      </c>
      <c r="W70" s="1">
        <v>103</v>
      </c>
      <c r="X70" s="1">
        <v>69.400000000000006</v>
      </c>
      <c r="Y70" s="1">
        <v>50.2</v>
      </c>
      <c r="Z70" s="1">
        <v>106.4</v>
      </c>
      <c r="AA70" s="1">
        <v>53.4</v>
      </c>
      <c r="AB70" s="1"/>
      <c r="AC70" s="1">
        <f t="shared" si="14"/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101</v>
      </c>
      <c r="B71" s="1" t="s">
        <v>33</v>
      </c>
      <c r="C71" s="1">
        <v>103.741</v>
      </c>
      <c r="D71" s="1">
        <v>244.25200000000001</v>
      </c>
      <c r="E71" s="1">
        <v>176.834</v>
      </c>
      <c r="F71" s="1">
        <v>135.95500000000001</v>
      </c>
      <c r="G71" s="7">
        <v>1</v>
      </c>
      <c r="H71" s="1"/>
      <c r="I71" s="1">
        <v>7083</v>
      </c>
      <c r="J71" s="1"/>
      <c r="K71" s="1">
        <v>158</v>
      </c>
      <c r="L71" s="1">
        <f t="shared" si="16"/>
        <v>18.834000000000003</v>
      </c>
      <c r="M71" s="1"/>
      <c r="N71" s="1"/>
      <c r="O71" s="1">
        <v>130</v>
      </c>
      <c r="P71" s="1">
        <v>109</v>
      </c>
      <c r="Q71" s="1">
        <v>109</v>
      </c>
      <c r="R71" s="1">
        <f t="shared" si="17"/>
        <v>35.366799999999998</v>
      </c>
      <c r="S71" s="5">
        <f t="shared" si="15"/>
        <v>11.180199999999928</v>
      </c>
      <c r="T71" s="1">
        <f t="shared" si="18"/>
        <v>14</v>
      </c>
      <c r="U71" s="1">
        <f t="shared" si="19"/>
        <v>13.683878665867425</v>
      </c>
      <c r="V71" s="1">
        <v>41.764600000000002</v>
      </c>
      <c r="W71" s="1">
        <v>31.7944</v>
      </c>
      <c r="X71" s="1">
        <v>35.7166</v>
      </c>
      <c r="Y71" s="1">
        <v>39.016599999999997</v>
      </c>
      <c r="Z71" s="1">
        <v>33.249600000000001</v>
      </c>
      <c r="AA71" s="1">
        <v>8.1592000000000002</v>
      </c>
      <c r="AB71" s="1"/>
      <c r="AC71" s="1">
        <f t="shared" si="14"/>
        <v>11.180199999999928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102</v>
      </c>
      <c r="B72" s="1" t="s">
        <v>31</v>
      </c>
      <c r="C72" s="1">
        <v>-9</v>
      </c>
      <c r="D72" s="1">
        <v>240</v>
      </c>
      <c r="E72" s="1">
        <v>51</v>
      </c>
      <c r="F72" s="1">
        <v>100</v>
      </c>
      <c r="G72" s="7">
        <v>0.3</v>
      </c>
      <c r="H72" s="1">
        <v>50</v>
      </c>
      <c r="I72" s="1">
        <v>7090</v>
      </c>
      <c r="J72" s="1"/>
      <c r="K72" s="1">
        <v>52</v>
      </c>
      <c r="L72" s="1">
        <f t="shared" si="16"/>
        <v>-1</v>
      </c>
      <c r="M72" s="1"/>
      <c r="N72" s="1"/>
      <c r="O72" s="1">
        <v>150</v>
      </c>
      <c r="P72" s="1">
        <v>0</v>
      </c>
      <c r="Q72" s="1"/>
      <c r="R72" s="1">
        <f t="shared" si="17"/>
        <v>10.199999999999999</v>
      </c>
      <c r="S72" s="5"/>
      <c r="T72" s="1">
        <f t="shared" si="18"/>
        <v>24.509803921568629</v>
      </c>
      <c r="U72" s="1">
        <f t="shared" si="19"/>
        <v>24.509803921568629</v>
      </c>
      <c r="V72" s="1">
        <v>15.8</v>
      </c>
      <c r="W72" s="1">
        <v>21.6</v>
      </c>
      <c r="X72" s="1">
        <v>13.4</v>
      </c>
      <c r="Y72" s="1">
        <v>16.600000000000001</v>
      </c>
      <c r="Z72" s="1">
        <v>16.2</v>
      </c>
      <c r="AA72" s="1">
        <v>11</v>
      </c>
      <c r="AB72" s="1"/>
      <c r="AC72" s="1">
        <f t="shared" si="14"/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103</v>
      </c>
      <c r="B73" s="1" t="s">
        <v>31</v>
      </c>
      <c r="C73" s="1">
        <v>3</v>
      </c>
      <c r="D73" s="1">
        <v>43</v>
      </c>
      <c r="E73" s="1">
        <v>9</v>
      </c>
      <c r="F73" s="1"/>
      <c r="G73" s="7">
        <v>0.14000000000000001</v>
      </c>
      <c r="H73" s="1"/>
      <c r="I73" s="1">
        <v>7092</v>
      </c>
      <c r="J73" s="1"/>
      <c r="K73" s="1">
        <v>16</v>
      </c>
      <c r="L73" s="1">
        <f t="shared" si="16"/>
        <v>-7</v>
      </c>
      <c r="M73" s="1"/>
      <c r="N73" s="1"/>
      <c r="O73" s="1">
        <v>0</v>
      </c>
      <c r="P73" s="1">
        <v>26</v>
      </c>
      <c r="Q73" s="1">
        <v>25</v>
      </c>
      <c r="R73" s="1">
        <f t="shared" si="17"/>
        <v>1.8</v>
      </c>
      <c r="S73" s="5"/>
      <c r="T73" s="1">
        <f t="shared" si="18"/>
        <v>28.333333333333332</v>
      </c>
      <c r="U73" s="1">
        <f t="shared" si="19"/>
        <v>28.333333333333332</v>
      </c>
      <c r="V73" s="1">
        <v>5.6</v>
      </c>
      <c r="W73" s="1">
        <v>5</v>
      </c>
      <c r="X73" s="1">
        <v>4.8</v>
      </c>
      <c r="Y73" s="1">
        <v>2.4</v>
      </c>
      <c r="Z73" s="1">
        <v>5.2</v>
      </c>
      <c r="AA73" s="1">
        <v>4.8</v>
      </c>
      <c r="AB73" s="1"/>
      <c r="AC73" s="1">
        <f t="shared" si="14"/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104</v>
      </c>
      <c r="B74" s="1" t="s">
        <v>31</v>
      </c>
      <c r="C74" s="1">
        <v>160</v>
      </c>
      <c r="D74" s="1">
        <v>76</v>
      </c>
      <c r="E74" s="1">
        <v>183</v>
      </c>
      <c r="F74" s="1">
        <v>26</v>
      </c>
      <c r="G74" s="7">
        <v>0.18</v>
      </c>
      <c r="H74" s="1">
        <v>50</v>
      </c>
      <c r="I74" s="1">
        <v>7103</v>
      </c>
      <c r="J74" s="1"/>
      <c r="K74" s="1">
        <v>178</v>
      </c>
      <c r="L74" s="1">
        <f t="shared" si="16"/>
        <v>5</v>
      </c>
      <c r="M74" s="1"/>
      <c r="N74" s="1"/>
      <c r="O74" s="1">
        <v>0</v>
      </c>
      <c r="P74" s="1">
        <v>83</v>
      </c>
      <c r="Q74" s="1">
        <v>83</v>
      </c>
      <c r="R74" s="1">
        <f t="shared" si="17"/>
        <v>36.6</v>
      </c>
      <c r="S74" s="5">
        <f t="shared" si="15"/>
        <v>320.39999999999998</v>
      </c>
      <c r="T74" s="1">
        <f t="shared" si="18"/>
        <v>13.999999999999998</v>
      </c>
      <c r="U74" s="1">
        <f t="shared" si="19"/>
        <v>5.2459016393442619</v>
      </c>
      <c r="V74" s="1">
        <v>24</v>
      </c>
      <c r="W74" s="1">
        <v>24.6</v>
      </c>
      <c r="X74" s="1">
        <v>28.2</v>
      </c>
      <c r="Y74" s="1">
        <v>23.4</v>
      </c>
      <c r="Z74" s="1">
        <v>14.6</v>
      </c>
      <c r="AA74" s="1">
        <v>36.6</v>
      </c>
      <c r="AB74" s="1"/>
      <c r="AC74" s="1">
        <f t="shared" si="14"/>
        <v>57.671999999999997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105</v>
      </c>
      <c r="B75" s="1" t="s">
        <v>33</v>
      </c>
      <c r="C75" s="1">
        <v>2.4420000000000002</v>
      </c>
      <c r="D75" s="1"/>
      <c r="E75" s="1">
        <v>-1.839</v>
      </c>
      <c r="F75" s="1"/>
      <c r="G75" s="7">
        <v>1</v>
      </c>
      <c r="H75" s="1">
        <v>45</v>
      </c>
      <c r="I75" s="1">
        <v>7131</v>
      </c>
      <c r="J75" s="1"/>
      <c r="K75" s="1">
        <v>25</v>
      </c>
      <c r="L75" s="1">
        <f t="shared" si="16"/>
        <v>-26.838999999999999</v>
      </c>
      <c r="M75" s="1"/>
      <c r="N75" s="1"/>
      <c r="O75" s="1">
        <v>0</v>
      </c>
      <c r="P75" s="1">
        <v>0</v>
      </c>
      <c r="Q75" s="1"/>
      <c r="R75" s="1">
        <f t="shared" si="17"/>
        <v>-0.36780000000000002</v>
      </c>
      <c r="S75" s="5"/>
      <c r="T75" s="1">
        <f t="shared" si="18"/>
        <v>0</v>
      </c>
      <c r="U75" s="1">
        <f t="shared" si="19"/>
        <v>0</v>
      </c>
      <c r="V75" s="1">
        <v>-0.16880000000000001</v>
      </c>
      <c r="W75" s="1">
        <v>2.1928000000000001</v>
      </c>
      <c r="X75" s="1">
        <v>2.3612000000000002</v>
      </c>
      <c r="Y75" s="1">
        <v>4.3681999999999999</v>
      </c>
      <c r="Z75" s="1">
        <v>2.8702000000000001</v>
      </c>
      <c r="AA75" s="1">
        <v>3.5377999999999998</v>
      </c>
      <c r="AB75" s="1"/>
      <c r="AC75" s="1">
        <f t="shared" si="14"/>
        <v>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106</v>
      </c>
      <c r="B76" s="1" t="s">
        <v>31</v>
      </c>
      <c r="C76" s="1">
        <v>110</v>
      </c>
      <c r="D76" s="1">
        <v>41</v>
      </c>
      <c r="E76" s="1">
        <v>57</v>
      </c>
      <c r="F76" s="1">
        <v>85</v>
      </c>
      <c r="G76" s="7">
        <v>0.22</v>
      </c>
      <c r="H76" s="1">
        <v>120</v>
      </c>
      <c r="I76" s="1">
        <v>7147</v>
      </c>
      <c r="J76" s="1"/>
      <c r="K76" s="1">
        <v>60.6</v>
      </c>
      <c r="L76" s="1">
        <f t="shared" si="16"/>
        <v>-3.6000000000000014</v>
      </c>
      <c r="M76" s="1"/>
      <c r="N76" s="1"/>
      <c r="O76" s="1">
        <v>0</v>
      </c>
      <c r="P76" s="1">
        <v>0</v>
      </c>
      <c r="Q76" s="1"/>
      <c r="R76" s="1">
        <f t="shared" si="17"/>
        <v>11.4</v>
      </c>
      <c r="S76" s="5">
        <f t="shared" si="15"/>
        <v>74.599999999999994</v>
      </c>
      <c r="T76" s="1">
        <f t="shared" si="18"/>
        <v>13.999999999999998</v>
      </c>
      <c r="U76" s="1">
        <f t="shared" si="19"/>
        <v>7.4561403508771926</v>
      </c>
      <c r="V76" s="1">
        <v>0.6</v>
      </c>
      <c r="W76" s="1">
        <v>8.8000000000000007</v>
      </c>
      <c r="X76" s="1">
        <v>9.8000000000000007</v>
      </c>
      <c r="Y76" s="1">
        <v>3.6</v>
      </c>
      <c r="Z76" s="1">
        <v>4</v>
      </c>
      <c r="AA76" s="1">
        <v>4.2</v>
      </c>
      <c r="AB76" s="1"/>
      <c r="AC76" s="1">
        <f t="shared" si="14"/>
        <v>16.411999999999999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107</v>
      </c>
      <c r="B77" s="1" t="s">
        <v>31</v>
      </c>
      <c r="C77" s="1"/>
      <c r="D77" s="1">
        <v>53</v>
      </c>
      <c r="E77" s="1">
        <v>5</v>
      </c>
      <c r="F77" s="1">
        <v>33</v>
      </c>
      <c r="G77" s="7">
        <v>0.84</v>
      </c>
      <c r="H77" s="1">
        <v>50</v>
      </c>
      <c r="I77" s="1">
        <v>7149</v>
      </c>
      <c r="J77" s="1"/>
      <c r="K77" s="1">
        <v>10</v>
      </c>
      <c r="L77" s="1">
        <f t="shared" si="16"/>
        <v>-5</v>
      </c>
      <c r="M77" s="1"/>
      <c r="N77" s="1"/>
      <c r="O77" s="1">
        <v>40</v>
      </c>
      <c r="P77" s="1">
        <v>0</v>
      </c>
      <c r="Q77" s="1"/>
      <c r="R77" s="1">
        <f t="shared" si="17"/>
        <v>1</v>
      </c>
      <c r="S77" s="5"/>
      <c r="T77" s="1">
        <f t="shared" si="18"/>
        <v>73</v>
      </c>
      <c r="U77" s="1">
        <f t="shared" si="19"/>
        <v>73</v>
      </c>
      <c r="V77" s="1">
        <v>1.6</v>
      </c>
      <c r="W77" s="1">
        <v>5.8</v>
      </c>
      <c r="X77" s="1">
        <v>4.4000000000000004</v>
      </c>
      <c r="Y77" s="1">
        <v>3.6</v>
      </c>
      <c r="Z77" s="1">
        <v>4.8</v>
      </c>
      <c r="AA77" s="1">
        <v>2.6</v>
      </c>
      <c r="AB77" s="1"/>
      <c r="AC77" s="1">
        <f t="shared" si="14"/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108</v>
      </c>
      <c r="B78" s="1" t="s">
        <v>31</v>
      </c>
      <c r="C78" s="1">
        <v>201</v>
      </c>
      <c r="D78" s="1">
        <v>515</v>
      </c>
      <c r="E78" s="1">
        <v>404</v>
      </c>
      <c r="F78" s="1">
        <v>134</v>
      </c>
      <c r="G78" s="7">
        <v>0.35</v>
      </c>
      <c r="H78" s="1">
        <v>50</v>
      </c>
      <c r="I78" s="1">
        <v>7154</v>
      </c>
      <c r="J78" s="1"/>
      <c r="K78" s="1">
        <v>398</v>
      </c>
      <c r="L78" s="1">
        <f t="shared" si="16"/>
        <v>6</v>
      </c>
      <c r="M78" s="1"/>
      <c r="N78" s="1"/>
      <c r="O78" s="1">
        <v>275</v>
      </c>
      <c r="P78" s="1">
        <v>300</v>
      </c>
      <c r="Q78" s="1">
        <v>300</v>
      </c>
      <c r="R78" s="1">
        <f t="shared" si="17"/>
        <v>80.8</v>
      </c>
      <c r="S78" s="5">
        <f t="shared" si="15"/>
        <v>122.20000000000005</v>
      </c>
      <c r="T78" s="1">
        <f t="shared" si="18"/>
        <v>14.000000000000002</v>
      </c>
      <c r="U78" s="1">
        <f t="shared" si="19"/>
        <v>12.487623762376238</v>
      </c>
      <c r="V78" s="1">
        <v>98.6</v>
      </c>
      <c r="W78" s="1">
        <v>77.599999999999994</v>
      </c>
      <c r="X78" s="1">
        <v>76.599999999999994</v>
      </c>
      <c r="Y78" s="1">
        <v>88.4</v>
      </c>
      <c r="Z78" s="1">
        <v>76</v>
      </c>
      <c r="AA78" s="1">
        <v>69.2</v>
      </c>
      <c r="AB78" s="1"/>
      <c r="AC78" s="1">
        <f t="shared" si="14"/>
        <v>42.77000000000001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109</v>
      </c>
      <c r="B79" s="1" t="s">
        <v>33</v>
      </c>
      <c r="C79" s="1">
        <v>210.86600000000001</v>
      </c>
      <c r="D79" s="1">
        <v>165.42099999999999</v>
      </c>
      <c r="E79" s="1">
        <v>131.41300000000001</v>
      </c>
      <c r="F79" s="1">
        <v>228.03100000000001</v>
      </c>
      <c r="G79" s="7">
        <v>1</v>
      </c>
      <c r="H79" s="1">
        <v>50</v>
      </c>
      <c r="I79" s="1">
        <v>7157</v>
      </c>
      <c r="J79" s="1"/>
      <c r="K79" s="1">
        <v>136.9</v>
      </c>
      <c r="L79" s="1">
        <f t="shared" si="16"/>
        <v>-5.4869999999999948</v>
      </c>
      <c r="M79" s="1"/>
      <c r="N79" s="1"/>
      <c r="O79" s="1">
        <v>0</v>
      </c>
      <c r="P79" s="1">
        <v>102</v>
      </c>
      <c r="Q79" s="1">
        <v>103</v>
      </c>
      <c r="R79" s="1">
        <f t="shared" si="17"/>
        <v>26.282600000000002</v>
      </c>
      <c r="S79" s="5"/>
      <c r="T79" s="1">
        <f t="shared" si="18"/>
        <v>16.475957477570709</v>
      </c>
      <c r="U79" s="1">
        <f t="shared" si="19"/>
        <v>16.475957477570709</v>
      </c>
      <c r="V79" s="1">
        <v>29.624600000000001</v>
      </c>
      <c r="W79" s="1">
        <v>13.597799999999999</v>
      </c>
      <c r="X79" s="1">
        <v>23.0444</v>
      </c>
      <c r="Y79" s="1">
        <v>30.029800000000002</v>
      </c>
      <c r="Z79" s="1">
        <v>28.277200000000001</v>
      </c>
      <c r="AA79" s="1">
        <v>31.450399999999998</v>
      </c>
      <c r="AB79" s="1"/>
      <c r="AC79" s="1">
        <f t="shared" si="14"/>
        <v>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110</v>
      </c>
      <c r="B80" s="1" t="s">
        <v>33</v>
      </c>
      <c r="C80" s="1">
        <v>125.324</v>
      </c>
      <c r="D80" s="1">
        <v>238.12</v>
      </c>
      <c r="E80" s="1">
        <v>165.678</v>
      </c>
      <c r="F80" s="1">
        <v>144.107</v>
      </c>
      <c r="G80" s="7">
        <v>1</v>
      </c>
      <c r="H80" s="1">
        <v>50</v>
      </c>
      <c r="I80" s="1">
        <v>7166</v>
      </c>
      <c r="J80" s="1"/>
      <c r="K80" s="1">
        <v>165.3</v>
      </c>
      <c r="L80" s="1">
        <f t="shared" si="16"/>
        <v>0.3779999999999859</v>
      </c>
      <c r="M80" s="1"/>
      <c r="N80" s="1"/>
      <c r="O80" s="1">
        <v>145</v>
      </c>
      <c r="P80" s="1">
        <v>85</v>
      </c>
      <c r="Q80" s="1">
        <v>84</v>
      </c>
      <c r="R80" s="1">
        <f t="shared" si="17"/>
        <v>33.135599999999997</v>
      </c>
      <c r="S80" s="5">
        <f t="shared" si="15"/>
        <v>5.7913999999999248</v>
      </c>
      <c r="T80" s="1">
        <f t="shared" si="18"/>
        <v>14</v>
      </c>
      <c r="U80" s="1">
        <f t="shared" si="19"/>
        <v>13.825221212230954</v>
      </c>
      <c r="V80" s="1">
        <v>41.604599999999998</v>
      </c>
      <c r="W80" s="1">
        <v>44.145400000000002</v>
      </c>
      <c r="X80" s="1">
        <v>38.8658</v>
      </c>
      <c r="Y80" s="1">
        <v>50.016800000000003</v>
      </c>
      <c r="Z80" s="1">
        <v>41.149000000000001</v>
      </c>
      <c r="AA80" s="1">
        <v>39.247199999999999</v>
      </c>
      <c r="AB80" s="1"/>
      <c r="AC80" s="1">
        <f t="shared" si="14"/>
        <v>5.7913999999999248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111</v>
      </c>
      <c r="B81" s="1" t="s">
        <v>31</v>
      </c>
      <c r="C81" s="1">
        <v>190</v>
      </c>
      <c r="D81" s="1">
        <v>843</v>
      </c>
      <c r="E81" s="1">
        <v>403</v>
      </c>
      <c r="F81" s="1">
        <v>317</v>
      </c>
      <c r="G81" s="7">
        <v>0.35</v>
      </c>
      <c r="H81" s="1">
        <v>50</v>
      </c>
      <c r="I81" s="1">
        <v>7169</v>
      </c>
      <c r="J81" s="1"/>
      <c r="K81" s="1">
        <v>403</v>
      </c>
      <c r="L81" s="1">
        <f t="shared" si="16"/>
        <v>0</v>
      </c>
      <c r="M81" s="1"/>
      <c r="N81" s="1"/>
      <c r="O81" s="1">
        <v>425</v>
      </c>
      <c r="P81" s="1">
        <v>175</v>
      </c>
      <c r="Q81" s="1">
        <v>175</v>
      </c>
      <c r="R81" s="1">
        <f t="shared" si="17"/>
        <v>80.599999999999994</v>
      </c>
      <c r="S81" s="5">
        <f t="shared" si="15"/>
        <v>36.399999999999864</v>
      </c>
      <c r="T81" s="1">
        <f t="shared" si="18"/>
        <v>14</v>
      </c>
      <c r="U81" s="1">
        <f t="shared" si="19"/>
        <v>13.548387096774194</v>
      </c>
      <c r="V81" s="1">
        <v>102</v>
      </c>
      <c r="W81" s="1">
        <v>99.4</v>
      </c>
      <c r="X81" s="1">
        <v>83</v>
      </c>
      <c r="Y81" s="1">
        <v>99</v>
      </c>
      <c r="Z81" s="1">
        <v>89</v>
      </c>
      <c r="AA81" s="1">
        <v>63</v>
      </c>
      <c r="AB81" s="1"/>
      <c r="AC81" s="1">
        <f t="shared" si="14"/>
        <v>12.739999999999952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112</v>
      </c>
      <c r="B82" s="1" t="s">
        <v>31</v>
      </c>
      <c r="C82" s="1">
        <v>134</v>
      </c>
      <c r="D82" s="1">
        <v>126</v>
      </c>
      <c r="E82" s="1">
        <v>79</v>
      </c>
      <c r="F82" s="1">
        <v>138</v>
      </c>
      <c r="G82" s="7">
        <v>0.3</v>
      </c>
      <c r="H82" s="1">
        <v>50</v>
      </c>
      <c r="I82" s="1">
        <v>7187</v>
      </c>
      <c r="J82" s="1"/>
      <c r="K82" s="1">
        <v>77</v>
      </c>
      <c r="L82" s="1">
        <f t="shared" si="16"/>
        <v>2</v>
      </c>
      <c r="M82" s="1"/>
      <c r="N82" s="1"/>
      <c r="O82" s="1">
        <v>50</v>
      </c>
      <c r="P82" s="1">
        <v>0</v>
      </c>
      <c r="Q82" s="1"/>
      <c r="R82" s="1">
        <f t="shared" si="17"/>
        <v>15.8</v>
      </c>
      <c r="S82" s="5">
        <f t="shared" si="15"/>
        <v>33.200000000000017</v>
      </c>
      <c r="T82" s="1">
        <f t="shared" si="18"/>
        <v>14</v>
      </c>
      <c r="U82" s="1">
        <f t="shared" si="19"/>
        <v>11.898734177215189</v>
      </c>
      <c r="V82" s="1">
        <v>10.8</v>
      </c>
      <c r="W82" s="1">
        <v>18.399999999999999</v>
      </c>
      <c r="X82" s="1">
        <v>18</v>
      </c>
      <c r="Y82" s="1">
        <v>13.6</v>
      </c>
      <c r="Z82" s="1">
        <v>6.4</v>
      </c>
      <c r="AA82" s="1">
        <v>13.6</v>
      </c>
      <c r="AB82" s="1"/>
      <c r="AC82" s="1">
        <f t="shared" si="14"/>
        <v>9.9600000000000044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113</v>
      </c>
      <c r="B83" s="1" t="s">
        <v>31</v>
      </c>
      <c r="C83" s="1">
        <v>18</v>
      </c>
      <c r="D83" s="1">
        <v>49</v>
      </c>
      <c r="E83" s="1">
        <v>30</v>
      </c>
      <c r="F83" s="1">
        <v>13</v>
      </c>
      <c r="G83" s="7">
        <v>0.3</v>
      </c>
      <c r="H83" s="1">
        <v>60</v>
      </c>
      <c r="I83" s="1">
        <v>7231</v>
      </c>
      <c r="J83" s="1"/>
      <c r="K83" s="1">
        <v>29</v>
      </c>
      <c r="L83" s="1">
        <f t="shared" si="16"/>
        <v>1</v>
      </c>
      <c r="M83" s="1"/>
      <c r="N83" s="1"/>
      <c r="O83" s="1">
        <v>0</v>
      </c>
      <c r="P83" s="1">
        <v>113</v>
      </c>
      <c r="Q83" s="1">
        <v>113</v>
      </c>
      <c r="R83" s="1">
        <f t="shared" si="17"/>
        <v>6</v>
      </c>
      <c r="S83" s="5"/>
      <c r="T83" s="1">
        <f t="shared" si="18"/>
        <v>39.833333333333336</v>
      </c>
      <c r="U83" s="1">
        <f t="shared" si="19"/>
        <v>39.833333333333336</v>
      </c>
      <c r="V83" s="1">
        <v>25.2</v>
      </c>
      <c r="W83" s="1">
        <v>5.4</v>
      </c>
      <c r="X83" s="1">
        <v>11.6</v>
      </c>
      <c r="Y83" s="1">
        <v>13.8</v>
      </c>
      <c r="Z83" s="1">
        <v>3.4</v>
      </c>
      <c r="AA83" s="1">
        <v>0.6</v>
      </c>
      <c r="AB83" s="1"/>
      <c r="AC83" s="1">
        <f t="shared" si="14"/>
        <v>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114</v>
      </c>
      <c r="B84" s="1" t="s">
        <v>31</v>
      </c>
      <c r="C84" s="1">
        <v>273</v>
      </c>
      <c r="D84" s="1">
        <v>464</v>
      </c>
      <c r="E84" s="1">
        <v>336</v>
      </c>
      <c r="F84" s="1">
        <v>237</v>
      </c>
      <c r="G84" s="7">
        <v>0.28000000000000003</v>
      </c>
      <c r="H84" s="1">
        <v>50</v>
      </c>
      <c r="I84" s="1">
        <v>7232</v>
      </c>
      <c r="J84" s="1"/>
      <c r="K84" s="1">
        <v>337</v>
      </c>
      <c r="L84" s="1">
        <f t="shared" si="16"/>
        <v>-1</v>
      </c>
      <c r="M84" s="1"/>
      <c r="N84" s="1"/>
      <c r="O84" s="1">
        <v>200</v>
      </c>
      <c r="P84" s="1">
        <v>179</v>
      </c>
      <c r="Q84" s="1">
        <v>179</v>
      </c>
      <c r="R84" s="1">
        <f t="shared" si="17"/>
        <v>67.2</v>
      </c>
      <c r="S84" s="5">
        <f t="shared" si="15"/>
        <v>145.80000000000007</v>
      </c>
      <c r="T84" s="1">
        <f t="shared" si="18"/>
        <v>14</v>
      </c>
      <c r="U84" s="1">
        <f t="shared" si="19"/>
        <v>11.830357142857142</v>
      </c>
      <c r="V84" s="1">
        <v>80.8</v>
      </c>
      <c r="W84" s="1">
        <v>74.400000000000006</v>
      </c>
      <c r="X84" s="1">
        <v>71.2</v>
      </c>
      <c r="Y84" s="1">
        <v>69.2</v>
      </c>
      <c r="Z84" s="1">
        <v>69</v>
      </c>
      <c r="AA84" s="1">
        <v>58</v>
      </c>
      <c r="AB84" s="1"/>
      <c r="AC84" s="1">
        <f t="shared" si="14"/>
        <v>40.824000000000026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115</v>
      </c>
      <c r="B85" s="1" t="s">
        <v>31</v>
      </c>
      <c r="C85" s="1">
        <v>97</v>
      </c>
      <c r="D85" s="1">
        <v>470</v>
      </c>
      <c r="E85" s="1">
        <v>283</v>
      </c>
      <c r="F85" s="1">
        <v>80</v>
      </c>
      <c r="G85" s="7">
        <v>0.28000000000000003</v>
      </c>
      <c r="H85" s="1">
        <v>45</v>
      </c>
      <c r="I85" s="1">
        <v>7236</v>
      </c>
      <c r="J85" s="1"/>
      <c r="K85" s="1">
        <v>291</v>
      </c>
      <c r="L85" s="1">
        <f t="shared" si="16"/>
        <v>-8</v>
      </c>
      <c r="M85" s="1"/>
      <c r="N85" s="1"/>
      <c r="O85" s="1">
        <v>200</v>
      </c>
      <c r="P85" s="1">
        <v>297</v>
      </c>
      <c r="Q85" s="1">
        <v>297</v>
      </c>
      <c r="R85" s="1">
        <f t="shared" si="17"/>
        <v>56.6</v>
      </c>
      <c r="S85" s="5"/>
      <c r="T85" s="1">
        <f t="shared" si="18"/>
        <v>15.441696113074205</v>
      </c>
      <c r="U85" s="1">
        <f t="shared" si="19"/>
        <v>15.441696113074205</v>
      </c>
      <c r="V85" s="1">
        <v>78.8</v>
      </c>
      <c r="W85" s="1">
        <v>61.2</v>
      </c>
      <c r="X85" s="1">
        <v>54.2</v>
      </c>
      <c r="Y85" s="1">
        <v>71.599999999999994</v>
      </c>
      <c r="Z85" s="1">
        <v>74.599999999999994</v>
      </c>
      <c r="AA85" s="1">
        <v>56</v>
      </c>
      <c r="AB85" s="1"/>
      <c r="AC85" s="1">
        <f t="shared" si="14"/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116</v>
      </c>
      <c r="B86" s="1" t="s">
        <v>31</v>
      </c>
      <c r="C86" s="1">
        <v>14</v>
      </c>
      <c r="D86" s="1">
        <v>204</v>
      </c>
      <c r="E86" s="1">
        <v>61</v>
      </c>
      <c r="F86" s="1">
        <v>84</v>
      </c>
      <c r="G86" s="7">
        <v>0.28000000000000003</v>
      </c>
      <c r="H86" s="1">
        <v>45</v>
      </c>
      <c r="I86" s="1">
        <v>7237</v>
      </c>
      <c r="J86" s="1"/>
      <c r="K86" s="1">
        <v>80</v>
      </c>
      <c r="L86" s="1">
        <f t="shared" si="16"/>
        <v>-19</v>
      </c>
      <c r="M86" s="1"/>
      <c r="N86" s="1"/>
      <c r="O86" s="1">
        <v>125</v>
      </c>
      <c r="P86" s="1">
        <v>49</v>
      </c>
      <c r="Q86" s="1">
        <v>48</v>
      </c>
      <c r="R86" s="1">
        <f t="shared" si="17"/>
        <v>12.2</v>
      </c>
      <c r="S86" s="5"/>
      <c r="T86" s="1">
        <f t="shared" si="18"/>
        <v>25.081967213114755</v>
      </c>
      <c r="U86" s="1">
        <f t="shared" si="19"/>
        <v>25.081967213114755</v>
      </c>
      <c r="V86" s="1">
        <v>26.4</v>
      </c>
      <c r="W86" s="1">
        <v>20</v>
      </c>
      <c r="X86" s="1">
        <v>16.399999999999999</v>
      </c>
      <c r="Y86" s="1">
        <v>18.600000000000001</v>
      </c>
      <c r="Z86" s="1">
        <v>15.8</v>
      </c>
      <c r="AA86" s="1">
        <v>14.4</v>
      </c>
      <c r="AB86" s="1"/>
      <c r="AC86" s="1">
        <f t="shared" si="14"/>
        <v>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117</v>
      </c>
      <c r="B87" s="1" t="s">
        <v>31</v>
      </c>
      <c r="C87" s="1">
        <v>30</v>
      </c>
      <c r="D87" s="1">
        <v>360</v>
      </c>
      <c r="E87" s="1">
        <v>193</v>
      </c>
      <c r="F87" s="1">
        <v>56</v>
      </c>
      <c r="G87" s="7">
        <v>0.28000000000000003</v>
      </c>
      <c r="H87" s="1">
        <v>45</v>
      </c>
      <c r="I87" s="1">
        <v>7241</v>
      </c>
      <c r="J87" s="1"/>
      <c r="K87" s="1">
        <v>193</v>
      </c>
      <c r="L87" s="1">
        <f t="shared" si="16"/>
        <v>0</v>
      </c>
      <c r="M87" s="1"/>
      <c r="N87" s="1"/>
      <c r="O87" s="1">
        <v>200</v>
      </c>
      <c r="P87" s="1">
        <v>186</v>
      </c>
      <c r="Q87" s="1">
        <v>187</v>
      </c>
      <c r="R87" s="1">
        <f t="shared" si="17"/>
        <v>38.6</v>
      </c>
      <c r="S87" s="5"/>
      <c r="T87" s="1">
        <f t="shared" si="18"/>
        <v>16.295336787564768</v>
      </c>
      <c r="U87" s="1">
        <f t="shared" si="19"/>
        <v>16.295336787564768</v>
      </c>
      <c r="V87" s="1">
        <v>62.4</v>
      </c>
      <c r="W87" s="1">
        <v>50.2</v>
      </c>
      <c r="X87" s="1">
        <v>32.6</v>
      </c>
      <c r="Y87" s="1">
        <v>51.4</v>
      </c>
      <c r="Z87" s="1">
        <v>46.4</v>
      </c>
      <c r="AA87" s="1">
        <v>28.4</v>
      </c>
      <c r="AB87" s="1"/>
      <c r="AC87" s="1">
        <f t="shared" si="14"/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118</v>
      </c>
      <c r="B88" s="1" t="s">
        <v>31</v>
      </c>
      <c r="C88" s="1">
        <v>2</v>
      </c>
      <c r="D88" s="1">
        <v>367</v>
      </c>
      <c r="E88" s="1">
        <v>132</v>
      </c>
      <c r="F88" s="1">
        <v>179</v>
      </c>
      <c r="G88" s="7">
        <v>0.4</v>
      </c>
      <c r="H88" s="1">
        <v>50</v>
      </c>
      <c r="I88" s="1">
        <v>7255</v>
      </c>
      <c r="J88" s="1"/>
      <c r="K88" s="1">
        <v>122</v>
      </c>
      <c r="L88" s="1">
        <f t="shared" si="16"/>
        <v>10</v>
      </c>
      <c r="M88" s="1"/>
      <c r="N88" s="1"/>
      <c r="O88" s="1">
        <v>290</v>
      </c>
      <c r="P88" s="1">
        <v>142</v>
      </c>
      <c r="Q88" s="1">
        <v>142</v>
      </c>
      <c r="R88" s="1">
        <f t="shared" si="17"/>
        <v>26.4</v>
      </c>
      <c r="S88" s="5"/>
      <c r="T88" s="1">
        <f t="shared" si="18"/>
        <v>28.522727272727273</v>
      </c>
      <c r="U88" s="1">
        <f t="shared" si="19"/>
        <v>28.522727272727273</v>
      </c>
      <c r="V88" s="1">
        <v>63</v>
      </c>
      <c r="W88" s="1">
        <v>61.8</v>
      </c>
      <c r="X88" s="1">
        <v>33.6</v>
      </c>
      <c r="Y88" s="1">
        <v>27.2</v>
      </c>
      <c r="Z88" s="1">
        <v>59.8</v>
      </c>
      <c r="AA88" s="1">
        <v>26.4</v>
      </c>
      <c r="AB88" s="1"/>
      <c r="AC88" s="1">
        <f t="shared" si="14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119</v>
      </c>
      <c r="B89" s="1" t="s">
        <v>33</v>
      </c>
      <c r="C89" s="1">
        <v>92.646000000000001</v>
      </c>
      <c r="D89" s="1">
        <v>16.792000000000002</v>
      </c>
      <c r="E89" s="1">
        <v>29.443999999999999</v>
      </c>
      <c r="F89" s="1">
        <v>73.8</v>
      </c>
      <c r="G89" s="7">
        <v>1</v>
      </c>
      <c r="H89" s="1"/>
      <c r="I89" s="1">
        <v>7271</v>
      </c>
      <c r="J89" s="1"/>
      <c r="K89" s="1">
        <v>30.3</v>
      </c>
      <c r="L89" s="1">
        <f t="shared" si="16"/>
        <v>-0.85600000000000165</v>
      </c>
      <c r="M89" s="1"/>
      <c r="N89" s="1"/>
      <c r="O89" s="1">
        <v>0</v>
      </c>
      <c r="P89" s="1">
        <v>49</v>
      </c>
      <c r="Q89" s="1"/>
      <c r="R89" s="1">
        <f t="shared" si="17"/>
        <v>5.8887999999999998</v>
      </c>
      <c r="S89" s="5"/>
      <c r="T89" s="1">
        <f t="shared" si="18"/>
        <v>20.85314495313137</v>
      </c>
      <c r="U89" s="1">
        <f t="shared" si="19"/>
        <v>20.85314495313137</v>
      </c>
      <c r="V89" s="1">
        <v>9.9792000000000005</v>
      </c>
      <c r="W89" s="1">
        <v>2.3894000000000002</v>
      </c>
      <c r="X89" s="1">
        <v>11.3804</v>
      </c>
      <c r="Y89" s="1">
        <v>10.7052</v>
      </c>
      <c r="Z89" s="1">
        <v>6.6440000000000001</v>
      </c>
      <c r="AA89" s="1">
        <v>6.9550000000000001</v>
      </c>
      <c r="AB89" s="1"/>
      <c r="AC89" s="1">
        <f t="shared" si="14"/>
        <v>0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120</v>
      </c>
      <c r="B90" s="1" t="s">
        <v>31</v>
      </c>
      <c r="C90" s="1">
        <v>100</v>
      </c>
      <c r="D90" s="1">
        <v>15</v>
      </c>
      <c r="E90" s="1">
        <v>27</v>
      </c>
      <c r="F90" s="1">
        <v>77</v>
      </c>
      <c r="G90" s="7">
        <v>0.3</v>
      </c>
      <c r="H90" s="1"/>
      <c r="I90" s="1">
        <v>7276</v>
      </c>
      <c r="J90" s="1"/>
      <c r="K90" s="1">
        <v>25</v>
      </c>
      <c r="L90" s="1">
        <f t="shared" si="16"/>
        <v>2</v>
      </c>
      <c r="M90" s="1"/>
      <c r="N90" s="1"/>
      <c r="O90" s="1">
        <v>0</v>
      </c>
      <c r="P90" s="1">
        <v>0</v>
      </c>
      <c r="Q90" s="1"/>
      <c r="R90" s="1">
        <f t="shared" si="17"/>
        <v>5.4</v>
      </c>
      <c r="S90" s="5"/>
      <c r="T90" s="1">
        <f t="shared" si="18"/>
        <v>14.259259259259258</v>
      </c>
      <c r="U90" s="1">
        <f t="shared" si="19"/>
        <v>14.259259259259258</v>
      </c>
      <c r="V90" s="1">
        <v>6.6</v>
      </c>
      <c r="W90" s="1">
        <v>2.8</v>
      </c>
      <c r="X90" s="1">
        <v>4</v>
      </c>
      <c r="Y90" s="1">
        <v>7.6</v>
      </c>
      <c r="Z90" s="1">
        <v>1.8</v>
      </c>
      <c r="AA90" s="1">
        <v>11</v>
      </c>
      <c r="AB90" s="1"/>
      <c r="AC90" s="1">
        <f t="shared" si="14"/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121</v>
      </c>
      <c r="B91" s="1" t="s">
        <v>31</v>
      </c>
      <c r="C91" s="1">
        <v>339</v>
      </c>
      <c r="D91" s="1">
        <v>108</v>
      </c>
      <c r="E91" s="1">
        <v>106</v>
      </c>
      <c r="F91" s="1">
        <v>307</v>
      </c>
      <c r="G91" s="7">
        <v>0.33</v>
      </c>
      <c r="H91" s="1">
        <v>30</v>
      </c>
      <c r="I91" s="1">
        <v>7284</v>
      </c>
      <c r="J91" s="1"/>
      <c r="K91" s="1">
        <v>105</v>
      </c>
      <c r="L91" s="1">
        <f t="shared" si="16"/>
        <v>1</v>
      </c>
      <c r="M91" s="1"/>
      <c r="N91" s="1"/>
      <c r="O91" s="1">
        <v>0</v>
      </c>
      <c r="P91" s="1">
        <v>0</v>
      </c>
      <c r="Q91" s="1"/>
      <c r="R91" s="1">
        <f t="shared" si="17"/>
        <v>21.2</v>
      </c>
      <c r="S91" s="5"/>
      <c r="T91" s="1">
        <f t="shared" si="18"/>
        <v>14.481132075471699</v>
      </c>
      <c r="U91" s="1">
        <f t="shared" si="19"/>
        <v>14.481132075471699</v>
      </c>
      <c r="V91" s="1">
        <v>6.8</v>
      </c>
      <c r="W91" s="1">
        <v>-1.2</v>
      </c>
      <c r="X91" s="1">
        <v>22.2</v>
      </c>
      <c r="Y91" s="1">
        <v>1</v>
      </c>
      <c r="Z91" s="1">
        <v>-0.2</v>
      </c>
      <c r="AA91" s="1">
        <v>5</v>
      </c>
      <c r="AB91" s="1"/>
      <c r="AC91" s="1">
        <f t="shared" si="14"/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122</v>
      </c>
      <c r="B92" s="1" t="s">
        <v>31</v>
      </c>
      <c r="C92" s="1">
        <v>136</v>
      </c>
      <c r="D92" s="1">
        <v>37</v>
      </c>
      <c r="E92" s="1">
        <v>46</v>
      </c>
      <c r="F92" s="1">
        <v>121</v>
      </c>
      <c r="G92" s="7">
        <v>0.1</v>
      </c>
      <c r="H92" s="1">
        <v>60</v>
      </c>
      <c r="I92" s="1">
        <v>7288</v>
      </c>
      <c r="J92" s="1"/>
      <c r="K92" s="1">
        <v>46.8</v>
      </c>
      <c r="L92" s="1">
        <f t="shared" si="16"/>
        <v>-0.79999999999999716</v>
      </c>
      <c r="M92" s="1"/>
      <c r="N92" s="1"/>
      <c r="O92" s="1">
        <v>0</v>
      </c>
      <c r="P92" s="1">
        <v>0</v>
      </c>
      <c r="Q92" s="1"/>
      <c r="R92" s="1">
        <f t="shared" si="17"/>
        <v>9.1999999999999993</v>
      </c>
      <c r="S92" s="5">
        <f t="shared" si="15"/>
        <v>7.7999999999999829</v>
      </c>
      <c r="T92" s="1">
        <f t="shared" si="18"/>
        <v>14</v>
      </c>
      <c r="U92" s="1">
        <f t="shared" si="19"/>
        <v>13.152173913043478</v>
      </c>
      <c r="V92" s="1">
        <v>4.2</v>
      </c>
      <c r="W92" s="1">
        <v>6.2</v>
      </c>
      <c r="X92" s="1">
        <v>10.6</v>
      </c>
      <c r="Y92" s="1">
        <v>5.8</v>
      </c>
      <c r="Z92" s="1">
        <v>7.2</v>
      </c>
      <c r="AA92" s="1">
        <v>7.8</v>
      </c>
      <c r="AB92" s="1"/>
      <c r="AC92" s="1">
        <f t="shared" si="14"/>
        <v>0.77999999999999836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123</v>
      </c>
      <c r="B93" s="1" t="s">
        <v>31</v>
      </c>
      <c r="C93" s="1">
        <v>254</v>
      </c>
      <c r="D93" s="1">
        <v>74</v>
      </c>
      <c r="E93" s="1">
        <v>103</v>
      </c>
      <c r="F93" s="1">
        <v>200</v>
      </c>
      <c r="G93" s="7">
        <v>0.28000000000000003</v>
      </c>
      <c r="H93" s="1">
        <v>50</v>
      </c>
      <c r="I93" s="1">
        <v>7332</v>
      </c>
      <c r="J93" s="1"/>
      <c r="K93" s="1">
        <v>108</v>
      </c>
      <c r="L93" s="1">
        <f t="shared" si="16"/>
        <v>-5</v>
      </c>
      <c r="M93" s="1"/>
      <c r="N93" s="1"/>
      <c r="O93" s="1">
        <v>0</v>
      </c>
      <c r="P93" s="1">
        <v>85</v>
      </c>
      <c r="Q93" s="1">
        <v>86</v>
      </c>
      <c r="R93" s="1">
        <f t="shared" si="17"/>
        <v>20.6</v>
      </c>
      <c r="S93" s="5"/>
      <c r="T93" s="1">
        <f t="shared" si="18"/>
        <v>18.009708737864077</v>
      </c>
      <c r="U93" s="1">
        <f t="shared" si="19"/>
        <v>18.009708737864077</v>
      </c>
      <c r="V93" s="1">
        <v>31</v>
      </c>
      <c r="W93" s="1">
        <v>5.4</v>
      </c>
      <c r="X93" s="1">
        <v>26.6</v>
      </c>
      <c r="Y93" s="1">
        <v>25.8</v>
      </c>
      <c r="Z93" s="1">
        <v>19.600000000000001</v>
      </c>
      <c r="AA93" s="1">
        <v>2.4</v>
      </c>
      <c r="AB93" s="1"/>
      <c r="AC93" s="1">
        <f t="shared" si="14"/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124</v>
      </c>
      <c r="B94" s="1" t="s">
        <v>31</v>
      </c>
      <c r="C94" s="1">
        <v>138</v>
      </c>
      <c r="D94" s="1">
        <v>19</v>
      </c>
      <c r="E94" s="1">
        <v>55</v>
      </c>
      <c r="F94" s="1">
        <v>96</v>
      </c>
      <c r="G94" s="7">
        <v>0.28000000000000003</v>
      </c>
      <c r="H94" s="1"/>
      <c r="I94" s="1"/>
      <c r="J94" s="1"/>
      <c r="K94" s="1">
        <v>55</v>
      </c>
      <c r="L94" s="1">
        <f t="shared" si="16"/>
        <v>0</v>
      </c>
      <c r="M94" s="1"/>
      <c r="N94" s="1"/>
      <c r="O94" s="1"/>
      <c r="P94" s="1">
        <v>0</v>
      </c>
      <c r="Q94" s="1"/>
      <c r="R94" s="1">
        <f t="shared" si="17"/>
        <v>11</v>
      </c>
      <c r="S94" s="5">
        <f t="shared" si="15"/>
        <v>58</v>
      </c>
      <c r="T94" s="1">
        <f t="shared" si="18"/>
        <v>14</v>
      </c>
      <c r="U94" s="1">
        <f t="shared" si="19"/>
        <v>8.7272727272727266</v>
      </c>
      <c r="V94" s="1">
        <v>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/>
      <c r="AC94" s="1">
        <f t="shared" si="14"/>
        <v>16.240000000000002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125</v>
      </c>
      <c r="B95" s="1" t="s">
        <v>31</v>
      </c>
      <c r="C95" s="1">
        <v>93</v>
      </c>
      <c r="D95" s="1">
        <v>49</v>
      </c>
      <c r="E95" s="1">
        <v>40</v>
      </c>
      <c r="F95" s="1">
        <v>84</v>
      </c>
      <c r="G95" s="7">
        <v>0.4</v>
      </c>
      <c r="H95" s="1"/>
      <c r="I95" s="1">
        <v>7343</v>
      </c>
      <c r="J95" s="1"/>
      <c r="K95" s="1">
        <v>36</v>
      </c>
      <c r="L95" s="1">
        <f t="shared" si="16"/>
        <v>4</v>
      </c>
      <c r="M95" s="1"/>
      <c r="N95" s="1"/>
      <c r="O95" s="1">
        <v>0</v>
      </c>
      <c r="P95" s="1">
        <v>0</v>
      </c>
      <c r="Q95" s="1"/>
      <c r="R95" s="1">
        <f t="shared" si="17"/>
        <v>8</v>
      </c>
      <c r="S95" s="5">
        <f t="shared" si="15"/>
        <v>28</v>
      </c>
      <c r="T95" s="1">
        <f t="shared" si="18"/>
        <v>14</v>
      </c>
      <c r="U95" s="1">
        <f t="shared" si="19"/>
        <v>10.5</v>
      </c>
      <c r="V95" s="1">
        <v>0.8</v>
      </c>
      <c r="W95" s="1">
        <v>2.6</v>
      </c>
      <c r="X95" s="1">
        <v>8</v>
      </c>
      <c r="Y95" s="1">
        <v>0.4</v>
      </c>
      <c r="Z95" s="1">
        <v>0</v>
      </c>
      <c r="AA95" s="1">
        <v>3</v>
      </c>
      <c r="AB95" s="1"/>
      <c r="AC95" s="1">
        <f t="shared" si="14"/>
        <v>11.200000000000001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126</v>
      </c>
      <c r="B96" s="1" t="s">
        <v>31</v>
      </c>
      <c r="C96" s="1"/>
      <c r="D96" s="1">
        <v>168</v>
      </c>
      <c r="E96" s="1">
        <v>9</v>
      </c>
      <c r="F96" s="1">
        <v>156</v>
      </c>
      <c r="G96" s="7">
        <v>0.3</v>
      </c>
      <c r="H96" s="1"/>
      <c r="I96" s="1">
        <v>7371</v>
      </c>
      <c r="J96" s="1"/>
      <c r="K96" s="1">
        <v>12</v>
      </c>
      <c r="L96" s="1">
        <f t="shared" si="16"/>
        <v>-3</v>
      </c>
      <c r="M96" s="1"/>
      <c r="N96" s="1"/>
      <c r="O96" s="1">
        <v>175</v>
      </c>
      <c r="P96" s="1">
        <v>0</v>
      </c>
      <c r="Q96" s="1"/>
      <c r="R96" s="1">
        <f t="shared" si="17"/>
        <v>1.8</v>
      </c>
      <c r="S96" s="5"/>
      <c r="T96" s="1">
        <f t="shared" si="18"/>
        <v>183.88888888888889</v>
      </c>
      <c r="U96" s="1">
        <f t="shared" si="19"/>
        <v>183.88888888888889</v>
      </c>
      <c r="V96" s="1">
        <v>0</v>
      </c>
      <c r="W96" s="1">
        <v>20.399999999999999</v>
      </c>
      <c r="X96" s="1">
        <v>15.6</v>
      </c>
      <c r="Y96" s="1">
        <v>10.4</v>
      </c>
      <c r="Z96" s="1">
        <v>9.4</v>
      </c>
      <c r="AA96" s="1">
        <v>3.2</v>
      </c>
      <c r="AB96" s="1" t="s">
        <v>127</v>
      </c>
      <c r="AC96" s="1">
        <f t="shared" si="14"/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128</v>
      </c>
      <c r="B97" s="1" t="s">
        <v>31</v>
      </c>
      <c r="C97" s="1">
        <v>275</v>
      </c>
      <c r="D97" s="1">
        <v>228</v>
      </c>
      <c r="E97" s="1">
        <v>248</v>
      </c>
      <c r="F97" s="1">
        <v>143</v>
      </c>
      <c r="G97" s="7">
        <v>0.12</v>
      </c>
      <c r="H97" s="1">
        <v>60</v>
      </c>
      <c r="I97" s="1">
        <v>7382</v>
      </c>
      <c r="J97" s="1"/>
      <c r="K97" s="1">
        <v>233</v>
      </c>
      <c r="L97" s="1">
        <f t="shared" si="16"/>
        <v>15</v>
      </c>
      <c r="M97" s="1"/>
      <c r="N97" s="1"/>
      <c r="O97" s="1">
        <v>70</v>
      </c>
      <c r="P97" s="1">
        <v>133</v>
      </c>
      <c r="Q97" s="1">
        <v>133</v>
      </c>
      <c r="R97" s="1">
        <f t="shared" si="17"/>
        <v>49.6</v>
      </c>
      <c r="S97" s="5">
        <f t="shared" si="15"/>
        <v>215.39999999999998</v>
      </c>
      <c r="T97" s="1">
        <f t="shared" si="18"/>
        <v>14</v>
      </c>
      <c r="U97" s="1">
        <f t="shared" si="19"/>
        <v>9.6572580645161281</v>
      </c>
      <c r="V97" s="1">
        <v>48.2</v>
      </c>
      <c r="W97" s="1">
        <v>46</v>
      </c>
      <c r="X97" s="1">
        <v>50</v>
      </c>
      <c r="Y97" s="1">
        <v>48</v>
      </c>
      <c r="Z97" s="1">
        <v>44.6</v>
      </c>
      <c r="AA97" s="1">
        <v>16.8</v>
      </c>
      <c r="AB97" s="1"/>
      <c r="AC97" s="1">
        <f t="shared" si="14"/>
        <v>25.847999999999995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129</v>
      </c>
      <c r="B98" s="1" t="s">
        <v>31</v>
      </c>
      <c r="C98" s="1">
        <v>63</v>
      </c>
      <c r="D98" s="1">
        <v>191</v>
      </c>
      <c r="E98" s="1">
        <v>61</v>
      </c>
      <c r="F98" s="1">
        <v>162</v>
      </c>
      <c r="G98" s="7">
        <v>0.12</v>
      </c>
      <c r="H98" s="1"/>
      <c r="I98" s="1">
        <v>7461</v>
      </c>
      <c r="J98" s="1"/>
      <c r="K98" s="1">
        <v>63</v>
      </c>
      <c r="L98" s="1">
        <f t="shared" si="16"/>
        <v>-2</v>
      </c>
      <c r="M98" s="1"/>
      <c r="N98" s="1"/>
      <c r="O98" s="1">
        <v>100</v>
      </c>
      <c r="P98" s="1">
        <v>0</v>
      </c>
      <c r="Q98" s="1"/>
      <c r="R98" s="1">
        <f t="shared" si="17"/>
        <v>12.2</v>
      </c>
      <c r="S98" s="5"/>
      <c r="T98" s="1">
        <f t="shared" si="18"/>
        <v>21.475409836065577</v>
      </c>
      <c r="U98" s="1">
        <f t="shared" si="19"/>
        <v>21.475409836065577</v>
      </c>
      <c r="V98" s="1">
        <v>16.600000000000001</v>
      </c>
      <c r="W98" s="1">
        <v>23.6</v>
      </c>
      <c r="X98" s="1">
        <v>6</v>
      </c>
      <c r="Y98" s="1">
        <v>24.6</v>
      </c>
      <c r="Z98" s="1">
        <v>25</v>
      </c>
      <c r="AA98" s="1">
        <v>7.4</v>
      </c>
      <c r="AB98" s="1"/>
      <c r="AC98" s="1">
        <f t="shared" si="14"/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130</v>
      </c>
      <c r="B99" s="1" t="s">
        <v>31</v>
      </c>
      <c r="C99" s="1">
        <v>13</v>
      </c>
      <c r="D99" s="1">
        <v>17</v>
      </c>
      <c r="E99" s="1">
        <v>20</v>
      </c>
      <c r="F99" s="1">
        <v>9</v>
      </c>
      <c r="G99" s="7">
        <v>0.28000000000000003</v>
      </c>
      <c r="H99" s="1"/>
      <c r="I99" s="1"/>
      <c r="J99" s="1"/>
      <c r="K99" s="1">
        <v>23</v>
      </c>
      <c r="L99" s="1">
        <f t="shared" si="16"/>
        <v>-3</v>
      </c>
      <c r="M99" s="1"/>
      <c r="N99" s="1"/>
      <c r="O99" s="1"/>
      <c r="P99" s="1">
        <v>160</v>
      </c>
      <c r="Q99" s="1">
        <v>160</v>
      </c>
      <c r="R99" s="1">
        <f t="shared" si="17"/>
        <v>4</v>
      </c>
      <c r="S99" s="5"/>
      <c r="T99" s="1">
        <f t="shared" si="18"/>
        <v>82.25</v>
      </c>
      <c r="U99" s="1">
        <f t="shared" si="19"/>
        <v>82.25</v>
      </c>
      <c r="V99" s="1">
        <v>34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/>
      <c r="AC99" s="1">
        <f t="shared" si="14"/>
        <v>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57</v>
      </c>
      <c r="B100" s="1" t="s">
        <v>31</v>
      </c>
      <c r="C100" s="1">
        <v>-2</v>
      </c>
      <c r="D100" s="1">
        <v>18</v>
      </c>
      <c r="E100" s="1"/>
      <c r="F100" s="1"/>
      <c r="G100" s="7">
        <v>0.4</v>
      </c>
      <c r="H100" s="1"/>
      <c r="I100" s="1">
        <v>7523</v>
      </c>
      <c r="J100" s="1"/>
      <c r="K100" s="1">
        <v>9</v>
      </c>
      <c r="L100" s="1">
        <f t="shared" si="16"/>
        <v>-9</v>
      </c>
      <c r="M100" s="1"/>
      <c r="N100" s="1"/>
      <c r="O100" s="1">
        <v>0</v>
      </c>
      <c r="P100" s="1">
        <v>30</v>
      </c>
      <c r="Q100" s="1"/>
      <c r="R100" s="1">
        <f t="shared" si="17"/>
        <v>0</v>
      </c>
      <c r="S100" s="5"/>
      <c r="T100" s="1" t="e">
        <f t="shared" si="18"/>
        <v>#DIV/0!</v>
      </c>
      <c r="U100" s="1" t="e">
        <f t="shared" si="19"/>
        <v>#DIV/0!</v>
      </c>
      <c r="V100" s="1">
        <v>0</v>
      </c>
      <c r="W100" s="1">
        <v>0</v>
      </c>
      <c r="X100" s="1">
        <v>7.2</v>
      </c>
      <c r="Y100" s="1">
        <v>10.4</v>
      </c>
      <c r="Z100" s="1">
        <v>5.6</v>
      </c>
      <c r="AA100" s="1">
        <v>7</v>
      </c>
      <c r="AB100" s="1"/>
      <c r="AC100" s="1">
        <f t="shared" si="14"/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131</v>
      </c>
      <c r="B101" s="1" t="s">
        <v>31</v>
      </c>
      <c r="C101" s="1">
        <v>193</v>
      </c>
      <c r="D101" s="1">
        <v>112</v>
      </c>
      <c r="E101" s="1">
        <v>47</v>
      </c>
      <c r="F101" s="1">
        <v>201</v>
      </c>
      <c r="G101" s="7">
        <v>0.35</v>
      </c>
      <c r="H101" s="1"/>
      <c r="I101" s="1">
        <v>7539</v>
      </c>
      <c r="J101" s="1"/>
      <c r="K101" s="1">
        <v>45</v>
      </c>
      <c r="L101" s="1">
        <f t="shared" si="16"/>
        <v>2</v>
      </c>
      <c r="M101" s="1"/>
      <c r="N101" s="1"/>
      <c r="O101" s="1">
        <v>25</v>
      </c>
      <c r="P101" s="1">
        <v>0</v>
      </c>
      <c r="Q101" s="1"/>
      <c r="R101" s="1">
        <f t="shared" si="17"/>
        <v>9.4</v>
      </c>
      <c r="S101" s="5"/>
      <c r="T101" s="1">
        <f t="shared" si="18"/>
        <v>24.042553191489361</v>
      </c>
      <c r="U101" s="1">
        <f t="shared" si="19"/>
        <v>24.042553191489361</v>
      </c>
      <c r="V101" s="1">
        <v>3.4</v>
      </c>
      <c r="W101" s="1">
        <v>2</v>
      </c>
      <c r="X101" s="1">
        <v>11.4</v>
      </c>
      <c r="Y101" s="1">
        <v>9.1999999999999993</v>
      </c>
      <c r="Z101" s="1">
        <v>6.8</v>
      </c>
      <c r="AA101" s="1">
        <v>5.4</v>
      </c>
      <c r="AB101" s="1"/>
      <c r="AC101" s="1">
        <f t="shared" si="14"/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132</v>
      </c>
      <c r="B102" s="1" t="s">
        <v>31</v>
      </c>
      <c r="C102" s="1">
        <v>190</v>
      </c>
      <c r="D102" s="1">
        <v>125</v>
      </c>
      <c r="E102" s="1">
        <v>55</v>
      </c>
      <c r="F102" s="1">
        <v>242</v>
      </c>
      <c r="G102" s="7">
        <v>0.33</v>
      </c>
      <c r="H102" s="1"/>
      <c r="I102" s="1">
        <v>7603</v>
      </c>
      <c r="J102" s="1"/>
      <c r="K102" s="1">
        <v>55</v>
      </c>
      <c r="L102" s="1">
        <f t="shared" ref="L102:L104" si="20">E102-K102</f>
        <v>0</v>
      </c>
      <c r="M102" s="1"/>
      <c r="N102" s="1"/>
      <c r="O102" s="1">
        <v>75</v>
      </c>
      <c r="P102" s="1">
        <v>0</v>
      </c>
      <c r="Q102" s="1"/>
      <c r="R102" s="1">
        <f t="shared" si="17"/>
        <v>11</v>
      </c>
      <c r="S102" s="5"/>
      <c r="T102" s="1">
        <f t="shared" ref="T102:T104" si="21">(F102+O102+P102+Q102+S102)/R102</f>
        <v>28.818181818181817</v>
      </c>
      <c r="U102" s="1">
        <f t="shared" si="19"/>
        <v>28.818181818181817</v>
      </c>
      <c r="V102" s="1">
        <v>7.6</v>
      </c>
      <c r="W102" s="1">
        <v>12.2</v>
      </c>
      <c r="X102" s="1">
        <v>0</v>
      </c>
      <c r="Y102" s="1">
        <v>0</v>
      </c>
      <c r="Z102" s="1">
        <v>0</v>
      </c>
      <c r="AA102" s="1">
        <v>0</v>
      </c>
      <c r="AB102" s="13" t="s">
        <v>46</v>
      </c>
      <c r="AC102" s="1">
        <f t="shared" si="14"/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idden="1" x14ac:dyDescent="0.25">
      <c r="A103" s="9" t="s">
        <v>133</v>
      </c>
      <c r="B103" s="9" t="s">
        <v>31</v>
      </c>
      <c r="C103" s="9">
        <v>4</v>
      </c>
      <c r="D103" s="9">
        <v>25</v>
      </c>
      <c r="E103" s="9"/>
      <c r="F103" s="12">
        <v>29</v>
      </c>
      <c r="G103" s="10">
        <v>0</v>
      </c>
      <c r="H103" s="9"/>
      <c r="I103" s="9" t="s">
        <v>134</v>
      </c>
      <c r="J103" s="9" t="s">
        <v>95</v>
      </c>
      <c r="K103" s="9"/>
      <c r="L103" s="9">
        <f t="shared" si="20"/>
        <v>0</v>
      </c>
      <c r="M103" s="9"/>
      <c r="N103" s="9"/>
      <c r="O103" s="9">
        <v>0</v>
      </c>
      <c r="P103" s="9">
        <v>0</v>
      </c>
      <c r="Q103" s="9"/>
      <c r="R103" s="9">
        <f t="shared" si="17"/>
        <v>0</v>
      </c>
      <c r="S103" s="11"/>
      <c r="T103" s="9" t="e">
        <f t="shared" si="21"/>
        <v>#DIV/0!</v>
      </c>
      <c r="U103" s="9" t="e">
        <f t="shared" si="19"/>
        <v>#DIV/0!</v>
      </c>
      <c r="V103" s="9">
        <v>2.2000000000000002</v>
      </c>
      <c r="W103" s="9">
        <v>2.8</v>
      </c>
      <c r="X103" s="9">
        <v>0</v>
      </c>
      <c r="Y103" s="9">
        <v>0</v>
      </c>
      <c r="Z103" s="9">
        <v>2.2000000000000002</v>
      </c>
      <c r="AA103" s="9">
        <v>3.2</v>
      </c>
      <c r="AB103" s="9"/>
      <c r="AC103" s="9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idden="1" x14ac:dyDescent="0.25">
      <c r="A104" s="9" t="s">
        <v>135</v>
      </c>
      <c r="B104" s="9" t="s">
        <v>33</v>
      </c>
      <c r="C104" s="9">
        <v>93.8</v>
      </c>
      <c r="D104" s="9">
        <v>4.76</v>
      </c>
      <c r="E104" s="12">
        <v>4.76</v>
      </c>
      <c r="F104" s="9"/>
      <c r="G104" s="10">
        <v>0</v>
      </c>
      <c r="H104" s="9"/>
      <c r="I104" s="9" t="s">
        <v>134</v>
      </c>
      <c r="J104" s="9" t="s">
        <v>97</v>
      </c>
      <c r="K104" s="9">
        <v>4.5</v>
      </c>
      <c r="L104" s="9">
        <f t="shared" si="20"/>
        <v>0.25999999999999979</v>
      </c>
      <c r="M104" s="9"/>
      <c r="N104" s="9"/>
      <c r="O104" s="9">
        <v>0</v>
      </c>
      <c r="P104" s="9">
        <v>0</v>
      </c>
      <c r="Q104" s="9"/>
      <c r="R104" s="9">
        <f t="shared" si="17"/>
        <v>0.95199999999999996</v>
      </c>
      <c r="S104" s="11"/>
      <c r="T104" s="9">
        <f t="shared" si="21"/>
        <v>0</v>
      </c>
      <c r="U104" s="9">
        <f t="shared" si="19"/>
        <v>0</v>
      </c>
      <c r="V104" s="9">
        <v>1.24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/>
      <c r="AC104" s="9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C104" xr:uid="{00000000-0009-0000-0000-000000000000}">
    <filterColumn colId="6">
      <filters blank="1">
        <filter val="0,09"/>
        <filter val="0,10"/>
        <filter val="0,12"/>
        <filter val="0,14"/>
        <filter val="0,15"/>
        <filter val="0,18"/>
        <filter val="0,22"/>
        <filter val="0,25"/>
        <filter val="0,28"/>
        <filter val="0,30"/>
        <filter val="0,33"/>
        <filter val="0,35"/>
        <filter val="0,36"/>
        <filter val="0,40"/>
        <filter val="0,41"/>
        <filter val="0,84"/>
        <filter val="1,00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2026-07-06T09:45:21Z</dcterms:created>
  <dcterms:modified xsi:type="dcterms:W3CDTF">2026-07-06T10:04:02Z</dcterms:modified>
</cp:coreProperties>
</file>