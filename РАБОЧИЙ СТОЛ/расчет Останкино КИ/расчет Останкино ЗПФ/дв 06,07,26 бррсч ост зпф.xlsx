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расчет Останкино ЗПФ\"/>
    </mc:Choice>
  </mc:AlternateContent>
  <xr:revisionPtr revIDLastSave="0" documentId="13_ncr:1_{34A9880D-0A2A-4B2A-867E-40C8C62940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V16" i="1"/>
  <c r="L16" i="1"/>
  <c r="V15" i="1"/>
  <c r="L15" i="1"/>
  <c r="V14" i="1"/>
  <c r="L14" i="1"/>
  <c r="V13" i="1"/>
  <c r="L13" i="1"/>
  <c r="V12" i="1"/>
  <c r="L12" i="1"/>
  <c r="V11" i="1"/>
  <c r="L11" i="1"/>
  <c r="V10" i="1"/>
  <c r="L10" i="1"/>
  <c r="V9" i="1"/>
  <c r="L9" i="1"/>
  <c r="V8" i="1"/>
  <c r="L8" i="1"/>
  <c r="V7" i="1"/>
  <c r="L7" i="1"/>
  <c r="V6" i="1"/>
  <c r="L6" i="1"/>
  <c r="L5" i="1" s="1"/>
  <c r="V5" i="1"/>
  <c r="T5" i="1"/>
  <c r="Q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<sst xmlns="http://schemas.openxmlformats.org/spreadsheetml/2006/main" count="59" uniqueCount="40">
  <si>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</si>
  <si>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</si>
  <si>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</si>
  <si>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</si>
  <si>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</si>
  <si>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</si>
  <si>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</si>
  <si>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</si>
  <si>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</si>
  <si>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</si>
  <si>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</si>
  <si>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</si>
  <si>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</si>
  <si>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</si>
  <si>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</si>
  <si>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</si>
  <si>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</si>
  <si>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</si>
  <si>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</si>
  <si>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</si>
  <si>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</si>
  <si>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29,06,</t>
  </si>
  <si>
    <t>04,07,</t>
  </si>
  <si>
    <t>06,07,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</si>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</sst>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1" customWidth="1"/>
    <col min="15" max="17" width="7" customWidth="1"/>
    <col min="18" max="20" width="6" customWidth="1"/>
    <col min="21" max="21" width="36.7109375" customWidth="1"/>
    <col min="22" max="48" width="7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38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39</v>
      </c>
      <c r="R4" s="1"/>
      <c r="S4" s="1"/>
      <c r="T4" s="1" t="s">
        <v>21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75.772000000000006</v>
      </c>
      <c r="F5" s="4">
        <f>SUM(F6:F500)</f>
        <v>1903.528</v>
      </c>
      <c r="G5" s="7"/>
      <c r="H5" s="1"/>
      <c r="I5" s="1"/>
      <c r="J5" s="1"/>
      <c r="K5" s="4">
        <f t="shared" ref="K5:Q5" si="0">SUM(K6:K500)</f>
        <v>99.9</v>
      </c>
      <c r="L5" s="4">
        <f t="shared" si="0"/>
        <v>-24.128</v>
      </c>
      <c r="M5" s="4">
        <f t="shared" si="0"/>
        <v>0</v>
      </c>
      <c r="N5" s="4">
        <f t="shared" si="0"/>
        <v>0</v>
      </c>
      <c r="O5" s="4">
        <f t="shared" si="0"/>
        <v>650</v>
      </c>
      <c r="P5" s="4">
        <f t="shared" si="0"/>
        <v>15.154400000000001</v>
      </c>
      <c r="Q5" s="4">
        <f t="shared" si="0"/>
        <v>0</v>
      </c>
      <c r="R5" s="1"/>
      <c r="S5" s="1"/>
      <c r="T5" s="4">
        <f>SUM(T6:T500)</f>
        <v>60.119599999999998</v>
      </c>
      <c r="U5" s="1"/>
      <c r="V5" s="4">
        <f>SUM(V6:V500)</f>
        <v>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24</v>
      </c>
      <c r="B6" s="1" t="s">
        <v>25</v>
      </c>
      <c r="C6" s="1">
        <v>225</v>
      </c>
      <c r="D6" s="1"/>
      <c r="E6" s="1">
        <v>1</v>
      </c>
      <c r="F6" s="1">
        <v>224</v>
      </c>
      <c r="G6" s="7">
        <v>0.42</v>
      </c>
      <c r="H6" s="1"/>
      <c r="I6" s="1"/>
      <c r="J6" s="1"/>
      <c r="K6" s="1">
        <v>1</v>
      </c>
      <c r="L6" s="1">
        <f t="shared" ref="L6:L16" si="1">E6-K6</f>
        <v>0</v>
      </c>
      <c r="M6" s="1"/>
      <c r="N6" s="1"/>
      <c r="O6" s="1"/>
      <c r="P6" s="1">
        <f>E6/5</f>
        <v>0.2</v>
      </c>
      <c r="Q6" s="5"/>
      <c r="R6" s="1">
        <f>(F6+O6+Q6)/P6</f>
        <v>1120</v>
      </c>
      <c r="S6" s="1">
        <f>(F6+O6)/P6</f>
        <v>1120</v>
      </c>
      <c r="T6" s="1">
        <v>0</v>
      </c>
      <c r="U6" s="9" t="s">
        <v>26</v>
      </c>
      <c r="V6" s="1">
        <f t="shared" ref="V6:V16" si="2">G6*Q6</f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27</v>
      </c>
      <c r="B7" s="1" t="s">
        <v>28</v>
      </c>
      <c r="C7" s="1">
        <v>95.364000000000004</v>
      </c>
      <c r="D7" s="1">
        <v>101.032</v>
      </c>
      <c r="E7" s="1">
        <v>9.1780000000000008</v>
      </c>
      <c r="F7" s="1">
        <v>187.21799999999999</v>
      </c>
      <c r="G7" s="7">
        <v>1</v>
      </c>
      <c r="H7" s="1"/>
      <c r="I7" s="1"/>
      <c r="J7" s="1"/>
      <c r="K7" s="1">
        <v>8.6999999999999993</v>
      </c>
      <c r="L7" s="1">
        <f t="shared" si="1"/>
        <v>0.47800000000000153</v>
      </c>
      <c r="M7" s="1"/>
      <c r="N7" s="1"/>
      <c r="O7" s="1"/>
      <c r="P7" s="1">
        <f t="shared" ref="P7:P16" si="3">E7/5</f>
        <v>1.8356000000000001</v>
      </c>
      <c r="Q7" s="5"/>
      <c r="R7" s="1">
        <f t="shared" ref="R7:R16" si="4">(F7+O7+Q7)/P7</f>
        <v>101.99280889082587</v>
      </c>
      <c r="S7" s="1">
        <f t="shared" ref="S7:S16" si="5">(F7+O7)/P7</f>
        <v>101.99280889082587</v>
      </c>
      <c r="T7" s="1">
        <v>0.91959999999999997</v>
      </c>
      <c r="U7" s="9" t="s">
        <v>26</v>
      </c>
      <c r="V7" s="1">
        <f t="shared" si="2"/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29</v>
      </c>
      <c r="B8" s="1" t="s">
        <v>28</v>
      </c>
      <c r="C8" s="1">
        <v>261.73599999999999</v>
      </c>
      <c r="D8" s="1">
        <v>104.16800000000001</v>
      </c>
      <c r="E8" s="1">
        <v>4.5940000000000003</v>
      </c>
      <c r="F8" s="1">
        <v>361.31</v>
      </c>
      <c r="G8" s="7">
        <v>1</v>
      </c>
      <c r="H8" s="1"/>
      <c r="I8" s="1"/>
      <c r="J8" s="1"/>
      <c r="K8" s="1">
        <v>4.2</v>
      </c>
      <c r="L8" s="1">
        <f t="shared" si="1"/>
        <v>0.39400000000000013</v>
      </c>
      <c r="M8" s="1"/>
      <c r="N8" s="1"/>
      <c r="O8" s="1"/>
      <c r="P8" s="1">
        <f t="shared" si="3"/>
        <v>0.91880000000000006</v>
      </c>
      <c r="Q8" s="5"/>
      <c r="R8" s="1">
        <f t="shared" si="4"/>
        <v>393.24118415324335</v>
      </c>
      <c r="S8" s="1">
        <f t="shared" si="5"/>
        <v>393.24118415324335</v>
      </c>
      <c r="T8" s="1">
        <v>0</v>
      </c>
      <c r="U8" s="9" t="s">
        <v>26</v>
      </c>
      <c r="V8" s="1">
        <f t="shared" si="2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30</v>
      </c>
      <c r="B9" s="1" t="s">
        <v>25</v>
      </c>
      <c r="C9" s="1">
        <v>137</v>
      </c>
      <c r="D9" s="1"/>
      <c r="E9" s="1">
        <v>7</v>
      </c>
      <c r="F9" s="1">
        <v>130</v>
      </c>
      <c r="G9" s="7">
        <v>0.42</v>
      </c>
      <c r="H9" s="1"/>
      <c r="I9" s="1"/>
      <c r="J9" s="1"/>
      <c r="K9" s="1">
        <v>7</v>
      </c>
      <c r="L9" s="1">
        <f t="shared" si="1"/>
        <v>0</v>
      </c>
      <c r="M9" s="1"/>
      <c r="N9" s="1"/>
      <c r="O9" s="1"/>
      <c r="P9" s="1">
        <f t="shared" si="3"/>
        <v>1.4</v>
      </c>
      <c r="Q9" s="5"/>
      <c r="R9" s="1">
        <f t="shared" si="4"/>
        <v>92.857142857142861</v>
      </c>
      <c r="S9" s="1">
        <f t="shared" si="5"/>
        <v>92.857142857142861</v>
      </c>
      <c r="T9" s="1">
        <v>1.4</v>
      </c>
      <c r="U9" s="9" t="s">
        <v>26</v>
      </c>
      <c r="V9" s="1">
        <f t="shared" si="2"/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31</v>
      </c>
      <c r="B10" s="1" t="s">
        <v>25</v>
      </c>
      <c r="C10" s="1">
        <v>-11</v>
      </c>
      <c r="D10" s="1">
        <v>96</v>
      </c>
      <c r="E10" s="1"/>
      <c r="F10" s="1">
        <v>85</v>
      </c>
      <c r="G10" s="7">
        <v>0.3</v>
      </c>
      <c r="H10" s="1"/>
      <c r="I10" s="1"/>
      <c r="J10" s="1"/>
      <c r="K10" s="1"/>
      <c r="L10" s="1">
        <f t="shared" si="1"/>
        <v>0</v>
      </c>
      <c r="M10" s="1"/>
      <c r="N10" s="1"/>
      <c r="O10" s="1">
        <v>100</v>
      </c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7.4</v>
      </c>
      <c r="U10" s="9" t="s">
        <v>26</v>
      </c>
      <c r="V10" s="1">
        <f t="shared" si="2"/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32</v>
      </c>
      <c r="B11" s="1" t="s">
        <v>25</v>
      </c>
      <c r="C11" s="1">
        <v>5</v>
      </c>
      <c r="D11" s="1">
        <v>97</v>
      </c>
      <c r="E11" s="1">
        <v>1</v>
      </c>
      <c r="F11" s="1">
        <v>100</v>
      </c>
      <c r="G11" s="7">
        <v>0.3</v>
      </c>
      <c r="H11" s="1"/>
      <c r="I11" s="1"/>
      <c r="J11" s="1"/>
      <c r="K11" s="1">
        <v>11</v>
      </c>
      <c r="L11" s="1">
        <f t="shared" si="1"/>
        <v>-10</v>
      </c>
      <c r="M11" s="1"/>
      <c r="N11" s="1"/>
      <c r="O11" s="1">
        <v>50</v>
      </c>
      <c r="P11" s="1">
        <f t="shared" si="3"/>
        <v>0.2</v>
      </c>
      <c r="Q11" s="5"/>
      <c r="R11" s="1">
        <f t="shared" si="4"/>
        <v>750</v>
      </c>
      <c r="S11" s="1">
        <f t="shared" si="5"/>
        <v>750</v>
      </c>
      <c r="T11" s="1">
        <v>10.199999999999999</v>
      </c>
      <c r="U11" s="9" t="s">
        <v>26</v>
      </c>
      <c r="V11" s="1">
        <f t="shared" si="2"/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33</v>
      </c>
      <c r="B12" s="1" t="s">
        <v>25</v>
      </c>
      <c r="C12" s="1">
        <v>15</v>
      </c>
      <c r="D12" s="1">
        <v>96</v>
      </c>
      <c r="E12" s="1">
        <v>4</v>
      </c>
      <c r="F12" s="1">
        <v>107</v>
      </c>
      <c r="G12" s="7">
        <v>0.35</v>
      </c>
      <c r="H12" s="1"/>
      <c r="I12" s="1"/>
      <c r="J12" s="1"/>
      <c r="K12" s="1">
        <v>10</v>
      </c>
      <c r="L12" s="1">
        <f t="shared" si="1"/>
        <v>-6</v>
      </c>
      <c r="M12" s="1"/>
      <c r="N12" s="1"/>
      <c r="O12" s="1">
        <v>250</v>
      </c>
      <c r="P12" s="1">
        <f t="shared" si="3"/>
        <v>0.8</v>
      </c>
      <c r="Q12" s="5"/>
      <c r="R12" s="1">
        <f t="shared" si="4"/>
        <v>446.25</v>
      </c>
      <c r="S12" s="1">
        <f t="shared" si="5"/>
        <v>446.25</v>
      </c>
      <c r="T12" s="1">
        <v>18.2</v>
      </c>
      <c r="U12" s="9" t="s">
        <v>26</v>
      </c>
      <c r="V12" s="1">
        <f t="shared" si="2"/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34</v>
      </c>
      <c r="B13" s="1" t="s">
        <v>25</v>
      </c>
      <c r="C13" s="1">
        <v>44</v>
      </c>
      <c r="D13" s="1">
        <v>97</v>
      </c>
      <c r="E13" s="1">
        <v>40</v>
      </c>
      <c r="F13" s="1">
        <v>90</v>
      </c>
      <c r="G13" s="7">
        <v>0.3</v>
      </c>
      <c r="H13" s="1"/>
      <c r="I13" s="1"/>
      <c r="J13" s="1"/>
      <c r="K13" s="1">
        <v>43</v>
      </c>
      <c r="L13" s="1">
        <f t="shared" si="1"/>
        <v>-3</v>
      </c>
      <c r="M13" s="1"/>
      <c r="N13" s="1"/>
      <c r="O13" s="1">
        <v>250</v>
      </c>
      <c r="P13" s="1">
        <f t="shared" si="3"/>
        <v>8</v>
      </c>
      <c r="Q13" s="5"/>
      <c r="R13" s="1">
        <f t="shared" si="4"/>
        <v>42.5</v>
      </c>
      <c r="S13" s="1">
        <f t="shared" si="5"/>
        <v>42.5</v>
      </c>
      <c r="T13" s="1">
        <v>18</v>
      </c>
      <c r="U13" s="9" t="s">
        <v>26</v>
      </c>
      <c r="V13" s="1">
        <f t="shared" si="2"/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35</v>
      </c>
      <c r="B14" s="1" t="s">
        <v>25</v>
      </c>
      <c r="C14" s="1">
        <v>1</v>
      </c>
      <c r="D14" s="1">
        <v>96</v>
      </c>
      <c r="E14" s="1"/>
      <c r="F14" s="1">
        <v>87</v>
      </c>
      <c r="G14" s="7">
        <v>0.35</v>
      </c>
      <c r="H14" s="1"/>
      <c r="I14" s="1"/>
      <c r="J14" s="1"/>
      <c r="K14" s="1">
        <v>6</v>
      </c>
      <c r="L14" s="1">
        <f t="shared" si="1"/>
        <v>-6</v>
      </c>
      <c r="M14" s="1"/>
      <c r="N14" s="1"/>
      <c r="O14" s="1"/>
      <c r="P14" s="1">
        <f t="shared" si="3"/>
        <v>0</v>
      </c>
      <c r="Q14" s="5"/>
      <c r="R14" s="1" t="e">
        <f t="shared" si="4"/>
        <v>#DIV/0!</v>
      </c>
      <c r="S14" s="1" t="e">
        <f t="shared" si="5"/>
        <v>#DIV/0!</v>
      </c>
      <c r="T14" s="1">
        <v>3</v>
      </c>
      <c r="U14" s="9" t="s">
        <v>26</v>
      </c>
      <c r="V14" s="1">
        <f t="shared" si="2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36</v>
      </c>
      <c r="B15" s="1" t="s">
        <v>25</v>
      </c>
      <c r="C15" s="1">
        <v>123</v>
      </c>
      <c r="D15" s="1">
        <v>1</v>
      </c>
      <c r="E15" s="1">
        <v>9</v>
      </c>
      <c r="F15" s="1">
        <v>115</v>
      </c>
      <c r="G15" s="7">
        <v>0.3</v>
      </c>
      <c r="H15" s="1"/>
      <c r="I15" s="1"/>
      <c r="J15" s="1"/>
      <c r="K15" s="1">
        <v>9</v>
      </c>
      <c r="L15" s="1">
        <f t="shared" si="1"/>
        <v>0</v>
      </c>
      <c r="M15" s="1"/>
      <c r="N15" s="1"/>
      <c r="O15" s="1"/>
      <c r="P15" s="1">
        <f t="shared" si="3"/>
        <v>1.8</v>
      </c>
      <c r="Q15" s="5"/>
      <c r="R15" s="1">
        <f t="shared" si="4"/>
        <v>63.888888888888886</v>
      </c>
      <c r="S15" s="1">
        <f t="shared" si="5"/>
        <v>63.888888888888886</v>
      </c>
      <c r="T15" s="1">
        <v>1</v>
      </c>
      <c r="U15" s="9" t="s">
        <v>26</v>
      </c>
      <c r="V15" s="1">
        <f t="shared" si="2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37</v>
      </c>
      <c r="B16" s="1" t="s">
        <v>25</v>
      </c>
      <c r="C16" s="1">
        <v>17</v>
      </c>
      <c r="D16" s="1">
        <v>400</v>
      </c>
      <c r="E16" s="1"/>
      <c r="F16" s="1">
        <v>417</v>
      </c>
      <c r="G16" s="7">
        <v>0.7</v>
      </c>
      <c r="H16" s="1"/>
      <c r="I16" s="1"/>
      <c r="J16" s="1"/>
      <c r="K16" s="1"/>
      <c r="L16" s="1">
        <f t="shared" si="1"/>
        <v>0</v>
      </c>
      <c r="M16" s="1"/>
      <c r="N16" s="1"/>
      <c r="O16" s="1"/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0</v>
      </c>
      <c r="U16" s="9" t="s">
        <v>26</v>
      </c>
      <c r="V16" s="1">
        <f t="shared" si="2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2026-07-06T13:04:26Z</dcterms:created>
  <dcterms:modified xsi:type="dcterms:W3CDTF">2026-07-08T09:13:54Z</dcterms:modified>
</cp:coreProperties>
</file>