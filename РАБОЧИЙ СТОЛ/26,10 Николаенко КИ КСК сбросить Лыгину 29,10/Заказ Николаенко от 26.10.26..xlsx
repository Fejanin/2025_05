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5EEB455-BA79-4FD4-8B03-879D5DD1263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P513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P453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P436" i="2"/>
  <c r="BO436" i="2"/>
  <c r="BN436" i="2"/>
  <c r="BM436" i="2"/>
  <c r="Z436" i="2"/>
  <c r="Y436" i="2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Z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Y399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Z261" i="2"/>
  <c r="Z262" i="2" s="1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Z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Z205" i="2"/>
  <c r="Z206" i="2" s="1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N199" i="2"/>
  <c r="BM199" i="2"/>
  <c r="Z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Y136" i="2" s="1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Y112" i="2" s="1"/>
  <c r="P104" i="2"/>
  <c r="X101" i="2"/>
  <c r="X100" i="2"/>
  <c r="BO99" i="2"/>
  <c r="BM99" i="2"/>
  <c r="Y99" i="2"/>
  <c r="P99" i="2"/>
  <c r="BP98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Y82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Z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Y33" i="2" s="1"/>
  <c r="P27" i="2"/>
  <c r="X25" i="2"/>
  <c r="X24" i="2"/>
  <c r="BO23" i="2"/>
  <c r="BM23" i="2"/>
  <c r="Y23" i="2"/>
  <c r="BN23" i="2" s="1"/>
  <c r="P23" i="2"/>
  <c r="BP22" i="2"/>
  <c r="BO22" i="2"/>
  <c r="BM22" i="2"/>
  <c r="Y22" i="2"/>
  <c r="P22" i="2"/>
  <c r="H10" i="2"/>
  <c r="A9" i="2"/>
  <c r="A10" i="2" s="1"/>
  <c r="D7" i="2"/>
  <c r="Q6" i="2"/>
  <c r="P2" i="2"/>
  <c r="Z31" i="2" l="1"/>
  <c r="BN31" i="2"/>
  <c r="BP38" i="2"/>
  <c r="BP80" i="2"/>
  <c r="BP173" i="2"/>
  <c r="Z221" i="2"/>
  <c r="Z240" i="2"/>
  <c r="BN240" i="2"/>
  <c r="Z241" i="2"/>
  <c r="Z326" i="2"/>
  <c r="BN326" i="2"/>
  <c r="Z327" i="2"/>
  <c r="BN327" i="2"/>
  <c r="Z328" i="2"/>
  <c r="Z486" i="2"/>
  <c r="BN486" i="2"/>
  <c r="Z532" i="2"/>
  <c r="BN41" i="2"/>
  <c r="Z28" i="2"/>
  <c r="BN28" i="2"/>
  <c r="BP50" i="2"/>
  <c r="Z77" i="2"/>
  <c r="BN77" i="2"/>
  <c r="BP77" i="2"/>
  <c r="Z86" i="2"/>
  <c r="BN86" i="2"/>
  <c r="Z105" i="2"/>
  <c r="BN106" i="2"/>
  <c r="Z107" i="2"/>
  <c r="BN107" i="2"/>
  <c r="BP115" i="2"/>
  <c r="BN118" i="2"/>
  <c r="Z127" i="2"/>
  <c r="Y148" i="2"/>
  <c r="BN145" i="2"/>
  <c r="BN159" i="2"/>
  <c r="Z161" i="2"/>
  <c r="BN161" i="2"/>
  <c r="Z185" i="2"/>
  <c r="BN185" i="2"/>
  <c r="Z191" i="2"/>
  <c r="BN191" i="2"/>
  <c r="BN218" i="2"/>
  <c r="Z219" i="2"/>
  <c r="Z230" i="2"/>
  <c r="Z233" i="2"/>
  <c r="BN233" i="2"/>
  <c r="Z242" i="2"/>
  <c r="Y252" i="2"/>
  <c r="BN250" i="2"/>
  <c r="Z251" i="2"/>
  <c r="BN292" i="2"/>
  <c r="Z295" i="2"/>
  <c r="BN298" i="2"/>
  <c r="BN313" i="2"/>
  <c r="Z318" i="2"/>
  <c r="Z319" i="2" s="1"/>
  <c r="BP333" i="2"/>
  <c r="BN336" i="2"/>
  <c r="Z337" i="2"/>
  <c r="BN343" i="2"/>
  <c r="Z349" i="2"/>
  <c r="BN351" i="2"/>
  <c r="Z353" i="2"/>
  <c r="BN372" i="2"/>
  <c r="Z374" i="2"/>
  <c r="BN374" i="2"/>
  <c r="BN384" i="2"/>
  <c r="BN392" i="2"/>
  <c r="Z396" i="2"/>
  <c r="BN416" i="2"/>
  <c r="Z440" i="2"/>
  <c r="Z442" i="2"/>
  <c r="BN442" i="2"/>
  <c r="BN455" i="2"/>
  <c r="Z466" i="2"/>
  <c r="BN466" i="2"/>
  <c r="Z474" i="2"/>
  <c r="BN474" i="2"/>
  <c r="Z476" i="2"/>
  <c r="BN503" i="2"/>
  <c r="BN516" i="2"/>
  <c r="Y179" i="2"/>
  <c r="BN187" i="2"/>
  <c r="BN194" i="2"/>
  <c r="BN266" i="2"/>
  <c r="BN382" i="2"/>
  <c r="BP396" i="2"/>
  <c r="BN410" i="2"/>
  <c r="BN443" i="2"/>
  <c r="BN454" i="2"/>
  <c r="BN460" i="2"/>
  <c r="Y462" i="2"/>
  <c r="BN502" i="2"/>
  <c r="BN510" i="2"/>
  <c r="BN515" i="2"/>
  <c r="BN530" i="2"/>
  <c r="Z415" i="2"/>
  <c r="Z93" i="2"/>
  <c r="BN93" i="2"/>
  <c r="Z521" i="2"/>
  <c r="BN521" i="2"/>
  <c r="Z293" i="2"/>
  <c r="BN293" i="2"/>
  <c r="Z363" i="2"/>
  <c r="Y366" i="2"/>
  <c r="Z104" i="2"/>
  <c r="Z512" i="2"/>
  <c r="BN512" i="2"/>
  <c r="Z397" i="2"/>
  <c r="BN397" i="2"/>
  <c r="Z277" i="2"/>
  <c r="Z465" i="2"/>
  <c r="Z467" i="2" s="1"/>
  <c r="BP465" i="2"/>
  <c r="Y467" i="2"/>
  <c r="BN429" i="2"/>
  <c r="Y432" i="2"/>
  <c r="BP422" i="2"/>
  <c r="Z417" i="2"/>
  <c r="BP389" i="2"/>
  <c r="Y394" i="2"/>
  <c r="BP379" i="2"/>
  <c r="Y387" i="2"/>
  <c r="BN365" i="2"/>
  <c r="Y299" i="2"/>
  <c r="X565" i="2"/>
  <c r="BN192" i="2"/>
  <c r="Z190" i="2"/>
  <c r="Z184" i="2"/>
  <c r="BN184" i="2"/>
  <c r="X568" i="2"/>
  <c r="Y100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Z329" i="2"/>
  <c r="BN337" i="2"/>
  <c r="Y339" i="2"/>
  <c r="BP343" i="2"/>
  <c r="BP351" i="2"/>
  <c r="BN353" i="2"/>
  <c r="BN363" i="2"/>
  <c r="Z364" i="2"/>
  <c r="Y386" i="2"/>
  <c r="BN396" i="2"/>
  <c r="Z403" i="2"/>
  <c r="Z406" i="2" s="1"/>
  <c r="BP404" i="2"/>
  <c r="BN415" i="2"/>
  <c r="Z416" i="2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Z304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354" i="2"/>
  <c r="Z32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456" i="2" s="1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Z90" i="2" s="1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38" i="2" s="1"/>
  <c r="Z344" i="2"/>
  <c r="Z345" i="2" s="1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4" i="2" s="1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86" i="2" l="1"/>
  <c r="Z174" i="2"/>
  <c r="Z120" i="2"/>
  <c r="Z444" i="2"/>
  <c r="Z147" i="2"/>
  <c r="Z142" i="2"/>
  <c r="Z418" i="2"/>
  <c r="Z431" i="2"/>
  <c r="Z399" i="2"/>
  <c r="X567" i="2"/>
  <c r="Z366" i="2"/>
  <c r="Z131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<sst xmlns="http://schemas.openxmlformats.org/spreadsheetml/2006/main" count="4365" uniqueCount="909">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</sst>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/>
      <c r="I5" s="667"/>
      <c r="J5" s="667"/>
      <c r="K5" s="667"/>
      <c r="L5" s="667"/>
      <c r="M5" s="667"/>
      <c r="N5" s="72"/>
      <c r="P5" s="27" t="s">
        <v>4</v>
      </c>
      <c r="Q5" s="669">
        <v>46271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891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Воскресенье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1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0.375</v>
      </c>
      <c r="R8" s="689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0"/>
      <c r="C9" s="690"/>
      <c r="D9" s="691" t="s">
        <v>46</v>
      </c>
      <c r="E9" s="69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0"/>
      <c r="H9" s="693" t="str">
        <f>IF(AND($A$9="Тип доверенности/получателя при получении в адресе перегруза:",$D$9="Разовая доверенность"),"Введите ФИО","")</f>
        <v/>
      </c>
      <c r="I9" s="693"/>
      <c r="J9" s="6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3"/>
      <c r="L9" s="693"/>
      <c r="M9" s="693"/>
      <c r="N9" s="70"/>
      <c r="P9" s="31" t="s">
        <v>15</v>
      </c>
      <c r="Q9" s="694"/>
      <c r="R9" s="694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0"/>
      <c r="C10" s="690"/>
      <c r="D10" s="691"/>
      <c r="E10" s="69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0"/>
      <c r="H10" s="695" t="str">
        <f>IFERROR(VLOOKUP($D$10,Proxy,2,FALSE),"")</f>
        <v/>
      </c>
      <c r="I10" s="695"/>
      <c r="J10" s="695"/>
      <c r="K10" s="695"/>
      <c r="L10" s="695"/>
      <c r="M10" s="695"/>
      <c r="N10" s="71"/>
      <c r="P10" s="31" t="s">
        <v>32</v>
      </c>
      <c r="Q10" s="696"/>
      <c r="R10" s="696"/>
      <c r="U10" s="29" t="s">
        <v>12</v>
      </c>
      <c r="V10" s="697" t="s">
        <v>71</v>
      </c>
      <c r="W10" s="69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9"/>
      <c r="R11" s="699"/>
      <c r="U11" s="29" t="s">
        <v>28</v>
      </c>
      <c r="V11" s="700" t="s">
        <v>55</v>
      </c>
      <c r="W11" s="70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1" t="s">
        <v>72</v>
      </c>
      <c r="B12" s="701"/>
      <c r="C12" s="701"/>
      <c r="D12" s="701"/>
      <c r="E12" s="701"/>
      <c r="F12" s="701"/>
      <c r="G12" s="701"/>
      <c r="H12" s="701"/>
      <c r="I12" s="701"/>
      <c r="J12" s="701"/>
      <c r="K12" s="701"/>
      <c r="L12" s="701"/>
      <c r="M12" s="701"/>
      <c r="N12" s="76"/>
      <c r="P12" s="27" t="s">
        <v>30</v>
      </c>
      <c r="Q12" s="689"/>
      <c r="R12" s="689"/>
      <c r="S12" s="28"/>
      <c r="T12"/>
      <c r="U12" s="29" t="s">
        <v>46</v>
      </c>
      <c r="V12" s="702"/>
      <c r="W12" s="702"/>
      <c r="X12"/>
      <c r="AB12" s="59"/>
      <c r="AC12" s="59"/>
      <c r="AD12" s="59"/>
      <c r="AE12" s="59"/>
    </row>
    <row r="13" spans="1:32" s="17" customFormat="1" ht="23.25" customHeight="1" x14ac:dyDescent="0.2">
      <c r="A13" s="701" t="s">
        <v>73</v>
      </c>
      <c r="B13" s="701"/>
      <c r="C13" s="701"/>
      <c r="D13" s="701"/>
      <c r="E13" s="701"/>
      <c r="F13" s="701"/>
      <c r="G13" s="701"/>
      <c r="H13" s="701"/>
      <c r="I13" s="701"/>
      <c r="J13" s="701"/>
      <c r="K13" s="701"/>
      <c r="L13" s="701"/>
      <c r="M13" s="701"/>
      <c r="N13" s="76"/>
      <c r="O13" s="31"/>
      <c r="P13" s="31" t="s">
        <v>31</v>
      </c>
      <c r="Q13" s="700"/>
      <c r="R13" s="70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1" t="s">
        <v>74</v>
      </c>
      <c r="B14" s="701"/>
      <c r="C14" s="701"/>
      <c r="D14" s="701"/>
      <c r="E14" s="701"/>
      <c r="F14" s="701"/>
      <c r="G14" s="701"/>
      <c r="H14" s="701"/>
      <c r="I14" s="701"/>
      <c r="J14" s="701"/>
      <c r="K14" s="701"/>
      <c r="L14" s="701"/>
      <c r="M14" s="70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3" t="s">
        <v>75</v>
      </c>
      <c r="B15" s="703"/>
      <c r="C15" s="703"/>
      <c r="D15" s="703"/>
      <c r="E15" s="703"/>
      <c r="F15" s="703"/>
      <c r="G15" s="703"/>
      <c r="H15" s="703"/>
      <c r="I15" s="703"/>
      <c r="J15" s="703"/>
      <c r="K15" s="703"/>
      <c r="L15" s="703"/>
      <c r="M15" s="703"/>
      <c r="N15" s="77"/>
      <c r="O15"/>
      <c r="P15" s="704" t="s">
        <v>61</v>
      </c>
      <c r="Q15" s="704"/>
      <c r="R15" s="704"/>
      <c r="S15" s="704"/>
      <c r="T15" s="70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5"/>
      <c r="Q16" s="705"/>
      <c r="R16" s="705"/>
      <c r="S16" s="705"/>
      <c r="T16" s="70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8" t="s">
        <v>59</v>
      </c>
      <c r="B17" s="708" t="s">
        <v>49</v>
      </c>
      <c r="C17" s="710" t="s">
        <v>48</v>
      </c>
      <c r="D17" s="712" t="s">
        <v>50</v>
      </c>
      <c r="E17" s="713"/>
      <c r="F17" s="708" t="s">
        <v>21</v>
      </c>
      <c r="G17" s="708" t="s">
        <v>24</v>
      </c>
      <c r="H17" s="708" t="s">
        <v>22</v>
      </c>
      <c r="I17" s="708" t="s">
        <v>23</v>
      </c>
      <c r="J17" s="708" t="s">
        <v>16</v>
      </c>
      <c r="K17" s="708" t="s">
        <v>66</v>
      </c>
      <c r="L17" s="708" t="s">
        <v>64</v>
      </c>
      <c r="M17" s="708" t="s">
        <v>2</v>
      </c>
      <c r="N17" s="708" t="s">
        <v>63</v>
      </c>
      <c r="O17" s="708" t="s">
        <v>25</v>
      </c>
      <c r="P17" s="712" t="s">
        <v>17</v>
      </c>
      <c r="Q17" s="716"/>
      <c r="R17" s="716"/>
      <c r="S17" s="716"/>
      <c r="T17" s="713"/>
      <c r="U17" s="706" t="s">
        <v>56</v>
      </c>
      <c r="V17" s="707"/>
      <c r="W17" s="708" t="s">
        <v>6</v>
      </c>
      <c r="X17" s="708" t="s">
        <v>41</v>
      </c>
      <c r="Y17" s="718" t="s">
        <v>54</v>
      </c>
      <c r="Z17" s="720" t="s">
        <v>18</v>
      </c>
      <c r="AA17" s="722" t="s">
        <v>60</v>
      </c>
      <c r="AB17" s="722" t="s">
        <v>19</v>
      </c>
      <c r="AC17" s="722" t="s">
        <v>65</v>
      </c>
      <c r="AD17" s="724" t="s">
        <v>57</v>
      </c>
      <c r="AE17" s="725"/>
      <c r="AF17" s="726"/>
      <c r="AG17" s="82"/>
      <c r="BD17" s="81" t="s">
        <v>62</v>
      </c>
    </row>
    <row r="18" spans="1:68" ht="14.25" customHeight="1" x14ac:dyDescent="0.2">
      <c r="A18" s="709"/>
      <c r="B18" s="709"/>
      <c r="C18" s="711"/>
      <c r="D18" s="714"/>
      <c r="E18" s="715"/>
      <c r="F18" s="709"/>
      <c r="G18" s="709"/>
      <c r="H18" s="709"/>
      <c r="I18" s="709"/>
      <c r="J18" s="709"/>
      <c r="K18" s="709"/>
      <c r="L18" s="709"/>
      <c r="M18" s="709"/>
      <c r="N18" s="709"/>
      <c r="O18" s="709"/>
      <c r="P18" s="714"/>
      <c r="Q18" s="717"/>
      <c r="R18" s="717"/>
      <c r="S18" s="717"/>
      <c r="T18" s="715"/>
      <c r="U18" s="83" t="s">
        <v>44</v>
      </c>
      <c r="V18" s="83" t="s">
        <v>43</v>
      </c>
      <c r="W18" s="709"/>
      <c r="X18" s="709"/>
      <c r="Y18" s="719"/>
      <c r="Z18" s="721"/>
      <c r="AA18" s="723"/>
      <c r="AB18" s="723"/>
      <c r="AC18" s="723"/>
      <c r="AD18" s="727"/>
      <c r="AE18" s="728"/>
      <c r="AF18" s="729"/>
      <c r="AG18" s="82"/>
      <c r="BD18" s="81"/>
    </row>
    <row r="19" spans="1:68" ht="27.75" hidden="1" customHeight="1" x14ac:dyDescent="0.2">
      <c r="A19" s="730" t="s">
        <v>76</v>
      </c>
      <c r="B19" s="730"/>
      <c r="C19" s="730"/>
      <c r="D19" s="730"/>
      <c r="E19" s="730"/>
      <c r="F19" s="730"/>
      <c r="G19" s="730"/>
      <c r="H19" s="730"/>
      <c r="I19" s="730"/>
      <c r="J19" s="730"/>
      <c r="K19" s="730"/>
      <c r="L19" s="730"/>
      <c r="M19" s="730"/>
      <c r="N19" s="730"/>
      <c r="O19" s="730"/>
      <c r="P19" s="730"/>
      <c r="Q19" s="730"/>
      <c r="R19" s="730"/>
      <c r="S19" s="730"/>
      <c r="T19" s="730"/>
      <c r="U19" s="730"/>
      <c r="V19" s="730"/>
      <c r="W19" s="730"/>
      <c r="X19" s="730"/>
      <c r="Y19" s="730"/>
      <c r="Z19" s="730"/>
      <c r="AA19" s="54"/>
      <c r="AB19" s="54"/>
      <c r="AC19" s="54"/>
    </row>
    <row r="20" spans="1:68" ht="16.5" hidden="1" customHeight="1" x14ac:dyDescent="0.25">
      <c r="A20" s="731" t="s">
        <v>76</v>
      </c>
      <c r="B20" s="731"/>
      <c r="C20" s="731"/>
      <c r="D20" s="731"/>
      <c r="E20" s="731"/>
      <c r="F20" s="731"/>
      <c r="G20" s="731"/>
      <c r="H20" s="731"/>
      <c r="I20" s="731"/>
      <c r="J20" s="731"/>
      <c r="K20" s="731"/>
      <c r="L20" s="731"/>
      <c r="M20" s="731"/>
      <c r="N20" s="731"/>
      <c r="O20" s="731"/>
      <c r="P20" s="731"/>
      <c r="Q20" s="731"/>
      <c r="R20" s="731"/>
      <c r="S20" s="731"/>
      <c r="T20" s="731"/>
      <c r="U20" s="731"/>
      <c r="V20" s="731"/>
      <c r="W20" s="731"/>
      <c r="X20" s="731"/>
      <c r="Y20" s="731"/>
      <c r="Z20" s="731"/>
      <c r="AA20" s="65"/>
      <c r="AB20" s="65"/>
      <c r="AC20" s="79"/>
    </row>
    <row r="21" spans="1:68" ht="14.25" hidden="1" customHeight="1" x14ac:dyDescent="0.25">
      <c r="A21" s="732" t="s">
        <v>77</v>
      </c>
      <c r="B21" s="732"/>
      <c r="C21" s="732"/>
      <c r="D21" s="732"/>
      <c r="E21" s="732"/>
      <c r="F21" s="732"/>
      <c r="G21" s="732"/>
      <c r="H21" s="732"/>
      <c r="I21" s="732"/>
      <c r="J21" s="732"/>
      <c r="K21" s="732"/>
      <c r="L21" s="732"/>
      <c r="M21" s="732"/>
      <c r="N21" s="732"/>
      <c r="O21" s="732"/>
      <c r="P21" s="732"/>
      <c r="Q21" s="732"/>
      <c r="R21" s="732"/>
      <c r="S21" s="732"/>
      <c r="T21" s="732"/>
      <c r="U21" s="732"/>
      <c r="V21" s="732"/>
      <c r="W21" s="732"/>
      <c r="X21" s="732"/>
      <c r="Y21" s="732"/>
      <c r="Z21" s="73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3">
        <v>4680115886643</v>
      </c>
      <c r="E22" s="73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5"/>
      <c r="R22" s="735"/>
      <c r="S22" s="735"/>
      <c r="T22" s="73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3">
        <v>4680115889071</v>
      </c>
      <c r="E23" s="73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5"/>
      <c r="R23" s="735"/>
      <c r="S23" s="735"/>
      <c r="T23" s="73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1"/>
      <c r="B24" s="741"/>
      <c r="C24" s="741"/>
      <c r="D24" s="741"/>
      <c r="E24" s="741"/>
      <c r="F24" s="741"/>
      <c r="G24" s="741"/>
      <c r="H24" s="741"/>
      <c r="I24" s="741"/>
      <c r="J24" s="741"/>
      <c r="K24" s="741"/>
      <c r="L24" s="741"/>
      <c r="M24" s="741"/>
      <c r="N24" s="741"/>
      <c r="O24" s="742"/>
      <c r="P24" s="738" t="s">
        <v>40</v>
      </c>
      <c r="Q24" s="739"/>
      <c r="R24" s="739"/>
      <c r="S24" s="739"/>
      <c r="T24" s="739"/>
      <c r="U24" s="739"/>
      <c r="V24" s="74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1"/>
      <c r="B25" s="741"/>
      <c r="C25" s="741"/>
      <c r="D25" s="741"/>
      <c r="E25" s="741"/>
      <c r="F25" s="741"/>
      <c r="G25" s="741"/>
      <c r="H25" s="741"/>
      <c r="I25" s="741"/>
      <c r="J25" s="741"/>
      <c r="K25" s="741"/>
      <c r="L25" s="741"/>
      <c r="M25" s="741"/>
      <c r="N25" s="741"/>
      <c r="O25" s="742"/>
      <c r="P25" s="738" t="s">
        <v>40</v>
      </c>
      <c r="Q25" s="739"/>
      <c r="R25" s="739"/>
      <c r="S25" s="739"/>
      <c r="T25" s="739"/>
      <c r="U25" s="739"/>
      <c r="V25" s="74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2" t="s">
        <v>86</v>
      </c>
      <c r="B26" s="732"/>
      <c r="C26" s="732"/>
      <c r="D26" s="732"/>
      <c r="E26" s="732"/>
      <c r="F26" s="732"/>
      <c r="G26" s="732"/>
      <c r="H26" s="732"/>
      <c r="I26" s="732"/>
      <c r="J26" s="732"/>
      <c r="K26" s="732"/>
      <c r="L26" s="732"/>
      <c r="M26" s="732"/>
      <c r="N26" s="732"/>
      <c r="O26" s="732"/>
      <c r="P26" s="732"/>
      <c r="Q26" s="732"/>
      <c r="R26" s="732"/>
      <c r="S26" s="732"/>
      <c r="T26" s="732"/>
      <c r="U26" s="732"/>
      <c r="V26" s="732"/>
      <c r="W26" s="732"/>
      <c r="X26" s="732"/>
      <c r="Y26" s="732"/>
      <c r="Z26" s="73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3">
        <v>4680115885912</v>
      </c>
      <c r="E27" s="73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5"/>
      <c r="R27" s="735"/>
      <c r="S27" s="735"/>
      <c r="T27" s="73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3">
        <v>4607091388237</v>
      </c>
      <c r="E28" s="73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5"/>
      <c r="R28" s="735"/>
      <c r="S28" s="735"/>
      <c r="T28" s="73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3">
        <v>4680115887350</v>
      </c>
      <c r="E29" s="73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5"/>
      <c r="R29" s="735"/>
      <c r="S29" s="735"/>
      <c r="T29" s="73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3">
        <v>4680115885905</v>
      </c>
      <c r="E30" s="73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5"/>
      <c r="R30" s="735"/>
      <c r="S30" s="735"/>
      <c r="T30" s="73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3">
        <v>4680115887619</v>
      </c>
      <c r="E31" s="73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5"/>
      <c r="R31" s="735"/>
      <c r="S31" s="735"/>
      <c r="T31" s="73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1"/>
      <c r="B32" s="741"/>
      <c r="C32" s="741"/>
      <c r="D32" s="741"/>
      <c r="E32" s="741"/>
      <c r="F32" s="741"/>
      <c r="G32" s="741"/>
      <c r="H32" s="741"/>
      <c r="I32" s="741"/>
      <c r="J32" s="741"/>
      <c r="K32" s="741"/>
      <c r="L32" s="741"/>
      <c r="M32" s="741"/>
      <c r="N32" s="741"/>
      <c r="O32" s="742"/>
      <c r="P32" s="738" t="s">
        <v>40</v>
      </c>
      <c r="Q32" s="739"/>
      <c r="R32" s="739"/>
      <c r="S32" s="739"/>
      <c r="T32" s="739"/>
      <c r="U32" s="739"/>
      <c r="V32" s="74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1"/>
      <c r="B33" s="741"/>
      <c r="C33" s="741"/>
      <c r="D33" s="741"/>
      <c r="E33" s="741"/>
      <c r="F33" s="741"/>
      <c r="G33" s="741"/>
      <c r="H33" s="741"/>
      <c r="I33" s="741"/>
      <c r="J33" s="741"/>
      <c r="K33" s="741"/>
      <c r="L33" s="741"/>
      <c r="M33" s="741"/>
      <c r="N33" s="741"/>
      <c r="O33" s="742"/>
      <c r="P33" s="738" t="s">
        <v>40</v>
      </c>
      <c r="Q33" s="739"/>
      <c r="R33" s="739"/>
      <c r="S33" s="739"/>
      <c r="T33" s="739"/>
      <c r="U33" s="739"/>
      <c r="V33" s="74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0" t="s">
        <v>45</v>
      </c>
      <c r="B34" s="730"/>
      <c r="C34" s="730"/>
      <c r="D34" s="730"/>
      <c r="E34" s="730"/>
      <c r="F34" s="730"/>
      <c r="G34" s="730"/>
      <c r="H34" s="730"/>
      <c r="I34" s="730"/>
      <c r="J34" s="730"/>
      <c r="K34" s="730"/>
      <c r="L34" s="730"/>
      <c r="M34" s="730"/>
      <c r="N34" s="730"/>
      <c r="O34" s="730"/>
      <c r="P34" s="730"/>
      <c r="Q34" s="730"/>
      <c r="R34" s="730"/>
      <c r="S34" s="730"/>
      <c r="T34" s="730"/>
      <c r="U34" s="730"/>
      <c r="V34" s="730"/>
      <c r="W34" s="730"/>
      <c r="X34" s="730"/>
      <c r="Y34" s="730"/>
      <c r="Z34" s="730"/>
      <c r="AA34" s="54"/>
      <c r="AB34" s="54"/>
      <c r="AC34" s="54"/>
    </row>
    <row r="35" spans="1:68" ht="16.5" hidden="1" customHeight="1" x14ac:dyDescent="0.25">
      <c r="A35" s="731" t="s">
        <v>104</v>
      </c>
      <c r="B35" s="731"/>
      <c r="C35" s="731"/>
      <c r="D35" s="731"/>
      <c r="E35" s="731"/>
      <c r="F35" s="731"/>
      <c r="G35" s="731"/>
      <c r="H35" s="731"/>
      <c r="I35" s="731"/>
      <c r="J35" s="731"/>
      <c r="K35" s="731"/>
      <c r="L35" s="731"/>
      <c r="M35" s="731"/>
      <c r="N35" s="731"/>
      <c r="O35" s="731"/>
      <c r="P35" s="731"/>
      <c r="Q35" s="731"/>
      <c r="R35" s="731"/>
      <c r="S35" s="731"/>
      <c r="T35" s="731"/>
      <c r="U35" s="731"/>
      <c r="V35" s="731"/>
      <c r="W35" s="731"/>
      <c r="X35" s="731"/>
      <c r="Y35" s="731"/>
      <c r="Z35" s="731"/>
      <c r="AA35" s="65"/>
      <c r="AB35" s="65"/>
      <c r="AC35" s="79"/>
    </row>
    <row r="36" spans="1:68" ht="14.25" hidden="1" customHeight="1" x14ac:dyDescent="0.25">
      <c r="A36" s="732" t="s">
        <v>86</v>
      </c>
      <c r="B36" s="732"/>
      <c r="C36" s="732"/>
      <c r="D36" s="732"/>
      <c r="E36" s="732"/>
      <c r="F36" s="732"/>
      <c r="G36" s="732"/>
      <c r="H36" s="732"/>
      <c r="I36" s="732"/>
      <c r="J36" s="732"/>
      <c r="K36" s="732"/>
      <c r="L36" s="732"/>
      <c r="M36" s="732"/>
      <c r="N36" s="732"/>
      <c r="O36" s="732"/>
      <c r="P36" s="732"/>
      <c r="Q36" s="732"/>
      <c r="R36" s="732"/>
      <c r="S36" s="732"/>
      <c r="T36" s="732"/>
      <c r="U36" s="732"/>
      <c r="V36" s="732"/>
      <c r="W36" s="732"/>
      <c r="X36" s="732"/>
      <c r="Y36" s="732"/>
      <c r="Z36" s="73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3">
        <v>4680115889354</v>
      </c>
      <c r="E37" s="73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5"/>
      <c r="R37" s="735"/>
      <c r="S37" s="735"/>
      <c r="T37" s="73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3">
        <v>4680115888463</v>
      </c>
      <c r="E38" s="73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5"/>
      <c r="R38" s="735"/>
      <c r="S38" s="735"/>
      <c r="T38" s="73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3">
        <v>4680115889590</v>
      </c>
      <c r="E39" s="73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5"/>
      <c r="R39" s="735"/>
      <c r="S39" s="735"/>
      <c r="T39" s="73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3">
        <v>4680115888272</v>
      </c>
      <c r="E40" s="73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5"/>
      <c r="R40" s="735"/>
      <c r="S40" s="735"/>
      <c r="T40" s="73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3">
        <v>4680115888364</v>
      </c>
      <c r="E41" s="73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5"/>
      <c r="R41" s="735"/>
      <c r="S41" s="735"/>
      <c r="T41" s="73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1"/>
      <c r="B42" s="741"/>
      <c r="C42" s="741"/>
      <c r="D42" s="741"/>
      <c r="E42" s="741"/>
      <c r="F42" s="741"/>
      <c r="G42" s="741"/>
      <c r="H42" s="741"/>
      <c r="I42" s="741"/>
      <c r="J42" s="741"/>
      <c r="K42" s="741"/>
      <c r="L42" s="741"/>
      <c r="M42" s="741"/>
      <c r="N42" s="741"/>
      <c r="O42" s="742"/>
      <c r="P42" s="738" t="s">
        <v>40</v>
      </c>
      <c r="Q42" s="739"/>
      <c r="R42" s="739"/>
      <c r="S42" s="739"/>
      <c r="T42" s="739"/>
      <c r="U42" s="739"/>
      <c r="V42" s="74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1"/>
      <c r="B43" s="741"/>
      <c r="C43" s="741"/>
      <c r="D43" s="741"/>
      <c r="E43" s="741"/>
      <c r="F43" s="741"/>
      <c r="G43" s="741"/>
      <c r="H43" s="741"/>
      <c r="I43" s="741"/>
      <c r="J43" s="741"/>
      <c r="K43" s="741"/>
      <c r="L43" s="741"/>
      <c r="M43" s="741"/>
      <c r="N43" s="741"/>
      <c r="O43" s="742"/>
      <c r="P43" s="738" t="s">
        <v>40</v>
      </c>
      <c r="Q43" s="739"/>
      <c r="R43" s="739"/>
      <c r="S43" s="739"/>
      <c r="T43" s="739"/>
      <c r="U43" s="739"/>
      <c r="V43" s="74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0" t="s">
        <v>120</v>
      </c>
      <c r="B44" s="730"/>
      <c r="C44" s="730"/>
      <c r="D44" s="730"/>
      <c r="E44" s="730"/>
      <c r="F44" s="730"/>
      <c r="G44" s="730"/>
      <c r="H44" s="730"/>
      <c r="I44" s="730"/>
      <c r="J44" s="730"/>
      <c r="K44" s="730"/>
      <c r="L44" s="730"/>
      <c r="M44" s="730"/>
      <c r="N44" s="730"/>
      <c r="O44" s="730"/>
      <c r="P44" s="730"/>
      <c r="Q44" s="730"/>
      <c r="R44" s="730"/>
      <c r="S44" s="730"/>
      <c r="T44" s="730"/>
      <c r="U44" s="730"/>
      <c r="V44" s="730"/>
      <c r="W44" s="730"/>
      <c r="X44" s="730"/>
      <c r="Y44" s="730"/>
      <c r="Z44" s="730"/>
      <c r="AA44" s="54"/>
      <c r="AB44" s="54"/>
      <c r="AC44" s="54"/>
    </row>
    <row r="45" spans="1:68" ht="16.5" hidden="1" customHeight="1" x14ac:dyDescent="0.25">
      <c r="A45" s="731" t="s">
        <v>121</v>
      </c>
      <c r="B45" s="731"/>
      <c r="C45" s="731"/>
      <c r="D45" s="731"/>
      <c r="E45" s="731"/>
      <c r="F45" s="731"/>
      <c r="G45" s="731"/>
      <c r="H45" s="731"/>
      <c r="I45" s="731"/>
      <c r="J45" s="731"/>
      <c r="K45" s="731"/>
      <c r="L45" s="731"/>
      <c r="M45" s="731"/>
      <c r="N45" s="731"/>
      <c r="O45" s="731"/>
      <c r="P45" s="731"/>
      <c r="Q45" s="731"/>
      <c r="R45" s="731"/>
      <c r="S45" s="731"/>
      <c r="T45" s="731"/>
      <c r="U45" s="731"/>
      <c r="V45" s="731"/>
      <c r="W45" s="731"/>
      <c r="X45" s="731"/>
      <c r="Y45" s="731"/>
      <c r="Z45" s="731"/>
      <c r="AA45" s="65"/>
      <c r="AB45" s="65"/>
      <c r="AC45" s="79"/>
    </row>
    <row r="46" spans="1:68" ht="14.25" hidden="1" customHeight="1" x14ac:dyDescent="0.25">
      <c r="A46" s="732" t="s">
        <v>122</v>
      </c>
      <c r="B46" s="732"/>
      <c r="C46" s="732"/>
      <c r="D46" s="732"/>
      <c r="E46" s="732"/>
      <c r="F46" s="732"/>
      <c r="G46" s="732"/>
      <c r="H46" s="732"/>
      <c r="I46" s="732"/>
      <c r="J46" s="732"/>
      <c r="K46" s="732"/>
      <c r="L46" s="732"/>
      <c r="M46" s="732"/>
      <c r="N46" s="732"/>
      <c r="O46" s="732"/>
      <c r="P46" s="732"/>
      <c r="Q46" s="732"/>
      <c r="R46" s="732"/>
      <c r="S46" s="732"/>
      <c r="T46" s="732"/>
      <c r="U46" s="732"/>
      <c r="V46" s="732"/>
      <c r="W46" s="732"/>
      <c r="X46" s="732"/>
      <c r="Y46" s="732"/>
      <c r="Z46" s="73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33">
        <v>4607091385670</v>
      </c>
      <c r="E47" s="73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5"/>
      <c r="R47" s="735"/>
      <c r="S47" s="735"/>
      <c r="T47" s="736"/>
      <c r="U47" s="39" t="s">
        <v>46</v>
      </c>
      <c r="V47" s="39" t="s">
        <v>46</v>
      </c>
      <c r="W47" s="40" t="s">
        <v>0</v>
      </c>
      <c r="X47" s="58">
        <v>30</v>
      </c>
      <c r="Y47" s="55">
        <f>IFERROR(IF(X47="",0,CEILING((X47/$H47),1)*$H47),"")</f>
        <v>32.400000000000006</v>
      </c>
      <c r="Z47" s="41">
        <f>IFERROR(IF(Y47=0,"",ROUNDUP(Y47/H47,0)*0.01898),"")</f>
        <v>5.6940000000000004E-2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31.138888888888889</v>
      </c>
      <c r="BN47" s="78">
        <f>IFERROR(Y47*I47/H47,"0")</f>
        <v>33.630000000000003</v>
      </c>
      <c r="BO47" s="78">
        <f>IFERROR(1/J47*(X47/H47),"0")</f>
        <v>4.3402777777777776E-2</v>
      </c>
      <c r="BP47" s="78">
        <f>IFERROR(1/J47*(Y47/H47),"0")</f>
        <v>4.6875000000000007E-2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3">
        <v>4680115887725</v>
      </c>
      <c r="E48" s="73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5"/>
      <c r="R48" s="735"/>
      <c r="S48" s="735"/>
      <c r="T48" s="73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3">
        <v>4607091385687</v>
      </c>
      <c r="E49" s="73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5"/>
      <c r="R49" s="735"/>
      <c r="S49" s="735"/>
      <c r="T49" s="73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3">
        <v>4680115882539</v>
      </c>
      <c r="E50" s="73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5"/>
      <c r="R50" s="735"/>
      <c r="S50" s="735"/>
      <c r="T50" s="73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1"/>
      <c r="B51" s="741"/>
      <c r="C51" s="741"/>
      <c r="D51" s="741"/>
      <c r="E51" s="741"/>
      <c r="F51" s="741"/>
      <c r="G51" s="741"/>
      <c r="H51" s="741"/>
      <c r="I51" s="741"/>
      <c r="J51" s="741"/>
      <c r="K51" s="741"/>
      <c r="L51" s="741"/>
      <c r="M51" s="741"/>
      <c r="N51" s="741"/>
      <c r="O51" s="742"/>
      <c r="P51" s="738" t="s">
        <v>40</v>
      </c>
      <c r="Q51" s="739"/>
      <c r="R51" s="739"/>
      <c r="S51" s="739"/>
      <c r="T51" s="739"/>
      <c r="U51" s="739"/>
      <c r="V51" s="740"/>
      <c r="W51" s="42" t="s">
        <v>39</v>
      </c>
      <c r="X51" s="43">
        <f>IFERROR(X47/H47,"0")+IFERROR(X48/H48,"0")+IFERROR(X49/H49,"0")+IFERROR(X50/H50,"0")</f>
        <v>2.7777777777777777</v>
      </c>
      <c r="Y51" s="43">
        <f>IFERROR(Y47/H47,"0")+IFERROR(Y48/H48,"0")+IFERROR(Y49/H49,"0")+IFERROR(Y50/H50,"0")</f>
        <v>3.0000000000000004</v>
      </c>
      <c r="Z51" s="43">
        <f>IFERROR(IF(Z47="",0,Z47),"0")+IFERROR(IF(Z48="",0,Z48),"0")+IFERROR(IF(Z49="",0,Z49),"0")+IFERROR(IF(Z50="",0,Z50),"0")</f>
        <v>5.6940000000000004E-2</v>
      </c>
      <c r="AA51" s="67"/>
      <c r="AB51" s="67"/>
      <c r="AC51" s="67"/>
    </row>
    <row r="52" spans="1:68" x14ac:dyDescent="0.2">
      <c r="A52" s="741"/>
      <c r="B52" s="741"/>
      <c r="C52" s="741"/>
      <c r="D52" s="741"/>
      <c r="E52" s="741"/>
      <c r="F52" s="741"/>
      <c r="G52" s="741"/>
      <c r="H52" s="741"/>
      <c r="I52" s="741"/>
      <c r="J52" s="741"/>
      <c r="K52" s="741"/>
      <c r="L52" s="741"/>
      <c r="M52" s="741"/>
      <c r="N52" s="741"/>
      <c r="O52" s="742"/>
      <c r="P52" s="738" t="s">
        <v>40</v>
      </c>
      <c r="Q52" s="739"/>
      <c r="R52" s="739"/>
      <c r="S52" s="739"/>
      <c r="T52" s="739"/>
      <c r="U52" s="739"/>
      <c r="V52" s="740"/>
      <c r="W52" s="42" t="s">
        <v>0</v>
      </c>
      <c r="X52" s="43">
        <f>IFERROR(SUM(X47:X50),"0")</f>
        <v>30</v>
      </c>
      <c r="Y52" s="43">
        <f>IFERROR(SUM(Y47:Y50),"0")</f>
        <v>32.400000000000006</v>
      </c>
      <c r="Z52" s="42"/>
      <c r="AA52" s="67"/>
      <c r="AB52" s="67"/>
      <c r="AC52" s="67"/>
    </row>
    <row r="53" spans="1:68" ht="16.5" hidden="1" customHeight="1" x14ac:dyDescent="0.25">
      <c r="A53" s="731" t="s">
        <v>137</v>
      </c>
      <c r="B53" s="731"/>
      <c r="C53" s="731"/>
      <c r="D53" s="731"/>
      <c r="E53" s="731"/>
      <c r="F53" s="731"/>
      <c r="G53" s="731"/>
      <c r="H53" s="731"/>
      <c r="I53" s="731"/>
      <c r="J53" s="731"/>
      <c r="K53" s="731"/>
      <c r="L53" s="731"/>
      <c r="M53" s="731"/>
      <c r="N53" s="731"/>
      <c r="O53" s="731"/>
      <c r="P53" s="731"/>
      <c r="Q53" s="731"/>
      <c r="R53" s="731"/>
      <c r="S53" s="731"/>
      <c r="T53" s="731"/>
      <c r="U53" s="731"/>
      <c r="V53" s="731"/>
      <c r="W53" s="731"/>
      <c r="X53" s="731"/>
      <c r="Y53" s="731"/>
      <c r="Z53" s="731"/>
      <c r="AA53" s="65"/>
      <c r="AB53" s="65"/>
      <c r="AC53" s="79"/>
    </row>
    <row r="54" spans="1:68" ht="14.25" hidden="1" customHeight="1" x14ac:dyDescent="0.25">
      <c r="A54" s="732" t="s">
        <v>122</v>
      </c>
      <c r="B54" s="732"/>
      <c r="C54" s="732"/>
      <c r="D54" s="732"/>
      <c r="E54" s="732"/>
      <c r="F54" s="732"/>
      <c r="G54" s="732"/>
      <c r="H54" s="732"/>
      <c r="I54" s="732"/>
      <c r="J54" s="732"/>
      <c r="K54" s="732"/>
      <c r="L54" s="732"/>
      <c r="M54" s="732"/>
      <c r="N54" s="732"/>
      <c r="O54" s="732"/>
      <c r="P54" s="732"/>
      <c r="Q54" s="732"/>
      <c r="R54" s="732"/>
      <c r="S54" s="732"/>
      <c r="T54" s="732"/>
      <c r="U54" s="732"/>
      <c r="V54" s="732"/>
      <c r="W54" s="732"/>
      <c r="X54" s="732"/>
      <c r="Y54" s="732"/>
      <c r="Z54" s="73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3">
        <v>4680115885882</v>
      </c>
      <c r="E55" s="73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5"/>
      <c r="R55" s="735"/>
      <c r="S55" s="735"/>
      <c r="T55" s="73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33">
        <v>4680115881426</v>
      </c>
      <c r="E56" s="73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5"/>
      <c r="R56" s="735"/>
      <c r="S56" s="735"/>
      <c r="T56" s="736"/>
      <c r="U56" s="39" t="s">
        <v>46</v>
      </c>
      <c r="V56" s="39" t="s">
        <v>46</v>
      </c>
      <c r="W56" s="40" t="s">
        <v>0</v>
      </c>
      <c r="X56" s="58">
        <v>100</v>
      </c>
      <c r="Y56" s="55">
        <f t="shared" si="0"/>
        <v>108</v>
      </c>
      <c r="Z56" s="41">
        <f>IFERROR(IF(Y56=0,"",ROUNDUP(Y56/H56,0)*0.01898),"")</f>
        <v>0.1898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103.79629629629629</v>
      </c>
      <c r="BN56" s="78">
        <f t="shared" si="2"/>
        <v>112.1</v>
      </c>
      <c r="BO56" s="78">
        <f t="shared" si="3"/>
        <v>0.14467592592592593</v>
      </c>
      <c r="BP56" s="78">
        <f t="shared" si="4"/>
        <v>0.15625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3">
        <v>4680115880283</v>
      </c>
      <c r="E57" s="73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5"/>
      <c r="R57" s="735"/>
      <c r="S57" s="735"/>
      <c r="T57" s="73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3">
        <v>4680115881525</v>
      </c>
      <c r="E58" s="73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5"/>
      <c r="R58" s="735"/>
      <c r="S58" s="735"/>
      <c r="T58" s="73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3">
        <v>4680115885899</v>
      </c>
      <c r="E59" s="73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5"/>
      <c r="R59" s="735"/>
      <c r="S59" s="735"/>
      <c r="T59" s="73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733">
        <v>4680115881419</v>
      </c>
      <c r="E60" s="73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5"/>
      <c r="R60" s="735"/>
      <c r="S60" s="735"/>
      <c r="T60" s="736"/>
      <c r="U60" s="39" t="s">
        <v>46</v>
      </c>
      <c r="V60" s="39" t="s">
        <v>46</v>
      </c>
      <c r="W60" s="40" t="s">
        <v>0</v>
      </c>
      <c r="X60" s="58">
        <v>45</v>
      </c>
      <c r="Y60" s="55">
        <f t="shared" si="0"/>
        <v>45</v>
      </c>
      <c r="Z60" s="41">
        <f>IFERROR(IF(Y60=0,"",ROUNDUP(Y60/H60,0)*0.00902),"")</f>
        <v>9.0200000000000002E-2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46.900000000000006</v>
      </c>
      <c r="BN60" s="78">
        <f t="shared" si="2"/>
        <v>46.900000000000006</v>
      </c>
      <c r="BO60" s="78">
        <f t="shared" si="3"/>
        <v>7.575757575757576E-2</v>
      </c>
      <c r="BP60" s="78">
        <f t="shared" si="4"/>
        <v>7.575757575757576E-2</v>
      </c>
    </row>
    <row r="61" spans="1:68" x14ac:dyDescent="0.2">
      <c r="A61" s="741"/>
      <c r="B61" s="741"/>
      <c r="C61" s="741"/>
      <c r="D61" s="741"/>
      <c r="E61" s="741"/>
      <c r="F61" s="741"/>
      <c r="G61" s="741"/>
      <c r="H61" s="741"/>
      <c r="I61" s="741"/>
      <c r="J61" s="741"/>
      <c r="K61" s="741"/>
      <c r="L61" s="741"/>
      <c r="M61" s="741"/>
      <c r="N61" s="741"/>
      <c r="O61" s="742"/>
      <c r="P61" s="738" t="s">
        <v>40</v>
      </c>
      <c r="Q61" s="739"/>
      <c r="R61" s="739"/>
      <c r="S61" s="739"/>
      <c r="T61" s="739"/>
      <c r="U61" s="739"/>
      <c r="V61" s="740"/>
      <c r="W61" s="42" t="s">
        <v>39</v>
      </c>
      <c r="X61" s="43">
        <f>IFERROR(X55/H55,"0")+IFERROR(X56/H56,"0")+IFERROR(X57/H57,"0")+IFERROR(X58/H58,"0")+IFERROR(X59/H59,"0")+IFERROR(X60/H60,"0")</f>
        <v>19.25925925925926</v>
      </c>
      <c r="Y61" s="43">
        <f>IFERROR(Y55/H55,"0")+IFERROR(Y56/H56,"0")+IFERROR(Y57/H57,"0")+IFERROR(Y58/H58,"0")+IFERROR(Y59/H59,"0")+IFERROR(Y60/H60,"0")</f>
        <v>20</v>
      </c>
      <c r="Z61" s="43">
        <f>IFERROR(IF(Z55="",0,Z55),"0")+IFERROR(IF(Z56="",0,Z56),"0")+IFERROR(IF(Z57="",0,Z57),"0")+IFERROR(IF(Z58="",0,Z58),"0")+IFERROR(IF(Z59="",0,Z59),"0")+IFERROR(IF(Z60="",0,Z60),"0")</f>
        <v>0.28000000000000003</v>
      </c>
      <c r="AA61" s="67"/>
      <c r="AB61" s="67"/>
      <c r="AC61" s="67"/>
    </row>
    <row r="62" spans="1:68" x14ac:dyDescent="0.2">
      <c r="A62" s="741"/>
      <c r="B62" s="741"/>
      <c r="C62" s="741"/>
      <c r="D62" s="741"/>
      <c r="E62" s="741"/>
      <c r="F62" s="741"/>
      <c r="G62" s="741"/>
      <c r="H62" s="741"/>
      <c r="I62" s="741"/>
      <c r="J62" s="741"/>
      <c r="K62" s="741"/>
      <c r="L62" s="741"/>
      <c r="M62" s="741"/>
      <c r="N62" s="741"/>
      <c r="O62" s="742"/>
      <c r="P62" s="738" t="s">
        <v>40</v>
      </c>
      <c r="Q62" s="739"/>
      <c r="R62" s="739"/>
      <c r="S62" s="739"/>
      <c r="T62" s="739"/>
      <c r="U62" s="739"/>
      <c r="V62" s="740"/>
      <c r="W62" s="42" t="s">
        <v>0</v>
      </c>
      <c r="X62" s="43">
        <f>IFERROR(SUM(X55:X60),"0")</f>
        <v>145</v>
      </c>
      <c r="Y62" s="43">
        <f>IFERROR(SUM(Y55:Y60),"0")</f>
        <v>153</v>
      </c>
      <c r="Z62" s="42"/>
      <c r="AA62" s="67"/>
      <c r="AB62" s="67"/>
      <c r="AC62" s="67"/>
    </row>
    <row r="63" spans="1:68" ht="14.25" hidden="1" customHeight="1" x14ac:dyDescent="0.25">
      <c r="A63" s="732" t="s">
        <v>155</v>
      </c>
      <c r="B63" s="732"/>
      <c r="C63" s="732"/>
      <c r="D63" s="732"/>
      <c r="E63" s="732"/>
      <c r="F63" s="732"/>
      <c r="G63" s="732"/>
      <c r="H63" s="732"/>
      <c r="I63" s="732"/>
      <c r="J63" s="732"/>
      <c r="K63" s="732"/>
      <c r="L63" s="732"/>
      <c r="M63" s="732"/>
      <c r="N63" s="732"/>
      <c r="O63" s="732"/>
      <c r="P63" s="732"/>
      <c r="Q63" s="732"/>
      <c r="R63" s="732"/>
      <c r="S63" s="732"/>
      <c r="T63" s="732"/>
      <c r="U63" s="732"/>
      <c r="V63" s="732"/>
      <c r="W63" s="732"/>
      <c r="X63" s="732"/>
      <c r="Y63" s="732"/>
      <c r="Z63" s="73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733">
        <v>4680115881440</v>
      </c>
      <c r="E64" s="73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5"/>
      <c r="R64" s="735"/>
      <c r="S64" s="735"/>
      <c r="T64" s="736"/>
      <c r="U64" s="39" t="s">
        <v>46</v>
      </c>
      <c r="V64" s="39" t="s">
        <v>46</v>
      </c>
      <c r="W64" s="40" t="s">
        <v>0</v>
      </c>
      <c r="X64" s="58">
        <v>30</v>
      </c>
      <c r="Y64" s="55">
        <f>IFERROR(IF(X64="",0,CEILING((X64/$H64),1)*$H64),"")</f>
        <v>32.400000000000006</v>
      </c>
      <c r="Z64" s="41">
        <f>IFERROR(IF(Y64=0,"",ROUNDUP(Y64/H64,0)*0.01898),"")</f>
        <v>5.6940000000000004E-2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31.138888888888889</v>
      </c>
      <c r="BN64" s="78">
        <f>IFERROR(Y64*I64/H64,"0")</f>
        <v>33.630000000000003</v>
      </c>
      <c r="BO64" s="78">
        <f>IFERROR(1/J64*(X64/H64),"0")</f>
        <v>4.3402777777777776E-2</v>
      </c>
      <c r="BP64" s="78">
        <f>IFERROR(1/J64*(Y64/H64),"0")</f>
        <v>4.6875000000000007E-2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3">
        <v>4680115885950</v>
      </c>
      <c r="E65" s="73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5"/>
      <c r="R65" s="735"/>
      <c r="S65" s="735"/>
      <c r="T65" s="73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3">
        <v>4680115887688</v>
      </c>
      <c r="E66" s="73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5"/>
      <c r="R66" s="735"/>
      <c r="S66" s="735"/>
      <c r="T66" s="73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33">
        <v>4680115881433</v>
      </c>
      <c r="E67" s="73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5"/>
      <c r="R67" s="735"/>
      <c r="S67" s="735"/>
      <c r="T67" s="73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741"/>
      <c r="B68" s="741"/>
      <c r="C68" s="741"/>
      <c r="D68" s="741"/>
      <c r="E68" s="741"/>
      <c r="F68" s="741"/>
      <c r="G68" s="741"/>
      <c r="H68" s="741"/>
      <c r="I68" s="741"/>
      <c r="J68" s="741"/>
      <c r="K68" s="741"/>
      <c r="L68" s="741"/>
      <c r="M68" s="741"/>
      <c r="N68" s="741"/>
      <c r="O68" s="742"/>
      <c r="P68" s="738" t="s">
        <v>40</v>
      </c>
      <c r="Q68" s="739"/>
      <c r="R68" s="739"/>
      <c r="S68" s="739"/>
      <c r="T68" s="739"/>
      <c r="U68" s="739"/>
      <c r="V68" s="740"/>
      <c r="W68" s="42" t="s">
        <v>39</v>
      </c>
      <c r="X68" s="43">
        <f>IFERROR(X64/H64,"0")+IFERROR(X65/H65,"0")+IFERROR(X66/H66,"0")+IFERROR(X67/H67,"0")</f>
        <v>2.7777777777777777</v>
      </c>
      <c r="Y68" s="43">
        <f>IFERROR(Y64/H64,"0")+IFERROR(Y65/H65,"0")+IFERROR(Y66/H66,"0")+IFERROR(Y67/H67,"0")</f>
        <v>3.0000000000000004</v>
      </c>
      <c r="Z68" s="43">
        <f>IFERROR(IF(Z64="",0,Z64),"0")+IFERROR(IF(Z65="",0,Z65),"0")+IFERROR(IF(Z66="",0,Z66),"0")+IFERROR(IF(Z67="",0,Z67),"0")</f>
        <v>5.6940000000000004E-2</v>
      </c>
      <c r="AA68" s="67"/>
      <c r="AB68" s="67"/>
      <c r="AC68" s="67"/>
    </row>
    <row r="69" spans="1:68" x14ac:dyDescent="0.2">
      <c r="A69" s="741"/>
      <c r="B69" s="741"/>
      <c r="C69" s="741"/>
      <c r="D69" s="741"/>
      <c r="E69" s="741"/>
      <c r="F69" s="741"/>
      <c r="G69" s="741"/>
      <c r="H69" s="741"/>
      <c r="I69" s="741"/>
      <c r="J69" s="741"/>
      <c r="K69" s="741"/>
      <c r="L69" s="741"/>
      <c r="M69" s="741"/>
      <c r="N69" s="741"/>
      <c r="O69" s="742"/>
      <c r="P69" s="738" t="s">
        <v>40</v>
      </c>
      <c r="Q69" s="739"/>
      <c r="R69" s="739"/>
      <c r="S69" s="739"/>
      <c r="T69" s="739"/>
      <c r="U69" s="739"/>
      <c r="V69" s="740"/>
      <c r="W69" s="42" t="s">
        <v>0</v>
      </c>
      <c r="X69" s="43">
        <f>IFERROR(SUM(X64:X67),"0")</f>
        <v>30</v>
      </c>
      <c r="Y69" s="43">
        <f>IFERROR(SUM(Y64:Y67),"0")</f>
        <v>32.400000000000006</v>
      </c>
      <c r="Z69" s="42"/>
      <c r="AA69" s="67"/>
      <c r="AB69" s="67"/>
      <c r="AC69" s="67"/>
    </row>
    <row r="70" spans="1:68" ht="14.25" hidden="1" customHeight="1" x14ac:dyDescent="0.25">
      <c r="A70" s="732" t="s">
        <v>86</v>
      </c>
      <c r="B70" s="732"/>
      <c r="C70" s="732"/>
      <c r="D70" s="732"/>
      <c r="E70" s="732"/>
      <c r="F70" s="732"/>
      <c r="G70" s="732"/>
      <c r="H70" s="732"/>
      <c r="I70" s="732"/>
      <c r="J70" s="732"/>
      <c r="K70" s="732"/>
      <c r="L70" s="732"/>
      <c r="M70" s="732"/>
      <c r="N70" s="732"/>
      <c r="O70" s="732"/>
      <c r="P70" s="732"/>
      <c r="Q70" s="732"/>
      <c r="R70" s="732"/>
      <c r="S70" s="732"/>
      <c r="T70" s="732"/>
      <c r="U70" s="732"/>
      <c r="V70" s="732"/>
      <c r="W70" s="732"/>
      <c r="X70" s="732"/>
      <c r="Y70" s="732"/>
      <c r="Z70" s="73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3">
        <v>4680115884311</v>
      </c>
      <c r="E71" s="73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5"/>
      <c r="R71" s="735"/>
      <c r="S71" s="735"/>
      <c r="T71" s="73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3">
        <v>4680115884403</v>
      </c>
      <c r="E72" s="73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5"/>
      <c r="R72" s="735"/>
      <c r="S72" s="735"/>
      <c r="T72" s="73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3">
        <v>4680115884403</v>
      </c>
      <c r="E73" s="73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5"/>
      <c r="R73" s="735"/>
      <c r="S73" s="735"/>
      <c r="T73" s="73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1"/>
      <c r="B74" s="741"/>
      <c r="C74" s="741"/>
      <c r="D74" s="741"/>
      <c r="E74" s="741"/>
      <c r="F74" s="741"/>
      <c r="G74" s="741"/>
      <c r="H74" s="741"/>
      <c r="I74" s="741"/>
      <c r="J74" s="741"/>
      <c r="K74" s="741"/>
      <c r="L74" s="741"/>
      <c r="M74" s="741"/>
      <c r="N74" s="741"/>
      <c r="O74" s="742"/>
      <c r="P74" s="738" t="s">
        <v>40</v>
      </c>
      <c r="Q74" s="739"/>
      <c r="R74" s="739"/>
      <c r="S74" s="739"/>
      <c r="T74" s="739"/>
      <c r="U74" s="739"/>
      <c r="V74" s="74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1"/>
      <c r="B75" s="741"/>
      <c r="C75" s="741"/>
      <c r="D75" s="741"/>
      <c r="E75" s="741"/>
      <c r="F75" s="741"/>
      <c r="G75" s="741"/>
      <c r="H75" s="741"/>
      <c r="I75" s="741"/>
      <c r="J75" s="741"/>
      <c r="K75" s="741"/>
      <c r="L75" s="741"/>
      <c r="M75" s="741"/>
      <c r="N75" s="741"/>
      <c r="O75" s="742"/>
      <c r="P75" s="738" t="s">
        <v>40</v>
      </c>
      <c r="Q75" s="739"/>
      <c r="R75" s="739"/>
      <c r="S75" s="739"/>
      <c r="T75" s="739"/>
      <c r="U75" s="739"/>
      <c r="V75" s="74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2" t="s">
        <v>173</v>
      </c>
      <c r="B76" s="732"/>
      <c r="C76" s="732"/>
      <c r="D76" s="732"/>
      <c r="E76" s="732"/>
      <c r="F76" s="732"/>
      <c r="G76" s="732"/>
      <c r="H76" s="732"/>
      <c r="I76" s="732"/>
      <c r="J76" s="732"/>
      <c r="K76" s="732"/>
      <c r="L76" s="732"/>
      <c r="M76" s="732"/>
      <c r="N76" s="732"/>
      <c r="O76" s="732"/>
      <c r="P76" s="732"/>
      <c r="Q76" s="732"/>
      <c r="R76" s="732"/>
      <c r="S76" s="732"/>
      <c r="T76" s="732"/>
      <c r="U76" s="732"/>
      <c r="V76" s="732"/>
      <c r="W76" s="732"/>
      <c r="X76" s="732"/>
      <c r="Y76" s="732"/>
      <c r="Z76" s="73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3">
        <v>4680115881532</v>
      </c>
      <c r="E77" s="73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5"/>
      <c r="R77" s="735"/>
      <c r="S77" s="735"/>
      <c r="T77" s="73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3">
        <v>4680115881532</v>
      </c>
      <c r="E78" s="73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5"/>
      <c r="R78" s="735"/>
      <c r="S78" s="735"/>
      <c r="T78" s="73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3">
        <v>4680115881464</v>
      </c>
      <c r="E79" s="73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5"/>
      <c r="R79" s="735"/>
      <c r="S79" s="735"/>
      <c r="T79" s="73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3">
        <v>4680115881464</v>
      </c>
      <c r="E80" s="73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5"/>
      <c r="R80" s="735"/>
      <c r="S80" s="735"/>
      <c r="T80" s="73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1"/>
      <c r="B81" s="741"/>
      <c r="C81" s="741"/>
      <c r="D81" s="741"/>
      <c r="E81" s="741"/>
      <c r="F81" s="741"/>
      <c r="G81" s="741"/>
      <c r="H81" s="741"/>
      <c r="I81" s="741"/>
      <c r="J81" s="741"/>
      <c r="K81" s="741"/>
      <c r="L81" s="741"/>
      <c r="M81" s="741"/>
      <c r="N81" s="741"/>
      <c r="O81" s="742"/>
      <c r="P81" s="738" t="s">
        <v>40</v>
      </c>
      <c r="Q81" s="739"/>
      <c r="R81" s="739"/>
      <c r="S81" s="739"/>
      <c r="T81" s="739"/>
      <c r="U81" s="739"/>
      <c r="V81" s="74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1"/>
      <c r="B82" s="741"/>
      <c r="C82" s="741"/>
      <c r="D82" s="741"/>
      <c r="E82" s="741"/>
      <c r="F82" s="741"/>
      <c r="G82" s="741"/>
      <c r="H82" s="741"/>
      <c r="I82" s="741"/>
      <c r="J82" s="741"/>
      <c r="K82" s="741"/>
      <c r="L82" s="741"/>
      <c r="M82" s="741"/>
      <c r="N82" s="741"/>
      <c r="O82" s="742"/>
      <c r="P82" s="738" t="s">
        <v>40</v>
      </c>
      <c r="Q82" s="739"/>
      <c r="R82" s="739"/>
      <c r="S82" s="739"/>
      <c r="T82" s="739"/>
      <c r="U82" s="739"/>
      <c r="V82" s="74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1" t="s">
        <v>182</v>
      </c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1"/>
      <c r="P83" s="731"/>
      <c r="Q83" s="731"/>
      <c r="R83" s="731"/>
      <c r="S83" s="731"/>
      <c r="T83" s="731"/>
      <c r="U83" s="731"/>
      <c r="V83" s="731"/>
      <c r="W83" s="731"/>
      <c r="X83" s="731"/>
      <c r="Y83" s="731"/>
      <c r="Z83" s="731"/>
      <c r="AA83" s="65"/>
      <c r="AB83" s="65"/>
      <c r="AC83" s="79"/>
    </row>
    <row r="84" spans="1:68" ht="14.25" hidden="1" customHeight="1" x14ac:dyDescent="0.25">
      <c r="A84" s="732" t="s">
        <v>122</v>
      </c>
      <c r="B84" s="732"/>
      <c r="C84" s="732"/>
      <c r="D84" s="732"/>
      <c r="E84" s="732"/>
      <c r="F84" s="732"/>
      <c r="G84" s="732"/>
      <c r="H84" s="732"/>
      <c r="I84" s="732"/>
      <c r="J84" s="732"/>
      <c r="K84" s="732"/>
      <c r="L84" s="732"/>
      <c r="M84" s="732"/>
      <c r="N84" s="732"/>
      <c r="O84" s="732"/>
      <c r="P84" s="732"/>
      <c r="Q84" s="732"/>
      <c r="R84" s="732"/>
      <c r="S84" s="732"/>
      <c r="T84" s="732"/>
      <c r="U84" s="732"/>
      <c r="V84" s="732"/>
      <c r="W84" s="732"/>
      <c r="X84" s="732"/>
      <c r="Y84" s="732"/>
      <c r="Z84" s="73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733">
        <v>4680115881327</v>
      </c>
      <c r="E85" s="73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5"/>
      <c r="R85" s="735"/>
      <c r="S85" s="735"/>
      <c r="T85" s="736"/>
      <c r="U85" s="39" t="s">
        <v>46</v>
      </c>
      <c r="V85" s="39" t="s">
        <v>46</v>
      </c>
      <c r="W85" s="40" t="s">
        <v>0</v>
      </c>
      <c r="X85" s="58">
        <v>20</v>
      </c>
      <c r="Y85" s="55">
        <f>IFERROR(IF(X85="",0,CEILING((X85/$H85),1)*$H85),"")</f>
        <v>21.6</v>
      </c>
      <c r="Z85" s="41">
        <f>IFERROR(IF(Y85=0,"",ROUNDUP(Y85/H85,0)*0.01898),"")</f>
        <v>3.7960000000000001E-2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20.75925925925926</v>
      </c>
      <c r="BN85" s="78">
        <f>IFERROR(Y85*I85/H85,"0")</f>
        <v>22.42</v>
      </c>
      <c r="BO85" s="78">
        <f>IFERROR(1/J85*(X85/H85),"0")</f>
        <v>2.8935185185185182E-2</v>
      </c>
      <c r="BP85" s="78">
        <f>IFERROR(1/J85*(Y85/H85),"0")</f>
        <v>3.125E-2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3">
        <v>4680115887732</v>
      </c>
      <c r="E86" s="73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5"/>
      <c r="R86" s="735"/>
      <c r="S86" s="735"/>
      <c r="T86" s="73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3">
        <v>4680115887732</v>
      </c>
      <c r="E87" s="73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6" t="s">
        <v>190</v>
      </c>
      <c r="Q87" s="735"/>
      <c r="R87" s="735"/>
      <c r="S87" s="735"/>
      <c r="T87" s="73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3">
        <v>4680115881518</v>
      </c>
      <c r="E88" s="73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5"/>
      <c r="R88" s="735"/>
      <c r="S88" s="735"/>
      <c r="T88" s="73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33">
        <v>4680115881303</v>
      </c>
      <c r="E89" s="73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5"/>
      <c r="R89" s="735"/>
      <c r="S89" s="735"/>
      <c r="T89" s="736"/>
      <c r="U89" s="39" t="s">
        <v>46</v>
      </c>
      <c r="V89" s="39" t="s">
        <v>46</v>
      </c>
      <c r="W89" s="40" t="s">
        <v>0</v>
      </c>
      <c r="X89" s="58">
        <v>22.5</v>
      </c>
      <c r="Y89" s="55">
        <f>IFERROR(IF(X89="",0,CEILING((X89/$H89),1)*$H89),"")</f>
        <v>22.5</v>
      </c>
      <c r="Z89" s="41">
        <f>IFERROR(IF(Y89=0,"",ROUNDUP(Y89/H89,0)*0.00902),"")</f>
        <v>4.5100000000000001E-2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23.450000000000003</v>
      </c>
      <c r="BN89" s="78">
        <f>IFERROR(Y89*I89/H89,"0")</f>
        <v>23.450000000000003</v>
      </c>
      <c r="BO89" s="78">
        <f>IFERROR(1/J89*(X89/H89),"0")</f>
        <v>3.787878787878788E-2</v>
      </c>
      <c r="BP89" s="78">
        <f>IFERROR(1/J89*(Y89/H89),"0")</f>
        <v>3.787878787878788E-2</v>
      </c>
    </row>
    <row r="90" spans="1:68" x14ac:dyDescent="0.2">
      <c r="A90" s="741"/>
      <c r="B90" s="741"/>
      <c r="C90" s="741"/>
      <c r="D90" s="741"/>
      <c r="E90" s="741"/>
      <c r="F90" s="741"/>
      <c r="G90" s="741"/>
      <c r="H90" s="741"/>
      <c r="I90" s="741"/>
      <c r="J90" s="741"/>
      <c r="K90" s="741"/>
      <c r="L90" s="741"/>
      <c r="M90" s="741"/>
      <c r="N90" s="741"/>
      <c r="O90" s="742"/>
      <c r="P90" s="738" t="s">
        <v>40</v>
      </c>
      <c r="Q90" s="739"/>
      <c r="R90" s="739"/>
      <c r="S90" s="739"/>
      <c r="T90" s="739"/>
      <c r="U90" s="739"/>
      <c r="V90" s="740"/>
      <c r="W90" s="42" t="s">
        <v>39</v>
      </c>
      <c r="X90" s="43">
        <f>IFERROR(X85/H85,"0")+IFERROR(X86/H86,"0")+IFERROR(X87/H87,"0")+IFERROR(X88/H88,"0")+IFERROR(X89/H89,"0")</f>
        <v>6.8518518518518512</v>
      </c>
      <c r="Y90" s="43">
        <f>IFERROR(Y85/H85,"0")+IFERROR(Y86/H86,"0")+IFERROR(Y87/H87,"0")+IFERROR(Y88/H88,"0")+IFERROR(Y89/H89,"0")</f>
        <v>7</v>
      </c>
      <c r="Z90" s="43">
        <f>IFERROR(IF(Z85="",0,Z85),"0")+IFERROR(IF(Z86="",0,Z86),"0")+IFERROR(IF(Z87="",0,Z87),"0")+IFERROR(IF(Z88="",0,Z88),"0")+IFERROR(IF(Z89="",0,Z89),"0")</f>
        <v>8.3059999999999995E-2</v>
      </c>
      <c r="AA90" s="67"/>
      <c r="AB90" s="67"/>
      <c r="AC90" s="67"/>
    </row>
    <row r="91" spans="1:68" x14ac:dyDescent="0.2">
      <c r="A91" s="741"/>
      <c r="B91" s="741"/>
      <c r="C91" s="741"/>
      <c r="D91" s="741"/>
      <c r="E91" s="741"/>
      <c r="F91" s="741"/>
      <c r="G91" s="741"/>
      <c r="H91" s="741"/>
      <c r="I91" s="741"/>
      <c r="J91" s="741"/>
      <c r="K91" s="741"/>
      <c r="L91" s="741"/>
      <c r="M91" s="741"/>
      <c r="N91" s="741"/>
      <c r="O91" s="742"/>
      <c r="P91" s="738" t="s">
        <v>40</v>
      </c>
      <c r="Q91" s="739"/>
      <c r="R91" s="739"/>
      <c r="S91" s="739"/>
      <c r="T91" s="739"/>
      <c r="U91" s="739"/>
      <c r="V91" s="740"/>
      <c r="W91" s="42" t="s">
        <v>0</v>
      </c>
      <c r="X91" s="43">
        <f>IFERROR(SUM(X85:X89),"0")</f>
        <v>42.5</v>
      </c>
      <c r="Y91" s="43">
        <f>IFERROR(SUM(Y85:Y89),"0")</f>
        <v>44.1</v>
      </c>
      <c r="Z91" s="42"/>
      <c r="AA91" s="67"/>
      <c r="AB91" s="67"/>
      <c r="AC91" s="67"/>
    </row>
    <row r="92" spans="1:68" ht="14.25" hidden="1" customHeight="1" x14ac:dyDescent="0.25">
      <c r="A92" s="732" t="s">
        <v>86</v>
      </c>
      <c r="B92" s="732"/>
      <c r="C92" s="732"/>
      <c r="D92" s="732"/>
      <c r="E92" s="732"/>
      <c r="F92" s="732"/>
      <c r="G92" s="732"/>
      <c r="H92" s="732"/>
      <c r="I92" s="732"/>
      <c r="J92" s="732"/>
      <c r="K92" s="732"/>
      <c r="L92" s="732"/>
      <c r="M92" s="732"/>
      <c r="N92" s="732"/>
      <c r="O92" s="732"/>
      <c r="P92" s="732"/>
      <c r="Q92" s="732"/>
      <c r="R92" s="732"/>
      <c r="S92" s="732"/>
      <c r="T92" s="732"/>
      <c r="U92" s="732"/>
      <c r="V92" s="732"/>
      <c r="W92" s="732"/>
      <c r="X92" s="732"/>
      <c r="Y92" s="732"/>
      <c r="Z92" s="73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33">
        <v>4607091386967</v>
      </c>
      <c r="E93" s="73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5"/>
      <c r="R93" s="735"/>
      <c r="S93" s="735"/>
      <c r="T93" s="736"/>
      <c r="U93" s="39" t="s">
        <v>46</v>
      </c>
      <c r="V93" s="39" t="s">
        <v>46</v>
      </c>
      <c r="W93" s="40" t="s">
        <v>0</v>
      </c>
      <c r="X93" s="58">
        <v>15</v>
      </c>
      <c r="Y93" s="55">
        <f t="shared" ref="Y93:Y99" si="5">IFERROR(IF(X93="",0,CEILING((X93/$H93),1)*$H93),"")</f>
        <v>16.2</v>
      </c>
      <c r="Z93" s="41">
        <f>IFERROR(IF(Y93=0,"",ROUNDUP(Y93/H93,0)*0.01898),"")</f>
        <v>3.7960000000000001E-2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15.914814814814815</v>
      </c>
      <c r="BN93" s="78">
        <f t="shared" ref="BN93:BN99" si="7">IFERROR(Y93*I93/H93,"0")</f>
        <v>17.187999999999999</v>
      </c>
      <c r="BO93" s="78">
        <f t="shared" ref="BO93:BO99" si="8">IFERROR(1/J93*(X93/H93),"0")</f>
        <v>2.8935185185185185E-2</v>
      </c>
      <c r="BP93" s="78">
        <f t="shared" ref="BP93:BP99" si="9">IFERROR(1/J93*(Y93/H93),"0")</f>
        <v>3.125E-2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3">
        <v>4607091386967</v>
      </c>
      <c r="E94" s="73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0" t="s">
        <v>199</v>
      </c>
      <c r="Q94" s="735"/>
      <c r="R94" s="735"/>
      <c r="S94" s="735"/>
      <c r="T94" s="73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3">
        <v>4680115884953</v>
      </c>
      <c r="E95" s="73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5"/>
      <c r="R95" s="735"/>
      <c r="S95" s="735"/>
      <c r="T95" s="73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3">
        <v>4680115884953</v>
      </c>
      <c r="E96" s="73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2" t="s">
        <v>203</v>
      </c>
      <c r="Q96" s="735"/>
      <c r="R96" s="735"/>
      <c r="S96" s="735"/>
      <c r="T96" s="73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733">
        <v>4607091385731</v>
      </c>
      <c r="E97" s="73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5"/>
      <c r="R97" s="735"/>
      <c r="S97" s="735"/>
      <c r="T97" s="736"/>
      <c r="U97" s="39" t="s">
        <v>46</v>
      </c>
      <c r="V97" s="39" t="s">
        <v>46</v>
      </c>
      <c r="W97" s="40" t="s">
        <v>0</v>
      </c>
      <c r="X97" s="58"/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3">
        <v>4607091385731</v>
      </c>
      <c r="E98" s="73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4" t="s">
        <v>208</v>
      </c>
      <c r="Q98" s="735"/>
      <c r="R98" s="735"/>
      <c r="S98" s="735"/>
      <c r="T98" s="73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3">
        <v>4680115880894</v>
      </c>
      <c r="E99" s="73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5"/>
      <c r="R99" s="735"/>
      <c r="S99" s="735"/>
      <c r="T99" s="73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741"/>
      <c r="B100" s="741"/>
      <c r="C100" s="741"/>
      <c r="D100" s="741"/>
      <c r="E100" s="741"/>
      <c r="F100" s="741"/>
      <c r="G100" s="741"/>
      <c r="H100" s="741"/>
      <c r="I100" s="741"/>
      <c r="J100" s="741"/>
      <c r="K100" s="741"/>
      <c r="L100" s="741"/>
      <c r="M100" s="741"/>
      <c r="N100" s="741"/>
      <c r="O100" s="742"/>
      <c r="P100" s="738" t="s">
        <v>40</v>
      </c>
      <c r="Q100" s="739"/>
      <c r="R100" s="739"/>
      <c r="S100" s="739"/>
      <c r="T100" s="739"/>
      <c r="U100" s="739"/>
      <c r="V100" s="740"/>
      <c r="W100" s="42" t="s">
        <v>39</v>
      </c>
      <c r="X100" s="43">
        <f>IFERROR(X93/H93,"0")+IFERROR(X94/H94,"0")+IFERROR(X95/H95,"0")+IFERROR(X96/H96,"0")+IFERROR(X97/H97,"0")+IFERROR(X98/H98,"0")+IFERROR(X99/H99,"0")</f>
        <v>1.8518518518518519</v>
      </c>
      <c r="Y100" s="43">
        <f>IFERROR(Y93/H93,"0")+IFERROR(Y94/H94,"0")+IFERROR(Y95/H95,"0")+IFERROR(Y96/H96,"0")+IFERROR(Y97/H97,"0")+IFERROR(Y98/H98,"0")+IFERROR(Y99/H99,"0")</f>
        <v>2</v>
      </c>
      <c r="Z100" s="43">
        <f>IFERROR(IF(Z93="",0,Z93),"0")+IFERROR(IF(Z94="",0,Z94),"0")+IFERROR(IF(Z95="",0,Z95),"0")+IFERROR(IF(Z96="",0,Z96),"0")+IFERROR(IF(Z97="",0,Z97),"0")+IFERROR(IF(Z98="",0,Z98),"0")+IFERROR(IF(Z99="",0,Z99),"0")</f>
        <v>3.7960000000000001E-2</v>
      </c>
      <c r="AA100" s="67"/>
      <c r="AB100" s="67"/>
      <c r="AC100" s="67"/>
    </row>
    <row r="101" spans="1:68" x14ac:dyDescent="0.2">
      <c r="A101" s="741"/>
      <c r="B101" s="741"/>
      <c r="C101" s="741"/>
      <c r="D101" s="741"/>
      <c r="E101" s="741"/>
      <c r="F101" s="741"/>
      <c r="G101" s="741"/>
      <c r="H101" s="741"/>
      <c r="I101" s="741"/>
      <c r="J101" s="741"/>
      <c r="K101" s="741"/>
      <c r="L101" s="741"/>
      <c r="M101" s="741"/>
      <c r="N101" s="741"/>
      <c r="O101" s="742"/>
      <c r="P101" s="738" t="s">
        <v>40</v>
      </c>
      <c r="Q101" s="739"/>
      <c r="R101" s="739"/>
      <c r="S101" s="739"/>
      <c r="T101" s="739"/>
      <c r="U101" s="739"/>
      <c r="V101" s="740"/>
      <c r="W101" s="42" t="s">
        <v>0</v>
      </c>
      <c r="X101" s="43">
        <f>IFERROR(SUM(X93:X99),"0")</f>
        <v>15</v>
      </c>
      <c r="Y101" s="43">
        <f>IFERROR(SUM(Y93:Y99),"0")</f>
        <v>16.2</v>
      </c>
      <c r="Z101" s="42"/>
      <c r="AA101" s="67"/>
      <c r="AB101" s="67"/>
      <c r="AC101" s="67"/>
    </row>
    <row r="102" spans="1:68" ht="16.5" hidden="1" customHeight="1" x14ac:dyDescent="0.25">
      <c r="A102" s="731" t="s">
        <v>212</v>
      </c>
      <c r="B102" s="731"/>
      <c r="C102" s="731"/>
      <c r="D102" s="731"/>
      <c r="E102" s="731"/>
      <c r="F102" s="731"/>
      <c r="G102" s="731"/>
      <c r="H102" s="731"/>
      <c r="I102" s="731"/>
      <c r="J102" s="731"/>
      <c r="K102" s="731"/>
      <c r="L102" s="731"/>
      <c r="M102" s="731"/>
      <c r="N102" s="731"/>
      <c r="O102" s="731"/>
      <c r="P102" s="731"/>
      <c r="Q102" s="731"/>
      <c r="R102" s="731"/>
      <c r="S102" s="731"/>
      <c r="T102" s="731"/>
      <c r="U102" s="731"/>
      <c r="V102" s="731"/>
      <c r="W102" s="731"/>
      <c r="X102" s="731"/>
      <c r="Y102" s="731"/>
      <c r="Z102" s="731"/>
      <c r="AA102" s="65"/>
      <c r="AB102" s="65"/>
      <c r="AC102" s="79"/>
    </row>
    <row r="103" spans="1:68" ht="14.25" hidden="1" customHeight="1" x14ac:dyDescent="0.25">
      <c r="A103" s="732" t="s">
        <v>122</v>
      </c>
      <c r="B103" s="732"/>
      <c r="C103" s="732"/>
      <c r="D103" s="732"/>
      <c r="E103" s="732"/>
      <c r="F103" s="732"/>
      <c r="G103" s="732"/>
      <c r="H103" s="732"/>
      <c r="I103" s="732"/>
      <c r="J103" s="732"/>
      <c r="K103" s="732"/>
      <c r="L103" s="732"/>
      <c r="M103" s="732"/>
      <c r="N103" s="732"/>
      <c r="O103" s="732"/>
      <c r="P103" s="732"/>
      <c r="Q103" s="732"/>
      <c r="R103" s="732"/>
      <c r="S103" s="732"/>
      <c r="T103" s="732"/>
      <c r="U103" s="732"/>
      <c r="V103" s="732"/>
      <c r="W103" s="732"/>
      <c r="X103" s="732"/>
      <c r="Y103" s="732"/>
      <c r="Z103" s="73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733">
        <v>4680115882133</v>
      </c>
      <c r="E104" s="73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5"/>
      <c r="R104" s="735"/>
      <c r="S104" s="735"/>
      <c r="T104" s="736"/>
      <c r="U104" s="39" t="s">
        <v>46</v>
      </c>
      <c r="V104" s="39" t="s">
        <v>46</v>
      </c>
      <c r="W104" s="40" t="s">
        <v>0</v>
      </c>
      <c r="X104" s="58">
        <v>30</v>
      </c>
      <c r="Y104" s="55">
        <f t="shared" ref="Y104:Y111" si="10">IFERROR(IF(X104="",0,CEILING((X104/$H104),1)*$H104),"")</f>
        <v>32.400000000000006</v>
      </c>
      <c r="Z104" s="41">
        <f>IFERROR(IF(Y104=0,"",ROUNDUP(Y104/H104,0)*0.01898),"")</f>
        <v>5.6940000000000004E-2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31.138888888888889</v>
      </c>
      <c r="BN104" s="78">
        <f t="shared" ref="BN104:BN111" si="12">IFERROR(Y104*I104/H104,"0")</f>
        <v>33.630000000000003</v>
      </c>
      <c r="BO104" s="78">
        <f t="shared" ref="BO104:BO111" si="13">IFERROR(1/J104*(X104/H104),"0")</f>
        <v>4.3402777777777776E-2</v>
      </c>
      <c r="BP104" s="78">
        <f t="shared" ref="BP104:BP111" si="14">IFERROR(1/J104*(Y104/H104),"0")</f>
        <v>4.6875000000000007E-2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3">
        <v>4680115887718</v>
      </c>
      <c r="E105" s="73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5"/>
      <c r="R105" s="735"/>
      <c r="S105" s="735"/>
      <c r="T105" s="73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3">
        <v>4680115887718</v>
      </c>
      <c r="E106" s="73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5"/>
      <c r="R106" s="735"/>
      <c r="S106" s="735"/>
      <c r="T106" s="73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3">
        <v>4680115887718</v>
      </c>
      <c r="E107" s="73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8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5"/>
      <c r="R107" s="735"/>
      <c r="S107" s="735"/>
      <c r="T107" s="73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3">
        <v>4680115880269</v>
      </c>
      <c r="E108" s="73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5"/>
      <c r="R108" s="735"/>
      <c r="S108" s="735"/>
      <c r="T108" s="73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3">
        <v>4680115880429</v>
      </c>
      <c r="E109" s="73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5"/>
      <c r="R109" s="735"/>
      <c r="S109" s="735"/>
      <c r="T109" s="73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3">
        <v>4680115880429</v>
      </c>
      <c r="E110" s="73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2" t="s">
        <v>226</v>
      </c>
      <c r="Q110" s="735"/>
      <c r="R110" s="735"/>
      <c r="S110" s="735"/>
      <c r="T110" s="73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3">
        <v>4680115881457</v>
      </c>
      <c r="E111" s="73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5"/>
      <c r="R111" s="735"/>
      <c r="S111" s="735"/>
      <c r="T111" s="73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741"/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  <c r="N112" s="741"/>
      <c r="O112" s="742"/>
      <c r="P112" s="738" t="s">
        <v>40</v>
      </c>
      <c r="Q112" s="739"/>
      <c r="R112" s="739"/>
      <c r="S112" s="739"/>
      <c r="T112" s="739"/>
      <c r="U112" s="739"/>
      <c r="V112" s="740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2.7777777777777777</v>
      </c>
      <c r="Y112" s="43">
        <f>IFERROR(Y104/H104,"0")+IFERROR(Y105/H105,"0")+IFERROR(Y106/H106,"0")+IFERROR(Y107/H107,"0")+IFERROR(Y108/H108,"0")+IFERROR(Y109/H109,"0")+IFERROR(Y110/H110,"0")+IFERROR(Y111/H111,"0")</f>
        <v>3.0000000000000004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5.6940000000000004E-2</v>
      </c>
      <c r="AA112" s="67"/>
      <c r="AB112" s="67"/>
      <c r="AC112" s="67"/>
    </row>
    <row r="113" spans="1:68" x14ac:dyDescent="0.2">
      <c r="A113" s="741"/>
      <c r="B113" s="741"/>
      <c r="C113" s="741"/>
      <c r="D113" s="741"/>
      <c r="E113" s="741"/>
      <c r="F113" s="741"/>
      <c r="G113" s="741"/>
      <c r="H113" s="741"/>
      <c r="I113" s="741"/>
      <c r="J113" s="741"/>
      <c r="K113" s="741"/>
      <c r="L113" s="741"/>
      <c r="M113" s="741"/>
      <c r="N113" s="741"/>
      <c r="O113" s="742"/>
      <c r="P113" s="738" t="s">
        <v>40</v>
      </c>
      <c r="Q113" s="739"/>
      <c r="R113" s="739"/>
      <c r="S113" s="739"/>
      <c r="T113" s="739"/>
      <c r="U113" s="739"/>
      <c r="V113" s="740"/>
      <c r="W113" s="42" t="s">
        <v>0</v>
      </c>
      <c r="X113" s="43">
        <f>IFERROR(SUM(X104:X111),"0")</f>
        <v>30</v>
      </c>
      <c r="Y113" s="43">
        <f>IFERROR(SUM(Y104:Y111),"0")</f>
        <v>32.400000000000006</v>
      </c>
      <c r="Z113" s="42"/>
      <c r="AA113" s="67"/>
      <c r="AB113" s="67"/>
      <c r="AC113" s="67"/>
    </row>
    <row r="114" spans="1:68" ht="14.25" hidden="1" customHeight="1" x14ac:dyDescent="0.25">
      <c r="A114" s="732" t="s">
        <v>155</v>
      </c>
      <c r="B114" s="732"/>
      <c r="C114" s="732"/>
      <c r="D114" s="732"/>
      <c r="E114" s="732"/>
      <c r="F114" s="732"/>
      <c r="G114" s="732"/>
      <c r="H114" s="732"/>
      <c r="I114" s="732"/>
      <c r="J114" s="732"/>
      <c r="K114" s="732"/>
      <c r="L114" s="732"/>
      <c r="M114" s="732"/>
      <c r="N114" s="732"/>
      <c r="O114" s="732"/>
      <c r="P114" s="732"/>
      <c r="Q114" s="732"/>
      <c r="R114" s="732"/>
      <c r="S114" s="732"/>
      <c r="T114" s="732"/>
      <c r="U114" s="732"/>
      <c r="V114" s="732"/>
      <c r="W114" s="732"/>
      <c r="X114" s="732"/>
      <c r="Y114" s="732"/>
      <c r="Z114" s="73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3">
        <v>4680115881488</v>
      </c>
      <c r="E115" s="73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5"/>
      <c r="R115" s="735"/>
      <c r="S115" s="735"/>
      <c r="T115" s="736"/>
      <c r="U115" s="39" t="s">
        <v>46</v>
      </c>
      <c r="V115" s="39" t="s">
        <v>46</v>
      </c>
      <c r="W115" s="40" t="s">
        <v>0</v>
      </c>
      <c r="X115" s="58"/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3">
        <v>4680115887664</v>
      </c>
      <c r="E116" s="73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5"/>
      <c r="R116" s="735"/>
      <c r="S116" s="735"/>
      <c r="T116" s="73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3">
        <v>4680115887664</v>
      </c>
      <c r="E117" s="73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5"/>
      <c r="R117" s="735"/>
      <c r="S117" s="735"/>
      <c r="T117" s="73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3">
        <v>4680115882775</v>
      </c>
      <c r="E118" s="73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5"/>
      <c r="R118" s="735"/>
      <c r="S118" s="735"/>
      <c r="T118" s="73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3">
        <v>4680115880658</v>
      </c>
      <c r="E119" s="73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5"/>
      <c r="R119" s="735"/>
      <c r="S119" s="735"/>
      <c r="T119" s="73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1"/>
      <c r="B120" s="741"/>
      <c r="C120" s="741"/>
      <c r="D120" s="741"/>
      <c r="E120" s="741"/>
      <c r="F120" s="741"/>
      <c r="G120" s="741"/>
      <c r="H120" s="741"/>
      <c r="I120" s="741"/>
      <c r="J120" s="741"/>
      <c r="K120" s="741"/>
      <c r="L120" s="741"/>
      <c r="M120" s="741"/>
      <c r="N120" s="741"/>
      <c r="O120" s="742"/>
      <c r="P120" s="738" t="s">
        <v>40</v>
      </c>
      <c r="Q120" s="739"/>
      <c r="R120" s="739"/>
      <c r="S120" s="739"/>
      <c r="T120" s="739"/>
      <c r="U120" s="739"/>
      <c r="V120" s="740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1"/>
      <c r="B121" s="741"/>
      <c r="C121" s="741"/>
      <c r="D121" s="741"/>
      <c r="E121" s="741"/>
      <c r="F121" s="741"/>
      <c r="G121" s="741"/>
      <c r="H121" s="741"/>
      <c r="I121" s="741"/>
      <c r="J121" s="741"/>
      <c r="K121" s="741"/>
      <c r="L121" s="741"/>
      <c r="M121" s="741"/>
      <c r="N121" s="741"/>
      <c r="O121" s="742"/>
      <c r="P121" s="738" t="s">
        <v>40</v>
      </c>
      <c r="Q121" s="739"/>
      <c r="R121" s="739"/>
      <c r="S121" s="739"/>
      <c r="T121" s="739"/>
      <c r="U121" s="739"/>
      <c r="V121" s="740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2" t="s">
        <v>86</v>
      </c>
      <c r="B122" s="732"/>
      <c r="C122" s="732"/>
      <c r="D122" s="732"/>
      <c r="E122" s="732"/>
      <c r="F122" s="732"/>
      <c r="G122" s="732"/>
      <c r="H122" s="732"/>
      <c r="I122" s="732"/>
      <c r="J122" s="732"/>
      <c r="K122" s="732"/>
      <c r="L122" s="732"/>
      <c r="M122" s="732"/>
      <c r="N122" s="732"/>
      <c r="O122" s="732"/>
      <c r="P122" s="732"/>
      <c r="Q122" s="732"/>
      <c r="R122" s="732"/>
      <c r="S122" s="732"/>
      <c r="T122" s="732"/>
      <c r="U122" s="732"/>
      <c r="V122" s="732"/>
      <c r="W122" s="732"/>
      <c r="X122" s="732"/>
      <c r="Y122" s="732"/>
      <c r="Z122" s="73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733">
        <v>4607091385168</v>
      </c>
      <c r="E123" s="73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79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5"/>
      <c r="R123" s="735"/>
      <c r="S123" s="735"/>
      <c r="T123" s="736"/>
      <c r="U123" s="39" t="s">
        <v>46</v>
      </c>
      <c r="V123" s="39" t="s">
        <v>46</v>
      </c>
      <c r="W123" s="40" t="s">
        <v>0</v>
      </c>
      <c r="X123" s="58">
        <v>100</v>
      </c>
      <c r="Y123" s="55">
        <f t="shared" ref="Y123:Y130" si="15">IFERROR(IF(X123="",0,CEILING((X123/$H123),1)*$H123),"")</f>
        <v>105.3</v>
      </c>
      <c r="Z123" s="41">
        <f>IFERROR(IF(Y123=0,"",ROUNDUP(Y123/H123,0)*0.01898),"")</f>
        <v>0.24674000000000001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106.0246913580247</v>
      </c>
      <c r="BN123" s="78">
        <f t="shared" ref="BN123:BN130" si="17">IFERROR(Y123*I123/H123,"0")</f>
        <v>111.64399999999999</v>
      </c>
      <c r="BO123" s="78">
        <f t="shared" ref="BO123:BO130" si="18">IFERROR(1/J123*(X123/H123),"0")</f>
        <v>0.19290123456790123</v>
      </c>
      <c r="BP123" s="78">
        <f t="shared" ref="BP123:BP130" si="19">IFERROR(1/J123*(Y123/H123),"0")</f>
        <v>0.203125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3">
        <v>4607091385168</v>
      </c>
      <c r="E124" s="73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0" t="s">
        <v>246</v>
      </c>
      <c r="Q124" s="735"/>
      <c r="R124" s="735"/>
      <c r="S124" s="735"/>
      <c r="T124" s="73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3">
        <v>4607091383256</v>
      </c>
      <c r="E125" s="73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5"/>
      <c r="R125" s="735"/>
      <c r="S125" s="735"/>
      <c r="T125" s="73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3">
        <v>4607091383256</v>
      </c>
      <c r="E126" s="73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2" t="s">
        <v>250</v>
      </c>
      <c r="Q126" s="735"/>
      <c r="R126" s="735"/>
      <c r="S126" s="735"/>
      <c r="T126" s="73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733">
        <v>4607091385748</v>
      </c>
      <c r="E127" s="73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5"/>
      <c r="R127" s="735"/>
      <c r="S127" s="735"/>
      <c r="T127" s="736"/>
      <c r="U127" s="39" t="s">
        <v>46</v>
      </c>
      <c r="V127" s="39" t="s">
        <v>46</v>
      </c>
      <c r="W127" s="40" t="s">
        <v>0</v>
      </c>
      <c r="X127" s="58"/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3">
        <v>4607091385748</v>
      </c>
      <c r="E128" s="73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4" t="s">
        <v>254</v>
      </c>
      <c r="Q128" s="735"/>
      <c r="R128" s="735"/>
      <c r="S128" s="735"/>
      <c r="T128" s="73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3">
        <v>4680115884533</v>
      </c>
      <c r="E129" s="73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5"/>
      <c r="R129" s="735"/>
      <c r="S129" s="735"/>
      <c r="T129" s="73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3">
        <v>4680115884533</v>
      </c>
      <c r="E130" s="73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6" t="s">
        <v>259</v>
      </c>
      <c r="Q130" s="735"/>
      <c r="R130" s="735"/>
      <c r="S130" s="735"/>
      <c r="T130" s="73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741"/>
      <c r="B131" s="741"/>
      <c r="C131" s="741"/>
      <c r="D131" s="741"/>
      <c r="E131" s="741"/>
      <c r="F131" s="741"/>
      <c r="G131" s="741"/>
      <c r="H131" s="741"/>
      <c r="I131" s="741"/>
      <c r="J131" s="741"/>
      <c r="K131" s="741"/>
      <c r="L131" s="741"/>
      <c r="M131" s="741"/>
      <c r="N131" s="741"/>
      <c r="O131" s="742"/>
      <c r="P131" s="738" t="s">
        <v>40</v>
      </c>
      <c r="Q131" s="739"/>
      <c r="R131" s="739"/>
      <c r="S131" s="739"/>
      <c r="T131" s="739"/>
      <c r="U131" s="739"/>
      <c r="V131" s="740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12.345679012345679</v>
      </c>
      <c r="Y131" s="43">
        <f>IFERROR(Y123/H123,"0")+IFERROR(Y124/H124,"0")+IFERROR(Y125/H125,"0")+IFERROR(Y126/H126,"0")+IFERROR(Y127/H127,"0")+IFERROR(Y128/H128,"0")+IFERROR(Y129/H129,"0")+IFERROR(Y130/H130,"0")</f>
        <v>13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0.24674000000000001</v>
      </c>
      <c r="AA131" s="67"/>
      <c r="AB131" s="67"/>
      <c r="AC131" s="67"/>
    </row>
    <row r="132" spans="1:68" x14ac:dyDescent="0.2">
      <c r="A132" s="741"/>
      <c r="B132" s="741"/>
      <c r="C132" s="741"/>
      <c r="D132" s="741"/>
      <c r="E132" s="741"/>
      <c r="F132" s="741"/>
      <c r="G132" s="741"/>
      <c r="H132" s="741"/>
      <c r="I132" s="741"/>
      <c r="J132" s="741"/>
      <c r="K132" s="741"/>
      <c r="L132" s="741"/>
      <c r="M132" s="741"/>
      <c r="N132" s="741"/>
      <c r="O132" s="742"/>
      <c r="P132" s="738" t="s">
        <v>40</v>
      </c>
      <c r="Q132" s="739"/>
      <c r="R132" s="739"/>
      <c r="S132" s="739"/>
      <c r="T132" s="739"/>
      <c r="U132" s="739"/>
      <c r="V132" s="740"/>
      <c r="W132" s="42" t="s">
        <v>0</v>
      </c>
      <c r="X132" s="43">
        <f>IFERROR(SUM(X123:X130),"0")</f>
        <v>100</v>
      </c>
      <c r="Y132" s="43">
        <f>IFERROR(SUM(Y123:Y130),"0")</f>
        <v>105.3</v>
      </c>
      <c r="Z132" s="42"/>
      <c r="AA132" s="67"/>
      <c r="AB132" s="67"/>
      <c r="AC132" s="67"/>
    </row>
    <row r="133" spans="1:68" ht="14.25" hidden="1" customHeight="1" x14ac:dyDescent="0.25">
      <c r="A133" s="732" t="s">
        <v>173</v>
      </c>
      <c r="B133" s="732"/>
      <c r="C133" s="732"/>
      <c r="D133" s="732"/>
      <c r="E133" s="732"/>
      <c r="F133" s="732"/>
      <c r="G133" s="732"/>
      <c r="H133" s="732"/>
      <c r="I133" s="732"/>
      <c r="J133" s="732"/>
      <c r="K133" s="732"/>
      <c r="L133" s="732"/>
      <c r="M133" s="732"/>
      <c r="N133" s="732"/>
      <c r="O133" s="732"/>
      <c r="P133" s="732"/>
      <c r="Q133" s="732"/>
      <c r="R133" s="732"/>
      <c r="S133" s="732"/>
      <c r="T133" s="732"/>
      <c r="U133" s="732"/>
      <c r="V133" s="732"/>
      <c r="W133" s="732"/>
      <c r="X133" s="732"/>
      <c r="Y133" s="732"/>
      <c r="Z133" s="73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3">
        <v>4680115880238</v>
      </c>
      <c r="E134" s="73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5"/>
      <c r="R134" s="735"/>
      <c r="S134" s="735"/>
      <c r="T134" s="73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3">
        <v>4680115880238</v>
      </c>
      <c r="E135" s="73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8" t="s">
        <v>264</v>
      </c>
      <c r="Q135" s="735"/>
      <c r="R135" s="735"/>
      <c r="S135" s="735"/>
      <c r="T135" s="73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1"/>
      <c r="B136" s="741"/>
      <c r="C136" s="741"/>
      <c r="D136" s="741"/>
      <c r="E136" s="741"/>
      <c r="F136" s="741"/>
      <c r="G136" s="741"/>
      <c r="H136" s="741"/>
      <c r="I136" s="741"/>
      <c r="J136" s="741"/>
      <c r="K136" s="741"/>
      <c r="L136" s="741"/>
      <c r="M136" s="741"/>
      <c r="N136" s="741"/>
      <c r="O136" s="742"/>
      <c r="P136" s="738" t="s">
        <v>40</v>
      </c>
      <c r="Q136" s="739"/>
      <c r="R136" s="739"/>
      <c r="S136" s="739"/>
      <c r="T136" s="739"/>
      <c r="U136" s="739"/>
      <c r="V136" s="740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1"/>
      <c r="B137" s="741"/>
      <c r="C137" s="741"/>
      <c r="D137" s="741"/>
      <c r="E137" s="741"/>
      <c r="F137" s="741"/>
      <c r="G137" s="741"/>
      <c r="H137" s="741"/>
      <c r="I137" s="741"/>
      <c r="J137" s="741"/>
      <c r="K137" s="741"/>
      <c r="L137" s="741"/>
      <c r="M137" s="741"/>
      <c r="N137" s="741"/>
      <c r="O137" s="742"/>
      <c r="P137" s="738" t="s">
        <v>40</v>
      </c>
      <c r="Q137" s="739"/>
      <c r="R137" s="739"/>
      <c r="S137" s="739"/>
      <c r="T137" s="739"/>
      <c r="U137" s="739"/>
      <c r="V137" s="740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1" t="s">
        <v>265</v>
      </c>
      <c r="B138" s="731"/>
      <c r="C138" s="731"/>
      <c r="D138" s="731"/>
      <c r="E138" s="731"/>
      <c r="F138" s="731"/>
      <c r="G138" s="731"/>
      <c r="H138" s="731"/>
      <c r="I138" s="731"/>
      <c r="J138" s="731"/>
      <c r="K138" s="731"/>
      <c r="L138" s="731"/>
      <c r="M138" s="731"/>
      <c r="N138" s="731"/>
      <c r="O138" s="731"/>
      <c r="P138" s="731"/>
      <c r="Q138" s="731"/>
      <c r="R138" s="731"/>
      <c r="S138" s="731"/>
      <c r="T138" s="731"/>
      <c r="U138" s="731"/>
      <c r="V138" s="731"/>
      <c r="W138" s="731"/>
      <c r="X138" s="731"/>
      <c r="Y138" s="731"/>
      <c r="Z138" s="731"/>
      <c r="AA138" s="65"/>
      <c r="AB138" s="65"/>
      <c r="AC138" s="79"/>
    </row>
    <row r="139" spans="1:68" ht="14.25" hidden="1" customHeight="1" x14ac:dyDescent="0.25">
      <c r="A139" s="732" t="s">
        <v>122</v>
      </c>
      <c r="B139" s="732"/>
      <c r="C139" s="732"/>
      <c r="D139" s="732"/>
      <c r="E139" s="732"/>
      <c r="F139" s="732"/>
      <c r="G139" s="732"/>
      <c r="H139" s="732"/>
      <c r="I139" s="732"/>
      <c r="J139" s="732"/>
      <c r="K139" s="732"/>
      <c r="L139" s="732"/>
      <c r="M139" s="732"/>
      <c r="N139" s="732"/>
      <c r="O139" s="732"/>
      <c r="P139" s="732"/>
      <c r="Q139" s="732"/>
      <c r="R139" s="732"/>
      <c r="S139" s="732"/>
      <c r="T139" s="732"/>
      <c r="U139" s="732"/>
      <c r="V139" s="732"/>
      <c r="W139" s="732"/>
      <c r="X139" s="732"/>
      <c r="Y139" s="732"/>
      <c r="Z139" s="73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3">
        <v>4680115882577</v>
      </c>
      <c r="E140" s="73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0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5"/>
      <c r="R140" s="735"/>
      <c r="S140" s="735"/>
      <c r="T140" s="73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3">
        <v>4680115882577</v>
      </c>
      <c r="E141" s="73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5"/>
      <c r="R141" s="735"/>
      <c r="S141" s="735"/>
      <c r="T141" s="73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1"/>
      <c r="B142" s="741"/>
      <c r="C142" s="741"/>
      <c r="D142" s="741"/>
      <c r="E142" s="741"/>
      <c r="F142" s="741"/>
      <c r="G142" s="741"/>
      <c r="H142" s="741"/>
      <c r="I142" s="741"/>
      <c r="J142" s="741"/>
      <c r="K142" s="741"/>
      <c r="L142" s="741"/>
      <c r="M142" s="741"/>
      <c r="N142" s="741"/>
      <c r="O142" s="742"/>
      <c r="P142" s="738" t="s">
        <v>40</v>
      </c>
      <c r="Q142" s="739"/>
      <c r="R142" s="739"/>
      <c r="S142" s="739"/>
      <c r="T142" s="739"/>
      <c r="U142" s="739"/>
      <c r="V142" s="74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1"/>
      <c r="B143" s="741"/>
      <c r="C143" s="741"/>
      <c r="D143" s="741"/>
      <c r="E143" s="741"/>
      <c r="F143" s="741"/>
      <c r="G143" s="741"/>
      <c r="H143" s="741"/>
      <c r="I143" s="741"/>
      <c r="J143" s="741"/>
      <c r="K143" s="741"/>
      <c r="L143" s="741"/>
      <c r="M143" s="741"/>
      <c r="N143" s="741"/>
      <c r="O143" s="742"/>
      <c r="P143" s="738" t="s">
        <v>40</v>
      </c>
      <c r="Q143" s="739"/>
      <c r="R143" s="739"/>
      <c r="S143" s="739"/>
      <c r="T143" s="739"/>
      <c r="U143" s="739"/>
      <c r="V143" s="74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2" t="s">
        <v>77</v>
      </c>
      <c r="B144" s="732"/>
      <c r="C144" s="732"/>
      <c r="D144" s="732"/>
      <c r="E144" s="732"/>
      <c r="F144" s="732"/>
      <c r="G144" s="732"/>
      <c r="H144" s="732"/>
      <c r="I144" s="732"/>
      <c r="J144" s="732"/>
      <c r="K144" s="732"/>
      <c r="L144" s="732"/>
      <c r="M144" s="732"/>
      <c r="N144" s="732"/>
      <c r="O144" s="732"/>
      <c r="P144" s="732"/>
      <c r="Q144" s="732"/>
      <c r="R144" s="732"/>
      <c r="S144" s="732"/>
      <c r="T144" s="732"/>
      <c r="U144" s="732"/>
      <c r="V144" s="732"/>
      <c r="W144" s="732"/>
      <c r="X144" s="732"/>
      <c r="Y144" s="732"/>
      <c r="Z144" s="73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733">
        <v>4680115883444</v>
      </c>
      <c r="E145" s="73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5"/>
      <c r="R145" s="735"/>
      <c r="S145" s="735"/>
      <c r="T145" s="73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3">
        <v>4680115883444</v>
      </c>
      <c r="E146" s="73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5"/>
      <c r="R146" s="735"/>
      <c r="S146" s="735"/>
      <c r="T146" s="73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1"/>
      <c r="B147" s="741"/>
      <c r="C147" s="741"/>
      <c r="D147" s="741"/>
      <c r="E147" s="741"/>
      <c r="F147" s="741"/>
      <c r="G147" s="741"/>
      <c r="H147" s="741"/>
      <c r="I147" s="741"/>
      <c r="J147" s="741"/>
      <c r="K147" s="741"/>
      <c r="L147" s="741"/>
      <c r="M147" s="741"/>
      <c r="N147" s="741"/>
      <c r="O147" s="742"/>
      <c r="P147" s="738" t="s">
        <v>40</v>
      </c>
      <c r="Q147" s="739"/>
      <c r="R147" s="739"/>
      <c r="S147" s="739"/>
      <c r="T147" s="739"/>
      <c r="U147" s="739"/>
      <c r="V147" s="74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1"/>
      <c r="B148" s="741"/>
      <c r="C148" s="741"/>
      <c r="D148" s="741"/>
      <c r="E148" s="741"/>
      <c r="F148" s="741"/>
      <c r="G148" s="741"/>
      <c r="H148" s="741"/>
      <c r="I148" s="741"/>
      <c r="J148" s="741"/>
      <c r="K148" s="741"/>
      <c r="L148" s="741"/>
      <c r="M148" s="741"/>
      <c r="N148" s="741"/>
      <c r="O148" s="742"/>
      <c r="P148" s="738" t="s">
        <v>40</v>
      </c>
      <c r="Q148" s="739"/>
      <c r="R148" s="739"/>
      <c r="S148" s="739"/>
      <c r="T148" s="739"/>
      <c r="U148" s="739"/>
      <c r="V148" s="74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2" t="s">
        <v>86</v>
      </c>
      <c r="B149" s="732"/>
      <c r="C149" s="732"/>
      <c r="D149" s="732"/>
      <c r="E149" s="732"/>
      <c r="F149" s="732"/>
      <c r="G149" s="732"/>
      <c r="H149" s="732"/>
      <c r="I149" s="732"/>
      <c r="J149" s="732"/>
      <c r="K149" s="732"/>
      <c r="L149" s="732"/>
      <c r="M149" s="732"/>
      <c r="N149" s="732"/>
      <c r="O149" s="732"/>
      <c r="P149" s="732"/>
      <c r="Q149" s="732"/>
      <c r="R149" s="732"/>
      <c r="S149" s="732"/>
      <c r="T149" s="732"/>
      <c r="U149" s="732"/>
      <c r="V149" s="732"/>
      <c r="W149" s="732"/>
      <c r="X149" s="732"/>
      <c r="Y149" s="732"/>
      <c r="Z149" s="73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3">
        <v>4680115882584</v>
      </c>
      <c r="E150" s="73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5"/>
      <c r="R150" s="735"/>
      <c r="S150" s="735"/>
      <c r="T150" s="73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3">
        <v>4680115882584</v>
      </c>
      <c r="E151" s="73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5"/>
      <c r="R151" s="735"/>
      <c r="S151" s="735"/>
      <c r="T151" s="73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1"/>
      <c r="B152" s="741"/>
      <c r="C152" s="741"/>
      <c r="D152" s="741"/>
      <c r="E152" s="741"/>
      <c r="F152" s="741"/>
      <c r="G152" s="741"/>
      <c r="H152" s="741"/>
      <c r="I152" s="741"/>
      <c r="J152" s="741"/>
      <c r="K152" s="741"/>
      <c r="L152" s="741"/>
      <c r="M152" s="741"/>
      <c r="N152" s="741"/>
      <c r="O152" s="742"/>
      <c r="P152" s="738" t="s">
        <v>40</v>
      </c>
      <c r="Q152" s="739"/>
      <c r="R152" s="739"/>
      <c r="S152" s="739"/>
      <c r="T152" s="739"/>
      <c r="U152" s="739"/>
      <c r="V152" s="740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1"/>
      <c r="B153" s="741"/>
      <c r="C153" s="741"/>
      <c r="D153" s="741"/>
      <c r="E153" s="741"/>
      <c r="F153" s="741"/>
      <c r="G153" s="741"/>
      <c r="H153" s="741"/>
      <c r="I153" s="741"/>
      <c r="J153" s="741"/>
      <c r="K153" s="741"/>
      <c r="L153" s="741"/>
      <c r="M153" s="741"/>
      <c r="N153" s="741"/>
      <c r="O153" s="742"/>
      <c r="P153" s="738" t="s">
        <v>40</v>
      </c>
      <c r="Q153" s="739"/>
      <c r="R153" s="739"/>
      <c r="S153" s="739"/>
      <c r="T153" s="739"/>
      <c r="U153" s="739"/>
      <c r="V153" s="740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1" t="s">
        <v>278</v>
      </c>
      <c r="B154" s="731"/>
      <c r="C154" s="731"/>
      <c r="D154" s="731"/>
      <c r="E154" s="731"/>
      <c r="F154" s="731"/>
      <c r="G154" s="731"/>
      <c r="H154" s="731"/>
      <c r="I154" s="731"/>
      <c r="J154" s="731"/>
      <c r="K154" s="731"/>
      <c r="L154" s="731"/>
      <c r="M154" s="731"/>
      <c r="N154" s="731"/>
      <c r="O154" s="731"/>
      <c r="P154" s="731"/>
      <c r="Q154" s="731"/>
      <c r="R154" s="731"/>
      <c r="S154" s="731"/>
      <c r="T154" s="731"/>
      <c r="U154" s="731"/>
      <c r="V154" s="731"/>
      <c r="W154" s="731"/>
      <c r="X154" s="731"/>
      <c r="Y154" s="731"/>
      <c r="Z154" s="731"/>
      <c r="AA154" s="65"/>
      <c r="AB154" s="65"/>
      <c r="AC154" s="79"/>
    </row>
    <row r="155" spans="1:68" ht="14.25" hidden="1" customHeight="1" x14ac:dyDescent="0.25">
      <c r="A155" s="732" t="s">
        <v>86</v>
      </c>
      <c r="B155" s="732"/>
      <c r="C155" s="732"/>
      <c r="D155" s="732"/>
      <c r="E155" s="732"/>
      <c r="F155" s="732"/>
      <c r="G155" s="732"/>
      <c r="H155" s="732"/>
      <c r="I155" s="732"/>
      <c r="J155" s="732"/>
      <c r="K155" s="732"/>
      <c r="L155" s="732"/>
      <c r="M155" s="732"/>
      <c r="N155" s="732"/>
      <c r="O155" s="732"/>
      <c r="P155" s="732"/>
      <c r="Q155" s="732"/>
      <c r="R155" s="732"/>
      <c r="S155" s="732"/>
      <c r="T155" s="732"/>
      <c r="U155" s="732"/>
      <c r="V155" s="732"/>
      <c r="W155" s="732"/>
      <c r="X155" s="732"/>
      <c r="Y155" s="732"/>
      <c r="Z155" s="73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3">
        <v>4680115888203</v>
      </c>
      <c r="E156" s="73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5"/>
      <c r="R156" s="735"/>
      <c r="S156" s="735"/>
      <c r="T156" s="73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3">
        <v>4680115888180</v>
      </c>
      <c r="E157" s="73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5"/>
      <c r="R157" s="735"/>
      <c r="S157" s="735"/>
      <c r="T157" s="73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3">
        <v>4680115888180</v>
      </c>
      <c r="E158" s="73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5"/>
      <c r="R158" s="735"/>
      <c r="S158" s="735"/>
      <c r="T158" s="73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3">
        <v>4680115888197</v>
      </c>
      <c r="E159" s="73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5"/>
      <c r="R159" s="735"/>
      <c r="S159" s="735"/>
      <c r="T159" s="73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3">
        <v>4680115888197</v>
      </c>
      <c r="E160" s="73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5"/>
      <c r="R160" s="735"/>
      <c r="S160" s="735"/>
      <c r="T160" s="73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3">
        <v>4680115888210</v>
      </c>
      <c r="E161" s="73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5"/>
      <c r="R161" s="735"/>
      <c r="S161" s="735"/>
      <c r="T161" s="73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3">
        <v>4680115888210</v>
      </c>
      <c r="E162" s="73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5"/>
      <c r="R162" s="735"/>
      <c r="S162" s="735"/>
      <c r="T162" s="73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1"/>
      <c r="B163" s="741"/>
      <c r="C163" s="741"/>
      <c r="D163" s="741"/>
      <c r="E163" s="741"/>
      <c r="F163" s="741"/>
      <c r="G163" s="741"/>
      <c r="H163" s="741"/>
      <c r="I163" s="741"/>
      <c r="J163" s="741"/>
      <c r="K163" s="741"/>
      <c r="L163" s="741"/>
      <c r="M163" s="741"/>
      <c r="N163" s="741"/>
      <c r="O163" s="742"/>
      <c r="P163" s="738" t="s">
        <v>40</v>
      </c>
      <c r="Q163" s="739"/>
      <c r="R163" s="739"/>
      <c r="S163" s="739"/>
      <c r="T163" s="739"/>
      <c r="U163" s="739"/>
      <c r="V163" s="740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1"/>
      <c r="B164" s="741"/>
      <c r="C164" s="741"/>
      <c r="D164" s="741"/>
      <c r="E164" s="741"/>
      <c r="F164" s="741"/>
      <c r="G164" s="741"/>
      <c r="H164" s="741"/>
      <c r="I164" s="741"/>
      <c r="J164" s="741"/>
      <c r="K164" s="741"/>
      <c r="L164" s="741"/>
      <c r="M164" s="741"/>
      <c r="N164" s="741"/>
      <c r="O164" s="742"/>
      <c r="P164" s="738" t="s">
        <v>40</v>
      </c>
      <c r="Q164" s="739"/>
      <c r="R164" s="739"/>
      <c r="S164" s="739"/>
      <c r="T164" s="739"/>
      <c r="U164" s="739"/>
      <c r="V164" s="740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2" t="s">
        <v>294</v>
      </c>
      <c r="B165" s="732"/>
      <c r="C165" s="732"/>
      <c r="D165" s="732"/>
      <c r="E165" s="732"/>
      <c r="F165" s="732"/>
      <c r="G165" s="732"/>
      <c r="H165" s="732"/>
      <c r="I165" s="732"/>
      <c r="J165" s="732"/>
      <c r="K165" s="732"/>
      <c r="L165" s="732"/>
      <c r="M165" s="732"/>
      <c r="N165" s="732"/>
      <c r="O165" s="732"/>
      <c r="P165" s="732"/>
      <c r="Q165" s="732"/>
      <c r="R165" s="732"/>
      <c r="S165" s="732"/>
      <c r="T165" s="732"/>
      <c r="U165" s="732"/>
      <c r="V165" s="732"/>
      <c r="W165" s="732"/>
      <c r="X165" s="732"/>
      <c r="Y165" s="732"/>
      <c r="Z165" s="73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3">
        <v>4680115889132</v>
      </c>
      <c r="E166" s="73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5"/>
      <c r="R166" s="735"/>
      <c r="S166" s="735"/>
      <c r="T166" s="73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1"/>
      <c r="B167" s="741"/>
      <c r="C167" s="741"/>
      <c r="D167" s="741"/>
      <c r="E167" s="741"/>
      <c r="F167" s="741"/>
      <c r="G167" s="741"/>
      <c r="H167" s="741"/>
      <c r="I167" s="741"/>
      <c r="J167" s="741"/>
      <c r="K167" s="741"/>
      <c r="L167" s="741"/>
      <c r="M167" s="741"/>
      <c r="N167" s="741"/>
      <c r="O167" s="742"/>
      <c r="P167" s="738" t="s">
        <v>40</v>
      </c>
      <c r="Q167" s="739"/>
      <c r="R167" s="739"/>
      <c r="S167" s="739"/>
      <c r="T167" s="739"/>
      <c r="U167" s="739"/>
      <c r="V167" s="740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1"/>
      <c r="B168" s="741"/>
      <c r="C168" s="741"/>
      <c r="D168" s="741"/>
      <c r="E168" s="741"/>
      <c r="F168" s="741"/>
      <c r="G168" s="741"/>
      <c r="H168" s="741"/>
      <c r="I168" s="741"/>
      <c r="J168" s="741"/>
      <c r="K168" s="741"/>
      <c r="L168" s="741"/>
      <c r="M168" s="741"/>
      <c r="N168" s="741"/>
      <c r="O168" s="742"/>
      <c r="P168" s="738" t="s">
        <v>40</v>
      </c>
      <c r="Q168" s="739"/>
      <c r="R168" s="739"/>
      <c r="S168" s="739"/>
      <c r="T168" s="739"/>
      <c r="U168" s="739"/>
      <c r="V168" s="740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1" t="s">
        <v>120</v>
      </c>
      <c r="B169" s="731"/>
      <c r="C169" s="731"/>
      <c r="D169" s="731"/>
      <c r="E169" s="731"/>
      <c r="F169" s="731"/>
      <c r="G169" s="731"/>
      <c r="H169" s="731"/>
      <c r="I169" s="731"/>
      <c r="J169" s="731"/>
      <c r="K169" s="731"/>
      <c r="L169" s="731"/>
      <c r="M169" s="731"/>
      <c r="N169" s="731"/>
      <c r="O169" s="731"/>
      <c r="P169" s="731"/>
      <c r="Q169" s="731"/>
      <c r="R169" s="731"/>
      <c r="S169" s="731"/>
      <c r="T169" s="731"/>
      <c r="U169" s="731"/>
      <c r="V169" s="731"/>
      <c r="W169" s="731"/>
      <c r="X169" s="731"/>
      <c r="Y169" s="731"/>
      <c r="Z169" s="731"/>
      <c r="AA169" s="65"/>
      <c r="AB169" s="65"/>
      <c r="AC169" s="79"/>
    </row>
    <row r="170" spans="1:68" ht="14.25" hidden="1" customHeight="1" x14ac:dyDescent="0.25">
      <c r="A170" s="732" t="s">
        <v>122</v>
      </c>
      <c r="B170" s="732"/>
      <c r="C170" s="732"/>
      <c r="D170" s="732"/>
      <c r="E170" s="732"/>
      <c r="F170" s="732"/>
      <c r="G170" s="732"/>
      <c r="H170" s="732"/>
      <c r="I170" s="732"/>
      <c r="J170" s="732"/>
      <c r="K170" s="732"/>
      <c r="L170" s="732"/>
      <c r="M170" s="732"/>
      <c r="N170" s="732"/>
      <c r="O170" s="732"/>
      <c r="P170" s="732"/>
      <c r="Q170" s="732"/>
      <c r="R170" s="732"/>
      <c r="S170" s="732"/>
      <c r="T170" s="732"/>
      <c r="U170" s="732"/>
      <c r="V170" s="732"/>
      <c r="W170" s="732"/>
      <c r="X170" s="732"/>
      <c r="Y170" s="732"/>
      <c r="Z170" s="73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3">
        <v>4680115887374</v>
      </c>
      <c r="E171" s="73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5"/>
      <c r="R171" s="735"/>
      <c r="S171" s="735"/>
      <c r="T171" s="73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3">
        <v>4607091384604</v>
      </c>
      <c r="E172" s="73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5"/>
      <c r="R172" s="735"/>
      <c r="S172" s="735"/>
      <c r="T172" s="73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3">
        <v>4680115888876</v>
      </c>
      <c r="E173" s="73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5"/>
      <c r="R173" s="735"/>
      <c r="S173" s="735"/>
      <c r="T173" s="73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1"/>
      <c r="B174" s="741"/>
      <c r="C174" s="741"/>
      <c r="D174" s="741"/>
      <c r="E174" s="741"/>
      <c r="F174" s="741"/>
      <c r="G174" s="741"/>
      <c r="H174" s="741"/>
      <c r="I174" s="741"/>
      <c r="J174" s="741"/>
      <c r="K174" s="741"/>
      <c r="L174" s="741"/>
      <c r="M174" s="741"/>
      <c r="N174" s="741"/>
      <c r="O174" s="742"/>
      <c r="P174" s="738" t="s">
        <v>40</v>
      </c>
      <c r="Q174" s="739"/>
      <c r="R174" s="739"/>
      <c r="S174" s="739"/>
      <c r="T174" s="739"/>
      <c r="U174" s="739"/>
      <c r="V174" s="740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1"/>
      <c r="B175" s="741"/>
      <c r="C175" s="741"/>
      <c r="D175" s="741"/>
      <c r="E175" s="741"/>
      <c r="F175" s="741"/>
      <c r="G175" s="741"/>
      <c r="H175" s="741"/>
      <c r="I175" s="741"/>
      <c r="J175" s="741"/>
      <c r="K175" s="741"/>
      <c r="L175" s="741"/>
      <c r="M175" s="741"/>
      <c r="N175" s="741"/>
      <c r="O175" s="742"/>
      <c r="P175" s="738" t="s">
        <v>40</v>
      </c>
      <c r="Q175" s="739"/>
      <c r="R175" s="739"/>
      <c r="S175" s="739"/>
      <c r="T175" s="739"/>
      <c r="U175" s="739"/>
      <c r="V175" s="740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2" t="s">
        <v>155</v>
      </c>
      <c r="B176" s="732"/>
      <c r="C176" s="732"/>
      <c r="D176" s="732"/>
      <c r="E176" s="732"/>
      <c r="F176" s="732"/>
      <c r="G176" s="732"/>
      <c r="H176" s="732"/>
      <c r="I176" s="732"/>
      <c r="J176" s="732"/>
      <c r="K176" s="732"/>
      <c r="L176" s="732"/>
      <c r="M176" s="732"/>
      <c r="N176" s="732"/>
      <c r="O176" s="732"/>
      <c r="P176" s="732"/>
      <c r="Q176" s="732"/>
      <c r="R176" s="732"/>
      <c r="S176" s="732"/>
      <c r="T176" s="732"/>
      <c r="U176" s="732"/>
      <c r="V176" s="732"/>
      <c r="W176" s="732"/>
      <c r="X176" s="732"/>
      <c r="Y176" s="732"/>
      <c r="Z176" s="73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3">
        <v>4680115887695</v>
      </c>
      <c r="E177" s="73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5"/>
      <c r="R177" s="735"/>
      <c r="S177" s="735"/>
      <c r="T177" s="73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3">
        <v>4680115889491</v>
      </c>
      <c r="E178" s="73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5"/>
      <c r="R178" s="735"/>
      <c r="S178" s="735"/>
      <c r="T178" s="73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1"/>
      <c r="B179" s="741"/>
      <c r="C179" s="741"/>
      <c r="D179" s="741"/>
      <c r="E179" s="741"/>
      <c r="F179" s="741"/>
      <c r="G179" s="741"/>
      <c r="H179" s="741"/>
      <c r="I179" s="741"/>
      <c r="J179" s="741"/>
      <c r="K179" s="741"/>
      <c r="L179" s="741"/>
      <c r="M179" s="741"/>
      <c r="N179" s="741"/>
      <c r="O179" s="742"/>
      <c r="P179" s="738" t="s">
        <v>40</v>
      </c>
      <c r="Q179" s="739"/>
      <c r="R179" s="739"/>
      <c r="S179" s="739"/>
      <c r="T179" s="739"/>
      <c r="U179" s="739"/>
      <c r="V179" s="740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1"/>
      <c r="B180" s="741"/>
      <c r="C180" s="741"/>
      <c r="D180" s="741"/>
      <c r="E180" s="741"/>
      <c r="F180" s="741"/>
      <c r="G180" s="741"/>
      <c r="H180" s="741"/>
      <c r="I180" s="741"/>
      <c r="J180" s="741"/>
      <c r="K180" s="741"/>
      <c r="L180" s="741"/>
      <c r="M180" s="741"/>
      <c r="N180" s="741"/>
      <c r="O180" s="742"/>
      <c r="P180" s="738" t="s">
        <v>40</v>
      </c>
      <c r="Q180" s="739"/>
      <c r="R180" s="739"/>
      <c r="S180" s="739"/>
      <c r="T180" s="739"/>
      <c r="U180" s="739"/>
      <c r="V180" s="740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2" t="s">
        <v>77</v>
      </c>
      <c r="B181" s="732"/>
      <c r="C181" s="732"/>
      <c r="D181" s="732"/>
      <c r="E181" s="732"/>
      <c r="F181" s="732"/>
      <c r="G181" s="732"/>
      <c r="H181" s="732"/>
      <c r="I181" s="732"/>
      <c r="J181" s="732"/>
      <c r="K181" s="732"/>
      <c r="L181" s="732"/>
      <c r="M181" s="732"/>
      <c r="N181" s="732"/>
      <c r="O181" s="732"/>
      <c r="P181" s="732"/>
      <c r="Q181" s="732"/>
      <c r="R181" s="732"/>
      <c r="S181" s="732"/>
      <c r="T181" s="732"/>
      <c r="U181" s="732"/>
      <c r="V181" s="732"/>
      <c r="W181" s="732"/>
      <c r="X181" s="732"/>
      <c r="Y181" s="732"/>
      <c r="Z181" s="73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733">
        <v>4680115887428</v>
      </c>
      <c r="E182" s="73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5"/>
      <c r="R182" s="735"/>
      <c r="S182" s="735"/>
      <c r="T182" s="736"/>
      <c r="U182" s="39" t="s">
        <v>46</v>
      </c>
      <c r="V182" s="39" t="s">
        <v>46</v>
      </c>
      <c r="W182" s="40" t="s">
        <v>0</v>
      </c>
      <c r="X182" s="58">
        <v>30</v>
      </c>
      <c r="Y182" s="55">
        <f t="shared" ref="Y182:Y195" si="27">IFERROR(IF(X182="",0,CEILING((X182/$H182),1)*$H182),"")</f>
        <v>31.5</v>
      </c>
      <c r="Z182" s="41">
        <f t="shared" ref="Z182:Z187" si="28">IFERROR(IF(Y182=0,"",ROUNDUP(Y182/H182,0)*0.00902),"")</f>
        <v>8.1180000000000002E-2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31.62857142857143</v>
      </c>
      <c r="BN182" s="78">
        <f t="shared" ref="BN182:BN195" si="30">IFERROR(Y182*I182/H182,"0")</f>
        <v>33.21</v>
      </c>
      <c r="BO182" s="78">
        <f t="shared" ref="BO182:BO195" si="31">IFERROR(1/J182*(X182/H182),"0")</f>
        <v>6.4935064935064929E-2</v>
      </c>
      <c r="BP182" s="78">
        <f t="shared" ref="BP182:BP195" si="32">IFERROR(1/J182*(Y182/H182),"0")</f>
        <v>6.8181818181818177E-2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3">
        <v>4680115889170</v>
      </c>
      <c r="E183" s="73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5"/>
      <c r="R183" s="735"/>
      <c r="S183" s="735"/>
      <c r="T183" s="73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733">
        <v>4680115887398</v>
      </c>
      <c r="E184" s="73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5"/>
      <c r="R184" s="735"/>
      <c r="S184" s="735"/>
      <c r="T184" s="736"/>
      <c r="U184" s="39" t="s">
        <v>46</v>
      </c>
      <c r="V184" s="39" t="s">
        <v>46</v>
      </c>
      <c r="W184" s="40" t="s">
        <v>0</v>
      </c>
      <c r="X184" s="58">
        <v>50</v>
      </c>
      <c r="Y184" s="55">
        <f t="shared" si="27"/>
        <v>52.5</v>
      </c>
      <c r="Z184" s="41">
        <f t="shared" si="28"/>
        <v>0.1353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52.714285714285715</v>
      </c>
      <c r="BN184" s="78">
        <f t="shared" si="30"/>
        <v>55.35</v>
      </c>
      <c r="BO184" s="78">
        <f t="shared" si="31"/>
        <v>0.10822510822510824</v>
      </c>
      <c r="BP184" s="78">
        <f t="shared" si="32"/>
        <v>0.11363636363636365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3">
        <v>4680115887398</v>
      </c>
      <c r="E185" s="73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1" t="s">
        <v>326</v>
      </c>
      <c r="Q185" s="735"/>
      <c r="R185" s="735"/>
      <c r="S185" s="735"/>
      <c r="T185" s="73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733">
        <v>4680115887336</v>
      </c>
      <c r="E186" s="73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5"/>
      <c r="R186" s="735"/>
      <c r="S186" s="735"/>
      <c r="T186" s="736"/>
      <c r="U186" s="39" t="s">
        <v>46</v>
      </c>
      <c r="V186" s="39" t="s">
        <v>46</v>
      </c>
      <c r="W186" s="40" t="s">
        <v>0</v>
      </c>
      <c r="X186" s="58">
        <v>50</v>
      </c>
      <c r="Y186" s="55">
        <f t="shared" si="27"/>
        <v>52.5</v>
      </c>
      <c r="Z186" s="41">
        <f t="shared" si="28"/>
        <v>0.1353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52.714285714285715</v>
      </c>
      <c r="BN186" s="78">
        <f t="shared" si="30"/>
        <v>55.35</v>
      </c>
      <c r="BO186" s="78">
        <f t="shared" si="31"/>
        <v>0.10822510822510824</v>
      </c>
      <c r="BP186" s="78">
        <f t="shared" si="32"/>
        <v>0.11363636363636365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3">
        <v>4680115887336</v>
      </c>
      <c r="E187" s="73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3" t="s">
        <v>332</v>
      </c>
      <c r="Q187" s="735"/>
      <c r="R187" s="735"/>
      <c r="S187" s="735"/>
      <c r="T187" s="73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3">
        <v>4680115887787</v>
      </c>
      <c r="E188" s="73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5"/>
      <c r="R188" s="735"/>
      <c r="S188" s="735"/>
      <c r="T188" s="73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3">
        <v>4680115887787</v>
      </c>
      <c r="E189" s="73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5" t="s">
        <v>338</v>
      </c>
      <c r="Q189" s="735"/>
      <c r="R189" s="735"/>
      <c r="S189" s="735"/>
      <c r="T189" s="73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733">
        <v>4680115887503</v>
      </c>
      <c r="E190" s="73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5"/>
      <c r="R190" s="735"/>
      <c r="S190" s="735"/>
      <c r="T190" s="736"/>
      <c r="U190" s="39" t="s">
        <v>46</v>
      </c>
      <c r="V190" s="39" t="s">
        <v>46</v>
      </c>
      <c r="W190" s="40" t="s">
        <v>0</v>
      </c>
      <c r="X190" s="58">
        <v>8.4</v>
      </c>
      <c r="Y190" s="55">
        <f t="shared" si="27"/>
        <v>8.4</v>
      </c>
      <c r="Z190" s="41">
        <f>IFERROR(IF(Y190=0,"",ROUNDUP(Y190/H190,0)*0.00502),"")</f>
        <v>2.5100000000000001E-2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8.9000000000000021</v>
      </c>
      <c r="BN190" s="78">
        <f t="shared" si="30"/>
        <v>8.9000000000000021</v>
      </c>
      <c r="BO190" s="78">
        <f t="shared" si="31"/>
        <v>2.1367521367521368E-2</v>
      </c>
      <c r="BP190" s="78">
        <f t="shared" si="32"/>
        <v>2.1367521367521368E-2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3">
        <v>4680115887763</v>
      </c>
      <c r="E191" s="73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5"/>
      <c r="R191" s="735"/>
      <c r="S191" s="735"/>
      <c r="T191" s="73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733">
        <v>4680115887480</v>
      </c>
      <c r="E192" s="73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5"/>
      <c r="R192" s="735"/>
      <c r="S192" s="735"/>
      <c r="T192" s="736"/>
      <c r="U192" s="39" t="s">
        <v>46</v>
      </c>
      <c r="V192" s="39" t="s">
        <v>46</v>
      </c>
      <c r="W192" s="40" t="s">
        <v>0</v>
      </c>
      <c r="X192" s="58">
        <v>8.4</v>
      </c>
      <c r="Y192" s="55">
        <f t="shared" si="27"/>
        <v>8.4</v>
      </c>
      <c r="Z192" s="41">
        <f>IFERROR(IF(Y192=0,"",ROUNDUP(Y192/H192,0)*0.00502),"")</f>
        <v>2.5100000000000001E-2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8.9000000000000021</v>
      </c>
      <c r="BN192" s="78">
        <f t="shared" si="30"/>
        <v>8.9000000000000021</v>
      </c>
      <c r="BO192" s="78">
        <f t="shared" si="31"/>
        <v>2.1367521367521368E-2</v>
      </c>
      <c r="BP192" s="78">
        <f t="shared" si="32"/>
        <v>2.1367521367521368E-2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3">
        <v>4680115887480</v>
      </c>
      <c r="E193" s="73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39" t="s">
        <v>347</v>
      </c>
      <c r="Q193" s="735"/>
      <c r="R193" s="735"/>
      <c r="S193" s="735"/>
      <c r="T193" s="73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3">
        <v>4680115888067</v>
      </c>
      <c r="E194" s="73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5"/>
      <c r="R194" s="735"/>
      <c r="S194" s="735"/>
      <c r="T194" s="73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733">
        <v>4680115887435</v>
      </c>
      <c r="E195" s="73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5"/>
      <c r="R195" s="735"/>
      <c r="S195" s="735"/>
      <c r="T195" s="736"/>
      <c r="U195" s="39" t="s">
        <v>46</v>
      </c>
      <c r="V195" s="39" t="s">
        <v>46</v>
      </c>
      <c r="W195" s="40" t="s">
        <v>0</v>
      </c>
      <c r="X195" s="58"/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741"/>
      <c r="B196" s="741"/>
      <c r="C196" s="741"/>
      <c r="D196" s="741"/>
      <c r="E196" s="741"/>
      <c r="F196" s="741"/>
      <c r="G196" s="741"/>
      <c r="H196" s="741"/>
      <c r="I196" s="741"/>
      <c r="J196" s="741"/>
      <c r="K196" s="741"/>
      <c r="L196" s="741"/>
      <c r="M196" s="741"/>
      <c r="N196" s="741"/>
      <c r="O196" s="742"/>
      <c r="P196" s="738" t="s">
        <v>40</v>
      </c>
      <c r="Q196" s="739"/>
      <c r="R196" s="739"/>
      <c r="S196" s="739"/>
      <c r="T196" s="739"/>
      <c r="U196" s="739"/>
      <c r="V196" s="740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47.142857142857146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49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0.40198</v>
      </c>
      <c r="AA196" s="67"/>
      <c r="AB196" s="67"/>
      <c r="AC196" s="67"/>
    </row>
    <row r="197" spans="1:68" x14ac:dyDescent="0.2">
      <c r="A197" s="741"/>
      <c r="B197" s="741"/>
      <c r="C197" s="741"/>
      <c r="D197" s="741"/>
      <c r="E197" s="741"/>
      <c r="F197" s="741"/>
      <c r="G197" s="741"/>
      <c r="H197" s="741"/>
      <c r="I197" s="741"/>
      <c r="J197" s="741"/>
      <c r="K197" s="741"/>
      <c r="L197" s="741"/>
      <c r="M197" s="741"/>
      <c r="N197" s="741"/>
      <c r="O197" s="742"/>
      <c r="P197" s="738" t="s">
        <v>40</v>
      </c>
      <c r="Q197" s="739"/>
      <c r="R197" s="739"/>
      <c r="S197" s="739"/>
      <c r="T197" s="739"/>
      <c r="U197" s="739"/>
      <c r="V197" s="740"/>
      <c r="W197" s="42" t="s">
        <v>0</v>
      </c>
      <c r="X197" s="43">
        <f>IFERROR(SUM(X182:X195),"0")</f>
        <v>146.80000000000001</v>
      </c>
      <c r="Y197" s="43">
        <f>IFERROR(SUM(Y182:Y195),"0")</f>
        <v>153.30000000000001</v>
      </c>
      <c r="Z197" s="42"/>
      <c r="AA197" s="67"/>
      <c r="AB197" s="67"/>
      <c r="AC197" s="67"/>
    </row>
    <row r="198" spans="1:68" ht="14.25" hidden="1" customHeight="1" x14ac:dyDescent="0.25">
      <c r="A198" s="732" t="s">
        <v>86</v>
      </c>
      <c r="B198" s="732"/>
      <c r="C198" s="732"/>
      <c r="D198" s="732"/>
      <c r="E198" s="732"/>
      <c r="F198" s="732"/>
      <c r="G198" s="732"/>
      <c r="H198" s="732"/>
      <c r="I198" s="732"/>
      <c r="J198" s="732"/>
      <c r="K198" s="732"/>
      <c r="L198" s="732"/>
      <c r="M198" s="732"/>
      <c r="N198" s="732"/>
      <c r="O198" s="732"/>
      <c r="P198" s="732"/>
      <c r="Q198" s="732"/>
      <c r="R198" s="732"/>
      <c r="S198" s="732"/>
      <c r="T198" s="732"/>
      <c r="U198" s="732"/>
      <c r="V198" s="732"/>
      <c r="W198" s="732"/>
      <c r="X198" s="732"/>
      <c r="Y198" s="732"/>
      <c r="Z198" s="73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3">
        <v>4680115888395</v>
      </c>
      <c r="E199" s="73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5"/>
      <c r="R199" s="735"/>
      <c r="S199" s="735"/>
      <c r="T199" s="73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3">
        <v>4680115888371</v>
      </c>
      <c r="E200" s="73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5"/>
      <c r="R200" s="735"/>
      <c r="S200" s="735"/>
      <c r="T200" s="736"/>
      <c r="U200" s="39" t="s">
        <v>46</v>
      </c>
      <c r="V200" s="39" t="s">
        <v>46</v>
      </c>
      <c r="W200" s="40" t="s">
        <v>0</v>
      </c>
      <c r="X200" s="58"/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3">
        <v>4680115887459</v>
      </c>
      <c r="E201" s="73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5"/>
      <c r="R201" s="735"/>
      <c r="S201" s="735"/>
      <c r="T201" s="73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1"/>
      <c r="B202" s="741"/>
      <c r="C202" s="741"/>
      <c r="D202" s="741"/>
      <c r="E202" s="741"/>
      <c r="F202" s="741"/>
      <c r="G202" s="741"/>
      <c r="H202" s="741"/>
      <c r="I202" s="741"/>
      <c r="J202" s="741"/>
      <c r="K202" s="741"/>
      <c r="L202" s="741"/>
      <c r="M202" s="741"/>
      <c r="N202" s="741"/>
      <c r="O202" s="742"/>
      <c r="P202" s="738" t="s">
        <v>40</v>
      </c>
      <c r="Q202" s="739"/>
      <c r="R202" s="739"/>
      <c r="S202" s="739"/>
      <c r="T202" s="739"/>
      <c r="U202" s="739"/>
      <c r="V202" s="740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1"/>
      <c r="B203" s="741"/>
      <c r="C203" s="741"/>
      <c r="D203" s="741"/>
      <c r="E203" s="741"/>
      <c r="F203" s="741"/>
      <c r="G203" s="741"/>
      <c r="H203" s="741"/>
      <c r="I203" s="741"/>
      <c r="J203" s="741"/>
      <c r="K203" s="741"/>
      <c r="L203" s="741"/>
      <c r="M203" s="741"/>
      <c r="N203" s="741"/>
      <c r="O203" s="742"/>
      <c r="P203" s="738" t="s">
        <v>40</v>
      </c>
      <c r="Q203" s="739"/>
      <c r="R203" s="739"/>
      <c r="S203" s="739"/>
      <c r="T203" s="739"/>
      <c r="U203" s="739"/>
      <c r="V203" s="740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2" t="s">
        <v>294</v>
      </c>
      <c r="B204" s="732"/>
      <c r="C204" s="732"/>
      <c r="D204" s="732"/>
      <c r="E204" s="732"/>
      <c r="F204" s="732"/>
      <c r="G204" s="732"/>
      <c r="H204" s="732"/>
      <c r="I204" s="732"/>
      <c r="J204" s="732"/>
      <c r="K204" s="732"/>
      <c r="L204" s="732"/>
      <c r="M204" s="732"/>
      <c r="N204" s="732"/>
      <c r="O204" s="732"/>
      <c r="P204" s="732"/>
      <c r="Q204" s="732"/>
      <c r="R204" s="732"/>
      <c r="S204" s="732"/>
      <c r="T204" s="732"/>
      <c r="U204" s="732"/>
      <c r="V204" s="732"/>
      <c r="W204" s="732"/>
      <c r="X204" s="732"/>
      <c r="Y204" s="732"/>
      <c r="Z204" s="73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3">
        <v>4680115889026</v>
      </c>
      <c r="E205" s="73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5"/>
      <c r="R205" s="735"/>
      <c r="S205" s="735"/>
      <c r="T205" s="73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1"/>
      <c r="B206" s="741"/>
      <c r="C206" s="741"/>
      <c r="D206" s="741"/>
      <c r="E206" s="741"/>
      <c r="F206" s="741"/>
      <c r="G206" s="741"/>
      <c r="H206" s="741"/>
      <c r="I206" s="741"/>
      <c r="J206" s="741"/>
      <c r="K206" s="741"/>
      <c r="L206" s="741"/>
      <c r="M206" s="741"/>
      <c r="N206" s="741"/>
      <c r="O206" s="742"/>
      <c r="P206" s="738" t="s">
        <v>40</v>
      </c>
      <c r="Q206" s="739"/>
      <c r="R206" s="739"/>
      <c r="S206" s="739"/>
      <c r="T206" s="739"/>
      <c r="U206" s="739"/>
      <c r="V206" s="74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1"/>
      <c r="B207" s="741"/>
      <c r="C207" s="741"/>
      <c r="D207" s="741"/>
      <c r="E207" s="741"/>
      <c r="F207" s="741"/>
      <c r="G207" s="741"/>
      <c r="H207" s="741"/>
      <c r="I207" s="741"/>
      <c r="J207" s="741"/>
      <c r="K207" s="741"/>
      <c r="L207" s="741"/>
      <c r="M207" s="741"/>
      <c r="N207" s="741"/>
      <c r="O207" s="742"/>
      <c r="P207" s="738" t="s">
        <v>40</v>
      </c>
      <c r="Q207" s="739"/>
      <c r="R207" s="739"/>
      <c r="S207" s="739"/>
      <c r="T207" s="739"/>
      <c r="U207" s="739"/>
      <c r="V207" s="74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2" t="s">
        <v>366</v>
      </c>
      <c r="B208" s="732"/>
      <c r="C208" s="732"/>
      <c r="D208" s="732"/>
      <c r="E208" s="732"/>
      <c r="F208" s="732"/>
      <c r="G208" s="732"/>
      <c r="H208" s="732"/>
      <c r="I208" s="732"/>
      <c r="J208" s="732"/>
      <c r="K208" s="732"/>
      <c r="L208" s="732"/>
      <c r="M208" s="732"/>
      <c r="N208" s="732"/>
      <c r="O208" s="732"/>
      <c r="P208" s="732"/>
      <c r="Q208" s="732"/>
      <c r="R208" s="732"/>
      <c r="S208" s="732"/>
      <c r="T208" s="732"/>
      <c r="U208" s="732"/>
      <c r="V208" s="732"/>
      <c r="W208" s="732"/>
      <c r="X208" s="732"/>
      <c r="Y208" s="732"/>
      <c r="Z208" s="73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3">
        <v>4680115889033</v>
      </c>
      <c r="E209" s="73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5"/>
      <c r="R209" s="735"/>
      <c r="S209" s="735"/>
      <c r="T209" s="73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1"/>
      <c r="B210" s="741"/>
      <c r="C210" s="741"/>
      <c r="D210" s="741"/>
      <c r="E210" s="741"/>
      <c r="F210" s="741"/>
      <c r="G210" s="741"/>
      <c r="H210" s="741"/>
      <c r="I210" s="741"/>
      <c r="J210" s="741"/>
      <c r="K210" s="741"/>
      <c r="L210" s="741"/>
      <c r="M210" s="741"/>
      <c r="N210" s="741"/>
      <c r="O210" s="742"/>
      <c r="P210" s="738" t="s">
        <v>40</v>
      </c>
      <c r="Q210" s="739"/>
      <c r="R210" s="739"/>
      <c r="S210" s="739"/>
      <c r="T210" s="739"/>
      <c r="U210" s="739"/>
      <c r="V210" s="740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1"/>
      <c r="B211" s="741"/>
      <c r="C211" s="741"/>
      <c r="D211" s="741"/>
      <c r="E211" s="741"/>
      <c r="F211" s="741"/>
      <c r="G211" s="741"/>
      <c r="H211" s="741"/>
      <c r="I211" s="741"/>
      <c r="J211" s="741"/>
      <c r="K211" s="741"/>
      <c r="L211" s="741"/>
      <c r="M211" s="741"/>
      <c r="N211" s="741"/>
      <c r="O211" s="742"/>
      <c r="P211" s="738" t="s">
        <v>40</v>
      </c>
      <c r="Q211" s="739"/>
      <c r="R211" s="739"/>
      <c r="S211" s="739"/>
      <c r="T211" s="739"/>
      <c r="U211" s="739"/>
      <c r="V211" s="740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0" t="s">
        <v>370</v>
      </c>
      <c r="B212" s="730"/>
      <c r="C212" s="730"/>
      <c r="D212" s="730"/>
      <c r="E212" s="730"/>
      <c r="F212" s="730"/>
      <c r="G212" s="730"/>
      <c r="H212" s="730"/>
      <c r="I212" s="730"/>
      <c r="J212" s="730"/>
      <c r="K212" s="730"/>
      <c r="L212" s="730"/>
      <c r="M212" s="730"/>
      <c r="N212" s="730"/>
      <c r="O212" s="730"/>
      <c r="P212" s="730"/>
      <c r="Q212" s="730"/>
      <c r="R212" s="730"/>
      <c r="S212" s="730"/>
      <c r="T212" s="730"/>
      <c r="U212" s="730"/>
      <c r="V212" s="730"/>
      <c r="W212" s="730"/>
      <c r="X212" s="730"/>
      <c r="Y212" s="730"/>
      <c r="Z212" s="730"/>
      <c r="AA212" s="54"/>
      <c r="AB212" s="54"/>
      <c r="AC212" s="54"/>
    </row>
    <row r="213" spans="1:68" ht="16.5" hidden="1" customHeight="1" x14ac:dyDescent="0.25">
      <c r="A213" s="731" t="s">
        <v>371</v>
      </c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1"/>
      <c r="P213" s="731"/>
      <c r="Q213" s="731"/>
      <c r="R213" s="731"/>
      <c r="S213" s="731"/>
      <c r="T213" s="731"/>
      <c r="U213" s="731"/>
      <c r="V213" s="731"/>
      <c r="W213" s="731"/>
      <c r="X213" s="731"/>
      <c r="Y213" s="731"/>
      <c r="Z213" s="731"/>
      <c r="AA213" s="65"/>
      <c r="AB213" s="65"/>
      <c r="AC213" s="79"/>
    </row>
    <row r="214" spans="1:68" ht="14.25" hidden="1" customHeight="1" x14ac:dyDescent="0.25">
      <c r="A214" s="732" t="s">
        <v>122</v>
      </c>
      <c r="B214" s="732"/>
      <c r="C214" s="732"/>
      <c r="D214" s="732"/>
      <c r="E214" s="732"/>
      <c r="F214" s="732"/>
      <c r="G214" s="732"/>
      <c r="H214" s="732"/>
      <c r="I214" s="732"/>
      <c r="J214" s="732"/>
      <c r="K214" s="732"/>
      <c r="L214" s="732"/>
      <c r="M214" s="732"/>
      <c r="N214" s="732"/>
      <c r="O214" s="732"/>
      <c r="P214" s="732"/>
      <c r="Q214" s="732"/>
      <c r="R214" s="732"/>
      <c r="S214" s="732"/>
      <c r="T214" s="732"/>
      <c r="U214" s="732"/>
      <c r="V214" s="732"/>
      <c r="W214" s="732"/>
      <c r="X214" s="732"/>
      <c r="Y214" s="732"/>
      <c r="Z214" s="73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3">
        <v>4607091383423</v>
      </c>
      <c r="E215" s="73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5"/>
      <c r="R215" s="735"/>
      <c r="S215" s="735"/>
      <c r="T215" s="73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3">
        <v>4680115888760</v>
      </c>
      <c r="E216" s="73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5"/>
      <c r="R216" s="735"/>
      <c r="S216" s="735"/>
      <c r="T216" s="73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3">
        <v>4680115888807</v>
      </c>
      <c r="E217" s="73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5"/>
      <c r="R217" s="735"/>
      <c r="S217" s="735"/>
      <c r="T217" s="73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3">
        <v>4680115888852</v>
      </c>
      <c r="E218" s="73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5"/>
      <c r="R218" s="735"/>
      <c r="S218" s="735"/>
      <c r="T218" s="73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3">
        <v>4680115886957</v>
      </c>
      <c r="E219" s="73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5"/>
      <c r="R219" s="735"/>
      <c r="S219" s="735"/>
      <c r="T219" s="73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3">
        <v>4680115885660</v>
      </c>
      <c r="E220" s="73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5"/>
      <c r="R220" s="735"/>
      <c r="S220" s="735"/>
      <c r="T220" s="73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3">
        <v>4680115886773</v>
      </c>
      <c r="E221" s="73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5"/>
      <c r="R221" s="735"/>
      <c r="S221" s="735"/>
      <c r="T221" s="73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1"/>
      <c r="B222" s="741"/>
      <c r="C222" s="741"/>
      <c r="D222" s="741"/>
      <c r="E222" s="741"/>
      <c r="F222" s="741"/>
      <c r="G222" s="741"/>
      <c r="H222" s="741"/>
      <c r="I222" s="741"/>
      <c r="J222" s="741"/>
      <c r="K222" s="741"/>
      <c r="L222" s="741"/>
      <c r="M222" s="741"/>
      <c r="N222" s="741"/>
      <c r="O222" s="742"/>
      <c r="P222" s="738" t="s">
        <v>40</v>
      </c>
      <c r="Q222" s="739"/>
      <c r="R222" s="739"/>
      <c r="S222" s="739"/>
      <c r="T222" s="739"/>
      <c r="U222" s="739"/>
      <c r="V222" s="740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1"/>
      <c r="B223" s="741"/>
      <c r="C223" s="741"/>
      <c r="D223" s="741"/>
      <c r="E223" s="741"/>
      <c r="F223" s="741"/>
      <c r="G223" s="741"/>
      <c r="H223" s="741"/>
      <c r="I223" s="741"/>
      <c r="J223" s="741"/>
      <c r="K223" s="741"/>
      <c r="L223" s="741"/>
      <c r="M223" s="741"/>
      <c r="N223" s="741"/>
      <c r="O223" s="742"/>
      <c r="P223" s="738" t="s">
        <v>40</v>
      </c>
      <c r="Q223" s="739"/>
      <c r="R223" s="739"/>
      <c r="S223" s="739"/>
      <c r="T223" s="739"/>
      <c r="U223" s="739"/>
      <c r="V223" s="740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1" t="s">
        <v>392</v>
      </c>
      <c r="B224" s="731"/>
      <c r="C224" s="731"/>
      <c r="D224" s="731"/>
      <c r="E224" s="731"/>
      <c r="F224" s="731"/>
      <c r="G224" s="731"/>
      <c r="H224" s="731"/>
      <c r="I224" s="731"/>
      <c r="J224" s="731"/>
      <c r="K224" s="731"/>
      <c r="L224" s="731"/>
      <c r="M224" s="731"/>
      <c r="N224" s="731"/>
      <c r="O224" s="731"/>
      <c r="P224" s="731"/>
      <c r="Q224" s="731"/>
      <c r="R224" s="731"/>
      <c r="S224" s="731"/>
      <c r="T224" s="731"/>
      <c r="U224" s="731"/>
      <c r="V224" s="731"/>
      <c r="W224" s="731"/>
      <c r="X224" s="731"/>
      <c r="Y224" s="731"/>
      <c r="Z224" s="731"/>
      <c r="AA224" s="65"/>
      <c r="AB224" s="65"/>
      <c r="AC224" s="79"/>
    </row>
    <row r="225" spans="1:68" ht="14.25" hidden="1" customHeight="1" x14ac:dyDescent="0.25">
      <c r="A225" s="732" t="s">
        <v>155</v>
      </c>
      <c r="B225" s="732"/>
      <c r="C225" s="732"/>
      <c r="D225" s="732"/>
      <c r="E225" s="732"/>
      <c r="F225" s="732"/>
      <c r="G225" s="732"/>
      <c r="H225" s="732"/>
      <c r="I225" s="732"/>
      <c r="J225" s="732"/>
      <c r="K225" s="732"/>
      <c r="L225" s="732"/>
      <c r="M225" s="732"/>
      <c r="N225" s="732"/>
      <c r="O225" s="732"/>
      <c r="P225" s="732"/>
      <c r="Q225" s="732"/>
      <c r="R225" s="732"/>
      <c r="S225" s="732"/>
      <c r="T225" s="732"/>
      <c r="U225" s="732"/>
      <c r="V225" s="732"/>
      <c r="W225" s="732"/>
      <c r="X225" s="732"/>
      <c r="Y225" s="732"/>
      <c r="Z225" s="73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3">
        <v>4680115886223</v>
      </c>
      <c r="E226" s="73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5"/>
      <c r="R226" s="735"/>
      <c r="S226" s="735"/>
      <c r="T226" s="73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1"/>
      <c r="B227" s="741"/>
      <c r="C227" s="741"/>
      <c r="D227" s="741"/>
      <c r="E227" s="741"/>
      <c r="F227" s="741"/>
      <c r="G227" s="741"/>
      <c r="H227" s="741"/>
      <c r="I227" s="741"/>
      <c r="J227" s="741"/>
      <c r="K227" s="741"/>
      <c r="L227" s="741"/>
      <c r="M227" s="741"/>
      <c r="N227" s="741"/>
      <c r="O227" s="742"/>
      <c r="P227" s="738" t="s">
        <v>40</v>
      </c>
      <c r="Q227" s="739"/>
      <c r="R227" s="739"/>
      <c r="S227" s="739"/>
      <c r="T227" s="739"/>
      <c r="U227" s="739"/>
      <c r="V227" s="740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1"/>
      <c r="B228" s="741"/>
      <c r="C228" s="741"/>
      <c r="D228" s="741"/>
      <c r="E228" s="741"/>
      <c r="F228" s="741"/>
      <c r="G228" s="741"/>
      <c r="H228" s="741"/>
      <c r="I228" s="741"/>
      <c r="J228" s="741"/>
      <c r="K228" s="741"/>
      <c r="L228" s="741"/>
      <c r="M228" s="741"/>
      <c r="N228" s="741"/>
      <c r="O228" s="742"/>
      <c r="P228" s="738" t="s">
        <v>40</v>
      </c>
      <c r="Q228" s="739"/>
      <c r="R228" s="739"/>
      <c r="S228" s="739"/>
      <c r="T228" s="739"/>
      <c r="U228" s="739"/>
      <c r="V228" s="740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2" t="s">
        <v>77</v>
      </c>
      <c r="B229" s="732"/>
      <c r="C229" s="732"/>
      <c r="D229" s="732"/>
      <c r="E229" s="732"/>
      <c r="F229" s="732"/>
      <c r="G229" s="732"/>
      <c r="H229" s="732"/>
      <c r="I229" s="732"/>
      <c r="J229" s="732"/>
      <c r="K229" s="732"/>
      <c r="L229" s="732"/>
      <c r="M229" s="732"/>
      <c r="N229" s="732"/>
      <c r="O229" s="732"/>
      <c r="P229" s="732"/>
      <c r="Q229" s="732"/>
      <c r="R229" s="732"/>
      <c r="S229" s="732"/>
      <c r="T229" s="732"/>
      <c r="U229" s="732"/>
      <c r="V229" s="732"/>
      <c r="W229" s="732"/>
      <c r="X229" s="732"/>
      <c r="Y229" s="732"/>
      <c r="Z229" s="73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733">
        <v>4680115880993</v>
      </c>
      <c r="E230" s="73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5"/>
      <c r="R230" s="735"/>
      <c r="S230" s="735"/>
      <c r="T230" s="73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3">
        <v>4680115881761</v>
      </c>
      <c r="E231" s="73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5"/>
      <c r="R231" s="735"/>
      <c r="S231" s="735"/>
      <c r="T231" s="73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733">
        <v>4680115881563</v>
      </c>
      <c r="E232" s="73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5"/>
      <c r="R232" s="735"/>
      <c r="S232" s="735"/>
      <c r="T232" s="73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3">
        <v>4680115887565</v>
      </c>
      <c r="E233" s="73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5"/>
      <c r="R233" s="735"/>
      <c r="S233" s="735"/>
      <c r="T233" s="73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733">
        <v>4680115880986</v>
      </c>
      <c r="E234" s="73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5"/>
      <c r="R234" s="735"/>
      <c r="S234" s="735"/>
      <c r="T234" s="73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3">
        <v>4680115887213</v>
      </c>
      <c r="E235" s="73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5"/>
      <c r="R235" s="735"/>
      <c r="S235" s="735"/>
      <c r="T235" s="73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733">
        <v>4680115881785</v>
      </c>
      <c r="E236" s="73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5"/>
      <c r="R236" s="735"/>
      <c r="S236" s="735"/>
      <c r="T236" s="73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3">
        <v>4680115888432</v>
      </c>
      <c r="E237" s="73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5"/>
      <c r="R237" s="735"/>
      <c r="S237" s="735"/>
      <c r="T237" s="73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3">
        <v>4680115888104</v>
      </c>
      <c r="E238" s="73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5"/>
      <c r="R238" s="735"/>
      <c r="S238" s="735"/>
      <c r="T238" s="73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3">
        <v>4680115886537</v>
      </c>
      <c r="E239" s="73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5"/>
      <c r="R239" s="735"/>
      <c r="S239" s="735"/>
      <c r="T239" s="73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3">
        <v>4680115887596</v>
      </c>
      <c r="E240" s="73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5"/>
      <c r="R240" s="735"/>
      <c r="S240" s="735"/>
      <c r="T240" s="73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733">
        <v>4680115881679</v>
      </c>
      <c r="E241" s="73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5"/>
      <c r="R241" s="735"/>
      <c r="S241" s="735"/>
      <c r="T241" s="73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3">
        <v>4680115880191</v>
      </c>
      <c r="E242" s="73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5"/>
      <c r="R242" s="735"/>
      <c r="S242" s="735"/>
      <c r="T242" s="73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3">
        <v>4680115883963</v>
      </c>
      <c r="E243" s="73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5"/>
      <c r="R243" s="735"/>
      <c r="S243" s="735"/>
      <c r="T243" s="73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741"/>
      <c r="B244" s="741"/>
      <c r="C244" s="741"/>
      <c r="D244" s="741"/>
      <c r="E244" s="741"/>
      <c r="F244" s="741"/>
      <c r="G244" s="741"/>
      <c r="H244" s="741"/>
      <c r="I244" s="741"/>
      <c r="J244" s="741"/>
      <c r="K244" s="741"/>
      <c r="L244" s="741"/>
      <c r="M244" s="741"/>
      <c r="N244" s="741"/>
      <c r="O244" s="742"/>
      <c r="P244" s="738" t="s">
        <v>40</v>
      </c>
      <c r="Q244" s="739"/>
      <c r="R244" s="739"/>
      <c r="S244" s="739"/>
      <c r="T244" s="739"/>
      <c r="U244" s="739"/>
      <c r="V244" s="740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741"/>
      <c r="B245" s="741"/>
      <c r="C245" s="741"/>
      <c r="D245" s="741"/>
      <c r="E245" s="741"/>
      <c r="F245" s="741"/>
      <c r="G245" s="741"/>
      <c r="H245" s="741"/>
      <c r="I245" s="741"/>
      <c r="J245" s="741"/>
      <c r="K245" s="741"/>
      <c r="L245" s="741"/>
      <c r="M245" s="741"/>
      <c r="N245" s="741"/>
      <c r="O245" s="742"/>
      <c r="P245" s="738" t="s">
        <v>40</v>
      </c>
      <c r="Q245" s="739"/>
      <c r="R245" s="739"/>
      <c r="S245" s="739"/>
      <c r="T245" s="739"/>
      <c r="U245" s="739"/>
      <c r="V245" s="740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732" t="s">
        <v>86</v>
      </c>
      <c r="B246" s="732"/>
      <c r="C246" s="732"/>
      <c r="D246" s="732"/>
      <c r="E246" s="732"/>
      <c r="F246" s="732"/>
      <c r="G246" s="732"/>
      <c r="H246" s="732"/>
      <c r="I246" s="732"/>
      <c r="J246" s="732"/>
      <c r="K246" s="732"/>
      <c r="L246" s="732"/>
      <c r="M246" s="732"/>
      <c r="N246" s="732"/>
      <c r="O246" s="732"/>
      <c r="P246" s="732"/>
      <c r="Q246" s="732"/>
      <c r="R246" s="732"/>
      <c r="S246" s="732"/>
      <c r="T246" s="732"/>
      <c r="U246" s="732"/>
      <c r="V246" s="732"/>
      <c r="W246" s="732"/>
      <c r="X246" s="732"/>
      <c r="Y246" s="732"/>
      <c r="Z246" s="73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3">
        <v>4680115888692</v>
      </c>
      <c r="E247" s="73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6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5"/>
      <c r="R247" s="735"/>
      <c r="S247" s="735"/>
      <c r="T247" s="736"/>
      <c r="U247" s="39" t="s">
        <v>46</v>
      </c>
      <c r="V247" s="39" t="s">
        <v>46</v>
      </c>
      <c r="W247" s="40" t="s">
        <v>0</v>
      </c>
      <c r="X247" s="58"/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3">
        <v>4680115888722</v>
      </c>
      <c r="E248" s="73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5"/>
      <c r="R248" s="735"/>
      <c r="S248" s="735"/>
      <c r="T248" s="736"/>
      <c r="U248" s="39" t="s">
        <v>46</v>
      </c>
      <c r="V248" s="39" t="s">
        <v>46</v>
      </c>
      <c r="W248" s="40" t="s">
        <v>0</v>
      </c>
      <c r="X248" s="58"/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3">
        <v>4680115888951</v>
      </c>
      <c r="E249" s="73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5"/>
      <c r="R249" s="735"/>
      <c r="S249" s="735"/>
      <c r="T249" s="73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3">
        <v>4680115888975</v>
      </c>
      <c r="E250" s="73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5"/>
      <c r="R250" s="735"/>
      <c r="S250" s="735"/>
      <c r="T250" s="73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3">
        <v>4680115888982</v>
      </c>
      <c r="E251" s="73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5"/>
      <c r="R251" s="735"/>
      <c r="S251" s="735"/>
      <c r="T251" s="73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1"/>
      <c r="B252" s="741"/>
      <c r="C252" s="741"/>
      <c r="D252" s="741"/>
      <c r="E252" s="741"/>
      <c r="F252" s="741"/>
      <c r="G252" s="741"/>
      <c r="H252" s="741"/>
      <c r="I252" s="741"/>
      <c r="J252" s="741"/>
      <c r="K252" s="741"/>
      <c r="L252" s="741"/>
      <c r="M252" s="741"/>
      <c r="N252" s="741"/>
      <c r="O252" s="742"/>
      <c r="P252" s="738" t="s">
        <v>40</v>
      </c>
      <c r="Q252" s="739"/>
      <c r="R252" s="739"/>
      <c r="S252" s="739"/>
      <c r="T252" s="739"/>
      <c r="U252" s="739"/>
      <c r="V252" s="740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1"/>
      <c r="B253" s="741"/>
      <c r="C253" s="741"/>
      <c r="D253" s="741"/>
      <c r="E253" s="741"/>
      <c r="F253" s="741"/>
      <c r="G253" s="741"/>
      <c r="H253" s="741"/>
      <c r="I253" s="741"/>
      <c r="J253" s="741"/>
      <c r="K253" s="741"/>
      <c r="L253" s="741"/>
      <c r="M253" s="741"/>
      <c r="N253" s="741"/>
      <c r="O253" s="742"/>
      <c r="P253" s="738" t="s">
        <v>40</v>
      </c>
      <c r="Q253" s="739"/>
      <c r="R253" s="739"/>
      <c r="S253" s="739"/>
      <c r="T253" s="739"/>
      <c r="U253" s="739"/>
      <c r="V253" s="740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2" t="s">
        <v>294</v>
      </c>
      <c r="B254" s="732"/>
      <c r="C254" s="732"/>
      <c r="D254" s="732"/>
      <c r="E254" s="732"/>
      <c r="F254" s="732"/>
      <c r="G254" s="732"/>
      <c r="H254" s="732"/>
      <c r="I254" s="732"/>
      <c r="J254" s="732"/>
      <c r="K254" s="732"/>
      <c r="L254" s="732"/>
      <c r="M254" s="732"/>
      <c r="N254" s="732"/>
      <c r="O254" s="732"/>
      <c r="P254" s="732"/>
      <c r="Q254" s="732"/>
      <c r="R254" s="732"/>
      <c r="S254" s="732"/>
      <c r="T254" s="732"/>
      <c r="U254" s="732"/>
      <c r="V254" s="732"/>
      <c r="W254" s="732"/>
      <c r="X254" s="732"/>
      <c r="Y254" s="732"/>
      <c r="Z254" s="73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3">
        <v>4680115886780</v>
      </c>
      <c r="E255" s="73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5"/>
      <c r="R255" s="735"/>
      <c r="S255" s="735"/>
      <c r="T255" s="73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3">
        <v>4680115886742</v>
      </c>
      <c r="E256" s="73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5"/>
      <c r="R256" s="735"/>
      <c r="S256" s="735"/>
      <c r="T256" s="73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3">
        <v>4680115886766</v>
      </c>
      <c r="E257" s="73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5"/>
      <c r="R257" s="735"/>
      <c r="S257" s="735"/>
      <c r="T257" s="73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1"/>
      <c r="B258" s="741"/>
      <c r="C258" s="741"/>
      <c r="D258" s="741"/>
      <c r="E258" s="741"/>
      <c r="F258" s="741"/>
      <c r="G258" s="741"/>
      <c r="H258" s="741"/>
      <c r="I258" s="741"/>
      <c r="J258" s="741"/>
      <c r="K258" s="741"/>
      <c r="L258" s="741"/>
      <c r="M258" s="741"/>
      <c r="N258" s="741"/>
      <c r="O258" s="742"/>
      <c r="P258" s="738" t="s">
        <v>40</v>
      </c>
      <c r="Q258" s="739"/>
      <c r="R258" s="739"/>
      <c r="S258" s="739"/>
      <c r="T258" s="739"/>
      <c r="U258" s="739"/>
      <c r="V258" s="740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1"/>
      <c r="B259" s="741"/>
      <c r="C259" s="741"/>
      <c r="D259" s="741"/>
      <c r="E259" s="741"/>
      <c r="F259" s="741"/>
      <c r="G259" s="741"/>
      <c r="H259" s="741"/>
      <c r="I259" s="741"/>
      <c r="J259" s="741"/>
      <c r="K259" s="741"/>
      <c r="L259" s="741"/>
      <c r="M259" s="741"/>
      <c r="N259" s="741"/>
      <c r="O259" s="742"/>
      <c r="P259" s="738" t="s">
        <v>40</v>
      </c>
      <c r="Q259" s="739"/>
      <c r="R259" s="739"/>
      <c r="S259" s="739"/>
      <c r="T259" s="739"/>
      <c r="U259" s="739"/>
      <c r="V259" s="740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2" t="s">
        <v>456</v>
      </c>
      <c r="B260" s="732"/>
      <c r="C260" s="732"/>
      <c r="D260" s="732"/>
      <c r="E260" s="732"/>
      <c r="F260" s="732"/>
      <c r="G260" s="732"/>
      <c r="H260" s="732"/>
      <c r="I260" s="732"/>
      <c r="J260" s="732"/>
      <c r="K260" s="732"/>
      <c r="L260" s="732"/>
      <c r="M260" s="732"/>
      <c r="N260" s="732"/>
      <c r="O260" s="732"/>
      <c r="P260" s="732"/>
      <c r="Q260" s="732"/>
      <c r="R260" s="732"/>
      <c r="S260" s="732"/>
      <c r="T260" s="732"/>
      <c r="U260" s="732"/>
      <c r="V260" s="732"/>
      <c r="W260" s="732"/>
      <c r="X260" s="732"/>
      <c r="Y260" s="732"/>
      <c r="Z260" s="73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3">
        <v>4680115886797</v>
      </c>
      <c r="E261" s="73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5"/>
      <c r="R261" s="735"/>
      <c r="S261" s="735"/>
      <c r="T261" s="73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1"/>
      <c r="B262" s="741"/>
      <c r="C262" s="741"/>
      <c r="D262" s="741"/>
      <c r="E262" s="741"/>
      <c r="F262" s="741"/>
      <c r="G262" s="741"/>
      <c r="H262" s="741"/>
      <c r="I262" s="741"/>
      <c r="J262" s="741"/>
      <c r="K262" s="741"/>
      <c r="L262" s="741"/>
      <c r="M262" s="741"/>
      <c r="N262" s="741"/>
      <c r="O262" s="742"/>
      <c r="P262" s="738" t="s">
        <v>40</v>
      </c>
      <c r="Q262" s="739"/>
      <c r="R262" s="739"/>
      <c r="S262" s="739"/>
      <c r="T262" s="739"/>
      <c r="U262" s="739"/>
      <c r="V262" s="740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1"/>
      <c r="B263" s="741"/>
      <c r="C263" s="741"/>
      <c r="D263" s="741"/>
      <c r="E263" s="741"/>
      <c r="F263" s="741"/>
      <c r="G263" s="741"/>
      <c r="H263" s="741"/>
      <c r="I263" s="741"/>
      <c r="J263" s="741"/>
      <c r="K263" s="741"/>
      <c r="L263" s="741"/>
      <c r="M263" s="741"/>
      <c r="N263" s="741"/>
      <c r="O263" s="742"/>
      <c r="P263" s="738" t="s">
        <v>40</v>
      </c>
      <c r="Q263" s="739"/>
      <c r="R263" s="739"/>
      <c r="S263" s="739"/>
      <c r="T263" s="739"/>
      <c r="U263" s="739"/>
      <c r="V263" s="740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1" t="s">
        <v>459</v>
      </c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1"/>
      <c r="P264" s="731"/>
      <c r="Q264" s="731"/>
      <c r="R264" s="731"/>
      <c r="S264" s="731"/>
      <c r="T264" s="731"/>
      <c r="U264" s="731"/>
      <c r="V264" s="731"/>
      <c r="W264" s="731"/>
      <c r="X264" s="731"/>
      <c r="Y264" s="731"/>
      <c r="Z264" s="731"/>
      <c r="AA264" s="65"/>
      <c r="AB264" s="65"/>
      <c r="AC264" s="79"/>
    </row>
    <row r="265" spans="1:68" ht="14.25" hidden="1" customHeight="1" x14ac:dyDescent="0.25">
      <c r="A265" s="732" t="s">
        <v>122</v>
      </c>
      <c r="B265" s="732"/>
      <c r="C265" s="732"/>
      <c r="D265" s="732"/>
      <c r="E265" s="732"/>
      <c r="F265" s="732"/>
      <c r="G265" s="732"/>
      <c r="H265" s="732"/>
      <c r="I265" s="732"/>
      <c r="J265" s="732"/>
      <c r="K265" s="732"/>
      <c r="L265" s="732"/>
      <c r="M265" s="732"/>
      <c r="N265" s="732"/>
      <c r="O265" s="732"/>
      <c r="P265" s="732"/>
      <c r="Q265" s="732"/>
      <c r="R265" s="732"/>
      <c r="S265" s="732"/>
      <c r="T265" s="732"/>
      <c r="U265" s="732"/>
      <c r="V265" s="732"/>
      <c r="W265" s="732"/>
      <c r="X265" s="732"/>
      <c r="Y265" s="732"/>
      <c r="Z265" s="73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3">
        <v>4680115881402</v>
      </c>
      <c r="E266" s="73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5"/>
      <c r="R266" s="735"/>
      <c r="S266" s="735"/>
      <c r="T266" s="73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3">
        <v>4680115881396</v>
      </c>
      <c r="E267" s="73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5"/>
      <c r="R267" s="735"/>
      <c r="S267" s="735"/>
      <c r="T267" s="73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1"/>
      <c r="B268" s="741"/>
      <c r="C268" s="741"/>
      <c r="D268" s="741"/>
      <c r="E268" s="741"/>
      <c r="F268" s="741"/>
      <c r="G268" s="741"/>
      <c r="H268" s="741"/>
      <c r="I268" s="741"/>
      <c r="J268" s="741"/>
      <c r="K268" s="741"/>
      <c r="L268" s="741"/>
      <c r="M268" s="741"/>
      <c r="N268" s="741"/>
      <c r="O268" s="742"/>
      <c r="P268" s="738" t="s">
        <v>40</v>
      </c>
      <c r="Q268" s="739"/>
      <c r="R268" s="739"/>
      <c r="S268" s="739"/>
      <c r="T268" s="739"/>
      <c r="U268" s="739"/>
      <c r="V268" s="74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1"/>
      <c r="B269" s="741"/>
      <c r="C269" s="741"/>
      <c r="D269" s="741"/>
      <c r="E269" s="741"/>
      <c r="F269" s="741"/>
      <c r="G269" s="741"/>
      <c r="H269" s="741"/>
      <c r="I269" s="741"/>
      <c r="J269" s="741"/>
      <c r="K269" s="741"/>
      <c r="L269" s="741"/>
      <c r="M269" s="741"/>
      <c r="N269" s="741"/>
      <c r="O269" s="742"/>
      <c r="P269" s="738" t="s">
        <v>40</v>
      </c>
      <c r="Q269" s="739"/>
      <c r="R269" s="739"/>
      <c r="S269" s="739"/>
      <c r="T269" s="739"/>
      <c r="U269" s="739"/>
      <c r="V269" s="74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2" t="s">
        <v>155</v>
      </c>
      <c r="B270" s="732"/>
      <c r="C270" s="732"/>
      <c r="D270" s="732"/>
      <c r="E270" s="732"/>
      <c r="F270" s="732"/>
      <c r="G270" s="732"/>
      <c r="H270" s="732"/>
      <c r="I270" s="732"/>
      <c r="J270" s="732"/>
      <c r="K270" s="732"/>
      <c r="L270" s="732"/>
      <c r="M270" s="732"/>
      <c r="N270" s="732"/>
      <c r="O270" s="732"/>
      <c r="P270" s="732"/>
      <c r="Q270" s="732"/>
      <c r="R270" s="732"/>
      <c r="S270" s="732"/>
      <c r="T270" s="732"/>
      <c r="U270" s="732"/>
      <c r="V270" s="732"/>
      <c r="W270" s="732"/>
      <c r="X270" s="732"/>
      <c r="Y270" s="732"/>
      <c r="Z270" s="73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3">
        <v>4680115882935</v>
      </c>
      <c r="E271" s="73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5"/>
      <c r="R271" s="735"/>
      <c r="S271" s="735"/>
      <c r="T271" s="73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3">
        <v>4680115880764</v>
      </c>
      <c r="E272" s="73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5"/>
      <c r="R272" s="735"/>
      <c r="S272" s="735"/>
      <c r="T272" s="73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1"/>
      <c r="B273" s="741"/>
      <c r="C273" s="741"/>
      <c r="D273" s="741"/>
      <c r="E273" s="741"/>
      <c r="F273" s="741"/>
      <c r="G273" s="741"/>
      <c r="H273" s="741"/>
      <c r="I273" s="741"/>
      <c r="J273" s="741"/>
      <c r="K273" s="741"/>
      <c r="L273" s="741"/>
      <c r="M273" s="741"/>
      <c r="N273" s="741"/>
      <c r="O273" s="742"/>
      <c r="P273" s="738" t="s">
        <v>40</v>
      </c>
      <c r="Q273" s="739"/>
      <c r="R273" s="739"/>
      <c r="S273" s="739"/>
      <c r="T273" s="739"/>
      <c r="U273" s="739"/>
      <c r="V273" s="740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1"/>
      <c r="B274" s="741"/>
      <c r="C274" s="741"/>
      <c r="D274" s="741"/>
      <c r="E274" s="741"/>
      <c r="F274" s="741"/>
      <c r="G274" s="741"/>
      <c r="H274" s="741"/>
      <c r="I274" s="741"/>
      <c r="J274" s="741"/>
      <c r="K274" s="741"/>
      <c r="L274" s="741"/>
      <c r="M274" s="741"/>
      <c r="N274" s="741"/>
      <c r="O274" s="742"/>
      <c r="P274" s="738" t="s">
        <v>40</v>
      </c>
      <c r="Q274" s="739"/>
      <c r="R274" s="739"/>
      <c r="S274" s="739"/>
      <c r="T274" s="739"/>
      <c r="U274" s="739"/>
      <c r="V274" s="740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2" t="s">
        <v>77</v>
      </c>
      <c r="B275" s="732"/>
      <c r="C275" s="732"/>
      <c r="D275" s="732"/>
      <c r="E275" s="732"/>
      <c r="F275" s="732"/>
      <c r="G275" s="732"/>
      <c r="H275" s="732"/>
      <c r="I275" s="732"/>
      <c r="J275" s="732"/>
      <c r="K275" s="732"/>
      <c r="L275" s="732"/>
      <c r="M275" s="732"/>
      <c r="N275" s="732"/>
      <c r="O275" s="732"/>
      <c r="P275" s="732"/>
      <c r="Q275" s="732"/>
      <c r="R275" s="732"/>
      <c r="S275" s="732"/>
      <c r="T275" s="732"/>
      <c r="U275" s="732"/>
      <c r="V275" s="732"/>
      <c r="W275" s="732"/>
      <c r="X275" s="732"/>
      <c r="Y275" s="732"/>
      <c r="Z275" s="73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3">
        <v>4680115882683</v>
      </c>
      <c r="E276" s="73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5"/>
      <c r="R276" s="735"/>
      <c r="S276" s="735"/>
      <c r="T276" s="736"/>
      <c r="U276" s="39" t="s">
        <v>46</v>
      </c>
      <c r="V276" s="39" t="s">
        <v>46</v>
      </c>
      <c r="W276" s="40" t="s">
        <v>0</v>
      </c>
      <c r="X276" s="58">
        <v>80</v>
      </c>
      <c r="Y276" s="55">
        <f t="shared" ref="Y276:Y283" si="45">IFERROR(IF(X276="",0,CEILING((X276/$H276),1)*$H276),"")</f>
        <v>81</v>
      </c>
      <c r="Z276" s="41">
        <f>IFERROR(IF(Y276=0,"",ROUNDUP(Y276/H276,0)*0.00902),"")</f>
        <v>0.1353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82.81481481481481</v>
      </c>
      <c r="BN276" s="78">
        <f t="shared" ref="BN276:BN283" si="47">IFERROR(Y276*I276/H276,"0")</f>
        <v>83.85</v>
      </c>
      <c r="BO276" s="78">
        <f t="shared" ref="BO276:BO283" si="48">IFERROR(1/J276*(X276/H276),"0")</f>
        <v>0.11223344556677889</v>
      </c>
      <c r="BP276" s="78">
        <f t="shared" ref="BP276:BP283" si="49">IFERROR(1/J276*(Y276/H276),"0")</f>
        <v>0.11363636363636363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733">
        <v>4680115882690</v>
      </c>
      <c r="E277" s="73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5"/>
      <c r="R277" s="735"/>
      <c r="S277" s="735"/>
      <c r="T277" s="736"/>
      <c r="U277" s="39" t="s">
        <v>46</v>
      </c>
      <c r="V277" s="39" t="s">
        <v>46</v>
      </c>
      <c r="W277" s="40" t="s">
        <v>0</v>
      </c>
      <c r="X277" s="58">
        <v>25</v>
      </c>
      <c r="Y277" s="55">
        <f t="shared" si="45"/>
        <v>27</v>
      </c>
      <c r="Z277" s="41">
        <f>IFERROR(IF(Y277=0,"",ROUNDUP(Y277/H277,0)*0.00902),"")</f>
        <v>4.5100000000000001E-2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25.879629629629626</v>
      </c>
      <c r="BN277" s="78">
        <f t="shared" si="47"/>
        <v>27.95</v>
      </c>
      <c r="BO277" s="78">
        <f t="shared" si="48"/>
        <v>3.5072951739618406E-2</v>
      </c>
      <c r="BP277" s="78">
        <f t="shared" si="49"/>
        <v>3.787878787878788E-2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3">
        <v>4680115882669</v>
      </c>
      <c r="E278" s="73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5"/>
      <c r="R278" s="735"/>
      <c r="S278" s="735"/>
      <c r="T278" s="736"/>
      <c r="U278" s="39" t="s">
        <v>46</v>
      </c>
      <c r="V278" s="39" t="s">
        <v>46</v>
      </c>
      <c r="W278" s="40" t="s">
        <v>0</v>
      </c>
      <c r="X278" s="58">
        <v>30</v>
      </c>
      <c r="Y278" s="55">
        <f t="shared" si="45"/>
        <v>32.400000000000006</v>
      </c>
      <c r="Z278" s="41">
        <f>IFERROR(IF(Y278=0,"",ROUNDUP(Y278/H278,0)*0.00902),"")</f>
        <v>5.4120000000000001E-2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31.05555555555555</v>
      </c>
      <c r="BN278" s="78">
        <f t="shared" si="47"/>
        <v>33.54</v>
      </c>
      <c r="BO278" s="78">
        <f t="shared" si="48"/>
        <v>4.208754208754209E-2</v>
      </c>
      <c r="BP278" s="78">
        <f t="shared" si="49"/>
        <v>4.5454545454545463E-2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733">
        <v>4680115882676</v>
      </c>
      <c r="E279" s="73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5"/>
      <c r="R279" s="735"/>
      <c r="S279" s="735"/>
      <c r="T279" s="736"/>
      <c r="U279" s="39" t="s">
        <v>46</v>
      </c>
      <c r="V279" s="39" t="s">
        <v>46</v>
      </c>
      <c r="W279" s="40" t="s">
        <v>0</v>
      </c>
      <c r="X279" s="58">
        <v>80</v>
      </c>
      <c r="Y279" s="55">
        <f t="shared" si="45"/>
        <v>81</v>
      </c>
      <c r="Z279" s="41">
        <f>IFERROR(IF(Y279=0,"",ROUNDUP(Y279/H279,0)*0.00902),"")</f>
        <v>0.1353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82.81481481481481</v>
      </c>
      <c r="BN279" s="78">
        <f t="shared" si="47"/>
        <v>83.85</v>
      </c>
      <c r="BO279" s="78">
        <f t="shared" si="48"/>
        <v>0.11223344556677889</v>
      </c>
      <c r="BP279" s="78">
        <f t="shared" si="49"/>
        <v>0.11363636363636363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733">
        <v>4680115884014</v>
      </c>
      <c r="E280" s="73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5"/>
      <c r="R280" s="735"/>
      <c r="S280" s="735"/>
      <c r="T280" s="73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733">
        <v>4680115884007</v>
      </c>
      <c r="E281" s="73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5"/>
      <c r="R281" s="735"/>
      <c r="S281" s="735"/>
      <c r="T281" s="73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733">
        <v>4680115884038</v>
      </c>
      <c r="E282" s="73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5"/>
      <c r="R282" s="735"/>
      <c r="S282" s="735"/>
      <c r="T282" s="73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733">
        <v>4680115884021</v>
      </c>
      <c r="E283" s="73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8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5"/>
      <c r="R283" s="735"/>
      <c r="S283" s="735"/>
      <c r="T283" s="73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741"/>
      <c r="B284" s="741"/>
      <c r="C284" s="741"/>
      <c r="D284" s="741"/>
      <c r="E284" s="741"/>
      <c r="F284" s="741"/>
      <c r="G284" s="741"/>
      <c r="H284" s="741"/>
      <c r="I284" s="741"/>
      <c r="J284" s="741"/>
      <c r="K284" s="741"/>
      <c r="L284" s="741"/>
      <c r="M284" s="741"/>
      <c r="N284" s="741"/>
      <c r="O284" s="742"/>
      <c r="P284" s="738" t="s">
        <v>40</v>
      </c>
      <c r="Q284" s="739"/>
      <c r="R284" s="739"/>
      <c r="S284" s="739"/>
      <c r="T284" s="739"/>
      <c r="U284" s="739"/>
      <c r="V284" s="740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39.81481481481481</v>
      </c>
      <c r="Y284" s="43">
        <f>IFERROR(Y276/H276,"0")+IFERROR(Y277/H277,"0")+IFERROR(Y278/H278,"0")+IFERROR(Y279/H279,"0")+IFERROR(Y280/H280,"0")+IFERROR(Y281/H281,"0")+IFERROR(Y282/H282,"0")+IFERROR(Y283/H283,"0")</f>
        <v>41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0.36982000000000004</v>
      </c>
      <c r="AA284" s="67"/>
      <c r="AB284" s="67"/>
      <c r="AC284" s="67"/>
    </row>
    <row r="285" spans="1:68" x14ac:dyDescent="0.2">
      <c r="A285" s="741"/>
      <c r="B285" s="741"/>
      <c r="C285" s="741"/>
      <c r="D285" s="741"/>
      <c r="E285" s="741"/>
      <c r="F285" s="741"/>
      <c r="G285" s="741"/>
      <c r="H285" s="741"/>
      <c r="I285" s="741"/>
      <c r="J285" s="741"/>
      <c r="K285" s="741"/>
      <c r="L285" s="741"/>
      <c r="M285" s="741"/>
      <c r="N285" s="741"/>
      <c r="O285" s="742"/>
      <c r="P285" s="738" t="s">
        <v>40</v>
      </c>
      <c r="Q285" s="739"/>
      <c r="R285" s="739"/>
      <c r="S285" s="739"/>
      <c r="T285" s="739"/>
      <c r="U285" s="739"/>
      <c r="V285" s="740"/>
      <c r="W285" s="42" t="s">
        <v>0</v>
      </c>
      <c r="X285" s="43">
        <f>IFERROR(SUM(X276:X283),"0")</f>
        <v>215</v>
      </c>
      <c r="Y285" s="43">
        <f>IFERROR(SUM(Y276:Y283),"0")</f>
        <v>221.4</v>
      </c>
      <c r="Z285" s="42"/>
      <c r="AA285" s="67"/>
      <c r="AB285" s="67"/>
      <c r="AC285" s="67"/>
    </row>
    <row r="286" spans="1:68" ht="14.25" hidden="1" customHeight="1" x14ac:dyDescent="0.25">
      <c r="A286" s="732" t="s">
        <v>86</v>
      </c>
      <c r="B286" s="732"/>
      <c r="C286" s="732"/>
      <c r="D286" s="732"/>
      <c r="E286" s="732"/>
      <c r="F286" s="732"/>
      <c r="G286" s="732"/>
      <c r="H286" s="732"/>
      <c r="I286" s="732"/>
      <c r="J286" s="732"/>
      <c r="K286" s="732"/>
      <c r="L286" s="732"/>
      <c r="M286" s="732"/>
      <c r="N286" s="732"/>
      <c r="O286" s="732"/>
      <c r="P286" s="732"/>
      <c r="Q286" s="732"/>
      <c r="R286" s="732"/>
      <c r="S286" s="732"/>
      <c r="T286" s="732"/>
      <c r="U286" s="732"/>
      <c r="V286" s="732"/>
      <c r="W286" s="732"/>
      <c r="X286" s="732"/>
      <c r="Y286" s="732"/>
      <c r="Z286" s="73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3">
        <v>4680115881594</v>
      </c>
      <c r="E287" s="73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5"/>
      <c r="R287" s="735"/>
      <c r="S287" s="735"/>
      <c r="T287" s="736"/>
      <c r="U287" s="39" t="s">
        <v>46</v>
      </c>
      <c r="V287" s="39" t="s">
        <v>46</v>
      </c>
      <c r="W287" s="40" t="s">
        <v>0</v>
      </c>
      <c r="X287" s="58"/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733">
        <v>4680115881617</v>
      </c>
      <c r="E288" s="73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5"/>
      <c r="R288" s="735"/>
      <c r="S288" s="735"/>
      <c r="T288" s="736"/>
      <c r="U288" s="39" t="s">
        <v>46</v>
      </c>
      <c r="V288" s="39" t="s">
        <v>46</v>
      </c>
      <c r="W288" s="40" t="s">
        <v>0</v>
      </c>
      <c r="X288" s="58">
        <v>15</v>
      </c>
      <c r="Y288" s="55">
        <f t="shared" si="50"/>
        <v>16.2</v>
      </c>
      <c r="Z288" s="41">
        <f>IFERROR(IF(Y288=0,"",ROUNDUP(Y288/H288,0)*0.01898),"")</f>
        <v>3.7960000000000001E-2</v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15.881481481481485</v>
      </c>
      <c r="BN288" s="78">
        <f t="shared" si="52"/>
        <v>17.152000000000001</v>
      </c>
      <c r="BO288" s="78">
        <f t="shared" si="53"/>
        <v>2.8935185185185185E-2</v>
      </c>
      <c r="BP288" s="78">
        <f t="shared" si="54"/>
        <v>3.125E-2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733">
        <v>4680115880573</v>
      </c>
      <c r="E289" s="73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5"/>
      <c r="R289" s="735"/>
      <c r="S289" s="735"/>
      <c r="T289" s="73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733">
        <v>4680115882195</v>
      </c>
      <c r="E290" s="73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5"/>
      <c r="R290" s="735"/>
      <c r="S290" s="735"/>
      <c r="T290" s="736"/>
      <c r="U290" s="39" t="s">
        <v>46</v>
      </c>
      <c r="V290" s="39" t="s">
        <v>46</v>
      </c>
      <c r="W290" s="40" t="s">
        <v>0</v>
      </c>
      <c r="X290" s="58"/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3">
        <v>4680115882607</v>
      </c>
      <c r="E291" s="73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5"/>
      <c r="R291" s="735"/>
      <c r="S291" s="735"/>
      <c r="T291" s="73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3">
        <v>4680115882607</v>
      </c>
      <c r="E292" s="73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5"/>
      <c r="R292" s="735"/>
      <c r="S292" s="735"/>
      <c r="T292" s="73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733">
        <v>4680115880092</v>
      </c>
      <c r="E293" s="73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5"/>
      <c r="R293" s="735"/>
      <c r="S293" s="735"/>
      <c r="T293" s="736"/>
      <c r="U293" s="39" t="s">
        <v>46</v>
      </c>
      <c r="V293" s="39" t="s">
        <v>46</v>
      </c>
      <c r="W293" s="40" t="s">
        <v>0</v>
      </c>
      <c r="X293" s="58"/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3">
        <v>4680115889064</v>
      </c>
      <c r="E294" s="73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5"/>
      <c r="R294" s="735"/>
      <c r="S294" s="735"/>
      <c r="T294" s="73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3">
        <v>4680115880221</v>
      </c>
      <c r="E295" s="73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5"/>
      <c r="R295" s="735"/>
      <c r="S295" s="735"/>
      <c r="T295" s="73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3">
        <v>4680115880504</v>
      </c>
      <c r="E296" s="73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5"/>
      <c r="R296" s="735"/>
      <c r="S296" s="735"/>
      <c r="T296" s="73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733">
        <v>4680115882164</v>
      </c>
      <c r="E297" s="73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5"/>
      <c r="R297" s="735"/>
      <c r="S297" s="735"/>
      <c r="T297" s="73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3">
        <v>4680115888340</v>
      </c>
      <c r="E298" s="73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5"/>
      <c r="R298" s="735"/>
      <c r="S298" s="735"/>
      <c r="T298" s="73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741"/>
      <c r="B299" s="741"/>
      <c r="C299" s="741"/>
      <c r="D299" s="741"/>
      <c r="E299" s="741"/>
      <c r="F299" s="741"/>
      <c r="G299" s="741"/>
      <c r="H299" s="741"/>
      <c r="I299" s="741"/>
      <c r="J299" s="741"/>
      <c r="K299" s="741"/>
      <c r="L299" s="741"/>
      <c r="M299" s="741"/>
      <c r="N299" s="741"/>
      <c r="O299" s="742"/>
      <c r="P299" s="738" t="s">
        <v>40</v>
      </c>
      <c r="Q299" s="739"/>
      <c r="R299" s="739"/>
      <c r="S299" s="739"/>
      <c r="T299" s="739"/>
      <c r="U299" s="739"/>
      <c r="V299" s="740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1.8518518518518519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2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3.7960000000000001E-2</v>
      </c>
      <c r="AA299" s="67"/>
      <c r="AB299" s="67"/>
      <c r="AC299" s="67"/>
    </row>
    <row r="300" spans="1:68" x14ac:dyDescent="0.2">
      <c r="A300" s="741"/>
      <c r="B300" s="741"/>
      <c r="C300" s="741"/>
      <c r="D300" s="741"/>
      <c r="E300" s="741"/>
      <c r="F300" s="741"/>
      <c r="G300" s="741"/>
      <c r="H300" s="741"/>
      <c r="I300" s="741"/>
      <c r="J300" s="741"/>
      <c r="K300" s="741"/>
      <c r="L300" s="741"/>
      <c r="M300" s="741"/>
      <c r="N300" s="741"/>
      <c r="O300" s="742"/>
      <c r="P300" s="738" t="s">
        <v>40</v>
      </c>
      <c r="Q300" s="739"/>
      <c r="R300" s="739"/>
      <c r="S300" s="739"/>
      <c r="T300" s="739"/>
      <c r="U300" s="739"/>
      <c r="V300" s="740"/>
      <c r="W300" s="42" t="s">
        <v>0</v>
      </c>
      <c r="X300" s="43">
        <f>IFERROR(SUM(X287:X298),"0")</f>
        <v>15</v>
      </c>
      <c r="Y300" s="43">
        <f>IFERROR(SUM(Y287:Y298),"0")</f>
        <v>16.2</v>
      </c>
      <c r="Z300" s="42"/>
      <c r="AA300" s="67"/>
      <c r="AB300" s="67"/>
      <c r="AC300" s="67"/>
    </row>
    <row r="301" spans="1:68" ht="14.25" hidden="1" customHeight="1" x14ac:dyDescent="0.25">
      <c r="A301" s="732" t="s">
        <v>173</v>
      </c>
      <c r="B301" s="732"/>
      <c r="C301" s="732"/>
      <c r="D301" s="732"/>
      <c r="E301" s="732"/>
      <c r="F301" s="732"/>
      <c r="G301" s="732"/>
      <c r="H301" s="732"/>
      <c r="I301" s="732"/>
      <c r="J301" s="732"/>
      <c r="K301" s="732"/>
      <c r="L301" s="732"/>
      <c r="M301" s="732"/>
      <c r="N301" s="732"/>
      <c r="O301" s="732"/>
      <c r="P301" s="732"/>
      <c r="Q301" s="732"/>
      <c r="R301" s="732"/>
      <c r="S301" s="732"/>
      <c r="T301" s="732"/>
      <c r="U301" s="732"/>
      <c r="V301" s="732"/>
      <c r="W301" s="732"/>
      <c r="X301" s="732"/>
      <c r="Y301" s="732"/>
      <c r="Z301" s="73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3">
        <v>4680115880818</v>
      </c>
      <c r="E302" s="73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5"/>
      <c r="R302" s="735"/>
      <c r="S302" s="735"/>
      <c r="T302" s="736"/>
      <c r="U302" s="39" t="s">
        <v>46</v>
      </c>
      <c r="V302" s="39" t="s">
        <v>46</v>
      </c>
      <c r="W302" s="40" t="s">
        <v>0</v>
      </c>
      <c r="X302" s="58"/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3">
        <v>4680115880801</v>
      </c>
      <c r="E303" s="73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5"/>
      <c r="R303" s="735"/>
      <c r="S303" s="735"/>
      <c r="T303" s="73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1"/>
      <c r="B304" s="741"/>
      <c r="C304" s="741"/>
      <c r="D304" s="741"/>
      <c r="E304" s="741"/>
      <c r="F304" s="741"/>
      <c r="G304" s="741"/>
      <c r="H304" s="741"/>
      <c r="I304" s="741"/>
      <c r="J304" s="741"/>
      <c r="K304" s="741"/>
      <c r="L304" s="741"/>
      <c r="M304" s="741"/>
      <c r="N304" s="741"/>
      <c r="O304" s="742"/>
      <c r="P304" s="738" t="s">
        <v>40</v>
      </c>
      <c r="Q304" s="739"/>
      <c r="R304" s="739"/>
      <c r="S304" s="739"/>
      <c r="T304" s="739"/>
      <c r="U304" s="739"/>
      <c r="V304" s="740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1"/>
      <c r="B305" s="741"/>
      <c r="C305" s="741"/>
      <c r="D305" s="741"/>
      <c r="E305" s="741"/>
      <c r="F305" s="741"/>
      <c r="G305" s="741"/>
      <c r="H305" s="741"/>
      <c r="I305" s="741"/>
      <c r="J305" s="741"/>
      <c r="K305" s="741"/>
      <c r="L305" s="741"/>
      <c r="M305" s="741"/>
      <c r="N305" s="741"/>
      <c r="O305" s="742"/>
      <c r="P305" s="738" t="s">
        <v>40</v>
      </c>
      <c r="Q305" s="739"/>
      <c r="R305" s="739"/>
      <c r="S305" s="739"/>
      <c r="T305" s="739"/>
      <c r="U305" s="739"/>
      <c r="V305" s="740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1" t="s">
        <v>527</v>
      </c>
      <c r="B306" s="731"/>
      <c r="C306" s="731"/>
      <c r="D306" s="731"/>
      <c r="E306" s="731"/>
      <c r="F306" s="731"/>
      <c r="G306" s="731"/>
      <c r="H306" s="731"/>
      <c r="I306" s="731"/>
      <c r="J306" s="731"/>
      <c r="K306" s="731"/>
      <c r="L306" s="731"/>
      <c r="M306" s="731"/>
      <c r="N306" s="731"/>
      <c r="O306" s="731"/>
      <c r="P306" s="731"/>
      <c r="Q306" s="731"/>
      <c r="R306" s="731"/>
      <c r="S306" s="731"/>
      <c r="T306" s="731"/>
      <c r="U306" s="731"/>
      <c r="V306" s="731"/>
      <c r="W306" s="731"/>
      <c r="X306" s="731"/>
      <c r="Y306" s="731"/>
      <c r="Z306" s="731"/>
      <c r="AA306" s="65"/>
      <c r="AB306" s="65"/>
      <c r="AC306" s="79"/>
    </row>
    <row r="307" spans="1:68" ht="14.25" hidden="1" customHeight="1" x14ac:dyDescent="0.25">
      <c r="A307" s="732" t="s">
        <v>122</v>
      </c>
      <c r="B307" s="732"/>
      <c r="C307" s="732"/>
      <c r="D307" s="732"/>
      <c r="E307" s="732"/>
      <c r="F307" s="732"/>
      <c r="G307" s="732"/>
      <c r="H307" s="732"/>
      <c r="I307" s="732"/>
      <c r="J307" s="732"/>
      <c r="K307" s="732"/>
      <c r="L307" s="732"/>
      <c r="M307" s="732"/>
      <c r="N307" s="732"/>
      <c r="O307" s="732"/>
      <c r="P307" s="732"/>
      <c r="Q307" s="732"/>
      <c r="R307" s="732"/>
      <c r="S307" s="732"/>
      <c r="T307" s="732"/>
      <c r="U307" s="732"/>
      <c r="V307" s="732"/>
      <c r="W307" s="732"/>
      <c r="X307" s="732"/>
      <c r="Y307" s="732"/>
      <c r="Z307" s="73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3">
        <v>4680115884137</v>
      </c>
      <c r="E308" s="73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5"/>
      <c r="R308" s="735"/>
      <c r="S308" s="735"/>
      <c r="T308" s="73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3">
        <v>4680115884236</v>
      </c>
      <c r="E309" s="73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5"/>
      <c r="R309" s="735"/>
      <c r="S309" s="735"/>
      <c r="T309" s="73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3">
        <v>4680115884175</v>
      </c>
      <c r="E310" s="73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5"/>
      <c r="R310" s="735"/>
      <c r="S310" s="735"/>
      <c r="T310" s="73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3">
        <v>4680115884144</v>
      </c>
      <c r="E311" s="73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5"/>
      <c r="R311" s="735"/>
      <c r="S311" s="735"/>
      <c r="T311" s="73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3">
        <v>4680115886551</v>
      </c>
      <c r="E312" s="73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5"/>
      <c r="R312" s="735"/>
      <c r="S312" s="735"/>
      <c r="T312" s="73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3">
        <v>4680115887282</v>
      </c>
      <c r="E313" s="73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0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5"/>
      <c r="R313" s="735"/>
      <c r="S313" s="735"/>
      <c r="T313" s="73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3">
        <v>4680115884205</v>
      </c>
      <c r="E314" s="73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5"/>
      <c r="R314" s="735"/>
      <c r="S314" s="735"/>
      <c r="T314" s="73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1"/>
      <c r="B315" s="741"/>
      <c r="C315" s="741"/>
      <c r="D315" s="741"/>
      <c r="E315" s="741"/>
      <c r="F315" s="741"/>
      <c r="G315" s="741"/>
      <c r="H315" s="741"/>
      <c r="I315" s="741"/>
      <c r="J315" s="741"/>
      <c r="K315" s="741"/>
      <c r="L315" s="741"/>
      <c r="M315" s="741"/>
      <c r="N315" s="741"/>
      <c r="O315" s="742"/>
      <c r="P315" s="738" t="s">
        <v>40</v>
      </c>
      <c r="Q315" s="739"/>
      <c r="R315" s="739"/>
      <c r="S315" s="739"/>
      <c r="T315" s="739"/>
      <c r="U315" s="739"/>
      <c r="V315" s="740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1"/>
      <c r="B316" s="741"/>
      <c r="C316" s="741"/>
      <c r="D316" s="741"/>
      <c r="E316" s="741"/>
      <c r="F316" s="741"/>
      <c r="G316" s="741"/>
      <c r="H316" s="741"/>
      <c r="I316" s="741"/>
      <c r="J316" s="741"/>
      <c r="K316" s="741"/>
      <c r="L316" s="741"/>
      <c r="M316" s="741"/>
      <c r="N316" s="741"/>
      <c r="O316" s="742"/>
      <c r="P316" s="738" t="s">
        <v>40</v>
      </c>
      <c r="Q316" s="739"/>
      <c r="R316" s="739"/>
      <c r="S316" s="739"/>
      <c r="T316" s="739"/>
      <c r="U316" s="739"/>
      <c r="V316" s="740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2" t="s">
        <v>155</v>
      </c>
      <c r="B317" s="732"/>
      <c r="C317" s="732"/>
      <c r="D317" s="732"/>
      <c r="E317" s="732"/>
      <c r="F317" s="732"/>
      <c r="G317" s="732"/>
      <c r="H317" s="732"/>
      <c r="I317" s="732"/>
      <c r="J317" s="732"/>
      <c r="K317" s="732"/>
      <c r="L317" s="732"/>
      <c r="M317" s="732"/>
      <c r="N317" s="732"/>
      <c r="O317" s="732"/>
      <c r="P317" s="732"/>
      <c r="Q317" s="732"/>
      <c r="R317" s="732"/>
      <c r="S317" s="732"/>
      <c r="T317" s="732"/>
      <c r="U317" s="732"/>
      <c r="V317" s="732"/>
      <c r="W317" s="732"/>
      <c r="X317" s="732"/>
      <c r="Y317" s="732"/>
      <c r="Z317" s="73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3">
        <v>4680115885981</v>
      </c>
      <c r="E318" s="73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5"/>
      <c r="R318" s="735"/>
      <c r="S318" s="735"/>
      <c r="T318" s="73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1"/>
      <c r="B319" s="741"/>
      <c r="C319" s="741"/>
      <c r="D319" s="741"/>
      <c r="E319" s="741"/>
      <c r="F319" s="741"/>
      <c r="G319" s="741"/>
      <c r="H319" s="741"/>
      <c r="I319" s="741"/>
      <c r="J319" s="741"/>
      <c r="K319" s="741"/>
      <c r="L319" s="741"/>
      <c r="M319" s="741"/>
      <c r="N319" s="741"/>
      <c r="O319" s="742"/>
      <c r="P319" s="738" t="s">
        <v>40</v>
      </c>
      <c r="Q319" s="739"/>
      <c r="R319" s="739"/>
      <c r="S319" s="739"/>
      <c r="T319" s="739"/>
      <c r="U319" s="739"/>
      <c r="V319" s="74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1"/>
      <c r="B320" s="741"/>
      <c r="C320" s="741"/>
      <c r="D320" s="741"/>
      <c r="E320" s="741"/>
      <c r="F320" s="741"/>
      <c r="G320" s="741"/>
      <c r="H320" s="741"/>
      <c r="I320" s="741"/>
      <c r="J320" s="741"/>
      <c r="K320" s="741"/>
      <c r="L320" s="741"/>
      <c r="M320" s="741"/>
      <c r="N320" s="741"/>
      <c r="O320" s="742"/>
      <c r="P320" s="738" t="s">
        <v>40</v>
      </c>
      <c r="Q320" s="739"/>
      <c r="R320" s="739"/>
      <c r="S320" s="739"/>
      <c r="T320" s="739"/>
      <c r="U320" s="739"/>
      <c r="V320" s="74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2" t="s">
        <v>549</v>
      </c>
      <c r="B321" s="732"/>
      <c r="C321" s="732"/>
      <c r="D321" s="732"/>
      <c r="E321" s="732"/>
      <c r="F321" s="732"/>
      <c r="G321" s="732"/>
      <c r="H321" s="732"/>
      <c r="I321" s="732"/>
      <c r="J321" s="732"/>
      <c r="K321" s="732"/>
      <c r="L321" s="732"/>
      <c r="M321" s="732"/>
      <c r="N321" s="732"/>
      <c r="O321" s="732"/>
      <c r="P321" s="732"/>
      <c r="Q321" s="732"/>
      <c r="R321" s="732"/>
      <c r="S321" s="732"/>
      <c r="T321" s="732"/>
      <c r="U321" s="732"/>
      <c r="V321" s="732"/>
      <c r="W321" s="732"/>
      <c r="X321" s="732"/>
      <c r="Y321" s="732"/>
      <c r="Z321" s="73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3">
        <v>4680115886803</v>
      </c>
      <c r="E322" s="73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5"/>
      <c r="R322" s="735"/>
      <c r="S322" s="735"/>
      <c r="T322" s="73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1"/>
      <c r="B323" s="741"/>
      <c r="C323" s="741"/>
      <c r="D323" s="741"/>
      <c r="E323" s="741"/>
      <c r="F323" s="741"/>
      <c r="G323" s="741"/>
      <c r="H323" s="741"/>
      <c r="I323" s="741"/>
      <c r="J323" s="741"/>
      <c r="K323" s="741"/>
      <c r="L323" s="741"/>
      <c r="M323" s="741"/>
      <c r="N323" s="741"/>
      <c r="O323" s="742"/>
      <c r="P323" s="738" t="s">
        <v>40</v>
      </c>
      <c r="Q323" s="739"/>
      <c r="R323" s="739"/>
      <c r="S323" s="739"/>
      <c r="T323" s="739"/>
      <c r="U323" s="739"/>
      <c r="V323" s="740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1"/>
      <c r="B324" s="741"/>
      <c r="C324" s="741"/>
      <c r="D324" s="741"/>
      <c r="E324" s="741"/>
      <c r="F324" s="741"/>
      <c r="G324" s="741"/>
      <c r="H324" s="741"/>
      <c r="I324" s="741"/>
      <c r="J324" s="741"/>
      <c r="K324" s="741"/>
      <c r="L324" s="741"/>
      <c r="M324" s="741"/>
      <c r="N324" s="741"/>
      <c r="O324" s="742"/>
      <c r="P324" s="738" t="s">
        <v>40</v>
      </c>
      <c r="Q324" s="739"/>
      <c r="R324" s="739"/>
      <c r="S324" s="739"/>
      <c r="T324" s="739"/>
      <c r="U324" s="739"/>
      <c r="V324" s="740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2" t="s">
        <v>366</v>
      </c>
      <c r="B325" s="732"/>
      <c r="C325" s="732"/>
      <c r="D325" s="732"/>
      <c r="E325" s="732"/>
      <c r="F325" s="732"/>
      <c r="G325" s="732"/>
      <c r="H325" s="732"/>
      <c r="I325" s="732"/>
      <c r="J325" s="732"/>
      <c r="K325" s="732"/>
      <c r="L325" s="732"/>
      <c r="M325" s="732"/>
      <c r="N325" s="732"/>
      <c r="O325" s="732"/>
      <c r="P325" s="732"/>
      <c r="Q325" s="732"/>
      <c r="R325" s="732"/>
      <c r="S325" s="732"/>
      <c r="T325" s="732"/>
      <c r="U325" s="732"/>
      <c r="V325" s="732"/>
      <c r="W325" s="732"/>
      <c r="X325" s="732"/>
      <c r="Y325" s="732"/>
      <c r="Z325" s="73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3">
        <v>4680115886704</v>
      </c>
      <c r="E326" s="73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5"/>
      <c r="R326" s="735"/>
      <c r="S326" s="735"/>
      <c r="T326" s="73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3">
        <v>4680115886681</v>
      </c>
      <c r="E327" s="73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5"/>
      <c r="R327" s="735"/>
      <c r="S327" s="735"/>
      <c r="T327" s="73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3">
        <v>4680115886735</v>
      </c>
      <c r="E328" s="73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5"/>
      <c r="R328" s="735"/>
      <c r="S328" s="735"/>
      <c r="T328" s="73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1"/>
      <c r="B329" s="741"/>
      <c r="C329" s="741"/>
      <c r="D329" s="741"/>
      <c r="E329" s="741"/>
      <c r="F329" s="741"/>
      <c r="G329" s="741"/>
      <c r="H329" s="741"/>
      <c r="I329" s="741"/>
      <c r="J329" s="741"/>
      <c r="K329" s="741"/>
      <c r="L329" s="741"/>
      <c r="M329" s="741"/>
      <c r="N329" s="741"/>
      <c r="O329" s="742"/>
      <c r="P329" s="738" t="s">
        <v>40</v>
      </c>
      <c r="Q329" s="739"/>
      <c r="R329" s="739"/>
      <c r="S329" s="739"/>
      <c r="T329" s="739"/>
      <c r="U329" s="739"/>
      <c r="V329" s="740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1"/>
      <c r="B330" s="741"/>
      <c r="C330" s="741"/>
      <c r="D330" s="741"/>
      <c r="E330" s="741"/>
      <c r="F330" s="741"/>
      <c r="G330" s="741"/>
      <c r="H330" s="741"/>
      <c r="I330" s="741"/>
      <c r="J330" s="741"/>
      <c r="K330" s="741"/>
      <c r="L330" s="741"/>
      <c r="M330" s="741"/>
      <c r="N330" s="741"/>
      <c r="O330" s="742"/>
      <c r="P330" s="738" t="s">
        <v>40</v>
      </c>
      <c r="Q330" s="739"/>
      <c r="R330" s="739"/>
      <c r="S330" s="739"/>
      <c r="T330" s="739"/>
      <c r="U330" s="739"/>
      <c r="V330" s="740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1" t="s">
        <v>560</v>
      </c>
      <c r="B331" s="731"/>
      <c r="C331" s="731"/>
      <c r="D331" s="731"/>
      <c r="E331" s="731"/>
      <c r="F331" s="731"/>
      <c r="G331" s="731"/>
      <c r="H331" s="731"/>
      <c r="I331" s="731"/>
      <c r="J331" s="731"/>
      <c r="K331" s="731"/>
      <c r="L331" s="731"/>
      <c r="M331" s="731"/>
      <c r="N331" s="731"/>
      <c r="O331" s="731"/>
      <c r="P331" s="731"/>
      <c r="Q331" s="731"/>
      <c r="R331" s="731"/>
      <c r="S331" s="731"/>
      <c r="T331" s="731"/>
      <c r="U331" s="731"/>
      <c r="V331" s="731"/>
      <c r="W331" s="731"/>
      <c r="X331" s="731"/>
      <c r="Y331" s="731"/>
      <c r="Z331" s="731"/>
      <c r="AA331" s="65"/>
      <c r="AB331" s="65"/>
      <c r="AC331" s="79"/>
    </row>
    <row r="332" spans="1:68" ht="14.25" hidden="1" customHeight="1" x14ac:dyDescent="0.25">
      <c r="A332" s="732" t="s">
        <v>122</v>
      </c>
      <c r="B332" s="732"/>
      <c r="C332" s="732"/>
      <c r="D332" s="732"/>
      <c r="E332" s="732"/>
      <c r="F332" s="732"/>
      <c r="G332" s="732"/>
      <c r="H332" s="732"/>
      <c r="I332" s="732"/>
      <c r="J332" s="732"/>
      <c r="K332" s="732"/>
      <c r="L332" s="732"/>
      <c r="M332" s="732"/>
      <c r="N332" s="732"/>
      <c r="O332" s="732"/>
      <c r="P332" s="732"/>
      <c r="Q332" s="732"/>
      <c r="R332" s="732"/>
      <c r="S332" s="732"/>
      <c r="T332" s="732"/>
      <c r="U332" s="732"/>
      <c r="V332" s="732"/>
      <c r="W332" s="732"/>
      <c r="X332" s="732"/>
      <c r="Y332" s="732"/>
      <c r="Z332" s="73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3">
        <v>4680115885837</v>
      </c>
      <c r="E333" s="73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5"/>
      <c r="R333" s="735"/>
      <c r="S333" s="735"/>
      <c r="T333" s="73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customHeight="1" x14ac:dyDescent="0.25">
      <c r="A334" s="63" t="s">
        <v>564</v>
      </c>
      <c r="B334" s="63" t="s">
        <v>565</v>
      </c>
      <c r="C334" s="36">
        <v>4301012234</v>
      </c>
      <c r="D334" s="733">
        <v>4680115887237</v>
      </c>
      <c r="E334" s="73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5"/>
      <c r="R334" s="735"/>
      <c r="S334" s="735"/>
      <c r="T334" s="736"/>
      <c r="U334" s="39" t="s">
        <v>46</v>
      </c>
      <c r="V334" s="39" t="s">
        <v>46</v>
      </c>
      <c r="W334" s="40" t="s">
        <v>0</v>
      </c>
      <c r="X334" s="58">
        <v>10</v>
      </c>
      <c r="Y334" s="55">
        <f>IFERROR(IF(X334="",0,CEILING((X334/$H334),1)*$H334),"")</f>
        <v>10.8</v>
      </c>
      <c r="Z334" s="41">
        <f>IFERROR(IF(Y334=0,"",ROUNDUP(Y334/H334,0)*0.01898),"")</f>
        <v>1.898E-2</v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10.37962962962963</v>
      </c>
      <c r="BN334" s="78">
        <f>IFERROR(Y334*I334/H334,"0")</f>
        <v>11.21</v>
      </c>
      <c r="BO334" s="78">
        <f>IFERROR(1/J334*(X334/H334),"0")</f>
        <v>1.4467592592592591E-2</v>
      </c>
      <c r="BP334" s="78">
        <f>IFERROR(1/J334*(Y334/H334),"0")</f>
        <v>1.5625E-2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733">
        <v>4680115885806</v>
      </c>
      <c r="E335" s="73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5"/>
      <c r="R335" s="735"/>
      <c r="S335" s="735"/>
      <c r="T335" s="736"/>
      <c r="U335" s="39" t="s">
        <v>46</v>
      </c>
      <c r="V335" s="39" t="s">
        <v>46</v>
      </c>
      <c r="W335" s="40" t="s">
        <v>0</v>
      </c>
      <c r="X335" s="58">
        <v>50</v>
      </c>
      <c r="Y335" s="55">
        <f>IFERROR(IF(X335="",0,CEILING((X335/$H335),1)*$H335),"")</f>
        <v>54</v>
      </c>
      <c r="Z335" s="41">
        <f>IFERROR(IF(Y335=0,"",ROUNDUP(Y335/H335,0)*0.01898),"")</f>
        <v>9.4899999999999998E-2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51.898148148148145</v>
      </c>
      <c r="BN335" s="78">
        <f>IFERROR(Y335*I335/H335,"0")</f>
        <v>56.05</v>
      </c>
      <c r="BO335" s="78">
        <f>IFERROR(1/J335*(X335/H335),"0")</f>
        <v>7.2337962962962965E-2</v>
      </c>
      <c r="BP335" s="78">
        <f>IFERROR(1/J335*(Y335/H335),"0")</f>
        <v>7.8125E-2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3">
        <v>4680115885844</v>
      </c>
      <c r="E336" s="73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5"/>
      <c r="R336" s="735"/>
      <c r="S336" s="735"/>
      <c r="T336" s="73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3">
        <v>4680115885820</v>
      </c>
      <c r="E337" s="73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5"/>
      <c r="R337" s="735"/>
      <c r="S337" s="735"/>
      <c r="T337" s="73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41"/>
      <c r="B338" s="741"/>
      <c r="C338" s="741"/>
      <c r="D338" s="741"/>
      <c r="E338" s="741"/>
      <c r="F338" s="741"/>
      <c r="G338" s="741"/>
      <c r="H338" s="741"/>
      <c r="I338" s="741"/>
      <c r="J338" s="741"/>
      <c r="K338" s="741"/>
      <c r="L338" s="741"/>
      <c r="M338" s="741"/>
      <c r="N338" s="741"/>
      <c r="O338" s="742"/>
      <c r="P338" s="738" t="s">
        <v>40</v>
      </c>
      <c r="Q338" s="739"/>
      <c r="R338" s="739"/>
      <c r="S338" s="739"/>
      <c r="T338" s="739"/>
      <c r="U338" s="739"/>
      <c r="V338" s="740"/>
      <c r="W338" s="42" t="s">
        <v>39</v>
      </c>
      <c r="X338" s="43">
        <f>IFERROR(X333/H333,"0")+IFERROR(X334/H334,"0")+IFERROR(X335/H335,"0")+IFERROR(X336/H336,"0")+IFERROR(X337/H337,"0")</f>
        <v>5.5555555555555554</v>
      </c>
      <c r="Y338" s="43">
        <f>IFERROR(Y333/H333,"0")+IFERROR(Y334/H334,"0")+IFERROR(Y335/H335,"0")+IFERROR(Y336/H336,"0")+IFERROR(Y337/H337,"0")</f>
        <v>6</v>
      </c>
      <c r="Z338" s="43">
        <f>IFERROR(IF(Z333="",0,Z333),"0")+IFERROR(IF(Z334="",0,Z334),"0")+IFERROR(IF(Z335="",0,Z335),"0")+IFERROR(IF(Z336="",0,Z336),"0")+IFERROR(IF(Z337="",0,Z337),"0")</f>
        <v>0.11388</v>
      </c>
      <c r="AA338" s="67"/>
      <c r="AB338" s="67"/>
      <c r="AC338" s="67"/>
    </row>
    <row r="339" spans="1:68" x14ac:dyDescent="0.2">
      <c r="A339" s="741"/>
      <c r="B339" s="741"/>
      <c r="C339" s="741"/>
      <c r="D339" s="741"/>
      <c r="E339" s="741"/>
      <c r="F339" s="741"/>
      <c r="G339" s="741"/>
      <c r="H339" s="741"/>
      <c r="I339" s="741"/>
      <c r="J339" s="741"/>
      <c r="K339" s="741"/>
      <c r="L339" s="741"/>
      <c r="M339" s="741"/>
      <c r="N339" s="741"/>
      <c r="O339" s="742"/>
      <c r="P339" s="738" t="s">
        <v>40</v>
      </c>
      <c r="Q339" s="739"/>
      <c r="R339" s="739"/>
      <c r="S339" s="739"/>
      <c r="T339" s="739"/>
      <c r="U339" s="739"/>
      <c r="V339" s="740"/>
      <c r="W339" s="42" t="s">
        <v>0</v>
      </c>
      <c r="X339" s="43">
        <f>IFERROR(SUM(X333:X337),"0")</f>
        <v>60</v>
      </c>
      <c r="Y339" s="43">
        <f>IFERROR(SUM(Y333:Y337),"0")</f>
        <v>64.8</v>
      </c>
      <c r="Z339" s="42"/>
      <c r="AA339" s="67"/>
      <c r="AB339" s="67"/>
      <c r="AC339" s="67"/>
    </row>
    <row r="340" spans="1:68" ht="16.5" hidden="1" customHeight="1" x14ac:dyDescent="0.25">
      <c r="A340" s="731" t="s">
        <v>576</v>
      </c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1"/>
      <c r="P340" s="731"/>
      <c r="Q340" s="731"/>
      <c r="R340" s="731"/>
      <c r="S340" s="731"/>
      <c r="T340" s="731"/>
      <c r="U340" s="731"/>
      <c r="V340" s="731"/>
      <c r="W340" s="731"/>
      <c r="X340" s="731"/>
      <c r="Y340" s="731"/>
      <c r="Z340" s="731"/>
      <c r="AA340" s="65"/>
      <c r="AB340" s="65"/>
      <c r="AC340" s="79"/>
    </row>
    <row r="341" spans="1:68" ht="14.25" hidden="1" customHeight="1" x14ac:dyDescent="0.25">
      <c r="A341" s="732" t="s">
        <v>86</v>
      </c>
      <c r="B341" s="732"/>
      <c r="C341" s="732"/>
      <c r="D341" s="732"/>
      <c r="E341" s="732"/>
      <c r="F341" s="732"/>
      <c r="G341" s="732"/>
      <c r="H341" s="732"/>
      <c r="I341" s="732"/>
      <c r="J341" s="732"/>
      <c r="K341" s="732"/>
      <c r="L341" s="732"/>
      <c r="M341" s="732"/>
      <c r="N341" s="732"/>
      <c r="O341" s="732"/>
      <c r="P341" s="732"/>
      <c r="Q341" s="732"/>
      <c r="R341" s="732"/>
      <c r="S341" s="732"/>
      <c r="T341" s="732"/>
      <c r="U341" s="732"/>
      <c r="V341" s="732"/>
      <c r="W341" s="732"/>
      <c r="X341" s="732"/>
      <c r="Y341" s="732"/>
      <c r="Z341" s="73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3">
        <v>4680115886186</v>
      </c>
      <c r="E342" s="73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5"/>
      <c r="R342" s="735"/>
      <c r="S342" s="735"/>
      <c r="T342" s="73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3">
        <v>4680115881228</v>
      </c>
      <c r="E343" s="73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5"/>
      <c r="R343" s="735"/>
      <c r="S343" s="735"/>
      <c r="T343" s="73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733">
        <v>4680115881211</v>
      </c>
      <c r="E344" s="73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5"/>
      <c r="R344" s="735"/>
      <c r="S344" s="735"/>
      <c r="T344" s="73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1"/>
      <c r="B345" s="741"/>
      <c r="C345" s="741"/>
      <c r="D345" s="741"/>
      <c r="E345" s="741"/>
      <c r="F345" s="741"/>
      <c r="G345" s="741"/>
      <c r="H345" s="741"/>
      <c r="I345" s="741"/>
      <c r="J345" s="741"/>
      <c r="K345" s="741"/>
      <c r="L345" s="741"/>
      <c r="M345" s="741"/>
      <c r="N345" s="741"/>
      <c r="O345" s="742"/>
      <c r="P345" s="738" t="s">
        <v>40</v>
      </c>
      <c r="Q345" s="739"/>
      <c r="R345" s="739"/>
      <c r="S345" s="739"/>
      <c r="T345" s="739"/>
      <c r="U345" s="739"/>
      <c r="V345" s="740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1"/>
      <c r="B346" s="741"/>
      <c r="C346" s="741"/>
      <c r="D346" s="741"/>
      <c r="E346" s="741"/>
      <c r="F346" s="741"/>
      <c r="G346" s="741"/>
      <c r="H346" s="741"/>
      <c r="I346" s="741"/>
      <c r="J346" s="741"/>
      <c r="K346" s="741"/>
      <c r="L346" s="741"/>
      <c r="M346" s="741"/>
      <c r="N346" s="741"/>
      <c r="O346" s="742"/>
      <c r="P346" s="738" t="s">
        <v>40</v>
      </c>
      <c r="Q346" s="739"/>
      <c r="R346" s="739"/>
      <c r="S346" s="739"/>
      <c r="T346" s="739"/>
      <c r="U346" s="739"/>
      <c r="V346" s="740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1" t="s">
        <v>585</v>
      </c>
      <c r="B347" s="731"/>
      <c r="C347" s="731"/>
      <c r="D347" s="731"/>
      <c r="E347" s="731"/>
      <c r="F347" s="731"/>
      <c r="G347" s="731"/>
      <c r="H347" s="731"/>
      <c r="I347" s="731"/>
      <c r="J347" s="731"/>
      <c r="K347" s="731"/>
      <c r="L347" s="731"/>
      <c r="M347" s="731"/>
      <c r="N347" s="731"/>
      <c r="O347" s="731"/>
      <c r="P347" s="731"/>
      <c r="Q347" s="731"/>
      <c r="R347" s="731"/>
      <c r="S347" s="731"/>
      <c r="T347" s="731"/>
      <c r="U347" s="731"/>
      <c r="V347" s="731"/>
      <c r="W347" s="731"/>
      <c r="X347" s="731"/>
      <c r="Y347" s="731"/>
      <c r="Z347" s="731"/>
      <c r="AA347" s="65"/>
      <c r="AB347" s="65"/>
      <c r="AC347" s="79"/>
    </row>
    <row r="348" spans="1:68" ht="14.25" hidden="1" customHeight="1" x14ac:dyDescent="0.25">
      <c r="A348" s="732" t="s">
        <v>77</v>
      </c>
      <c r="B348" s="732"/>
      <c r="C348" s="732"/>
      <c r="D348" s="732"/>
      <c r="E348" s="732"/>
      <c r="F348" s="732"/>
      <c r="G348" s="732"/>
      <c r="H348" s="732"/>
      <c r="I348" s="732"/>
      <c r="J348" s="732"/>
      <c r="K348" s="732"/>
      <c r="L348" s="732"/>
      <c r="M348" s="732"/>
      <c r="N348" s="732"/>
      <c r="O348" s="732"/>
      <c r="P348" s="732"/>
      <c r="Q348" s="732"/>
      <c r="R348" s="732"/>
      <c r="S348" s="732"/>
      <c r="T348" s="732"/>
      <c r="U348" s="732"/>
      <c r="V348" s="732"/>
      <c r="W348" s="732"/>
      <c r="X348" s="732"/>
      <c r="Y348" s="732"/>
      <c r="Z348" s="73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3">
        <v>4680115888319</v>
      </c>
      <c r="E349" s="73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5"/>
      <c r="R349" s="735"/>
      <c r="S349" s="735"/>
      <c r="T349" s="73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3">
        <v>4680115884700</v>
      </c>
      <c r="E350" s="73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5"/>
      <c r="R350" s="735"/>
      <c r="S350" s="735"/>
      <c r="T350" s="73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3">
        <v>4680115880344</v>
      </c>
      <c r="E351" s="73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5"/>
      <c r="R351" s="735"/>
      <c r="S351" s="735"/>
      <c r="T351" s="73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3">
        <v>4680115886919</v>
      </c>
      <c r="E352" s="73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5"/>
      <c r="R352" s="735"/>
      <c r="S352" s="735"/>
      <c r="T352" s="73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3">
        <v>4680115883970</v>
      </c>
      <c r="E353" s="73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5"/>
      <c r="R353" s="735"/>
      <c r="S353" s="735"/>
      <c r="T353" s="73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1"/>
      <c r="B354" s="741"/>
      <c r="C354" s="741"/>
      <c r="D354" s="741"/>
      <c r="E354" s="741"/>
      <c r="F354" s="741"/>
      <c r="G354" s="741"/>
      <c r="H354" s="741"/>
      <c r="I354" s="741"/>
      <c r="J354" s="741"/>
      <c r="K354" s="741"/>
      <c r="L354" s="741"/>
      <c r="M354" s="741"/>
      <c r="N354" s="741"/>
      <c r="O354" s="742"/>
      <c r="P354" s="738" t="s">
        <v>40</v>
      </c>
      <c r="Q354" s="739"/>
      <c r="R354" s="739"/>
      <c r="S354" s="739"/>
      <c r="T354" s="739"/>
      <c r="U354" s="739"/>
      <c r="V354" s="740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1"/>
      <c r="B355" s="741"/>
      <c r="C355" s="741"/>
      <c r="D355" s="741"/>
      <c r="E355" s="741"/>
      <c r="F355" s="741"/>
      <c r="G355" s="741"/>
      <c r="H355" s="741"/>
      <c r="I355" s="741"/>
      <c r="J355" s="741"/>
      <c r="K355" s="741"/>
      <c r="L355" s="741"/>
      <c r="M355" s="741"/>
      <c r="N355" s="741"/>
      <c r="O355" s="742"/>
      <c r="P355" s="738" t="s">
        <v>40</v>
      </c>
      <c r="Q355" s="739"/>
      <c r="R355" s="739"/>
      <c r="S355" s="739"/>
      <c r="T355" s="739"/>
      <c r="U355" s="739"/>
      <c r="V355" s="740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2" t="s">
        <v>86</v>
      </c>
      <c r="B356" s="732"/>
      <c r="C356" s="732"/>
      <c r="D356" s="732"/>
      <c r="E356" s="732"/>
      <c r="F356" s="732"/>
      <c r="G356" s="732"/>
      <c r="H356" s="732"/>
      <c r="I356" s="732"/>
      <c r="J356" s="732"/>
      <c r="K356" s="732"/>
      <c r="L356" s="732"/>
      <c r="M356" s="732"/>
      <c r="N356" s="732"/>
      <c r="O356" s="732"/>
      <c r="P356" s="732"/>
      <c r="Q356" s="732"/>
      <c r="R356" s="732"/>
      <c r="S356" s="732"/>
      <c r="T356" s="732"/>
      <c r="U356" s="732"/>
      <c r="V356" s="732"/>
      <c r="W356" s="732"/>
      <c r="X356" s="732"/>
      <c r="Y356" s="732"/>
      <c r="Z356" s="73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3">
        <v>4680115884618</v>
      </c>
      <c r="E357" s="73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2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5"/>
      <c r="R357" s="735"/>
      <c r="S357" s="735"/>
      <c r="T357" s="73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3">
        <v>4680115887114</v>
      </c>
      <c r="E358" s="73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5"/>
      <c r="R358" s="735"/>
      <c r="S358" s="735"/>
      <c r="T358" s="73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1"/>
      <c r="B359" s="741"/>
      <c r="C359" s="741"/>
      <c r="D359" s="741"/>
      <c r="E359" s="741"/>
      <c r="F359" s="741"/>
      <c r="G359" s="741"/>
      <c r="H359" s="741"/>
      <c r="I359" s="741"/>
      <c r="J359" s="741"/>
      <c r="K359" s="741"/>
      <c r="L359" s="741"/>
      <c r="M359" s="741"/>
      <c r="N359" s="741"/>
      <c r="O359" s="742"/>
      <c r="P359" s="738" t="s">
        <v>40</v>
      </c>
      <c r="Q359" s="739"/>
      <c r="R359" s="739"/>
      <c r="S359" s="739"/>
      <c r="T359" s="739"/>
      <c r="U359" s="739"/>
      <c r="V359" s="740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1"/>
      <c r="B360" s="741"/>
      <c r="C360" s="741"/>
      <c r="D360" s="741"/>
      <c r="E360" s="741"/>
      <c r="F360" s="741"/>
      <c r="G360" s="741"/>
      <c r="H360" s="741"/>
      <c r="I360" s="741"/>
      <c r="J360" s="741"/>
      <c r="K360" s="741"/>
      <c r="L360" s="741"/>
      <c r="M360" s="741"/>
      <c r="N360" s="741"/>
      <c r="O360" s="742"/>
      <c r="P360" s="738" t="s">
        <v>40</v>
      </c>
      <c r="Q360" s="739"/>
      <c r="R360" s="739"/>
      <c r="S360" s="739"/>
      <c r="T360" s="739"/>
      <c r="U360" s="739"/>
      <c r="V360" s="740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1" t="s">
        <v>606</v>
      </c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1"/>
      <c r="P361" s="731"/>
      <c r="Q361" s="731"/>
      <c r="R361" s="731"/>
      <c r="S361" s="731"/>
      <c r="T361" s="731"/>
      <c r="U361" s="731"/>
      <c r="V361" s="731"/>
      <c r="W361" s="731"/>
      <c r="X361" s="731"/>
      <c r="Y361" s="731"/>
      <c r="Z361" s="731"/>
      <c r="AA361" s="65"/>
      <c r="AB361" s="65"/>
      <c r="AC361" s="79"/>
    </row>
    <row r="362" spans="1:68" ht="14.25" hidden="1" customHeight="1" x14ac:dyDescent="0.25">
      <c r="A362" s="732" t="s">
        <v>122</v>
      </c>
      <c r="B362" s="732"/>
      <c r="C362" s="732"/>
      <c r="D362" s="732"/>
      <c r="E362" s="732"/>
      <c r="F362" s="732"/>
      <c r="G362" s="732"/>
      <c r="H362" s="732"/>
      <c r="I362" s="732"/>
      <c r="J362" s="732"/>
      <c r="K362" s="732"/>
      <c r="L362" s="732"/>
      <c r="M362" s="732"/>
      <c r="N362" s="732"/>
      <c r="O362" s="732"/>
      <c r="P362" s="732"/>
      <c r="Q362" s="732"/>
      <c r="R362" s="732"/>
      <c r="S362" s="732"/>
      <c r="T362" s="732"/>
      <c r="U362" s="732"/>
      <c r="V362" s="732"/>
      <c r="W362" s="732"/>
      <c r="X362" s="732"/>
      <c r="Y362" s="732"/>
      <c r="Z362" s="73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3">
        <v>4680115887947</v>
      </c>
      <c r="E363" s="73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5"/>
      <c r="R363" s="735"/>
      <c r="S363" s="735"/>
      <c r="T363" s="736"/>
      <c r="U363" s="39" t="s">
        <v>46</v>
      </c>
      <c r="V363" s="39" t="s">
        <v>46</v>
      </c>
      <c r="W363" s="40" t="s">
        <v>0</v>
      </c>
      <c r="X363" s="58"/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733">
        <v>4680115887978</v>
      </c>
      <c r="E364" s="73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5"/>
      <c r="R364" s="735"/>
      <c r="S364" s="735"/>
      <c r="T364" s="736"/>
      <c r="U364" s="39" t="s">
        <v>46</v>
      </c>
      <c r="V364" s="39" t="s">
        <v>46</v>
      </c>
      <c r="W364" s="40" t="s">
        <v>0</v>
      </c>
      <c r="X364" s="58">
        <v>23</v>
      </c>
      <c r="Y364" s="55">
        <f>IFERROR(IF(X364="",0,CEILING((X364/$H364),1)*$H364),"")</f>
        <v>23.4</v>
      </c>
      <c r="Z364" s="41">
        <f>IFERROR(IF(Y364=0,"",ROUNDUP(Y364/H364,0)*0.01898),"")</f>
        <v>5.6940000000000004E-2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24.208974358974363</v>
      </c>
      <c r="BN364" s="78">
        <f>IFERROR(Y364*I364/H364,"0")</f>
        <v>24.630000000000003</v>
      </c>
      <c r="BO364" s="78">
        <f>IFERROR(1/J364*(X364/H364),"0")</f>
        <v>4.6073717948717952E-2</v>
      </c>
      <c r="BP364" s="78">
        <f>IFERROR(1/J364*(Y364/H364),"0")</f>
        <v>4.6875E-2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733">
        <v>4680115887992</v>
      </c>
      <c r="E365" s="73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5"/>
      <c r="R365" s="735"/>
      <c r="S365" s="735"/>
      <c r="T365" s="736"/>
      <c r="U365" s="39" t="s">
        <v>46</v>
      </c>
      <c r="V365" s="39" t="s">
        <v>46</v>
      </c>
      <c r="W365" s="40" t="s">
        <v>0</v>
      </c>
      <c r="X365" s="58">
        <v>15</v>
      </c>
      <c r="Y365" s="55">
        <f>IFERROR(IF(X365="",0,CEILING((X365/$H365),1)*$H365),"")</f>
        <v>15.6</v>
      </c>
      <c r="Z365" s="41">
        <f>IFERROR(IF(Y365=0,"",ROUNDUP(Y365/H365,0)*0.01898),"")</f>
        <v>3.7960000000000001E-2</v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15.78846153846154</v>
      </c>
      <c r="BN365" s="78">
        <f>IFERROR(Y365*I365/H365,"0")</f>
        <v>16.420000000000002</v>
      </c>
      <c r="BO365" s="78">
        <f>IFERROR(1/J365*(X365/H365),"0")</f>
        <v>3.0048076923076924E-2</v>
      </c>
      <c r="BP365" s="78">
        <f>IFERROR(1/J365*(Y365/H365),"0")</f>
        <v>3.125E-2</v>
      </c>
    </row>
    <row r="366" spans="1:68" x14ac:dyDescent="0.2">
      <c r="A366" s="741"/>
      <c r="B366" s="741"/>
      <c r="C366" s="741"/>
      <c r="D366" s="741"/>
      <c r="E366" s="741"/>
      <c r="F366" s="741"/>
      <c r="G366" s="741"/>
      <c r="H366" s="741"/>
      <c r="I366" s="741"/>
      <c r="J366" s="741"/>
      <c r="K366" s="741"/>
      <c r="L366" s="741"/>
      <c r="M366" s="741"/>
      <c r="N366" s="741"/>
      <c r="O366" s="742"/>
      <c r="P366" s="738" t="s">
        <v>40</v>
      </c>
      <c r="Q366" s="739"/>
      <c r="R366" s="739"/>
      <c r="S366" s="739"/>
      <c r="T366" s="739"/>
      <c r="U366" s="739"/>
      <c r="V366" s="740"/>
      <c r="W366" s="42" t="s">
        <v>39</v>
      </c>
      <c r="X366" s="43">
        <f>IFERROR(X363/H363,"0")+IFERROR(X364/H364,"0")+IFERROR(X365/H365,"0")</f>
        <v>4.8717948717948723</v>
      </c>
      <c r="Y366" s="43">
        <f>IFERROR(Y363/H363,"0")+IFERROR(Y364/H364,"0")+IFERROR(Y365/H365,"0")</f>
        <v>5</v>
      </c>
      <c r="Z366" s="43">
        <f>IFERROR(IF(Z363="",0,Z363),"0")+IFERROR(IF(Z364="",0,Z364),"0")+IFERROR(IF(Z365="",0,Z365),"0")</f>
        <v>9.4900000000000012E-2</v>
      </c>
      <c r="AA366" s="67"/>
      <c r="AB366" s="67"/>
      <c r="AC366" s="67"/>
    </row>
    <row r="367" spans="1:68" x14ac:dyDescent="0.2">
      <c r="A367" s="741"/>
      <c r="B367" s="741"/>
      <c r="C367" s="741"/>
      <c r="D367" s="741"/>
      <c r="E367" s="741"/>
      <c r="F367" s="741"/>
      <c r="G367" s="741"/>
      <c r="H367" s="741"/>
      <c r="I367" s="741"/>
      <c r="J367" s="741"/>
      <c r="K367" s="741"/>
      <c r="L367" s="741"/>
      <c r="M367" s="741"/>
      <c r="N367" s="741"/>
      <c r="O367" s="742"/>
      <c r="P367" s="738" t="s">
        <v>40</v>
      </c>
      <c r="Q367" s="739"/>
      <c r="R367" s="739"/>
      <c r="S367" s="739"/>
      <c r="T367" s="739"/>
      <c r="U367" s="739"/>
      <c r="V367" s="740"/>
      <c r="W367" s="42" t="s">
        <v>0</v>
      </c>
      <c r="X367" s="43">
        <f>IFERROR(SUM(X363:X365),"0")</f>
        <v>38</v>
      </c>
      <c r="Y367" s="43">
        <f>IFERROR(SUM(Y363:Y365),"0")</f>
        <v>39</v>
      </c>
      <c r="Z367" s="42"/>
      <c r="AA367" s="67"/>
      <c r="AB367" s="67"/>
      <c r="AC367" s="67"/>
    </row>
    <row r="368" spans="1:68" ht="16.5" hidden="1" customHeight="1" x14ac:dyDescent="0.25">
      <c r="A368" s="731" t="s">
        <v>615</v>
      </c>
      <c r="B368" s="731"/>
      <c r="C368" s="731"/>
      <c r="D368" s="731"/>
      <c r="E368" s="731"/>
      <c r="F368" s="731"/>
      <c r="G368" s="731"/>
      <c r="H368" s="731"/>
      <c r="I368" s="731"/>
      <c r="J368" s="731"/>
      <c r="K368" s="731"/>
      <c r="L368" s="731"/>
      <c r="M368" s="731"/>
      <c r="N368" s="731"/>
      <c r="O368" s="731"/>
      <c r="P368" s="731"/>
      <c r="Q368" s="731"/>
      <c r="R368" s="731"/>
      <c r="S368" s="731"/>
      <c r="T368" s="731"/>
      <c r="U368" s="731"/>
      <c r="V368" s="731"/>
      <c r="W368" s="731"/>
      <c r="X368" s="731"/>
      <c r="Y368" s="731"/>
      <c r="Z368" s="731"/>
      <c r="AA368" s="65"/>
      <c r="AB368" s="65"/>
      <c r="AC368" s="79"/>
    </row>
    <row r="369" spans="1:68" ht="14.25" hidden="1" customHeight="1" x14ac:dyDescent="0.25">
      <c r="A369" s="732" t="s">
        <v>122</v>
      </c>
      <c r="B369" s="732"/>
      <c r="C369" s="732"/>
      <c r="D369" s="732"/>
      <c r="E369" s="732"/>
      <c r="F369" s="732"/>
      <c r="G369" s="732"/>
      <c r="H369" s="732"/>
      <c r="I369" s="732"/>
      <c r="J369" s="732"/>
      <c r="K369" s="732"/>
      <c r="L369" s="732"/>
      <c r="M369" s="732"/>
      <c r="N369" s="732"/>
      <c r="O369" s="732"/>
      <c r="P369" s="732"/>
      <c r="Q369" s="732"/>
      <c r="R369" s="732"/>
      <c r="S369" s="732"/>
      <c r="T369" s="732"/>
      <c r="U369" s="732"/>
      <c r="V369" s="732"/>
      <c r="W369" s="732"/>
      <c r="X369" s="732"/>
      <c r="Y369" s="732"/>
      <c r="Z369" s="73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3">
        <v>4607091386004</v>
      </c>
      <c r="E370" s="73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5"/>
      <c r="R370" s="735"/>
      <c r="S370" s="735"/>
      <c r="T370" s="73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3">
        <v>4680115887190</v>
      </c>
      <c r="E371" s="73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5"/>
      <c r="R371" s="735"/>
      <c r="S371" s="735"/>
      <c r="T371" s="73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3">
        <v>4680115887138</v>
      </c>
      <c r="E372" s="73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5"/>
      <c r="R372" s="735"/>
      <c r="S372" s="735"/>
      <c r="T372" s="73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3">
        <v>4680115885554</v>
      </c>
      <c r="E373" s="73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5"/>
      <c r="R373" s="735"/>
      <c r="S373" s="735"/>
      <c r="T373" s="73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3">
        <v>4680115887220</v>
      </c>
      <c r="E374" s="73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5"/>
      <c r="R374" s="735"/>
      <c r="S374" s="735"/>
      <c r="T374" s="73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3">
        <v>4680115885608</v>
      </c>
      <c r="E375" s="73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5"/>
      <c r="R375" s="735"/>
      <c r="S375" s="735"/>
      <c r="T375" s="73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1"/>
      <c r="B376" s="741"/>
      <c r="C376" s="741"/>
      <c r="D376" s="741"/>
      <c r="E376" s="741"/>
      <c r="F376" s="741"/>
      <c r="G376" s="741"/>
      <c r="H376" s="741"/>
      <c r="I376" s="741"/>
      <c r="J376" s="741"/>
      <c r="K376" s="741"/>
      <c r="L376" s="741"/>
      <c r="M376" s="741"/>
      <c r="N376" s="741"/>
      <c r="O376" s="742"/>
      <c r="P376" s="738" t="s">
        <v>40</v>
      </c>
      <c r="Q376" s="739"/>
      <c r="R376" s="739"/>
      <c r="S376" s="739"/>
      <c r="T376" s="739"/>
      <c r="U376" s="739"/>
      <c r="V376" s="740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1"/>
      <c r="B377" s="741"/>
      <c r="C377" s="741"/>
      <c r="D377" s="741"/>
      <c r="E377" s="741"/>
      <c r="F377" s="741"/>
      <c r="G377" s="741"/>
      <c r="H377" s="741"/>
      <c r="I377" s="741"/>
      <c r="J377" s="741"/>
      <c r="K377" s="741"/>
      <c r="L377" s="741"/>
      <c r="M377" s="741"/>
      <c r="N377" s="741"/>
      <c r="O377" s="742"/>
      <c r="P377" s="738" t="s">
        <v>40</v>
      </c>
      <c r="Q377" s="739"/>
      <c r="R377" s="739"/>
      <c r="S377" s="739"/>
      <c r="T377" s="739"/>
      <c r="U377" s="739"/>
      <c r="V377" s="740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2" t="s">
        <v>77</v>
      </c>
      <c r="B378" s="732"/>
      <c r="C378" s="732"/>
      <c r="D378" s="732"/>
      <c r="E378" s="732"/>
      <c r="F378" s="732"/>
      <c r="G378" s="732"/>
      <c r="H378" s="732"/>
      <c r="I378" s="732"/>
      <c r="J378" s="732"/>
      <c r="K378" s="732"/>
      <c r="L378" s="732"/>
      <c r="M378" s="732"/>
      <c r="N378" s="732"/>
      <c r="O378" s="732"/>
      <c r="P378" s="732"/>
      <c r="Q378" s="732"/>
      <c r="R378" s="732"/>
      <c r="S378" s="732"/>
      <c r="T378" s="732"/>
      <c r="U378" s="732"/>
      <c r="V378" s="732"/>
      <c r="W378" s="732"/>
      <c r="X378" s="732"/>
      <c r="Y378" s="732"/>
      <c r="Z378" s="73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733">
        <v>4607091387193</v>
      </c>
      <c r="E379" s="73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5"/>
      <c r="R379" s="735"/>
      <c r="S379" s="735"/>
      <c r="T379" s="736"/>
      <c r="U379" s="39" t="s">
        <v>46</v>
      </c>
      <c r="V379" s="39" t="s">
        <v>46</v>
      </c>
      <c r="W379" s="40" t="s">
        <v>0</v>
      </c>
      <c r="X379" s="58">
        <v>40</v>
      </c>
      <c r="Y379" s="55">
        <f t="shared" ref="Y379:Y385" si="65">IFERROR(IF(X379="",0,CEILING((X379/$H379),1)*$H379),"")</f>
        <v>42</v>
      </c>
      <c r="Z379" s="41">
        <f>IFERROR(IF(Y379=0,"",ROUNDUP(Y379/H379,0)*0.00902),"")</f>
        <v>9.0200000000000002E-2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42.38095238095238</v>
      </c>
      <c r="BN379" s="78">
        <f t="shared" ref="BN379:BN385" si="67">IFERROR(Y379*I379/H379,"0")</f>
        <v>44.5</v>
      </c>
      <c r="BO379" s="78">
        <f t="shared" ref="BO379:BO385" si="68">IFERROR(1/J379*(X379/H379),"0")</f>
        <v>7.2150072150072145E-2</v>
      </c>
      <c r="BP379" s="78">
        <f t="shared" ref="BP379:BP385" si="69">IFERROR(1/J379*(Y379/H379),"0")</f>
        <v>7.575757575757576E-2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733">
        <v>4607091387230</v>
      </c>
      <c r="E380" s="73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5"/>
      <c r="R380" s="735"/>
      <c r="S380" s="735"/>
      <c r="T380" s="736"/>
      <c r="U380" s="39" t="s">
        <v>46</v>
      </c>
      <c r="V380" s="39" t="s">
        <v>46</v>
      </c>
      <c r="W380" s="40" t="s">
        <v>0</v>
      </c>
      <c r="X380" s="58">
        <v>40</v>
      </c>
      <c r="Y380" s="55">
        <f t="shared" si="65"/>
        <v>42</v>
      </c>
      <c r="Z380" s="41">
        <f>IFERROR(IF(Y380=0,"",ROUNDUP(Y380/H380,0)*0.00902),"")</f>
        <v>9.0200000000000002E-2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42.38095238095238</v>
      </c>
      <c r="BN380" s="78">
        <f t="shared" si="67"/>
        <v>44.5</v>
      </c>
      <c r="BO380" s="78">
        <f t="shared" si="68"/>
        <v>7.2150072150072145E-2</v>
      </c>
      <c r="BP380" s="78">
        <f t="shared" si="69"/>
        <v>7.575757575757576E-2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3">
        <v>4607091387292</v>
      </c>
      <c r="E381" s="73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5"/>
      <c r="R381" s="735"/>
      <c r="S381" s="735"/>
      <c r="T381" s="73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3">
        <v>4607091387285</v>
      </c>
      <c r="E382" s="73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5"/>
      <c r="R382" s="735"/>
      <c r="S382" s="735"/>
      <c r="T382" s="73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3">
        <v>4607091389845</v>
      </c>
      <c r="E383" s="73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5"/>
      <c r="R383" s="735"/>
      <c r="S383" s="735"/>
      <c r="T383" s="73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3">
        <v>4680115887442</v>
      </c>
      <c r="E384" s="73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5"/>
      <c r="R384" s="735"/>
      <c r="S384" s="735"/>
      <c r="T384" s="73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3">
        <v>4607091383836</v>
      </c>
      <c r="E385" s="73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5"/>
      <c r="R385" s="735"/>
      <c r="S385" s="735"/>
      <c r="T385" s="73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741"/>
      <c r="B386" s="741"/>
      <c r="C386" s="741"/>
      <c r="D386" s="741"/>
      <c r="E386" s="741"/>
      <c r="F386" s="741"/>
      <c r="G386" s="741"/>
      <c r="H386" s="741"/>
      <c r="I386" s="741"/>
      <c r="J386" s="741"/>
      <c r="K386" s="741"/>
      <c r="L386" s="741"/>
      <c r="M386" s="741"/>
      <c r="N386" s="741"/>
      <c r="O386" s="742"/>
      <c r="P386" s="738" t="s">
        <v>40</v>
      </c>
      <c r="Q386" s="739"/>
      <c r="R386" s="739"/>
      <c r="S386" s="739"/>
      <c r="T386" s="739"/>
      <c r="U386" s="739"/>
      <c r="V386" s="740"/>
      <c r="W386" s="42" t="s">
        <v>39</v>
      </c>
      <c r="X386" s="43">
        <f>IFERROR(X379/H379,"0")+IFERROR(X380/H380,"0")+IFERROR(X381/H381,"0")+IFERROR(X382/H382,"0")+IFERROR(X383/H383,"0")+IFERROR(X384/H384,"0")+IFERROR(X385/H385,"0")</f>
        <v>19.047619047619047</v>
      </c>
      <c r="Y386" s="43">
        <f>IFERROR(Y379/H379,"0")+IFERROR(Y380/H380,"0")+IFERROR(Y381/H381,"0")+IFERROR(Y382/H382,"0")+IFERROR(Y383/H383,"0")+IFERROR(Y384/H384,"0")+IFERROR(Y385/H385,"0")</f>
        <v>20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0.1804</v>
      </c>
      <c r="AA386" s="67"/>
      <c r="AB386" s="67"/>
      <c r="AC386" s="67"/>
    </row>
    <row r="387" spans="1:68" x14ac:dyDescent="0.2">
      <c r="A387" s="741"/>
      <c r="B387" s="741"/>
      <c r="C387" s="741"/>
      <c r="D387" s="741"/>
      <c r="E387" s="741"/>
      <c r="F387" s="741"/>
      <c r="G387" s="741"/>
      <c r="H387" s="741"/>
      <c r="I387" s="741"/>
      <c r="J387" s="741"/>
      <c r="K387" s="741"/>
      <c r="L387" s="741"/>
      <c r="M387" s="741"/>
      <c r="N387" s="741"/>
      <c r="O387" s="742"/>
      <c r="P387" s="738" t="s">
        <v>40</v>
      </c>
      <c r="Q387" s="739"/>
      <c r="R387" s="739"/>
      <c r="S387" s="739"/>
      <c r="T387" s="739"/>
      <c r="U387" s="739"/>
      <c r="V387" s="740"/>
      <c r="W387" s="42" t="s">
        <v>0</v>
      </c>
      <c r="X387" s="43">
        <f>IFERROR(SUM(X379:X385),"0")</f>
        <v>80</v>
      </c>
      <c r="Y387" s="43">
        <f>IFERROR(SUM(Y379:Y385),"0")</f>
        <v>84</v>
      </c>
      <c r="Z387" s="42"/>
      <c r="AA387" s="67"/>
      <c r="AB387" s="67"/>
      <c r="AC387" s="67"/>
    </row>
    <row r="388" spans="1:68" ht="14.25" hidden="1" customHeight="1" x14ac:dyDescent="0.25">
      <c r="A388" s="732" t="s">
        <v>86</v>
      </c>
      <c r="B388" s="732"/>
      <c r="C388" s="732"/>
      <c r="D388" s="732"/>
      <c r="E388" s="732"/>
      <c r="F388" s="732"/>
      <c r="G388" s="732"/>
      <c r="H388" s="732"/>
      <c r="I388" s="732"/>
      <c r="J388" s="732"/>
      <c r="K388" s="732"/>
      <c r="L388" s="732"/>
      <c r="M388" s="732"/>
      <c r="N388" s="732"/>
      <c r="O388" s="732"/>
      <c r="P388" s="732"/>
      <c r="Q388" s="732"/>
      <c r="R388" s="732"/>
      <c r="S388" s="732"/>
      <c r="T388" s="732"/>
      <c r="U388" s="732"/>
      <c r="V388" s="732"/>
      <c r="W388" s="732"/>
      <c r="X388" s="732"/>
      <c r="Y388" s="732"/>
      <c r="Z388" s="73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733">
        <v>4607091387766</v>
      </c>
      <c r="E389" s="73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5"/>
      <c r="R389" s="735"/>
      <c r="S389" s="735"/>
      <c r="T389" s="73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3">
        <v>4607091387957</v>
      </c>
      <c r="E390" s="73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5"/>
      <c r="R390" s="735"/>
      <c r="S390" s="735"/>
      <c r="T390" s="73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3">
        <v>4607091387964</v>
      </c>
      <c r="E391" s="73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5"/>
      <c r="R391" s="735"/>
      <c r="S391" s="735"/>
      <c r="T391" s="73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733">
        <v>4680115884588</v>
      </c>
      <c r="E392" s="73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5"/>
      <c r="R392" s="735"/>
      <c r="S392" s="735"/>
      <c r="T392" s="73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41"/>
      <c r="B393" s="741"/>
      <c r="C393" s="741"/>
      <c r="D393" s="741"/>
      <c r="E393" s="741"/>
      <c r="F393" s="741"/>
      <c r="G393" s="741"/>
      <c r="H393" s="741"/>
      <c r="I393" s="741"/>
      <c r="J393" s="741"/>
      <c r="K393" s="741"/>
      <c r="L393" s="741"/>
      <c r="M393" s="741"/>
      <c r="N393" s="741"/>
      <c r="O393" s="742"/>
      <c r="P393" s="738" t="s">
        <v>40</v>
      </c>
      <c r="Q393" s="739"/>
      <c r="R393" s="739"/>
      <c r="S393" s="739"/>
      <c r="T393" s="739"/>
      <c r="U393" s="739"/>
      <c r="V393" s="740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41"/>
      <c r="B394" s="741"/>
      <c r="C394" s="741"/>
      <c r="D394" s="741"/>
      <c r="E394" s="741"/>
      <c r="F394" s="741"/>
      <c r="G394" s="741"/>
      <c r="H394" s="741"/>
      <c r="I394" s="741"/>
      <c r="J394" s="741"/>
      <c r="K394" s="741"/>
      <c r="L394" s="741"/>
      <c r="M394" s="741"/>
      <c r="N394" s="741"/>
      <c r="O394" s="742"/>
      <c r="P394" s="738" t="s">
        <v>40</v>
      </c>
      <c r="Q394" s="739"/>
      <c r="R394" s="739"/>
      <c r="S394" s="739"/>
      <c r="T394" s="739"/>
      <c r="U394" s="739"/>
      <c r="V394" s="740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32" t="s">
        <v>173</v>
      </c>
      <c r="B395" s="732"/>
      <c r="C395" s="732"/>
      <c r="D395" s="732"/>
      <c r="E395" s="732"/>
      <c r="F395" s="732"/>
      <c r="G395" s="732"/>
      <c r="H395" s="732"/>
      <c r="I395" s="732"/>
      <c r="J395" s="732"/>
      <c r="K395" s="732"/>
      <c r="L395" s="732"/>
      <c r="M395" s="732"/>
      <c r="N395" s="732"/>
      <c r="O395" s="732"/>
      <c r="P395" s="732"/>
      <c r="Q395" s="732"/>
      <c r="R395" s="732"/>
      <c r="S395" s="732"/>
      <c r="T395" s="732"/>
      <c r="U395" s="732"/>
      <c r="V395" s="732"/>
      <c r="W395" s="732"/>
      <c r="X395" s="732"/>
      <c r="Y395" s="732"/>
      <c r="Z395" s="73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733">
        <v>4607091380880</v>
      </c>
      <c r="E396" s="73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5"/>
      <c r="R396" s="735"/>
      <c r="S396" s="735"/>
      <c r="T396" s="73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733">
        <v>4607091384482</v>
      </c>
      <c r="E397" s="73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5"/>
      <c r="R397" s="735"/>
      <c r="S397" s="735"/>
      <c r="T397" s="736"/>
      <c r="U397" s="39" t="s">
        <v>46</v>
      </c>
      <c r="V397" s="39" t="s">
        <v>46</v>
      </c>
      <c r="W397" s="40" t="s">
        <v>0</v>
      </c>
      <c r="X397" s="58">
        <v>60</v>
      </c>
      <c r="Y397" s="55">
        <f>IFERROR(IF(X397="",0,CEILING((X397/$H397),1)*$H397),"")</f>
        <v>62.4</v>
      </c>
      <c r="Z397" s="41">
        <f>IFERROR(IF(Y397=0,"",ROUNDUP(Y397/H397,0)*0.01898),"")</f>
        <v>0.15184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63.800000000000004</v>
      </c>
      <c r="BN397" s="78">
        <f>IFERROR(Y397*I397/H397,"0")</f>
        <v>66.352000000000004</v>
      </c>
      <c r="BO397" s="78">
        <f>IFERROR(1/J397*(X397/H397),"0")</f>
        <v>0.1201923076923077</v>
      </c>
      <c r="BP397" s="78">
        <f>IFERROR(1/J397*(Y397/H397),"0")</f>
        <v>0.125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733">
        <v>4607091380897</v>
      </c>
      <c r="E398" s="73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5"/>
      <c r="R398" s="735"/>
      <c r="S398" s="735"/>
      <c r="T398" s="73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41"/>
      <c r="B399" s="741"/>
      <c r="C399" s="741"/>
      <c r="D399" s="741"/>
      <c r="E399" s="741"/>
      <c r="F399" s="741"/>
      <c r="G399" s="741"/>
      <c r="H399" s="741"/>
      <c r="I399" s="741"/>
      <c r="J399" s="741"/>
      <c r="K399" s="741"/>
      <c r="L399" s="741"/>
      <c r="M399" s="741"/>
      <c r="N399" s="741"/>
      <c r="O399" s="742"/>
      <c r="P399" s="738" t="s">
        <v>40</v>
      </c>
      <c r="Q399" s="739"/>
      <c r="R399" s="739"/>
      <c r="S399" s="739"/>
      <c r="T399" s="739"/>
      <c r="U399" s="739"/>
      <c r="V399" s="740"/>
      <c r="W399" s="42" t="s">
        <v>39</v>
      </c>
      <c r="X399" s="43">
        <f>IFERROR(X396/H396,"0")+IFERROR(X397/H397,"0")+IFERROR(X398/H398,"0")</f>
        <v>7.6923076923076925</v>
      </c>
      <c r="Y399" s="43">
        <f>IFERROR(Y396/H396,"0")+IFERROR(Y397/H397,"0")+IFERROR(Y398/H398,"0")</f>
        <v>8</v>
      </c>
      <c r="Z399" s="43">
        <f>IFERROR(IF(Z396="",0,Z396),"0")+IFERROR(IF(Z397="",0,Z397),"0")+IFERROR(IF(Z398="",0,Z398),"0")</f>
        <v>0.15184</v>
      </c>
      <c r="AA399" s="67"/>
      <c r="AB399" s="67"/>
      <c r="AC399" s="67"/>
    </row>
    <row r="400" spans="1:68" x14ac:dyDescent="0.2">
      <c r="A400" s="741"/>
      <c r="B400" s="741"/>
      <c r="C400" s="741"/>
      <c r="D400" s="741"/>
      <c r="E400" s="741"/>
      <c r="F400" s="741"/>
      <c r="G400" s="741"/>
      <c r="H400" s="741"/>
      <c r="I400" s="741"/>
      <c r="J400" s="741"/>
      <c r="K400" s="741"/>
      <c r="L400" s="741"/>
      <c r="M400" s="741"/>
      <c r="N400" s="741"/>
      <c r="O400" s="742"/>
      <c r="P400" s="738" t="s">
        <v>40</v>
      </c>
      <c r="Q400" s="739"/>
      <c r="R400" s="739"/>
      <c r="S400" s="739"/>
      <c r="T400" s="739"/>
      <c r="U400" s="739"/>
      <c r="V400" s="740"/>
      <c r="W400" s="42" t="s">
        <v>0</v>
      </c>
      <c r="X400" s="43">
        <f>IFERROR(SUM(X396:X398),"0")</f>
        <v>60</v>
      </c>
      <c r="Y400" s="43">
        <f>IFERROR(SUM(Y396:Y398),"0")</f>
        <v>62.4</v>
      </c>
      <c r="Z400" s="42"/>
      <c r="AA400" s="67"/>
      <c r="AB400" s="67"/>
      <c r="AC400" s="67"/>
    </row>
    <row r="401" spans="1:68" ht="14.25" hidden="1" customHeight="1" x14ac:dyDescent="0.25">
      <c r="A401" s="732" t="s">
        <v>294</v>
      </c>
      <c r="B401" s="732"/>
      <c r="C401" s="732"/>
      <c r="D401" s="732"/>
      <c r="E401" s="732"/>
      <c r="F401" s="732"/>
      <c r="G401" s="732"/>
      <c r="H401" s="732"/>
      <c r="I401" s="732"/>
      <c r="J401" s="732"/>
      <c r="K401" s="732"/>
      <c r="L401" s="732"/>
      <c r="M401" s="732"/>
      <c r="N401" s="732"/>
      <c r="O401" s="732"/>
      <c r="P401" s="732"/>
      <c r="Q401" s="732"/>
      <c r="R401" s="732"/>
      <c r="S401" s="732"/>
      <c r="T401" s="732"/>
      <c r="U401" s="732"/>
      <c r="V401" s="732"/>
      <c r="W401" s="732"/>
      <c r="X401" s="732"/>
      <c r="Y401" s="732"/>
      <c r="Z401" s="73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3">
        <v>4607091388381</v>
      </c>
      <c r="E402" s="73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5"/>
      <c r="R402" s="735"/>
      <c r="S402" s="735"/>
      <c r="T402" s="736"/>
      <c r="U402" s="39" t="s">
        <v>46</v>
      </c>
      <c r="V402" s="39" t="s">
        <v>46</v>
      </c>
      <c r="W402" s="40" t="s">
        <v>0</v>
      </c>
      <c r="X402" s="58"/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3">
        <v>4607091388374</v>
      </c>
      <c r="E403" s="73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5"/>
      <c r="R403" s="735"/>
      <c r="S403" s="735"/>
      <c r="T403" s="73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3">
        <v>4607091383102</v>
      </c>
      <c r="E404" s="73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5"/>
      <c r="R404" s="735"/>
      <c r="S404" s="735"/>
      <c r="T404" s="73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3">
        <v>4607091388404</v>
      </c>
      <c r="E405" s="73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5"/>
      <c r="R405" s="735"/>
      <c r="S405" s="735"/>
      <c r="T405" s="73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1"/>
      <c r="B406" s="741"/>
      <c r="C406" s="741"/>
      <c r="D406" s="741"/>
      <c r="E406" s="741"/>
      <c r="F406" s="741"/>
      <c r="G406" s="741"/>
      <c r="H406" s="741"/>
      <c r="I406" s="741"/>
      <c r="J406" s="741"/>
      <c r="K406" s="741"/>
      <c r="L406" s="741"/>
      <c r="M406" s="741"/>
      <c r="N406" s="741"/>
      <c r="O406" s="742"/>
      <c r="P406" s="738" t="s">
        <v>40</v>
      </c>
      <c r="Q406" s="739"/>
      <c r="R406" s="739"/>
      <c r="S406" s="739"/>
      <c r="T406" s="739"/>
      <c r="U406" s="739"/>
      <c r="V406" s="740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1"/>
      <c r="B407" s="741"/>
      <c r="C407" s="741"/>
      <c r="D407" s="741"/>
      <c r="E407" s="741"/>
      <c r="F407" s="741"/>
      <c r="G407" s="741"/>
      <c r="H407" s="741"/>
      <c r="I407" s="741"/>
      <c r="J407" s="741"/>
      <c r="K407" s="741"/>
      <c r="L407" s="741"/>
      <c r="M407" s="741"/>
      <c r="N407" s="741"/>
      <c r="O407" s="742"/>
      <c r="P407" s="738" t="s">
        <v>40</v>
      </c>
      <c r="Q407" s="739"/>
      <c r="R407" s="739"/>
      <c r="S407" s="739"/>
      <c r="T407" s="739"/>
      <c r="U407" s="739"/>
      <c r="V407" s="740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2" t="s">
        <v>681</v>
      </c>
      <c r="B408" s="732"/>
      <c r="C408" s="732"/>
      <c r="D408" s="732"/>
      <c r="E408" s="732"/>
      <c r="F408" s="732"/>
      <c r="G408" s="732"/>
      <c r="H408" s="732"/>
      <c r="I408" s="732"/>
      <c r="J408" s="732"/>
      <c r="K408" s="732"/>
      <c r="L408" s="732"/>
      <c r="M408" s="732"/>
      <c r="N408" s="732"/>
      <c r="O408" s="732"/>
      <c r="P408" s="732"/>
      <c r="Q408" s="732"/>
      <c r="R408" s="732"/>
      <c r="S408" s="732"/>
      <c r="T408" s="732"/>
      <c r="U408" s="732"/>
      <c r="V408" s="732"/>
      <c r="W408" s="732"/>
      <c r="X408" s="732"/>
      <c r="Y408" s="732"/>
      <c r="Z408" s="73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3">
        <v>4680115881808</v>
      </c>
      <c r="E409" s="73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5"/>
      <c r="R409" s="735"/>
      <c r="S409" s="735"/>
      <c r="T409" s="73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3">
        <v>4680115881822</v>
      </c>
      <c r="E410" s="73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5"/>
      <c r="R410" s="735"/>
      <c r="S410" s="735"/>
      <c r="T410" s="73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3">
        <v>4680115880016</v>
      </c>
      <c r="E411" s="73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5"/>
      <c r="R411" s="735"/>
      <c r="S411" s="735"/>
      <c r="T411" s="73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1"/>
      <c r="B412" s="741"/>
      <c r="C412" s="741"/>
      <c r="D412" s="741"/>
      <c r="E412" s="741"/>
      <c r="F412" s="741"/>
      <c r="G412" s="741"/>
      <c r="H412" s="741"/>
      <c r="I412" s="741"/>
      <c r="J412" s="741"/>
      <c r="K412" s="741"/>
      <c r="L412" s="741"/>
      <c r="M412" s="741"/>
      <c r="N412" s="741"/>
      <c r="O412" s="742"/>
      <c r="P412" s="738" t="s">
        <v>40</v>
      </c>
      <c r="Q412" s="739"/>
      <c r="R412" s="739"/>
      <c r="S412" s="739"/>
      <c r="T412" s="739"/>
      <c r="U412" s="739"/>
      <c r="V412" s="74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1"/>
      <c r="B413" s="741"/>
      <c r="C413" s="741"/>
      <c r="D413" s="741"/>
      <c r="E413" s="741"/>
      <c r="F413" s="741"/>
      <c r="G413" s="741"/>
      <c r="H413" s="741"/>
      <c r="I413" s="741"/>
      <c r="J413" s="741"/>
      <c r="K413" s="741"/>
      <c r="L413" s="741"/>
      <c r="M413" s="741"/>
      <c r="N413" s="741"/>
      <c r="O413" s="742"/>
      <c r="P413" s="738" t="s">
        <v>40</v>
      </c>
      <c r="Q413" s="739"/>
      <c r="R413" s="739"/>
      <c r="S413" s="739"/>
      <c r="T413" s="739"/>
      <c r="U413" s="739"/>
      <c r="V413" s="74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2" t="s">
        <v>690</v>
      </c>
      <c r="B414" s="732"/>
      <c r="C414" s="732"/>
      <c r="D414" s="732"/>
      <c r="E414" s="732"/>
      <c r="F414" s="732"/>
      <c r="G414" s="732"/>
      <c r="H414" s="732"/>
      <c r="I414" s="732"/>
      <c r="J414" s="732"/>
      <c r="K414" s="732"/>
      <c r="L414" s="732"/>
      <c r="M414" s="732"/>
      <c r="N414" s="732"/>
      <c r="O414" s="732"/>
      <c r="P414" s="732"/>
      <c r="Q414" s="732"/>
      <c r="R414" s="732"/>
      <c r="S414" s="732"/>
      <c r="T414" s="732"/>
      <c r="U414" s="732"/>
      <c r="V414" s="732"/>
      <c r="W414" s="732"/>
      <c r="X414" s="732"/>
      <c r="Y414" s="732"/>
      <c r="Z414" s="732"/>
      <c r="AA414" s="66"/>
      <c r="AB414" s="66"/>
      <c r="AC414" s="80"/>
    </row>
    <row r="415" spans="1:68" ht="27" customHeight="1" x14ac:dyDescent="0.25">
      <c r="A415" s="63" t="s">
        <v>691</v>
      </c>
      <c r="B415" s="63" t="s">
        <v>692</v>
      </c>
      <c r="C415" s="36">
        <v>4301220003</v>
      </c>
      <c r="D415" s="733">
        <v>4680115888678</v>
      </c>
      <c r="E415" s="73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5"/>
      <c r="R415" s="735"/>
      <c r="S415" s="735"/>
      <c r="T415" s="736"/>
      <c r="U415" s="39" t="s">
        <v>46</v>
      </c>
      <c r="V415" s="39" t="s">
        <v>46</v>
      </c>
      <c r="W415" s="40" t="s">
        <v>0</v>
      </c>
      <c r="X415" s="58">
        <v>3</v>
      </c>
      <c r="Y415" s="55">
        <f>IFERROR(IF(X415="",0,CEILING((X415/$H415),1)*$H415),"")</f>
        <v>3</v>
      </c>
      <c r="Z415" s="41">
        <f>IFERROR(IF(Y415=0,"",ROUNDUP(Y415/H415,0)*0.0045),"")</f>
        <v>4.4999999999999997E-3</v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3.22</v>
      </c>
      <c r="BN415" s="78">
        <f>IFERROR(Y415*I415/H415,"0")</f>
        <v>3.22</v>
      </c>
      <c r="BO415" s="78">
        <f>IFERROR(1/J415*(X415/H415),"0")</f>
        <v>4.464285714285714E-3</v>
      </c>
      <c r="BP415" s="78">
        <f>IFERROR(1/J415*(Y415/H415),"0")</f>
        <v>4.464285714285714E-3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3">
        <v>4680115888654</v>
      </c>
      <c r="E416" s="73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5"/>
      <c r="R416" s="735"/>
      <c r="S416" s="735"/>
      <c r="T416" s="73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697</v>
      </c>
      <c r="B417" s="63" t="s">
        <v>698</v>
      </c>
      <c r="C417" s="36">
        <v>4301220002</v>
      </c>
      <c r="D417" s="733">
        <v>4680115888753</v>
      </c>
      <c r="E417" s="73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5"/>
      <c r="R417" s="735"/>
      <c r="S417" s="735"/>
      <c r="T417" s="736"/>
      <c r="U417" s="39" t="s">
        <v>46</v>
      </c>
      <c r="V417" s="39" t="s">
        <v>46</v>
      </c>
      <c r="W417" s="40" t="s">
        <v>0</v>
      </c>
      <c r="X417" s="58">
        <v>3</v>
      </c>
      <c r="Y417" s="55">
        <f>IFERROR(IF(X417="",0,CEILING((X417/$H417),1)*$H417),"")</f>
        <v>3</v>
      </c>
      <c r="Z417" s="41">
        <f>IFERROR(IF(Y417=0,"",ROUNDUP(Y417/H417,0)*0.0045),"")</f>
        <v>4.4999999999999997E-3</v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3.22</v>
      </c>
      <c r="BN417" s="78">
        <f>IFERROR(Y417*I417/H417,"0")</f>
        <v>3.22</v>
      </c>
      <c r="BO417" s="78">
        <f>IFERROR(1/J417*(X417/H417),"0")</f>
        <v>4.464285714285714E-3</v>
      </c>
      <c r="BP417" s="78">
        <f>IFERROR(1/J417*(Y417/H417),"0")</f>
        <v>4.464285714285714E-3</v>
      </c>
    </row>
    <row r="418" spans="1:68" x14ac:dyDescent="0.2">
      <c r="A418" s="741"/>
      <c r="B418" s="741"/>
      <c r="C418" s="741"/>
      <c r="D418" s="741"/>
      <c r="E418" s="741"/>
      <c r="F418" s="741"/>
      <c r="G418" s="741"/>
      <c r="H418" s="741"/>
      <c r="I418" s="741"/>
      <c r="J418" s="741"/>
      <c r="K418" s="741"/>
      <c r="L418" s="741"/>
      <c r="M418" s="741"/>
      <c r="N418" s="741"/>
      <c r="O418" s="742"/>
      <c r="P418" s="738" t="s">
        <v>40</v>
      </c>
      <c r="Q418" s="739"/>
      <c r="R418" s="739"/>
      <c r="S418" s="739"/>
      <c r="T418" s="739"/>
      <c r="U418" s="739"/>
      <c r="V418" s="740"/>
      <c r="W418" s="42" t="s">
        <v>39</v>
      </c>
      <c r="X418" s="43">
        <f>IFERROR(X415/H415,"0")+IFERROR(X416/H416,"0")+IFERROR(X417/H417,"0")</f>
        <v>2</v>
      </c>
      <c r="Y418" s="43">
        <f>IFERROR(Y415/H415,"0")+IFERROR(Y416/H416,"0")+IFERROR(Y417/H417,"0")</f>
        <v>2</v>
      </c>
      <c r="Z418" s="43">
        <f>IFERROR(IF(Z415="",0,Z415),"0")+IFERROR(IF(Z416="",0,Z416),"0")+IFERROR(IF(Z417="",0,Z417),"0")</f>
        <v>8.9999999999999993E-3</v>
      </c>
      <c r="AA418" s="67"/>
      <c r="AB418" s="67"/>
      <c r="AC418" s="67"/>
    </row>
    <row r="419" spans="1:68" x14ac:dyDescent="0.2">
      <c r="A419" s="741"/>
      <c r="B419" s="741"/>
      <c r="C419" s="741"/>
      <c r="D419" s="741"/>
      <c r="E419" s="741"/>
      <c r="F419" s="741"/>
      <c r="G419" s="741"/>
      <c r="H419" s="741"/>
      <c r="I419" s="741"/>
      <c r="J419" s="741"/>
      <c r="K419" s="741"/>
      <c r="L419" s="741"/>
      <c r="M419" s="741"/>
      <c r="N419" s="741"/>
      <c r="O419" s="742"/>
      <c r="P419" s="738" t="s">
        <v>40</v>
      </c>
      <c r="Q419" s="739"/>
      <c r="R419" s="739"/>
      <c r="S419" s="739"/>
      <c r="T419" s="739"/>
      <c r="U419" s="739"/>
      <c r="V419" s="740"/>
      <c r="W419" s="42" t="s">
        <v>0</v>
      </c>
      <c r="X419" s="43">
        <f>IFERROR(SUM(X415:X417),"0")</f>
        <v>6</v>
      </c>
      <c r="Y419" s="43">
        <f>IFERROR(SUM(Y415:Y417),"0")</f>
        <v>6</v>
      </c>
      <c r="Z419" s="42"/>
      <c r="AA419" s="67"/>
      <c r="AB419" s="67"/>
      <c r="AC419" s="67"/>
    </row>
    <row r="420" spans="1:68" ht="16.5" hidden="1" customHeight="1" x14ac:dyDescent="0.25">
      <c r="A420" s="731" t="s">
        <v>699</v>
      </c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1"/>
      <c r="P420" s="731"/>
      <c r="Q420" s="731"/>
      <c r="R420" s="731"/>
      <c r="S420" s="731"/>
      <c r="T420" s="731"/>
      <c r="U420" s="731"/>
      <c r="V420" s="731"/>
      <c r="W420" s="731"/>
      <c r="X420" s="731"/>
      <c r="Y420" s="731"/>
      <c r="Z420" s="731"/>
      <c r="AA420" s="65"/>
      <c r="AB420" s="65"/>
      <c r="AC420" s="79"/>
    </row>
    <row r="421" spans="1:68" ht="14.25" hidden="1" customHeight="1" x14ac:dyDescent="0.25">
      <c r="A421" s="732" t="s">
        <v>86</v>
      </c>
      <c r="B421" s="732"/>
      <c r="C421" s="732"/>
      <c r="D421" s="732"/>
      <c r="E421" s="732"/>
      <c r="F421" s="732"/>
      <c r="G421" s="732"/>
      <c r="H421" s="732"/>
      <c r="I421" s="732"/>
      <c r="J421" s="732"/>
      <c r="K421" s="732"/>
      <c r="L421" s="732"/>
      <c r="M421" s="732"/>
      <c r="N421" s="732"/>
      <c r="O421" s="732"/>
      <c r="P421" s="732"/>
      <c r="Q421" s="732"/>
      <c r="R421" s="732"/>
      <c r="S421" s="732"/>
      <c r="T421" s="732"/>
      <c r="U421" s="732"/>
      <c r="V421" s="732"/>
      <c r="W421" s="732"/>
      <c r="X421" s="732"/>
      <c r="Y421" s="732"/>
      <c r="Z421" s="73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733">
        <v>4680115889415</v>
      </c>
      <c r="E422" s="73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5"/>
      <c r="R422" s="735"/>
      <c r="S422" s="735"/>
      <c r="T422" s="736"/>
      <c r="U422" s="39" t="s">
        <v>46</v>
      </c>
      <c r="V422" s="39" t="s">
        <v>46</v>
      </c>
      <c r="W422" s="40" t="s">
        <v>0</v>
      </c>
      <c r="X422" s="58"/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733">
        <v>4680115889422</v>
      </c>
      <c r="E423" s="73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5"/>
      <c r="R423" s="735"/>
      <c r="S423" s="735"/>
      <c r="T423" s="736"/>
      <c r="U423" s="39" t="s">
        <v>46</v>
      </c>
      <c r="V423" s="39" t="s">
        <v>46</v>
      </c>
      <c r="W423" s="40" t="s">
        <v>0</v>
      </c>
      <c r="X423" s="58"/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41"/>
      <c r="B424" s="741"/>
      <c r="C424" s="741"/>
      <c r="D424" s="741"/>
      <c r="E424" s="741"/>
      <c r="F424" s="741"/>
      <c r="G424" s="741"/>
      <c r="H424" s="741"/>
      <c r="I424" s="741"/>
      <c r="J424" s="741"/>
      <c r="K424" s="741"/>
      <c r="L424" s="741"/>
      <c r="M424" s="741"/>
      <c r="N424" s="741"/>
      <c r="O424" s="742"/>
      <c r="P424" s="738" t="s">
        <v>40</v>
      </c>
      <c r="Q424" s="739"/>
      <c r="R424" s="739"/>
      <c r="S424" s="739"/>
      <c r="T424" s="739"/>
      <c r="U424" s="739"/>
      <c r="V424" s="740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741"/>
      <c r="B425" s="741"/>
      <c r="C425" s="741"/>
      <c r="D425" s="741"/>
      <c r="E425" s="741"/>
      <c r="F425" s="741"/>
      <c r="G425" s="741"/>
      <c r="H425" s="741"/>
      <c r="I425" s="741"/>
      <c r="J425" s="741"/>
      <c r="K425" s="741"/>
      <c r="L425" s="741"/>
      <c r="M425" s="741"/>
      <c r="N425" s="741"/>
      <c r="O425" s="742"/>
      <c r="P425" s="738" t="s">
        <v>40</v>
      </c>
      <c r="Q425" s="739"/>
      <c r="R425" s="739"/>
      <c r="S425" s="739"/>
      <c r="T425" s="739"/>
      <c r="U425" s="739"/>
      <c r="V425" s="740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731" t="s">
        <v>706</v>
      </c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1"/>
      <c r="P426" s="731"/>
      <c r="Q426" s="731"/>
      <c r="R426" s="731"/>
      <c r="S426" s="731"/>
      <c r="T426" s="731"/>
      <c r="U426" s="731"/>
      <c r="V426" s="731"/>
      <c r="W426" s="731"/>
      <c r="X426" s="731"/>
      <c r="Y426" s="731"/>
      <c r="Z426" s="731"/>
      <c r="AA426" s="65"/>
      <c r="AB426" s="65"/>
      <c r="AC426" s="79"/>
    </row>
    <row r="427" spans="1:68" ht="14.25" hidden="1" customHeight="1" x14ac:dyDescent="0.25">
      <c r="A427" s="732" t="s">
        <v>86</v>
      </c>
      <c r="B427" s="732"/>
      <c r="C427" s="732"/>
      <c r="D427" s="732"/>
      <c r="E427" s="732"/>
      <c r="F427" s="732"/>
      <c r="G427" s="732"/>
      <c r="H427" s="732"/>
      <c r="I427" s="732"/>
      <c r="J427" s="732"/>
      <c r="K427" s="732"/>
      <c r="L427" s="732"/>
      <c r="M427" s="732"/>
      <c r="N427" s="732"/>
      <c r="O427" s="732"/>
      <c r="P427" s="732"/>
      <c r="Q427" s="732"/>
      <c r="R427" s="732"/>
      <c r="S427" s="732"/>
      <c r="T427" s="732"/>
      <c r="U427" s="732"/>
      <c r="V427" s="732"/>
      <c r="W427" s="732"/>
      <c r="X427" s="732"/>
      <c r="Y427" s="732"/>
      <c r="Z427" s="73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733">
        <v>4607091387919</v>
      </c>
      <c r="E428" s="73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5"/>
      <c r="R428" s="735"/>
      <c r="S428" s="735"/>
      <c r="T428" s="73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733">
        <v>4680115883604</v>
      </c>
      <c r="E429" s="73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5"/>
      <c r="R429" s="735"/>
      <c r="S429" s="735"/>
      <c r="T429" s="736"/>
      <c r="U429" s="39" t="s">
        <v>46</v>
      </c>
      <c r="V429" s="39" t="s">
        <v>46</v>
      </c>
      <c r="W429" s="40" t="s">
        <v>0</v>
      </c>
      <c r="X429" s="58">
        <v>21</v>
      </c>
      <c r="Y429" s="55">
        <f>IFERROR(IF(X429="",0,CEILING((X429/$H429),1)*$H429),"")</f>
        <v>21</v>
      </c>
      <c r="Z429" s="41">
        <f>IFERROR(IF(Y429=0,"",ROUNDUP(Y429/H429,0)*0.00651),"")</f>
        <v>6.5100000000000005E-2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23.519999999999996</v>
      </c>
      <c r="BN429" s="78">
        <f>IFERROR(Y429*I429/H429,"0")</f>
        <v>23.519999999999996</v>
      </c>
      <c r="BO429" s="78">
        <f>IFERROR(1/J429*(X429/H429),"0")</f>
        <v>5.4945054945054951E-2</v>
      </c>
      <c r="BP429" s="78">
        <f>IFERROR(1/J429*(Y429/H429),"0")</f>
        <v>5.4945054945054951E-2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733">
        <v>4680115883567</v>
      </c>
      <c r="E430" s="73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5"/>
      <c r="R430" s="735"/>
      <c r="S430" s="735"/>
      <c r="T430" s="736"/>
      <c r="U430" s="39" t="s">
        <v>46</v>
      </c>
      <c r="V430" s="39" t="s">
        <v>46</v>
      </c>
      <c r="W430" s="40" t="s">
        <v>0</v>
      </c>
      <c r="X430" s="58">
        <v>6.3</v>
      </c>
      <c r="Y430" s="55">
        <f>IFERROR(IF(X430="",0,CEILING((X430/$H430),1)*$H430),"")</f>
        <v>6.3000000000000007</v>
      </c>
      <c r="Z430" s="41">
        <f>IFERROR(IF(Y430=0,"",ROUNDUP(Y430/H430,0)*0.00651),"")</f>
        <v>1.9529999999999999E-2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7.02</v>
      </c>
      <c r="BN430" s="78">
        <f>IFERROR(Y430*I430/H430,"0")</f>
        <v>7.0200000000000005</v>
      </c>
      <c r="BO430" s="78">
        <f>IFERROR(1/J430*(X430/H430),"0")</f>
        <v>1.6483516483516484E-2</v>
      </c>
      <c r="BP430" s="78">
        <f>IFERROR(1/J430*(Y430/H430),"0")</f>
        <v>1.6483516483516484E-2</v>
      </c>
    </row>
    <row r="431" spans="1:68" x14ac:dyDescent="0.2">
      <c r="A431" s="741"/>
      <c r="B431" s="741"/>
      <c r="C431" s="741"/>
      <c r="D431" s="741"/>
      <c r="E431" s="741"/>
      <c r="F431" s="741"/>
      <c r="G431" s="741"/>
      <c r="H431" s="741"/>
      <c r="I431" s="741"/>
      <c r="J431" s="741"/>
      <c r="K431" s="741"/>
      <c r="L431" s="741"/>
      <c r="M431" s="741"/>
      <c r="N431" s="741"/>
      <c r="O431" s="742"/>
      <c r="P431" s="738" t="s">
        <v>40</v>
      </c>
      <c r="Q431" s="739"/>
      <c r="R431" s="739"/>
      <c r="S431" s="739"/>
      <c r="T431" s="739"/>
      <c r="U431" s="739"/>
      <c r="V431" s="740"/>
      <c r="W431" s="42" t="s">
        <v>39</v>
      </c>
      <c r="X431" s="43">
        <f>IFERROR(X428/H428,"0")+IFERROR(X429/H429,"0")+IFERROR(X430/H430,"0")</f>
        <v>13</v>
      </c>
      <c r="Y431" s="43">
        <f>IFERROR(Y428/H428,"0")+IFERROR(Y429/H429,"0")+IFERROR(Y430/H430,"0")</f>
        <v>13</v>
      </c>
      <c r="Z431" s="43">
        <f>IFERROR(IF(Z428="",0,Z428),"0")+IFERROR(IF(Z429="",0,Z429),"0")+IFERROR(IF(Z430="",0,Z430),"0")</f>
        <v>8.4630000000000011E-2</v>
      </c>
      <c r="AA431" s="67"/>
      <c r="AB431" s="67"/>
      <c r="AC431" s="67"/>
    </row>
    <row r="432" spans="1:68" x14ac:dyDescent="0.2">
      <c r="A432" s="741"/>
      <c r="B432" s="741"/>
      <c r="C432" s="741"/>
      <c r="D432" s="741"/>
      <c r="E432" s="741"/>
      <c r="F432" s="741"/>
      <c r="G432" s="741"/>
      <c r="H432" s="741"/>
      <c r="I432" s="741"/>
      <c r="J432" s="741"/>
      <c r="K432" s="741"/>
      <c r="L432" s="741"/>
      <c r="M432" s="741"/>
      <c r="N432" s="741"/>
      <c r="O432" s="742"/>
      <c r="P432" s="738" t="s">
        <v>40</v>
      </c>
      <c r="Q432" s="739"/>
      <c r="R432" s="739"/>
      <c r="S432" s="739"/>
      <c r="T432" s="739"/>
      <c r="U432" s="739"/>
      <c r="V432" s="740"/>
      <c r="W432" s="42" t="s">
        <v>0</v>
      </c>
      <c r="X432" s="43">
        <f>IFERROR(SUM(X428:X430),"0")</f>
        <v>27.3</v>
      </c>
      <c r="Y432" s="43">
        <f>IFERROR(SUM(Y428:Y430),"0")</f>
        <v>27.3</v>
      </c>
      <c r="Z432" s="42"/>
      <c r="AA432" s="67"/>
      <c r="AB432" s="67"/>
      <c r="AC432" s="67"/>
    </row>
    <row r="433" spans="1:68" ht="27.75" hidden="1" customHeight="1" x14ac:dyDescent="0.2">
      <c r="A433" s="730" t="s">
        <v>716</v>
      </c>
      <c r="B433" s="730"/>
      <c r="C433" s="730"/>
      <c r="D433" s="730"/>
      <c r="E433" s="730"/>
      <c r="F433" s="730"/>
      <c r="G433" s="730"/>
      <c r="H433" s="730"/>
      <c r="I433" s="730"/>
      <c r="J433" s="730"/>
      <c r="K433" s="730"/>
      <c r="L433" s="730"/>
      <c r="M433" s="730"/>
      <c r="N433" s="730"/>
      <c r="O433" s="730"/>
      <c r="P433" s="730"/>
      <c r="Q433" s="730"/>
      <c r="R433" s="730"/>
      <c r="S433" s="730"/>
      <c r="T433" s="730"/>
      <c r="U433" s="730"/>
      <c r="V433" s="730"/>
      <c r="W433" s="730"/>
      <c r="X433" s="730"/>
      <c r="Y433" s="730"/>
      <c r="Z433" s="730"/>
      <c r="AA433" s="54"/>
      <c r="AB433" s="54"/>
      <c r="AC433" s="54"/>
    </row>
    <row r="434" spans="1:68" ht="16.5" hidden="1" customHeight="1" x14ac:dyDescent="0.25">
      <c r="A434" s="731" t="s">
        <v>717</v>
      </c>
      <c r="B434" s="731"/>
      <c r="C434" s="731"/>
      <c r="D434" s="731"/>
      <c r="E434" s="731"/>
      <c r="F434" s="731"/>
      <c r="G434" s="731"/>
      <c r="H434" s="731"/>
      <c r="I434" s="731"/>
      <c r="J434" s="731"/>
      <c r="K434" s="731"/>
      <c r="L434" s="731"/>
      <c r="M434" s="731"/>
      <c r="N434" s="731"/>
      <c r="O434" s="731"/>
      <c r="P434" s="731"/>
      <c r="Q434" s="731"/>
      <c r="R434" s="731"/>
      <c r="S434" s="731"/>
      <c r="T434" s="731"/>
      <c r="U434" s="731"/>
      <c r="V434" s="731"/>
      <c r="W434" s="731"/>
      <c r="X434" s="731"/>
      <c r="Y434" s="731"/>
      <c r="Z434" s="731"/>
      <c r="AA434" s="65"/>
      <c r="AB434" s="65"/>
      <c r="AC434" s="79"/>
    </row>
    <row r="435" spans="1:68" ht="14.25" hidden="1" customHeight="1" x14ac:dyDescent="0.25">
      <c r="A435" s="732" t="s">
        <v>122</v>
      </c>
      <c r="B435" s="732"/>
      <c r="C435" s="732"/>
      <c r="D435" s="732"/>
      <c r="E435" s="732"/>
      <c r="F435" s="732"/>
      <c r="G435" s="732"/>
      <c r="H435" s="732"/>
      <c r="I435" s="732"/>
      <c r="J435" s="732"/>
      <c r="K435" s="732"/>
      <c r="L435" s="732"/>
      <c r="M435" s="732"/>
      <c r="N435" s="732"/>
      <c r="O435" s="732"/>
      <c r="P435" s="732"/>
      <c r="Q435" s="732"/>
      <c r="R435" s="732"/>
      <c r="S435" s="732"/>
      <c r="T435" s="732"/>
      <c r="U435" s="732"/>
      <c r="V435" s="732"/>
      <c r="W435" s="732"/>
      <c r="X435" s="732"/>
      <c r="Y435" s="732"/>
      <c r="Z435" s="73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3">
        <v>4680115888401</v>
      </c>
      <c r="E436" s="73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5"/>
      <c r="R436" s="735"/>
      <c r="S436" s="735"/>
      <c r="T436" s="73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733">
        <v>4680115884847</v>
      </c>
      <c r="E437" s="73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5"/>
      <c r="R437" s="735"/>
      <c r="S437" s="735"/>
      <c r="T437" s="736"/>
      <c r="U437" s="39" t="s">
        <v>46</v>
      </c>
      <c r="V437" s="39" t="s">
        <v>46</v>
      </c>
      <c r="W437" s="40" t="s">
        <v>0</v>
      </c>
      <c r="X437" s="58">
        <v>100</v>
      </c>
      <c r="Y437" s="55">
        <f t="shared" si="70"/>
        <v>105</v>
      </c>
      <c r="Z437" s="41">
        <f>IFERROR(IF(Y437=0,"",ROUNDUP(Y437/H437,0)*0.02175),"")</f>
        <v>0.15225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103.13333333333334</v>
      </c>
      <c r="BN437" s="78">
        <f t="shared" si="72"/>
        <v>108.29</v>
      </c>
      <c r="BO437" s="78">
        <f t="shared" si="73"/>
        <v>0.1388888888888889</v>
      </c>
      <c r="BP437" s="78">
        <f t="shared" si="74"/>
        <v>0.14583333333333331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733">
        <v>4680115884854</v>
      </c>
      <c r="E438" s="73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5"/>
      <c r="R438" s="735"/>
      <c r="S438" s="735"/>
      <c r="T438" s="736"/>
      <c r="U438" s="39" t="s">
        <v>46</v>
      </c>
      <c r="V438" s="39" t="s">
        <v>46</v>
      </c>
      <c r="W438" s="40" t="s">
        <v>0</v>
      </c>
      <c r="X438" s="58">
        <v>100</v>
      </c>
      <c r="Y438" s="55">
        <f t="shared" si="70"/>
        <v>105</v>
      </c>
      <c r="Z438" s="41">
        <f>IFERROR(IF(Y438=0,"",ROUNDUP(Y438/H438,0)*0.02175),"")</f>
        <v>0.15225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103.13333333333334</v>
      </c>
      <c r="BN438" s="78">
        <f t="shared" si="72"/>
        <v>108.29</v>
      </c>
      <c r="BO438" s="78">
        <f t="shared" si="73"/>
        <v>0.1388888888888889</v>
      </c>
      <c r="BP438" s="78">
        <f t="shared" si="74"/>
        <v>0.14583333333333331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733">
        <v>4680115884830</v>
      </c>
      <c r="E439" s="73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5"/>
      <c r="R439" s="735"/>
      <c r="S439" s="735"/>
      <c r="T439" s="736"/>
      <c r="U439" s="39" t="s">
        <v>46</v>
      </c>
      <c r="V439" s="39" t="s">
        <v>46</v>
      </c>
      <c r="W439" s="40" t="s">
        <v>0</v>
      </c>
      <c r="X439" s="58">
        <v>300</v>
      </c>
      <c r="Y439" s="55">
        <f t="shared" si="70"/>
        <v>300</v>
      </c>
      <c r="Z439" s="41">
        <f>IFERROR(IF(Y439=0,"",ROUNDUP(Y439/H439,0)*0.02175),"")</f>
        <v>0.43499999999999994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309.39999999999998</v>
      </c>
      <c r="BN439" s="78">
        <f t="shared" si="72"/>
        <v>309.39999999999998</v>
      </c>
      <c r="BO439" s="78">
        <f t="shared" si="73"/>
        <v>0.41666666666666663</v>
      </c>
      <c r="BP439" s="78">
        <f t="shared" si="74"/>
        <v>0.41666666666666663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733">
        <v>4680115889231</v>
      </c>
      <c r="E440" s="73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5"/>
      <c r="R440" s="735"/>
      <c r="S440" s="735"/>
      <c r="T440" s="73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3">
        <v>4680115882638</v>
      </c>
      <c r="E441" s="73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5"/>
      <c r="R441" s="735"/>
      <c r="S441" s="735"/>
      <c r="T441" s="73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3">
        <v>4680115884922</v>
      </c>
      <c r="E442" s="73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5"/>
      <c r="R442" s="735"/>
      <c r="S442" s="735"/>
      <c r="T442" s="73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3">
        <v>4680115884861</v>
      </c>
      <c r="E443" s="73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5"/>
      <c r="R443" s="735"/>
      <c r="S443" s="735"/>
      <c r="T443" s="73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741"/>
      <c r="B444" s="741"/>
      <c r="C444" s="741"/>
      <c r="D444" s="741"/>
      <c r="E444" s="741"/>
      <c r="F444" s="741"/>
      <c r="G444" s="741"/>
      <c r="H444" s="741"/>
      <c r="I444" s="741"/>
      <c r="J444" s="741"/>
      <c r="K444" s="741"/>
      <c r="L444" s="741"/>
      <c r="M444" s="741"/>
      <c r="N444" s="741"/>
      <c r="O444" s="742"/>
      <c r="P444" s="738" t="s">
        <v>40</v>
      </c>
      <c r="Q444" s="739"/>
      <c r="R444" s="739"/>
      <c r="S444" s="739"/>
      <c r="T444" s="739"/>
      <c r="U444" s="739"/>
      <c r="V444" s="740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33.333333333333336</v>
      </c>
      <c r="Y444" s="43">
        <f>IFERROR(Y436/H436,"0")+IFERROR(Y437/H437,"0")+IFERROR(Y438/H438,"0")+IFERROR(Y439/H439,"0")+IFERROR(Y440/H440,"0")+IFERROR(Y441/H441,"0")+IFERROR(Y442/H442,"0")+IFERROR(Y443/H443,"0")</f>
        <v>34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0.73949999999999994</v>
      </c>
      <c r="AA444" s="67"/>
      <c r="AB444" s="67"/>
      <c r="AC444" s="67"/>
    </row>
    <row r="445" spans="1:68" x14ac:dyDescent="0.2">
      <c r="A445" s="741"/>
      <c r="B445" s="741"/>
      <c r="C445" s="741"/>
      <c r="D445" s="741"/>
      <c r="E445" s="741"/>
      <c r="F445" s="741"/>
      <c r="G445" s="741"/>
      <c r="H445" s="741"/>
      <c r="I445" s="741"/>
      <c r="J445" s="741"/>
      <c r="K445" s="741"/>
      <c r="L445" s="741"/>
      <c r="M445" s="741"/>
      <c r="N445" s="741"/>
      <c r="O445" s="742"/>
      <c r="P445" s="738" t="s">
        <v>40</v>
      </c>
      <c r="Q445" s="739"/>
      <c r="R445" s="739"/>
      <c r="S445" s="739"/>
      <c r="T445" s="739"/>
      <c r="U445" s="739"/>
      <c r="V445" s="740"/>
      <c r="W445" s="42" t="s">
        <v>0</v>
      </c>
      <c r="X445" s="43">
        <f>IFERROR(SUM(X436:X443),"0")</f>
        <v>500</v>
      </c>
      <c r="Y445" s="43">
        <f>IFERROR(SUM(Y436:Y443),"0")</f>
        <v>510</v>
      </c>
      <c r="Z445" s="42"/>
      <c r="AA445" s="67"/>
      <c r="AB445" s="67"/>
      <c r="AC445" s="67"/>
    </row>
    <row r="446" spans="1:68" ht="14.25" hidden="1" customHeight="1" x14ac:dyDescent="0.25">
      <c r="A446" s="732" t="s">
        <v>155</v>
      </c>
      <c r="B446" s="732"/>
      <c r="C446" s="732"/>
      <c r="D446" s="732"/>
      <c r="E446" s="732"/>
      <c r="F446" s="732"/>
      <c r="G446" s="732"/>
      <c r="H446" s="732"/>
      <c r="I446" s="732"/>
      <c r="J446" s="732"/>
      <c r="K446" s="732"/>
      <c r="L446" s="732"/>
      <c r="M446" s="732"/>
      <c r="N446" s="732"/>
      <c r="O446" s="732"/>
      <c r="P446" s="732"/>
      <c r="Q446" s="732"/>
      <c r="R446" s="732"/>
      <c r="S446" s="732"/>
      <c r="T446" s="732"/>
      <c r="U446" s="732"/>
      <c r="V446" s="732"/>
      <c r="W446" s="732"/>
      <c r="X446" s="732"/>
      <c r="Y446" s="732"/>
      <c r="Z446" s="73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733">
        <v>4607091383980</v>
      </c>
      <c r="E447" s="73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5"/>
      <c r="R447" s="735"/>
      <c r="S447" s="735"/>
      <c r="T447" s="736"/>
      <c r="U447" s="39" t="s">
        <v>46</v>
      </c>
      <c r="V447" s="39" t="s">
        <v>46</v>
      </c>
      <c r="W447" s="40" t="s">
        <v>0</v>
      </c>
      <c r="X447" s="58">
        <v>200</v>
      </c>
      <c r="Y447" s="55">
        <f>IFERROR(IF(X447="",0,CEILING((X447/$H447),1)*$H447),"")</f>
        <v>210</v>
      </c>
      <c r="Z447" s="41">
        <f>IFERROR(IF(Y447=0,"",ROUNDUP(Y447/H447,0)*0.02175),"")</f>
        <v>0.30449999999999999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206.26666666666668</v>
      </c>
      <c r="BN447" s="78">
        <f>IFERROR(Y447*I447/H447,"0")</f>
        <v>216.58</v>
      </c>
      <c r="BO447" s="78">
        <f>IFERROR(1/J447*(X447/H447),"0")</f>
        <v>0.27777777777777779</v>
      </c>
      <c r="BP447" s="78">
        <f>IFERROR(1/J447*(Y447/H447),"0")</f>
        <v>0.29166666666666663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3">
        <v>4680115888425</v>
      </c>
      <c r="E448" s="73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5"/>
      <c r="R448" s="735"/>
      <c r="S448" s="735"/>
      <c r="T448" s="736"/>
      <c r="U448" s="39" t="s">
        <v>46</v>
      </c>
      <c r="V448" s="39" t="s">
        <v>46</v>
      </c>
      <c r="W448" s="40" t="s">
        <v>0</v>
      </c>
      <c r="X448" s="58"/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3">
        <v>4607091384178</v>
      </c>
      <c r="E449" s="73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7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5"/>
      <c r="R449" s="735"/>
      <c r="S449" s="735"/>
      <c r="T449" s="73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41"/>
      <c r="B450" s="741"/>
      <c r="C450" s="741"/>
      <c r="D450" s="741"/>
      <c r="E450" s="741"/>
      <c r="F450" s="741"/>
      <c r="G450" s="741"/>
      <c r="H450" s="741"/>
      <c r="I450" s="741"/>
      <c r="J450" s="741"/>
      <c r="K450" s="741"/>
      <c r="L450" s="741"/>
      <c r="M450" s="741"/>
      <c r="N450" s="741"/>
      <c r="O450" s="742"/>
      <c r="P450" s="738" t="s">
        <v>40</v>
      </c>
      <c r="Q450" s="739"/>
      <c r="R450" s="739"/>
      <c r="S450" s="739"/>
      <c r="T450" s="739"/>
      <c r="U450" s="739"/>
      <c r="V450" s="740"/>
      <c r="W450" s="42" t="s">
        <v>39</v>
      </c>
      <c r="X450" s="43">
        <f>IFERROR(X447/H447,"0")+IFERROR(X448/H448,"0")+IFERROR(X449/H449,"0")</f>
        <v>13.333333333333334</v>
      </c>
      <c r="Y450" s="43">
        <f>IFERROR(Y447/H447,"0")+IFERROR(Y448/H448,"0")+IFERROR(Y449/H449,"0")</f>
        <v>14</v>
      </c>
      <c r="Z450" s="43">
        <f>IFERROR(IF(Z447="",0,Z447),"0")+IFERROR(IF(Z448="",0,Z448),"0")+IFERROR(IF(Z449="",0,Z449),"0")</f>
        <v>0.30449999999999999</v>
      </c>
      <c r="AA450" s="67"/>
      <c r="AB450" s="67"/>
      <c r="AC450" s="67"/>
    </row>
    <row r="451" spans="1:68" x14ac:dyDescent="0.2">
      <c r="A451" s="741"/>
      <c r="B451" s="741"/>
      <c r="C451" s="741"/>
      <c r="D451" s="741"/>
      <c r="E451" s="741"/>
      <c r="F451" s="741"/>
      <c r="G451" s="741"/>
      <c r="H451" s="741"/>
      <c r="I451" s="741"/>
      <c r="J451" s="741"/>
      <c r="K451" s="741"/>
      <c r="L451" s="741"/>
      <c r="M451" s="741"/>
      <c r="N451" s="741"/>
      <c r="O451" s="742"/>
      <c r="P451" s="738" t="s">
        <v>40</v>
      </c>
      <c r="Q451" s="739"/>
      <c r="R451" s="739"/>
      <c r="S451" s="739"/>
      <c r="T451" s="739"/>
      <c r="U451" s="739"/>
      <c r="V451" s="740"/>
      <c r="W451" s="42" t="s">
        <v>0</v>
      </c>
      <c r="X451" s="43">
        <f>IFERROR(SUM(X447:X449),"0")</f>
        <v>200</v>
      </c>
      <c r="Y451" s="43">
        <f>IFERROR(SUM(Y447:Y449),"0")</f>
        <v>210</v>
      </c>
      <c r="Z451" s="42"/>
      <c r="AA451" s="67"/>
      <c r="AB451" s="67"/>
      <c r="AC451" s="67"/>
    </row>
    <row r="452" spans="1:68" ht="14.25" hidden="1" customHeight="1" x14ac:dyDescent="0.25">
      <c r="A452" s="732" t="s">
        <v>86</v>
      </c>
      <c r="B452" s="732"/>
      <c r="C452" s="732"/>
      <c r="D452" s="732"/>
      <c r="E452" s="732"/>
      <c r="F452" s="732"/>
      <c r="G452" s="732"/>
      <c r="H452" s="732"/>
      <c r="I452" s="732"/>
      <c r="J452" s="732"/>
      <c r="K452" s="732"/>
      <c r="L452" s="732"/>
      <c r="M452" s="732"/>
      <c r="N452" s="732"/>
      <c r="O452" s="732"/>
      <c r="P452" s="732"/>
      <c r="Q452" s="732"/>
      <c r="R452" s="732"/>
      <c r="S452" s="732"/>
      <c r="T452" s="732"/>
      <c r="U452" s="732"/>
      <c r="V452" s="732"/>
      <c r="W452" s="732"/>
      <c r="X452" s="732"/>
      <c r="Y452" s="732"/>
      <c r="Z452" s="73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3">
        <v>4607091383928</v>
      </c>
      <c r="E453" s="73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5"/>
      <c r="R453" s="735"/>
      <c r="S453" s="735"/>
      <c r="T453" s="73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733">
        <v>4607091384260</v>
      </c>
      <c r="E454" s="73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5"/>
      <c r="R454" s="735"/>
      <c r="S454" s="735"/>
      <c r="T454" s="73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3">
        <v>4680115889538</v>
      </c>
      <c r="E455" s="73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5"/>
      <c r="R455" s="735"/>
      <c r="S455" s="735"/>
      <c r="T455" s="73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41"/>
      <c r="B456" s="741"/>
      <c r="C456" s="741"/>
      <c r="D456" s="741"/>
      <c r="E456" s="741"/>
      <c r="F456" s="741"/>
      <c r="G456" s="741"/>
      <c r="H456" s="741"/>
      <c r="I456" s="741"/>
      <c r="J456" s="741"/>
      <c r="K456" s="741"/>
      <c r="L456" s="741"/>
      <c r="M456" s="741"/>
      <c r="N456" s="741"/>
      <c r="O456" s="742"/>
      <c r="P456" s="738" t="s">
        <v>40</v>
      </c>
      <c r="Q456" s="739"/>
      <c r="R456" s="739"/>
      <c r="S456" s="739"/>
      <c r="T456" s="739"/>
      <c r="U456" s="739"/>
      <c r="V456" s="740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741"/>
      <c r="B457" s="741"/>
      <c r="C457" s="741"/>
      <c r="D457" s="741"/>
      <c r="E457" s="741"/>
      <c r="F457" s="741"/>
      <c r="G457" s="741"/>
      <c r="H457" s="741"/>
      <c r="I457" s="741"/>
      <c r="J457" s="741"/>
      <c r="K457" s="741"/>
      <c r="L457" s="741"/>
      <c r="M457" s="741"/>
      <c r="N457" s="741"/>
      <c r="O457" s="742"/>
      <c r="P457" s="738" t="s">
        <v>40</v>
      </c>
      <c r="Q457" s="739"/>
      <c r="R457" s="739"/>
      <c r="S457" s="739"/>
      <c r="T457" s="739"/>
      <c r="U457" s="739"/>
      <c r="V457" s="740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32" t="s">
        <v>173</v>
      </c>
      <c r="B458" s="732"/>
      <c r="C458" s="732"/>
      <c r="D458" s="732"/>
      <c r="E458" s="732"/>
      <c r="F458" s="732"/>
      <c r="G458" s="732"/>
      <c r="H458" s="732"/>
      <c r="I458" s="732"/>
      <c r="J458" s="732"/>
      <c r="K458" s="732"/>
      <c r="L458" s="732"/>
      <c r="M458" s="732"/>
      <c r="N458" s="732"/>
      <c r="O458" s="732"/>
      <c r="P458" s="732"/>
      <c r="Q458" s="732"/>
      <c r="R458" s="732"/>
      <c r="S458" s="732"/>
      <c r="T458" s="732"/>
      <c r="U458" s="732"/>
      <c r="V458" s="732"/>
      <c r="W458" s="732"/>
      <c r="X458" s="732"/>
      <c r="Y458" s="732"/>
      <c r="Z458" s="73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3">
        <v>4680115889545</v>
      </c>
      <c r="E459" s="73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5"/>
      <c r="R459" s="735"/>
      <c r="S459" s="735"/>
      <c r="T459" s="73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3">
        <v>4607091384673</v>
      </c>
      <c r="E460" s="73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5"/>
      <c r="R460" s="735"/>
      <c r="S460" s="735"/>
      <c r="T460" s="73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1"/>
      <c r="B461" s="741"/>
      <c r="C461" s="741"/>
      <c r="D461" s="741"/>
      <c r="E461" s="741"/>
      <c r="F461" s="741"/>
      <c r="G461" s="741"/>
      <c r="H461" s="741"/>
      <c r="I461" s="741"/>
      <c r="J461" s="741"/>
      <c r="K461" s="741"/>
      <c r="L461" s="741"/>
      <c r="M461" s="741"/>
      <c r="N461" s="741"/>
      <c r="O461" s="742"/>
      <c r="P461" s="738" t="s">
        <v>40</v>
      </c>
      <c r="Q461" s="739"/>
      <c r="R461" s="739"/>
      <c r="S461" s="739"/>
      <c r="T461" s="739"/>
      <c r="U461" s="739"/>
      <c r="V461" s="740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1"/>
      <c r="B462" s="741"/>
      <c r="C462" s="741"/>
      <c r="D462" s="741"/>
      <c r="E462" s="741"/>
      <c r="F462" s="741"/>
      <c r="G462" s="741"/>
      <c r="H462" s="741"/>
      <c r="I462" s="741"/>
      <c r="J462" s="741"/>
      <c r="K462" s="741"/>
      <c r="L462" s="741"/>
      <c r="M462" s="741"/>
      <c r="N462" s="741"/>
      <c r="O462" s="742"/>
      <c r="P462" s="738" t="s">
        <v>40</v>
      </c>
      <c r="Q462" s="739"/>
      <c r="R462" s="739"/>
      <c r="S462" s="739"/>
      <c r="T462" s="739"/>
      <c r="U462" s="739"/>
      <c r="V462" s="740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1" t="s">
        <v>766</v>
      </c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1"/>
      <c r="P463" s="731"/>
      <c r="Q463" s="731"/>
      <c r="R463" s="731"/>
      <c r="S463" s="731"/>
      <c r="T463" s="731"/>
      <c r="U463" s="731"/>
      <c r="V463" s="731"/>
      <c r="W463" s="731"/>
      <c r="X463" s="731"/>
      <c r="Y463" s="731"/>
      <c r="Z463" s="731"/>
      <c r="AA463" s="65"/>
      <c r="AB463" s="65"/>
      <c r="AC463" s="79"/>
    </row>
    <row r="464" spans="1:68" ht="14.25" hidden="1" customHeight="1" x14ac:dyDescent="0.25">
      <c r="A464" s="732" t="s">
        <v>122</v>
      </c>
      <c r="B464" s="732"/>
      <c r="C464" s="732"/>
      <c r="D464" s="732"/>
      <c r="E464" s="732"/>
      <c r="F464" s="732"/>
      <c r="G464" s="732"/>
      <c r="H464" s="732"/>
      <c r="I464" s="732"/>
      <c r="J464" s="732"/>
      <c r="K464" s="732"/>
      <c r="L464" s="732"/>
      <c r="M464" s="732"/>
      <c r="N464" s="732"/>
      <c r="O464" s="732"/>
      <c r="P464" s="732"/>
      <c r="Q464" s="732"/>
      <c r="R464" s="732"/>
      <c r="S464" s="732"/>
      <c r="T464" s="732"/>
      <c r="U464" s="732"/>
      <c r="V464" s="732"/>
      <c r="W464" s="732"/>
      <c r="X464" s="732"/>
      <c r="Y464" s="732"/>
      <c r="Z464" s="73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733">
        <v>4680115884885</v>
      </c>
      <c r="E465" s="73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5"/>
      <c r="R465" s="735"/>
      <c r="S465" s="735"/>
      <c r="T465" s="736"/>
      <c r="U465" s="39" t="s">
        <v>46</v>
      </c>
      <c r="V465" s="39" t="s">
        <v>46</v>
      </c>
      <c r="W465" s="40" t="s">
        <v>0</v>
      </c>
      <c r="X465" s="58"/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3">
        <v>4680115884908</v>
      </c>
      <c r="E466" s="73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5"/>
      <c r="R466" s="735"/>
      <c r="S466" s="735"/>
      <c r="T466" s="73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41"/>
      <c r="B467" s="741"/>
      <c r="C467" s="741"/>
      <c r="D467" s="741"/>
      <c r="E467" s="741"/>
      <c r="F467" s="741"/>
      <c r="G467" s="741"/>
      <c r="H467" s="741"/>
      <c r="I467" s="741"/>
      <c r="J467" s="741"/>
      <c r="K467" s="741"/>
      <c r="L467" s="741"/>
      <c r="M467" s="741"/>
      <c r="N467" s="741"/>
      <c r="O467" s="742"/>
      <c r="P467" s="738" t="s">
        <v>40</v>
      </c>
      <c r="Q467" s="739"/>
      <c r="R467" s="739"/>
      <c r="S467" s="739"/>
      <c r="T467" s="739"/>
      <c r="U467" s="739"/>
      <c r="V467" s="740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41"/>
      <c r="B468" s="741"/>
      <c r="C468" s="741"/>
      <c r="D468" s="741"/>
      <c r="E468" s="741"/>
      <c r="F468" s="741"/>
      <c r="G468" s="741"/>
      <c r="H468" s="741"/>
      <c r="I468" s="741"/>
      <c r="J468" s="741"/>
      <c r="K468" s="741"/>
      <c r="L468" s="741"/>
      <c r="M468" s="741"/>
      <c r="N468" s="741"/>
      <c r="O468" s="742"/>
      <c r="P468" s="738" t="s">
        <v>40</v>
      </c>
      <c r="Q468" s="739"/>
      <c r="R468" s="739"/>
      <c r="S468" s="739"/>
      <c r="T468" s="739"/>
      <c r="U468" s="739"/>
      <c r="V468" s="740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32" t="s">
        <v>77</v>
      </c>
      <c r="B469" s="732"/>
      <c r="C469" s="732"/>
      <c r="D469" s="732"/>
      <c r="E469" s="732"/>
      <c r="F469" s="732"/>
      <c r="G469" s="732"/>
      <c r="H469" s="732"/>
      <c r="I469" s="732"/>
      <c r="J469" s="732"/>
      <c r="K469" s="732"/>
      <c r="L469" s="732"/>
      <c r="M469" s="732"/>
      <c r="N469" s="732"/>
      <c r="O469" s="732"/>
      <c r="P469" s="732"/>
      <c r="Q469" s="732"/>
      <c r="R469" s="732"/>
      <c r="S469" s="732"/>
      <c r="T469" s="732"/>
      <c r="U469" s="732"/>
      <c r="V469" s="732"/>
      <c r="W469" s="732"/>
      <c r="X469" s="732"/>
      <c r="Y469" s="732"/>
      <c r="Z469" s="73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3">
        <v>4607091384802</v>
      </c>
      <c r="E470" s="73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5"/>
      <c r="R470" s="735"/>
      <c r="S470" s="735"/>
      <c r="T470" s="73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1"/>
      <c r="B471" s="741"/>
      <c r="C471" s="741"/>
      <c r="D471" s="741"/>
      <c r="E471" s="741"/>
      <c r="F471" s="741"/>
      <c r="G471" s="741"/>
      <c r="H471" s="741"/>
      <c r="I471" s="741"/>
      <c r="J471" s="741"/>
      <c r="K471" s="741"/>
      <c r="L471" s="741"/>
      <c r="M471" s="741"/>
      <c r="N471" s="741"/>
      <c r="O471" s="742"/>
      <c r="P471" s="738" t="s">
        <v>40</v>
      </c>
      <c r="Q471" s="739"/>
      <c r="R471" s="739"/>
      <c r="S471" s="739"/>
      <c r="T471" s="739"/>
      <c r="U471" s="739"/>
      <c r="V471" s="740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1"/>
      <c r="B472" s="741"/>
      <c r="C472" s="741"/>
      <c r="D472" s="741"/>
      <c r="E472" s="741"/>
      <c r="F472" s="741"/>
      <c r="G472" s="741"/>
      <c r="H472" s="741"/>
      <c r="I472" s="741"/>
      <c r="J472" s="741"/>
      <c r="K472" s="741"/>
      <c r="L472" s="741"/>
      <c r="M472" s="741"/>
      <c r="N472" s="741"/>
      <c r="O472" s="742"/>
      <c r="P472" s="738" t="s">
        <v>40</v>
      </c>
      <c r="Q472" s="739"/>
      <c r="R472" s="739"/>
      <c r="S472" s="739"/>
      <c r="T472" s="739"/>
      <c r="U472" s="739"/>
      <c r="V472" s="740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2" t="s">
        <v>86</v>
      </c>
      <c r="B473" s="732"/>
      <c r="C473" s="732"/>
      <c r="D473" s="732"/>
      <c r="E473" s="732"/>
      <c r="F473" s="732"/>
      <c r="G473" s="732"/>
      <c r="H473" s="732"/>
      <c r="I473" s="732"/>
      <c r="J473" s="732"/>
      <c r="K473" s="732"/>
      <c r="L473" s="732"/>
      <c r="M473" s="732"/>
      <c r="N473" s="732"/>
      <c r="O473" s="732"/>
      <c r="P473" s="732"/>
      <c r="Q473" s="732"/>
      <c r="R473" s="732"/>
      <c r="S473" s="732"/>
      <c r="T473" s="732"/>
      <c r="U473" s="732"/>
      <c r="V473" s="732"/>
      <c r="W473" s="732"/>
      <c r="X473" s="732"/>
      <c r="Y473" s="732"/>
      <c r="Z473" s="73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733">
        <v>4607091384246</v>
      </c>
      <c r="E474" s="73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5"/>
      <c r="R474" s="735"/>
      <c r="S474" s="735"/>
      <c r="T474" s="73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3">
        <v>4607091384253</v>
      </c>
      <c r="E475" s="73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5"/>
      <c r="R475" s="735"/>
      <c r="S475" s="735"/>
      <c r="T475" s="73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3">
        <v>4607091384253</v>
      </c>
      <c r="E476" s="73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5"/>
      <c r="R476" s="735"/>
      <c r="S476" s="735"/>
      <c r="T476" s="73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741"/>
      <c r="B477" s="741"/>
      <c r="C477" s="741"/>
      <c r="D477" s="741"/>
      <c r="E477" s="741"/>
      <c r="F477" s="741"/>
      <c r="G477" s="741"/>
      <c r="H477" s="741"/>
      <c r="I477" s="741"/>
      <c r="J477" s="741"/>
      <c r="K477" s="741"/>
      <c r="L477" s="741"/>
      <c r="M477" s="741"/>
      <c r="N477" s="741"/>
      <c r="O477" s="742"/>
      <c r="P477" s="738" t="s">
        <v>40</v>
      </c>
      <c r="Q477" s="739"/>
      <c r="R477" s="739"/>
      <c r="S477" s="739"/>
      <c r="T477" s="739"/>
      <c r="U477" s="739"/>
      <c r="V477" s="740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41"/>
      <c r="B478" s="741"/>
      <c r="C478" s="741"/>
      <c r="D478" s="741"/>
      <c r="E478" s="741"/>
      <c r="F478" s="741"/>
      <c r="G478" s="741"/>
      <c r="H478" s="741"/>
      <c r="I478" s="741"/>
      <c r="J478" s="741"/>
      <c r="K478" s="741"/>
      <c r="L478" s="741"/>
      <c r="M478" s="741"/>
      <c r="N478" s="741"/>
      <c r="O478" s="742"/>
      <c r="P478" s="738" t="s">
        <v>40</v>
      </c>
      <c r="Q478" s="739"/>
      <c r="R478" s="739"/>
      <c r="S478" s="739"/>
      <c r="T478" s="739"/>
      <c r="U478" s="739"/>
      <c r="V478" s="740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730" t="s">
        <v>782</v>
      </c>
      <c r="B479" s="730"/>
      <c r="C479" s="730"/>
      <c r="D479" s="730"/>
      <c r="E479" s="730"/>
      <c r="F479" s="730"/>
      <c r="G479" s="730"/>
      <c r="H479" s="730"/>
      <c r="I479" s="730"/>
      <c r="J479" s="730"/>
      <c r="K479" s="730"/>
      <c r="L479" s="730"/>
      <c r="M479" s="730"/>
      <c r="N479" s="730"/>
      <c r="O479" s="730"/>
      <c r="P479" s="730"/>
      <c r="Q479" s="730"/>
      <c r="R479" s="730"/>
      <c r="S479" s="730"/>
      <c r="T479" s="730"/>
      <c r="U479" s="730"/>
      <c r="V479" s="730"/>
      <c r="W479" s="730"/>
      <c r="X479" s="730"/>
      <c r="Y479" s="730"/>
      <c r="Z479" s="730"/>
      <c r="AA479" s="54"/>
      <c r="AB479" s="54"/>
      <c r="AC479" s="54"/>
    </row>
    <row r="480" spans="1:68" ht="16.5" hidden="1" customHeight="1" x14ac:dyDescent="0.25">
      <c r="A480" s="731" t="s">
        <v>783</v>
      </c>
      <c r="B480" s="731"/>
      <c r="C480" s="731"/>
      <c r="D480" s="731"/>
      <c r="E480" s="731"/>
      <c r="F480" s="731"/>
      <c r="G480" s="731"/>
      <c r="H480" s="731"/>
      <c r="I480" s="731"/>
      <c r="J480" s="731"/>
      <c r="K480" s="731"/>
      <c r="L480" s="731"/>
      <c r="M480" s="731"/>
      <c r="N480" s="731"/>
      <c r="O480" s="731"/>
      <c r="P480" s="731"/>
      <c r="Q480" s="731"/>
      <c r="R480" s="731"/>
      <c r="S480" s="731"/>
      <c r="T480" s="731"/>
      <c r="U480" s="731"/>
      <c r="V480" s="731"/>
      <c r="W480" s="731"/>
      <c r="X480" s="731"/>
      <c r="Y480" s="731"/>
      <c r="Z480" s="731"/>
      <c r="AA480" s="65"/>
      <c r="AB480" s="65"/>
      <c r="AC480" s="79"/>
    </row>
    <row r="481" spans="1:68" ht="14.25" hidden="1" customHeight="1" x14ac:dyDescent="0.25">
      <c r="A481" s="732" t="s">
        <v>77</v>
      </c>
      <c r="B481" s="732"/>
      <c r="C481" s="732"/>
      <c r="D481" s="732"/>
      <c r="E481" s="732"/>
      <c r="F481" s="732"/>
      <c r="G481" s="732"/>
      <c r="H481" s="732"/>
      <c r="I481" s="732"/>
      <c r="J481" s="732"/>
      <c r="K481" s="732"/>
      <c r="L481" s="732"/>
      <c r="M481" s="732"/>
      <c r="N481" s="732"/>
      <c r="O481" s="732"/>
      <c r="P481" s="732"/>
      <c r="Q481" s="732"/>
      <c r="R481" s="732"/>
      <c r="S481" s="732"/>
      <c r="T481" s="732"/>
      <c r="U481" s="732"/>
      <c r="V481" s="732"/>
      <c r="W481" s="732"/>
      <c r="X481" s="732"/>
      <c r="Y481" s="732"/>
      <c r="Z481" s="73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733">
        <v>4680115886100</v>
      </c>
      <c r="E482" s="73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5"/>
      <c r="R482" s="735"/>
      <c r="S482" s="735"/>
      <c r="T482" s="736"/>
      <c r="U482" s="39" t="s">
        <v>46</v>
      </c>
      <c r="V482" s="39" t="s">
        <v>46</v>
      </c>
      <c r="W482" s="40" t="s">
        <v>0</v>
      </c>
      <c r="X482" s="58">
        <v>10</v>
      </c>
      <c r="Y482" s="55">
        <f t="shared" ref="Y482:Y487" si="75">IFERROR(IF(X482="",0,CEILING((X482/$H482),1)*$H482),"")</f>
        <v>10.8</v>
      </c>
      <c r="Z482" s="41">
        <f>IFERROR(IF(Y482=0,"",ROUNDUP(Y482/H482,0)*0.00902),"")</f>
        <v>1.804E-2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10.351851851851851</v>
      </c>
      <c r="BN482" s="78">
        <f t="shared" ref="BN482:BN487" si="77">IFERROR(Y482*I482/H482,"0")</f>
        <v>11.18</v>
      </c>
      <c r="BO482" s="78">
        <f t="shared" ref="BO482:BO487" si="78">IFERROR(1/J482*(X482/H482),"0")</f>
        <v>1.4029180695847361E-2</v>
      </c>
      <c r="BP482" s="78">
        <f t="shared" ref="BP482:BP487" si="79">IFERROR(1/J482*(Y482/H482),"0")</f>
        <v>1.5151515151515152E-2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733">
        <v>4680115886124</v>
      </c>
      <c r="E483" s="73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5"/>
      <c r="R483" s="735"/>
      <c r="S483" s="735"/>
      <c r="T483" s="736"/>
      <c r="U483" s="39" t="s">
        <v>46</v>
      </c>
      <c r="V483" s="39" t="s">
        <v>46</v>
      </c>
      <c r="W483" s="40" t="s">
        <v>0</v>
      </c>
      <c r="X483" s="58">
        <v>10</v>
      </c>
      <c r="Y483" s="55">
        <f t="shared" si="75"/>
        <v>10.8</v>
      </c>
      <c r="Z483" s="41">
        <f>IFERROR(IF(Y483=0,"",ROUNDUP(Y483/H483,0)*0.00902),"")</f>
        <v>1.804E-2</v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10.351851851851851</v>
      </c>
      <c r="BN483" s="78">
        <f t="shared" si="77"/>
        <v>11.18</v>
      </c>
      <c r="BO483" s="78">
        <f t="shared" si="78"/>
        <v>1.4029180695847361E-2</v>
      </c>
      <c r="BP483" s="78">
        <f t="shared" si="79"/>
        <v>1.5151515151515152E-2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3">
        <v>4607091384338</v>
      </c>
      <c r="E484" s="73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5"/>
      <c r="R484" s="735"/>
      <c r="S484" s="735"/>
      <c r="T484" s="73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3">
        <v>4680115883161</v>
      </c>
      <c r="E485" s="73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5"/>
      <c r="R485" s="735"/>
      <c r="S485" s="735"/>
      <c r="T485" s="73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3">
        <v>4607091389531</v>
      </c>
      <c r="E486" s="73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5"/>
      <c r="R486" s="735"/>
      <c r="S486" s="735"/>
      <c r="T486" s="73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3">
        <v>4607091384345</v>
      </c>
      <c r="E487" s="73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5"/>
      <c r="R487" s="735"/>
      <c r="S487" s="735"/>
      <c r="T487" s="73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741"/>
      <c r="B488" s="741"/>
      <c r="C488" s="741"/>
      <c r="D488" s="741"/>
      <c r="E488" s="741"/>
      <c r="F488" s="741"/>
      <c r="G488" s="741"/>
      <c r="H488" s="741"/>
      <c r="I488" s="741"/>
      <c r="J488" s="741"/>
      <c r="K488" s="741"/>
      <c r="L488" s="741"/>
      <c r="M488" s="741"/>
      <c r="N488" s="741"/>
      <c r="O488" s="742"/>
      <c r="P488" s="738" t="s">
        <v>40</v>
      </c>
      <c r="Q488" s="739"/>
      <c r="R488" s="739"/>
      <c r="S488" s="739"/>
      <c r="T488" s="739"/>
      <c r="U488" s="739"/>
      <c r="V488" s="740"/>
      <c r="W488" s="42" t="s">
        <v>39</v>
      </c>
      <c r="X488" s="43">
        <f>IFERROR(X482/H482,"0")+IFERROR(X483/H483,"0")+IFERROR(X484/H484,"0")+IFERROR(X485/H485,"0")+IFERROR(X486/H486,"0")+IFERROR(X487/H487,"0")</f>
        <v>3.7037037037037033</v>
      </c>
      <c r="Y488" s="43">
        <f>IFERROR(Y482/H482,"0")+IFERROR(Y483/H483,"0")+IFERROR(Y484/H484,"0")+IFERROR(Y485/H485,"0")+IFERROR(Y486/H486,"0")+IFERROR(Y487/H487,"0")</f>
        <v>4</v>
      </c>
      <c r="Z488" s="43">
        <f>IFERROR(IF(Z482="",0,Z482),"0")+IFERROR(IF(Z483="",0,Z483),"0")+IFERROR(IF(Z484="",0,Z484),"0")+IFERROR(IF(Z485="",0,Z485),"0")+IFERROR(IF(Z486="",0,Z486),"0")+IFERROR(IF(Z487="",0,Z487),"0")</f>
        <v>3.6080000000000001E-2</v>
      </c>
      <c r="AA488" s="67"/>
      <c r="AB488" s="67"/>
      <c r="AC488" s="67"/>
    </row>
    <row r="489" spans="1:68" x14ac:dyDescent="0.2">
      <c r="A489" s="741"/>
      <c r="B489" s="741"/>
      <c r="C489" s="741"/>
      <c r="D489" s="741"/>
      <c r="E489" s="741"/>
      <c r="F489" s="741"/>
      <c r="G489" s="741"/>
      <c r="H489" s="741"/>
      <c r="I489" s="741"/>
      <c r="J489" s="741"/>
      <c r="K489" s="741"/>
      <c r="L489" s="741"/>
      <c r="M489" s="741"/>
      <c r="N489" s="741"/>
      <c r="O489" s="742"/>
      <c r="P489" s="738" t="s">
        <v>40</v>
      </c>
      <c r="Q489" s="739"/>
      <c r="R489" s="739"/>
      <c r="S489" s="739"/>
      <c r="T489" s="739"/>
      <c r="U489" s="739"/>
      <c r="V489" s="740"/>
      <c r="W489" s="42" t="s">
        <v>0</v>
      </c>
      <c r="X489" s="43">
        <f>IFERROR(SUM(X482:X487),"0")</f>
        <v>20</v>
      </c>
      <c r="Y489" s="43">
        <f>IFERROR(SUM(Y482:Y487),"0")</f>
        <v>21.6</v>
      </c>
      <c r="Z489" s="42"/>
      <c r="AA489" s="67"/>
      <c r="AB489" s="67"/>
      <c r="AC489" s="67"/>
    </row>
    <row r="490" spans="1:68" ht="14.25" hidden="1" customHeight="1" x14ac:dyDescent="0.25">
      <c r="A490" s="732" t="s">
        <v>86</v>
      </c>
      <c r="B490" s="732"/>
      <c r="C490" s="732"/>
      <c r="D490" s="732"/>
      <c r="E490" s="732"/>
      <c r="F490" s="732"/>
      <c r="G490" s="732"/>
      <c r="H490" s="732"/>
      <c r="I490" s="732"/>
      <c r="J490" s="732"/>
      <c r="K490" s="732"/>
      <c r="L490" s="732"/>
      <c r="M490" s="732"/>
      <c r="N490" s="732"/>
      <c r="O490" s="732"/>
      <c r="P490" s="732"/>
      <c r="Q490" s="732"/>
      <c r="R490" s="732"/>
      <c r="S490" s="732"/>
      <c r="T490" s="732"/>
      <c r="U490" s="732"/>
      <c r="V490" s="732"/>
      <c r="W490" s="732"/>
      <c r="X490" s="732"/>
      <c r="Y490" s="732"/>
      <c r="Z490" s="73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3">
        <v>4607091384352</v>
      </c>
      <c r="E491" s="73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5"/>
      <c r="R491" s="735"/>
      <c r="S491" s="735"/>
      <c r="T491" s="73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3">
        <v>4607091389654</v>
      </c>
      <c r="E492" s="73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5"/>
      <c r="R492" s="735"/>
      <c r="S492" s="735"/>
      <c r="T492" s="73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1"/>
      <c r="B493" s="741"/>
      <c r="C493" s="741"/>
      <c r="D493" s="741"/>
      <c r="E493" s="741"/>
      <c r="F493" s="741"/>
      <c r="G493" s="741"/>
      <c r="H493" s="741"/>
      <c r="I493" s="741"/>
      <c r="J493" s="741"/>
      <c r="K493" s="741"/>
      <c r="L493" s="741"/>
      <c r="M493" s="741"/>
      <c r="N493" s="741"/>
      <c r="O493" s="742"/>
      <c r="P493" s="738" t="s">
        <v>40</v>
      </c>
      <c r="Q493" s="739"/>
      <c r="R493" s="739"/>
      <c r="S493" s="739"/>
      <c r="T493" s="739"/>
      <c r="U493" s="739"/>
      <c r="V493" s="740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1"/>
      <c r="B494" s="741"/>
      <c r="C494" s="741"/>
      <c r="D494" s="741"/>
      <c r="E494" s="741"/>
      <c r="F494" s="741"/>
      <c r="G494" s="741"/>
      <c r="H494" s="741"/>
      <c r="I494" s="741"/>
      <c r="J494" s="741"/>
      <c r="K494" s="741"/>
      <c r="L494" s="741"/>
      <c r="M494" s="741"/>
      <c r="N494" s="741"/>
      <c r="O494" s="742"/>
      <c r="P494" s="738" t="s">
        <v>40</v>
      </c>
      <c r="Q494" s="739"/>
      <c r="R494" s="739"/>
      <c r="S494" s="739"/>
      <c r="T494" s="739"/>
      <c r="U494" s="739"/>
      <c r="V494" s="740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1" t="s">
        <v>806</v>
      </c>
      <c r="B495" s="731"/>
      <c r="C495" s="731"/>
      <c r="D495" s="731"/>
      <c r="E495" s="731"/>
      <c r="F495" s="731"/>
      <c r="G495" s="731"/>
      <c r="H495" s="731"/>
      <c r="I495" s="731"/>
      <c r="J495" s="731"/>
      <c r="K495" s="731"/>
      <c r="L495" s="731"/>
      <c r="M495" s="731"/>
      <c r="N495" s="731"/>
      <c r="O495" s="731"/>
      <c r="P495" s="731"/>
      <c r="Q495" s="731"/>
      <c r="R495" s="731"/>
      <c r="S495" s="731"/>
      <c r="T495" s="731"/>
      <c r="U495" s="731"/>
      <c r="V495" s="731"/>
      <c r="W495" s="731"/>
      <c r="X495" s="731"/>
      <c r="Y495" s="731"/>
      <c r="Z495" s="731"/>
      <c r="AA495" s="65"/>
      <c r="AB495" s="65"/>
      <c r="AC495" s="79"/>
    </row>
    <row r="496" spans="1:68" ht="14.25" hidden="1" customHeight="1" x14ac:dyDescent="0.25">
      <c r="A496" s="732" t="s">
        <v>155</v>
      </c>
      <c r="B496" s="732"/>
      <c r="C496" s="732"/>
      <c r="D496" s="732"/>
      <c r="E496" s="732"/>
      <c r="F496" s="732"/>
      <c r="G496" s="732"/>
      <c r="H496" s="732"/>
      <c r="I496" s="732"/>
      <c r="J496" s="732"/>
      <c r="K496" s="732"/>
      <c r="L496" s="732"/>
      <c r="M496" s="732"/>
      <c r="N496" s="732"/>
      <c r="O496" s="732"/>
      <c r="P496" s="732"/>
      <c r="Q496" s="732"/>
      <c r="R496" s="732"/>
      <c r="S496" s="732"/>
      <c r="T496" s="732"/>
      <c r="U496" s="732"/>
      <c r="V496" s="732"/>
      <c r="W496" s="732"/>
      <c r="X496" s="732"/>
      <c r="Y496" s="732"/>
      <c r="Z496" s="73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3">
        <v>4680115885240</v>
      </c>
      <c r="E497" s="73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9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5"/>
      <c r="R497" s="735"/>
      <c r="S497" s="735"/>
      <c r="T497" s="73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1"/>
      <c r="B498" s="741"/>
      <c r="C498" s="741"/>
      <c r="D498" s="741"/>
      <c r="E498" s="741"/>
      <c r="F498" s="741"/>
      <c r="G498" s="741"/>
      <c r="H498" s="741"/>
      <c r="I498" s="741"/>
      <c r="J498" s="741"/>
      <c r="K498" s="741"/>
      <c r="L498" s="741"/>
      <c r="M498" s="741"/>
      <c r="N498" s="741"/>
      <c r="O498" s="742"/>
      <c r="P498" s="738" t="s">
        <v>40</v>
      </c>
      <c r="Q498" s="739"/>
      <c r="R498" s="739"/>
      <c r="S498" s="739"/>
      <c r="T498" s="739"/>
      <c r="U498" s="739"/>
      <c r="V498" s="740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1"/>
      <c r="B499" s="741"/>
      <c r="C499" s="741"/>
      <c r="D499" s="741"/>
      <c r="E499" s="741"/>
      <c r="F499" s="741"/>
      <c r="G499" s="741"/>
      <c r="H499" s="741"/>
      <c r="I499" s="741"/>
      <c r="J499" s="741"/>
      <c r="K499" s="741"/>
      <c r="L499" s="741"/>
      <c r="M499" s="741"/>
      <c r="N499" s="741"/>
      <c r="O499" s="742"/>
      <c r="P499" s="738" t="s">
        <v>40</v>
      </c>
      <c r="Q499" s="739"/>
      <c r="R499" s="739"/>
      <c r="S499" s="739"/>
      <c r="T499" s="739"/>
      <c r="U499" s="739"/>
      <c r="V499" s="740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2" t="s">
        <v>77</v>
      </c>
      <c r="B500" s="732"/>
      <c r="C500" s="732"/>
      <c r="D500" s="732"/>
      <c r="E500" s="732"/>
      <c r="F500" s="732"/>
      <c r="G500" s="732"/>
      <c r="H500" s="732"/>
      <c r="I500" s="732"/>
      <c r="J500" s="732"/>
      <c r="K500" s="732"/>
      <c r="L500" s="732"/>
      <c r="M500" s="732"/>
      <c r="N500" s="732"/>
      <c r="O500" s="732"/>
      <c r="P500" s="732"/>
      <c r="Q500" s="732"/>
      <c r="R500" s="732"/>
      <c r="S500" s="732"/>
      <c r="T500" s="732"/>
      <c r="U500" s="732"/>
      <c r="V500" s="732"/>
      <c r="W500" s="732"/>
      <c r="X500" s="732"/>
      <c r="Y500" s="732"/>
      <c r="Z500" s="73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733">
        <v>4680115886094</v>
      </c>
      <c r="E501" s="73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5"/>
      <c r="R501" s="735"/>
      <c r="S501" s="735"/>
      <c r="T501" s="736"/>
      <c r="U501" s="39" t="s">
        <v>46</v>
      </c>
      <c r="V501" s="39" t="s">
        <v>46</v>
      </c>
      <c r="W501" s="40" t="s">
        <v>0</v>
      </c>
      <c r="X501" s="58">
        <v>10</v>
      </c>
      <c r="Y501" s="55">
        <f>IFERROR(IF(X501="",0,CEILING((X501/$H501),1)*$H501),"")</f>
        <v>10.8</v>
      </c>
      <c r="Z501" s="41">
        <f>IFERROR(IF(Y501=0,"",ROUNDUP(Y501/H501,0)*0.00902),"")</f>
        <v>1.804E-2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10.351851851851851</v>
      </c>
      <c r="BN501" s="78">
        <f>IFERROR(Y501*I501/H501,"0")</f>
        <v>11.18</v>
      </c>
      <c r="BO501" s="78">
        <f>IFERROR(1/J501*(X501/H501),"0")</f>
        <v>1.4029180695847361E-2</v>
      </c>
      <c r="BP501" s="78">
        <f>IFERROR(1/J501*(Y501/H501),"0")</f>
        <v>1.5151515151515152E-2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3">
        <v>4680115880771</v>
      </c>
      <c r="E502" s="73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5"/>
      <c r="R502" s="735"/>
      <c r="S502" s="735"/>
      <c r="T502" s="73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3">
        <v>4607091389500</v>
      </c>
      <c r="E503" s="73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5"/>
      <c r="R503" s="735"/>
      <c r="S503" s="735"/>
      <c r="T503" s="73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741"/>
      <c r="B504" s="741"/>
      <c r="C504" s="741"/>
      <c r="D504" s="741"/>
      <c r="E504" s="741"/>
      <c r="F504" s="741"/>
      <c r="G504" s="741"/>
      <c r="H504" s="741"/>
      <c r="I504" s="741"/>
      <c r="J504" s="741"/>
      <c r="K504" s="741"/>
      <c r="L504" s="741"/>
      <c r="M504" s="741"/>
      <c r="N504" s="741"/>
      <c r="O504" s="742"/>
      <c r="P504" s="738" t="s">
        <v>40</v>
      </c>
      <c r="Q504" s="739"/>
      <c r="R504" s="739"/>
      <c r="S504" s="739"/>
      <c r="T504" s="739"/>
      <c r="U504" s="739"/>
      <c r="V504" s="740"/>
      <c r="W504" s="42" t="s">
        <v>39</v>
      </c>
      <c r="X504" s="43">
        <f>IFERROR(X501/H501,"0")+IFERROR(X502/H502,"0")+IFERROR(X503/H503,"0")</f>
        <v>1.8518518518518516</v>
      </c>
      <c r="Y504" s="43">
        <f>IFERROR(Y501/H501,"0")+IFERROR(Y502/H502,"0")+IFERROR(Y503/H503,"0")</f>
        <v>2</v>
      </c>
      <c r="Z504" s="43">
        <f>IFERROR(IF(Z501="",0,Z501),"0")+IFERROR(IF(Z502="",0,Z502),"0")+IFERROR(IF(Z503="",0,Z503),"0")</f>
        <v>1.804E-2</v>
      </c>
      <c r="AA504" s="67"/>
      <c r="AB504" s="67"/>
      <c r="AC504" s="67"/>
    </row>
    <row r="505" spans="1:68" x14ac:dyDescent="0.2">
      <c r="A505" s="741"/>
      <c r="B505" s="741"/>
      <c r="C505" s="741"/>
      <c r="D505" s="741"/>
      <c r="E505" s="741"/>
      <c r="F505" s="741"/>
      <c r="G505" s="741"/>
      <c r="H505" s="741"/>
      <c r="I505" s="741"/>
      <c r="J505" s="741"/>
      <c r="K505" s="741"/>
      <c r="L505" s="741"/>
      <c r="M505" s="741"/>
      <c r="N505" s="741"/>
      <c r="O505" s="742"/>
      <c r="P505" s="738" t="s">
        <v>40</v>
      </c>
      <c r="Q505" s="739"/>
      <c r="R505" s="739"/>
      <c r="S505" s="739"/>
      <c r="T505" s="739"/>
      <c r="U505" s="739"/>
      <c r="V505" s="740"/>
      <c r="W505" s="42" t="s">
        <v>0</v>
      </c>
      <c r="X505" s="43">
        <f>IFERROR(SUM(X501:X503),"0")</f>
        <v>10</v>
      </c>
      <c r="Y505" s="43">
        <f>IFERROR(SUM(Y501:Y503),"0")</f>
        <v>10.8</v>
      </c>
      <c r="Z505" s="42"/>
      <c r="AA505" s="67"/>
      <c r="AB505" s="67"/>
      <c r="AC505" s="67"/>
    </row>
    <row r="506" spans="1:68" ht="27.75" hidden="1" customHeight="1" x14ac:dyDescent="0.2">
      <c r="A506" s="730" t="s">
        <v>818</v>
      </c>
      <c r="B506" s="730"/>
      <c r="C506" s="730"/>
      <c r="D506" s="730"/>
      <c r="E506" s="730"/>
      <c r="F506" s="730"/>
      <c r="G506" s="730"/>
      <c r="H506" s="730"/>
      <c r="I506" s="730"/>
      <c r="J506" s="730"/>
      <c r="K506" s="730"/>
      <c r="L506" s="730"/>
      <c r="M506" s="730"/>
      <c r="N506" s="730"/>
      <c r="O506" s="730"/>
      <c r="P506" s="730"/>
      <c r="Q506" s="730"/>
      <c r="R506" s="730"/>
      <c r="S506" s="730"/>
      <c r="T506" s="730"/>
      <c r="U506" s="730"/>
      <c r="V506" s="730"/>
      <c r="W506" s="730"/>
      <c r="X506" s="730"/>
      <c r="Y506" s="730"/>
      <c r="Z506" s="730"/>
      <c r="AA506" s="54"/>
      <c r="AB506" s="54"/>
      <c r="AC506" s="54"/>
    </row>
    <row r="507" spans="1:68" ht="16.5" hidden="1" customHeight="1" x14ac:dyDescent="0.25">
      <c r="A507" s="731" t="s">
        <v>818</v>
      </c>
      <c r="B507" s="731"/>
      <c r="C507" s="731"/>
      <c r="D507" s="731"/>
      <c r="E507" s="731"/>
      <c r="F507" s="731"/>
      <c r="G507" s="731"/>
      <c r="H507" s="731"/>
      <c r="I507" s="731"/>
      <c r="J507" s="731"/>
      <c r="K507" s="731"/>
      <c r="L507" s="731"/>
      <c r="M507" s="731"/>
      <c r="N507" s="731"/>
      <c r="O507" s="731"/>
      <c r="P507" s="731"/>
      <c r="Q507" s="731"/>
      <c r="R507" s="731"/>
      <c r="S507" s="731"/>
      <c r="T507" s="731"/>
      <c r="U507" s="731"/>
      <c r="V507" s="731"/>
      <c r="W507" s="731"/>
      <c r="X507" s="731"/>
      <c r="Y507" s="731"/>
      <c r="Z507" s="731"/>
      <c r="AA507" s="65"/>
      <c r="AB507" s="65"/>
      <c r="AC507" s="79"/>
    </row>
    <row r="508" spans="1:68" ht="14.25" hidden="1" customHeight="1" x14ac:dyDescent="0.25">
      <c r="A508" s="732" t="s">
        <v>122</v>
      </c>
      <c r="B508" s="732"/>
      <c r="C508" s="732"/>
      <c r="D508" s="732"/>
      <c r="E508" s="732"/>
      <c r="F508" s="732"/>
      <c r="G508" s="732"/>
      <c r="H508" s="732"/>
      <c r="I508" s="732"/>
      <c r="J508" s="732"/>
      <c r="K508" s="732"/>
      <c r="L508" s="732"/>
      <c r="M508" s="732"/>
      <c r="N508" s="732"/>
      <c r="O508" s="732"/>
      <c r="P508" s="732"/>
      <c r="Q508" s="732"/>
      <c r="R508" s="732"/>
      <c r="S508" s="732"/>
      <c r="T508" s="732"/>
      <c r="U508" s="732"/>
      <c r="V508" s="732"/>
      <c r="W508" s="732"/>
      <c r="X508" s="732"/>
      <c r="Y508" s="732"/>
      <c r="Z508" s="73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733">
        <v>4607091389067</v>
      </c>
      <c r="E509" s="73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5"/>
      <c r="R509" s="735"/>
      <c r="S509" s="735"/>
      <c r="T509" s="736"/>
      <c r="U509" s="39" t="s">
        <v>46</v>
      </c>
      <c r="V509" s="39" t="s">
        <v>46</v>
      </c>
      <c r="W509" s="40" t="s">
        <v>0</v>
      </c>
      <c r="X509" s="58">
        <v>30</v>
      </c>
      <c r="Y509" s="55">
        <f t="shared" ref="Y509:Y517" si="80">IFERROR(IF(X509="",0,CEILING((X509/$H509),1)*$H509),"")</f>
        <v>31.68</v>
      </c>
      <c r="Z509" s="41">
        <f t="shared" ref="Z509:Z514" si="81">IFERROR(IF(Y509=0,"",ROUNDUP(Y509/H509,0)*0.01196),"")</f>
        <v>7.1760000000000004E-2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31.988636363636363</v>
      </c>
      <c r="BN509" s="78">
        <f t="shared" ref="BN509:BN517" si="83">IFERROR(Y509*I509/H509,"0")</f>
        <v>33.779999999999994</v>
      </c>
      <c r="BO509" s="78">
        <f t="shared" ref="BO509:BO517" si="84">IFERROR(1/J509*(X509/H509),"0")</f>
        <v>5.4632867132867136E-2</v>
      </c>
      <c r="BP509" s="78">
        <f t="shared" ref="BP509:BP517" si="85">IFERROR(1/J509*(Y509/H509),"0")</f>
        <v>5.7692307692307696E-2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3">
        <v>4680115889576</v>
      </c>
      <c r="E510" s="73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5"/>
      <c r="R510" s="735"/>
      <c r="S510" s="735"/>
      <c r="T510" s="73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733">
        <v>4680115885271</v>
      </c>
      <c r="E511" s="73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5"/>
      <c r="R511" s="735"/>
      <c r="S511" s="735"/>
      <c r="T511" s="736"/>
      <c r="U511" s="39" t="s">
        <v>46</v>
      </c>
      <c r="V511" s="39" t="s">
        <v>46</v>
      </c>
      <c r="W511" s="40" t="s">
        <v>0</v>
      </c>
      <c r="X511" s="58">
        <v>5</v>
      </c>
      <c r="Y511" s="55">
        <f t="shared" si="80"/>
        <v>5.28</v>
      </c>
      <c r="Z511" s="41">
        <f t="shared" si="81"/>
        <v>1.196E-2</v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5.3314393939393936</v>
      </c>
      <c r="BN511" s="78">
        <f t="shared" si="83"/>
        <v>5.63</v>
      </c>
      <c r="BO511" s="78">
        <f t="shared" si="84"/>
        <v>9.1054778554778559E-3</v>
      </c>
      <c r="BP511" s="78">
        <f t="shared" si="85"/>
        <v>9.6153846153846159E-3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733">
        <v>4680115885226</v>
      </c>
      <c r="E512" s="73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5"/>
      <c r="R512" s="735"/>
      <c r="S512" s="735"/>
      <c r="T512" s="736"/>
      <c r="U512" s="39" t="s">
        <v>46</v>
      </c>
      <c r="V512" s="39" t="s">
        <v>46</v>
      </c>
      <c r="W512" s="40" t="s">
        <v>0</v>
      </c>
      <c r="X512" s="58">
        <v>150</v>
      </c>
      <c r="Y512" s="55">
        <f t="shared" si="80"/>
        <v>153.12</v>
      </c>
      <c r="Z512" s="41">
        <f t="shared" si="81"/>
        <v>0.34683999999999998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159.94318181818181</v>
      </c>
      <c r="BN512" s="78">
        <f t="shared" si="83"/>
        <v>163.26999999999998</v>
      </c>
      <c r="BO512" s="78">
        <f t="shared" si="84"/>
        <v>0.27316433566433568</v>
      </c>
      <c r="BP512" s="78">
        <f t="shared" si="85"/>
        <v>0.27884615384615385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3">
        <v>4680115884502</v>
      </c>
      <c r="E513" s="73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5"/>
      <c r="R513" s="735"/>
      <c r="S513" s="735"/>
      <c r="T513" s="73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733">
        <v>4607091389104</v>
      </c>
      <c r="E514" s="73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5"/>
      <c r="R514" s="735"/>
      <c r="S514" s="735"/>
      <c r="T514" s="736"/>
      <c r="U514" s="39" t="s">
        <v>46</v>
      </c>
      <c r="V514" s="39" t="s">
        <v>46</v>
      </c>
      <c r="W514" s="40" t="s">
        <v>0</v>
      </c>
      <c r="X514" s="58"/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3">
        <v>4680115886391</v>
      </c>
      <c r="E515" s="73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0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5"/>
      <c r="R515" s="735"/>
      <c r="S515" s="735"/>
      <c r="T515" s="73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3">
        <v>4680115880603</v>
      </c>
      <c r="E516" s="73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5"/>
      <c r="R516" s="735"/>
      <c r="S516" s="735"/>
      <c r="T516" s="73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3">
        <v>4607091389982</v>
      </c>
      <c r="E517" s="73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5"/>
      <c r="R517" s="735"/>
      <c r="S517" s="735"/>
      <c r="T517" s="73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741"/>
      <c r="B518" s="741"/>
      <c r="C518" s="741"/>
      <c r="D518" s="741"/>
      <c r="E518" s="741"/>
      <c r="F518" s="741"/>
      <c r="G518" s="741"/>
      <c r="H518" s="741"/>
      <c r="I518" s="741"/>
      <c r="J518" s="741"/>
      <c r="K518" s="741"/>
      <c r="L518" s="741"/>
      <c r="M518" s="741"/>
      <c r="N518" s="741"/>
      <c r="O518" s="742"/>
      <c r="P518" s="738" t="s">
        <v>40</v>
      </c>
      <c r="Q518" s="739"/>
      <c r="R518" s="739"/>
      <c r="S518" s="739"/>
      <c r="T518" s="739"/>
      <c r="U518" s="739"/>
      <c r="V518" s="740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35.037878787878782</v>
      </c>
      <c r="Y518" s="43">
        <f>IFERROR(Y509/H509,"0")+IFERROR(Y510/H510,"0")+IFERROR(Y511/H511,"0")+IFERROR(Y512/H512,"0")+IFERROR(Y513/H513,"0")+IFERROR(Y514/H514,"0")+IFERROR(Y515/H515,"0")+IFERROR(Y516/H516,"0")+IFERROR(Y517/H517,"0")</f>
        <v>36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0.43056</v>
      </c>
      <c r="AA518" s="67"/>
      <c r="AB518" s="67"/>
      <c r="AC518" s="67"/>
    </row>
    <row r="519" spans="1:68" x14ac:dyDescent="0.2">
      <c r="A519" s="741"/>
      <c r="B519" s="741"/>
      <c r="C519" s="741"/>
      <c r="D519" s="741"/>
      <c r="E519" s="741"/>
      <c r="F519" s="741"/>
      <c r="G519" s="741"/>
      <c r="H519" s="741"/>
      <c r="I519" s="741"/>
      <c r="J519" s="741"/>
      <c r="K519" s="741"/>
      <c r="L519" s="741"/>
      <c r="M519" s="741"/>
      <c r="N519" s="741"/>
      <c r="O519" s="742"/>
      <c r="P519" s="738" t="s">
        <v>40</v>
      </c>
      <c r="Q519" s="739"/>
      <c r="R519" s="739"/>
      <c r="S519" s="739"/>
      <c r="T519" s="739"/>
      <c r="U519" s="739"/>
      <c r="V519" s="740"/>
      <c r="W519" s="42" t="s">
        <v>0</v>
      </c>
      <c r="X519" s="43">
        <f>IFERROR(SUM(X509:X517),"0")</f>
        <v>185</v>
      </c>
      <c r="Y519" s="43">
        <f>IFERROR(SUM(Y509:Y517),"0")</f>
        <v>190.08</v>
      </c>
      <c r="Z519" s="42"/>
      <c r="AA519" s="67"/>
      <c r="AB519" s="67"/>
      <c r="AC519" s="67"/>
    </row>
    <row r="520" spans="1:68" ht="14.25" hidden="1" customHeight="1" x14ac:dyDescent="0.25">
      <c r="A520" s="732" t="s">
        <v>155</v>
      </c>
      <c r="B520" s="732"/>
      <c r="C520" s="732"/>
      <c r="D520" s="732"/>
      <c r="E520" s="732"/>
      <c r="F520" s="732"/>
      <c r="G520" s="732"/>
      <c r="H520" s="732"/>
      <c r="I520" s="732"/>
      <c r="J520" s="732"/>
      <c r="K520" s="732"/>
      <c r="L520" s="732"/>
      <c r="M520" s="732"/>
      <c r="N520" s="732"/>
      <c r="O520" s="732"/>
      <c r="P520" s="732"/>
      <c r="Q520" s="732"/>
      <c r="R520" s="732"/>
      <c r="S520" s="732"/>
      <c r="T520" s="732"/>
      <c r="U520" s="732"/>
      <c r="V520" s="732"/>
      <c r="W520" s="732"/>
      <c r="X520" s="732"/>
      <c r="Y520" s="732"/>
      <c r="Z520" s="73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733">
        <v>4607091388930</v>
      </c>
      <c r="E521" s="73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5"/>
      <c r="R521" s="735"/>
      <c r="S521" s="735"/>
      <c r="T521" s="736"/>
      <c r="U521" s="39" t="s">
        <v>46</v>
      </c>
      <c r="V521" s="39" t="s">
        <v>46</v>
      </c>
      <c r="W521" s="40" t="s">
        <v>0</v>
      </c>
      <c r="X521" s="58">
        <v>50</v>
      </c>
      <c r="Y521" s="55">
        <f>IFERROR(IF(X521="",0,CEILING((X521/$H521),1)*$H521),"")</f>
        <v>52.800000000000004</v>
      </c>
      <c r="Z521" s="41">
        <f>IFERROR(IF(Y521=0,"",ROUNDUP(Y521/H521,0)*0.01196),"")</f>
        <v>0.1196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53.314393939393938</v>
      </c>
      <c r="BN521" s="78">
        <f>IFERROR(Y521*I521/H521,"0")</f>
        <v>56.3</v>
      </c>
      <c r="BO521" s="78">
        <f>IFERROR(1/J521*(X521/H521),"0")</f>
        <v>9.1054778554778545E-2</v>
      </c>
      <c r="BP521" s="78">
        <f>IFERROR(1/J521*(Y521/H521),"0")</f>
        <v>9.6153846153846159E-2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3">
        <v>4680115886407</v>
      </c>
      <c r="E522" s="73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5"/>
      <c r="R522" s="735"/>
      <c r="S522" s="735"/>
      <c r="T522" s="73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3">
        <v>4680115880054</v>
      </c>
      <c r="E523" s="73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5"/>
      <c r="R523" s="735"/>
      <c r="S523" s="735"/>
      <c r="T523" s="73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41"/>
      <c r="B524" s="741"/>
      <c r="C524" s="741"/>
      <c r="D524" s="741"/>
      <c r="E524" s="741"/>
      <c r="F524" s="741"/>
      <c r="G524" s="741"/>
      <c r="H524" s="741"/>
      <c r="I524" s="741"/>
      <c r="J524" s="741"/>
      <c r="K524" s="741"/>
      <c r="L524" s="741"/>
      <c r="M524" s="741"/>
      <c r="N524" s="741"/>
      <c r="O524" s="742"/>
      <c r="P524" s="738" t="s">
        <v>40</v>
      </c>
      <c r="Q524" s="739"/>
      <c r="R524" s="739"/>
      <c r="S524" s="739"/>
      <c r="T524" s="739"/>
      <c r="U524" s="739"/>
      <c r="V524" s="740"/>
      <c r="W524" s="42" t="s">
        <v>39</v>
      </c>
      <c r="X524" s="43">
        <f>IFERROR(X521/H521,"0")+IFERROR(X522/H522,"0")+IFERROR(X523/H523,"0")</f>
        <v>9.4696969696969688</v>
      </c>
      <c r="Y524" s="43">
        <f>IFERROR(Y521/H521,"0")+IFERROR(Y522/H522,"0")+IFERROR(Y523/H523,"0")</f>
        <v>10</v>
      </c>
      <c r="Z524" s="43">
        <f>IFERROR(IF(Z521="",0,Z521),"0")+IFERROR(IF(Z522="",0,Z522),"0")+IFERROR(IF(Z523="",0,Z523),"0")</f>
        <v>0.1196</v>
      </c>
      <c r="AA524" s="67"/>
      <c r="AB524" s="67"/>
      <c r="AC524" s="67"/>
    </row>
    <row r="525" spans="1:68" x14ac:dyDescent="0.2">
      <c r="A525" s="741"/>
      <c r="B525" s="741"/>
      <c r="C525" s="741"/>
      <c r="D525" s="741"/>
      <c r="E525" s="741"/>
      <c r="F525" s="741"/>
      <c r="G525" s="741"/>
      <c r="H525" s="741"/>
      <c r="I525" s="741"/>
      <c r="J525" s="741"/>
      <c r="K525" s="741"/>
      <c r="L525" s="741"/>
      <c r="M525" s="741"/>
      <c r="N525" s="741"/>
      <c r="O525" s="742"/>
      <c r="P525" s="738" t="s">
        <v>40</v>
      </c>
      <c r="Q525" s="739"/>
      <c r="R525" s="739"/>
      <c r="S525" s="739"/>
      <c r="T525" s="739"/>
      <c r="U525" s="739"/>
      <c r="V525" s="740"/>
      <c r="W525" s="42" t="s">
        <v>0</v>
      </c>
      <c r="X525" s="43">
        <f>IFERROR(SUM(X521:X523),"0")</f>
        <v>50</v>
      </c>
      <c r="Y525" s="43">
        <f>IFERROR(SUM(Y521:Y523),"0")</f>
        <v>52.800000000000004</v>
      </c>
      <c r="Z525" s="42"/>
      <c r="AA525" s="67"/>
      <c r="AB525" s="67"/>
      <c r="AC525" s="67"/>
    </row>
    <row r="526" spans="1:68" ht="14.25" hidden="1" customHeight="1" x14ac:dyDescent="0.25">
      <c r="A526" s="732" t="s">
        <v>77</v>
      </c>
      <c r="B526" s="732"/>
      <c r="C526" s="732"/>
      <c r="D526" s="732"/>
      <c r="E526" s="732"/>
      <c r="F526" s="732"/>
      <c r="G526" s="732"/>
      <c r="H526" s="732"/>
      <c r="I526" s="732"/>
      <c r="J526" s="732"/>
      <c r="K526" s="732"/>
      <c r="L526" s="732"/>
      <c r="M526" s="732"/>
      <c r="N526" s="732"/>
      <c r="O526" s="732"/>
      <c r="P526" s="732"/>
      <c r="Q526" s="732"/>
      <c r="R526" s="732"/>
      <c r="S526" s="732"/>
      <c r="T526" s="732"/>
      <c r="U526" s="732"/>
      <c r="V526" s="732"/>
      <c r="W526" s="732"/>
      <c r="X526" s="732"/>
      <c r="Y526" s="732"/>
      <c r="Z526" s="73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733">
        <v>4680115883116</v>
      </c>
      <c r="E527" s="73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5"/>
      <c r="R527" s="735"/>
      <c r="S527" s="735"/>
      <c r="T527" s="736"/>
      <c r="U527" s="39" t="s">
        <v>46</v>
      </c>
      <c r="V527" s="39" t="s">
        <v>46</v>
      </c>
      <c r="W527" s="40" t="s">
        <v>0</v>
      </c>
      <c r="X527" s="58">
        <v>30</v>
      </c>
      <c r="Y527" s="55">
        <f t="shared" ref="Y527:Y533" si="86">IFERROR(IF(X527="",0,CEILING((X527/$H527),1)*$H527),"")</f>
        <v>31.68</v>
      </c>
      <c r="Z527" s="41">
        <f>IFERROR(IF(Y527=0,"",ROUNDUP(Y527/H527,0)*0.01196),"")</f>
        <v>7.1760000000000004E-2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31.988636363636363</v>
      </c>
      <c r="BN527" s="78">
        <f t="shared" ref="BN527:BN533" si="88">IFERROR(Y527*I527/H527,"0")</f>
        <v>33.779999999999994</v>
      </c>
      <c r="BO527" s="78">
        <f t="shared" ref="BO527:BO533" si="89">IFERROR(1/J527*(X527/H527),"0")</f>
        <v>5.4632867132867136E-2</v>
      </c>
      <c r="BP527" s="78">
        <f t="shared" ref="BP527:BP533" si="90">IFERROR(1/J527*(Y527/H527),"0")</f>
        <v>5.7692307692307696E-2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733">
        <v>4680115883093</v>
      </c>
      <c r="E528" s="73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5"/>
      <c r="R528" s="735"/>
      <c r="S528" s="735"/>
      <c r="T528" s="736"/>
      <c r="U528" s="39" t="s">
        <v>46</v>
      </c>
      <c r="V528" s="39" t="s">
        <v>46</v>
      </c>
      <c r="W528" s="40" t="s">
        <v>0</v>
      </c>
      <c r="X528" s="58">
        <v>30</v>
      </c>
      <c r="Y528" s="55">
        <f t="shared" si="86"/>
        <v>31.68</v>
      </c>
      <c r="Z528" s="41">
        <f>IFERROR(IF(Y528=0,"",ROUNDUP(Y528/H528,0)*0.01196),"")</f>
        <v>7.1760000000000004E-2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31.988636363636363</v>
      </c>
      <c r="BN528" s="78">
        <f t="shared" si="88"/>
        <v>33.779999999999994</v>
      </c>
      <c r="BO528" s="78">
        <f t="shared" si="89"/>
        <v>5.4632867132867136E-2</v>
      </c>
      <c r="BP528" s="78">
        <f t="shared" si="90"/>
        <v>5.7692307692307696E-2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733">
        <v>4680115883109</v>
      </c>
      <c r="E529" s="73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5"/>
      <c r="R529" s="735"/>
      <c r="S529" s="735"/>
      <c r="T529" s="736"/>
      <c r="U529" s="39" t="s">
        <v>46</v>
      </c>
      <c r="V529" s="39" t="s">
        <v>46</v>
      </c>
      <c r="W529" s="40" t="s">
        <v>0</v>
      </c>
      <c r="X529" s="58">
        <v>50</v>
      </c>
      <c r="Y529" s="55">
        <f t="shared" si="86"/>
        <v>52.800000000000004</v>
      </c>
      <c r="Z529" s="41">
        <f>IFERROR(IF(Y529=0,"",ROUNDUP(Y529/H529,0)*0.01196),"")</f>
        <v>0.1196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53.314393939393938</v>
      </c>
      <c r="BN529" s="78">
        <f t="shared" si="88"/>
        <v>56.3</v>
      </c>
      <c r="BO529" s="78">
        <f t="shared" si="89"/>
        <v>9.1054778554778545E-2</v>
      </c>
      <c r="BP529" s="78">
        <f t="shared" si="90"/>
        <v>9.6153846153846159E-2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3">
        <v>4680115882072</v>
      </c>
      <c r="E530" s="73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5"/>
      <c r="R530" s="735"/>
      <c r="S530" s="735"/>
      <c r="T530" s="73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3">
        <v>4680115882102</v>
      </c>
      <c r="E531" s="73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5"/>
      <c r="R531" s="735"/>
      <c r="S531" s="735"/>
      <c r="T531" s="73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3">
        <v>4680115882102</v>
      </c>
      <c r="E532" s="73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5"/>
      <c r="R532" s="735"/>
      <c r="S532" s="735"/>
      <c r="T532" s="73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3">
        <v>4680115882096</v>
      </c>
      <c r="E533" s="73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5"/>
      <c r="R533" s="735"/>
      <c r="S533" s="735"/>
      <c r="T533" s="73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741"/>
      <c r="B534" s="741"/>
      <c r="C534" s="741"/>
      <c r="D534" s="741"/>
      <c r="E534" s="741"/>
      <c r="F534" s="741"/>
      <c r="G534" s="741"/>
      <c r="H534" s="741"/>
      <c r="I534" s="741"/>
      <c r="J534" s="741"/>
      <c r="K534" s="741"/>
      <c r="L534" s="741"/>
      <c r="M534" s="741"/>
      <c r="N534" s="741"/>
      <c r="O534" s="742"/>
      <c r="P534" s="738" t="s">
        <v>40</v>
      </c>
      <c r="Q534" s="739"/>
      <c r="R534" s="739"/>
      <c r="S534" s="739"/>
      <c r="T534" s="739"/>
      <c r="U534" s="739"/>
      <c r="V534" s="740"/>
      <c r="W534" s="42" t="s">
        <v>39</v>
      </c>
      <c r="X534" s="43">
        <f>IFERROR(X527/H527,"0")+IFERROR(X528/H528,"0")+IFERROR(X529/H529,"0")+IFERROR(X530/H530,"0")+IFERROR(X531/H531,"0")+IFERROR(X532/H532,"0")+IFERROR(X533/H533,"0")</f>
        <v>20.833333333333332</v>
      </c>
      <c r="Y534" s="43">
        <f>IFERROR(Y527/H527,"0")+IFERROR(Y528/H528,"0")+IFERROR(Y529/H529,"0")+IFERROR(Y530/H530,"0")+IFERROR(Y531/H531,"0")+IFERROR(Y532/H532,"0")+IFERROR(Y533/H533,"0")</f>
        <v>22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0.26312000000000002</v>
      </c>
      <c r="AA534" s="67"/>
      <c r="AB534" s="67"/>
      <c r="AC534" s="67"/>
    </row>
    <row r="535" spans="1:68" x14ac:dyDescent="0.2">
      <c r="A535" s="741"/>
      <c r="B535" s="741"/>
      <c r="C535" s="741"/>
      <c r="D535" s="741"/>
      <c r="E535" s="741"/>
      <c r="F535" s="741"/>
      <c r="G535" s="741"/>
      <c r="H535" s="741"/>
      <c r="I535" s="741"/>
      <c r="J535" s="741"/>
      <c r="K535" s="741"/>
      <c r="L535" s="741"/>
      <c r="M535" s="741"/>
      <c r="N535" s="741"/>
      <c r="O535" s="742"/>
      <c r="P535" s="738" t="s">
        <v>40</v>
      </c>
      <c r="Q535" s="739"/>
      <c r="R535" s="739"/>
      <c r="S535" s="739"/>
      <c r="T535" s="739"/>
      <c r="U535" s="739"/>
      <c r="V535" s="740"/>
      <c r="W535" s="42" t="s">
        <v>0</v>
      </c>
      <c r="X535" s="43">
        <f>IFERROR(SUM(X527:X533),"0")</f>
        <v>110</v>
      </c>
      <c r="Y535" s="43">
        <f>IFERROR(SUM(Y527:Y533),"0")</f>
        <v>116.16</v>
      </c>
      <c r="Z535" s="42"/>
      <c r="AA535" s="67"/>
      <c r="AB535" s="67"/>
      <c r="AC535" s="67"/>
    </row>
    <row r="536" spans="1:68" ht="27.75" hidden="1" customHeight="1" x14ac:dyDescent="0.2">
      <c r="A536" s="730" t="s">
        <v>865</v>
      </c>
      <c r="B536" s="730"/>
      <c r="C536" s="730"/>
      <c r="D536" s="730"/>
      <c r="E536" s="730"/>
      <c r="F536" s="730"/>
      <c r="G536" s="730"/>
      <c r="H536" s="730"/>
      <c r="I536" s="730"/>
      <c r="J536" s="730"/>
      <c r="K536" s="730"/>
      <c r="L536" s="730"/>
      <c r="M536" s="730"/>
      <c r="N536" s="730"/>
      <c r="O536" s="730"/>
      <c r="P536" s="730"/>
      <c r="Q536" s="730"/>
      <c r="R536" s="730"/>
      <c r="S536" s="730"/>
      <c r="T536" s="730"/>
      <c r="U536" s="730"/>
      <c r="V536" s="730"/>
      <c r="W536" s="730"/>
      <c r="X536" s="730"/>
      <c r="Y536" s="730"/>
      <c r="Z536" s="730"/>
      <c r="AA536" s="54"/>
      <c r="AB536" s="54"/>
      <c r="AC536" s="54"/>
    </row>
    <row r="537" spans="1:68" ht="16.5" hidden="1" customHeight="1" x14ac:dyDescent="0.25">
      <c r="A537" s="731" t="s">
        <v>865</v>
      </c>
      <c r="B537" s="731"/>
      <c r="C537" s="731"/>
      <c r="D537" s="731"/>
      <c r="E537" s="731"/>
      <c r="F537" s="731"/>
      <c r="G537" s="731"/>
      <c r="H537" s="731"/>
      <c r="I537" s="731"/>
      <c r="J537" s="731"/>
      <c r="K537" s="731"/>
      <c r="L537" s="731"/>
      <c r="M537" s="731"/>
      <c r="N537" s="731"/>
      <c r="O537" s="731"/>
      <c r="P537" s="731"/>
      <c r="Q537" s="731"/>
      <c r="R537" s="731"/>
      <c r="S537" s="731"/>
      <c r="T537" s="731"/>
      <c r="U537" s="731"/>
      <c r="V537" s="731"/>
      <c r="W537" s="731"/>
      <c r="X537" s="731"/>
      <c r="Y537" s="731"/>
      <c r="Z537" s="731"/>
      <c r="AA537" s="65"/>
      <c r="AB537" s="65"/>
      <c r="AC537" s="79"/>
    </row>
    <row r="538" spans="1:68" ht="14.25" hidden="1" customHeight="1" x14ac:dyDescent="0.25">
      <c r="A538" s="732" t="s">
        <v>122</v>
      </c>
      <c r="B538" s="732"/>
      <c r="C538" s="732"/>
      <c r="D538" s="732"/>
      <c r="E538" s="732"/>
      <c r="F538" s="732"/>
      <c r="G538" s="732"/>
      <c r="H538" s="732"/>
      <c r="I538" s="732"/>
      <c r="J538" s="732"/>
      <c r="K538" s="732"/>
      <c r="L538" s="732"/>
      <c r="M538" s="732"/>
      <c r="N538" s="732"/>
      <c r="O538" s="732"/>
      <c r="P538" s="732"/>
      <c r="Q538" s="732"/>
      <c r="R538" s="732"/>
      <c r="S538" s="732"/>
      <c r="T538" s="732"/>
      <c r="U538" s="732"/>
      <c r="V538" s="732"/>
      <c r="W538" s="732"/>
      <c r="X538" s="732"/>
      <c r="Y538" s="732"/>
      <c r="Z538" s="73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733">
        <v>4640242180564</v>
      </c>
      <c r="E539" s="73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5"/>
      <c r="R539" s="735"/>
      <c r="S539" s="735"/>
      <c r="T539" s="736"/>
      <c r="U539" s="39" t="s">
        <v>46</v>
      </c>
      <c r="V539" s="39" t="s">
        <v>46</v>
      </c>
      <c r="W539" s="40" t="s">
        <v>0</v>
      </c>
      <c r="X539" s="58">
        <v>10</v>
      </c>
      <c r="Y539" s="55">
        <f>IFERROR(IF(X539="",0,CEILING((X539/$H539),1)*$H539),"")</f>
        <v>12</v>
      </c>
      <c r="Z539" s="41">
        <f>IFERROR(IF(Y539=0,"",ROUNDUP(Y539/H539,0)*0.01898),"")</f>
        <v>1.898E-2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10.341666666666667</v>
      </c>
      <c r="BN539" s="78">
        <f>IFERROR(Y539*I539/H539,"0")</f>
        <v>12.410000000000002</v>
      </c>
      <c r="BO539" s="78">
        <f>IFERROR(1/J539*(X539/H539),"0")</f>
        <v>1.3020833333333334E-2</v>
      </c>
      <c r="BP539" s="78">
        <f>IFERROR(1/J539*(Y539/H539),"0")</f>
        <v>1.5625E-2</v>
      </c>
    </row>
    <row r="540" spans="1:68" x14ac:dyDescent="0.2">
      <c r="A540" s="741"/>
      <c r="B540" s="741"/>
      <c r="C540" s="741"/>
      <c r="D540" s="741"/>
      <c r="E540" s="741"/>
      <c r="F540" s="741"/>
      <c r="G540" s="741"/>
      <c r="H540" s="741"/>
      <c r="I540" s="741"/>
      <c r="J540" s="741"/>
      <c r="K540" s="741"/>
      <c r="L540" s="741"/>
      <c r="M540" s="741"/>
      <c r="N540" s="741"/>
      <c r="O540" s="742"/>
      <c r="P540" s="738" t="s">
        <v>40</v>
      </c>
      <c r="Q540" s="739"/>
      <c r="R540" s="739"/>
      <c r="S540" s="739"/>
      <c r="T540" s="739"/>
      <c r="U540" s="739"/>
      <c r="V540" s="740"/>
      <c r="W540" s="42" t="s">
        <v>39</v>
      </c>
      <c r="X540" s="43">
        <f>IFERROR(X539/H539,"0")</f>
        <v>0.83333333333333337</v>
      </c>
      <c r="Y540" s="43">
        <f>IFERROR(Y539/H539,"0")</f>
        <v>1</v>
      </c>
      <c r="Z540" s="43">
        <f>IFERROR(IF(Z539="",0,Z539),"0")</f>
        <v>1.898E-2</v>
      </c>
      <c r="AA540" s="67"/>
      <c r="AB540" s="67"/>
      <c r="AC540" s="67"/>
    </row>
    <row r="541" spans="1:68" x14ac:dyDescent="0.2">
      <c r="A541" s="741"/>
      <c r="B541" s="741"/>
      <c r="C541" s="741"/>
      <c r="D541" s="741"/>
      <c r="E541" s="741"/>
      <c r="F541" s="741"/>
      <c r="G541" s="741"/>
      <c r="H541" s="741"/>
      <c r="I541" s="741"/>
      <c r="J541" s="741"/>
      <c r="K541" s="741"/>
      <c r="L541" s="741"/>
      <c r="M541" s="741"/>
      <c r="N541" s="741"/>
      <c r="O541" s="742"/>
      <c r="P541" s="738" t="s">
        <v>40</v>
      </c>
      <c r="Q541" s="739"/>
      <c r="R541" s="739"/>
      <c r="S541" s="739"/>
      <c r="T541" s="739"/>
      <c r="U541" s="739"/>
      <c r="V541" s="740"/>
      <c r="W541" s="42" t="s">
        <v>0</v>
      </c>
      <c r="X541" s="43">
        <f>IFERROR(SUM(X539:X539),"0")</f>
        <v>10</v>
      </c>
      <c r="Y541" s="43">
        <f>IFERROR(SUM(Y539:Y539),"0")</f>
        <v>12</v>
      </c>
      <c r="Z541" s="42"/>
      <c r="AA541" s="67"/>
      <c r="AB541" s="67"/>
      <c r="AC541" s="67"/>
    </row>
    <row r="542" spans="1:68" ht="14.25" hidden="1" customHeight="1" x14ac:dyDescent="0.25">
      <c r="A542" s="732" t="s">
        <v>155</v>
      </c>
      <c r="B542" s="732"/>
      <c r="C542" s="732"/>
      <c r="D542" s="732"/>
      <c r="E542" s="732"/>
      <c r="F542" s="732"/>
      <c r="G542" s="732"/>
      <c r="H542" s="732"/>
      <c r="I542" s="732"/>
      <c r="J542" s="732"/>
      <c r="K542" s="732"/>
      <c r="L542" s="732"/>
      <c r="M542" s="732"/>
      <c r="N542" s="732"/>
      <c r="O542" s="732"/>
      <c r="P542" s="732"/>
      <c r="Q542" s="732"/>
      <c r="R542" s="732"/>
      <c r="S542" s="732"/>
      <c r="T542" s="732"/>
      <c r="U542" s="732"/>
      <c r="V542" s="732"/>
      <c r="W542" s="732"/>
      <c r="X542" s="732"/>
      <c r="Y542" s="732"/>
      <c r="Z542" s="73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3">
        <v>4640242180519</v>
      </c>
      <c r="E543" s="73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5"/>
      <c r="R543" s="735"/>
      <c r="S543" s="735"/>
      <c r="T543" s="73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1"/>
      <c r="B544" s="741"/>
      <c r="C544" s="741"/>
      <c r="D544" s="741"/>
      <c r="E544" s="741"/>
      <c r="F544" s="741"/>
      <c r="G544" s="741"/>
      <c r="H544" s="741"/>
      <c r="I544" s="741"/>
      <c r="J544" s="741"/>
      <c r="K544" s="741"/>
      <c r="L544" s="741"/>
      <c r="M544" s="741"/>
      <c r="N544" s="741"/>
      <c r="O544" s="742"/>
      <c r="P544" s="738" t="s">
        <v>40</v>
      </c>
      <c r="Q544" s="739"/>
      <c r="R544" s="739"/>
      <c r="S544" s="739"/>
      <c r="T544" s="739"/>
      <c r="U544" s="739"/>
      <c r="V544" s="74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1"/>
      <c r="B545" s="741"/>
      <c r="C545" s="741"/>
      <c r="D545" s="741"/>
      <c r="E545" s="741"/>
      <c r="F545" s="741"/>
      <c r="G545" s="741"/>
      <c r="H545" s="741"/>
      <c r="I545" s="741"/>
      <c r="J545" s="741"/>
      <c r="K545" s="741"/>
      <c r="L545" s="741"/>
      <c r="M545" s="741"/>
      <c r="N545" s="741"/>
      <c r="O545" s="742"/>
      <c r="P545" s="738" t="s">
        <v>40</v>
      </c>
      <c r="Q545" s="739"/>
      <c r="R545" s="739"/>
      <c r="S545" s="739"/>
      <c r="T545" s="739"/>
      <c r="U545" s="739"/>
      <c r="V545" s="74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2" t="s">
        <v>77</v>
      </c>
      <c r="B546" s="732"/>
      <c r="C546" s="732"/>
      <c r="D546" s="732"/>
      <c r="E546" s="732"/>
      <c r="F546" s="732"/>
      <c r="G546" s="732"/>
      <c r="H546" s="732"/>
      <c r="I546" s="732"/>
      <c r="J546" s="732"/>
      <c r="K546" s="732"/>
      <c r="L546" s="732"/>
      <c r="M546" s="732"/>
      <c r="N546" s="732"/>
      <c r="O546" s="732"/>
      <c r="P546" s="732"/>
      <c r="Q546" s="732"/>
      <c r="R546" s="732"/>
      <c r="S546" s="732"/>
      <c r="T546" s="732"/>
      <c r="U546" s="732"/>
      <c r="V546" s="732"/>
      <c r="W546" s="732"/>
      <c r="X546" s="732"/>
      <c r="Y546" s="732"/>
      <c r="Z546" s="73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733">
        <v>4640242180595</v>
      </c>
      <c r="E547" s="73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5"/>
      <c r="R547" s="735"/>
      <c r="S547" s="735"/>
      <c r="T547" s="73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41"/>
      <c r="B548" s="741"/>
      <c r="C548" s="741"/>
      <c r="D548" s="741"/>
      <c r="E548" s="741"/>
      <c r="F548" s="741"/>
      <c r="G548" s="741"/>
      <c r="H548" s="741"/>
      <c r="I548" s="741"/>
      <c r="J548" s="741"/>
      <c r="K548" s="741"/>
      <c r="L548" s="741"/>
      <c r="M548" s="741"/>
      <c r="N548" s="741"/>
      <c r="O548" s="742"/>
      <c r="P548" s="738" t="s">
        <v>40</v>
      </c>
      <c r="Q548" s="739"/>
      <c r="R548" s="739"/>
      <c r="S548" s="739"/>
      <c r="T548" s="739"/>
      <c r="U548" s="739"/>
      <c r="V548" s="74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41"/>
      <c r="B549" s="741"/>
      <c r="C549" s="741"/>
      <c r="D549" s="741"/>
      <c r="E549" s="741"/>
      <c r="F549" s="741"/>
      <c r="G549" s="741"/>
      <c r="H549" s="741"/>
      <c r="I549" s="741"/>
      <c r="J549" s="741"/>
      <c r="K549" s="741"/>
      <c r="L549" s="741"/>
      <c r="M549" s="741"/>
      <c r="N549" s="741"/>
      <c r="O549" s="742"/>
      <c r="P549" s="738" t="s">
        <v>40</v>
      </c>
      <c r="Q549" s="739"/>
      <c r="R549" s="739"/>
      <c r="S549" s="739"/>
      <c r="T549" s="739"/>
      <c r="U549" s="739"/>
      <c r="V549" s="74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32" t="s">
        <v>86</v>
      </c>
      <c r="B550" s="732"/>
      <c r="C550" s="732"/>
      <c r="D550" s="732"/>
      <c r="E550" s="732"/>
      <c r="F550" s="732"/>
      <c r="G550" s="732"/>
      <c r="H550" s="732"/>
      <c r="I550" s="732"/>
      <c r="J550" s="732"/>
      <c r="K550" s="732"/>
      <c r="L550" s="732"/>
      <c r="M550" s="732"/>
      <c r="N550" s="732"/>
      <c r="O550" s="732"/>
      <c r="P550" s="732"/>
      <c r="Q550" s="732"/>
      <c r="R550" s="732"/>
      <c r="S550" s="732"/>
      <c r="T550" s="732"/>
      <c r="U550" s="732"/>
      <c r="V550" s="732"/>
      <c r="W550" s="732"/>
      <c r="X550" s="732"/>
      <c r="Y550" s="732"/>
      <c r="Z550" s="73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733">
        <v>4640242180533</v>
      </c>
      <c r="E551" s="73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5"/>
      <c r="R551" s="735"/>
      <c r="S551" s="735"/>
      <c r="T551" s="736"/>
      <c r="U551" s="39" t="s">
        <v>46</v>
      </c>
      <c r="V551" s="39" t="s">
        <v>46</v>
      </c>
      <c r="W551" s="40" t="s">
        <v>0</v>
      </c>
      <c r="X551" s="58">
        <v>50</v>
      </c>
      <c r="Y551" s="55">
        <f>IFERROR(IF(X551="",0,CEILING((X551/$H551),1)*$H551),"")</f>
        <v>54</v>
      </c>
      <c r="Z551" s="41">
        <f>IFERROR(IF(Y551=0,"",ROUNDUP(Y551/H551,0)*0.01898),"")</f>
        <v>0.11388000000000001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52.74444444444444</v>
      </c>
      <c r="BN551" s="78">
        <f>IFERROR(Y551*I551/H551,"0")</f>
        <v>56.963999999999992</v>
      </c>
      <c r="BO551" s="78">
        <f>IFERROR(1/J551*(X551/H551),"0")</f>
        <v>8.6805555555555552E-2</v>
      </c>
      <c r="BP551" s="78">
        <f>IFERROR(1/J551*(Y551/H551),"0")</f>
        <v>9.375E-2</v>
      </c>
    </row>
    <row r="552" spans="1:68" x14ac:dyDescent="0.2">
      <c r="A552" s="741"/>
      <c r="B552" s="741"/>
      <c r="C552" s="741"/>
      <c r="D552" s="741"/>
      <c r="E552" s="741"/>
      <c r="F552" s="741"/>
      <c r="G552" s="741"/>
      <c r="H552" s="741"/>
      <c r="I552" s="741"/>
      <c r="J552" s="741"/>
      <c r="K552" s="741"/>
      <c r="L552" s="741"/>
      <c r="M552" s="741"/>
      <c r="N552" s="741"/>
      <c r="O552" s="742"/>
      <c r="P552" s="738" t="s">
        <v>40</v>
      </c>
      <c r="Q552" s="739"/>
      <c r="R552" s="739"/>
      <c r="S552" s="739"/>
      <c r="T552" s="739"/>
      <c r="U552" s="739"/>
      <c r="V552" s="740"/>
      <c r="W552" s="42" t="s">
        <v>39</v>
      </c>
      <c r="X552" s="43">
        <f>IFERROR(X551/H551,"0")</f>
        <v>5.5555555555555554</v>
      </c>
      <c r="Y552" s="43">
        <f>IFERROR(Y551/H551,"0")</f>
        <v>6</v>
      </c>
      <c r="Z552" s="43">
        <f>IFERROR(IF(Z551="",0,Z551),"0")</f>
        <v>0.11388000000000001</v>
      </c>
      <c r="AA552" s="67"/>
      <c r="AB552" s="67"/>
      <c r="AC552" s="67"/>
    </row>
    <row r="553" spans="1:68" x14ac:dyDescent="0.2">
      <c r="A553" s="741"/>
      <c r="B553" s="741"/>
      <c r="C553" s="741"/>
      <c r="D553" s="741"/>
      <c r="E553" s="741"/>
      <c r="F553" s="741"/>
      <c r="G553" s="741"/>
      <c r="H553" s="741"/>
      <c r="I553" s="741"/>
      <c r="J553" s="741"/>
      <c r="K553" s="741"/>
      <c r="L553" s="741"/>
      <c r="M553" s="741"/>
      <c r="N553" s="741"/>
      <c r="O553" s="742"/>
      <c r="P553" s="738" t="s">
        <v>40</v>
      </c>
      <c r="Q553" s="739"/>
      <c r="R553" s="739"/>
      <c r="S553" s="739"/>
      <c r="T553" s="739"/>
      <c r="U553" s="739"/>
      <c r="V553" s="740"/>
      <c r="W553" s="42" t="s">
        <v>0</v>
      </c>
      <c r="X553" s="43">
        <f>IFERROR(SUM(X551:X551),"0")</f>
        <v>50</v>
      </c>
      <c r="Y553" s="43">
        <f>IFERROR(SUM(Y551:Y551),"0")</f>
        <v>54</v>
      </c>
      <c r="Z553" s="42"/>
      <c r="AA553" s="67"/>
      <c r="AB553" s="67"/>
      <c r="AC553" s="67"/>
    </row>
    <row r="554" spans="1:68" ht="14.25" hidden="1" customHeight="1" x14ac:dyDescent="0.25">
      <c r="A554" s="732" t="s">
        <v>173</v>
      </c>
      <c r="B554" s="732"/>
      <c r="C554" s="732"/>
      <c r="D554" s="732"/>
      <c r="E554" s="732"/>
      <c r="F554" s="732"/>
      <c r="G554" s="732"/>
      <c r="H554" s="732"/>
      <c r="I554" s="732"/>
      <c r="J554" s="732"/>
      <c r="K554" s="732"/>
      <c r="L554" s="732"/>
      <c r="M554" s="732"/>
      <c r="N554" s="732"/>
      <c r="O554" s="732"/>
      <c r="P554" s="732"/>
      <c r="Q554" s="732"/>
      <c r="R554" s="732"/>
      <c r="S554" s="732"/>
      <c r="T554" s="732"/>
      <c r="U554" s="732"/>
      <c r="V554" s="732"/>
      <c r="W554" s="732"/>
      <c r="X554" s="732"/>
      <c r="Y554" s="732"/>
      <c r="Z554" s="73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3">
        <v>4640242180120</v>
      </c>
      <c r="E555" s="73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5"/>
      <c r="R555" s="735"/>
      <c r="S555" s="735"/>
      <c r="T555" s="73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3">
        <v>4640242180137</v>
      </c>
      <c r="E556" s="73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5"/>
      <c r="R556" s="735"/>
      <c r="S556" s="735"/>
      <c r="T556" s="73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1"/>
      <c r="B557" s="741"/>
      <c r="C557" s="741"/>
      <c r="D557" s="741"/>
      <c r="E557" s="741"/>
      <c r="F557" s="741"/>
      <c r="G557" s="741"/>
      <c r="H557" s="741"/>
      <c r="I557" s="741"/>
      <c r="J557" s="741"/>
      <c r="K557" s="741"/>
      <c r="L557" s="741"/>
      <c r="M557" s="741"/>
      <c r="N557" s="741"/>
      <c r="O557" s="742"/>
      <c r="P557" s="738" t="s">
        <v>40</v>
      </c>
      <c r="Q557" s="739"/>
      <c r="R557" s="739"/>
      <c r="S557" s="739"/>
      <c r="T557" s="739"/>
      <c r="U557" s="739"/>
      <c r="V557" s="74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1"/>
      <c r="B558" s="741"/>
      <c r="C558" s="741"/>
      <c r="D558" s="741"/>
      <c r="E558" s="741"/>
      <c r="F558" s="741"/>
      <c r="G558" s="741"/>
      <c r="H558" s="741"/>
      <c r="I558" s="741"/>
      <c r="J558" s="741"/>
      <c r="K558" s="741"/>
      <c r="L558" s="741"/>
      <c r="M558" s="741"/>
      <c r="N558" s="741"/>
      <c r="O558" s="742"/>
      <c r="P558" s="738" t="s">
        <v>40</v>
      </c>
      <c r="Q558" s="739"/>
      <c r="R558" s="739"/>
      <c r="S558" s="739"/>
      <c r="T558" s="739"/>
      <c r="U558" s="739"/>
      <c r="V558" s="74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1" t="s">
        <v>884</v>
      </c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731"/>
      <c r="P559" s="731"/>
      <c r="Q559" s="731"/>
      <c r="R559" s="731"/>
      <c r="S559" s="731"/>
      <c r="T559" s="731"/>
      <c r="U559" s="731"/>
      <c r="V559" s="731"/>
      <c r="W559" s="731"/>
      <c r="X559" s="731"/>
      <c r="Y559" s="731"/>
      <c r="Z559" s="731"/>
      <c r="AA559" s="65"/>
      <c r="AB559" s="65"/>
      <c r="AC559" s="79"/>
    </row>
    <row r="560" spans="1:68" ht="14.25" hidden="1" customHeight="1" x14ac:dyDescent="0.25">
      <c r="A560" s="732" t="s">
        <v>155</v>
      </c>
      <c r="B560" s="732"/>
      <c r="C560" s="732"/>
      <c r="D560" s="732"/>
      <c r="E560" s="732"/>
      <c r="F560" s="732"/>
      <c r="G560" s="732"/>
      <c r="H560" s="732"/>
      <c r="I560" s="732"/>
      <c r="J560" s="732"/>
      <c r="K560" s="732"/>
      <c r="L560" s="732"/>
      <c r="M560" s="732"/>
      <c r="N560" s="732"/>
      <c r="O560" s="732"/>
      <c r="P560" s="732"/>
      <c r="Q560" s="732"/>
      <c r="R560" s="732"/>
      <c r="S560" s="732"/>
      <c r="T560" s="732"/>
      <c r="U560" s="732"/>
      <c r="V560" s="732"/>
      <c r="W560" s="732"/>
      <c r="X560" s="732"/>
      <c r="Y560" s="732"/>
      <c r="Z560" s="73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3">
        <v>4640242180090</v>
      </c>
      <c r="E561" s="73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2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5"/>
      <c r="R561" s="735"/>
      <c r="S561" s="735"/>
      <c r="T561" s="73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1"/>
      <c r="B562" s="741"/>
      <c r="C562" s="741"/>
      <c r="D562" s="741"/>
      <c r="E562" s="741"/>
      <c r="F562" s="741"/>
      <c r="G562" s="741"/>
      <c r="H562" s="741"/>
      <c r="I562" s="741"/>
      <c r="J562" s="741"/>
      <c r="K562" s="741"/>
      <c r="L562" s="741"/>
      <c r="M562" s="741"/>
      <c r="N562" s="741"/>
      <c r="O562" s="742"/>
      <c r="P562" s="738" t="s">
        <v>40</v>
      </c>
      <c r="Q562" s="739"/>
      <c r="R562" s="739"/>
      <c r="S562" s="739"/>
      <c r="T562" s="739"/>
      <c r="U562" s="739"/>
      <c r="V562" s="74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1"/>
      <c r="B563" s="741"/>
      <c r="C563" s="741"/>
      <c r="D563" s="741"/>
      <c r="E563" s="741"/>
      <c r="F563" s="741"/>
      <c r="G563" s="741"/>
      <c r="H563" s="741"/>
      <c r="I563" s="741"/>
      <c r="J563" s="741"/>
      <c r="K563" s="741"/>
      <c r="L563" s="741"/>
      <c r="M563" s="741"/>
      <c r="N563" s="741"/>
      <c r="O563" s="742"/>
      <c r="P563" s="738" t="s">
        <v>40</v>
      </c>
      <c r="Q563" s="739"/>
      <c r="R563" s="739"/>
      <c r="S563" s="739"/>
      <c r="T563" s="739"/>
      <c r="U563" s="739"/>
      <c r="V563" s="74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1"/>
      <c r="B564" s="741"/>
      <c r="C564" s="741"/>
      <c r="D564" s="741"/>
      <c r="E564" s="741"/>
      <c r="F564" s="741"/>
      <c r="G564" s="741"/>
      <c r="H564" s="741"/>
      <c r="I564" s="741"/>
      <c r="J564" s="741"/>
      <c r="K564" s="741"/>
      <c r="L564" s="741"/>
      <c r="M564" s="741"/>
      <c r="N564" s="741"/>
      <c r="O564" s="1033"/>
      <c r="P564" s="1030" t="s">
        <v>33</v>
      </c>
      <c r="Q564" s="1031"/>
      <c r="R564" s="1031"/>
      <c r="S564" s="1031"/>
      <c r="T564" s="1031"/>
      <c r="U564" s="1031"/>
      <c r="V564" s="1032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2175.6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2267.64</v>
      </c>
      <c r="Z564" s="42"/>
      <c r="AA564" s="67"/>
      <c r="AB564" s="67"/>
      <c r="AC564" s="67"/>
    </row>
    <row r="565" spans="1:68" x14ac:dyDescent="0.2">
      <c r="A565" s="741"/>
      <c r="B565" s="741"/>
      <c r="C565" s="741"/>
      <c r="D565" s="741"/>
      <c r="E565" s="741"/>
      <c r="F565" s="741"/>
      <c r="G565" s="741"/>
      <c r="H565" s="741"/>
      <c r="I565" s="741"/>
      <c r="J565" s="741"/>
      <c r="K565" s="741"/>
      <c r="L565" s="741"/>
      <c r="M565" s="741"/>
      <c r="N565" s="741"/>
      <c r="O565" s="1033"/>
      <c r="P565" s="1030" t="s">
        <v>34</v>
      </c>
      <c r="Q565" s="1031"/>
      <c r="R565" s="1031"/>
      <c r="S565" s="1031"/>
      <c r="T565" s="1031"/>
      <c r="U565" s="1031"/>
      <c r="V565" s="1032"/>
      <c r="W565" s="42" t="s">
        <v>0</v>
      </c>
      <c r="X565" s="43">
        <f>IFERROR(SUM(BM22:BM561),"0")</f>
        <v>2275.3266041674387</v>
      </c>
      <c r="Y565" s="43">
        <f>IFERROR(SUM(BN22:BN561),"0")</f>
        <v>2371.6000000000008</v>
      </c>
      <c r="Z565" s="42"/>
      <c r="AA565" s="67"/>
      <c r="AB565" s="67"/>
      <c r="AC565" s="67"/>
    </row>
    <row r="566" spans="1:68" x14ac:dyDescent="0.2">
      <c r="A566" s="741"/>
      <c r="B566" s="741"/>
      <c r="C566" s="741"/>
      <c r="D566" s="741"/>
      <c r="E566" s="741"/>
      <c r="F566" s="741"/>
      <c r="G566" s="741"/>
      <c r="H566" s="741"/>
      <c r="I566" s="741"/>
      <c r="J566" s="741"/>
      <c r="K566" s="741"/>
      <c r="L566" s="741"/>
      <c r="M566" s="741"/>
      <c r="N566" s="741"/>
      <c r="O566" s="1033"/>
      <c r="P566" s="1030" t="s">
        <v>35</v>
      </c>
      <c r="Q566" s="1031"/>
      <c r="R566" s="1031"/>
      <c r="S566" s="1031"/>
      <c r="T566" s="1031"/>
      <c r="U566" s="1031"/>
      <c r="V566" s="1032"/>
      <c r="W566" s="42" t="s">
        <v>20</v>
      </c>
      <c r="X566" s="44">
        <f>ROUNDUP(SUM(BO22:BO561),0)</f>
        <v>4</v>
      </c>
      <c r="Y566" s="44">
        <f>ROUNDUP(SUM(BP22:BP561),0)</f>
        <v>4</v>
      </c>
      <c r="Z566" s="42"/>
      <c r="AA566" s="67"/>
      <c r="AB566" s="67"/>
      <c r="AC566" s="67"/>
    </row>
    <row r="567" spans="1:68" x14ac:dyDescent="0.2">
      <c r="A567" s="741"/>
      <c r="B567" s="741"/>
      <c r="C567" s="741"/>
      <c r="D567" s="741"/>
      <c r="E567" s="741"/>
      <c r="F567" s="741"/>
      <c r="G567" s="741"/>
      <c r="H567" s="741"/>
      <c r="I567" s="741"/>
      <c r="J567" s="741"/>
      <c r="K567" s="741"/>
      <c r="L567" s="741"/>
      <c r="M567" s="741"/>
      <c r="N567" s="741"/>
      <c r="O567" s="1033"/>
      <c r="P567" s="1030" t="s">
        <v>36</v>
      </c>
      <c r="Q567" s="1031"/>
      <c r="R567" s="1031"/>
      <c r="S567" s="1031"/>
      <c r="T567" s="1031"/>
      <c r="U567" s="1031"/>
      <c r="V567" s="1032"/>
      <c r="W567" s="42" t="s">
        <v>0</v>
      </c>
      <c r="X567" s="43">
        <f>GrossWeightTotal+PalletQtyTotal*25</f>
        <v>2375.3266041674387</v>
      </c>
      <c r="Y567" s="43">
        <f>GrossWeightTotalR+PalletQtyTotalR*25</f>
        <v>2471.6000000000008</v>
      </c>
      <c r="Z567" s="42"/>
      <c r="AA567" s="67"/>
      <c r="AB567" s="67"/>
      <c r="AC567" s="67"/>
    </row>
    <row r="568" spans="1:68" x14ac:dyDescent="0.2">
      <c r="A568" s="741"/>
      <c r="B568" s="741"/>
      <c r="C568" s="741"/>
      <c r="D568" s="741"/>
      <c r="E568" s="741"/>
      <c r="F568" s="741"/>
      <c r="G568" s="741"/>
      <c r="H568" s="741"/>
      <c r="I568" s="741"/>
      <c r="J568" s="741"/>
      <c r="K568" s="741"/>
      <c r="L568" s="741"/>
      <c r="M568" s="741"/>
      <c r="N568" s="741"/>
      <c r="O568" s="1033"/>
      <c r="P568" s="1030" t="s">
        <v>37</v>
      </c>
      <c r="Q568" s="1031"/>
      <c r="R568" s="1031"/>
      <c r="S568" s="1031"/>
      <c r="T568" s="1031"/>
      <c r="U568" s="1031"/>
      <c r="V568" s="1032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313.5707964874631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326</v>
      </c>
      <c r="Z568" s="42"/>
      <c r="AA568" s="67"/>
      <c r="AB568" s="67"/>
      <c r="AC568" s="67"/>
    </row>
    <row r="569" spans="1:68" ht="14.25" hidden="1" x14ac:dyDescent="0.2">
      <c r="A569" s="741"/>
      <c r="B569" s="741"/>
      <c r="C569" s="741"/>
      <c r="D569" s="741"/>
      <c r="E569" s="741"/>
      <c r="F569" s="741"/>
      <c r="G569" s="741"/>
      <c r="H569" s="741"/>
      <c r="I569" s="741"/>
      <c r="J569" s="741"/>
      <c r="K569" s="741"/>
      <c r="L569" s="741"/>
      <c r="M569" s="741"/>
      <c r="N569" s="741"/>
      <c r="O569" s="1033"/>
      <c r="P569" s="1030" t="s">
        <v>38</v>
      </c>
      <c r="Q569" s="1031"/>
      <c r="R569" s="1031"/>
      <c r="S569" s="1031"/>
      <c r="T569" s="1031"/>
      <c r="U569" s="1031"/>
      <c r="V569" s="1032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4.3072500000000007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8" t="s">
        <v>120</v>
      </c>
      <c r="E571" s="1028" t="s">
        <v>120</v>
      </c>
      <c r="F571" s="1028" t="s">
        <v>120</v>
      </c>
      <c r="G571" s="1028" t="s">
        <v>120</v>
      </c>
      <c r="H571" s="1028" t="s">
        <v>120</v>
      </c>
      <c r="I571" s="1028" t="s">
        <v>120</v>
      </c>
      <c r="J571" s="1028" t="s">
        <v>120</v>
      </c>
      <c r="K571" s="1028" t="s">
        <v>370</v>
      </c>
      <c r="L571" s="1028" t="s">
        <v>370</v>
      </c>
      <c r="M571" s="1028" t="s">
        <v>370</v>
      </c>
      <c r="N571" s="1034"/>
      <c r="O571" s="1028" t="s">
        <v>370</v>
      </c>
      <c r="P571" s="1028" t="s">
        <v>370</v>
      </c>
      <c r="Q571" s="1028" t="s">
        <v>370</v>
      </c>
      <c r="R571" s="1028" t="s">
        <v>370</v>
      </c>
      <c r="S571" s="1028" t="s">
        <v>370</v>
      </c>
      <c r="T571" s="1028" t="s">
        <v>370</v>
      </c>
      <c r="U571" s="1028" t="s">
        <v>370</v>
      </c>
      <c r="V571" s="1028" t="s">
        <v>370</v>
      </c>
      <c r="W571" s="1028" t="s">
        <v>716</v>
      </c>
      <c r="X571" s="1028" t="s">
        <v>716</v>
      </c>
      <c r="Y571" s="1028" t="s">
        <v>782</v>
      </c>
      <c r="Z571" s="1028" t="s">
        <v>782</v>
      </c>
      <c r="AA571" s="85" t="s">
        <v>818</v>
      </c>
      <c r="AB571" s="1028" t="s">
        <v>865</v>
      </c>
      <c r="AC571" s="1028" t="s">
        <v>865</v>
      </c>
      <c r="AF571" s="1"/>
    </row>
    <row r="572" spans="1:68" ht="14.25" customHeight="1" thickTop="1" x14ac:dyDescent="0.2">
      <c r="A572" s="1035" t="s">
        <v>10</v>
      </c>
      <c r="B572" s="1028" t="s">
        <v>76</v>
      </c>
      <c r="C572" s="1028" t="s">
        <v>104</v>
      </c>
      <c r="D572" s="1028" t="s">
        <v>121</v>
      </c>
      <c r="E572" s="1028" t="s">
        <v>137</v>
      </c>
      <c r="F572" s="1028" t="s">
        <v>182</v>
      </c>
      <c r="G572" s="1028" t="s">
        <v>212</v>
      </c>
      <c r="H572" s="1028" t="s">
        <v>265</v>
      </c>
      <c r="I572" s="1028" t="s">
        <v>278</v>
      </c>
      <c r="J572" s="1028" t="s">
        <v>120</v>
      </c>
      <c r="K572" s="1028" t="s">
        <v>371</v>
      </c>
      <c r="L572" s="1028" t="s">
        <v>392</v>
      </c>
      <c r="M572" s="1028" t="s">
        <v>459</v>
      </c>
      <c r="N572" s="1"/>
      <c r="O572" s="1028" t="s">
        <v>527</v>
      </c>
      <c r="P572" s="1028" t="s">
        <v>560</v>
      </c>
      <c r="Q572" s="1028" t="s">
        <v>576</v>
      </c>
      <c r="R572" s="1028" t="s">
        <v>585</v>
      </c>
      <c r="S572" s="1028" t="s">
        <v>606</v>
      </c>
      <c r="T572" s="1028" t="s">
        <v>615</v>
      </c>
      <c r="U572" s="1028" t="s">
        <v>699</v>
      </c>
      <c r="V572" s="1028" t="s">
        <v>706</v>
      </c>
      <c r="W572" s="1028" t="s">
        <v>717</v>
      </c>
      <c r="X572" s="1028" t="s">
        <v>766</v>
      </c>
      <c r="Y572" s="1028" t="s">
        <v>783</v>
      </c>
      <c r="Z572" s="1028" t="s">
        <v>806</v>
      </c>
      <c r="AA572" s="1028" t="s">
        <v>818</v>
      </c>
      <c r="AB572" s="1028" t="s">
        <v>865</v>
      </c>
      <c r="AC572" s="1028" t="s">
        <v>884</v>
      </c>
      <c r="AF572" s="1"/>
    </row>
    <row r="573" spans="1:68" ht="13.5" thickBot="1" x14ac:dyDescent="0.25">
      <c r="A573" s="1036"/>
      <c r="B573" s="1028"/>
      <c r="C573" s="1028"/>
      <c r="D573" s="1028"/>
      <c r="E573" s="1028"/>
      <c r="F573" s="1028"/>
      <c r="G573" s="1028"/>
      <c r="H573" s="1028"/>
      <c r="I573" s="1028"/>
      <c r="J573" s="1028"/>
      <c r="K573" s="1028"/>
      <c r="L573" s="1028"/>
      <c r="M573" s="1028"/>
      <c r="N573" s="1"/>
      <c r="O573" s="1028"/>
      <c r="P573" s="1028"/>
      <c r="Q573" s="1028"/>
      <c r="R573" s="1028"/>
      <c r="S573" s="1028"/>
      <c r="T573" s="1028"/>
      <c r="U573" s="1028"/>
      <c r="V573" s="1028"/>
      <c r="W573" s="1028"/>
      <c r="X573" s="1028"/>
      <c r="Y573" s="1028"/>
      <c r="Z573" s="1028"/>
      <c r="AA573" s="1028"/>
      <c r="AB573" s="1028"/>
      <c r="AC573" s="1028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32.400000000000006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185.4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60.3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137.69999999999999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153.30000000000001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237.6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64.8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39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152.4</v>
      </c>
      <c r="U574" s="52">
        <f>IFERROR(Y422*1,"0")+IFERROR(Y423*1,"0")</f>
        <v>0</v>
      </c>
      <c r="V574" s="52">
        <f>IFERROR(Y428*1,"0")+IFERROR(Y429*1,"0")+IFERROR(Y430*1,"0")</f>
        <v>27.3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720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21.6</v>
      </c>
      <c r="Z574" s="52">
        <f>IFERROR(Y497*1,"0")+IFERROR(Y501*1,"0")+IFERROR(Y502*1,"0")+IFERROR(Y503*1,"0")</f>
        <v>10.8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359.04</v>
      </c>
      <c r="AB574" s="52">
        <f>IFERROR(Y539*1,"0")+IFERROR(Y543*1,"0")+IFERROR(Y547*1,"0")+IFERROR(Y551*1,"0")+IFERROR(Y555*1,"0")+IFERROR(Y556*1,"0")</f>
        <v>66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,85"/>
        <filter val="10,00"/>
        <filter val="100,00"/>
        <filter val="110,00"/>
        <filter val="12,35"/>
        <filter val="13,00"/>
        <filter val="13,33"/>
        <filter val="145,00"/>
        <filter val="146,80"/>
        <filter val="15,00"/>
        <filter val="150,00"/>
        <filter val="185,00"/>
        <filter val="19,05"/>
        <filter val="19,26"/>
        <filter val="2 175,60"/>
        <filter val="2 275,33"/>
        <filter val="2 375,33"/>
        <filter val="2,00"/>
        <filter val="2,78"/>
        <filter val="20,00"/>
        <filter val="20,83"/>
        <filter val="200,00"/>
        <filter val="21,00"/>
        <filter val="215,00"/>
        <filter val="22,50"/>
        <filter val="23,00"/>
        <filter val="25,00"/>
        <filter val="27,30"/>
        <filter val="3,00"/>
        <filter val="3,70"/>
        <filter val="30,00"/>
        <filter val="300,00"/>
        <filter val="313,57"/>
        <filter val="33,33"/>
        <filter val="35,04"/>
        <filter val="38,00"/>
        <filter val="39,81"/>
        <filter val="4"/>
        <filter val="4,87"/>
        <filter val="40,00"/>
        <filter val="42,50"/>
        <filter val="45,00"/>
        <filter val="47,14"/>
        <filter val="5,00"/>
        <filter val="5,56"/>
        <filter val="50,00"/>
        <filter val="500,00"/>
        <filter val="6,00"/>
        <filter val="6,30"/>
        <filter val="6,85"/>
        <filter val="60,00"/>
        <filter val="7,69"/>
        <filter val="8,40"/>
        <filter val="80,00"/>
        <filter val="9,47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2026-10-26T13:37:26Z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