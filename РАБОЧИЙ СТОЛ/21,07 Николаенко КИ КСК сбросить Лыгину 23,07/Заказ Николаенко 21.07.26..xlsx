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DD0AB80A-47BB-41F1-A716-0CD7DD430F3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 l="1"/>
  <c r="X500" i="2"/>
  <c r="BO499" i="2"/>
  <c r="BM499" i="2"/>
  <c r="Y499" i="2"/>
  <c r="AA512" i="2" s="1"/>
  <c r="P499" i="2"/>
  <c r="X496" i="2"/>
  <c r="X495" i="2"/>
  <c r="BO494" i="2"/>
  <c r="BM494" i="2"/>
  <c r="Y494" i="2"/>
  <c r="BN494" i="2" s="1"/>
  <c r="P494" i="2"/>
  <c r="BO493" i="2"/>
  <c r="BM493" i="2"/>
  <c r="Z493" i="2"/>
  <c r="Y493" i="2"/>
  <c r="BP493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BN485" i="2" s="1"/>
  <c r="P485" i="2"/>
  <c r="X483" i="2"/>
  <c r="X482" i="2"/>
  <c r="BO481" i="2"/>
  <c r="BM481" i="2"/>
  <c r="Y481" i="2"/>
  <c r="BP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Z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P467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61" i="2" s="1"/>
  <c r="P457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Z451" i="2"/>
  <c r="Y451" i="2"/>
  <c r="BN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Z447" i="2"/>
  <c r="Y447" i="2"/>
  <c r="BN447" i="2" s="1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39" i="2"/>
  <c r="X438" i="2"/>
  <c r="BO437" i="2"/>
  <c r="BM437" i="2"/>
  <c r="Y437" i="2"/>
  <c r="X512" i="2" s="1"/>
  <c r="P437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Y428" i="2"/>
  <c r="X428" i="2"/>
  <c r="Y427" i="2"/>
  <c r="X427" i="2"/>
  <c r="BO426" i="2"/>
  <c r="BM426" i="2"/>
  <c r="Y426" i="2"/>
  <c r="BN426" i="2" s="1"/>
  <c r="P426" i="2"/>
  <c r="X423" i="2"/>
  <c r="X422" i="2"/>
  <c r="BO421" i="2"/>
  <c r="BM421" i="2"/>
  <c r="Y421" i="2"/>
  <c r="BN421" i="2" s="1"/>
  <c r="P421" i="2"/>
  <c r="BO420" i="2"/>
  <c r="BM420" i="2"/>
  <c r="Y420" i="2"/>
  <c r="Y422" i="2" s="1"/>
  <c r="P420" i="2"/>
  <c r="X418" i="2"/>
  <c r="X417" i="2"/>
  <c r="BO416" i="2"/>
  <c r="BM416" i="2"/>
  <c r="Y416" i="2"/>
  <c r="BP416" i="2" s="1"/>
  <c r="P416" i="2"/>
  <c r="BO415" i="2"/>
  <c r="BM415" i="2"/>
  <c r="Y415" i="2"/>
  <c r="BP415" i="2" s="1"/>
  <c r="P415" i="2"/>
  <c r="BP414" i="2"/>
  <c r="BO414" i="2"/>
  <c r="BN414" i="2"/>
  <c r="BM414" i="2"/>
  <c r="Z414" i="2"/>
  <c r="Y414" i="2"/>
  <c r="P414" i="2"/>
  <c r="BO413" i="2"/>
  <c r="BM413" i="2"/>
  <c r="Z413" i="2"/>
  <c r="Y413" i="2"/>
  <c r="BN413" i="2" s="1"/>
  <c r="P413" i="2"/>
  <c r="BO412" i="2"/>
  <c r="BM412" i="2"/>
  <c r="Y412" i="2"/>
  <c r="BP412" i="2" s="1"/>
  <c r="P412" i="2"/>
  <c r="BO411" i="2"/>
  <c r="BM411" i="2"/>
  <c r="Z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BP408" i="2" s="1"/>
  <c r="P408" i="2"/>
  <c r="X404" i="2"/>
  <c r="X403" i="2"/>
  <c r="BP402" i="2"/>
  <c r="BO402" i="2"/>
  <c r="BN402" i="2"/>
  <c r="BM402" i="2"/>
  <c r="Z402" i="2"/>
  <c r="Y402" i="2"/>
  <c r="P402" i="2"/>
  <c r="BO401" i="2"/>
  <c r="BM401" i="2"/>
  <c r="Z401" i="2"/>
  <c r="Y401" i="2"/>
  <c r="P401" i="2"/>
  <c r="BO400" i="2"/>
  <c r="BM400" i="2"/>
  <c r="Y400" i="2"/>
  <c r="BP400" i="2" s="1"/>
  <c r="P400" i="2"/>
  <c r="Y398" i="2"/>
  <c r="X398" i="2"/>
  <c r="X397" i="2"/>
  <c r="BO396" i="2"/>
  <c r="BM396" i="2"/>
  <c r="Y396" i="2"/>
  <c r="BP396" i="2" s="1"/>
  <c r="P396" i="2"/>
  <c r="X394" i="2"/>
  <c r="X393" i="2"/>
  <c r="BO392" i="2"/>
  <c r="BM392" i="2"/>
  <c r="Y392" i="2"/>
  <c r="Z392" i="2" s="1"/>
  <c r="P392" i="2"/>
  <c r="BO391" i="2"/>
  <c r="BM391" i="2"/>
  <c r="Y391" i="2"/>
  <c r="U512" i="2" s="1"/>
  <c r="P391" i="2"/>
  <c r="X388" i="2"/>
  <c r="X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BP372" i="2" s="1"/>
  <c r="P372" i="2"/>
  <c r="BP371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X362" i="2"/>
  <c r="X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Z358" i="2" s="1"/>
  <c r="P358" i="2"/>
  <c r="X355" i="2"/>
  <c r="X354" i="2"/>
  <c r="BO353" i="2"/>
  <c r="BM353" i="2"/>
  <c r="Y353" i="2"/>
  <c r="P353" i="2"/>
  <c r="BO352" i="2"/>
  <c r="BM352" i="2"/>
  <c r="Y352" i="2"/>
  <c r="BP352" i="2" s="1"/>
  <c r="P352" i="2"/>
  <c r="BP351" i="2"/>
  <c r="BO351" i="2"/>
  <c r="BM351" i="2"/>
  <c r="Y351" i="2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6" i="2"/>
  <c r="X335" i="2"/>
  <c r="BO334" i="2"/>
  <c r="BM334" i="2"/>
  <c r="Y334" i="2"/>
  <c r="BP334" i="2" s="1"/>
  <c r="P334" i="2"/>
  <c r="BO333" i="2"/>
  <c r="BM333" i="2"/>
  <c r="Y333" i="2"/>
  <c r="BN333" i="2" s="1"/>
  <c r="P333" i="2"/>
  <c r="BO332" i="2"/>
  <c r="BM332" i="2"/>
  <c r="Y332" i="2"/>
  <c r="Y335" i="2" s="1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BO321" i="2"/>
  <c r="BM321" i="2"/>
  <c r="Y321" i="2"/>
  <c r="BP321" i="2" s="1"/>
  <c r="P321" i="2"/>
  <c r="X319" i="2"/>
  <c r="X318" i="2"/>
  <c r="BO317" i="2"/>
  <c r="BM317" i="2"/>
  <c r="Y317" i="2"/>
  <c r="BP317" i="2" s="1"/>
  <c r="P317" i="2"/>
  <c r="BP316" i="2"/>
  <c r="BO316" i="2"/>
  <c r="BM316" i="2"/>
  <c r="Y316" i="2"/>
  <c r="BN316" i="2" s="1"/>
  <c r="BO315" i="2"/>
  <c r="BM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BP312" i="2" s="1"/>
  <c r="BO311" i="2"/>
  <c r="BM311" i="2"/>
  <c r="Y311" i="2"/>
  <c r="BN311" i="2" s="1"/>
  <c r="P311" i="2"/>
  <c r="BO310" i="2"/>
  <c r="BM310" i="2"/>
  <c r="Y310" i="2"/>
  <c r="P310" i="2"/>
  <c r="X307" i="2"/>
  <c r="X306" i="2"/>
  <c r="BO305" i="2"/>
  <c r="BM305" i="2"/>
  <c r="Y305" i="2"/>
  <c r="BP305" i="2" s="1"/>
  <c r="P305" i="2"/>
  <c r="BO304" i="2"/>
  <c r="BM304" i="2"/>
  <c r="Z304" i="2"/>
  <c r="Y304" i="2"/>
  <c r="P304" i="2"/>
  <c r="X302" i="2"/>
  <c r="X301" i="2"/>
  <c r="BO300" i="2"/>
  <c r="BM300" i="2"/>
  <c r="Z300" i="2"/>
  <c r="Y300" i="2"/>
  <c r="BP300" i="2" s="1"/>
  <c r="P300" i="2"/>
  <c r="BO299" i="2"/>
  <c r="BM299" i="2"/>
  <c r="Z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BP297" i="2" s="1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Z290" i="2" s="1"/>
  <c r="P290" i="2"/>
  <c r="X287" i="2"/>
  <c r="X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Z283" i="2"/>
  <c r="Y283" i="2"/>
  <c r="BP283" i="2" s="1"/>
  <c r="P283" i="2"/>
  <c r="BO282" i="2"/>
  <c r="BM282" i="2"/>
  <c r="Y282" i="2"/>
  <c r="P282" i="2"/>
  <c r="X279" i="2"/>
  <c r="X278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X270" i="2"/>
  <c r="X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P252" i="2" s="1"/>
  <c r="P252" i="2"/>
  <c r="BO251" i="2"/>
  <c r="BM251" i="2"/>
  <c r="Z251" i="2"/>
  <c r="Y251" i="2"/>
  <c r="BN251" i="2" s="1"/>
  <c r="P251" i="2"/>
  <c r="BO250" i="2"/>
  <c r="BM250" i="2"/>
  <c r="Y250" i="2"/>
  <c r="BN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3" i="2"/>
  <c r="X242" i="2"/>
  <c r="BO241" i="2"/>
  <c r="BM241" i="2"/>
  <c r="Y241" i="2"/>
  <c r="P241" i="2"/>
  <c r="BO240" i="2"/>
  <c r="BM240" i="2"/>
  <c r="Y240" i="2"/>
  <c r="BN240" i="2" s="1"/>
  <c r="P240" i="2"/>
  <c r="X238" i="2"/>
  <c r="X237" i="2"/>
  <c r="BO236" i="2"/>
  <c r="BM236" i="2"/>
  <c r="Z236" i="2"/>
  <c r="Y236" i="2"/>
  <c r="BN236" i="2" s="1"/>
  <c r="BO235" i="2"/>
  <c r="BM235" i="2"/>
  <c r="Y235" i="2"/>
  <c r="P235" i="2"/>
  <c r="BO234" i="2"/>
  <c r="BM234" i="2"/>
  <c r="Y234" i="2"/>
  <c r="BN234" i="2" s="1"/>
  <c r="P234" i="2"/>
  <c r="BO233" i="2"/>
  <c r="BM233" i="2"/>
  <c r="Z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Z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X225" i="2"/>
  <c r="X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BO206" i="2"/>
  <c r="BM206" i="2"/>
  <c r="Z206" i="2"/>
  <c r="Y206" i="2"/>
  <c r="BP206" i="2" s="1"/>
  <c r="P206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N191" i="2" s="1"/>
  <c r="P191" i="2"/>
  <c r="BO190" i="2"/>
  <c r="BN190" i="2"/>
  <c r="BM190" i="2"/>
  <c r="Z190" i="2"/>
  <c r="Y190" i="2"/>
  <c r="BP190" i="2" s="1"/>
  <c r="P190" i="2"/>
  <c r="BO189" i="2"/>
  <c r="BM189" i="2"/>
  <c r="Z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Z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X176" i="2"/>
  <c r="X175" i="2"/>
  <c r="BO174" i="2"/>
  <c r="BM174" i="2"/>
  <c r="Y174" i="2"/>
  <c r="Y176" i="2" s="1"/>
  <c r="P174" i="2"/>
  <c r="X170" i="2"/>
  <c r="X169" i="2"/>
  <c r="BO168" i="2"/>
  <c r="BM168" i="2"/>
  <c r="Y168" i="2"/>
  <c r="P168" i="2"/>
  <c r="X166" i="2"/>
  <c r="X165" i="2"/>
  <c r="BO164" i="2"/>
  <c r="BM164" i="2"/>
  <c r="Y164" i="2"/>
  <c r="BN164" i="2" s="1"/>
  <c r="P164" i="2"/>
  <c r="BO163" i="2"/>
  <c r="BM163" i="2"/>
  <c r="Y163" i="2"/>
  <c r="P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Z159" i="2"/>
  <c r="Y159" i="2"/>
  <c r="BN159" i="2" s="1"/>
  <c r="P159" i="2"/>
  <c r="BO158" i="2"/>
  <c r="BM158" i="2"/>
  <c r="Y158" i="2"/>
  <c r="P158" i="2"/>
  <c r="BO157" i="2"/>
  <c r="BM157" i="2"/>
  <c r="Y157" i="2"/>
  <c r="BN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Y152" i="2" s="1"/>
  <c r="P151" i="2"/>
  <c r="X149" i="2"/>
  <c r="X148" i="2"/>
  <c r="BO147" i="2"/>
  <c r="BM147" i="2"/>
  <c r="Y147" i="2"/>
  <c r="P147" i="2"/>
  <c r="BO146" i="2"/>
  <c r="BM146" i="2"/>
  <c r="Y146" i="2"/>
  <c r="BP146" i="2" s="1"/>
  <c r="P146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Z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7" i="2"/>
  <c r="X126" i="2"/>
  <c r="BO125" i="2"/>
  <c r="BM125" i="2"/>
  <c r="Y125" i="2"/>
  <c r="BP125" i="2" s="1"/>
  <c r="P125" i="2"/>
  <c r="X123" i="2"/>
  <c r="X122" i="2"/>
  <c r="BO121" i="2"/>
  <c r="BM121" i="2"/>
  <c r="Y121" i="2"/>
  <c r="BN121" i="2" s="1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P118" i="2"/>
  <c r="X116" i="2"/>
  <c r="X115" i="2"/>
  <c r="BO114" i="2"/>
  <c r="BM114" i="2"/>
  <c r="Y114" i="2"/>
  <c r="P114" i="2"/>
  <c r="BO113" i="2"/>
  <c r="BM113" i="2"/>
  <c r="Z113" i="2"/>
  <c r="Y113" i="2"/>
  <c r="BN113" i="2" s="1"/>
  <c r="P113" i="2"/>
  <c r="BO112" i="2"/>
  <c r="BM112" i="2"/>
  <c r="Y112" i="2"/>
  <c r="P112" i="2"/>
  <c r="BO111" i="2"/>
  <c r="BM111" i="2"/>
  <c r="Y111" i="2"/>
  <c r="BN111" i="2" s="1"/>
  <c r="P111" i="2"/>
  <c r="X109" i="2"/>
  <c r="X108" i="2"/>
  <c r="BP107" i="2"/>
  <c r="BO107" i="2"/>
  <c r="BN107" i="2"/>
  <c r="BM107" i="2"/>
  <c r="Z107" i="2"/>
  <c r="Y107" i="2"/>
  <c r="P107" i="2"/>
  <c r="BO106" i="2"/>
  <c r="BM106" i="2"/>
  <c r="Z106" i="2"/>
  <c r="Y106" i="2"/>
  <c r="BN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BO97" i="2"/>
  <c r="BM97" i="2"/>
  <c r="Y97" i="2"/>
  <c r="BN97" i="2" s="1"/>
  <c r="P97" i="2"/>
  <c r="BO96" i="2"/>
  <c r="BM96" i="2"/>
  <c r="Y96" i="2"/>
  <c r="P96" i="2"/>
  <c r="BO95" i="2"/>
  <c r="BM95" i="2"/>
  <c r="Y95" i="2"/>
  <c r="BN95" i="2" s="1"/>
  <c r="P95" i="2"/>
  <c r="X93" i="2"/>
  <c r="X92" i="2"/>
  <c r="BO91" i="2"/>
  <c r="BM91" i="2"/>
  <c r="Y91" i="2"/>
  <c r="BP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X71" i="2"/>
  <c r="X70" i="2"/>
  <c r="BO69" i="2"/>
  <c r="BM69" i="2"/>
  <c r="Y69" i="2"/>
  <c r="BN69" i="2" s="1"/>
  <c r="P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P60" i="2"/>
  <c r="BO60" i="2"/>
  <c r="BM60" i="2"/>
  <c r="Y60" i="2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X54" i="2"/>
  <c r="X53" i="2"/>
  <c r="BO52" i="2"/>
  <c r="BM52" i="2"/>
  <c r="Y52" i="2"/>
  <c r="P52" i="2"/>
  <c r="BO51" i="2"/>
  <c r="BM51" i="2"/>
  <c r="Y51" i="2"/>
  <c r="P51" i="2"/>
  <c r="BO50" i="2"/>
  <c r="BM50" i="2"/>
  <c r="Y50" i="2"/>
  <c r="P50" i="2"/>
  <c r="BO49" i="2"/>
  <c r="BM49" i="2"/>
  <c r="Y49" i="2"/>
  <c r="BN49" i="2" s="1"/>
  <c r="P49" i="2"/>
  <c r="X45" i="2"/>
  <c r="X44" i="2"/>
  <c r="BO43" i="2"/>
  <c r="BM43" i="2"/>
  <c r="Y43" i="2"/>
  <c r="Y45" i="2" s="1"/>
  <c r="P43" i="2"/>
  <c r="X39" i="2"/>
  <c r="X38" i="2"/>
  <c r="BO37" i="2"/>
  <c r="BM37" i="2"/>
  <c r="Y37" i="2"/>
  <c r="BN37" i="2" s="1"/>
  <c r="P37" i="2"/>
  <c r="X35" i="2"/>
  <c r="X34" i="2"/>
  <c r="BO33" i="2"/>
  <c r="BM33" i="2"/>
  <c r="Y33" i="2"/>
  <c r="Z33" i="2" s="1"/>
  <c r="P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Y24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23" i="2" l="1"/>
  <c r="BN28" i="2"/>
  <c r="Z30" i="2"/>
  <c r="Z31" i="2"/>
  <c r="BN31" i="2"/>
  <c r="Z67" i="2"/>
  <c r="BN67" i="2"/>
  <c r="Z90" i="2"/>
  <c r="BN98" i="2"/>
  <c r="BP106" i="2"/>
  <c r="Z111" i="2"/>
  <c r="Y115" i="2"/>
  <c r="Z121" i="2"/>
  <c r="Z140" i="2"/>
  <c r="Z146" i="2"/>
  <c r="BP182" i="2"/>
  <c r="BN185" i="2"/>
  <c r="BP189" i="2"/>
  <c r="Z196" i="2"/>
  <c r="Z212" i="2"/>
  <c r="Z222" i="2"/>
  <c r="BN222" i="2"/>
  <c r="Z240" i="2"/>
  <c r="Z248" i="2"/>
  <c r="BN248" i="2"/>
  <c r="BP251" i="2"/>
  <c r="Y257" i="2"/>
  <c r="Z267" i="2"/>
  <c r="BN267" i="2"/>
  <c r="BP277" i="2"/>
  <c r="Z285" i="2"/>
  <c r="BN285" i="2"/>
  <c r="BP299" i="2"/>
  <c r="Y307" i="2"/>
  <c r="Z311" i="2"/>
  <c r="BN314" i="2"/>
  <c r="Z315" i="2"/>
  <c r="Z317" i="2"/>
  <c r="BN317" i="2"/>
  <c r="BN331" i="2"/>
  <c r="Z333" i="2"/>
  <c r="Z352" i="2"/>
  <c r="BN352" i="2"/>
  <c r="Z372" i="2"/>
  <c r="Y387" i="2"/>
  <c r="Y404" i="2"/>
  <c r="BP401" i="2"/>
  <c r="Z409" i="2"/>
  <c r="BP413" i="2"/>
  <c r="Z437" i="2"/>
  <c r="Z438" i="2" s="1"/>
  <c r="BN437" i="2"/>
  <c r="BP437" i="2"/>
  <c r="BN481" i="2"/>
  <c r="BP30" i="2"/>
  <c r="BP90" i="2"/>
  <c r="BN104" i="2"/>
  <c r="Y143" i="2"/>
  <c r="BN187" i="2"/>
  <c r="BP212" i="2"/>
  <c r="BN231" i="2"/>
  <c r="BP240" i="2"/>
  <c r="Y301" i="2"/>
  <c r="BP315" i="2"/>
  <c r="BN327" i="2"/>
  <c r="BP333" i="2"/>
  <c r="BN358" i="2"/>
  <c r="BN400" i="2"/>
  <c r="BN412" i="2"/>
  <c r="BN416" i="2"/>
  <c r="BN449" i="2"/>
  <c r="BN459" i="2"/>
  <c r="BN468" i="2"/>
  <c r="Y486" i="2"/>
  <c r="Z458" i="2"/>
  <c r="BN458" i="2"/>
  <c r="Z391" i="2"/>
  <c r="Z393" i="2" s="1"/>
  <c r="BP476" i="2"/>
  <c r="Z344" i="2"/>
  <c r="Z227" i="2"/>
  <c r="BP391" i="2"/>
  <c r="BP344" i="2"/>
  <c r="Z157" i="2"/>
  <c r="Z43" i="2"/>
  <c r="Z44" i="2" s="1"/>
  <c r="Z465" i="2"/>
  <c r="Z366" i="2"/>
  <c r="Z232" i="2"/>
  <c r="Z360" i="2"/>
  <c r="Z91" i="2"/>
  <c r="BN91" i="2"/>
  <c r="BP464" i="2"/>
  <c r="Z321" i="2"/>
  <c r="BN321" i="2"/>
  <c r="BN274" i="2"/>
  <c r="Z219" i="2"/>
  <c r="Z217" i="2"/>
  <c r="Z97" i="2"/>
  <c r="Z58" i="2"/>
  <c r="BN376" i="2"/>
  <c r="BN368" i="2"/>
  <c r="BP359" i="2"/>
  <c r="Y361" i="2"/>
  <c r="BN340" i="2"/>
  <c r="BP232" i="2"/>
  <c r="BN230" i="2"/>
  <c r="BP120" i="2"/>
  <c r="Z120" i="2"/>
  <c r="Z95" i="2"/>
  <c r="Y99" i="2"/>
  <c r="Y93" i="2"/>
  <c r="BN62" i="2"/>
  <c r="X506" i="2"/>
  <c r="Z118" i="2"/>
  <c r="Y123" i="2"/>
  <c r="BP119" i="2"/>
  <c r="H512" i="2"/>
  <c r="Y133" i="2"/>
  <c r="BN130" i="2"/>
  <c r="BP156" i="2"/>
  <c r="Y170" i="2"/>
  <c r="BN168" i="2"/>
  <c r="BP179" i="2"/>
  <c r="Z179" i="2"/>
  <c r="BP186" i="2"/>
  <c r="BN235" i="2"/>
  <c r="BP235" i="2"/>
  <c r="Z235" i="2"/>
  <c r="Z27" i="2"/>
  <c r="BP37" i="2"/>
  <c r="BP103" i="2"/>
  <c r="Z119" i="2"/>
  <c r="Z125" i="2"/>
  <c r="Z126" i="2" s="1"/>
  <c r="Z130" i="2"/>
  <c r="BP163" i="2"/>
  <c r="BN163" i="2"/>
  <c r="Z201" i="2"/>
  <c r="Z202" i="2" s="1"/>
  <c r="Y203" i="2"/>
  <c r="BP249" i="2"/>
  <c r="BN249" i="2"/>
  <c r="Z249" i="2"/>
  <c r="BN323" i="2"/>
  <c r="BP323" i="2"/>
  <c r="Z323" i="2"/>
  <c r="BP339" i="2"/>
  <c r="BN339" i="2"/>
  <c r="BN444" i="2"/>
  <c r="BP444" i="2"/>
  <c r="BN467" i="2"/>
  <c r="Z467" i="2"/>
  <c r="BN33" i="2"/>
  <c r="Y34" i="2"/>
  <c r="Z37" i="2"/>
  <c r="Z38" i="2" s="1"/>
  <c r="Z60" i="2"/>
  <c r="BN60" i="2"/>
  <c r="BN77" i="2"/>
  <c r="BP77" i="2"/>
  <c r="BP78" i="2"/>
  <c r="Z78" i="2"/>
  <c r="Z103" i="2"/>
  <c r="Z163" i="2"/>
  <c r="BN179" i="2"/>
  <c r="Z180" i="2"/>
  <c r="Z181" i="2"/>
  <c r="BN181" i="2"/>
  <c r="BN216" i="2"/>
  <c r="Y224" i="2"/>
  <c r="BP216" i="2"/>
  <c r="Z216" i="2"/>
  <c r="Y253" i="2"/>
  <c r="BN247" i="2"/>
  <c r="BN266" i="2"/>
  <c r="BP266" i="2"/>
  <c r="O512" i="2"/>
  <c r="BN282" i="2"/>
  <c r="BP282" i="2"/>
  <c r="Z282" i="2"/>
  <c r="Y355" i="2"/>
  <c r="Z351" i="2"/>
  <c r="BP448" i="2"/>
  <c r="Z448" i="2"/>
  <c r="BP489" i="2"/>
  <c r="Z489" i="2"/>
  <c r="Z490" i="2" s="1"/>
  <c r="BP27" i="2"/>
  <c r="BP33" i="2"/>
  <c r="Y75" i="2"/>
  <c r="BN73" i="2"/>
  <c r="BP112" i="2"/>
  <c r="BN112" i="2"/>
  <c r="BP160" i="2"/>
  <c r="BN160" i="2"/>
  <c r="BP162" i="2"/>
  <c r="Z162" i="2"/>
  <c r="Z207" i="2"/>
  <c r="BN207" i="2"/>
  <c r="BP221" i="2"/>
  <c r="BN221" i="2"/>
  <c r="Z260" i="2"/>
  <c r="Z261" i="2" s="1"/>
  <c r="Y262" i="2"/>
  <c r="BP292" i="2"/>
  <c r="BN292" i="2"/>
  <c r="X504" i="2"/>
  <c r="Y39" i="2"/>
  <c r="Z51" i="2"/>
  <c r="BN51" i="2"/>
  <c r="BP68" i="2"/>
  <c r="Z68" i="2"/>
  <c r="Y100" i="2"/>
  <c r="BN96" i="2"/>
  <c r="BP114" i="2"/>
  <c r="BN114" i="2"/>
  <c r="Y122" i="2"/>
  <c r="Y126" i="2"/>
  <c r="Z156" i="2"/>
  <c r="Z186" i="2"/>
  <c r="BN326" i="2"/>
  <c r="BP326" i="2"/>
  <c r="BP338" i="2"/>
  <c r="Y342" i="2"/>
  <c r="BN353" i="2"/>
  <c r="BP353" i="2"/>
  <c r="Z353" i="2"/>
  <c r="BP23" i="2"/>
  <c r="Y38" i="2"/>
  <c r="C512" i="2"/>
  <c r="Y44" i="2"/>
  <c r="BN43" i="2"/>
  <c r="BP43" i="2"/>
  <c r="E512" i="2"/>
  <c r="BN57" i="2"/>
  <c r="BP57" i="2"/>
  <c r="BN68" i="2"/>
  <c r="BP135" i="2"/>
  <c r="BN135" i="2"/>
  <c r="Z147" i="2"/>
  <c r="Z148" i="2" s="1"/>
  <c r="BN147" i="2"/>
  <c r="Y165" i="2"/>
  <c r="BP155" i="2"/>
  <c r="Z155" i="2"/>
  <c r="BP158" i="2"/>
  <c r="BN158" i="2"/>
  <c r="BP197" i="2"/>
  <c r="BN197" i="2"/>
  <c r="BP223" i="2"/>
  <c r="BN223" i="2"/>
  <c r="Z223" i="2"/>
  <c r="Z276" i="2"/>
  <c r="BN276" i="2"/>
  <c r="BN312" i="2"/>
  <c r="Z312" i="2"/>
  <c r="BN347" i="2"/>
  <c r="Z347" i="2"/>
  <c r="Z370" i="2"/>
  <c r="BN370" i="2"/>
  <c r="BN450" i="2"/>
  <c r="BP450" i="2"/>
  <c r="Z450" i="2"/>
  <c r="BN469" i="2"/>
  <c r="BP469" i="2"/>
  <c r="Z469" i="2"/>
  <c r="BN58" i="2"/>
  <c r="Y84" i="2"/>
  <c r="BP82" i="2"/>
  <c r="F512" i="2"/>
  <c r="BP97" i="2"/>
  <c r="BP113" i="2"/>
  <c r="BP121" i="2"/>
  <c r="BP136" i="2"/>
  <c r="BP140" i="2"/>
  <c r="BP159" i="2"/>
  <c r="Y199" i="2"/>
  <c r="Y198" i="2"/>
  <c r="Y225" i="2"/>
  <c r="BP219" i="2"/>
  <c r="BN220" i="2"/>
  <c r="BP227" i="2"/>
  <c r="BN233" i="2"/>
  <c r="Y242" i="2"/>
  <c r="BN246" i="2"/>
  <c r="BN256" i="2"/>
  <c r="BN265" i="2"/>
  <c r="BN300" i="2"/>
  <c r="BN325" i="2"/>
  <c r="BP382" i="2"/>
  <c r="BP386" i="2"/>
  <c r="Y388" i="2"/>
  <c r="Y397" i="2"/>
  <c r="Y403" i="2"/>
  <c r="Y418" i="2"/>
  <c r="BP421" i="2"/>
  <c r="W512" i="2"/>
  <c r="Y433" i="2"/>
  <c r="BP430" i="2"/>
  <c r="BN432" i="2"/>
  <c r="BP453" i="2"/>
  <c r="BP457" i="2"/>
  <c r="Y483" i="2"/>
  <c r="D512" i="2"/>
  <c r="BP49" i="2"/>
  <c r="BP95" i="2"/>
  <c r="BP98" i="2"/>
  <c r="Y109" i="2"/>
  <c r="BP111" i="2"/>
  <c r="Z142" i="2"/>
  <c r="BP157" i="2"/>
  <c r="BP196" i="2"/>
  <c r="BP236" i="2"/>
  <c r="Y258" i="2"/>
  <c r="Z274" i="2"/>
  <c r="BN283" i="2"/>
  <c r="Y293" i="2"/>
  <c r="BP290" i="2"/>
  <c r="Y302" i="2"/>
  <c r="Z327" i="2"/>
  <c r="Z331" i="2"/>
  <c r="Z340" i="2"/>
  <c r="Y349" i="2"/>
  <c r="BP345" i="2"/>
  <c r="BN366" i="2"/>
  <c r="Z368" i="2"/>
  <c r="Z376" i="2"/>
  <c r="Z382" i="2"/>
  <c r="Z386" i="2"/>
  <c r="Z387" i="2" s="1"/>
  <c r="BN391" i="2"/>
  <c r="Y393" i="2"/>
  <c r="Z400" i="2"/>
  <c r="Z403" i="2" s="1"/>
  <c r="BN401" i="2"/>
  <c r="Z412" i="2"/>
  <c r="Z415" i="2"/>
  <c r="Z421" i="2"/>
  <c r="Z426" i="2"/>
  <c r="Z427" i="2" s="1"/>
  <c r="BP426" i="2"/>
  <c r="Z430" i="2"/>
  <c r="Z445" i="2"/>
  <c r="BP447" i="2"/>
  <c r="Z449" i="2"/>
  <c r="Z453" i="2"/>
  <c r="Z457" i="2"/>
  <c r="Z459" i="2"/>
  <c r="Z481" i="2"/>
  <c r="Z482" i="2" s="1"/>
  <c r="BP485" i="2"/>
  <c r="Y487" i="2"/>
  <c r="BN493" i="2"/>
  <c r="BP217" i="2"/>
  <c r="Y237" i="2"/>
  <c r="BP229" i="2"/>
  <c r="BP304" i="2"/>
  <c r="R512" i="2"/>
  <c r="BP311" i="2"/>
  <c r="BP411" i="2"/>
  <c r="BP451" i="2"/>
  <c r="Z468" i="2"/>
  <c r="Z477" i="2"/>
  <c r="Y482" i="2"/>
  <c r="Z61" i="2"/>
  <c r="BP61" i="2"/>
  <c r="BN61" i="2"/>
  <c r="Y63" i="2"/>
  <c r="F10" i="2"/>
  <c r="A10" i="2"/>
  <c r="BP50" i="2"/>
  <c r="Y53" i="2"/>
  <c r="BN50" i="2"/>
  <c r="Z50" i="2"/>
  <c r="F9" i="2"/>
  <c r="H9" i="2"/>
  <c r="Z208" i="2"/>
  <c r="X502" i="2"/>
  <c r="X503" i="2"/>
  <c r="BP52" i="2"/>
  <c r="BN52" i="2"/>
  <c r="Z52" i="2"/>
  <c r="BP83" i="2"/>
  <c r="Z83" i="2"/>
  <c r="BN83" i="2"/>
  <c r="Y85" i="2"/>
  <c r="Y116" i="2"/>
  <c r="BP29" i="2"/>
  <c r="Y54" i="2"/>
  <c r="Y79" i="2"/>
  <c r="BP22" i="2"/>
  <c r="BP32" i="2"/>
  <c r="BP59" i="2"/>
  <c r="BP69" i="2"/>
  <c r="Y80" i="2"/>
  <c r="BN118" i="2"/>
  <c r="BP131" i="2"/>
  <c r="BN141" i="2"/>
  <c r="BP164" i="2"/>
  <c r="BP178" i="2"/>
  <c r="BP191" i="2"/>
  <c r="BN201" i="2"/>
  <c r="BP234" i="2"/>
  <c r="Y238" i="2"/>
  <c r="BP250" i="2"/>
  <c r="BN260" i="2"/>
  <c r="BP273" i="2"/>
  <c r="BP284" i="2"/>
  <c r="BP322" i="2"/>
  <c r="BP332" i="2"/>
  <c r="BP367" i="2"/>
  <c r="BP377" i="2"/>
  <c r="Y423" i="2"/>
  <c r="BN448" i="2"/>
  <c r="BP494" i="2"/>
  <c r="I512" i="2"/>
  <c r="Y243" i="2"/>
  <c r="Y254" i="2"/>
  <c r="Y318" i="2"/>
  <c r="Y328" i="2"/>
  <c r="Y336" i="2"/>
  <c r="Y373" i="2"/>
  <c r="Y394" i="2"/>
  <c r="BN443" i="2"/>
  <c r="BN463" i="2"/>
  <c r="BN475" i="2"/>
  <c r="Y478" i="2"/>
  <c r="Z485" i="2"/>
  <c r="Z486" i="2" s="1"/>
  <c r="Y490" i="2"/>
  <c r="J512" i="2"/>
  <c r="Z174" i="2"/>
  <c r="Z175" i="2" s="1"/>
  <c r="Z184" i="2"/>
  <c r="Y192" i="2"/>
  <c r="BP201" i="2"/>
  <c r="BP260" i="2"/>
  <c r="Z268" i="2"/>
  <c r="Y294" i="2"/>
  <c r="Z310" i="2"/>
  <c r="Y378" i="2"/>
  <c r="Z410" i="2"/>
  <c r="Z420" i="2"/>
  <c r="Z422" i="2" s="1"/>
  <c r="Y434" i="2"/>
  <c r="Z446" i="2"/>
  <c r="Z466" i="2"/>
  <c r="Y495" i="2"/>
  <c r="K512" i="2"/>
  <c r="Y70" i="2"/>
  <c r="Z77" i="2"/>
  <c r="Z79" i="2" s="1"/>
  <c r="BP118" i="2"/>
  <c r="Y132" i="2"/>
  <c r="BP141" i="2"/>
  <c r="Y153" i="2"/>
  <c r="Z49" i="2"/>
  <c r="BP51" i="2"/>
  <c r="BP62" i="2"/>
  <c r="Z82" i="2"/>
  <c r="Z84" i="2" s="1"/>
  <c r="Y137" i="2"/>
  <c r="BP147" i="2"/>
  <c r="BP181" i="2"/>
  <c r="BP207" i="2"/>
  <c r="BP265" i="2"/>
  <c r="BP276" i="2"/>
  <c r="BN304" i="2"/>
  <c r="BP325" i="2"/>
  <c r="BN345" i="2"/>
  <c r="Y348" i="2"/>
  <c r="BP358" i="2"/>
  <c r="BP370" i="2"/>
  <c r="Y383" i="2"/>
  <c r="BN415" i="2"/>
  <c r="BP443" i="2"/>
  <c r="Y454" i="2"/>
  <c r="BP463" i="2"/>
  <c r="BP475" i="2"/>
  <c r="L512" i="2"/>
  <c r="Z28" i="2"/>
  <c r="Z88" i="2"/>
  <c r="Z104" i="2"/>
  <c r="Z114" i="2"/>
  <c r="Y127" i="2"/>
  <c r="Y142" i="2"/>
  <c r="Z160" i="2"/>
  <c r="BN174" i="2"/>
  <c r="BN184" i="2"/>
  <c r="Z187" i="2"/>
  <c r="Z197" i="2"/>
  <c r="Y202" i="2"/>
  <c r="Z220" i="2"/>
  <c r="Z230" i="2"/>
  <c r="Z246" i="2"/>
  <c r="Z256" i="2"/>
  <c r="Z257" i="2" s="1"/>
  <c r="Y261" i="2"/>
  <c r="BN268" i="2"/>
  <c r="Z291" i="2"/>
  <c r="Z297" i="2"/>
  <c r="BN310" i="2"/>
  <c r="Z313" i="2"/>
  <c r="Y319" i="2"/>
  <c r="Y329" i="2"/>
  <c r="Z338" i="2"/>
  <c r="Y362" i="2"/>
  <c r="Y374" i="2"/>
  <c r="Z396" i="2"/>
  <c r="Z397" i="2" s="1"/>
  <c r="BN410" i="2"/>
  <c r="BN420" i="2"/>
  <c r="Z431" i="2"/>
  <c r="BN446" i="2"/>
  <c r="BN466" i="2"/>
  <c r="Y479" i="2"/>
  <c r="Y491" i="2"/>
  <c r="M512" i="2"/>
  <c r="Y71" i="2"/>
  <c r="Y148" i="2"/>
  <c r="Y166" i="2"/>
  <c r="Y193" i="2"/>
  <c r="Y208" i="2"/>
  <c r="Y379" i="2"/>
  <c r="Y496" i="2"/>
  <c r="Y138" i="2"/>
  <c r="BP174" i="2"/>
  <c r="Z182" i="2"/>
  <c r="Y213" i="2"/>
  <c r="Z266" i="2"/>
  <c r="Z277" i="2"/>
  <c r="BN291" i="2"/>
  <c r="BN297" i="2"/>
  <c r="BP310" i="2"/>
  <c r="BN313" i="2"/>
  <c r="Z316" i="2"/>
  <c r="Z326" i="2"/>
  <c r="BN338" i="2"/>
  <c r="Y341" i="2"/>
  <c r="Z359" i="2"/>
  <c r="Z361" i="2" s="1"/>
  <c r="Z371" i="2"/>
  <c r="Y384" i="2"/>
  <c r="BN396" i="2"/>
  <c r="Z408" i="2"/>
  <c r="BP420" i="2"/>
  <c r="BN431" i="2"/>
  <c r="Z444" i="2"/>
  <c r="Y455" i="2"/>
  <c r="Z464" i="2"/>
  <c r="Z476" i="2"/>
  <c r="Z478" i="2" s="1"/>
  <c r="P512" i="2"/>
  <c r="Q512" i="2"/>
  <c r="Y64" i="2"/>
  <c r="Z73" i="2"/>
  <c r="Z74" i="2" s="1"/>
  <c r="BP88" i="2"/>
  <c r="Z96" i="2"/>
  <c r="Z99" i="2" s="1"/>
  <c r="Z112" i="2"/>
  <c r="Z135" i="2"/>
  <c r="Z137" i="2" s="1"/>
  <c r="Y149" i="2"/>
  <c r="Z158" i="2"/>
  <c r="Z168" i="2"/>
  <c r="Z169" i="2" s="1"/>
  <c r="Y175" i="2"/>
  <c r="Z185" i="2"/>
  <c r="Z195" i="2"/>
  <c r="Z198" i="2" s="1"/>
  <c r="Y209" i="2"/>
  <c r="Z218" i="2"/>
  <c r="Z228" i="2"/>
  <c r="Y269" i="2"/>
  <c r="Z305" i="2"/>
  <c r="Z306" i="2" s="1"/>
  <c r="Z346" i="2"/>
  <c r="Z381" i="2"/>
  <c r="Z383" i="2" s="1"/>
  <c r="BN408" i="2"/>
  <c r="Z416" i="2"/>
  <c r="Z452" i="2"/>
  <c r="Z499" i="2"/>
  <c r="Z500" i="2" s="1"/>
  <c r="Y214" i="2"/>
  <c r="Y286" i="2"/>
  <c r="S512" i="2"/>
  <c r="BN218" i="2"/>
  <c r="BN228" i="2"/>
  <c r="Z241" i="2"/>
  <c r="Z242" i="2" s="1"/>
  <c r="Z252" i="2"/>
  <c r="Z264" i="2"/>
  <c r="Z275" i="2"/>
  <c r="BN305" i="2"/>
  <c r="Z324" i="2"/>
  <c r="Z334" i="2"/>
  <c r="BN346" i="2"/>
  <c r="Z369" i="2"/>
  <c r="BN381" i="2"/>
  <c r="BN452" i="2"/>
  <c r="BN499" i="2"/>
  <c r="T512" i="2"/>
  <c r="BP130" i="2"/>
  <c r="Z151" i="2"/>
  <c r="Z152" i="2" s="1"/>
  <c r="Z161" i="2"/>
  <c r="Z188" i="2"/>
  <c r="Z211" i="2"/>
  <c r="Z213" i="2" s="1"/>
  <c r="Z221" i="2"/>
  <c r="Z231" i="2"/>
  <c r="Z247" i="2"/>
  <c r="Y270" i="2"/>
  <c r="Z292" i="2"/>
  <c r="Z298" i="2"/>
  <c r="Z314" i="2"/>
  <c r="Z339" i="2"/>
  <c r="BN351" i="2"/>
  <c r="Y354" i="2"/>
  <c r="Z432" i="2"/>
  <c r="Y438" i="2"/>
  <c r="BN457" i="2"/>
  <c r="Y460" i="2"/>
  <c r="Y470" i="2"/>
  <c r="B512" i="2"/>
  <c r="Z29" i="2"/>
  <c r="Y25" i="2"/>
  <c r="Y35" i="2"/>
  <c r="BP73" i="2"/>
  <c r="BP96" i="2"/>
  <c r="BN146" i="2"/>
  <c r="BP168" i="2"/>
  <c r="BN180" i="2"/>
  <c r="BP195" i="2"/>
  <c r="BN206" i="2"/>
  <c r="BP218" i="2"/>
  <c r="BP228" i="2"/>
  <c r="BN241" i="2"/>
  <c r="BN252" i="2"/>
  <c r="BN264" i="2"/>
  <c r="BN275" i="2"/>
  <c r="Y278" i="2"/>
  <c r="Y287" i="2"/>
  <c r="BN324" i="2"/>
  <c r="BN334" i="2"/>
  <c r="BN369" i="2"/>
  <c r="BN392" i="2"/>
  <c r="BP499" i="2"/>
  <c r="V512" i="2"/>
  <c r="Z66" i="2"/>
  <c r="Z89" i="2"/>
  <c r="Y92" i="2"/>
  <c r="BN188" i="2"/>
  <c r="BN211" i="2"/>
  <c r="Z22" i="2"/>
  <c r="Z24" i="2" s="1"/>
  <c r="Z32" i="2"/>
  <c r="Z59" i="2"/>
  <c r="Z69" i="2"/>
  <c r="Y74" i="2"/>
  <c r="Z131" i="2"/>
  <c r="Z132" i="2" s="1"/>
  <c r="Z164" i="2"/>
  <c r="Y169" i="2"/>
  <c r="Z178" i="2"/>
  <c r="Z191" i="2"/>
  <c r="Z234" i="2"/>
  <c r="BP241" i="2"/>
  <c r="Z250" i="2"/>
  <c r="Z273" i="2"/>
  <c r="Z284" i="2"/>
  <c r="Y306" i="2"/>
  <c r="Z322" i="2"/>
  <c r="Z332" i="2"/>
  <c r="Z367" i="2"/>
  <c r="Z377" i="2"/>
  <c r="Z378" i="2" s="1"/>
  <c r="BP392" i="2"/>
  <c r="Y417" i="2"/>
  <c r="Y439" i="2"/>
  <c r="Y471" i="2"/>
  <c r="Z494" i="2"/>
  <c r="Z495" i="2" s="1"/>
  <c r="Y500" i="2"/>
  <c r="BN89" i="2"/>
  <c r="BN125" i="2"/>
  <c r="BP161" i="2"/>
  <c r="BN183" i="2"/>
  <c r="BP247" i="2"/>
  <c r="Y279" i="2"/>
  <c r="BP298" i="2"/>
  <c r="BN360" i="2"/>
  <c r="BN372" i="2"/>
  <c r="BN409" i="2"/>
  <c r="BN445" i="2"/>
  <c r="BN465" i="2"/>
  <c r="BN477" i="2"/>
  <c r="BN489" i="2"/>
  <c r="Y512" i="2"/>
  <c r="BN66" i="2"/>
  <c r="BN105" i="2"/>
  <c r="BN151" i="2"/>
  <c r="BP89" i="2"/>
  <c r="G512" i="2"/>
  <c r="Z512" i="2"/>
  <c r="Z105" i="2"/>
  <c r="Y108" i="2"/>
  <c r="BP105" i="2"/>
  <c r="BP151" i="2"/>
  <c r="BN332" i="2"/>
  <c r="BN290" i="2"/>
  <c r="BN430" i="2"/>
  <c r="Y501" i="2"/>
  <c r="Z301" i="2" l="1"/>
  <c r="Z335" i="2"/>
  <c r="Z63" i="2"/>
  <c r="X505" i="2"/>
  <c r="Z470" i="2"/>
  <c r="Z454" i="2"/>
  <c r="Z341" i="2"/>
  <c r="Z237" i="2"/>
  <c r="Z286" i="2"/>
  <c r="Z348" i="2"/>
  <c r="Y506" i="2"/>
  <c r="Y503" i="2"/>
  <c r="Z278" i="2"/>
  <c r="Z115" i="2"/>
  <c r="Z293" i="2"/>
  <c r="Z108" i="2"/>
  <c r="Z460" i="2"/>
  <c r="Z354" i="2"/>
  <c r="Z373" i="2"/>
  <c r="Z224" i="2"/>
  <c r="Z328" i="2"/>
  <c r="Z165" i="2"/>
  <c r="Z417" i="2"/>
  <c r="Z92" i="2"/>
  <c r="Z122" i="2"/>
  <c r="Y504" i="2"/>
  <c r="Y502" i="2"/>
  <c r="Z192" i="2"/>
  <c r="Z34" i="2"/>
  <c r="Z318" i="2"/>
  <c r="Z253" i="2"/>
  <c r="Z53" i="2"/>
  <c r="Z433" i="2"/>
  <c r="Z70" i="2"/>
  <c r="Z269" i="2"/>
  <c r="Y505" i="2" l="1"/>
  <c r="Z507" i="2"/>
</calcChain>
</file>

<file path=xl/sharedStrings.xml><?xml version="1.0" encoding="utf-8"?>
<sst xmlns="http://schemas.openxmlformats.org/spreadsheetml/2006/main" count="3741" uniqueCount="802">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</sst>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2"/>
  <sheetViews>
    <sheetView showGridLines="0" tabSelected="1" topLeftCell="G348" zoomScaleNormal="100" zoomScaleSheetLayoutView="100" workbookViewId="0">
      <selection activeCell="P358" sqref="P358:T35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72" t="s">
        <v>26</v>
      </c>
      <c r="E1" s="572"/>
      <c r="F1" s="572"/>
      <c r="G1" s="14" t="s">
        <v>67</v>
      </c>
      <c r="H1" s="572" t="s">
        <v>47</v>
      </c>
      <c r="I1" s="572"/>
      <c r="J1" s="572"/>
      <c r="K1" s="572"/>
      <c r="L1" s="572"/>
      <c r="M1" s="572"/>
      <c r="N1" s="572"/>
      <c r="O1" s="572"/>
      <c r="P1" s="572"/>
      <c r="Q1" s="572"/>
      <c r="R1" s="573" t="s">
        <v>68</v>
      </c>
      <c r="S1" s="574"/>
      <c r="T1" s="5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5"/>
      <c r="R2" s="575"/>
      <c r="S2" s="575"/>
      <c r="T2" s="575"/>
      <c r="U2" s="575"/>
      <c r="V2" s="575"/>
      <c r="W2" s="5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75"/>
      <c r="Q3" s="575"/>
      <c r="R3" s="575"/>
      <c r="S3" s="575"/>
      <c r="T3" s="575"/>
      <c r="U3" s="575"/>
      <c r="V3" s="575"/>
      <c r="W3" s="5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76" t="s">
        <v>8</v>
      </c>
      <c r="B5" s="576"/>
      <c r="C5" s="576"/>
      <c r="D5" s="577"/>
      <c r="E5" s="577"/>
      <c r="F5" s="578" t="s">
        <v>14</v>
      </c>
      <c r="G5" s="578"/>
      <c r="H5" s="577"/>
      <c r="I5" s="577"/>
      <c r="J5" s="577"/>
      <c r="K5" s="577"/>
      <c r="L5" s="577"/>
      <c r="M5" s="577"/>
      <c r="N5" s="72"/>
      <c r="P5" s="27" t="s">
        <v>4</v>
      </c>
      <c r="Q5" s="579">
        <v>46118</v>
      </c>
      <c r="R5" s="579"/>
      <c r="T5" s="580" t="s">
        <v>3</v>
      </c>
      <c r="U5" s="581"/>
      <c r="V5" s="582" t="s">
        <v>783</v>
      </c>
      <c r="W5" s="583"/>
      <c r="AB5" s="59"/>
      <c r="AC5" s="59"/>
      <c r="AD5" s="59"/>
      <c r="AE5" s="59"/>
    </row>
    <row r="6" spans="1:32" s="17" customFormat="1" ht="24" customHeight="1" x14ac:dyDescent="0.2">
      <c r="A6" s="576" t="s">
        <v>1</v>
      </c>
      <c r="B6" s="576"/>
      <c r="C6" s="576"/>
      <c r="D6" s="584" t="s">
        <v>784</v>
      </c>
      <c r="E6" s="584"/>
      <c r="F6" s="584"/>
      <c r="G6" s="584"/>
      <c r="H6" s="584"/>
      <c r="I6" s="584"/>
      <c r="J6" s="584"/>
      <c r="K6" s="584"/>
      <c r="L6" s="584"/>
      <c r="M6" s="584"/>
      <c r="N6" s="73"/>
      <c r="P6" s="27" t="s">
        <v>27</v>
      </c>
      <c r="Q6" s="585" t="str">
        <f>IF(Q5=0," ",CHOOSE(WEEKDAY(Q5,2),"Понедельник","Вторник","Среда","Четверг","Пятница","Суббота","Воскресенье"))</f>
        <v>Понедельник</v>
      </c>
      <c r="R6" s="585"/>
      <c r="T6" s="586" t="s">
        <v>5</v>
      </c>
      <c r="U6" s="587"/>
      <c r="V6" s="588" t="s">
        <v>70</v>
      </c>
      <c r="W6" s="58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94" t="str">
        <f>IFERROR(VLOOKUP(DeliveryAddress,Table,3,0),1)</f>
        <v>1</v>
      </c>
      <c r="E7" s="595"/>
      <c r="F7" s="595"/>
      <c r="G7" s="595"/>
      <c r="H7" s="595"/>
      <c r="I7" s="595"/>
      <c r="J7" s="595"/>
      <c r="K7" s="595"/>
      <c r="L7" s="595"/>
      <c r="M7" s="596"/>
      <c r="N7" s="74"/>
      <c r="P7" s="29"/>
      <c r="Q7" s="48"/>
      <c r="R7" s="48"/>
      <c r="T7" s="586"/>
      <c r="U7" s="587"/>
      <c r="V7" s="590"/>
      <c r="W7" s="591"/>
      <c r="AB7" s="59"/>
      <c r="AC7" s="59"/>
      <c r="AD7" s="59"/>
      <c r="AE7" s="59"/>
    </row>
    <row r="8" spans="1:32" s="17" customFormat="1" ht="25.5" customHeight="1" x14ac:dyDescent="0.2">
      <c r="A8" s="597" t="s">
        <v>58</v>
      </c>
      <c r="B8" s="597"/>
      <c r="C8" s="597"/>
      <c r="D8" s="598"/>
      <c r="E8" s="598"/>
      <c r="F8" s="598"/>
      <c r="G8" s="598"/>
      <c r="H8" s="598"/>
      <c r="I8" s="598"/>
      <c r="J8" s="598"/>
      <c r="K8" s="598"/>
      <c r="L8" s="598"/>
      <c r="M8" s="598"/>
      <c r="N8" s="75"/>
      <c r="P8" s="27" t="s">
        <v>11</v>
      </c>
      <c r="Q8" s="599">
        <v>0.375</v>
      </c>
      <c r="R8" s="599"/>
      <c r="T8" s="586"/>
      <c r="U8" s="587"/>
      <c r="V8" s="590"/>
      <c r="W8" s="591"/>
      <c r="AB8" s="59"/>
      <c r="AC8" s="59"/>
      <c r="AD8" s="59"/>
      <c r="AE8" s="59"/>
    </row>
    <row r="9" spans="1:32" s="17" customFormat="1" ht="39.950000000000003" customHeight="1" x14ac:dyDescent="0.2">
      <c r="A9" s="6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0"/>
      <c r="C9" s="600"/>
      <c r="D9" s="601" t="s">
        <v>46</v>
      </c>
      <c r="E9" s="602"/>
      <c r="F9" s="6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0"/>
      <c r="H9" s="603" t="str">
        <f>IF(AND($A$9="Тип доверенности/получателя при получении в адресе перегруза:",$D$9="Разовая доверенность"),"Введите ФИО","")</f>
        <v/>
      </c>
      <c r="I9" s="603"/>
      <c r="J9" s="6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3"/>
      <c r="L9" s="603"/>
      <c r="M9" s="603"/>
      <c r="N9" s="70"/>
      <c r="P9" s="31" t="s">
        <v>15</v>
      </c>
      <c r="Q9" s="604"/>
      <c r="R9" s="604"/>
      <c r="T9" s="586"/>
      <c r="U9" s="587"/>
      <c r="V9" s="592"/>
      <c r="W9" s="59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0"/>
      <c r="C10" s="600"/>
      <c r="D10" s="601"/>
      <c r="E10" s="602"/>
      <c r="F10" s="6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0"/>
      <c r="H10" s="605" t="str">
        <f>IFERROR(VLOOKUP($D$10,Proxy,2,FALSE),"")</f>
        <v/>
      </c>
      <c r="I10" s="605"/>
      <c r="J10" s="605"/>
      <c r="K10" s="605"/>
      <c r="L10" s="605"/>
      <c r="M10" s="605"/>
      <c r="N10" s="71"/>
      <c r="P10" s="31" t="s">
        <v>32</v>
      </c>
      <c r="Q10" s="606"/>
      <c r="R10" s="606"/>
      <c r="U10" s="29" t="s">
        <v>12</v>
      </c>
      <c r="V10" s="607" t="s">
        <v>71</v>
      </c>
      <c r="W10" s="60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9"/>
      <c r="R11" s="609"/>
      <c r="U11" s="29" t="s">
        <v>28</v>
      </c>
      <c r="V11" s="610" t="s">
        <v>55</v>
      </c>
      <c r="W11" s="61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11" t="s">
        <v>72</v>
      </c>
      <c r="B12" s="611"/>
      <c r="C12" s="611"/>
      <c r="D12" s="611"/>
      <c r="E12" s="611"/>
      <c r="F12" s="611"/>
      <c r="G12" s="611"/>
      <c r="H12" s="611"/>
      <c r="I12" s="611"/>
      <c r="J12" s="611"/>
      <c r="K12" s="611"/>
      <c r="L12" s="611"/>
      <c r="M12" s="611"/>
      <c r="N12" s="76"/>
      <c r="P12" s="27" t="s">
        <v>30</v>
      </c>
      <c r="Q12" s="599"/>
      <c r="R12" s="599"/>
      <c r="S12" s="28"/>
      <c r="T12"/>
      <c r="U12" s="29" t="s">
        <v>46</v>
      </c>
      <c r="V12" s="612"/>
      <c r="W12" s="612"/>
      <c r="X12"/>
      <c r="AB12" s="59"/>
      <c r="AC12" s="59"/>
      <c r="AD12" s="59"/>
      <c r="AE12" s="59"/>
    </row>
    <row r="13" spans="1:32" s="17" customFormat="1" ht="23.25" customHeight="1" x14ac:dyDescent="0.2">
      <c r="A13" s="611" t="s">
        <v>73</v>
      </c>
      <c r="B13" s="611"/>
      <c r="C13" s="611"/>
      <c r="D13" s="611"/>
      <c r="E13" s="611"/>
      <c r="F13" s="611"/>
      <c r="G13" s="611"/>
      <c r="H13" s="611"/>
      <c r="I13" s="611"/>
      <c r="J13" s="611"/>
      <c r="K13" s="611"/>
      <c r="L13" s="611"/>
      <c r="M13" s="611"/>
      <c r="N13" s="76"/>
      <c r="O13" s="31"/>
      <c r="P13" s="31" t="s">
        <v>31</v>
      </c>
      <c r="Q13" s="610"/>
      <c r="R13" s="61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11" t="s">
        <v>74</v>
      </c>
      <c r="B14" s="611"/>
      <c r="C14" s="611"/>
      <c r="D14" s="611"/>
      <c r="E14" s="611"/>
      <c r="F14" s="611"/>
      <c r="G14" s="611"/>
      <c r="H14" s="611"/>
      <c r="I14" s="611"/>
      <c r="J14" s="611"/>
      <c r="K14" s="611"/>
      <c r="L14" s="611"/>
      <c r="M14" s="61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13" t="s">
        <v>75</v>
      </c>
      <c r="B15" s="613"/>
      <c r="C15" s="613"/>
      <c r="D15" s="613"/>
      <c r="E15" s="613"/>
      <c r="F15" s="613"/>
      <c r="G15" s="613"/>
      <c r="H15" s="613"/>
      <c r="I15" s="613"/>
      <c r="J15" s="613"/>
      <c r="K15" s="613"/>
      <c r="L15" s="613"/>
      <c r="M15" s="613"/>
      <c r="N15" s="77"/>
      <c r="O15"/>
      <c r="P15" s="614" t="s">
        <v>61</v>
      </c>
      <c r="Q15" s="614"/>
      <c r="R15" s="614"/>
      <c r="S15" s="614"/>
      <c r="T15" s="61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15"/>
      <c r="Q16" s="615"/>
      <c r="R16" s="615"/>
      <c r="S16" s="615"/>
      <c r="T16" s="6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18" t="s">
        <v>59</v>
      </c>
      <c r="B17" s="618" t="s">
        <v>49</v>
      </c>
      <c r="C17" s="620" t="s">
        <v>48</v>
      </c>
      <c r="D17" s="622" t="s">
        <v>50</v>
      </c>
      <c r="E17" s="623"/>
      <c r="F17" s="618" t="s">
        <v>21</v>
      </c>
      <c r="G17" s="618" t="s">
        <v>24</v>
      </c>
      <c r="H17" s="618" t="s">
        <v>22</v>
      </c>
      <c r="I17" s="618" t="s">
        <v>23</v>
      </c>
      <c r="J17" s="618" t="s">
        <v>16</v>
      </c>
      <c r="K17" s="618" t="s">
        <v>66</v>
      </c>
      <c r="L17" s="618" t="s">
        <v>64</v>
      </c>
      <c r="M17" s="618" t="s">
        <v>2</v>
      </c>
      <c r="N17" s="618" t="s">
        <v>63</v>
      </c>
      <c r="O17" s="618" t="s">
        <v>25</v>
      </c>
      <c r="P17" s="622" t="s">
        <v>17</v>
      </c>
      <c r="Q17" s="626"/>
      <c r="R17" s="626"/>
      <c r="S17" s="626"/>
      <c r="T17" s="623"/>
      <c r="U17" s="616" t="s">
        <v>56</v>
      </c>
      <c r="V17" s="617"/>
      <c r="W17" s="618" t="s">
        <v>6</v>
      </c>
      <c r="X17" s="618" t="s">
        <v>41</v>
      </c>
      <c r="Y17" s="628" t="s">
        <v>54</v>
      </c>
      <c r="Z17" s="630" t="s">
        <v>18</v>
      </c>
      <c r="AA17" s="632" t="s">
        <v>60</v>
      </c>
      <c r="AB17" s="632" t="s">
        <v>19</v>
      </c>
      <c r="AC17" s="632" t="s">
        <v>65</v>
      </c>
      <c r="AD17" s="634" t="s">
        <v>57</v>
      </c>
      <c r="AE17" s="635"/>
      <c r="AF17" s="636"/>
      <c r="AG17" s="82"/>
      <c r="BD17" s="81" t="s">
        <v>62</v>
      </c>
    </row>
    <row r="18" spans="1:68" ht="14.25" customHeight="1" x14ac:dyDescent="0.2">
      <c r="A18" s="619"/>
      <c r="B18" s="619"/>
      <c r="C18" s="621"/>
      <c r="D18" s="624"/>
      <c r="E18" s="625"/>
      <c r="F18" s="619"/>
      <c r="G18" s="619"/>
      <c r="H18" s="619"/>
      <c r="I18" s="619"/>
      <c r="J18" s="619"/>
      <c r="K18" s="619"/>
      <c r="L18" s="619"/>
      <c r="M18" s="619"/>
      <c r="N18" s="619"/>
      <c r="O18" s="619"/>
      <c r="P18" s="624"/>
      <c r="Q18" s="627"/>
      <c r="R18" s="627"/>
      <c r="S18" s="627"/>
      <c r="T18" s="625"/>
      <c r="U18" s="83" t="s">
        <v>44</v>
      </c>
      <c r="V18" s="83" t="s">
        <v>43</v>
      </c>
      <c r="W18" s="619"/>
      <c r="X18" s="619"/>
      <c r="Y18" s="629"/>
      <c r="Z18" s="631"/>
      <c r="AA18" s="633"/>
      <c r="AB18" s="633"/>
      <c r="AC18" s="633"/>
      <c r="AD18" s="637"/>
      <c r="AE18" s="638"/>
      <c r="AF18" s="639"/>
      <c r="AG18" s="82"/>
      <c r="BD18" s="81"/>
    </row>
    <row r="19" spans="1:68" ht="27.75" customHeight="1" x14ac:dyDescent="0.2">
      <c r="A19" s="640" t="s">
        <v>76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54"/>
      <c r="AB19" s="54"/>
      <c r="AC19" s="54"/>
    </row>
    <row r="20" spans="1:68" ht="16.5" customHeight="1" x14ac:dyDescent="0.25">
      <c r="A20" s="641" t="s">
        <v>76</v>
      </c>
      <c r="B20" s="641"/>
      <c r="C20" s="641"/>
      <c r="D20" s="641"/>
      <c r="E20" s="641"/>
      <c r="F20" s="641"/>
      <c r="G20" s="641"/>
      <c r="H20" s="641"/>
      <c r="I20" s="641"/>
      <c r="J20" s="641"/>
      <c r="K20" s="641"/>
      <c r="L20" s="641"/>
      <c r="M20" s="641"/>
      <c r="N20" s="641"/>
      <c r="O20" s="641"/>
      <c r="P20" s="641"/>
      <c r="Q20" s="641"/>
      <c r="R20" s="641"/>
      <c r="S20" s="641"/>
      <c r="T20" s="641"/>
      <c r="U20" s="641"/>
      <c r="V20" s="641"/>
      <c r="W20" s="641"/>
      <c r="X20" s="641"/>
      <c r="Y20" s="641"/>
      <c r="Z20" s="641"/>
      <c r="AA20" s="65"/>
      <c r="AB20" s="65"/>
      <c r="AC20" s="79"/>
    </row>
    <row r="21" spans="1:68" ht="14.25" customHeight="1" x14ac:dyDescent="0.25">
      <c r="A21" s="642" t="s">
        <v>77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43">
        <v>4680115887510</v>
      </c>
      <c r="E22" s="64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4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45"/>
      <c r="R22" s="645"/>
      <c r="S22" s="645"/>
      <c r="T22" s="64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43">
        <v>4680115886643</v>
      </c>
      <c r="E23" s="64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4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45"/>
      <c r="R23" s="645"/>
      <c r="S23" s="645"/>
      <c r="T23" s="64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42" t="s">
        <v>87</v>
      </c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  <c r="M26" s="642"/>
      <c r="N26" s="642"/>
      <c r="O26" s="642"/>
      <c r="P26" s="642"/>
      <c r="Q26" s="642"/>
      <c r="R26" s="642"/>
      <c r="S26" s="642"/>
      <c r="T26" s="642"/>
      <c r="U26" s="642"/>
      <c r="V26" s="642"/>
      <c r="W26" s="642"/>
      <c r="X26" s="642"/>
      <c r="Y26" s="642"/>
      <c r="Z26" s="642"/>
      <c r="AA26" s="66"/>
      <c r="AB26" s="66"/>
      <c r="AC26" s="80"/>
    </row>
    <row r="27" spans="1:68" ht="27" customHeight="1" x14ac:dyDescent="0.25">
      <c r="A27" s="63" t="s">
        <v>88</v>
      </c>
      <c r="B27" s="63" t="s">
        <v>89</v>
      </c>
      <c r="C27" s="36">
        <v>4301051866</v>
      </c>
      <c r="D27" s="643">
        <v>4680115885912</v>
      </c>
      <c r="E27" s="64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6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5"/>
      <c r="R27" s="645"/>
      <c r="S27" s="645"/>
      <c r="T27" s="64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43">
        <v>4607091388237</v>
      </c>
      <c r="E28" s="64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6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5"/>
      <c r="R28" s="645"/>
      <c r="S28" s="645"/>
      <c r="T28" s="64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43">
        <v>4680115887350</v>
      </c>
      <c r="E29" s="64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6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5"/>
      <c r="R29" s="645"/>
      <c r="S29" s="645"/>
      <c r="T29" s="64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43">
        <v>4680115885905</v>
      </c>
      <c r="E30" s="64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5"/>
      <c r="R30" s="645"/>
      <c r="S30" s="645"/>
      <c r="T30" s="64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43">
        <v>4680115887657</v>
      </c>
      <c r="E31" s="64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65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45"/>
      <c r="R31" s="645"/>
      <c r="S31" s="645"/>
      <c r="T31" s="64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4301052197</v>
      </c>
      <c r="D32" s="643">
        <v>4680115888326</v>
      </c>
      <c r="E32" s="64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658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645"/>
      <c r="R32" s="645"/>
      <c r="S32" s="645"/>
      <c r="T32" s="64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107</v>
      </c>
      <c r="B33" s="63" t="s">
        <v>108</v>
      </c>
      <c r="C33" s="36">
        <v>4301052071</v>
      </c>
      <c r="D33" s="643">
        <v>4680115887619</v>
      </c>
      <c r="E33" s="643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645"/>
      <c r="R33" s="645"/>
      <c r="S33" s="645"/>
      <c r="T33" s="646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x14ac:dyDescent="0.2">
      <c r="A34" s="651"/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2"/>
      <c r="P34" s="648" t="s">
        <v>40</v>
      </c>
      <c r="Q34" s="649"/>
      <c r="R34" s="649"/>
      <c r="S34" s="649"/>
      <c r="T34" s="649"/>
      <c r="U34" s="649"/>
      <c r="V34" s="650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 x14ac:dyDescent="0.2">
      <c r="A35" s="651"/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2"/>
      <c r="P35" s="648" t="s">
        <v>40</v>
      </c>
      <c r="Q35" s="649"/>
      <c r="R35" s="649"/>
      <c r="S35" s="649"/>
      <c r="T35" s="649"/>
      <c r="U35" s="649"/>
      <c r="V35" s="650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customHeight="1" x14ac:dyDescent="0.25">
      <c r="A36" s="642" t="s">
        <v>110</v>
      </c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2"/>
      <c r="P36" s="642"/>
      <c r="Q36" s="642"/>
      <c r="R36" s="642"/>
      <c r="S36" s="642"/>
      <c r="T36" s="642"/>
      <c r="U36" s="642"/>
      <c r="V36" s="642"/>
      <c r="W36" s="642"/>
      <c r="X36" s="642"/>
      <c r="Y36" s="642"/>
      <c r="Z36" s="642"/>
      <c r="AA36" s="66"/>
      <c r="AB36" s="66"/>
      <c r="AC36" s="80"/>
    </row>
    <row r="37" spans="1:68" ht="27" customHeight="1" x14ac:dyDescent="0.25">
      <c r="A37" s="63" t="s">
        <v>111</v>
      </c>
      <c r="B37" s="63" t="s">
        <v>112</v>
      </c>
      <c r="C37" s="36">
        <v>4301032013</v>
      </c>
      <c r="D37" s="643">
        <v>4607091388503</v>
      </c>
      <c r="E37" s="643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6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645"/>
      <c r="R37" s="645"/>
      <c r="S37" s="645"/>
      <c r="T37" s="64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x14ac:dyDescent="0.2">
      <c r="A38" s="651"/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2"/>
      <c r="P38" s="648" t="s">
        <v>40</v>
      </c>
      <c r="Q38" s="649"/>
      <c r="R38" s="649"/>
      <c r="S38" s="649"/>
      <c r="T38" s="649"/>
      <c r="U38" s="649"/>
      <c r="V38" s="650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 x14ac:dyDescent="0.2">
      <c r="A39" s="651"/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2"/>
      <c r="P39" s="648" t="s">
        <v>40</v>
      </c>
      <c r="Q39" s="649"/>
      <c r="R39" s="649"/>
      <c r="S39" s="649"/>
      <c r="T39" s="649"/>
      <c r="U39" s="649"/>
      <c r="V39" s="650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customHeight="1" x14ac:dyDescent="0.2">
      <c r="A40" s="640" t="s">
        <v>45</v>
      </c>
      <c r="B40" s="640"/>
      <c r="C40" s="640"/>
      <c r="D40" s="640"/>
      <c r="E40" s="640"/>
      <c r="F40" s="640"/>
      <c r="G40" s="640"/>
      <c r="H40" s="640"/>
      <c r="I40" s="640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Z40" s="640"/>
      <c r="AA40" s="54"/>
      <c r="AB40" s="54"/>
      <c r="AC40" s="54"/>
    </row>
    <row r="41" spans="1:68" ht="16.5" customHeight="1" x14ac:dyDescent="0.25">
      <c r="A41" s="641" t="s">
        <v>116</v>
      </c>
      <c r="B41" s="641"/>
      <c r="C41" s="641"/>
      <c r="D41" s="641"/>
      <c r="E41" s="641"/>
      <c r="F41" s="641"/>
      <c r="G41" s="641"/>
      <c r="H41" s="641"/>
      <c r="I41" s="641"/>
      <c r="J41" s="641"/>
      <c r="K41" s="641"/>
      <c r="L41" s="641"/>
      <c r="M41" s="641"/>
      <c r="N41" s="641"/>
      <c r="O41" s="641"/>
      <c r="P41" s="641"/>
      <c r="Q41" s="641"/>
      <c r="R41" s="641"/>
      <c r="S41" s="641"/>
      <c r="T41" s="641"/>
      <c r="U41" s="641"/>
      <c r="V41" s="641"/>
      <c r="W41" s="641"/>
      <c r="X41" s="641"/>
      <c r="Y41" s="641"/>
      <c r="Z41" s="641"/>
      <c r="AA41" s="65"/>
      <c r="AB41" s="65"/>
      <c r="AC41" s="79"/>
    </row>
    <row r="42" spans="1:68" ht="14.25" customHeight="1" x14ac:dyDescent="0.25">
      <c r="A42" s="642" t="s">
        <v>87</v>
      </c>
      <c r="B42" s="642"/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2"/>
      <c r="N42" s="642"/>
      <c r="O42" s="642"/>
      <c r="P42" s="642"/>
      <c r="Q42" s="642"/>
      <c r="R42" s="642"/>
      <c r="S42" s="642"/>
      <c r="T42" s="642"/>
      <c r="U42" s="642"/>
      <c r="V42" s="642"/>
      <c r="W42" s="642"/>
      <c r="X42" s="642"/>
      <c r="Y42" s="642"/>
      <c r="Z42" s="642"/>
      <c r="AA42" s="66"/>
      <c r="AB42" s="66"/>
      <c r="AC42" s="80"/>
    </row>
    <row r="43" spans="1:68" ht="27" customHeight="1" x14ac:dyDescent="0.25">
      <c r="A43" s="63" t="s">
        <v>117</v>
      </c>
      <c r="B43" s="63" t="s">
        <v>118</v>
      </c>
      <c r="C43" s="36">
        <v>4301052184</v>
      </c>
      <c r="D43" s="643">
        <v>4680115888272</v>
      </c>
      <c r="E43" s="64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6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645"/>
      <c r="R43" s="645"/>
      <c r="S43" s="645"/>
      <c r="T43" s="646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51"/>
      <c r="B44" s="651"/>
      <c r="C44" s="651"/>
      <c r="D44" s="651"/>
      <c r="E44" s="651"/>
      <c r="F44" s="651"/>
      <c r="G44" s="651"/>
      <c r="H44" s="651"/>
      <c r="I44" s="651"/>
      <c r="J44" s="651"/>
      <c r="K44" s="651"/>
      <c r="L44" s="651"/>
      <c r="M44" s="651"/>
      <c r="N44" s="651"/>
      <c r="O44" s="652"/>
      <c r="P44" s="648" t="s">
        <v>40</v>
      </c>
      <c r="Q44" s="649"/>
      <c r="R44" s="649"/>
      <c r="S44" s="649"/>
      <c r="T44" s="649"/>
      <c r="U44" s="649"/>
      <c r="V44" s="650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 x14ac:dyDescent="0.2">
      <c r="A45" s="651"/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2"/>
      <c r="P45" s="648" t="s">
        <v>40</v>
      </c>
      <c r="Q45" s="649"/>
      <c r="R45" s="649"/>
      <c r="S45" s="649"/>
      <c r="T45" s="649"/>
      <c r="U45" s="649"/>
      <c r="V45" s="650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customHeight="1" x14ac:dyDescent="0.2">
      <c r="A46" s="640" t="s">
        <v>120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54"/>
      <c r="AB46" s="54"/>
      <c r="AC46" s="54"/>
    </row>
    <row r="47" spans="1:68" ht="16.5" customHeight="1" x14ac:dyDescent="0.25">
      <c r="A47" s="641" t="s">
        <v>121</v>
      </c>
      <c r="B47" s="641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5"/>
      <c r="AB47" s="65"/>
      <c r="AC47" s="79"/>
    </row>
    <row r="48" spans="1:68" ht="14.25" customHeight="1" x14ac:dyDescent="0.25">
      <c r="A48" s="642" t="s">
        <v>122</v>
      </c>
      <c r="B48" s="642"/>
      <c r="C48" s="642"/>
      <c r="D48" s="642"/>
      <c r="E48" s="642"/>
      <c r="F48" s="642"/>
      <c r="G48" s="642"/>
      <c r="H48" s="642"/>
      <c r="I48" s="642"/>
      <c r="J48" s="642"/>
      <c r="K48" s="642"/>
      <c r="L48" s="642"/>
      <c r="M48" s="642"/>
      <c r="N48" s="642"/>
      <c r="O48" s="642"/>
      <c r="P48" s="642"/>
      <c r="Q48" s="642"/>
      <c r="R48" s="642"/>
      <c r="S48" s="642"/>
      <c r="T48" s="642"/>
      <c r="U48" s="642"/>
      <c r="V48" s="642"/>
      <c r="W48" s="642"/>
      <c r="X48" s="642"/>
      <c r="Y48" s="642"/>
      <c r="Z48" s="642"/>
      <c r="AA48" s="66"/>
      <c r="AB48" s="66"/>
      <c r="AC48" s="80"/>
    </row>
    <row r="49" spans="1:68" ht="16.5" customHeight="1" x14ac:dyDescent="0.25">
      <c r="A49" s="63" t="s">
        <v>123</v>
      </c>
      <c r="B49" s="63" t="s">
        <v>124</v>
      </c>
      <c r="C49" s="36">
        <v>4301011380</v>
      </c>
      <c r="D49" s="643">
        <v>4607091385670</v>
      </c>
      <c r="E49" s="643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645"/>
      <c r="R49" s="645"/>
      <c r="S49" s="645"/>
      <c r="T49" s="646"/>
      <c r="U49" s="39" t="s">
        <v>46</v>
      </c>
      <c r="V49" s="39" t="s">
        <v>46</v>
      </c>
      <c r="W49" s="40" t="s">
        <v>0</v>
      </c>
      <c r="X49" s="58">
        <v>20</v>
      </c>
      <c r="Y49" s="55">
        <f>IFERROR(IF(X49="",0,CEILING((X49/$H49),1)*$H49),"")</f>
        <v>21.6</v>
      </c>
      <c r="Z49" s="41">
        <f>IFERROR(IF(Y49=0,"",ROUNDUP(Y49/H49,0)*0.01898),"")</f>
        <v>3.7960000000000001E-2</v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20.75925925925926</v>
      </c>
      <c r="BN49" s="78">
        <f>IFERROR(Y49*I49/H49,"0")</f>
        <v>22.42</v>
      </c>
      <c r="BO49" s="78">
        <f>IFERROR(1/J49*(X49/H49),"0")</f>
        <v>2.8935185185185182E-2</v>
      </c>
      <c r="BP49" s="78">
        <f>IFERROR(1/J49*(Y49/H49),"0")</f>
        <v>3.125E-2</v>
      </c>
    </row>
    <row r="50" spans="1:68" ht="27" customHeight="1" x14ac:dyDescent="0.25">
      <c r="A50" s="63" t="s">
        <v>128</v>
      </c>
      <c r="B50" s="63" t="s">
        <v>129</v>
      </c>
      <c r="C50" s="36">
        <v>4301012053</v>
      </c>
      <c r="D50" s="643">
        <v>4680115887725</v>
      </c>
      <c r="E50" s="643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66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645"/>
      <c r="R50" s="645"/>
      <c r="S50" s="645"/>
      <c r="T50" s="64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132</v>
      </c>
      <c r="B51" s="63" t="s">
        <v>133</v>
      </c>
      <c r="C51" s="36">
        <v>4301011382</v>
      </c>
      <c r="D51" s="643">
        <v>4607091385687</v>
      </c>
      <c r="E51" s="643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66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645"/>
      <c r="R51" s="645"/>
      <c r="S51" s="645"/>
      <c r="T51" s="64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135</v>
      </c>
      <c r="B52" s="63" t="s">
        <v>136</v>
      </c>
      <c r="C52" s="36">
        <v>4301011565</v>
      </c>
      <c r="D52" s="643">
        <v>4680115882539</v>
      </c>
      <c r="E52" s="643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6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645"/>
      <c r="R52" s="645"/>
      <c r="S52" s="645"/>
      <c r="T52" s="64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x14ac:dyDescent="0.2">
      <c r="A53" s="651"/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2"/>
      <c r="P53" s="648" t="s">
        <v>40</v>
      </c>
      <c r="Q53" s="649"/>
      <c r="R53" s="649"/>
      <c r="S53" s="649"/>
      <c r="T53" s="649"/>
      <c r="U53" s="649"/>
      <c r="V53" s="650"/>
      <c r="W53" s="42" t="s">
        <v>39</v>
      </c>
      <c r="X53" s="43">
        <f>IFERROR(X49/H49,"0")+IFERROR(X50/H50,"0")+IFERROR(X51/H51,"0")+IFERROR(X52/H52,"0")</f>
        <v>1.8518518518518516</v>
      </c>
      <c r="Y53" s="43">
        <f>IFERROR(Y49/H49,"0")+IFERROR(Y50/H50,"0")+IFERROR(Y51/H51,"0")+IFERROR(Y52/H52,"0")</f>
        <v>2</v>
      </c>
      <c r="Z53" s="43">
        <f>IFERROR(IF(Z49="",0,Z49),"0")+IFERROR(IF(Z50="",0,Z50),"0")+IFERROR(IF(Z51="",0,Z51),"0")+IFERROR(IF(Z52="",0,Z52),"0")</f>
        <v>3.7960000000000001E-2</v>
      </c>
      <c r="AA53" s="67"/>
      <c r="AB53" s="67"/>
      <c r="AC53" s="67"/>
    </row>
    <row r="54" spans="1:68" x14ac:dyDescent="0.2">
      <c r="A54" s="651"/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2"/>
      <c r="P54" s="648" t="s">
        <v>40</v>
      </c>
      <c r="Q54" s="649"/>
      <c r="R54" s="649"/>
      <c r="S54" s="649"/>
      <c r="T54" s="649"/>
      <c r="U54" s="649"/>
      <c r="V54" s="650"/>
      <c r="W54" s="42" t="s">
        <v>0</v>
      </c>
      <c r="X54" s="43">
        <f>IFERROR(SUM(X49:X52),"0")</f>
        <v>20</v>
      </c>
      <c r="Y54" s="43">
        <f>IFERROR(SUM(Y49:Y52),"0")</f>
        <v>21.6</v>
      </c>
      <c r="Z54" s="42"/>
      <c r="AA54" s="67"/>
      <c r="AB54" s="67"/>
      <c r="AC54" s="67"/>
    </row>
    <row r="55" spans="1:68" ht="16.5" customHeight="1" x14ac:dyDescent="0.25">
      <c r="A55" s="641" t="s">
        <v>137</v>
      </c>
      <c r="B55" s="641"/>
      <c r="C55" s="641"/>
      <c r="D55" s="641"/>
      <c r="E55" s="641"/>
      <c r="F55" s="641"/>
      <c r="G55" s="641"/>
      <c r="H55" s="641"/>
      <c r="I55" s="641"/>
      <c r="J55" s="641"/>
      <c r="K55" s="641"/>
      <c r="L55" s="641"/>
      <c r="M55" s="641"/>
      <c r="N55" s="641"/>
      <c r="O55" s="641"/>
      <c r="P55" s="641"/>
      <c r="Q55" s="641"/>
      <c r="R55" s="641"/>
      <c r="S55" s="641"/>
      <c r="T55" s="641"/>
      <c r="U55" s="641"/>
      <c r="V55" s="641"/>
      <c r="W55" s="641"/>
      <c r="X55" s="641"/>
      <c r="Y55" s="641"/>
      <c r="Z55" s="641"/>
      <c r="AA55" s="65"/>
      <c r="AB55" s="65"/>
      <c r="AC55" s="79"/>
    </row>
    <row r="56" spans="1:68" ht="14.25" customHeight="1" x14ac:dyDescent="0.25">
      <c r="A56" s="642" t="s">
        <v>122</v>
      </c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42"/>
      <c r="P56" s="642"/>
      <c r="Q56" s="642"/>
      <c r="R56" s="642"/>
      <c r="S56" s="642"/>
      <c r="T56" s="642"/>
      <c r="U56" s="642"/>
      <c r="V56" s="642"/>
      <c r="W56" s="642"/>
      <c r="X56" s="642"/>
      <c r="Y56" s="642"/>
      <c r="Z56" s="642"/>
      <c r="AA56" s="66"/>
      <c r="AB56" s="66"/>
      <c r="AC56" s="80"/>
    </row>
    <row r="57" spans="1:68" ht="27" customHeight="1" x14ac:dyDescent="0.25">
      <c r="A57" s="63" t="s">
        <v>138</v>
      </c>
      <c r="B57" s="63" t="s">
        <v>139</v>
      </c>
      <c r="C57" s="36">
        <v>4301012030</v>
      </c>
      <c r="D57" s="643">
        <v>4680115885882</v>
      </c>
      <c r="E57" s="643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645"/>
      <c r="R57" s="645"/>
      <c r="S57" s="645"/>
      <c r="T57" s="64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 x14ac:dyDescent="0.25">
      <c r="A58" s="63" t="s">
        <v>141</v>
      </c>
      <c r="B58" s="63" t="s">
        <v>142</v>
      </c>
      <c r="C58" s="36">
        <v>4301011816</v>
      </c>
      <c r="D58" s="643">
        <v>4680115881426</v>
      </c>
      <c r="E58" s="643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645"/>
      <c r="R58" s="645"/>
      <c r="S58" s="645"/>
      <c r="T58" s="646"/>
      <c r="U58" s="39" t="s">
        <v>46</v>
      </c>
      <c r="V58" s="39" t="s">
        <v>46</v>
      </c>
      <c r="W58" s="40" t="s">
        <v>0</v>
      </c>
      <c r="X58" s="58">
        <v>80</v>
      </c>
      <c r="Y58" s="55">
        <f t="shared" si="6"/>
        <v>86.4</v>
      </c>
      <c r="Z58" s="41">
        <f>IFERROR(IF(Y58=0,"",ROUNDUP(Y58/H58,0)*0.01898),"")</f>
        <v>0.15184</v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83.037037037037038</v>
      </c>
      <c r="BN58" s="78">
        <f t="shared" si="8"/>
        <v>89.68</v>
      </c>
      <c r="BO58" s="78">
        <f t="shared" si="9"/>
        <v>0.11574074074074073</v>
      </c>
      <c r="BP58" s="78">
        <f t="shared" si="10"/>
        <v>0.125</v>
      </c>
    </row>
    <row r="59" spans="1:68" ht="27" customHeight="1" x14ac:dyDescent="0.25">
      <c r="A59" s="63" t="s">
        <v>144</v>
      </c>
      <c r="B59" s="63" t="s">
        <v>145</v>
      </c>
      <c r="C59" s="36">
        <v>4301011386</v>
      </c>
      <c r="D59" s="643">
        <v>4680115880283</v>
      </c>
      <c r="E59" s="64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66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645"/>
      <c r="R59" s="645"/>
      <c r="S59" s="645"/>
      <c r="T59" s="64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147</v>
      </c>
      <c r="B60" s="63" t="s">
        <v>148</v>
      </c>
      <c r="C60" s="36">
        <v>4301011806</v>
      </c>
      <c r="D60" s="643">
        <v>4680115881525</v>
      </c>
      <c r="E60" s="64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66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5"/>
      <c r="R60" s="645"/>
      <c r="S60" s="645"/>
      <c r="T60" s="64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4301011589</v>
      </c>
      <c r="D61" s="643">
        <v>4680115885899</v>
      </c>
      <c r="E61" s="64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6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645"/>
      <c r="R61" s="645"/>
      <c r="S61" s="645"/>
      <c r="T61" s="64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customHeight="1" x14ac:dyDescent="0.25">
      <c r="A62" s="63" t="s">
        <v>153</v>
      </c>
      <c r="B62" s="63" t="s">
        <v>154</v>
      </c>
      <c r="C62" s="36">
        <v>4301011801</v>
      </c>
      <c r="D62" s="643">
        <v>4680115881419</v>
      </c>
      <c r="E62" s="64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67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5"/>
      <c r="R62" s="645"/>
      <c r="S62" s="645"/>
      <c r="T62" s="646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6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46.900000000000006</v>
      </c>
      <c r="BN62" s="78">
        <f t="shared" si="8"/>
        <v>46.900000000000006</v>
      </c>
      <c r="BO62" s="78">
        <f t="shared" si="9"/>
        <v>7.575757575757576E-2</v>
      </c>
      <c r="BP62" s="78">
        <f t="shared" si="10"/>
        <v>7.575757575757576E-2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IFERROR(X57/H57,"0")+IFERROR(X58/H58,"0")+IFERROR(X59/H59,"0")+IFERROR(X60/H60,"0")+IFERROR(X61/H61,"0")+IFERROR(X62/H62,"0")</f>
        <v>17.407407407407405</v>
      </c>
      <c r="Y63" s="43">
        <f>IFERROR(Y57/H57,"0")+IFERROR(Y58/H58,"0")+IFERROR(Y59/H59,"0")+IFERROR(Y60/H60,"0")+IFERROR(Y61/H61,"0")+IFERROR(Y62/H62,"0")</f>
        <v>18</v>
      </c>
      <c r="Z63" s="43">
        <f>IFERROR(IF(Z57="",0,Z57),"0")+IFERROR(IF(Z58="",0,Z58),"0")+IFERROR(IF(Z59="",0,Z59),"0")+IFERROR(IF(Z60="",0,Z60),"0")+IFERROR(IF(Z61="",0,Z61),"0")+IFERROR(IF(Z62="",0,Z62),"0")</f>
        <v>0.24204000000000001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IFERROR(SUM(X57:X62),"0")</f>
        <v>125</v>
      </c>
      <c r="Y64" s="43">
        <f>IFERROR(SUM(Y57:Y62),"0")</f>
        <v>131.4</v>
      </c>
      <c r="Z64" s="42"/>
      <c r="AA64" s="67"/>
      <c r="AB64" s="67"/>
      <c r="AC64" s="67"/>
    </row>
    <row r="65" spans="1:68" ht="14.25" customHeight="1" x14ac:dyDescent="0.25">
      <c r="A65" s="642" t="s">
        <v>156</v>
      </c>
      <c r="B65" s="642"/>
      <c r="C65" s="642"/>
      <c r="D65" s="642"/>
      <c r="E65" s="642"/>
      <c r="F65" s="642"/>
      <c r="G65" s="642"/>
      <c r="H65" s="642"/>
      <c r="I65" s="642"/>
      <c r="J65" s="642"/>
      <c r="K65" s="642"/>
      <c r="L65" s="642"/>
      <c r="M65" s="642"/>
      <c r="N65" s="642"/>
      <c r="O65" s="642"/>
      <c r="P65" s="642"/>
      <c r="Q65" s="642"/>
      <c r="R65" s="642"/>
      <c r="S65" s="642"/>
      <c r="T65" s="642"/>
      <c r="U65" s="642"/>
      <c r="V65" s="642"/>
      <c r="W65" s="642"/>
      <c r="X65" s="642"/>
      <c r="Y65" s="642"/>
      <c r="Z65" s="642"/>
      <c r="AA65" s="66"/>
      <c r="AB65" s="66"/>
      <c r="AC65" s="80"/>
    </row>
    <row r="66" spans="1:68" ht="16.5" customHeight="1" x14ac:dyDescent="0.25">
      <c r="A66" s="63" t="s">
        <v>157</v>
      </c>
      <c r="B66" s="63" t="s">
        <v>158</v>
      </c>
      <c r="C66" s="36">
        <v>4301020298</v>
      </c>
      <c r="D66" s="643">
        <v>4680115881440</v>
      </c>
      <c r="E66" s="64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6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5"/>
      <c r="R66" s="645"/>
      <c r="S66" s="645"/>
      <c r="T66" s="646"/>
      <c r="U66" s="39" t="s">
        <v>46</v>
      </c>
      <c r="V66" s="39" t="s">
        <v>46</v>
      </c>
      <c r="W66" s="40" t="s">
        <v>0</v>
      </c>
      <c r="X66" s="58"/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160</v>
      </c>
      <c r="B67" s="63" t="s">
        <v>161</v>
      </c>
      <c r="C67" s="36">
        <v>4301020358</v>
      </c>
      <c r="D67" s="643">
        <v>4680115885950</v>
      </c>
      <c r="E67" s="64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6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5"/>
      <c r="R67" s="645"/>
      <c r="S67" s="645"/>
      <c r="T67" s="64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162</v>
      </c>
      <c r="B68" s="63" t="s">
        <v>163</v>
      </c>
      <c r="C68" s="36">
        <v>4301020371</v>
      </c>
      <c r="D68" s="643">
        <v>4680115887688</v>
      </c>
      <c r="E68" s="64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6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5"/>
      <c r="R68" s="645"/>
      <c r="S68" s="645"/>
      <c r="T68" s="64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165</v>
      </c>
      <c r="B69" s="63" t="s">
        <v>166</v>
      </c>
      <c r="C69" s="36">
        <v>4301020296</v>
      </c>
      <c r="D69" s="643">
        <v>4680115881433</v>
      </c>
      <c r="E69" s="64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67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5"/>
      <c r="R69" s="645"/>
      <c r="S69" s="645"/>
      <c r="T69" s="64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42" t="s">
        <v>77</v>
      </c>
      <c r="B72" s="642"/>
      <c r="C72" s="642"/>
      <c r="D72" s="642"/>
      <c r="E72" s="642"/>
      <c r="F72" s="642"/>
      <c r="G72" s="642"/>
      <c r="H72" s="642"/>
      <c r="I72" s="642"/>
      <c r="J72" s="642"/>
      <c r="K72" s="642"/>
      <c r="L72" s="642"/>
      <c r="M72" s="642"/>
      <c r="N72" s="642"/>
      <c r="O72" s="642"/>
      <c r="P72" s="642"/>
      <c r="Q72" s="642"/>
      <c r="R72" s="642"/>
      <c r="S72" s="642"/>
      <c r="T72" s="642"/>
      <c r="U72" s="642"/>
      <c r="V72" s="642"/>
      <c r="W72" s="642"/>
      <c r="X72" s="642"/>
      <c r="Y72" s="642"/>
      <c r="Z72" s="642"/>
      <c r="AA72" s="66"/>
      <c r="AB72" s="66"/>
      <c r="AC72" s="80"/>
    </row>
    <row r="73" spans="1:68" ht="27" customHeight="1" x14ac:dyDescent="0.25">
      <c r="A73" s="63" t="s">
        <v>167</v>
      </c>
      <c r="B73" s="63" t="s">
        <v>168</v>
      </c>
      <c r="C73" s="36">
        <v>4301031316</v>
      </c>
      <c r="D73" s="643">
        <v>4680115885097</v>
      </c>
      <c r="E73" s="643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645"/>
      <c r="R73" s="645"/>
      <c r="S73" s="645"/>
      <c r="T73" s="64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customHeight="1" x14ac:dyDescent="0.25">
      <c r="A76" s="642" t="s">
        <v>87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6"/>
      <c r="AB76" s="66"/>
      <c r="AC76" s="80"/>
    </row>
    <row r="77" spans="1:68" ht="16.5" customHeight="1" x14ac:dyDescent="0.25">
      <c r="A77" s="63" t="s">
        <v>170</v>
      </c>
      <c r="B77" s="63" t="s">
        <v>171</v>
      </c>
      <c r="C77" s="36">
        <v>4301051837</v>
      </c>
      <c r="D77" s="643">
        <v>4680115884311</v>
      </c>
      <c r="E77" s="64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6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5"/>
      <c r="R77" s="645"/>
      <c r="S77" s="645"/>
      <c r="T77" s="64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173</v>
      </c>
      <c r="B78" s="63" t="s">
        <v>174</v>
      </c>
      <c r="C78" s="36">
        <v>4301051929</v>
      </c>
      <c r="D78" s="643">
        <v>4680115884403</v>
      </c>
      <c r="E78" s="64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67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5"/>
      <c r="R78" s="645"/>
      <c r="S78" s="645"/>
      <c r="T78" s="64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51"/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2"/>
      <c r="P79" s="648" t="s">
        <v>40</v>
      </c>
      <c r="Q79" s="649"/>
      <c r="R79" s="649"/>
      <c r="S79" s="649"/>
      <c r="T79" s="649"/>
      <c r="U79" s="649"/>
      <c r="V79" s="65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42" t="s">
        <v>176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6"/>
      <c r="AB81" s="66"/>
      <c r="AC81" s="80"/>
    </row>
    <row r="82" spans="1:68" ht="27" customHeight="1" x14ac:dyDescent="0.25">
      <c r="A82" s="63" t="s">
        <v>177</v>
      </c>
      <c r="B82" s="63" t="s">
        <v>178</v>
      </c>
      <c r="C82" s="36">
        <v>4301060455</v>
      </c>
      <c r="D82" s="643">
        <v>4680115881532</v>
      </c>
      <c r="E82" s="64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5"/>
      <c r="R82" s="645"/>
      <c r="S82" s="645"/>
      <c r="T82" s="646"/>
      <c r="U82" s="39" t="s">
        <v>46</v>
      </c>
      <c r="V82" s="39" t="s">
        <v>46</v>
      </c>
      <c r="W82" s="40" t="s">
        <v>0</v>
      </c>
      <c r="X82" s="58"/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180</v>
      </c>
      <c r="B83" s="63" t="s">
        <v>181</v>
      </c>
      <c r="C83" s="36">
        <v>4301060351</v>
      </c>
      <c r="D83" s="643">
        <v>4680115881464</v>
      </c>
      <c r="E83" s="64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6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5"/>
      <c r="R83" s="645"/>
      <c r="S83" s="645"/>
      <c r="T83" s="64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51"/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2"/>
      <c r="P85" s="648" t="s">
        <v>40</v>
      </c>
      <c r="Q85" s="649"/>
      <c r="R85" s="649"/>
      <c r="S85" s="649"/>
      <c r="T85" s="649"/>
      <c r="U85" s="649"/>
      <c r="V85" s="650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41" t="s">
        <v>183</v>
      </c>
      <c r="B86" s="641"/>
      <c r="C86" s="641"/>
      <c r="D86" s="641"/>
      <c r="E86" s="641"/>
      <c r="F86" s="641"/>
      <c r="G86" s="641"/>
      <c r="H86" s="641"/>
      <c r="I86" s="641"/>
      <c r="J86" s="641"/>
      <c r="K86" s="641"/>
      <c r="L86" s="641"/>
      <c r="M86" s="641"/>
      <c r="N86" s="641"/>
      <c r="O86" s="641"/>
      <c r="P86" s="641"/>
      <c r="Q86" s="641"/>
      <c r="R86" s="641"/>
      <c r="S86" s="641"/>
      <c r="T86" s="641"/>
      <c r="U86" s="641"/>
      <c r="V86" s="641"/>
      <c r="W86" s="641"/>
      <c r="X86" s="641"/>
      <c r="Y86" s="641"/>
      <c r="Z86" s="641"/>
      <c r="AA86" s="65"/>
      <c r="AB86" s="65"/>
      <c r="AC86" s="79"/>
    </row>
    <row r="87" spans="1:68" ht="14.25" customHeight="1" x14ac:dyDescent="0.25">
      <c r="A87" s="642" t="s">
        <v>122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6"/>
      <c r="AB87" s="66"/>
      <c r="AC87" s="80"/>
    </row>
    <row r="88" spans="1:68" ht="27" customHeight="1" x14ac:dyDescent="0.25">
      <c r="A88" s="63" t="s">
        <v>184</v>
      </c>
      <c r="B88" s="63" t="s">
        <v>185</v>
      </c>
      <c r="C88" s="36">
        <v>4301011468</v>
      </c>
      <c r="D88" s="643">
        <v>4680115881327</v>
      </c>
      <c r="E88" s="64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6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5"/>
      <c r="R88" s="645"/>
      <c r="S88" s="645"/>
      <c r="T88" s="646"/>
      <c r="U88" s="39" t="s">
        <v>46</v>
      </c>
      <c r="V88" s="39" t="s">
        <v>46</v>
      </c>
      <c r="W88" s="40" t="s">
        <v>0</v>
      </c>
      <c r="X88" s="58">
        <v>20</v>
      </c>
      <c r="Y88" s="55">
        <f>IFERROR(IF(X88="",0,CEILING((X88/$H88),1)*$H88),"")</f>
        <v>21.6</v>
      </c>
      <c r="Z88" s="41">
        <f>IFERROR(IF(Y88=0,"",ROUNDUP(Y88/H88,0)*0.01898),"")</f>
        <v>3.7960000000000001E-2</v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20.75925925925926</v>
      </c>
      <c r="BN88" s="78">
        <f>IFERROR(Y88*I88/H88,"0")</f>
        <v>22.42</v>
      </c>
      <c r="BO88" s="78">
        <f>IFERROR(1/J88*(X88/H88),"0")</f>
        <v>2.8935185185185182E-2</v>
      </c>
      <c r="BP88" s="78">
        <f>IFERROR(1/J88*(Y88/H88),"0")</f>
        <v>3.125E-2</v>
      </c>
    </row>
    <row r="89" spans="1:68" ht="27" customHeight="1" x14ac:dyDescent="0.25">
      <c r="A89" s="63" t="s">
        <v>187</v>
      </c>
      <c r="B89" s="63" t="s">
        <v>188</v>
      </c>
      <c r="C89" s="36">
        <v>4301011261</v>
      </c>
      <c r="D89" s="643">
        <v>4680115887732</v>
      </c>
      <c r="E89" s="643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6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5"/>
      <c r="R89" s="645"/>
      <c r="S89" s="645"/>
      <c r="T89" s="64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190</v>
      </c>
      <c r="B90" s="63" t="s">
        <v>191</v>
      </c>
      <c r="C90" s="36">
        <v>4301011476</v>
      </c>
      <c r="D90" s="643">
        <v>4680115881518</v>
      </c>
      <c r="E90" s="64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6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5"/>
      <c r="R90" s="645"/>
      <c r="S90" s="645"/>
      <c r="T90" s="64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192</v>
      </c>
      <c r="B91" s="63" t="s">
        <v>193</v>
      </c>
      <c r="C91" s="36">
        <v>4301011443</v>
      </c>
      <c r="D91" s="643">
        <v>4680115881303</v>
      </c>
      <c r="E91" s="64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6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5"/>
      <c r="R91" s="645"/>
      <c r="S91" s="645"/>
      <c r="T91" s="646"/>
      <c r="U91" s="39" t="s">
        <v>46</v>
      </c>
      <c r="V91" s="39" t="s">
        <v>46</v>
      </c>
      <c r="W91" s="40" t="s">
        <v>0</v>
      </c>
      <c r="X91" s="58">
        <v>36</v>
      </c>
      <c r="Y91" s="55">
        <f>IFERROR(IF(X91="",0,CEILING((X91/$H91),1)*$H91),"")</f>
        <v>36</v>
      </c>
      <c r="Z91" s="41">
        <f>IFERROR(IF(Y91=0,"",ROUNDUP(Y91/H91,0)*0.00902),"")</f>
        <v>7.2160000000000002E-2</v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37.520000000000003</v>
      </c>
      <c r="BN91" s="78">
        <f>IFERROR(Y91*I91/H91,"0")</f>
        <v>37.520000000000003</v>
      </c>
      <c r="BO91" s="78">
        <f>IFERROR(1/J91*(X91/H91),"0")</f>
        <v>6.0606060606060608E-2</v>
      </c>
      <c r="BP91" s="78">
        <f>IFERROR(1/J91*(Y91/H91),"0")</f>
        <v>6.0606060606060608E-2</v>
      </c>
    </row>
    <row r="92" spans="1:68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2" t="s">
        <v>39</v>
      </c>
      <c r="X92" s="43">
        <f>IFERROR(X88/H88,"0")+IFERROR(X89/H89,"0")+IFERROR(X90/H90,"0")+IFERROR(X91/H91,"0")</f>
        <v>9.8518518518518512</v>
      </c>
      <c r="Y92" s="43">
        <f>IFERROR(Y88/H88,"0")+IFERROR(Y89/H89,"0")+IFERROR(Y90/H90,"0")+IFERROR(Y91/H91,"0")</f>
        <v>10</v>
      </c>
      <c r="Z92" s="43">
        <f>IFERROR(IF(Z88="",0,Z88),"0")+IFERROR(IF(Z89="",0,Z89),"0")+IFERROR(IF(Z90="",0,Z90),"0")+IFERROR(IF(Z91="",0,Z91),"0")</f>
        <v>0.11012</v>
      </c>
      <c r="AA92" s="67"/>
      <c r="AB92" s="67"/>
      <c r="AC92" s="67"/>
    </row>
    <row r="93" spans="1:68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2" t="s">
        <v>0</v>
      </c>
      <c r="X93" s="43">
        <f>IFERROR(SUM(X88:X91),"0")</f>
        <v>56</v>
      </c>
      <c r="Y93" s="43">
        <f>IFERROR(SUM(Y88:Y91),"0")</f>
        <v>57.6</v>
      </c>
      <c r="Z93" s="42"/>
      <c r="AA93" s="67"/>
      <c r="AB93" s="67"/>
      <c r="AC93" s="67"/>
    </row>
    <row r="94" spans="1:68" ht="14.25" customHeight="1" x14ac:dyDescent="0.25">
      <c r="A94" s="642" t="s">
        <v>87</v>
      </c>
      <c r="B94" s="642"/>
      <c r="C94" s="642"/>
      <c r="D94" s="642"/>
      <c r="E94" s="642"/>
      <c r="F94" s="642"/>
      <c r="G94" s="642"/>
      <c r="H94" s="642"/>
      <c r="I94" s="642"/>
      <c r="J94" s="642"/>
      <c r="K94" s="642"/>
      <c r="L94" s="642"/>
      <c r="M94" s="642"/>
      <c r="N94" s="642"/>
      <c r="O94" s="642"/>
      <c r="P94" s="642"/>
      <c r="Q94" s="642"/>
      <c r="R94" s="642"/>
      <c r="S94" s="642"/>
      <c r="T94" s="642"/>
      <c r="U94" s="642"/>
      <c r="V94" s="642"/>
      <c r="W94" s="642"/>
      <c r="X94" s="642"/>
      <c r="Y94" s="642"/>
      <c r="Z94" s="642"/>
      <c r="AA94" s="66"/>
      <c r="AB94" s="66"/>
      <c r="AC94" s="80"/>
    </row>
    <row r="95" spans="1:68" ht="27" customHeight="1" x14ac:dyDescent="0.25">
      <c r="A95" s="63" t="s">
        <v>194</v>
      </c>
      <c r="B95" s="63" t="s">
        <v>195</v>
      </c>
      <c r="C95" s="36">
        <v>4301051712</v>
      </c>
      <c r="D95" s="643">
        <v>4607091386967</v>
      </c>
      <c r="E95" s="64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6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5"/>
      <c r="R95" s="645"/>
      <c r="S95" s="645"/>
      <c r="T95" s="646"/>
      <c r="U95" s="39" t="s">
        <v>46</v>
      </c>
      <c r="V95" s="39" t="s">
        <v>46</v>
      </c>
      <c r="W95" s="40" t="s">
        <v>0</v>
      </c>
      <c r="X95" s="58">
        <v>8</v>
      </c>
      <c r="Y95" s="55">
        <f>IFERROR(IF(X95="",0,CEILING((X95/$H95),1)*$H95),"")</f>
        <v>8.1</v>
      </c>
      <c r="Z95" s="41">
        <f>IFERROR(IF(Y95=0,"",ROUNDUP(Y95/H95,0)*0.01898),"")</f>
        <v>1.898E-2</v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8.4879012345679019</v>
      </c>
      <c r="BN95" s="78">
        <f>IFERROR(Y95*I95/H95,"0")</f>
        <v>8.5939999999999994</v>
      </c>
      <c r="BO95" s="78">
        <f>IFERROR(1/J95*(X95/H95),"0")</f>
        <v>1.54320987654321E-2</v>
      </c>
      <c r="BP95" s="78">
        <f>IFERROR(1/J95*(Y95/H95),"0")</f>
        <v>1.5625E-2</v>
      </c>
    </row>
    <row r="96" spans="1:68" ht="27" customHeight="1" x14ac:dyDescent="0.25">
      <c r="A96" s="63" t="s">
        <v>197</v>
      </c>
      <c r="B96" s="63" t="s">
        <v>198</v>
      </c>
      <c r="C96" s="36">
        <v>4301051788</v>
      </c>
      <c r="D96" s="643">
        <v>4680115884953</v>
      </c>
      <c r="E96" s="64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68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5"/>
      <c r="R96" s="645"/>
      <c r="S96" s="645"/>
      <c r="T96" s="64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199</v>
      </c>
      <c r="B97" s="63" t="s">
        <v>200</v>
      </c>
      <c r="C97" s="36">
        <v>4301051718</v>
      </c>
      <c r="D97" s="643">
        <v>4607091385731</v>
      </c>
      <c r="E97" s="64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6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5"/>
      <c r="R97" s="645"/>
      <c r="S97" s="645"/>
      <c r="T97" s="646"/>
      <c r="U97" s="39" t="s">
        <v>46</v>
      </c>
      <c r="V97" s="39" t="s">
        <v>46</v>
      </c>
      <c r="W97" s="40" t="s">
        <v>0</v>
      </c>
      <c r="X97" s="58"/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201</v>
      </c>
      <c r="B98" s="63" t="s">
        <v>202</v>
      </c>
      <c r="C98" s="36">
        <v>4301052092</v>
      </c>
      <c r="D98" s="643">
        <v>4680115880894</v>
      </c>
      <c r="E98" s="64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688" t="s">
        <v>203</v>
      </c>
      <c r="Q98" s="645"/>
      <c r="R98" s="645"/>
      <c r="S98" s="645"/>
      <c r="T98" s="64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2" t="s">
        <v>39</v>
      </c>
      <c r="X99" s="43">
        <f>IFERROR(X95/H95,"0")+IFERROR(X96/H96,"0")+IFERROR(X97/H97,"0")+IFERROR(X98/H98,"0")</f>
        <v>0.98765432098765438</v>
      </c>
      <c r="Y99" s="43">
        <f>IFERROR(Y95/H95,"0")+IFERROR(Y96/H96,"0")+IFERROR(Y97/H97,"0")+IFERROR(Y98/H98,"0")</f>
        <v>1</v>
      </c>
      <c r="Z99" s="43">
        <f>IFERROR(IF(Z95="",0,Z95),"0")+IFERROR(IF(Z96="",0,Z96),"0")+IFERROR(IF(Z97="",0,Z97),"0")+IFERROR(IF(Z98="",0,Z98),"0")</f>
        <v>1.898E-2</v>
      </c>
      <c r="AA99" s="67"/>
      <c r="AB99" s="67"/>
      <c r="AC99" s="67"/>
    </row>
    <row r="100" spans="1:68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2" t="s">
        <v>0</v>
      </c>
      <c r="X100" s="43">
        <f>IFERROR(SUM(X95:X98),"0")</f>
        <v>8</v>
      </c>
      <c r="Y100" s="43">
        <f>IFERROR(SUM(Y95:Y98),"0")</f>
        <v>8.1</v>
      </c>
      <c r="Z100" s="42"/>
      <c r="AA100" s="67"/>
      <c r="AB100" s="67"/>
      <c r="AC100" s="67"/>
    </row>
    <row r="101" spans="1:68" ht="16.5" customHeight="1" x14ac:dyDescent="0.25">
      <c r="A101" s="641" t="s">
        <v>205</v>
      </c>
      <c r="B101" s="641"/>
      <c r="C101" s="641"/>
      <c r="D101" s="641"/>
      <c r="E101" s="641"/>
      <c r="F101" s="641"/>
      <c r="G101" s="641"/>
      <c r="H101" s="641"/>
      <c r="I101" s="641"/>
      <c r="J101" s="641"/>
      <c r="K101" s="641"/>
      <c r="L101" s="641"/>
      <c r="M101" s="641"/>
      <c r="N101" s="641"/>
      <c r="O101" s="641"/>
      <c r="P101" s="641"/>
      <c r="Q101" s="641"/>
      <c r="R101" s="641"/>
      <c r="S101" s="641"/>
      <c r="T101" s="641"/>
      <c r="U101" s="641"/>
      <c r="V101" s="641"/>
      <c r="W101" s="641"/>
      <c r="X101" s="641"/>
      <c r="Y101" s="641"/>
      <c r="Z101" s="641"/>
      <c r="AA101" s="65"/>
      <c r="AB101" s="65"/>
      <c r="AC101" s="79"/>
    </row>
    <row r="102" spans="1:68" ht="14.25" customHeight="1" x14ac:dyDescent="0.25">
      <c r="A102" s="642" t="s">
        <v>122</v>
      </c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42"/>
      <c r="P102" s="642"/>
      <c r="Q102" s="642"/>
      <c r="R102" s="642"/>
      <c r="S102" s="642"/>
      <c r="T102" s="642"/>
      <c r="U102" s="642"/>
      <c r="V102" s="642"/>
      <c r="W102" s="642"/>
      <c r="X102" s="642"/>
      <c r="Y102" s="642"/>
      <c r="Z102" s="642"/>
      <c r="AA102" s="66"/>
      <c r="AB102" s="66"/>
      <c r="AC102" s="80"/>
    </row>
    <row r="103" spans="1:68" ht="37.5" customHeight="1" x14ac:dyDescent="0.25">
      <c r="A103" s="63" t="s">
        <v>206</v>
      </c>
      <c r="B103" s="63" t="s">
        <v>207</v>
      </c>
      <c r="C103" s="36">
        <v>4301011514</v>
      </c>
      <c r="D103" s="643">
        <v>4680115882133</v>
      </c>
      <c r="E103" s="64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6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5"/>
      <c r="R103" s="645"/>
      <c r="S103" s="645"/>
      <c r="T103" s="646"/>
      <c r="U103" s="39" t="s">
        <v>46</v>
      </c>
      <c r="V103" s="39" t="s">
        <v>46</v>
      </c>
      <c r="W103" s="40" t="s">
        <v>0</v>
      </c>
      <c r="X103" s="58"/>
      <c r="Y103" s="55">
        <f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27" customHeight="1" x14ac:dyDescent="0.25">
      <c r="A104" s="63" t="s">
        <v>209</v>
      </c>
      <c r="B104" s="63" t="s">
        <v>210</v>
      </c>
      <c r="C104" s="36">
        <v>4301012051</v>
      </c>
      <c r="D104" s="643">
        <v>4680115887718</v>
      </c>
      <c r="E104" s="64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6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5"/>
      <c r="R104" s="645"/>
      <c r="S104" s="645"/>
      <c r="T104" s="646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4301011417</v>
      </c>
      <c r="D105" s="643">
        <v>4680115880269</v>
      </c>
      <c r="E105" s="643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6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5"/>
      <c r="R105" s="645"/>
      <c r="S105" s="645"/>
      <c r="T105" s="646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customHeight="1" x14ac:dyDescent="0.25">
      <c r="A106" s="63" t="s">
        <v>214</v>
      </c>
      <c r="B106" s="63" t="s">
        <v>215</v>
      </c>
      <c r="C106" s="36">
        <v>4301011415</v>
      </c>
      <c r="D106" s="643">
        <v>4680115880429</v>
      </c>
      <c r="E106" s="643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6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5"/>
      <c r="R106" s="645"/>
      <c r="S106" s="645"/>
      <c r="T106" s="646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customHeight="1" x14ac:dyDescent="0.25">
      <c r="A107" s="63" t="s">
        <v>216</v>
      </c>
      <c r="B107" s="63" t="s">
        <v>217</v>
      </c>
      <c r="C107" s="36">
        <v>4301011462</v>
      </c>
      <c r="D107" s="643">
        <v>4680115881457</v>
      </c>
      <c r="E107" s="64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6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5"/>
      <c r="R107" s="645"/>
      <c r="S107" s="645"/>
      <c r="T107" s="646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x14ac:dyDescent="0.2">
      <c r="A108" s="651"/>
      <c r="B108" s="651"/>
      <c r="C108" s="651"/>
      <c r="D108" s="651"/>
      <c r="E108" s="651"/>
      <c r="F108" s="651"/>
      <c r="G108" s="651"/>
      <c r="H108" s="651"/>
      <c r="I108" s="651"/>
      <c r="J108" s="651"/>
      <c r="K108" s="651"/>
      <c r="L108" s="651"/>
      <c r="M108" s="651"/>
      <c r="N108" s="651"/>
      <c r="O108" s="652"/>
      <c r="P108" s="648" t="s">
        <v>40</v>
      </c>
      <c r="Q108" s="649"/>
      <c r="R108" s="649"/>
      <c r="S108" s="649"/>
      <c r="T108" s="649"/>
      <c r="U108" s="649"/>
      <c r="V108" s="650"/>
      <c r="W108" s="42" t="s">
        <v>39</v>
      </c>
      <c r="X108" s="43">
        <f>IFERROR(X103/H103,"0")+IFERROR(X104/H104,"0")+IFERROR(X105/H105,"0")+IFERROR(X106/H106,"0")+IFERROR(X107/H107,"0")</f>
        <v>0</v>
      </c>
      <c r="Y108" s="43">
        <f>IFERROR(Y103/H103,"0")+IFERROR(Y104/H104,"0")+IFERROR(Y105/H105,"0")+IFERROR(Y106/H106,"0")+IFERROR(Y107/H107,"0")</f>
        <v>0</v>
      </c>
      <c r="Z108" s="43">
        <f>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x14ac:dyDescent="0.2">
      <c r="A109" s="651"/>
      <c r="B109" s="651"/>
      <c r="C109" s="651"/>
      <c r="D109" s="651"/>
      <c r="E109" s="651"/>
      <c r="F109" s="651"/>
      <c r="G109" s="651"/>
      <c r="H109" s="651"/>
      <c r="I109" s="651"/>
      <c r="J109" s="651"/>
      <c r="K109" s="651"/>
      <c r="L109" s="651"/>
      <c r="M109" s="651"/>
      <c r="N109" s="651"/>
      <c r="O109" s="652"/>
      <c r="P109" s="648" t="s">
        <v>40</v>
      </c>
      <c r="Q109" s="649"/>
      <c r="R109" s="649"/>
      <c r="S109" s="649"/>
      <c r="T109" s="649"/>
      <c r="U109" s="649"/>
      <c r="V109" s="650"/>
      <c r="W109" s="42" t="s">
        <v>0</v>
      </c>
      <c r="X109" s="43">
        <f>IFERROR(SUM(X103:X107),"0")</f>
        <v>0</v>
      </c>
      <c r="Y109" s="43">
        <f>IFERROR(SUM(Y103:Y107),"0")</f>
        <v>0</v>
      </c>
      <c r="Z109" s="42"/>
      <c r="AA109" s="67"/>
      <c r="AB109" s="67"/>
      <c r="AC109" s="67"/>
    </row>
    <row r="110" spans="1:68" ht="14.25" customHeight="1" x14ac:dyDescent="0.25">
      <c r="A110" s="642" t="s">
        <v>156</v>
      </c>
      <c r="B110" s="642"/>
      <c r="C110" s="642"/>
      <c r="D110" s="642"/>
      <c r="E110" s="642"/>
      <c r="F110" s="642"/>
      <c r="G110" s="642"/>
      <c r="H110" s="642"/>
      <c r="I110" s="642"/>
      <c r="J110" s="642"/>
      <c r="K110" s="642"/>
      <c r="L110" s="642"/>
      <c r="M110" s="642"/>
      <c r="N110" s="642"/>
      <c r="O110" s="642"/>
      <c r="P110" s="642"/>
      <c r="Q110" s="642"/>
      <c r="R110" s="642"/>
      <c r="S110" s="642"/>
      <c r="T110" s="642"/>
      <c r="U110" s="642"/>
      <c r="V110" s="642"/>
      <c r="W110" s="642"/>
      <c r="X110" s="642"/>
      <c r="Y110" s="642"/>
      <c r="Z110" s="642"/>
      <c r="AA110" s="66"/>
      <c r="AB110" s="66"/>
      <c r="AC110" s="80"/>
    </row>
    <row r="111" spans="1:68" ht="16.5" customHeight="1" x14ac:dyDescent="0.25">
      <c r="A111" s="63" t="s">
        <v>218</v>
      </c>
      <c r="B111" s="63" t="s">
        <v>219</v>
      </c>
      <c r="C111" s="36">
        <v>4301020345</v>
      </c>
      <c r="D111" s="643">
        <v>4680115881488</v>
      </c>
      <c r="E111" s="64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6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5"/>
      <c r="R111" s="645"/>
      <c r="S111" s="645"/>
      <c r="T111" s="646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221</v>
      </c>
      <c r="B112" s="63" t="s">
        <v>222</v>
      </c>
      <c r="C112" s="36">
        <v>4301020186</v>
      </c>
      <c r="D112" s="643">
        <v>4680115887664</v>
      </c>
      <c r="E112" s="64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6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5"/>
      <c r="R112" s="645"/>
      <c r="S112" s="645"/>
      <c r="T112" s="64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customHeight="1" x14ac:dyDescent="0.25">
      <c r="A113" s="63" t="s">
        <v>225</v>
      </c>
      <c r="B113" s="63" t="s">
        <v>226</v>
      </c>
      <c r="C113" s="36">
        <v>4301020346</v>
      </c>
      <c r="D113" s="643">
        <v>4680115882775</v>
      </c>
      <c r="E113" s="643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6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45"/>
      <c r="R113" s="645"/>
      <c r="S113" s="645"/>
      <c r="T113" s="64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customHeight="1" x14ac:dyDescent="0.25">
      <c r="A114" s="63" t="s">
        <v>227</v>
      </c>
      <c r="B114" s="63" t="s">
        <v>228</v>
      </c>
      <c r="C114" s="36">
        <v>4301020344</v>
      </c>
      <c r="D114" s="643">
        <v>4680115880658</v>
      </c>
      <c r="E114" s="643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6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45"/>
      <c r="R114" s="645"/>
      <c r="S114" s="645"/>
      <c r="T114" s="64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 x14ac:dyDescent="0.2">
      <c r="A116" s="651"/>
      <c r="B116" s="651"/>
      <c r="C116" s="651"/>
      <c r="D116" s="651"/>
      <c r="E116" s="651"/>
      <c r="F116" s="651"/>
      <c r="G116" s="651"/>
      <c r="H116" s="651"/>
      <c r="I116" s="651"/>
      <c r="J116" s="651"/>
      <c r="K116" s="651"/>
      <c r="L116" s="651"/>
      <c r="M116" s="651"/>
      <c r="N116" s="651"/>
      <c r="O116" s="652"/>
      <c r="P116" s="648" t="s">
        <v>40</v>
      </c>
      <c r="Q116" s="649"/>
      <c r="R116" s="649"/>
      <c r="S116" s="649"/>
      <c r="T116" s="649"/>
      <c r="U116" s="649"/>
      <c r="V116" s="650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customHeight="1" x14ac:dyDescent="0.25">
      <c r="A117" s="642" t="s">
        <v>87</v>
      </c>
      <c r="B117" s="642"/>
      <c r="C117" s="642"/>
      <c r="D117" s="642"/>
      <c r="E117" s="642"/>
      <c r="F117" s="642"/>
      <c r="G117" s="642"/>
      <c r="H117" s="642"/>
      <c r="I117" s="642"/>
      <c r="J117" s="642"/>
      <c r="K117" s="642"/>
      <c r="L117" s="642"/>
      <c r="M117" s="642"/>
      <c r="N117" s="642"/>
      <c r="O117" s="642"/>
      <c r="P117" s="642"/>
      <c r="Q117" s="642"/>
      <c r="R117" s="642"/>
      <c r="S117" s="642"/>
      <c r="T117" s="642"/>
      <c r="U117" s="642"/>
      <c r="V117" s="642"/>
      <c r="W117" s="642"/>
      <c r="X117" s="642"/>
      <c r="Y117" s="642"/>
      <c r="Z117" s="642"/>
      <c r="AA117" s="66"/>
      <c r="AB117" s="66"/>
      <c r="AC117" s="80"/>
    </row>
    <row r="118" spans="1:68" ht="27" customHeight="1" x14ac:dyDescent="0.25">
      <c r="A118" s="63" t="s">
        <v>229</v>
      </c>
      <c r="B118" s="63" t="s">
        <v>230</v>
      </c>
      <c r="C118" s="36">
        <v>4301051724</v>
      </c>
      <c r="D118" s="643">
        <v>4607091385168</v>
      </c>
      <c r="E118" s="643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6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645"/>
      <c r="R118" s="645"/>
      <c r="S118" s="645"/>
      <c r="T118" s="646"/>
      <c r="U118" s="39" t="s">
        <v>46</v>
      </c>
      <c r="V118" s="39" t="s">
        <v>46</v>
      </c>
      <c r="W118" s="40" t="s">
        <v>0</v>
      </c>
      <c r="X118" s="58">
        <v>90</v>
      </c>
      <c r="Y118" s="55">
        <f>IFERROR(IF(X118="",0,CEILING((X118/$H118),1)*$H118),"")</f>
        <v>97.199999999999989</v>
      </c>
      <c r="Z118" s="41">
        <f>IFERROR(IF(Y118=0,"",ROUNDUP(Y118/H118,0)*0.01898),"")</f>
        <v>0.22776000000000002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95.422222222222217</v>
      </c>
      <c r="BN118" s="78">
        <f>IFERROR(Y118*I118/H118,"0")</f>
        <v>103.05599999999998</v>
      </c>
      <c r="BO118" s="78">
        <f>IFERROR(1/J118*(X118/H118),"0")</f>
        <v>0.1736111111111111</v>
      </c>
      <c r="BP118" s="78">
        <f>IFERROR(1/J118*(Y118/H118),"0")</f>
        <v>0.1875</v>
      </c>
    </row>
    <row r="119" spans="1:68" ht="27" customHeight="1" x14ac:dyDescent="0.25">
      <c r="A119" s="63" t="s">
        <v>232</v>
      </c>
      <c r="B119" s="63" t="s">
        <v>233</v>
      </c>
      <c r="C119" s="36">
        <v>4301051730</v>
      </c>
      <c r="D119" s="643">
        <v>4607091383256</v>
      </c>
      <c r="E119" s="643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6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645"/>
      <c r="R119" s="645"/>
      <c r="S119" s="645"/>
      <c r="T119" s="64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234</v>
      </c>
      <c r="B120" s="63" t="s">
        <v>235</v>
      </c>
      <c r="C120" s="36">
        <v>4301051721</v>
      </c>
      <c r="D120" s="643">
        <v>4607091385748</v>
      </c>
      <c r="E120" s="643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645"/>
      <c r="R120" s="645"/>
      <c r="S120" s="645"/>
      <c r="T120" s="646"/>
      <c r="U120" s="39" t="s">
        <v>46</v>
      </c>
      <c r="V120" s="39" t="s">
        <v>46</v>
      </c>
      <c r="W120" s="40" t="s">
        <v>0</v>
      </c>
      <c r="X120" s="58">
        <v>13.5</v>
      </c>
      <c r="Y120" s="55">
        <f>IFERROR(IF(X120="",0,CEILING((X120/$H120),1)*$H120),"")</f>
        <v>13.5</v>
      </c>
      <c r="Z120" s="41">
        <f>IFERROR(IF(Y120=0,"",ROUNDUP(Y120/H120,0)*0.00651),"")</f>
        <v>3.2550000000000003E-2</v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14.759999999999998</v>
      </c>
      <c r="BN120" s="78">
        <f>IFERROR(Y120*I120/H120,"0")</f>
        <v>14.759999999999998</v>
      </c>
      <c r="BO120" s="78">
        <f>IFERROR(1/J120*(X120/H120),"0")</f>
        <v>2.7472527472527476E-2</v>
      </c>
      <c r="BP120" s="78">
        <f>IFERROR(1/J120*(Y120/H120),"0")</f>
        <v>2.7472527472527476E-2</v>
      </c>
    </row>
    <row r="121" spans="1:68" ht="16.5" customHeight="1" x14ac:dyDescent="0.25">
      <c r="A121" s="63" t="s">
        <v>236</v>
      </c>
      <c r="B121" s="63" t="s">
        <v>237</v>
      </c>
      <c r="C121" s="36">
        <v>4301051740</v>
      </c>
      <c r="D121" s="643">
        <v>4680115884533</v>
      </c>
      <c r="E121" s="643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645"/>
      <c r="R121" s="645"/>
      <c r="S121" s="645"/>
      <c r="T121" s="64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39</v>
      </c>
      <c r="X122" s="43">
        <f>IFERROR(X118/H118,"0")+IFERROR(X119/H119,"0")+IFERROR(X120/H120,"0")+IFERROR(X121/H121,"0")</f>
        <v>16.111111111111111</v>
      </c>
      <c r="Y122" s="43">
        <f>IFERROR(Y118/H118,"0")+IFERROR(Y119/H119,"0")+IFERROR(Y120/H120,"0")+IFERROR(Y121/H121,"0")</f>
        <v>17</v>
      </c>
      <c r="Z122" s="43">
        <f>IFERROR(IF(Z118="",0,Z118),"0")+IFERROR(IF(Z119="",0,Z119),"0")+IFERROR(IF(Z120="",0,Z120),"0")+IFERROR(IF(Z121="",0,Z121),"0")</f>
        <v>0.26031000000000004</v>
      </c>
      <c r="AA122" s="67"/>
      <c r="AB122" s="67"/>
      <c r="AC122" s="67"/>
    </row>
    <row r="123" spans="1:68" x14ac:dyDescent="0.2">
      <c r="A123" s="651"/>
      <c r="B123" s="651"/>
      <c r="C123" s="651"/>
      <c r="D123" s="651"/>
      <c r="E123" s="651"/>
      <c r="F123" s="651"/>
      <c r="G123" s="651"/>
      <c r="H123" s="651"/>
      <c r="I123" s="651"/>
      <c r="J123" s="651"/>
      <c r="K123" s="651"/>
      <c r="L123" s="651"/>
      <c r="M123" s="651"/>
      <c r="N123" s="651"/>
      <c r="O123" s="652"/>
      <c r="P123" s="648" t="s">
        <v>40</v>
      </c>
      <c r="Q123" s="649"/>
      <c r="R123" s="649"/>
      <c r="S123" s="649"/>
      <c r="T123" s="649"/>
      <c r="U123" s="649"/>
      <c r="V123" s="650"/>
      <c r="W123" s="42" t="s">
        <v>0</v>
      </c>
      <c r="X123" s="43">
        <f>IFERROR(SUM(X118:X121),"0")</f>
        <v>103.5</v>
      </c>
      <c r="Y123" s="43">
        <f>IFERROR(SUM(Y118:Y121),"0")</f>
        <v>110.69999999999999</v>
      </c>
      <c r="Z123" s="42"/>
      <c r="AA123" s="67"/>
      <c r="AB123" s="67"/>
      <c r="AC123" s="67"/>
    </row>
    <row r="124" spans="1:68" ht="14.25" customHeight="1" x14ac:dyDescent="0.25">
      <c r="A124" s="642" t="s">
        <v>176</v>
      </c>
      <c r="B124" s="642"/>
      <c r="C124" s="642"/>
      <c r="D124" s="642"/>
      <c r="E124" s="642"/>
      <c r="F124" s="642"/>
      <c r="G124" s="642"/>
      <c r="H124" s="642"/>
      <c r="I124" s="642"/>
      <c r="J124" s="642"/>
      <c r="K124" s="642"/>
      <c r="L124" s="642"/>
      <c r="M124" s="642"/>
      <c r="N124" s="642"/>
      <c r="O124" s="642"/>
      <c r="P124" s="642"/>
      <c r="Q124" s="642"/>
      <c r="R124" s="642"/>
      <c r="S124" s="642"/>
      <c r="T124" s="642"/>
      <c r="U124" s="642"/>
      <c r="V124" s="642"/>
      <c r="W124" s="642"/>
      <c r="X124" s="642"/>
      <c r="Y124" s="642"/>
      <c r="Z124" s="642"/>
      <c r="AA124" s="66"/>
      <c r="AB124" s="66"/>
      <c r="AC124" s="80"/>
    </row>
    <row r="125" spans="1:68" ht="16.5" customHeight="1" x14ac:dyDescent="0.25">
      <c r="A125" s="63" t="s">
        <v>239</v>
      </c>
      <c r="B125" s="63" t="s">
        <v>240</v>
      </c>
      <c r="C125" s="36">
        <v>4301060317</v>
      </c>
      <c r="D125" s="643">
        <v>4680115880238</v>
      </c>
      <c r="E125" s="643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0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645"/>
      <c r="R125" s="645"/>
      <c r="S125" s="645"/>
      <c r="T125" s="64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52"/>
      <c r="P127" s="648" t="s">
        <v>40</v>
      </c>
      <c r="Q127" s="649"/>
      <c r="R127" s="649"/>
      <c r="S127" s="649"/>
      <c r="T127" s="649"/>
      <c r="U127" s="649"/>
      <c r="V127" s="650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customHeight="1" x14ac:dyDescent="0.25">
      <c r="A128" s="641" t="s">
        <v>242</v>
      </c>
      <c r="B128" s="641"/>
      <c r="C128" s="641"/>
      <c r="D128" s="641"/>
      <c r="E128" s="641"/>
      <c r="F128" s="641"/>
      <c r="G128" s="641"/>
      <c r="H128" s="641"/>
      <c r="I128" s="641"/>
      <c r="J128" s="641"/>
      <c r="K128" s="641"/>
      <c r="L128" s="641"/>
      <c r="M128" s="641"/>
      <c r="N128" s="641"/>
      <c r="O128" s="641"/>
      <c r="P128" s="641"/>
      <c r="Q128" s="641"/>
      <c r="R128" s="641"/>
      <c r="S128" s="641"/>
      <c r="T128" s="641"/>
      <c r="U128" s="641"/>
      <c r="V128" s="641"/>
      <c r="W128" s="641"/>
      <c r="X128" s="641"/>
      <c r="Y128" s="641"/>
      <c r="Z128" s="641"/>
      <c r="AA128" s="65"/>
      <c r="AB128" s="65"/>
      <c r="AC128" s="79"/>
    </row>
    <row r="129" spans="1:68" ht="14.25" customHeight="1" x14ac:dyDescent="0.25">
      <c r="A129" s="642" t="s">
        <v>122</v>
      </c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42"/>
      <c r="P129" s="642"/>
      <c r="Q129" s="642"/>
      <c r="R129" s="642"/>
      <c r="S129" s="642"/>
      <c r="T129" s="642"/>
      <c r="U129" s="642"/>
      <c r="V129" s="642"/>
      <c r="W129" s="642"/>
      <c r="X129" s="642"/>
      <c r="Y129" s="642"/>
      <c r="Z129" s="642"/>
      <c r="AA129" s="66"/>
      <c r="AB129" s="66"/>
      <c r="AC129" s="80"/>
    </row>
    <row r="130" spans="1:68" ht="27" customHeight="1" x14ac:dyDescent="0.25">
      <c r="A130" s="63" t="s">
        <v>243</v>
      </c>
      <c r="B130" s="63" t="s">
        <v>244</v>
      </c>
      <c r="C130" s="36">
        <v>4301011564</v>
      </c>
      <c r="D130" s="643">
        <v>4680115882577</v>
      </c>
      <c r="E130" s="64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45"/>
      <c r="R130" s="645"/>
      <c r="S130" s="645"/>
      <c r="T130" s="64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243</v>
      </c>
      <c r="B131" s="63" t="s">
        <v>246</v>
      </c>
      <c r="C131" s="36">
        <v>4301011562</v>
      </c>
      <c r="D131" s="643">
        <v>4680115882577</v>
      </c>
      <c r="E131" s="64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5"/>
      <c r="R131" s="645"/>
      <c r="S131" s="645"/>
      <c r="T131" s="64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42" t="s">
        <v>77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6"/>
      <c r="AB134" s="66"/>
      <c r="AC134" s="80"/>
    </row>
    <row r="135" spans="1:68" ht="27" customHeight="1" x14ac:dyDescent="0.25">
      <c r="A135" s="63" t="s">
        <v>247</v>
      </c>
      <c r="B135" s="63" t="s">
        <v>248</v>
      </c>
      <c r="C135" s="36">
        <v>4301031234</v>
      </c>
      <c r="D135" s="643">
        <v>4680115883444</v>
      </c>
      <c r="E135" s="64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5"/>
      <c r="R135" s="645"/>
      <c r="S135" s="645"/>
      <c r="T135" s="64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247</v>
      </c>
      <c r="B136" s="63" t="s">
        <v>250</v>
      </c>
      <c r="C136" s="36">
        <v>4301031235</v>
      </c>
      <c r="D136" s="643">
        <v>4680115883444</v>
      </c>
      <c r="E136" s="64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5"/>
      <c r="R136" s="645"/>
      <c r="S136" s="645"/>
      <c r="T136" s="64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52"/>
      <c r="P137" s="648" t="s">
        <v>40</v>
      </c>
      <c r="Q137" s="649"/>
      <c r="R137" s="649"/>
      <c r="S137" s="649"/>
      <c r="T137" s="649"/>
      <c r="U137" s="649"/>
      <c r="V137" s="65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51"/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2"/>
      <c r="P138" s="648" t="s">
        <v>40</v>
      </c>
      <c r="Q138" s="649"/>
      <c r="R138" s="649"/>
      <c r="S138" s="649"/>
      <c r="T138" s="649"/>
      <c r="U138" s="649"/>
      <c r="V138" s="65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42" t="s">
        <v>87</v>
      </c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42"/>
      <c r="P139" s="642"/>
      <c r="Q139" s="642"/>
      <c r="R139" s="642"/>
      <c r="S139" s="642"/>
      <c r="T139" s="642"/>
      <c r="U139" s="642"/>
      <c r="V139" s="642"/>
      <c r="W139" s="642"/>
      <c r="X139" s="642"/>
      <c r="Y139" s="642"/>
      <c r="Z139" s="642"/>
      <c r="AA139" s="66"/>
      <c r="AB139" s="66"/>
      <c r="AC139" s="80"/>
    </row>
    <row r="140" spans="1:68" ht="16.5" customHeight="1" x14ac:dyDescent="0.25">
      <c r="A140" s="63" t="s">
        <v>251</v>
      </c>
      <c r="B140" s="63" t="s">
        <v>252</v>
      </c>
      <c r="C140" s="36">
        <v>4301051477</v>
      </c>
      <c r="D140" s="643">
        <v>4680115882584</v>
      </c>
      <c r="E140" s="643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645"/>
      <c r="R140" s="645"/>
      <c r="S140" s="645"/>
      <c r="T140" s="64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customHeight="1" x14ac:dyDescent="0.25">
      <c r="A141" s="63" t="s">
        <v>251</v>
      </c>
      <c r="B141" s="63" t="s">
        <v>253</v>
      </c>
      <c r="C141" s="36">
        <v>4301051476</v>
      </c>
      <c r="D141" s="643">
        <v>4680115882584</v>
      </c>
      <c r="E141" s="64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5"/>
      <c r="R141" s="645"/>
      <c r="S141" s="645"/>
      <c r="T141" s="64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52"/>
      <c r="P142" s="648" t="s">
        <v>40</v>
      </c>
      <c r="Q142" s="649"/>
      <c r="R142" s="649"/>
      <c r="S142" s="649"/>
      <c r="T142" s="649"/>
      <c r="U142" s="649"/>
      <c r="V142" s="65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51"/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2"/>
      <c r="P143" s="648" t="s">
        <v>40</v>
      </c>
      <c r="Q143" s="649"/>
      <c r="R143" s="649"/>
      <c r="S143" s="649"/>
      <c r="T143" s="649"/>
      <c r="U143" s="649"/>
      <c r="V143" s="65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customHeight="1" x14ac:dyDescent="0.25">
      <c r="A144" s="641" t="s">
        <v>120</v>
      </c>
      <c r="B144" s="641"/>
      <c r="C144" s="641"/>
      <c r="D144" s="641"/>
      <c r="E144" s="641"/>
      <c r="F144" s="641"/>
      <c r="G144" s="641"/>
      <c r="H144" s="641"/>
      <c r="I144" s="641"/>
      <c r="J144" s="641"/>
      <c r="K144" s="641"/>
      <c r="L144" s="641"/>
      <c r="M144" s="641"/>
      <c r="N144" s="641"/>
      <c r="O144" s="641"/>
      <c r="P144" s="641"/>
      <c r="Q144" s="641"/>
      <c r="R144" s="641"/>
      <c r="S144" s="641"/>
      <c r="T144" s="641"/>
      <c r="U144" s="641"/>
      <c r="V144" s="641"/>
      <c r="W144" s="641"/>
      <c r="X144" s="641"/>
      <c r="Y144" s="641"/>
      <c r="Z144" s="641"/>
      <c r="AA144" s="65"/>
      <c r="AB144" s="65"/>
      <c r="AC144" s="79"/>
    </row>
    <row r="145" spans="1:68" ht="14.25" customHeight="1" x14ac:dyDescent="0.25">
      <c r="A145" s="642" t="s">
        <v>122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6"/>
      <c r="AB145" s="66"/>
      <c r="AC145" s="80"/>
    </row>
    <row r="146" spans="1:68" ht="27" customHeight="1" x14ac:dyDescent="0.25">
      <c r="A146" s="63" t="s">
        <v>254</v>
      </c>
      <c r="B146" s="63" t="s">
        <v>255</v>
      </c>
      <c r="C146" s="36">
        <v>4301012244</v>
      </c>
      <c r="D146" s="643">
        <v>4680115887374</v>
      </c>
      <c r="E146" s="643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645"/>
      <c r="R146" s="645"/>
      <c r="S146" s="645"/>
      <c r="T146" s="64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257</v>
      </c>
      <c r="B147" s="63" t="s">
        <v>258</v>
      </c>
      <c r="C147" s="36">
        <v>4301011705</v>
      </c>
      <c r="D147" s="643">
        <v>4607091384604</v>
      </c>
      <c r="E147" s="643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645"/>
      <c r="R147" s="645"/>
      <c r="S147" s="645"/>
      <c r="T147" s="646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51"/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2"/>
      <c r="P148" s="648" t="s">
        <v>40</v>
      </c>
      <c r="Q148" s="649"/>
      <c r="R148" s="649"/>
      <c r="S148" s="649"/>
      <c r="T148" s="649"/>
      <c r="U148" s="649"/>
      <c r="V148" s="650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651"/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2"/>
      <c r="P149" s="648" t="s">
        <v>40</v>
      </c>
      <c r="Q149" s="649"/>
      <c r="R149" s="649"/>
      <c r="S149" s="649"/>
      <c r="T149" s="649"/>
      <c r="U149" s="649"/>
      <c r="V149" s="650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customHeight="1" x14ac:dyDescent="0.25">
      <c r="A150" s="642" t="s">
        <v>156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6"/>
      <c r="AB150" s="66"/>
      <c r="AC150" s="80"/>
    </row>
    <row r="151" spans="1:68" ht="16.5" customHeight="1" x14ac:dyDescent="0.25">
      <c r="A151" s="63" t="s">
        <v>260</v>
      </c>
      <c r="B151" s="63" t="s">
        <v>261</v>
      </c>
      <c r="C151" s="36">
        <v>4301020410</v>
      </c>
      <c r="D151" s="643">
        <v>4680115887695</v>
      </c>
      <c r="E151" s="643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645"/>
      <c r="R151" s="645"/>
      <c r="S151" s="645"/>
      <c r="T151" s="64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51"/>
      <c r="B152" s="651"/>
      <c r="C152" s="651"/>
      <c r="D152" s="651"/>
      <c r="E152" s="651"/>
      <c r="F152" s="651"/>
      <c r="G152" s="651"/>
      <c r="H152" s="651"/>
      <c r="I152" s="651"/>
      <c r="J152" s="651"/>
      <c r="K152" s="651"/>
      <c r="L152" s="651"/>
      <c r="M152" s="651"/>
      <c r="N152" s="651"/>
      <c r="O152" s="652"/>
      <c r="P152" s="648" t="s">
        <v>40</v>
      </c>
      <c r="Q152" s="649"/>
      <c r="R152" s="649"/>
      <c r="S152" s="649"/>
      <c r="T152" s="649"/>
      <c r="U152" s="649"/>
      <c r="V152" s="650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51"/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2"/>
      <c r="P153" s="648" t="s">
        <v>40</v>
      </c>
      <c r="Q153" s="649"/>
      <c r="R153" s="649"/>
      <c r="S153" s="649"/>
      <c r="T153" s="649"/>
      <c r="U153" s="649"/>
      <c r="V153" s="650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customHeight="1" x14ac:dyDescent="0.25">
      <c r="A154" s="642" t="s">
        <v>77</v>
      </c>
      <c r="B154" s="642"/>
      <c r="C154" s="642"/>
      <c r="D154" s="642"/>
      <c r="E154" s="642"/>
      <c r="F154" s="642"/>
      <c r="G154" s="642"/>
      <c r="H154" s="642"/>
      <c r="I154" s="642"/>
      <c r="J154" s="642"/>
      <c r="K154" s="642"/>
      <c r="L154" s="642"/>
      <c r="M154" s="642"/>
      <c r="N154" s="642"/>
      <c r="O154" s="642"/>
      <c r="P154" s="642"/>
      <c r="Q154" s="642"/>
      <c r="R154" s="642"/>
      <c r="S154" s="642"/>
      <c r="T154" s="642"/>
      <c r="U154" s="642"/>
      <c r="V154" s="642"/>
      <c r="W154" s="642"/>
      <c r="X154" s="642"/>
      <c r="Y154" s="642"/>
      <c r="Z154" s="642"/>
      <c r="AA154" s="66"/>
      <c r="AB154" s="66"/>
      <c r="AC154" s="80"/>
    </row>
    <row r="155" spans="1:68" ht="27" customHeight="1" x14ac:dyDescent="0.25">
      <c r="A155" s="63" t="s">
        <v>263</v>
      </c>
      <c r="B155" s="63" t="s">
        <v>264</v>
      </c>
      <c r="C155" s="36">
        <v>4301031450</v>
      </c>
      <c r="D155" s="643">
        <v>4680115887428</v>
      </c>
      <c r="E155" s="643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1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645"/>
      <c r="R155" s="645"/>
      <c r="S155" s="645"/>
      <c r="T155" s="646"/>
      <c r="U155" s="39" t="s">
        <v>46</v>
      </c>
      <c r="V155" s="39" t="s">
        <v>46</v>
      </c>
      <c r="W155" s="40" t="s">
        <v>0</v>
      </c>
      <c r="X155" s="58">
        <v>30</v>
      </c>
      <c r="Y155" s="55">
        <f t="shared" ref="Y155:Y164" si="11">IFERROR(IF(X155="",0,CEILING((X155/$H155),1)*$H155),"")</f>
        <v>33.6</v>
      </c>
      <c r="Z155" s="41">
        <f>IFERROR(IF(Y155=0,"",ROUNDUP(Y155/H155,0)*0.00902),"")</f>
        <v>7.2160000000000002E-2</v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31.357142857142854</v>
      </c>
      <c r="BN155" s="78">
        <f t="shared" ref="BN155:BN164" si="13">IFERROR(Y155*I155/H155,"0")</f>
        <v>35.119999999999997</v>
      </c>
      <c r="BO155" s="78">
        <f t="shared" ref="BO155:BO164" si="14">IFERROR(1/J155*(X155/H155),"0")</f>
        <v>5.4112554112554112E-2</v>
      </c>
      <c r="BP155" s="78">
        <f t="shared" ref="BP155:BP164" si="15">IFERROR(1/J155*(Y155/H155),"0")</f>
        <v>6.0606060606060608E-2</v>
      </c>
    </row>
    <row r="156" spans="1:68" ht="27" customHeight="1" x14ac:dyDescent="0.25">
      <c r="A156" s="63" t="s">
        <v>266</v>
      </c>
      <c r="B156" s="63" t="s">
        <v>267</v>
      </c>
      <c r="C156" s="36">
        <v>4301031453</v>
      </c>
      <c r="D156" s="643">
        <v>4680115887336</v>
      </c>
      <c r="E156" s="643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1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645"/>
      <c r="R156" s="645"/>
      <c r="S156" s="645"/>
      <c r="T156" s="646"/>
      <c r="U156" s="39" t="s">
        <v>46</v>
      </c>
      <c r="V156" s="39" t="s">
        <v>46</v>
      </c>
      <c r="W156" s="40" t="s">
        <v>0</v>
      </c>
      <c r="X156" s="58">
        <v>35</v>
      </c>
      <c r="Y156" s="55">
        <f t="shared" si="11"/>
        <v>37.800000000000004</v>
      </c>
      <c r="Z156" s="41">
        <f>IFERROR(IF(Y156=0,"",ROUNDUP(Y156/H156,0)*0.00902),"")</f>
        <v>8.1180000000000002E-2</v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36.583333333333329</v>
      </c>
      <c r="BN156" s="78">
        <f t="shared" si="13"/>
        <v>39.51</v>
      </c>
      <c r="BO156" s="78">
        <f t="shared" si="14"/>
        <v>6.3131313131313122E-2</v>
      </c>
      <c r="BP156" s="78">
        <f t="shared" si="15"/>
        <v>6.8181818181818177E-2</v>
      </c>
    </row>
    <row r="157" spans="1:68" ht="27" customHeight="1" x14ac:dyDescent="0.25">
      <c r="A157" s="63" t="s">
        <v>269</v>
      </c>
      <c r="B157" s="63" t="s">
        <v>270</v>
      </c>
      <c r="C157" s="36">
        <v>4301030963</v>
      </c>
      <c r="D157" s="643">
        <v>4607091382426</v>
      </c>
      <c r="E157" s="643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1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45"/>
      <c r="R157" s="645"/>
      <c r="S157" s="645"/>
      <c r="T157" s="646"/>
      <c r="U157" s="39" t="s">
        <v>46</v>
      </c>
      <c r="V157" s="39" t="s">
        <v>46</v>
      </c>
      <c r="W157" s="40" t="s">
        <v>0</v>
      </c>
      <c r="X157" s="58"/>
      <c r="Y157" s="55">
        <f t="shared" si="11"/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0</v>
      </c>
      <c r="BN157" s="78">
        <f t="shared" si="13"/>
        <v>0</v>
      </c>
      <c r="BO157" s="78">
        <f t="shared" si="14"/>
        <v>0</v>
      </c>
      <c r="BP157" s="78">
        <f t="shared" si="15"/>
        <v>0</v>
      </c>
    </row>
    <row r="158" spans="1:68" ht="27" customHeight="1" x14ac:dyDescent="0.25">
      <c r="A158" s="63" t="s">
        <v>272</v>
      </c>
      <c r="B158" s="63" t="s">
        <v>273</v>
      </c>
      <c r="C158" s="36">
        <v>4301031456</v>
      </c>
      <c r="D158" s="643">
        <v>4680115887398</v>
      </c>
      <c r="E158" s="643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1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645"/>
      <c r="R158" s="645"/>
      <c r="S158" s="645"/>
      <c r="T158" s="646"/>
      <c r="U158" s="39" t="s">
        <v>46</v>
      </c>
      <c r="V158" s="39" t="s">
        <v>46</v>
      </c>
      <c r="W158" s="40" t="s">
        <v>0</v>
      </c>
      <c r="X158" s="58">
        <v>30</v>
      </c>
      <c r="Y158" s="55">
        <f t="shared" si="11"/>
        <v>33.6</v>
      </c>
      <c r="Z158" s="41">
        <f>IFERROR(IF(Y158=0,"",ROUNDUP(Y158/H158,0)*0.00902),"")</f>
        <v>7.2160000000000002E-2</v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31.357142857142854</v>
      </c>
      <c r="BN158" s="78">
        <f t="shared" si="13"/>
        <v>35.119999999999997</v>
      </c>
      <c r="BO158" s="78">
        <f t="shared" si="14"/>
        <v>5.4112554112554112E-2</v>
      </c>
      <c r="BP158" s="78">
        <f t="shared" si="15"/>
        <v>6.0606060606060608E-2</v>
      </c>
    </row>
    <row r="159" spans="1:68" ht="16.5" customHeight="1" x14ac:dyDescent="0.25">
      <c r="A159" s="63" t="s">
        <v>275</v>
      </c>
      <c r="B159" s="63" t="s">
        <v>276</v>
      </c>
      <c r="C159" s="36">
        <v>4301032049</v>
      </c>
      <c r="D159" s="643">
        <v>4680115887787</v>
      </c>
      <c r="E159" s="643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645"/>
      <c r="R159" s="645"/>
      <c r="S159" s="645"/>
      <c r="T159" s="64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customHeight="1" x14ac:dyDescent="0.25">
      <c r="A160" s="63" t="s">
        <v>278</v>
      </c>
      <c r="B160" s="63" t="s">
        <v>279</v>
      </c>
      <c r="C160" s="36">
        <v>4301031448</v>
      </c>
      <c r="D160" s="643">
        <v>4680115887503</v>
      </c>
      <c r="E160" s="643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645"/>
      <c r="R160" s="645"/>
      <c r="S160" s="645"/>
      <c r="T160" s="646"/>
      <c r="U160" s="39" t="s">
        <v>46</v>
      </c>
      <c r="V160" s="39" t="s">
        <v>46</v>
      </c>
      <c r="W160" s="40" t="s">
        <v>0</v>
      </c>
      <c r="X160" s="58">
        <v>11.76</v>
      </c>
      <c r="Y160" s="55">
        <f t="shared" si="11"/>
        <v>11.76</v>
      </c>
      <c r="Z160" s="41">
        <f>IFERROR(IF(Y160=0,"",ROUNDUP(Y160/H160,0)*0.00502),"")</f>
        <v>3.5140000000000005E-2</v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12.46</v>
      </c>
      <c r="BN160" s="78">
        <f t="shared" si="13"/>
        <v>12.46</v>
      </c>
      <c r="BO160" s="78">
        <f t="shared" si="14"/>
        <v>2.9914529914529919E-2</v>
      </c>
      <c r="BP160" s="78">
        <f t="shared" si="15"/>
        <v>2.9914529914529919E-2</v>
      </c>
    </row>
    <row r="161" spans="1:68" ht="27" customHeight="1" x14ac:dyDescent="0.25">
      <c r="A161" s="63" t="s">
        <v>280</v>
      </c>
      <c r="B161" s="63" t="s">
        <v>281</v>
      </c>
      <c r="C161" s="36">
        <v>4301031389</v>
      </c>
      <c r="D161" s="643">
        <v>4680115887763</v>
      </c>
      <c r="E161" s="643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645"/>
      <c r="R161" s="645"/>
      <c r="S161" s="645"/>
      <c r="T161" s="64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customHeight="1" x14ac:dyDescent="0.25">
      <c r="A162" s="63" t="s">
        <v>283</v>
      </c>
      <c r="B162" s="63" t="s">
        <v>284</v>
      </c>
      <c r="C162" s="36">
        <v>4301031454</v>
      </c>
      <c r="D162" s="643">
        <v>4680115887480</v>
      </c>
      <c r="E162" s="643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1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645"/>
      <c r="R162" s="645"/>
      <c r="S162" s="645"/>
      <c r="T162" s="646"/>
      <c r="U162" s="39" t="s">
        <v>46</v>
      </c>
      <c r="V162" s="39" t="s">
        <v>46</v>
      </c>
      <c r="W162" s="40" t="s">
        <v>0</v>
      </c>
      <c r="X162" s="58">
        <v>8.4</v>
      </c>
      <c r="Y162" s="55">
        <f t="shared" si="11"/>
        <v>8.4</v>
      </c>
      <c r="Z162" s="41">
        <f>IFERROR(IF(Y162=0,"",ROUNDUP(Y162/H162,0)*0.00502),"")</f>
        <v>2.5100000000000001E-2</v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8.9000000000000021</v>
      </c>
      <c r="BN162" s="78">
        <f t="shared" si="13"/>
        <v>8.9000000000000021</v>
      </c>
      <c r="BO162" s="78">
        <f t="shared" si="14"/>
        <v>2.1367521367521368E-2</v>
      </c>
      <c r="BP162" s="78">
        <f t="shared" si="15"/>
        <v>2.1367521367521368E-2</v>
      </c>
    </row>
    <row r="163" spans="1:68" ht="27" customHeight="1" x14ac:dyDescent="0.25">
      <c r="A163" s="63" t="s">
        <v>285</v>
      </c>
      <c r="B163" s="63" t="s">
        <v>286</v>
      </c>
      <c r="C163" s="36">
        <v>4301031434</v>
      </c>
      <c r="D163" s="643">
        <v>4680115888067</v>
      </c>
      <c r="E163" s="643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645"/>
      <c r="R163" s="645"/>
      <c r="S163" s="645"/>
      <c r="T163" s="646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customHeight="1" x14ac:dyDescent="0.25">
      <c r="A164" s="63" t="s">
        <v>288</v>
      </c>
      <c r="B164" s="63" t="s">
        <v>289</v>
      </c>
      <c r="C164" s="36">
        <v>4301031451</v>
      </c>
      <c r="D164" s="643">
        <v>4680115887435</v>
      </c>
      <c r="E164" s="643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2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645"/>
      <c r="R164" s="645"/>
      <c r="S164" s="645"/>
      <c r="T164" s="646"/>
      <c r="U164" s="39" t="s">
        <v>46</v>
      </c>
      <c r="V164" s="39" t="s">
        <v>46</v>
      </c>
      <c r="W164" s="40" t="s">
        <v>0</v>
      </c>
      <c r="X164" s="58">
        <v>8.4</v>
      </c>
      <c r="Y164" s="55">
        <f t="shared" si="11"/>
        <v>8.4</v>
      </c>
      <c r="Z164" s="41">
        <f>IFERROR(IF(Y164=0,"",ROUNDUP(Y164/H164,0)*0.00502),"")</f>
        <v>2.5100000000000001E-2</v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8.9000000000000021</v>
      </c>
      <c r="BN164" s="78">
        <f t="shared" si="13"/>
        <v>8.9000000000000021</v>
      </c>
      <c r="BO164" s="78">
        <f t="shared" si="14"/>
        <v>2.1367521367521368E-2</v>
      </c>
      <c r="BP164" s="78">
        <f t="shared" si="15"/>
        <v>2.1367521367521368E-2</v>
      </c>
    </row>
    <row r="165" spans="1:68" x14ac:dyDescent="0.2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39.61904761904762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42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0.31084000000000001</v>
      </c>
      <c r="AA165" s="67"/>
      <c r="AB165" s="67"/>
      <c r="AC165" s="67"/>
    </row>
    <row r="166" spans="1:68" x14ac:dyDescent="0.2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2" t="s">
        <v>0</v>
      </c>
      <c r="X166" s="43">
        <f>IFERROR(SUM(X155:X164),"0")</f>
        <v>123.56000000000002</v>
      </c>
      <c r="Y166" s="43">
        <f>IFERROR(SUM(Y155:Y164),"0")</f>
        <v>133.56</v>
      </c>
      <c r="Z166" s="42"/>
      <c r="AA166" s="67"/>
      <c r="AB166" s="67"/>
      <c r="AC166" s="67"/>
    </row>
    <row r="167" spans="1:68" ht="14.25" customHeight="1" x14ac:dyDescent="0.25">
      <c r="A167" s="642" t="s">
        <v>87</v>
      </c>
      <c r="B167" s="642"/>
      <c r="C167" s="642"/>
      <c r="D167" s="642"/>
      <c r="E167" s="642"/>
      <c r="F167" s="642"/>
      <c r="G167" s="642"/>
      <c r="H167" s="642"/>
      <c r="I167" s="642"/>
      <c r="J167" s="642"/>
      <c r="K167" s="642"/>
      <c r="L167" s="642"/>
      <c r="M167" s="642"/>
      <c r="N167" s="642"/>
      <c r="O167" s="642"/>
      <c r="P167" s="642"/>
      <c r="Q167" s="642"/>
      <c r="R167" s="642"/>
      <c r="S167" s="642"/>
      <c r="T167" s="642"/>
      <c r="U167" s="642"/>
      <c r="V167" s="642"/>
      <c r="W167" s="642"/>
      <c r="X167" s="642"/>
      <c r="Y167" s="642"/>
      <c r="Z167" s="642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4301052064</v>
      </c>
      <c r="D168" s="643">
        <v>4680115887459</v>
      </c>
      <c r="E168" s="643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2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645"/>
      <c r="R168" s="645"/>
      <c r="S168" s="645"/>
      <c r="T168" s="64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52"/>
      <c r="P169" s="648" t="s">
        <v>40</v>
      </c>
      <c r="Q169" s="649"/>
      <c r="R169" s="649"/>
      <c r="S169" s="649"/>
      <c r="T169" s="649"/>
      <c r="U169" s="649"/>
      <c r="V169" s="650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651"/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2"/>
      <c r="P170" s="648" t="s">
        <v>40</v>
      </c>
      <c r="Q170" s="649"/>
      <c r="R170" s="649"/>
      <c r="S170" s="649"/>
      <c r="T170" s="649"/>
      <c r="U170" s="649"/>
      <c r="V170" s="650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customHeight="1" x14ac:dyDescent="0.2">
      <c r="A171" s="640" t="s">
        <v>293</v>
      </c>
      <c r="B171" s="640"/>
      <c r="C171" s="640"/>
      <c r="D171" s="640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  <c r="AA171" s="54"/>
      <c r="AB171" s="54"/>
      <c r="AC171" s="54"/>
    </row>
    <row r="172" spans="1:68" ht="16.5" customHeight="1" x14ac:dyDescent="0.25">
      <c r="A172" s="641" t="s">
        <v>294</v>
      </c>
      <c r="B172" s="641"/>
      <c r="C172" s="641"/>
      <c r="D172" s="641"/>
      <c r="E172" s="641"/>
      <c r="F172" s="641"/>
      <c r="G172" s="641"/>
      <c r="H172" s="641"/>
      <c r="I172" s="641"/>
      <c r="J172" s="641"/>
      <c r="K172" s="641"/>
      <c r="L172" s="641"/>
      <c r="M172" s="641"/>
      <c r="N172" s="641"/>
      <c r="O172" s="641"/>
      <c r="P172" s="641"/>
      <c r="Q172" s="641"/>
      <c r="R172" s="641"/>
      <c r="S172" s="641"/>
      <c r="T172" s="641"/>
      <c r="U172" s="641"/>
      <c r="V172" s="641"/>
      <c r="W172" s="641"/>
      <c r="X172" s="641"/>
      <c r="Y172" s="641"/>
      <c r="Z172" s="641"/>
      <c r="AA172" s="65"/>
      <c r="AB172" s="65"/>
      <c r="AC172" s="79"/>
    </row>
    <row r="173" spans="1:68" ht="14.25" customHeight="1" x14ac:dyDescent="0.25">
      <c r="A173" s="642" t="s">
        <v>156</v>
      </c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42"/>
      <c r="P173" s="642"/>
      <c r="Q173" s="642"/>
      <c r="R173" s="642"/>
      <c r="S173" s="642"/>
      <c r="T173" s="642"/>
      <c r="U173" s="642"/>
      <c r="V173" s="642"/>
      <c r="W173" s="642"/>
      <c r="X173" s="642"/>
      <c r="Y173" s="642"/>
      <c r="Z173" s="642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4301020323</v>
      </c>
      <c r="D174" s="643">
        <v>4680115886223</v>
      </c>
      <c r="E174" s="643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645"/>
      <c r="R174" s="645"/>
      <c r="S174" s="645"/>
      <c r="T174" s="646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x14ac:dyDescent="0.2">
      <c r="A175" s="651"/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2"/>
      <c r="P175" s="648" t="s">
        <v>40</v>
      </c>
      <c r="Q175" s="649"/>
      <c r="R175" s="649"/>
      <c r="S175" s="649"/>
      <c r="T175" s="649"/>
      <c r="U175" s="649"/>
      <c r="V175" s="650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651"/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2"/>
      <c r="P176" s="648" t="s">
        <v>40</v>
      </c>
      <c r="Q176" s="649"/>
      <c r="R176" s="649"/>
      <c r="S176" s="649"/>
      <c r="T176" s="649"/>
      <c r="U176" s="649"/>
      <c r="V176" s="650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customHeight="1" x14ac:dyDescent="0.25">
      <c r="A177" s="642" t="s">
        <v>77</v>
      </c>
      <c r="B177" s="642"/>
      <c r="C177" s="642"/>
      <c r="D177" s="642"/>
      <c r="E177" s="642"/>
      <c r="F177" s="642"/>
      <c r="G177" s="642"/>
      <c r="H177" s="642"/>
      <c r="I177" s="642"/>
      <c r="J177" s="642"/>
      <c r="K177" s="642"/>
      <c r="L177" s="642"/>
      <c r="M177" s="642"/>
      <c r="N177" s="642"/>
      <c r="O177" s="642"/>
      <c r="P177" s="642"/>
      <c r="Q177" s="642"/>
      <c r="R177" s="642"/>
      <c r="S177" s="642"/>
      <c r="T177" s="642"/>
      <c r="U177" s="642"/>
      <c r="V177" s="642"/>
      <c r="W177" s="642"/>
      <c r="X177" s="642"/>
      <c r="Y177" s="642"/>
      <c r="Z177" s="642"/>
      <c r="AA177" s="66"/>
      <c r="AB177" s="66"/>
      <c r="AC177" s="80"/>
    </row>
    <row r="178" spans="1:68" ht="27" customHeight="1" x14ac:dyDescent="0.25">
      <c r="A178" s="63" t="s">
        <v>298</v>
      </c>
      <c r="B178" s="63" t="s">
        <v>299</v>
      </c>
      <c r="C178" s="36">
        <v>4301031191</v>
      </c>
      <c r="D178" s="643">
        <v>4680115880993</v>
      </c>
      <c r="E178" s="643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645"/>
      <c r="R178" s="645"/>
      <c r="S178" s="645"/>
      <c r="T178" s="64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customHeight="1" x14ac:dyDescent="0.25">
      <c r="A179" s="63" t="s">
        <v>301</v>
      </c>
      <c r="B179" s="63" t="s">
        <v>302</v>
      </c>
      <c r="C179" s="36">
        <v>4301031204</v>
      </c>
      <c r="D179" s="643">
        <v>4680115881761</v>
      </c>
      <c r="E179" s="643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645"/>
      <c r="R179" s="645"/>
      <c r="S179" s="645"/>
      <c r="T179" s="64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304</v>
      </c>
      <c r="B180" s="63" t="s">
        <v>305</v>
      </c>
      <c r="C180" s="36">
        <v>4301031201</v>
      </c>
      <c r="D180" s="643">
        <v>4680115881563</v>
      </c>
      <c r="E180" s="643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645"/>
      <c r="R180" s="645"/>
      <c r="S180" s="645"/>
      <c r="T180" s="64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customHeight="1" x14ac:dyDescent="0.25">
      <c r="A181" s="63" t="s">
        <v>307</v>
      </c>
      <c r="B181" s="63" t="s">
        <v>308</v>
      </c>
      <c r="C181" s="36">
        <v>4301031447</v>
      </c>
      <c r="D181" s="643">
        <v>4680115887565</v>
      </c>
      <c r="E181" s="643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645"/>
      <c r="R181" s="645"/>
      <c r="S181" s="645"/>
      <c r="T181" s="64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310</v>
      </c>
      <c r="B182" s="63" t="s">
        <v>311</v>
      </c>
      <c r="C182" s="36">
        <v>4301031199</v>
      </c>
      <c r="D182" s="643">
        <v>4680115880986</v>
      </c>
      <c r="E182" s="643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645"/>
      <c r="R182" s="645"/>
      <c r="S182" s="645"/>
      <c r="T182" s="64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312</v>
      </c>
      <c r="B183" s="63" t="s">
        <v>313</v>
      </c>
      <c r="C183" s="36">
        <v>4301031443</v>
      </c>
      <c r="D183" s="643">
        <v>4680115887213</v>
      </c>
      <c r="E183" s="643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645"/>
      <c r="R183" s="645"/>
      <c r="S183" s="645"/>
      <c r="T183" s="64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315</v>
      </c>
      <c r="B184" s="63" t="s">
        <v>316</v>
      </c>
      <c r="C184" s="36">
        <v>4301031205</v>
      </c>
      <c r="D184" s="643">
        <v>4680115881785</v>
      </c>
      <c r="E184" s="643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645"/>
      <c r="R184" s="645"/>
      <c r="S184" s="645"/>
      <c r="T184" s="64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317</v>
      </c>
      <c r="B185" s="63" t="s">
        <v>318</v>
      </c>
      <c r="C185" s="36">
        <v>4301031499</v>
      </c>
      <c r="D185" s="643">
        <v>4680115888432</v>
      </c>
      <c r="E185" s="643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31" t="s">
        <v>319</v>
      </c>
      <c r="Q185" s="645"/>
      <c r="R185" s="645"/>
      <c r="S185" s="645"/>
      <c r="T185" s="64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customHeight="1" x14ac:dyDescent="0.25">
      <c r="A186" s="63" t="s">
        <v>321</v>
      </c>
      <c r="B186" s="63" t="s">
        <v>322</v>
      </c>
      <c r="C186" s="36">
        <v>4301031427</v>
      </c>
      <c r="D186" s="643">
        <v>4680115888104</v>
      </c>
      <c r="E186" s="643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645"/>
      <c r="R186" s="645"/>
      <c r="S186" s="645"/>
      <c r="T186" s="64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customHeight="1" x14ac:dyDescent="0.25">
      <c r="A187" s="63" t="s">
        <v>324</v>
      </c>
      <c r="B187" s="63" t="s">
        <v>325</v>
      </c>
      <c r="C187" s="36">
        <v>4301031399</v>
      </c>
      <c r="D187" s="643">
        <v>4680115886537</v>
      </c>
      <c r="E187" s="643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645"/>
      <c r="R187" s="645"/>
      <c r="S187" s="645"/>
      <c r="T187" s="64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customHeight="1" x14ac:dyDescent="0.25">
      <c r="A188" s="63" t="s">
        <v>327</v>
      </c>
      <c r="B188" s="63" t="s">
        <v>328</v>
      </c>
      <c r="C188" s="36">
        <v>4301031279</v>
      </c>
      <c r="D188" s="643">
        <v>4680115887596</v>
      </c>
      <c r="E188" s="643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645"/>
      <c r="R188" s="645"/>
      <c r="S188" s="645"/>
      <c r="T188" s="64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customHeight="1" x14ac:dyDescent="0.25">
      <c r="A189" s="63" t="s">
        <v>330</v>
      </c>
      <c r="B189" s="63" t="s">
        <v>331</v>
      </c>
      <c r="C189" s="36">
        <v>4301031202</v>
      </c>
      <c r="D189" s="643">
        <v>4680115881679</v>
      </c>
      <c r="E189" s="643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645"/>
      <c r="R189" s="645"/>
      <c r="S189" s="645"/>
      <c r="T189" s="64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customHeight="1" x14ac:dyDescent="0.25">
      <c r="A190" s="63" t="s">
        <v>332</v>
      </c>
      <c r="B190" s="63" t="s">
        <v>333</v>
      </c>
      <c r="C190" s="36">
        <v>4301031158</v>
      </c>
      <c r="D190" s="643">
        <v>4680115880191</v>
      </c>
      <c r="E190" s="643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645"/>
      <c r="R190" s="645"/>
      <c r="S190" s="645"/>
      <c r="T190" s="64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customHeight="1" x14ac:dyDescent="0.25">
      <c r="A191" s="63" t="s">
        <v>334</v>
      </c>
      <c r="B191" s="63" t="s">
        <v>335</v>
      </c>
      <c r="C191" s="36">
        <v>4301031245</v>
      </c>
      <c r="D191" s="643">
        <v>4680115883963</v>
      </c>
      <c r="E191" s="64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645"/>
      <c r="R191" s="645"/>
      <c r="S191" s="645"/>
      <c r="T191" s="64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customHeight="1" x14ac:dyDescent="0.25">
      <c r="A194" s="642" t="s">
        <v>110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6"/>
      <c r="AB194" s="66"/>
      <c r="AC194" s="80"/>
    </row>
    <row r="195" spans="1:68" ht="27" customHeight="1" x14ac:dyDescent="0.25">
      <c r="A195" s="63" t="s">
        <v>337</v>
      </c>
      <c r="B195" s="63" t="s">
        <v>338</v>
      </c>
      <c r="C195" s="36">
        <v>4301032053</v>
      </c>
      <c r="D195" s="643">
        <v>4680115886780</v>
      </c>
      <c r="E195" s="643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645"/>
      <c r="R195" s="645"/>
      <c r="S195" s="645"/>
      <c r="T195" s="64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4301032051</v>
      </c>
      <c r="D196" s="643">
        <v>4680115886742</v>
      </c>
      <c r="E196" s="643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645"/>
      <c r="R196" s="645"/>
      <c r="S196" s="645"/>
      <c r="T196" s="64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345</v>
      </c>
      <c r="B197" s="63" t="s">
        <v>346</v>
      </c>
      <c r="C197" s="36">
        <v>4301032052</v>
      </c>
      <c r="D197" s="643">
        <v>4680115886766</v>
      </c>
      <c r="E197" s="643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645"/>
      <c r="R197" s="645"/>
      <c r="S197" s="645"/>
      <c r="T197" s="64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customHeight="1" x14ac:dyDescent="0.25">
      <c r="A200" s="642" t="s">
        <v>347</v>
      </c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42"/>
      <c r="P200" s="642"/>
      <c r="Q200" s="642"/>
      <c r="R200" s="642"/>
      <c r="S200" s="642"/>
      <c r="T200" s="642"/>
      <c r="U200" s="642"/>
      <c r="V200" s="642"/>
      <c r="W200" s="642"/>
      <c r="X200" s="642"/>
      <c r="Y200" s="642"/>
      <c r="Z200" s="642"/>
      <c r="AA200" s="66"/>
      <c r="AB200" s="66"/>
      <c r="AC200" s="80"/>
    </row>
    <row r="201" spans="1:68" ht="27" customHeight="1" x14ac:dyDescent="0.25">
      <c r="A201" s="63" t="s">
        <v>348</v>
      </c>
      <c r="B201" s="63" t="s">
        <v>349</v>
      </c>
      <c r="C201" s="36">
        <v>4301170013</v>
      </c>
      <c r="D201" s="643">
        <v>4680115886797</v>
      </c>
      <c r="E201" s="643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645"/>
      <c r="R201" s="645"/>
      <c r="S201" s="645"/>
      <c r="T201" s="64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customHeight="1" x14ac:dyDescent="0.25">
      <c r="A204" s="641" t="s">
        <v>350</v>
      </c>
      <c r="B204" s="641"/>
      <c r="C204" s="641"/>
      <c r="D204" s="641"/>
      <c r="E204" s="641"/>
      <c r="F204" s="641"/>
      <c r="G204" s="641"/>
      <c r="H204" s="641"/>
      <c r="I204" s="641"/>
      <c r="J204" s="641"/>
      <c r="K204" s="641"/>
      <c r="L204" s="641"/>
      <c r="M204" s="641"/>
      <c r="N204" s="641"/>
      <c r="O204" s="641"/>
      <c r="P204" s="641"/>
      <c r="Q204" s="641"/>
      <c r="R204" s="641"/>
      <c r="S204" s="641"/>
      <c r="T204" s="641"/>
      <c r="U204" s="641"/>
      <c r="V204" s="641"/>
      <c r="W204" s="641"/>
      <c r="X204" s="641"/>
      <c r="Y204" s="641"/>
      <c r="Z204" s="641"/>
      <c r="AA204" s="65"/>
      <c r="AB204" s="65"/>
      <c r="AC204" s="79"/>
    </row>
    <row r="205" spans="1:68" ht="14.25" customHeight="1" x14ac:dyDescent="0.25">
      <c r="A205" s="642" t="s">
        <v>122</v>
      </c>
      <c r="B205" s="642"/>
      <c r="C205" s="642"/>
      <c r="D205" s="642"/>
      <c r="E205" s="642"/>
      <c r="F205" s="642"/>
      <c r="G205" s="642"/>
      <c r="H205" s="642"/>
      <c r="I205" s="642"/>
      <c r="J205" s="642"/>
      <c r="K205" s="642"/>
      <c r="L205" s="642"/>
      <c r="M205" s="642"/>
      <c r="N205" s="642"/>
      <c r="O205" s="642"/>
      <c r="P205" s="642"/>
      <c r="Q205" s="642"/>
      <c r="R205" s="642"/>
      <c r="S205" s="642"/>
      <c r="T205" s="642"/>
      <c r="U205" s="642"/>
      <c r="V205" s="642"/>
      <c r="W205" s="642"/>
      <c r="X205" s="642"/>
      <c r="Y205" s="642"/>
      <c r="Z205" s="642"/>
      <c r="AA205" s="66"/>
      <c r="AB205" s="66"/>
      <c r="AC205" s="80"/>
    </row>
    <row r="206" spans="1:68" ht="27" customHeight="1" x14ac:dyDescent="0.25">
      <c r="A206" s="63" t="s">
        <v>351</v>
      </c>
      <c r="B206" s="63" t="s">
        <v>352</v>
      </c>
      <c r="C206" s="36">
        <v>4301011450</v>
      </c>
      <c r="D206" s="643">
        <v>4680115881402</v>
      </c>
      <c r="E206" s="643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645"/>
      <c r="R206" s="645"/>
      <c r="S206" s="645"/>
      <c r="T206" s="646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customHeight="1" x14ac:dyDescent="0.25">
      <c r="A207" s="63" t="s">
        <v>354</v>
      </c>
      <c r="B207" s="63" t="s">
        <v>355</v>
      </c>
      <c r="C207" s="36">
        <v>4301011768</v>
      </c>
      <c r="D207" s="643">
        <v>4680115881396</v>
      </c>
      <c r="E207" s="643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645"/>
      <c r="R207" s="645"/>
      <c r="S207" s="645"/>
      <c r="T207" s="646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">
      <c r="A208" s="651"/>
      <c r="B208" s="651"/>
      <c r="C208" s="651"/>
      <c r="D208" s="651"/>
      <c r="E208" s="651"/>
      <c r="F208" s="651"/>
      <c r="G208" s="651"/>
      <c r="H208" s="651"/>
      <c r="I208" s="651"/>
      <c r="J208" s="651"/>
      <c r="K208" s="651"/>
      <c r="L208" s="651"/>
      <c r="M208" s="651"/>
      <c r="N208" s="651"/>
      <c r="O208" s="652"/>
      <c r="P208" s="648" t="s">
        <v>40</v>
      </c>
      <c r="Q208" s="649"/>
      <c r="R208" s="649"/>
      <c r="S208" s="649"/>
      <c r="T208" s="649"/>
      <c r="U208" s="649"/>
      <c r="V208" s="650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x14ac:dyDescent="0.2">
      <c r="A209" s="651"/>
      <c r="B209" s="651"/>
      <c r="C209" s="651"/>
      <c r="D209" s="651"/>
      <c r="E209" s="651"/>
      <c r="F209" s="651"/>
      <c r="G209" s="651"/>
      <c r="H209" s="651"/>
      <c r="I209" s="651"/>
      <c r="J209" s="651"/>
      <c r="K209" s="651"/>
      <c r="L209" s="651"/>
      <c r="M209" s="651"/>
      <c r="N209" s="651"/>
      <c r="O209" s="652"/>
      <c r="P209" s="648" t="s">
        <v>40</v>
      </c>
      <c r="Q209" s="649"/>
      <c r="R209" s="649"/>
      <c r="S209" s="649"/>
      <c r="T209" s="649"/>
      <c r="U209" s="649"/>
      <c r="V209" s="650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customHeight="1" x14ac:dyDescent="0.25">
      <c r="A210" s="642" t="s">
        <v>156</v>
      </c>
      <c r="B210" s="642"/>
      <c r="C210" s="642"/>
      <c r="D210" s="642"/>
      <c r="E210" s="642"/>
      <c r="F210" s="642"/>
      <c r="G210" s="642"/>
      <c r="H210" s="642"/>
      <c r="I210" s="642"/>
      <c r="J210" s="642"/>
      <c r="K210" s="642"/>
      <c r="L210" s="642"/>
      <c r="M210" s="642"/>
      <c r="N210" s="642"/>
      <c r="O210" s="642"/>
      <c r="P210" s="642"/>
      <c r="Q210" s="642"/>
      <c r="R210" s="642"/>
      <c r="S210" s="642"/>
      <c r="T210" s="642"/>
      <c r="U210" s="642"/>
      <c r="V210" s="642"/>
      <c r="W210" s="642"/>
      <c r="X210" s="642"/>
      <c r="Y210" s="642"/>
      <c r="Z210" s="642"/>
      <c r="AA210" s="66"/>
      <c r="AB210" s="66"/>
      <c r="AC210" s="80"/>
    </row>
    <row r="211" spans="1:68" ht="16.5" customHeight="1" x14ac:dyDescent="0.25">
      <c r="A211" s="63" t="s">
        <v>356</v>
      </c>
      <c r="B211" s="63" t="s">
        <v>357</v>
      </c>
      <c r="C211" s="36">
        <v>4301020261</v>
      </c>
      <c r="D211" s="643">
        <v>4680115882935</v>
      </c>
      <c r="E211" s="64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645"/>
      <c r="R211" s="645"/>
      <c r="S211" s="645"/>
      <c r="T211" s="646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customHeight="1" x14ac:dyDescent="0.25">
      <c r="A212" s="63" t="s">
        <v>359</v>
      </c>
      <c r="B212" s="63" t="s">
        <v>360</v>
      </c>
      <c r="C212" s="36">
        <v>4301020220</v>
      </c>
      <c r="D212" s="643">
        <v>4680115880764</v>
      </c>
      <c r="E212" s="643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645"/>
      <c r="R212" s="645"/>
      <c r="S212" s="645"/>
      <c r="T212" s="646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customHeight="1" x14ac:dyDescent="0.25">
      <c r="A215" s="642" t="s">
        <v>77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6"/>
      <c r="AB215" s="66"/>
      <c r="AC215" s="80"/>
    </row>
    <row r="216" spans="1:68" ht="27" customHeight="1" x14ac:dyDescent="0.25">
      <c r="A216" s="63" t="s">
        <v>361</v>
      </c>
      <c r="B216" s="63" t="s">
        <v>362</v>
      </c>
      <c r="C216" s="36">
        <v>4301031224</v>
      </c>
      <c r="D216" s="643">
        <v>4680115882683</v>
      </c>
      <c r="E216" s="643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645"/>
      <c r="R216" s="645"/>
      <c r="S216" s="645"/>
      <c r="T216" s="646"/>
      <c r="U216" s="39" t="s">
        <v>46</v>
      </c>
      <c r="V216" s="39" t="s">
        <v>46</v>
      </c>
      <c r="W216" s="40" t="s">
        <v>0</v>
      </c>
      <c r="X216" s="58">
        <v>75</v>
      </c>
      <c r="Y216" s="55">
        <f t="shared" ref="Y216:Y223" si="22">IFERROR(IF(X216="",0,CEILING((X216/$H216),1)*$H216),"")</f>
        <v>75.600000000000009</v>
      </c>
      <c r="Z216" s="41">
        <f>IFERROR(IF(Y216=0,"",ROUNDUP(Y216/H216,0)*0.00902),"")</f>
        <v>0.12628</v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77.638888888888886</v>
      </c>
      <c r="BN216" s="78">
        <f t="shared" ref="BN216:BN223" si="24">IFERROR(Y216*I216/H216,"0")</f>
        <v>78.260000000000005</v>
      </c>
      <c r="BO216" s="78">
        <f t="shared" ref="BO216:BO223" si="25">IFERROR(1/J216*(X216/H216),"0")</f>
        <v>0.10521885521885521</v>
      </c>
      <c r="BP216" s="78">
        <f t="shared" ref="BP216:BP223" si="26">IFERROR(1/J216*(Y216/H216),"0")</f>
        <v>0.10606060606060606</v>
      </c>
    </row>
    <row r="217" spans="1:68" ht="27" customHeight="1" x14ac:dyDescent="0.25">
      <c r="A217" s="63" t="s">
        <v>364</v>
      </c>
      <c r="B217" s="63" t="s">
        <v>365</v>
      </c>
      <c r="C217" s="36">
        <v>4301031230</v>
      </c>
      <c r="D217" s="643">
        <v>4680115882690</v>
      </c>
      <c r="E217" s="643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645"/>
      <c r="R217" s="645"/>
      <c r="S217" s="645"/>
      <c r="T217" s="646"/>
      <c r="U217" s="39" t="s">
        <v>46</v>
      </c>
      <c r="V217" s="39" t="s">
        <v>46</v>
      </c>
      <c r="W217" s="40" t="s">
        <v>0</v>
      </c>
      <c r="X217" s="58"/>
      <c r="Y217" s="55">
        <f t="shared" si="22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0</v>
      </c>
      <c r="BN217" s="78">
        <f t="shared" si="24"/>
        <v>0</v>
      </c>
      <c r="BO217" s="78">
        <f t="shared" si="25"/>
        <v>0</v>
      </c>
      <c r="BP217" s="78">
        <f t="shared" si="26"/>
        <v>0</v>
      </c>
    </row>
    <row r="218" spans="1:68" ht="27" customHeight="1" x14ac:dyDescent="0.25">
      <c r="A218" s="63" t="s">
        <v>367</v>
      </c>
      <c r="B218" s="63" t="s">
        <v>368</v>
      </c>
      <c r="C218" s="36">
        <v>4301031220</v>
      </c>
      <c r="D218" s="643">
        <v>4680115882669</v>
      </c>
      <c r="E218" s="643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645"/>
      <c r="R218" s="645"/>
      <c r="S218" s="645"/>
      <c r="T218" s="646"/>
      <c r="U218" s="39" t="s">
        <v>46</v>
      </c>
      <c r="V218" s="39" t="s">
        <v>46</v>
      </c>
      <c r="W218" s="40" t="s">
        <v>0</v>
      </c>
      <c r="X218" s="58"/>
      <c r="Y218" s="55">
        <f t="shared" si="22"/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0</v>
      </c>
      <c r="BN218" s="78">
        <f t="shared" si="24"/>
        <v>0</v>
      </c>
      <c r="BO218" s="78">
        <f t="shared" si="25"/>
        <v>0</v>
      </c>
      <c r="BP218" s="78">
        <f t="shared" si="26"/>
        <v>0</v>
      </c>
    </row>
    <row r="219" spans="1:68" ht="27" customHeight="1" x14ac:dyDescent="0.25">
      <c r="A219" s="63" t="s">
        <v>370</v>
      </c>
      <c r="B219" s="63" t="s">
        <v>371</v>
      </c>
      <c r="C219" s="36">
        <v>4301031221</v>
      </c>
      <c r="D219" s="643">
        <v>4680115882676</v>
      </c>
      <c r="E219" s="643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645"/>
      <c r="R219" s="645"/>
      <c r="S219" s="645"/>
      <c r="T219" s="646"/>
      <c r="U219" s="39" t="s">
        <v>46</v>
      </c>
      <c r="V219" s="39" t="s">
        <v>46</v>
      </c>
      <c r="W219" s="40" t="s">
        <v>0</v>
      </c>
      <c r="X219" s="58"/>
      <c r="Y219" s="55">
        <f t="shared" si="2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0</v>
      </c>
      <c r="BN219" s="78">
        <f t="shared" si="24"/>
        <v>0</v>
      </c>
      <c r="BO219" s="78">
        <f t="shared" si="25"/>
        <v>0</v>
      </c>
      <c r="BP219" s="78">
        <f t="shared" si="26"/>
        <v>0</v>
      </c>
    </row>
    <row r="220" spans="1:68" ht="27" customHeight="1" x14ac:dyDescent="0.25">
      <c r="A220" s="63" t="s">
        <v>373</v>
      </c>
      <c r="B220" s="63" t="s">
        <v>374</v>
      </c>
      <c r="C220" s="36">
        <v>4301031223</v>
      </c>
      <c r="D220" s="643">
        <v>4680115884014</v>
      </c>
      <c r="E220" s="643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645"/>
      <c r="R220" s="645"/>
      <c r="S220" s="645"/>
      <c r="T220" s="64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customHeight="1" x14ac:dyDescent="0.25">
      <c r="A221" s="63" t="s">
        <v>375</v>
      </c>
      <c r="B221" s="63" t="s">
        <v>376</v>
      </c>
      <c r="C221" s="36">
        <v>4301031222</v>
      </c>
      <c r="D221" s="643">
        <v>4680115884007</v>
      </c>
      <c r="E221" s="643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645"/>
      <c r="R221" s="645"/>
      <c r="S221" s="645"/>
      <c r="T221" s="64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4301031229</v>
      </c>
      <c r="D222" s="643">
        <v>4680115884038</v>
      </c>
      <c r="E222" s="643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645"/>
      <c r="R222" s="645"/>
      <c r="S222" s="645"/>
      <c r="T222" s="64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customHeight="1" x14ac:dyDescent="0.25">
      <c r="A223" s="63" t="s">
        <v>379</v>
      </c>
      <c r="B223" s="63" t="s">
        <v>380</v>
      </c>
      <c r="C223" s="36">
        <v>4301031225</v>
      </c>
      <c r="D223" s="643">
        <v>4680115884021</v>
      </c>
      <c r="E223" s="64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645"/>
      <c r="R223" s="645"/>
      <c r="S223" s="645"/>
      <c r="T223" s="64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 x14ac:dyDescent="0.2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13.888888888888888</v>
      </c>
      <c r="Y224" s="43">
        <f>IFERROR(Y216/H216,"0")+IFERROR(Y217/H217,"0")+IFERROR(Y218/H218,"0")+IFERROR(Y219/H219,"0")+IFERROR(Y220/H220,"0")+IFERROR(Y221/H221,"0")+IFERROR(Y222/H222,"0")+IFERROR(Y223/H223,"0")</f>
        <v>14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0.12628</v>
      </c>
      <c r="AA224" s="67"/>
      <c r="AB224" s="67"/>
      <c r="AC224" s="67"/>
    </row>
    <row r="225" spans="1:68" x14ac:dyDescent="0.2">
      <c r="A225" s="651"/>
      <c r="B225" s="651"/>
      <c r="C225" s="651"/>
      <c r="D225" s="651"/>
      <c r="E225" s="651"/>
      <c r="F225" s="651"/>
      <c r="G225" s="651"/>
      <c r="H225" s="651"/>
      <c r="I225" s="651"/>
      <c r="J225" s="651"/>
      <c r="K225" s="651"/>
      <c r="L225" s="651"/>
      <c r="M225" s="651"/>
      <c r="N225" s="651"/>
      <c r="O225" s="652"/>
      <c r="P225" s="648" t="s">
        <v>40</v>
      </c>
      <c r="Q225" s="649"/>
      <c r="R225" s="649"/>
      <c r="S225" s="649"/>
      <c r="T225" s="649"/>
      <c r="U225" s="649"/>
      <c r="V225" s="650"/>
      <c r="W225" s="42" t="s">
        <v>0</v>
      </c>
      <c r="X225" s="43">
        <f>IFERROR(SUM(X216:X223),"0")</f>
        <v>75</v>
      </c>
      <c r="Y225" s="43">
        <f>IFERROR(SUM(Y216:Y223),"0")</f>
        <v>75.600000000000009</v>
      </c>
      <c r="Z225" s="42"/>
      <c r="AA225" s="67"/>
      <c r="AB225" s="67"/>
      <c r="AC225" s="67"/>
    </row>
    <row r="226" spans="1:68" ht="14.25" customHeight="1" x14ac:dyDescent="0.25">
      <c r="A226" s="642" t="s">
        <v>87</v>
      </c>
      <c r="B226" s="642"/>
      <c r="C226" s="642"/>
      <c r="D226" s="642"/>
      <c r="E226" s="642"/>
      <c r="F226" s="642"/>
      <c r="G226" s="642"/>
      <c r="H226" s="642"/>
      <c r="I226" s="642"/>
      <c r="J226" s="642"/>
      <c r="K226" s="642"/>
      <c r="L226" s="642"/>
      <c r="M226" s="642"/>
      <c r="N226" s="642"/>
      <c r="O226" s="642"/>
      <c r="P226" s="642"/>
      <c r="Q226" s="642"/>
      <c r="R226" s="642"/>
      <c r="S226" s="642"/>
      <c r="T226" s="642"/>
      <c r="U226" s="642"/>
      <c r="V226" s="642"/>
      <c r="W226" s="642"/>
      <c r="X226" s="642"/>
      <c r="Y226" s="642"/>
      <c r="Z226" s="642"/>
      <c r="AA226" s="66"/>
      <c r="AB226" s="66"/>
      <c r="AC226" s="80"/>
    </row>
    <row r="227" spans="1:68" ht="37.5" customHeight="1" x14ac:dyDescent="0.25">
      <c r="A227" s="63" t="s">
        <v>381</v>
      </c>
      <c r="B227" s="63" t="s">
        <v>382</v>
      </c>
      <c r="C227" s="36">
        <v>4301051408</v>
      </c>
      <c r="D227" s="643">
        <v>4680115881594</v>
      </c>
      <c r="E227" s="643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645"/>
      <c r="R227" s="645"/>
      <c r="S227" s="645"/>
      <c r="T227" s="646"/>
      <c r="U227" s="39" t="s">
        <v>46</v>
      </c>
      <c r="V227" s="39" t="s">
        <v>46</v>
      </c>
      <c r="W227" s="40" t="s">
        <v>0</v>
      </c>
      <c r="X227" s="58">
        <v>15</v>
      </c>
      <c r="Y227" s="55">
        <f t="shared" ref="Y227:Y236" si="27">IFERROR(IF(X227="",0,CEILING((X227/$H227),1)*$H227),"")</f>
        <v>16.2</v>
      </c>
      <c r="Z227" s="41">
        <f>IFERROR(IF(Y227=0,"",ROUNDUP(Y227/H227,0)*0.01898),"")</f>
        <v>3.7960000000000001E-2</v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15.914814814814815</v>
      </c>
      <c r="BN227" s="78">
        <f t="shared" ref="BN227:BN236" si="29">IFERROR(Y227*I227/H227,"0")</f>
        <v>17.187999999999999</v>
      </c>
      <c r="BO227" s="78">
        <f t="shared" ref="BO227:BO236" si="30">IFERROR(1/J227*(X227/H227),"0")</f>
        <v>2.8935185185185185E-2</v>
      </c>
      <c r="BP227" s="78">
        <f t="shared" ref="BP227:BP236" si="31">IFERROR(1/J227*(Y227/H227),"0")</f>
        <v>3.125E-2</v>
      </c>
    </row>
    <row r="228" spans="1:68" ht="37.5" customHeight="1" x14ac:dyDescent="0.25">
      <c r="A228" s="63" t="s">
        <v>384</v>
      </c>
      <c r="B228" s="63" t="s">
        <v>385</v>
      </c>
      <c r="C228" s="36">
        <v>4301051411</v>
      </c>
      <c r="D228" s="643">
        <v>4680115881617</v>
      </c>
      <c r="E228" s="643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645"/>
      <c r="R228" s="645"/>
      <c r="S228" s="645"/>
      <c r="T228" s="646"/>
      <c r="U228" s="39" t="s">
        <v>46</v>
      </c>
      <c r="V228" s="39" t="s">
        <v>46</v>
      </c>
      <c r="W228" s="40" t="s">
        <v>0</v>
      </c>
      <c r="X228" s="58">
        <v>24</v>
      </c>
      <c r="Y228" s="55">
        <f t="shared" si="27"/>
        <v>24.299999999999997</v>
      </c>
      <c r="Z228" s="41">
        <f>IFERROR(IF(Y228=0,"",ROUNDUP(Y228/H228,0)*0.01898),"")</f>
        <v>5.6940000000000004E-2</v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25.410370370370373</v>
      </c>
      <c r="BN228" s="78">
        <f t="shared" si="29"/>
        <v>25.727999999999998</v>
      </c>
      <c r="BO228" s="78">
        <f t="shared" si="30"/>
        <v>4.6296296296296301E-2</v>
      </c>
      <c r="BP228" s="78">
        <f t="shared" si="31"/>
        <v>4.6875E-2</v>
      </c>
    </row>
    <row r="229" spans="1:68" ht="27" customHeight="1" x14ac:dyDescent="0.25">
      <c r="A229" s="63" t="s">
        <v>387</v>
      </c>
      <c r="B229" s="63" t="s">
        <v>388</v>
      </c>
      <c r="C229" s="36">
        <v>4301051656</v>
      </c>
      <c r="D229" s="643">
        <v>4680115880573</v>
      </c>
      <c r="E229" s="643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645"/>
      <c r="R229" s="645"/>
      <c r="S229" s="645"/>
      <c r="T229" s="64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4301051407</v>
      </c>
      <c r="D230" s="643">
        <v>4680115882195</v>
      </c>
      <c r="E230" s="643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645"/>
      <c r="R230" s="645"/>
      <c r="S230" s="645"/>
      <c r="T230" s="646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392</v>
      </c>
      <c r="B231" s="63" t="s">
        <v>393</v>
      </c>
      <c r="C231" s="36">
        <v>4301051752</v>
      </c>
      <c r="D231" s="643">
        <v>4680115882607</v>
      </c>
      <c r="E231" s="643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645"/>
      <c r="R231" s="645"/>
      <c r="S231" s="645"/>
      <c r="T231" s="64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 x14ac:dyDescent="0.25">
      <c r="A232" s="63" t="s">
        <v>394</v>
      </c>
      <c r="B232" s="63" t="s">
        <v>395</v>
      </c>
      <c r="C232" s="36">
        <v>4301051666</v>
      </c>
      <c r="D232" s="643">
        <v>4680115880092</v>
      </c>
      <c r="E232" s="643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5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645"/>
      <c r="R232" s="645"/>
      <c r="S232" s="645"/>
      <c r="T232" s="646"/>
      <c r="U232" s="39" t="s">
        <v>46</v>
      </c>
      <c r="V232" s="39" t="s">
        <v>46</v>
      </c>
      <c r="W232" s="40" t="s">
        <v>0</v>
      </c>
      <c r="X232" s="58">
        <v>7.2</v>
      </c>
      <c r="Y232" s="55">
        <f t="shared" si="27"/>
        <v>7.1999999999999993</v>
      </c>
      <c r="Z232" s="41">
        <f t="shared" si="32"/>
        <v>1.9529999999999999E-2</v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7.9560000000000004</v>
      </c>
      <c r="BN232" s="78">
        <f t="shared" si="29"/>
        <v>7.9560000000000004</v>
      </c>
      <c r="BO232" s="78">
        <f t="shared" si="30"/>
        <v>1.6483516483516484E-2</v>
      </c>
      <c r="BP232" s="78">
        <f t="shared" si="31"/>
        <v>1.6483516483516484E-2</v>
      </c>
    </row>
    <row r="233" spans="1:68" ht="27" customHeight="1" x14ac:dyDescent="0.25">
      <c r="A233" s="63" t="s">
        <v>396</v>
      </c>
      <c r="B233" s="63" t="s">
        <v>397</v>
      </c>
      <c r="C233" s="36">
        <v>4301051668</v>
      </c>
      <c r="D233" s="643">
        <v>4680115880221</v>
      </c>
      <c r="E233" s="643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6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645"/>
      <c r="R233" s="645"/>
      <c r="S233" s="645"/>
      <c r="T233" s="64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398</v>
      </c>
      <c r="B234" s="63" t="s">
        <v>399</v>
      </c>
      <c r="C234" s="36">
        <v>4301051945</v>
      </c>
      <c r="D234" s="643">
        <v>4680115880504</v>
      </c>
      <c r="E234" s="643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645"/>
      <c r="R234" s="645"/>
      <c r="S234" s="645"/>
      <c r="T234" s="64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customHeight="1" x14ac:dyDescent="0.25">
      <c r="A235" s="63" t="s">
        <v>401</v>
      </c>
      <c r="B235" s="63" t="s">
        <v>402</v>
      </c>
      <c r="C235" s="36">
        <v>4301051410</v>
      </c>
      <c r="D235" s="643">
        <v>4680115882164</v>
      </c>
      <c r="E235" s="643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645"/>
      <c r="R235" s="645"/>
      <c r="S235" s="645"/>
      <c r="T235" s="64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customHeight="1" x14ac:dyDescent="0.25">
      <c r="A236" s="63" t="s">
        <v>404</v>
      </c>
      <c r="B236" s="63" t="s">
        <v>405</v>
      </c>
      <c r="C236" s="36">
        <v>4301052180</v>
      </c>
      <c r="D236" s="643">
        <v>4680115888340</v>
      </c>
      <c r="E236" s="643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63" t="s">
        <v>406</v>
      </c>
      <c r="Q236" s="645"/>
      <c r="R236" s="645"/>
      <c r="S236" s="645"/>
      <c r="T236" s="64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x14ac:dyDescent="0.2">
      <c r="A237" s="651"/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2"/>
      <c r="P237" s="648" t="s">
        <v>40</v>
      </c>
      <c r="Q237" s="649"/>
      <c r="R237" s="649"/>
      <c r="S237" s="649"/>
      <c r="T237" s="649"/>
      <c r="U237" s="649"/>
      <c r="V237" s="650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7.8148148148148149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8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0.11443</v>
      </c>
      <c r="AA237" s="67"/>
      <c r="AB237" s="67"/>
      <c r="AC237" s="67"/>
    </row>
    <row r="238" spans="1:68" x14ac:dyDescent="0.2">
      <c r="A238" s="651"/>
      <c r="B238" s="651"/>
      <c r="C238" s="651"/>
      <c r="D238" s="651"/>
      <c r="E238" s="651"/>
      <c r="F238" s="651"/>
      <c r="G238" s="651"/>
      <c r="H238" s="651"/>
      <c r="I238" s="651"/>
      <c r="J238" s="651"/>
      <c r="K238" s="651"/>
      <c r="L238" s="651"/>
      <c r="M238" s="651"/>
      <c r="N238" s="651"/>
      <c r="O238" s="652"/>
      <c r="P238" s="648" t="s">
        <v>40</v>
      </c>
      <c r="Q238" s="649"/>
      <c r="R238" s="649"/>
      <c r="S238" s="649"/>
      <c r="T238" s="649"/>
      <c r="U238" s="649"/>
      <c r="V238" s="650"/>
      <c r="W238" s="42" t="s">
        <v>0</v>
      </c>
      <c r="X238" s="43">
        <f>IFERROR(SUM(X227:X236),"0")</f>
        <v>46.2</v>
      </c>
      <c r="Y238" s="43">
        <f>IFERROR(SUM(Y227:Y236),"0")</f>
        <v>47.7</v>
      </c>
      <c r="Z238" s="42"/>
      <c r="AA238" s="67"/>
      <c r="AB238" s="67"/>
      <c r="AC238" s="67"/>
    </row>
    <row r="239" spans="1:68" ht="14.25" customHeight="1" x14ac:dyDescent="0.25">
      <c r="A239" s="642" t="s">
        <v>176</v>
      </c>
      <c r="B239" s="642"/>
      <c r="C239" s="642"/>
      <c r="D239" s="642"/>
      <c r="E239" s="642"/>
      <c r="F239" s="642"/>
      <c r="G239" s="642"/>
      <c r="H239" s="642"/>
      <c r="I239" s="642"/>
      <c r="J239" s="642"/>
      <c r="K239" s="642"/>
      <c r="L239" s="642"/>
      <c r="M239" s="642"/>
      <c r="N239" s="642"/>
      <c r="O239" s="642"/>
      <c r="P239" s="642"/>
      <c r="Q239" s="642"/>
      <c r="R239" s="642"/>
      <c r="S239" s="642"/>
      <c r="T239" s="642"/>
      <c r="U239" s="642"/>
      <c r="V239" s="642"/>
      <c r="W239" s="642"/>
      <c r="X239" s="642"/>
      <c r="Y239" s="642"/>
      <c r="Z239" s="642"/>
      <c r="AA239" s="66"/>
      <c r="AB239" s="66"/>
      <c r="AC239" s="80"/>
    </row>
    <row r="240" spans="1:68" ht="27" customHeight="1" x14ac:dyDescent="0.25">
      <c r="A240" s="63" t="s">
        <v>408</v>
      </c>
      <c r="B240" s="63" t="s">
        <v>409</v>
      </c>
      <c r="C240" s="36">
        <v>4301060463</v>
      </c>
      <c r="D240" s="643">
        <v>4680115880818</v>
      </c>
      <c r="E240" s="643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645"/>
      <c r="R240" s="645"/>
      <c r="S240" s="645"/>
      <c r="T240" s="64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customHeight="1" x14ac:dyDescent="0.25">
      <c r="A241" s="63" t="s">
        <v>411</v>
      </c>
      <c r="B241" s="63" t="s">
        <v>412</v>
      </c>
      <c r="C241" s="36">
        <v>4301060389</v>
      </c>
      <c r="D241" s="643">
        <v>4680115880801</v>
      </c>
      <c r="E241" s="643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645"/>
      <c r="R241" s="645"/>
      <c r="S241" s="645"/>
      <c r="T241" s="64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51"/>
      <c r="B242" s="651"/>
      <c r="C242" s="651"/>
      <c r="D242" s="651"/>
      <c r="E242" s="651"/>
      <c r="F242" s="651"/>
      <c r="G242" s="651"/>
      <c r="H242" s="651"/>
      <c r="I242" s="651"/>
      <c r="J242" s="651"/>
      <c r="K242" s="651"/>
      <c r="L242" s="651"/>
      <c r="M242" s="651"/>
      <c r="N242" s="651"/>
      <c r="O242" s="652"/>
      <c r="P242" s="648" t="s">
        <v>40</v>
      </c>
      <c r="Q242" s="649"/>
      <c r="R242" s="649"/>
      <c r="S242" s="649"/>
      <c r="T242" s="649"/>
      <c r="U242" s="649"/>
      <c r="V242" s="650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customHeight="1" x14ac:dyDescent="0.25">
      <c r="A244" s="641" t="s">
        <v>414</v>
      </c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1"/>
      <c r="P244" s="641"/>
      <c r="Q244" s="641"/>
      <c r="R244" s="641"/>
      <c r="S244" s="641"/>
      <c r="T244" s="641"/>
      <c r="U244" s="641"/>
      <c r="V244" s="641"/>
      <c r="W244" s="641"/>
      <c r="X244" s="641"/>
      <c r="Y244" s="641"/>
      <c r="Z244" s="641"/>
      <c r="AA244" s="65"/>
      <c r="AB244" s="65"/>
      <c r="AC244" s="79"/>
    </row>
    <row r="245" spans="1:68" ht="14.25" customHeight="1" x14ac:dyDescent="0.25">
      <c r="A245" s="642" t="s">
        <v>122</v>
      </c>
      <c r="B245" s="642"/>
      <c r="C245" s="642"/>
      <c r="D245" s="642"/>
      <c r="E245" s="642"/>
      <c r="F245" s="642"/>
      <c r="G245" s="642"/>
      <c r="H245" s="642"/>
      <c r="I245" s="642"/>
      <c r="J245" s="642"/>
      <c r="K245" s="642"/>
      <c r="L245" s="642"/>
      <c r="M245" s="642"/>
      <c r="N245" s="642"/>
      <c r="O245" s="642"/>
      <c r="P245" s="642"/>
      <c r="Q245" s="642"/>
      <c r="R245" s="642"/>
      <c r="S245" s="642"/>
      <c r="T245" s="642"/>
      <c r="U245" s="642"/>
      <c r="V245" s="642"/>
      <c r="W245" s="642"/>
      <c r="X245" s="642"/>
      <c r="Y245" s="642"/>
      <c r="Z245" s="642"/>
      <c r="AA245" s="66"/>
      <c r="AB245" s="66"/>
      <c r="AC245" s="80"/>
    </row>
    <row r="246" spans="1:68" ht="27" customHeight="1" x14ac:dyDescent="0.25">
      <c r="A246" s="63" t="s">
        <v>415</v>
      </c>
      <c r="B246" s="63" t="s">
        <v>416</v>
      </c>
      <c r="C246" s="36">
        <v>4301011826</v>
      </c>
      <c r="D246" s="643">
        <v>4680115884137</v>
      </c>
      <c r="E246" s="643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6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645"/>
      <c r="R246" s="645"/>
      <c r="S246" s="645"/>
      <c r="T246" s="64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customHeight="1" x14ac:dyDescent="0.25">
      <c r="A247" s="63" t="s">
        <v>418</v>
      </c>
      <c r="B247" s="63" t="s">
        <v>419</v>
      </c>
      <c r="C247" s="36">
        <v>4301011724</v>
      </c>
      <c r="D247" s="643">
        <v>4680115884236</v>
      </c>
      <c r="E247" s="643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645"/>
      <c r="R247" s="645"/>
      <c r="S247" s="645"/>
      <c r="T247" s="64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customHeight="1" x14ac:dyDescent="0.25">
      <c r="A248" s="63" t="s">
        <v>421</v>
      </c>
      <c r="B248" s="63" t="s">
        <v>422</v>
      </c>
      <c r="C248" s="36">
        <v>4301011721</v>
      </c>
      <c r="D248" s="643">
        <v>4680115884175</v>
      </c>
      <c r="E248" s="643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645"/>
      <c r="R248" s="645"/>
      <c r="S248" s="645"/>
      <c r="T248" s="646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customHeight="1" x14ac:dyDescent="0.25">
      <c r="A249" s="63" t="s">
        <v>424</v>
      </c>
      <c r="B249" s="63" t="s">
        <v>425</v>
      </c>
      <c r="C249" s="36">
        <v>4301011824</v>
      </c>
      <c r="D249" s="643">
        <v>4680115884144</v>
      </c>
      <c r="E249" s="643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645"/>
      <c r="R249" s="645"/>
      <c r="S249" s="645"/>
      <c r="T249" s="646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customHeight="1" x14ac:dyDescent="0.25">
      <c r="A250" s="63" t="s">
        <v>426</v>
      </c>
      <c r="B250" s="63" t="s">
        <v>427</v>
      </c>
      <c r="C250" s="36">
        <v>4301012149</v>
      </c>
      <c r="D250" s="643">
        <v>4680115886551</v>
      </c>
      <c r="E250" s="643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645"/>
      <c r="R250" s="645"/>
      <c r="S250" s="645"/>
      <c r="T250" s="646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customHeight="1" x14ac:dyDescent="0.25">
      <c r="A251" s="63" t="s">
        <v>429</v>
      </c>
      <c r="B251" s="63" t="s">
        <v>430</v>
      </c>
      <c r="C251" s="36">
        <v>4301012228</v>
      </c>
      <c r="D251" s="643">
        <v>4680115887282</v>
      </c>
      <c r="E251" s="643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645"/>
      <c r="R251" s="645"/>
      <c r="S251" s="645"/>
      <c r="T251" s="646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customHeight="1" x14ac:dyDescent="0.25">
      <c r="A252" s="63" t="s">
        <v>432</v>
      </c>
      <c r="B252" s="63" t="s">
        <v>433</v>
      </c>
      <c r="C252" s="36">
        <v>4301011722</v>
      </c>
      <c r="D252" s="643">
        <v>4680115884205</v>
      </c>
      <c r="E252" s="643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645"/>
      <c r="R252" s="645"/>
      <c r="S252" s="645"/>
      <c r="T252" s="646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customHeight="1" x14ac:dyDescent="0.25">
      <c r="A255" s="642" t="s">
        <v>156</v>
      </c>
      <c r="B255" s="642"/>
      <c r="C255" s="642"/>
      <c r="D255" s="642"/>
      <c r="E255" s="642"/>
      <c r="F255" s="642"/>
      <c r="G255" s="642"/>
      <c r="H255" s="642"/>
      <c r="I255" s="642"/>
      <c r="J255" s="642"/>
      <c r="K255" s="642"/>
      <c r="L255" s="642"/>
      <c r="M255" s="642"/>
      <c r="N255" s="642"/>
      <c r="O255" s="642"/>
      <c r="P255" s="642"/>
      <c r="Q255" s="642"/>
      <c r="R255" s="642"/>
      <c r="S255" s="642"/>
      <c r="T255" s="642"/>
      <c r="U255" s="642"/>
      <c r="V255" s="642"/>
      <c r="W255" s="642"/>
      <c r="X255" s="642"/>
      <c r="Y255" s="642"/>
      <c r="Z255" s="642"/>
      <c r="AA255" s="66"/>
      <c r="AB255" s="66"/>
      <c r="AC255" s="80"/>
    </row>
    <row r="256" spans="1:68" ht="27" customHeight="1" x14ac:dyDescent="0.25">
      <c r="A256" s="63" t="s">
        <v>434</v>
      </c>
      <c r="B256" s="63" t="s">
        <v>435</v>
      </c>
      <c r="C256" s="36">
        <v>4301020377</v>
      </c>
      <c r="D256" s="643">
        <v>4680115885981</v>
      </c>
      <c r="E256" s="643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7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645"/>
      <c r="R256" s="645"/>
      <c r="S256" s="645"/>
      <c r="T256" s="64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customHeight="1" x14ac:dyDescent="0.25">
      <c r="A259" s="642" t="s">
        <v>437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6"/>
      <c r="AB259" s="66"/>
      <c r="AC259" s="80"/>
    </row>
    <row r="260" spans="1:68" ht="27" customHeight="1" x14ac:dyDescent="0.25">
      <c r="A260" s="63" t="s">
        <v>438</v>
      </c>
      <c r="B260" s="63" t="s">
        <v>439</v>
      </c>
      <c r="C260" s="36">
        <v>4301040362</v>
      </c>
      <c r="D260" s="643">
        <v>4680115886803</v>
      </c>
      <c r="E260" s="643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645"/>
      <c r="R260" s="645"/>
      <c r="S260" s="645"/>
      <c r="T260" s="64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51"/>
      <c r="B261" s="651"/>
      <c r="C261" s="651"/>
      <c r="D261" s="651"/>
      <c r="E261" s="651"/>
      <c r="F261" s="651"/>
      <c r="G261" s="651"/>
      <c r="H261" s="651"/>
      <c r="I261" s="651"/>
      <c r="J261" s="651"/>
      <c r="K261" s="651"/>
      <c r="L261" s="651"/>
      <c r="M261" s="651"/>
      <c r="N261" s="651"/>
      <c r="O261" s="652"/>
      <c r="P261" s="648" t="s">
        <v>40</v>
      </c>
      <c r="Q261" s="649"/>
      <c r="R261" s="649"/>
      <c r="S261" s="649"/>
      <c r="T261" s="649"/>
      <c r="U261" s="649"/>
      <c r="V261" s="650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 x14ac:dyDescent="0.2">
      <c r="A262" s="651"/>
      <c r="B262" s="651"/>
      <c r="C262" s="651"/>
      <c r="D262" s="651"/>
      <c r="E262" s="651"/>
      <c r="F262" s="651"/>
      <c r="G262" s="651"/>
      <c r="H262" s="651"/>
      <c r="I262" s="651"/>
      <c r="J262" s="651"/>
      <c r="K262" s="651"/>
      <c r="L262" s="651"/>
      <c r="M262" s="651"/>
      <c r="N262" s="651"/>
      <c r="O262" s="652"/>
      <c r="P262" s="648" t="s">
        <v>40</v>
      </c>
      <c r="Q262" s="649"/>
      <c r="R262" s="649"/>
      <c r="S262" s="649"/>
      <c r="T262" s="649"/>
      <c r="U262" s="649"/>
      <c r="V262" s="650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customHeight="1" x14ac:dyDescent="0.25">
      <c r="A263" s="642" t="s">
        <v>441</v>
      </c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42"/>
      <c r="P263" s="642"/>
      <c r="Q263" s="642"/>
      <c r="R263" s="642"/>
      <c r="S263" s="642"/>
      <c r="T263" s="642"/>
      <c r="U263" s="642"/>
      <c r="V263" s="642"/>
      <c r="W263" s="642"/>
      <c r="X263" s="642"/>
      <c r="Y263" s="642"/>
      <c r="Z263" s="642"/>
      <c r="AA263" s="66"/>
      <c r="AB263" s="66"/>
      <c r="AC263" s="80"/>
    </row>
    <row r="264" spans="1:68" ht="27" customHeight="1" x14ac:dyDescent="0.25">
      <c r="A264" s="63" t="s">
        <v>442</v>
      </c>
      <c r="B264" s="63" t="s">
        <v>443</v>
      </c>
      <c r="C264" s="36">
        <v>4301041004</v>
      </c>
      <c r="D264" s="643">
        <v>4680115886704</v>
      </c>
      <c r="E264" s="643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645"/>
      <c r="R264" s="645"/>
      <c r="S264" s="645"/>
      <c r="T264" s="64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445</v>
      </c>
      <c r="B265" s="63" t="s">
        <v>446</v>
      </c>
      <c r="C265" s="36">
        <v>4301041008</v>
      </c>
      <c r="D265" s="643">
        <v>4680115886681</v>
      </c>
      <c r="E265" s="643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645"/>
      <c r="R265" s="645"/>
      <c r="S265" s="645"/>
      <c r="T265" s="64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4301041007</v>
      </c>
      <c r="D266" s="643">
        <v>4680115886735</v>
      </c>
      <c r="E266" s="643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645"/>
      <c r="R266" s="645"/>
      <c r="S266" s="645"/>
      <c r="T266" s="64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4301041006</v>
      </c>
      <c r="D267" s="643">
        <v>4680115886728</v>
      </c>
      <c r="E267" s="643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645"/>
      <c r="R267" s="645"/>
      <c r="S267" s="645"/>
      <c r="T267" s="64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customHeight="1" x14ac:dyDescent="0.25">
      <c r="A268" s="63" t="s">
        <v>451</v>
      </c>
      <c r="B268" s="63" t="s">
        <v>452</v>
      </c>
      <c r="C268" s="36">
        <v>4301041005</v>
      </c>
      <c r="D268" s="643">
        <v>4680115886711</v>
      </c>
      <c r="E268" s="643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7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645"/>
      <c r="R268" s="645"/>
      <c r="S268" s="645"/>
      <c r="T268" s="64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customHeight="1" x14ac:dyDescent="0.25">
      <c r="A271" s="641" t="s">
        <v>453</v>
      </c>
      <c r="B271" s="641"/>
      <c r="C271" s="641"/>
      <c r="D271" s="641"/>
      <c r="E271" s="641"/>
      <c r="F271" s="641"/>
      <c r="G271" s="641"/>
      <c r="H271" s="641"/>
      <c r="I271" s="641"/>
      <c r="J271" s="641"/>
      <c r="K271" s="641"/>
      <c r="L271" s="641"/>
      <c r="M271" s="641"/>
      <c r="N271" s="641"/>
      <c r="O271" s="641"/>
      <c r="P271" s="641"/>
      <c r="Q271" s="641"/>
      <c r="R271" s="641"/>
      <c r="S271" s="641"/>
      <c r="T271" s="641"/>
      <c r="U271" s="641"/>
      <c r="V271" s="641"/>
      <c r="W271" s="641"/>
      <c r="X271" s="641"/>
      <c r="Y271" s="641"/>
      <c r="Z271" s="641"/>
      <c r="AA271" s="65"/>
      <c r="AB271" s="65"/>
      <c r="AC271" s="79"/>
    </row>
    <row r="272" spans="1:68" ht="14.25" customHeight="1" x14ac:dyDescent="0.25">
      <c r="A272" s="642" t="s">
        <v>122</v>
      </c>
      <c r="B272" s="642"/>
      <c r="C272" s="642"/>
      <c r="D272" s="642"/>
      <c r="E272" s="642"/>
      <c r="F272" s="642"/>
      <c r="G272" s="642"/>
      <c r="H272" s="642"/>
      <c r="I272" s="642"/>
      <c r="J272" s="642"/>
      <c r="K272" s="642"/>
      <c r="L272" s="642"/>
      <c r="M272" s="642"/>
      <c r="N272" s="642"/>
      <c r="O272" s="642"/>
      <c r="P272" s="642"/>
      <c r="Q272" s="642"/>
      <c r="R272" s="642"/>
      <c r="S272" s="642"/>
      <c r="T272" s="642"/>
      <c r="U272" s="642"/>
      <c r="V272" s="642"/>
      <c r="W272" s="642"/>
      <c r="X272" s="642"/>
      <c r="Y272" s="642"/>
      <c r="Z272" s="642"/>
      <c r="AA272" s="66"/>
      <c r="AB272" s="66"/>
      <c r="AC272" s="80"/>
    </row>
    <row r="273" spans="1:68" ht="27" customHeight="1" x14ac:dyDescent="0.25">
      <c r="A273" s="63" t="s">
        <v>454</v>
      </c>
      <c r="B273" s="63" t="s">
        <v>455</v>
      </c>
      <c r="C273" s="36">
        <v>4301011855</v>
      </c>
      <c r="D273" s="643">
        <v>4680115885837</v>
      </c>
      <c r="E273" s="64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645"/>
      <c r="R273" s="645"/>
      <c r="S273" s="645"/>
      <c r="T273" s="646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457</v>
      </c>
      <c r="B274" s="63" t="s">
        <v>458</v>
      </c>
      <c r="C274" s="36">
        <v>4301012234</v>
      </c>
      <c r="D274" s="643">
        <v>4680115887237</v>
      </c>
      <c r="E274" s="64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645"/>
      <c r="R274" s="645"/>
      <c r="S274" s="645"/>
      <c r="T274" s="646"/>
      <c r="U274" s="39" t="s">
        <v>46</v>
      </c>
      <c r="V274" s="39" t="s">
        <v>46</v>
      </c>
      <c r="W274" s="40" t="s">
        <v>0</v>
      </c>
      <c r="X274" s="58">
        <v>20</v>
      </c>
      <c r="Y274" s="55">
        <f>IFERROR(IF(X274="",0,CEILING((X274/$H274),1)*$H274),"")</f>
        <v>21.6</v>
      </c>
      <c r="Z274" s="41">
        <f>IFERROR(IF(Y274=0,"",ROUNDUP(Y274/H274,0)*0.01898),"")</f>
        <v>3.7960000000000001E-2</v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20.75925925925926</v>
      </c>
      <c r="BN274" s="78">
        <f>IFERROR(Y274*I274/H274,"0")</f>
        <v>22.42</v>
      </c>
      <c r="BO274" s="78">
        <f>IFERROR(1/J274*(X274/H274),"0")</f>
        <v>2.8935185185185182E-2</v>
      </c>
      <c r="BP274" s="78">
        <f>IFERROR(1/J274*(Y274/H274),"0")</f>
        <v>3.125E-2</v>
      </c>
    </row>
    <row r="275" spans="1:68" ht="27" customHeight="1" x14ac:dyDescent="0.25">
      <c r="A275" s="63" t="s">
        <v>460</v>
      </c>
      <c r="B275" s="63" t="s">
        <v>461</v>
      </c>
      <c r="C275" s="36">
        <v>4301011850</v>
      </c>
      <c r="D275" s="643">
        <v>4680115885806</v>
      </c>
      <c r="E275" s="643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645"/>
      <c r="R275" s="645"/>
      <c r="S275" s="645"/>
      <c r="T275" s="646"/>
      <c r="U275" s="39" t="s">
        <v>46</v>
      </c>
      <c r="V275" s="39" t="s">
        <v>46</v>
      </c>
      <c r="W275" s="40" t="s">
        <v>0</v>
      </c>
      <c r="X275" s="58">
        <v>60</v>
      </c>
      <c r="Y275" s="55">
        <f>IFERROR(IF(X275="",0,CEILING((X275/$H275),1)*$H275),"")</f>
        <v>64.800000000000011</v>
      </c>
      <c r="Z275" s="41">
        <f>IFERROR(IF(Y275=0,"",ROUNDUP(Y275/H275,0)*0.01898),"")</f>
        <v>0.11388000000000001</v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62.277777777777779</v>
      </c>
      <c r="BN275" s="78">
        <f>IFERROR(Y275*I275/H275,"0")</f>
        <v>67.260000000000005</v>
      </c>
      <c r="BO275" s="78">
        <f>IFERROR(1/J275*(X275/H275),"0")</f>
        <v>8.6805555555555552E-2</v>
      </c>
      <c r="BP275" s="78">
        <f>IFERROR(1/J275*(Y275/H275),"0")</f>
        <v>9.3750000000000014E-2</v>
      </c>
    </row>
    <row r="276" spans="1:68" ht="27" customHeight="1" x14ac:dyDescent="0.25">
      <c r="A276" s="63" t="s">
        <v>463</v>
      </c>
      <c r="B276" s="63" t="s">
        <v>464</v>
      </c>
      <c r="C276" s="36">
        <v>4301011852</v>
      </c>
      <c r="D276" s="643">
        <v>4680115885844</v>
      </c>
      <c r="E276" s="643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645"/>
      <c r="R276" s="645"/>
      <c r="S276" s="645"/>
      <c r="T276" s="646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customHeight="1" x14ac:dyDescent="0.25">
      <c r="A277" s="63" t="s">
        <v>466</v>
      </c>
      <c r="B277" s="63" t="s">
        <v>467</v>
      </c>
      <c r="C277" s="36">
        <v>4301011851</v>
      </c>
      <c r="D277" s="643">
        <v>4680115885820</v>
      </c>
      <c r="E277" s="643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7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645"/>
      <c r="R277" s="645"/>
      <c r="S277" s="645"/>
      <c r="T277" s="646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x14ac:dyDescent="0.2">
      <c r="A278" s="651"/>
      <c r="B278" s="651"/>
      <c r="C278" s="651"/>
      <c r="D278" s="651"/>
      <c r="E278" s="651"/>
      <c r="F278" s="651"/>
      <c r="G278" s="651"/>
      <c r="H278" s="651"/>
      <c r="I278" s="651"/>
      <c r="J278" s="651"/>
      <c r="K278" s="651"/>
      <c r="L278" s="651"/>
      <c r="M278" s="651"/>
      <c r="N278" s="651"/>
      <c r="O278" s="652"/>
      <c r="P278" s="648" t="s">
        <v>40</v>
      </c>
      <c r="Q278" s="649"/>
      <c r="R278" s="649"/>
      <c r="S278" s="649"/>
      <c r="T278" s="649"/>
      <c r="U278" s="649"/>
      <c r="V278" s="650"/>
      <c r="W278" s="42" t="s">
        <v>39</v>
      </c>
      <c r="X278" s="43">
        <f>IFERROR(X273/H273,"0")+IFERROR(X274/H274,"0")+IFERROR(X275/H275,"0")+IFERROR(X276/H276,"0")+IFERROR(X277/H277,"0")</f>
        <v>7.4074074074074066</v>
      </c>
      <c r="Y278" s="43">
        <f>IFERROR(Y273/H273,"0")+IFERROR(Y274/H274,"0")+IFERROR(Y275/H275,"0")+IFERROR(Y276/H276,"0")+IFERROR(Y277/H277,"0")</f>
        <v>8</v>
      </c>
      <c r="Z278" s="43">
        <f>IFERROR(IF(Z273="",0,Z273),"0")+IFERROR(IF(Z274="",0,Z274),"0")+IFERROR(IF(Z275="",0,Z275),"0")+IFERROR(IF(Z276="",0,Z276),"0")+IFERROR(IF(Z277="",0,Z277),"0")</f>
        <v>0.15184</v>
      </c>
      <c r="AA278" s="67"/>
      <c r="AB278" s="67"/>
      <c r="AC278" s="67"/>
    </row>
    <row r="279" spans="1:68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2" t="s">
        <v>0</v>
      </c>
      <c r="X279" s="43">
        <f>IFERROR(SUM(X273:X277),"0")</f>
        <v>80</v>
      </c>
      <c r="Y279" s="43">
        <f>IFERROR(SUM(Y273:Y277),"0")</f>
        <v>86.4</v>
      </c>
      <c r="Z279" s="42"/>
      <c r="AA279" s="67"/>
      <c r="AB279" s="67"/>
      <c r="AC279" s="67"/>
    </row>
    <row r="280" spans="1:68" ht="16.5" customHeight="1" x14ac:dyDescent="0.25">
      <c r="A280" s="641" t="s">
        <v>469</v>
      </c>
      <c r="B280" s="641"/>
      <c r="C280" s="641"/>
      <c r="D280" s="641"/>
      <c r="E280" s="641"/>
      <c r="F280" s="641"/>
      <c r="G280" s="641"/>
      <c r="H280" s="641"/>
      <c r="I280" s="641"/>
      <c r="J280" s="641"/>
      <c r="K280" s="641"/>
      <c r="L280" s="641"/>
      <c r="M280" s="641"/>
      <c r="N280" s="641"/>
      <c r="O280" s="641"/>
      <c r="P280" s="641"/>
      <c r="Q280" s="641"/>
      <c r="R280" s="641"/>
      <c r="S280" s="641"/>
      <c r="T280" s="641"/>
      <c r="U280" s="641"/>
      <c r="V280" s="641"/>
      <c r="W280" s="641"/>
      <c r="X280" s="641"/>
      <c r="Y280" s="641"/>
      <c r="Z280" s="641"/>
      <c r="AA280" s="65"/>
      <c r="AB280" s="65"/>
      <c r="AC280" s="79"/>
    </row>
    <row r="281" spans="1:68" ht="14.25" customHeight="1" x14ac:dyDescent="0.25">
      <c r="A281" s="642" t="s">
        <v>122</v>
      </c>
      <c r="B281" s="642"/>
      <c r="C281" s="642"/>
      <c r="D281" s="642"/>
      <c r="E281" s="642"/>
      <c r="F281" s="642"/>
      <c r="G281" s="642"/>
      <c r="H281" s="642"/>
      <c r="I281" s="642"/>
      <c r="J281" s="642"/>
      <c r="K281" s="642"/>
      <c r="L281" s="642"/>
      <c r="M281" s="642"/>
      <c r="N281" s="642"/>
      <c r="O281" s="642"/>
      <c r="P281" s="642"/>
      <c r="Q281" s="642"/>
      <c r="R281" s="642"/>
      <c r="S281" s="642"/>
      <c r="T281" s="642"/>
      <c r="U281" s="642"/>
      <c r="V281" s="642"/>
      <c r="W281" s="642"/>
      <c r="X281" s="642"/>
      <c r="Y281" s="642"/>
      <c r="Z281" s="642"/>
      <c r="AA281" s="66"/>
      <c r="AB281" s="66"/>
      <c r="AC281" s="80"/>
    </row>
    <row r="282" spans="1:68" ht="27" customHeight="1" x14ac:dyDescent="0.25">
      <c r="A282" s="63" t="s">
        <v>470</v>
      </c>
      <c r="B282" s="63" t="s">
        <v>471</v>
      </c>
      <c r="C282" s="36">
        <v>4301011223</v>
      </c>
      <c r="D282" s="643">
        <v>4607091383423</v>
      </c>
      <c r="E282" s="643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645"/>
      <c r="R282" s="645"/>
      <c r="S282" s="645"/>
      <c r="T282" s="646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customHeight="1" x14ac:dyDescent="0.25">
      <c r="A283" s="63" t="s">
        <v>472</v>
      </c>
      <c r="B283" s="63" t="s">
        <v>473</v>
      </c>
      <c r="C283" s="36">
        <v>4301012199</v>
      </c>
      <c r="D283" s="643">
        <v>4680115886957</v>
      </c>
      <c r="E283" s="643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645"/>
      <c r="R283" s="645"/>
      <c r="S283" s="645"/>
      <c r="T283" s="646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475</v>
      </c>
      <c r="B284" s="63" t="s">
        <v>476</v>
      </c>
      <c r="C284" s="36">
        <v>4301012098</v>
      </c>
      <c r="D284" s="643">
        <v>4680115885660</v>
      </c>
      <c r="E284" s="643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78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645"/>
      <c r="R284" s="645"/>
      <c r="S284" s="645"/>
      <c r="T284" s="646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477</v>
      </c>
      <c r="B285" s="63" t="s">
        <v>478</v>
      </c>
      <c r="C285" s="36">
        <v>4301012176</v>
      </c>
      <c r="D285" s="643">
        <v>4680115886773</v>
      </c>
      <c r="E285" s="643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7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645"/>
      <c r="R285" s="645"/>
      <c r="S285" s="645"/>
      <c r="T285" s="646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51"/>
      <c r="B286" s="651"/>
      <c r="C286" s="651"/>
      <c r="D286" s="651"/>
      <c r="E286" s="651"/>
      <c r="F286" s="651"/>
      <c r="G286" s="651"/>
      <c r="H286" s="651"/>
      <c r="I286" s="651"/>
      <c r="J286" s="651"/>
      <c r="K286" s="651"/>
      <c r="L286" s="651"/>
      <c r="M286" s="651"/>
      <c r="N286" s="651"/>
      <c r="O286" s="652"/>
      <c r="P286" s="648" t="s">
        <v>40</v>
      </c>
      <c r="Q286" s="649"/>
      <c r="R286" s="649"/>
      <c r="S286" s="649"/>
      <c r="T286" s="649"/>
      <c r="U286" s="649"/>
      <c r="V286" s="650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x14ac:dyDescent="0.2">
      <c r="A287" s="651"/>
      <c r="B287" s="651"/>
      <c r="C287" s="651"/>
      <c r="D287" s="651"/>
      <c r="E287" s="651"/>
      <c r="F287" s="651"/>
      <c r="G287" s="651"/>
      <c r="H287" s="651"/>
      <c r="I287" s="651"/>
      <c r="J287" s="651"/>
      <c r="K287" s="651"/>
      <c r="L287" s="651"/>
      <c r="M287" s="651"/>
      <c r="N287" s="651"/>
      <c r="O287" s="652"/>
      <c r="P287" s="648" t="s">
        <v>40</v>
      </c>
      <c r="Q287" s="649"/>
      <c r="R287" s="649"/>
      <c r="S287" s="649"/>
      <c r="T287" s="649"/>
      <c r="U287" s="649"/>
      <c r="V287" s="650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customHeight="1" x14ac:dyDescent="0.25">
      <c r="A288" s="641" t="s">
        <v>480</v>
      </c>
      <c r="B288" s="641"/>
      <c r="C288" s="641"/>
      <c r="D288" s="641"/>
      <c r="E288" s="641"/>
      <c r="F288" s="641"/>
      <c r="G288" s="641"/>
      <c r="H288" s="641"/>
      <c r="I288" s="641"/>
      <c r="J288" s="641"/>
      <c r="K288" s="641"/>
      <c r="L288" s="641"/>
      <c r="M288" s="641"/>
      <c r="N288" s="641"/>
      <c r="O288" s="641"/>
      <c r="P288" s="641"/>
      <c r="Q288" s="641"/>
      <c r="R288" s="641"/>
      <c r="S288" s="641"/>
      <c r="T288" s="641"/>
      <c r="U288" s="641"/>
      <c r="V288" s="641"/>
      <c r="W288" s="641"/>
      <c r="X288" s="641"/>
      <c r="Y288" s="641"/>
      <c r="Z288" s="641"/>
      <c r="AA288" s="65"/>
      <c r="AB288" s="65"/>
      <c r="AC288" s="79"/>
    </row>
    <row r="289" spans="1:68" ht="14.25" customHeight="1" x14ac:dyDescent="0.25">
      <c r="A289" s="642" t="s">
        <v>87</v>
      </c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42"/>
      <c r="P289" s="642"/>
      <c r="Q289" s="642"/>
      <c r="R289" s="642"/>
      <c r="S289" s="642"/>
      <c r="T289" s="642"/>
      <c r="U289" s="642"/>
      <c r="V289" s="642"/>
      <c r="W289" s="642"/>
      <c r="X289" s="642"/>
      <c r="Y289" s="642"/>
      <c r="Z289" s="642"/>
      <c r="AA289" s="66"/>
      <c r="AB289" s="66"/>
      <c r="AC289" s="80"/>
    </row>
    <row r="290" spans="1:68" ht="27" customHeight="1" x14ac:dyDescent="0.25">
      <c r="A290" s="63" t="s">
        <v>481</v>
      </c>
      <c r="B290" s="63" t="s">
        <v>482</v>
      </c>
      <c r="C290" s="36">
        <v>4301051893</v>
      </c>
      <c r="D290" s="643">
        <v>4680115886186</v>
      </c>
      <c r="E290" s="643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645"/>
      <c r="R290" s="645"/>
      <c r="S290" s="645"/>
      <c r="T290" s="64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484</v>
      </c>
      <c r="B291" s="63" t="s">
        <v>485</v>
      </c>
      <c r="C291" s="36">
        <v>4301051795</v>
      </c>
      <c r="D291" s="643">
        <v>4680115881228</v>
      </c>
      <c r="E291" s="64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7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645"/>
      <c r="R291" s="645"/>
      <c r="S291" s="645"/>
      <c r="T291" s="64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487</v>
      </c>
      <c r="B292" s="63" t="s">
        <v>488</v>
      </c>
      <c r="C292" s="36">
        <v>4301051388</v>
      </c>
      <c r="D292" s="643">
        <v>4680115881211</v>
      </c>
      <c r="E292" s="643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645"/>
      <c r="R292" s="645"/>
      <c r="S292" s="645"/>
      <c r="T292" s="64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51"/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2"/>
      <c r="P293" s="648" t="s">
        <v>40</v>
      </c>
      <c r="Q293" s="649"/>
      <c r="R293" s="649"/>
      <c r="S293" s="649"/>
      <c r="T293" s="649"/>
      <c r="U293" s="649"/>
      <c r="V293" s="650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customHeight="1" x14ac:dyDescent="0.25">
      <c r="A295" s="641" t="s">
        <v>489</v>
      </c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1"/>
      <c r="P295" s="641"/>
      <c r="Q295" s="641"/>
      <c r="R295" s="641"/>
      <c r="S295" s="641"/>
      <c r="T295" s="641"/>
      <c r="U295" s="641"/>
      <c r="V295" s="641"/>
      <c r="W295" s="641"/>
      <c r="X295" s="641"/>
      <c r="Y295" s="641"/>
      <c r="Z295" s="641"/>
      <c r="AA295" s="65"/>
      <c r="AB295" s="65"/>
      <c r="AC295" s="79"/>
    </row>
    <row r="296" spans="1:68" ht="14.25" customHeight="1" x14ac:dyDescent="0.25">
      <c r="A296" s="642" t="s">
        <v>77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6"/>
      <c r="AB296" s="66"/>
      <c r="AC296" s="80"/>
    </row>
    <row r="297" spans="1:68" ht="27" customHeight="1" x14ac:dyDescent="0.25">
      <c r="A297" s="63" t="s">
        <v>490</v>
      </c>
      <c r="B297" s="63" t="s">
        <v>491</v>
      </c>
      <c r="C297" s="36">
        <v>4301031445</v>
      </c>
      <c r="D297" s="643">
        <v>4680115888319</v>
      </c>
      <c r="E297" s="643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792" t="s">
        <v>492</v>
      </c>
      <c r="Q297" s="645"/>
      <c r="R297" s="645"/>
      <c r="S297" s="645"/>
      <c r="T297" s="64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493</v>
      </c>
      <c r="B298" s="63" t="s">
        <v>494</v>
      </c>
      <c r="C298" s="36">
        <v>4301031424</v>
      </c>
      <c r="D298" s="643">
        <v>4680115884700</v>
      </c>
      <c r="E298" s="643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79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645"/>
      <c r="R298" s="645"/>
      <c r="S298" s="645"/>
      <c r="T298" s="64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496</v>
      </c>
      <c r="B299" s="63" t="s">
        <v>497</v>
      </c>
      <c r="C299" s="36">
        <v>4301031307</v>
      </c>
      <c r="D299" s="643">
        <v>4680115880344</v>
      </c>
      <c r="E299" s="643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645"/>
      <c r="R299" s="645"/>
      <c r="S299" s="645"/>
      <c r="T299" s="64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499</v>
      </c>
      <c r="B300" s="63" t="s">
        <v>500</v>
      </c>
      <c r="C300" s="36">
        <v>4301031429</v>
      </c>
      <c r="D300" s="643">
        <v>4680115886919</v>
      </c>
      <c r="E300" s="64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7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645"/>
      <c r="R300" s="645"/>
      <c r="S300" s="645"/>
      <c r="T300" s="646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51"/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2"/>
      <c r="P302" s="648" t="s">
        <v>40</v>
      </c>
      <c r="Q302" s="649"/>
      <c r="R302" s="649"/>
      <c r="S302" s="649"/>
      <c r="T302" s="649"/>
      <c r="U302" s="649"/>
      <c r="V302" s="650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customHeight="1" x14ac:dyDescent="0.25">
      <c r="A303" s="642" t="s">
        <v>87</v>
      </c>
      <c r="B303" s="642"/>
      <c r="C303" s="642"/>
      <c r="D303" s="642"/>
      <c r="E303" s="642"/>
      <c r="F303" s="642"/>
      <c r="G303" s="642"/>
      <c r="H303" s="642"/>
      <c r="I303" s="642"/>
      <c r="J303" s="642"/>
      <c r="K303" s="642"/>
      <c r="L303" s="642"/>
      <c r="M303" s="642"/>
      <c r="N303" s="642"/>
      <c r="O303" s="642"/>
      <c r="P303" s="642"/>
      <c r="Q303" s="642"/>
      <c r="R303" s="642"/>
      <c r="S303" s="642"/>
      <c r="T303" s="642"/>
      <c r="U303" s="642"/>
      <c r="V303" s="642"/>
      <c r="W303" s="642"/>
      <c r="X303" s="642"/>
      <c r="Y303" s="642"/>
      <c r="Z303" s="642"/>
      <c r="AA303" s="66"/>
      <c r="AB303" s="66"/>
      <c r="AC303" s="80"/>
    </row>
    <row r="304" spans="1:68" ht="37.5" customHeight="1" x14ac:dyDescent="0.25">
      <c r="A304" s="63" t="s">
        <v>502</v>
      </c>
      <c r="B304" s="63" t="s">
        <v>503</v>
      </c>
      <c r="C304" s="36">
        <v>4301051782</v>
      </c>
      <c r="D304" s="643">
        <v>4680115884618</v>
      </c>
      <c r="E304" s="643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7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645"/>
      <c r="R304" s="645"/>
      <c r="S304" s="645"/>
      <c r="T304" s="646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505</v>
      </c>
      <c r="B305" s="63" t="s">
        <v>506</v>
      </c>
      <c r="C305" s="36">
        <v>4301052057</v>
      </c>
      <c r="D305" s="643">
        <v>4680115887114</v>
      </c>
      <c r="E305" s="643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7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645"/>
      <c r="R305" s="645"/>
      <c r="S305" s="645"/>
      <c r="T305" s="64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customHeight="1" x14ac:dyDescent="0.25">
      <c r="A308" s="641" t="s">
        <v>508</v>
      </c>
      <c r="B308" s="641"/>
      <c r="C308" s="641"/>
      <c r="D308" s="641"/>
      <c r="E308" s="641"/>
      <c r="F308" s="641"/>
      <c r="G308" s="641"/>
      <c r="H308" s="641"/>
      <c r="I308" s="641"/>
      <c r="J308" s="641"/>
      <c r="K308" s="641"/>
      <c r="L308" s="641"/>
      <c r="M308" s="641"/>
      <c r="N308" s="641"/>
      <c r="O308" s="641"/>
      <c r="P308" s="641"/>
      <c r="Q308" s="641"/>
      <c r="R308" s="641"/>
      <c r="S308" s="641"/>
      <c r="T308" s="641"/>
      <c r="U308" s="641"/>
      <c r="V308" s="641"/>
      <c r="W308" s="641"/>
      <c r="X308" s="641"/>
      <c r="Y308" s="641"/>
      <c r="Z308" s="641"/>
      <c r="AA308" s="65"/>
      <c r="AB308" s="65"/>
      <c r="AC308" s="79"/>
    </row>
    <row r="309" spans="1:68" ht="14.25" customHeight="1" x14ac:dyDescent="0.25">
      <c r="A309" s="642" t="s">
        <v>122</v>
      </c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42"/>
      <c r="P309" s="642"/>
      <c r="Q309" s="642"/>
      <c r="R309" s="642"/>
      <c r="S309" s="642"/>
      <c r="T309" s="642"/>
      <c r="U309" s="642"/>
      <c r="V309" s="642"/>
      <c r="W309" s="642"/>
      <c r="X309" s="642"/>
      <c r="Y309" s="642"/>
      <c r="Z309" s="642"/>
      <c r="AA309" s="66"/>
      <c r="AB309" s="66"/>
      <c r="AC309" s="80"/>
    </row>
    <row r="310" spans="1:68" ht="27" customHeight="1" x14ac:dyDescent="0.25">
      <c r="A310" s="63" t="s">
        <v>509</v>
      </c>
      <c r="B310" s="63" t="s">
        <v>510</v>
      </c>
      <c r="C310" s="36">
        <v>4301012126</v>
      </c>
      <c r="D310" s="643">
        <v>4607091386004</v>
      </c>
      <c r="E310" s="643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645"/>
      <c r="R310" s="645"/>
      <c r="S310" s="645"/>
      <c r="T310" s="64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customHeight="1" x14ac:dyDescent="0.25">
      <c r="A311" s="63" t="s">
        <v>512</v>
      </c>
      <c r="B311" s="63" t="s">
        <v>513</v>
      </c>
      <c r="C311" s="36">
        <v>4301012024</v>
      </c>
      <c r="D311" s="643">
        <v>4680115885615</v>
      </c>
      <c r="E311" s="643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79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5"/>
      <c r="R311" s="645"/>
      <c r="S311" s="645"/>
      <c r="T311" s="64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customHeight="1" x14ac:dyDescent="0.25">
      <c r="A312" s="63" t="s">
        <v>515</v>
      </c>
      <c r="B312" s="63" t="s">
        <v>516</v>
      </c>
      <c r="C312" s="36">
        <v>4301012235</v>
      </c>
      <c r="D312" s="643">
        <v>4680115887190</v>
      </c>
      <c r="E312" s="643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800" t="s">
        <v>517</v>
      </c>
      <c r="Q312" s="645"/>
      <c r="R312" s="645"/>
      <c r="S312" s="645"/>
      <c r="T312" s="64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customHeight="1" x14ac:dyDescent="0.25">
      <c r="A313" s="63" t="s">
        <v>519</v>
      </c>
      <c r="B313" s="63" t="s">
        <v>520</v>
      </c>
      <c r="C313" s="36">
        <v>4301012233</v>
      </c>
      <c r="D313" s="643">
        <v>4680115887138</v>
      </c>
      <c r="E313" s="643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645"/>
      <c r="R313" s="645"/>
      <c r="S313" s="645"/>
      <c r="T313" s="64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customHeight="1" x14ac:dyDescent="0.25">
      <c r="A314" s="63" t="s">
        <v>522</v>
      </c>
      <c r="B314" s="63" t="s">
        <v>523</v>
      </c>
      <c r="C314" s="36">
        <v>4301012016</v>
      </c>
      <c r="D314" s="643">
        <v>4680115885554</v>
      </c>
      <c r="E314" s="643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8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645"/>
      <c r="R314" s="645"/>
      <c r="S314" s="645"/>
      <c r="T314" s="64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customHeight="1" x14ac:dyDescent="0.25">
      <c r="A315" s="63" t="s">
        <v>525</v>
      </c>
      <c r="B315" s="63" t="s">
        <v>526</v>
      </c>
      <c r="C315" s="36">
        <v>4301011857</v>
      </c>
      <c r="D315" s="643">
        <v>4680115885622</v>
      </c>
      <c r="E315" s="643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5"/>
      <c r="R315" s="645"/>
      <c r="S315" s="645"/>
      <c r="T315" s="646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customHeight="1" x14ac:dyDescent="0.25">
      <c r="A316" s="63" t="s">
        <v>527</v>
      </c>
      <c r="B316" s="63" t="s">
        <v>528</v>
      </c>
      <c r="C316" s="36">
        <v>4301012236</v>
      </c>
      <c r="D316" s="643">
        <v>4680115887220</v>
      </c>
      <c r="E316" s="643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804" t="s">
        <v>529</v>
      </c>
      <c r="Q316" s="645"/>
      <c r="R316" s="645"/>
      <c r="S316" s="645"/>
      <c r="T316" s="646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customHeight="1" x14ac:dyDescent="0.25">
      <c r="A317" s="63" t="s">
        <v>530</v>
      </c>
      <c r="B317" s="63" t="s">
        <v>531</v>
      </c>
      <c r="C317" s="36">
        <v>4301011859</v>
      </c>
      <c r="D317" s="643">
        <v>4680115885608</v>
      </c>
      <c r="E317" s="643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8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645"/>
      <c r="R317" s="645"/>
      <c r="S317" s="645"/>
      <c r="T317" s="646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customHeight="1" x14ac:dyDescent="0.25">
      <c r="A320" s="642" t="s">
        <v>77</v>
      </c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42"/>
      <c r="P320" s="642"/>
      <c r="Q320" s="642"/>
      <c r="R320" s="642"/>
      <c r="S320" s="642"/>
      <c r="T320" s="642"/>
      <c r="U320" s="642"/>
      <c r="V320" s="642"/>
      <c r="W320" s="642"/>
      <c r="X320" s="642"/>
      <c r="Y320" s="642"/>
      <c r="Z320" s="642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4301030878</v>
      </c>
      <c r="D321" s="643">
        <v>4607091387193</v>
      </c>
      <c r="E321" s="643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8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645"/>
      <c r="R321" s="645"/>
      <c r="S321" s="645"/>
      <c r="T321" s="646"/>
      <c r="U321" s="39" t="s">
        <v>46</v>
      </c>
      <c r="V321" s="39" t="s">
        <v>46</v>
      </c>
      <c r="W321" s="40" t="s">
        <v>0</v>
      </c>
      <c r="X321" s="58">
        <v>20</v>
      </c>
      <c r="Y321" s="55">
        <f t="shared" ref="Y321:Y327" si="43">IFERROR(IF(X321="",0,CEILING((X321/$H321),1)*$H321),"")</f>
        <v>21</v>
      </c>
      <c r="Z321" s="41">
        <f>IFERROR(IF(Y321=0,"",ROUNDUP(Y321/H321,0)*0.00902),"")</f>
        <v>4.5100000000000001E-2</v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21.19047619047619</v>
      </c>
      <c r="BN321" s="78">
        <f t="shared" ref="BN321:BN327" si="45">IFERROR(Y321*I321/H321,"0")</f>
        <v>22.25</v>
      </c>
      <c r="BO321" s="78">
        <f t="shared" ref="BO321:BO327" si="46">IFERROR(1/J321*(X321/H321),"0")</f>
        <v>3.6075036075036072E-2</v>
      </c>
      <c r="BP321" s="78">
        <f t="shared" ref="BP321:BP327" si="47">IFERROR(1/J321*(Y321/H321),"0")</f>
        <v>3.787878787878788E-2</v>
      </c>
    </row>
    <row r="322" spans="1:68" ht="27" customHeight="1" x14ac:dyDescent="0.25">
      <c r="A322" s="63" t="s">
        <v>536</v>
      </c>
      <c r="B322" s="63" t="s">
        <v>537</v>
      </c>
      <c r="C322" s="36">
        <v>4301031153</v>
      </c>
      <c r="D322" s="643">
        <v>4607091387230</v>
      </c>
      <c r="E322" s="643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645"/>
      <c r="R322" s="645"/>
      <c r="S322" s="645"/>
      <c r="T322" s="64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4301031154</v>
      </c>
      <c r="D323" s="643">
        <v>4607091387292</v>
      </c>
      <c r="E323" s="643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8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645"/>
      <c r="R323" s="645"/>
      <c r="S323" s="645"/>
      <c r="T323" s="64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customHeight="1" x14ac:dyDescent="0.25">
      <c r="A324" s="63" t="s">
        <v>542</v>
      </c>
      <c r="B324" s="63" t="s">
        <v>543</v>
      </c>
      <c r="C324" s="36">
        <v>4301031152</v>
      </c>
      <c r="D324" s="643">
        <v>4607091387285</v>
      </c>
      <c r="E324" s="643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8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645"/>
      <c r="R324" s="645"/>
      <c r="S324" s="645"/>
      <c r="T324" s="64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customHeight="1" x14ac:dyDescent="0.25">
      <c r="A325" s="63" t="s">
        <v>544</v>
      </c>
      <c r="B325" s="63" t="s">
        <v>545</v>
      </c>
      <c r="C325" s="36">
        <v>4301031305</v>
      </c>
      <c r="D325" s="643">
        <v>4607091389845</v>
      </c>
      <c r="E325" s="643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8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645"/>
      <c r="R325" s="645"/>
      <c r="S325" s="645"/>
      <c r="T325" s="64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customHeight="1" x14ac:dyDescent="0.25">
      <c r="A326" s="63" t="s">
        <v>547</v>
      </c>
      <c r="B326" s="63" t="s">
        <v>548</v>
      </c>
      <c r="C326" s="36">
        <v>4301031460</v>
      </c>
      <c r="D326" s="643">
        <v>4680115887442</v>
      </c>
      <c r="E326" s="643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645"/>
      <c r="R326" s="645"/>
      <c r="S326" s="645"/>
      <c r="T326" s="64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4301031066</v>
      </c>
      <c r="D327" s="643">
        <v>4607091383836</v>
      </c>
      <c r="E327" s="643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645"/>
      <c r="R327" s="645"/>
      <c r="S327" s="645"/>
      <c r="T327" s="64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 x14ac:dyDescent="0.2">
      <c r="A328" s="651"/>
      <c r="B328" s="651"/>
      <c r="C328" s="651"/>
      <c r="D328" s="651"/>
      <c r="E328" s="651"/>
      <c r="F328" s="651"/>
      <c r="G328" s="651"/>
      <c r="H328" s="651"/>
      <c r="I328" s="651"/>
      <c r="J328" s="651"/>
      <c r="K328" s="651"/>
      <c r="L328" s="651"/>
      <c r="M328" s="651"/>
      <c r="N328" s="651"/>
      <c r="O328" s="652"/>
      <c r="P328" s="648" t="s">
        <v>40</v>
      </c>
      <c r="Q328" s="649"/>
      <c r="R328" s="649"/>
      <c r="S328" s="649"/>
      <c r="T328" s="649"/>
      <c r="U328" s="649"/>
      <c r="V328" s="650"/>
      <c r="W328" s="42" t="s">
        <v>39</v>
      </c>
      <c r="X328" s="43">
        <f>IFERROR(X321/H321,"0")+IFERROR(X322/H322,"0")+IFERROR(X323/H323,"0")+IFERROR(X324/H324,"0")+IFERROR(X325/H325,"0")+IFERROR(X326/H326,"0")+IFERROR(X327/H327,"0")</f>
        <v>4.7619047619047619</v>
      </c>
      <c r="Y328" s="43">
        <f>IFERROR(Y321/H321,"0")+IFERROR(Y322/H322,"0")+IFERROR(Y323/H323,"0")+IFERROR(Y324/H324,"0")+IFERROR(Y325/H325,"0")+IFERROR(Y326/H326,"0")+IFERROR(Y327/H327,"0")</f>
        <v>5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4.5100000000000001E-2</v>
      </c>
      <c r="AA328" s="67"/>
      <c r="AB328" s="67"/>
      <c r="AC328" s="67"/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0</v>
      </c>
      <c r="X329" s="43">
        <f>IFERROR(SUM(X321:X327),"0")</f>
        <v>20</v>
      </c>
      <c r="Y329" s="43">
        <f>IFERROR(SUM(Y321:Y327),"0")</f>
        <v>21</v>
      </c>
      <c r="Z329" s="42"/>
      <c r="AA329" s="67"/>
      <c r="AB329" s="67"/>
      <c r="AC329" s="67"/>
    </row>
    <row r="330" spans="1:68" ht="14.25" customHeight="1" x14ac:dyDescent="0.25">
      <c r="A330" s="642" t="s">
        <v>87</v>
      </c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42"/>
      <c r="P330" s="642"/>
      <c r="Q330" s="642"/>
      <c r="R330" s="642"/>
      <c r="S330" s="642"/>
      <c r="T330" s="642"/>
      <c r="U330" s="642"/>
      <c r="V330" s="642"/>
      <c r="W330" s="642"/>
      <c r="X330" s="642"/>
      <c r="Y330" s="642"/>
      <c r="Z330" s="642"/>
      <c r="AA330" s="66"/>
      <c r="AB330" s="66"/>
      <c r="AC330" s="80"/>
    </row>
    <row r="331" spans="1:68" ht="27" customHeight="1" x14ac:dyDescent="0.25">
      <c r="A331" s="63" t="s">
        <v>552</v>
      </c>
      <c r="B331" s="63" t="s">
        <v>553</v>
      </c>
      <c r="C331" s="36">
        <v>4301051100</v>
      </c>
      <c r="D331" s="643">
        <v>4607091387766</v>
      </c>
      <c r="E331" s="643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8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645"/>
      <c r="R331" s="645"/>
      <c r="S331" s="645"/>
      <c r="T331" s="64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4301051818</v>
      </c>
      <c r="D332" s="643">
        <v>4607091387957</v>
      </c>
      <c r="E332" s="643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8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645"/>
      <c r="R332" s="645"/>
      <c r="S332" s="645"/>
      <c r="T332" s="64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4301051819</v>
      </c>
      <c r="D333" s="643">
        <v>4607091387964</v>
      </c>
      <c r="E333" s="643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8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645"/>
      <c r="R333" s="645"/>
      <c r="S333" s="645"/>
      <c r="T333" s="64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561</v>
      </c>
      <c r="B334" s="63" t="s">
        <v>562</v>
      </c>
      <c r="C334" s="36">
        <v>4301051734</v>
      </c>
      <c r="D334" s="643">
        <v>4680115884588</v>
      </c>
      <c r="E334" s="643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8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645"/>
      <c r="R334" s="645"/>
      <c r="S334" s="645"/>
      <c r="T334" s="64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customHeight="1" x14ac:dyDescent="0.25">
      <c r="A337" s="642" t="s">
        <v>176</v>
      </c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42"/>
      <c r="P337" s="642"/>
      <c r="Q337" s="642"/>
      <c r="R337" s="642"/>
      <c r="S337" s="642"/>
      <c r="T337" s="642"/>
      <c r="U337" s="642"/>
      <c r="V337" s="642"/>
      <c r="W337" s="642"/>
      <c r="X337" s="642"/>
      <c r="Y337" s="642"/>
      <c r="Z337" s="642"/>
      <c r="AA337" s="66"/>
      <c r="AB337" s="66"/>
      <c r="AC337" s="80"/>
    </row>
    <row r="338" spans="1:68" ht="27" customHeight="1" x14ac:dyDescent="0.25">
      <c r="A338" s="63" t="s">
        <v>564</v>
      </c>
      <c r="B338" s="63" t="s">
        <v>565</v>
      </c>
      <c r="C338" s="36">
        <v>4301060387</v>
      </c>
      <c r="D338" s="643">
        <v>4607091380880</v>
      </c>
      <c r="E338" s="643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645"/>
      <c r="R338" s="645"/>
      <c r="S338" s="645"/>
      <c r="T338" s="64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4301060406</v>
      </c>
      <c r="D339" s="643">
        <v>4607091384482</v>
      </c>
      <c r="E339" s="643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8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645"/>
      <c r="R339" s="645"/>
      <c r="S339" s="645"/>
      <c r="T339" s="646"/>
      <c r="U339" s="39" t="s">
        <v>46</v>
      </c>
      <c r="V339" s="39" t="s">
        <v>46</v>
      </c>
      <c r="W339" s="40" t="s">
        <v>0</v>
      </c>
      <c r="X339" s="58">
        <v>50</v>
      </c>
      <c r="Y339" s="55">
        <f>IFERROR(IF(X339="",0,CEILING((X339/$H339),1)*$H339),"")</f>
        <v>54.6</v>
      </c>
      <c r="Z339" s="41">
        <f>IFERROR(IF(Y339=0,"",ROUNDUP(Y339/H339,0)*0.01898),"")</f>
        <v>0.13286000000000001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53.166666666666671</v>
      </c>
      <c r="BN339" s="78">
        <f>IFERROR(Y339*I339/H339,"0")</f>
        <v>58.058000000000007</v>
      </c>
      <c r="BO339" s="78">
        <f>IFERROR(1/J339*(X339/H339),"0")</f>
        <v>0.10016025641025642</v>
      </c>
      <c r="BP339" s="78">
        <f>IFERROR(1/J339*(Y339/H339),"0")</f>
        <v>0.109375</v>
      </c>
    </row>
    <row r="340" spans="1:68" ht="16.5" customHeight="1" x14ac:dyDescent="0.25">
      <c r="A340" s="63" t="s">
        <v>570</v>
      </c>
      <c r="B340" s="63" t="s">
        <v>571</v>
      </c>
      <c r="C340" s="36">
        <v>4301060484</v>
      </c>
      <c r="D340" s="643">
        <v>4607091380897</v>
      </c>
      <c r="E340" s="643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8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645"/>
      <c r="R340" s="645"/>
      <c r="S340" s="645"/>
      <c r="T340" s="646"/>
      <c r="U340" s="39" t="s">
        <v>46</v>
      </c>
      <c r="V340" s="39" t="s">
        <v>46</v>
      </c>
      <c r="W340" s="40" t="s">
        <v>0</v>
      </c>
      <c r="X340" s="58"/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2" t="s">
        <v>39</v>
      </c>
      <c r="X341" s="43">
        <f>IFERROR(X338/H338,"0")+IFERROR(X339/H339,"0")+IFERROR(X340/H340,"0")</f>
        <v>6.4102564102564106</v>
      </c>
      <c r="Y341" s="43">
        <f>IFERROR(Y338/H338,"0")+IFERROR(Y339/H339,"0")+IFERROR(Y340/H340,"0")</f>
        <v>7</v>
      </c>
      <c r="Z341" s="43">
        <f>IFERROR(IF(Z338="",0,Z338),"0")+IFERROR(IF(Z339="",0,Z339),"0")+IFERROR(IF(Z340="",0,Z340),"0")</f>
        <v>0.13286000000000001</v>
      </c>
      <c r="AA341" s="67"/>
      <c r="AB341" s="67"/>
      <c r="AC341" s="67"/>
    </row>
    <row r="342" spans="1:68" x14ac:dyDescent="0.2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2" t="s">
        <v>0</v>
      </c>
      <c r="X342" s="43">
        <f>IFERROR(SUM(X338:X340),"0")</f>
        <v>50</v>
      </c>
      <c r="Y342" s="43">
        <f>IFERROR(SUM(Y338:Y340),"0")</f>
        <v>54.6</v>
      </c>
      <c r="Z342" s="42"/>
      <c r="AA342" s="67"/>
      <c r="AB342" s="67"/>
      <c r="AC342" s="67"/>
    </row>
    <row r="343" spans="1:68" ht="14.25" customHeight="1" x14ac:dyDescent="0.25">
      <c r="A343" s="642" t="s">
        <v>110</v>
      </c>
      <c r="B343" s="642"/>
      <c r="C343" s="642"/>
      <c r="D343" s="642"/>
      <c r="E343" s="642"/>
      <c r="F343" s="642"/>
      <c r="G343" s="642"/>
      <c r="H343" s="642"/>
      <c r="I343" s="642"/>
      <c r="J343" s="642"/>
      <c r="K343" s="642"/>
      <c r="L343" s="642"/>
      <c r="M343" s="642"/>
      <c r="N343" s="642"/>
      <c r="O343" s="642"/>
      <c r="P343" s="642"/>
      <c r="Q343" s="642"/>
      <c r="R343" s="642"/>
      <c r="S343" s="642"/>
      <c r="T343" s="642"/>
      <c r="U343" s="642"/>
      <c r="V343" s="642"/>
      <c r="W343" s="642"/>
      <c r="X343" s="642"/>
      <c r="Y343" s="642"/>
      <c r="Z343" s="642"/>
      <c r="AA343" s="66"/>
      <c r="AB343" s="66"/>
      <c r="AC343" s="80"/>
    </row>
    <row r="344" spans="1:68" ht="27" customHeight="1" x14ac:dyDescent="0.25">
      <c r="A344" s="63" t="s">
        <v>573</v>
      </c>
      <c r="B344" s="63" t="s">
        <v>574</v>
      </c>
      <c r="C344" s="36">
        <v>4301030235</v>
      </c>
      <c r="D344" s="643">
        <v>4607091388381</v>
      </c>
      <c r="E344" s="643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8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645"/>
      <c r="R344" s="645"/>
      <c r="S344" s="645"/>
      <c r="T344" s="646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576</v>
      </c>
      <c r="B345" s="63" t="s">
        <v>577</v>
      </c>
      <c r="C345" s="36">
        <v>4301030232</v>
      </c>
      <c r="D345" s="643">
        <v>4607091388374</v>
      </c>
      <c r="E345" s="643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8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645"/>
      <c r="R345" s="645"/>
      <c r="S345" s="645"/>
      <c r="T345" s="646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4301032015</v>
      </c>
      <c r="D346" s="643">
        <v>4607091383102</v>
      </c>
      <c r="E346" s="643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645"/>
      <c r="R346" s="645"/>
      <c r="S346" s="645"/>
      <c r="T346" s="64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580</v>
      </c>
      <c r="B347" s="63" t="s">
        <v>581</v>
      </c>
      <c r="C347" s="36">
        <v>4301030233</v>
      </c>
      <c r="D347" s="643">
        <v>4607091388404</v>
      </c>
      <c r="E347" s="643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8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645"/>
      <c r="R347" s="645"/>
      <c r="S347" s="645"/>
      <c r="T347" s="64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customHeight="1" x14ac:dyDescent="0.25">
      <c r="A350" s="642" t="s">
        <v>582</v>
      </c>
      <c r="B350" s="642"/>
      <c r="C350" s="642"/>
      <c r="D350" s="642"/>
      <c r="E350" s="642"/>
      <c r="F350" s="642"/>
      <c r="G350" s="642"/>
      <c r="H350" s="642"/>
      <c r="I350" s="642"/>
      <c r="J350" s="642"/>
      <c r="K350" s="642"/>
      <c r="L350" s="642"/>
      <c r="M350" s="642"/>
      <c r="N350" s="642"/>
      <c r="O350" s="642"/>
      <c r="P350" s="642"/>
      <c r="Q350" s="642"/>
      <c r="R350" s="642"/>
      <c r="S350" s="642"/>
      <c r="T350" s="642"/>
      <c r="U350" s="642"/>
      <c r="V350" s="642"/>
      <c r="W350" s="642"/>
      <c r="X350" s="642"/>
      <c r="Y350" s="642"/>
      <c r="Z350" s="642"/>
      <c r="AA350" s="66"/>
      <c r="AB350" s="66"/>
      <c r="AC350" s="80"/>
    </row>
    <row r="351" spans="1:68" ht="16.5" customHeight="1" x14ac:dyDescent="0.25">
      <c r="A351" s="63" t="s">
        <v>583</v>
      </c>
      <c r="B351" s="63" t="s">
        <v>584</v>
      </c>
      <c r="C351" s="36">
        <v>4301180007</v>
      </c>
      <c r="D351" s="643">
        <v>4680115881808</v>
      </c>
      <c r="E351" s="643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8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645"/>
      <c r="R351" s="645"/>
      <c r="S351" s="645"/>
      <c r="T351" s="64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587</v>
      </c>
      <c r="B352" s="63" t="s">
        <v>588</v>
      </c>
      <c r="C352" s="36">
        <v>4301180006</v>
      </c>
      <c r="D352" s="643">
        <v>4680115881822</v>
      </c>
      <c r="E352" s="643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8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645"/>
      <c r="R352" s="645"/>
      <c r="S352" s="645"/>
      <c r="T352" s="64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589</v>
      </c>
      <c r="B353" s="63" t="s">
        <v>590</v>
      </c>
      <c r="C353" s="36">
        <v>4301180001</v>
      </c>
      <c r="D353" s="643">
        <v>4680115880016</v>
      </c>
      <c r="E353" s="643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645"/>
      <c r="R353" s="645"/>
      <c r="S353" s="645"/>
      <c r="T353" s="64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customHeight="1" x14ac:dyDescent="0.25">
      <c r="A356" s="641" t="s">
        <v>591</v>
      </c>
      <c r="B356" s="641"/>
      <c r="C356" s="641"/>
      <c r="D356" s="641"/>
      <c r="E356" s="641"/>
      <c r="F356" s="641"/>
      <c r="G356" s="641"/>
      <c r="H356" s="641"/>
      <c r="I356" s="641"/>
      <c r="J356" s="641"/>
      <c r="K356" s="641"/>
      <c r="L356" s="641"/>
      <c r="M356" s="641"/>
      <c r="N356" s="641"/>
      <c r="O356" s="641"/>
      <c r="P356" s="641"/>
      <c r="Q356" s="641"/>
      <c r="R356" s="641"/>
      <c r="S356" s="641"/>
      <c r="T356" s="641"/>
      <c r="U356" s="641"/>
      <c r="V356" s="641"/>
      <c r="W356" s="641"/>
      <c r="X356" s="641"/>
      <c r="Y356" s="641"/>
      <c r="Z356" s="641"/>
      <c r="AA356" s="65"/>
      <c r="AB356" s="65"/>
      <c r="AC356" s="79"/>
    </row>
    <row r="357" spans="1:68" ht="14.25" customHeight="1" x14ac:dyDescent="0.25">
      <c r="A357" s="642" t="s">
        <v>87</v>
      </c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42"/>
      <c r="P357" s="642"/>
      <c r="Q357" s="642"/>
      <c r="R357" s="642"/>
      <c r="S357" s="642"/>
      <c r="T357" s="642"/>
      <c r="U357" s="642"/>
      <c r="V357" s="642"/>
      <c r="W357" s="642"/>
      <c r="X357" s="642"/>
      <c r="Y357" s="642"/>
      <c r="Z357" s="642"/>
      <c r="AA357" s="66"/>
      <c r="AB357" s="66"/>
      <c r="AC357" s="80"/>
    </row>
    <row r="358" spans="1:68" ht="27" customHeight="1" x14ac:dyDescent="0.25">
      <c r="A358" s="63" t="s">
        <v>592</v>
      </c>
      <c r="B358" s="63" t="s">
        <v>593</v>
      </c>
      <c r="C358" s="36">
        <v>4301051489</v>
      </c>
      <c r="D358" s="643">
        <v>4607091387919</v>
      </c>
      <c r="E358" s="643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645"/>
      <c r="R358" s="645"/>
      <c r="S358" s="645"/>
      <c r="T358" s="64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4301051461</v>
      </c>
      <c r="D359" s="643">
        <v>4680115883604</v>
      </c>
      <c r="E359" s="643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8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645"/>
      <c r="R359" s="645"/>
      <c r="S359" s="645"/>
      <c r="T359" s="646"/>
      <c r="U359" s="39" t="s">
        <v>46</v>
      </c>
      <c r="V359" s="39" t="s">
        <v>46</v>
      </c>
      <c r="W359" s="40" t="s">
        <v>0</v>
      </c>
      <c r="X359" s="58">
        <v>14.7</v>
      </c>
      <c r="Y359" s="55">
        <f>IFERROR(IF(X359="",0,CEILING((X359/$H359),1)*$H359),"")</f>
        <v>14.700000000000001</v>
      </c>
      <c r="Z359" s="41">
        <f>IFERROR(IF(Y359=0,"",ROUNDUP(Y359/H359,0)*0.00651),"")</f>
        <v>4.5569999999999999E-2</v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16.463999999999999</v>
      </c>
      <c r="BN359" s="78">
        <f>IFERROR(Y359*I359/H359,"0")</f>
        <v>16.463999999999999</v>
      </c>
      <c r="BO359" s="78">
        <f>IFERROR(1/J359*(X359/H359),"0")</f>
        <v>3.8461538461538457E-2</v>
      </c>
      <c r="BP359" s="78">
        <f>IFERROR(1/J359*(Y359/H359),"0")</f>
        <v>3.8461538461538464E-2</v>
      </c>
    </row>
    <row r="360" spans="1:68" ht="27" customHeight="1" x14ac:dyDescent="0.25">
      <c r="A360" s="63" t="s">
        <v>598</v>
      </c>
      <c r="B360" s="63" t="s">
        <v>599</v>
      </c>
      <c r="C360" s="36">
        <v>4301051864</v>
      </c>
      <c r="D360" s="643">
        <v>4680115883567</v>
      </c>
      <c r="E360" s="643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645"/>
      <c r="R360" s="645"/>
      <c r="S360" s="645"/>
      <c r="T360" s="646"/>
      <c r="U360" s="39" t="s">
        <v>46</v>
      </c>
      <c r="V360" s="39" t="s">
        <v>46</v>
      </c>
      <c r="W360" s="40" t="s">
        <v>0</v>
      </c>
      <c r="X360" s="58">
        <v>2.1</v>
      </c>
      <c r="Y360" s="55">
        <f>IFERROR(IF(X360="",0,CEILING((X360/$H360),1)*$H360),"")</f>
        <v>2.1</v>
      </c>
      <c r="Z360" s="41">
        <f>IFERROR(IF(Y360=0,"",ROUNDUP(Y360/H360,0)*0.00651),"")</f>
        <v>6.5100000000000002E-3</v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2.34</v>
      </c>
      <c r="BN360" s="78">
        <f>IFERROR(Y360*I360/H360,"0")</f>
        <v>2.34</v>
      </c>
      <c r="BO360" s="78">
        <f>IFERROR(1/J360*(X360/H360),"0")</f>
        <v>5.4945054945054949E-3</v>
      </c>
      <c r="BP360" s="78">
        <f>IFERROR(1/J360*(Y360/H360),"0")</f>
        <v>5.4945054945054949E-3</v>
      </c>
    </row>
    <row r="361" spans="1:68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2" t="s">
        <v>39</v>
      </c>
      <c r="X361" s="43">
        <f>IFERROR(X358/H358,"0")+IFERROR(X359/H359,"0")+IFERROR(X360/H360,"0")</f>
        <v>7.9999999999999991</v>
      </c>
      <c r="Y361" s="43">
        <f>IFERROR(Y358/H358,"0")+IFERROR(Y359/H359,"0")+IFERROR(Y360/H360,"0")</f>
        <v>8</v>
      </c>
      <c r="Z361" s="43">
        <f>IFERROR(IF(Z358="",0,Z358),"0")+IFERROR(IF(Z359="",0,Z359),"0")+IFERROR(IF(Z360="",0,Z360),"0")</f>
        <v>5.2080000000000001E-2</v>
      </c>
      <c r="AA361" s="67"/>
      <c r="AB361" s="67"/>
      <c r="AC361" s="67"/>
    </row>
    <row r="362" spans="1:68" x14ac:dyDescent="0.2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2" t="s">
        <v>0</v>
      </c>
      <c r="X362" s="43">
        <f>IFERROR(SUM(X358:X360),"0")</f>
        <v>16.8</v>
      </c>
      <c r="Y362" s="43">
        <f>IFERROR(SUM(Y358:Y360),"0")</f>
        <v>16.8</v>
      </c>
      <c r="Z362" s="42"/>
      <c r="AA362" s="67"/>
      <c r="AB362" s="67"/>
      <c r="AC362" s="67"/>
    </row>
    <row r="363" spans="1:68" ht="27.75" customHeight="1" x14ac:dyDescent="0.2">
      <c r="A363" s="640" t="s">
        <v>601</v>
      </c>
      <c r="B363" s="640"/>
      <c r="C363" s="640"/>
      <c r="D363" s="640"/>
      <c r="E363" s="640"/>
      <c r="F363" s="640"/>
      <c r="G363" s="640"/>
      <c r="H363" s="640"/>
      <c r="I363" s="640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  <c r="AA363" s="54"/>
      <c r="AB363" s="54"/>
      <c r="AC363" s="54"/>
    </row>
    <row r="364" spans="1:68" ht="16.5" customHeight="1" x14ac:dyDescent="0.25">
      <c r="A364" s="641" t="s">
        <v>602</v>
      </c>
      <c r="B364" s="641"/>
      <c r="C364" s="641"/>
      <c r="D364" s="641"/>
      <c r="E364" s="641"/>
      <c r="F364" s="641"/>
      <c r="G364" s="641"/>
      <c r="H364" s="641"/>
      <c r="I364" s="641"/>
      <c r="J364" s="641"/>
      <c r="K364" s="641"/>
      <c r="L364" s="641"/>
      <c r="M364" s="641"/>
      <c r="N364" s="641"/>
      <c r="O364" s="641"/>
      <c r="P364" s="641"/>
      <c r="Q364" s="641"/>
      <c r="R364" s="641"/>
      <c r="S364" s="641"/>
      <c r="T364" s="641"/>
      <c r="U364" s="641"/>
      <c r="V364" s="641"/>
      <c r="W364" s="641"/>
      <c r="X364" s="641"/>
      <c r="Y364" s="641"/>
      <c r="Z364" s="641"/>
      <c r="AA364" s="65"/>
      <c r="AB364" s="65"/>
      <c r="AC364" s="79"/>
    </row>
    <row r="365" spans="1:68" ht="14.25" customHeight="1" x14ac:dyDescent="0.25">
      <c r="A365" s="642" t="s">
        <v>122</v>
      </c>
      <c r="B365" s="642"/>
      <c r="C365" s="642"/>
      <c r="D365" s="642"/>
      <c r="E365" s="642"/>
      <c r="F365" s="642"/>
      <c r="G365" s="642"/>
      <c r="H365" s="642"/>
      <c r="I365" s="642"/>
      <c r="J365" s="642"/>
      <c r="K365" s="642"/>
      <c r="L365" s="642"/>
      <c r="M365" s="642"/>
      <c r="N365" s="642"/>
      <c r="O365" s="642"/>
      <c r="P365" s="642"/>
      <c r="Q365" s="642"/>
      <c r="R365" s="642"/>
      <c r="S365" s="642"/>
      <c r="T365" s="642"/>
      <c r="U365" s="642"/>
      <c r="V365" s="642"/>
      <c r="W365" s="642"/>
      <c r="X365" s="642"/>
      <c r="Y365" s="642"/>
      <c r="Z365" s="642"/>
      <c r="AA365" s="66"/>
      <c r="AB365" s="66"/>
      <c r="AC365" s="80"/>
    </row>
    <row r="366" spans="1:68" ht="37.5" customHeight="1" x14ac:dyDescent="0.25">
      <c r="A366" s="63" t="s">
        <v>603</v>
      </c>
      <c r="B366" s="63" t="s">
        <v>604</v>
      </c>
      <c r="C366" s="36">
        <v>4301011869</v>
      </c>
      <c r="D366" s="643">
        <v>4680115884847</v>
      </c>
      <c r="E366" s="643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645"/>
      <c r="R366" s="645"/>
      <c r="S366" s="645"/>
      <c r="T366" s="646"/>
      <c r="U366" s="39" t="s">
        <v>46</v>
      </c>
      <c r="V366" s="39" t="s">
        <v>46</v>
      </c>
      <c r="W366" s="40" t="s">
        <v>0</v>
      </c>
      <c r="X366" s="58"/>
      <c r="Y366" s="55">
        <f t="shared" ref="Y366:Y372" si="48">IFERROR(IF(X366="",0,CEILING((X366/$H366),1)*$H366),"")</f>
        <v>0</v>
      </c>
      <c r="Z366" s="41" t="str">
        <f>IFERROR(IF(Y366=0,"",ROUNDUP(Y366/H366,0)*0.02175),"")</f>
        <v/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0</v>
      </c>
      <c r="BN366" s="78">
        <f t="shared" ref="BN366:BN372" si="50">IFERROR(Y366*I366/H366,"0")</f>
        <v>0</v>
      </c>
      <c r="BO366" s="78">
        <f t="shared" ref="BO366:BO372" si="51">IFERROR(1/J366*(X366/H366),"0")</f>
        <v>0</v>
      </c>
      <c r="BP366" s="78">
        <f t="shared" ref="BP366:BP372" si="52">IFERROR(1/J366*(Y366/H366),"0")</f>
        <v>0</v>
      </c>
    </row>
    <row r="367" spans="1:68" ht="27" customHeight="1" x14ac:dyDescent="0.25">
      <c r="A367" s="63" t="s">
        <v>606</v>
      </c>
      <c r="B367" s="63" t="s">
        <v>607</v>
      </c>
      <c r="C367" s="36">
        <v>4301012083</v>
      </c>
      <c r="D367" s="643">
        <v>4680115884854</v>
      </c>
      <c r="E367" s="643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645"/>
      <c r="R367" s="645"/>
      <c r="S367" s="645"/>
      <c r="T367" s="646"/>
      <c r="U367" s="39" t="s">
        <v>46</v>
      </c>
      <c r="V367" s="39" t="s">
        <v>46</v>
      </c>
      <c r="W367" s="40" t="s">
        <v>0</v>
      </c>
      <c r="X367" s="58">
        <v>75</v>
      </c>
      <c r="Y367" s="55">
        <f t="shared" si="48"/>
        <v>75</v>
      </c>
      <c r="Z367" s="41">
        <f>IFERROR(IF(Y367=0,"",ROUNDUP(Y367/H367,0)*0.02175),"")</f>
        <v>0.10874999999999999</v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77.349999999999994</v>
      </c>
      <c r="BN367" s="78">
        <f t="shared" si="50"/>
        <v>77.349999999999994</v>
      </c>
      <c r="BO367" s="78">
        <f t="shared" si="51"/>
        <v>0.10416666666666666</v>
      </c>
      <c r="BP367" s="78">
        <f t="shared" si="52"/>
        <v>0.10416666666666666</v>
      </c>
    </row>
    <row r="368" spans="1:68" ht="37.5" customHeight="1" x14ac:dyDescent="0.25">
      <c r="A368" s="63" t="s">
        <v>609</v>
      </c>
      <c r="B368" s="63" t="s">
        <v>610</v>
      </c>
      <c r="C368" s="36">
        <v>4301011867</v>
      </c>
      <c r="D368" s="643">
        <v>4680115884830</v>
      </c>
      <c r="E368" s="643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645"/>
      <c r="R368" s="645"/>
      <c r="S368" s="645"/>
      <c r="T368" s="646"/>
      <c r="U368" s="39" t="s">
        <v>46</v>
      </c>
      <c r="V368" s="39" t="s">
        <v>46</v>
      </c>
      <c r="W368" s="40" t="s">
        <v>0</v>
      </c>
      <c r="X368" s="58">
        <v>250</v>
      </c>
      <c r="Y368" s="55">
        <f t="shared" si="48"/>
        <v>255</v>
      </c>
      <c r="Z368" s="41">
        <f>IFERROR(IF(Y368=0,"",ROUNDUP(Y368/H368,0)*0.02175),"")</f>
        <v>0.36974999999999997</v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257.83333333333331</v>
      </c>
      <c r="BN368" s="78">
        <f t="shared" si="50"/>
        <v>262.99</v>
      </c>
      <c r="BO368" s="78">
        <f t="shared" si="51"/>
        <v>0.34722222222222221</v>
      </c>
      <c r="BP368" s="78">
        <f t="shared" si="52"/>
        <v>0.35416666666666663</v>
      </c>
    </row>
    <row r="369" spans="1:68" ht="27" customHeight="1" x14ac:dyDescent="0.25">
      <c r="A369" s="63" t="s">
        <v>612</v>
      </c>
      <c r="B369" s="63" t="s">
        <v>613</v>
      </c>
      <c r="C369" s="36">
        <v>4301012215</v>
      </c>
      <c r="D369" s="643">
        <v>4680115887046</v>
      </c>
      <c r="E369" s="643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645"/>
      <c r="R369" s="645"/>
      <c r="S369" s="645"/>
      <c r="T369" s="64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4301011433</v>
      </c>
      <c r="D370" s="643">
        <v>4680115882638</v>
      </c>
      <c r="E370" s="64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645"/>
      <c r="R370" s="645"/>
      <c r="S370" s="645"/>
      <c r="T370" s="64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618</v>
      </c>
      <c r="B371" s="63" t="s">
        <v>619</v>
      </c>
      <c r="C371" s="36">
        <v>4301011952</v>
      </c>
      <c r="D371" s="643">
        <v>4680115884922</v>
      </c>
      <c r="E371" s="643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8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645"/>
      <c r="R371" s="645"/>
      <c r="S371" s="645"/>
      <c r="T371" s="64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customHeight="1" x14ac:dyDescent="0.25">
      <c r="A372" s="63" t="s">
        <v>621</v>
      </c>
      <c r="B372" s="63" t="s">
        <v>622</v>
      </c>
      <c r="C372" s="36">
        <v>4301011868</v>
      </c>
      <c r="D372" s="643">
        <v>4680115884861</v>
      </c>
      <c r="E372" s="643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645"/>
      <c r="R372" s="645"/>
      <c r="S372" s="645"/>
      <c r="T372" s="64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x14ac:dyDescent="0.2">
      <c r="A373" s="651"/>
      <c r="B373" s="651"/>
      <c r="C373" s="651"/>
      <c r="D373" s="651"/>
      <c r="E373" s="651"/>
      <c r="F373" s="651"/>
      <c r="G373" s="651"/>
      <c r="H373" s="651"/>
      <c r="I373" s="651"/>
      <c r="J373" s="651"/>
      <c r="K373" s="651"/>
      <c r="L373" s="651"/>
      <c r="M373" s="651"/>
      <c r="N373" s="651"/>
      <c r="O373" s="652"/>
      <c r="P373" s="648" t="s">
        <v>40</v>
      </c>
      <c r="Q373" s="649"/>
      <c r="R373" s="649"/>
      <c r="S373" s="649"/>
      <c r="T373" s="649"/>
      <c r="U373" s="649"/>
      <c r="V373" s="650"/>
      <c r="W373" s="42" t="s">
        <v>39</v>
      </c>
      <c r="X373" s="43">
        <f>IFERROR(X366/H366,"0")+IFERROR(X367/H367,"0")+IFERROR(X368/H368,"0")+IFERROR(X369/H369,"0")+IFERROR(X370/H370,"0")+IFERROR(X371/H371,"0")+IFERROR(X372/H372,"0")</f>
        <v>21.666666666666668</v>
      </c>
      <c r="Y373" s="43">
        <f>IFERROR(Y366/H366,"0")+IFERROR(Y367/H367,"0")+IFERROR(Y368/H368,"0")+IFERROR(Y369/H369,"0")+IFERROR(Y370/H370,"0")+IFERROR(Y371/H371,"0")+IFERROR(Y372/H372,"0")</f>
        <v>22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0.47849999999999993</v>
      </c>
      <c r="AA373" s="67"/>
      <c r="AB373" s="67"/>
      <c r="AC373" s="67"/>
    </row>
    <row r="374" spans="1:68" x14ac:dyDescent="0.2">
      <c r="A374" s="651"/>
      <c r="B374" s="651"/>
      <c r="C374" s="651"/>
      <c r="D374" s="651"/>
      <c r="E374" s="651"/>
      <c r="F374" s="651"/>
      <c r="G374" s="651"/>
      <c r="H374" s="651"/>
      <c r="I374" s="651"/>
      <c r="J374" s="651"/>
      <c r="K374" s="651"/>
      <c r="L374" s="651"/>
      <c r="M374" s="651"/>
      <c r="N374" s="651"/>
      <c r="O374" s="652"/>
      <c r="P374" s="648" t="s">
        <v>40</v>
      </c>
      <c r="Q374" s="649"/>
      <c r="R374" s="649"/>
      <c r="S374" s="649"/>
      <c r="T374" s="649"/>
      <c r="U374" s="649"/>
      <c r="V374" s="650"/>
      <c r="W374" s="42" t="s">
        <v>0</v>
      </c>
      <c r="X374" s="43">
        <f>IFERROR(SUM(X366:X372),"0")</f>
        <v>325</v>
      </c>
      <c r="Y374" s="43">
        <f>IFERROR(SUM(Y366:Y372),"0")</f>
        <v>330</v>
      </c>
      <c r="Z374" s="42"/>
      <c r="AA374" s="67"/>
      <c r="AB374" s="67"/>
      <c r="AC374" s="67"/>
    </row>
    <row r="375" spans="1:68" ht="14.25" customHeight="1" x14ac:dyDescent="0.25">
      <c r="A375" s="642" t="s">
        <v>156</v>
      </c>
      <c r="B375" s="642"/>
      <c r="C375" s="642"/>
      <c r="D375" s="642"/>
      <c r="E375" s="642"/>
      <c r="F375" s="642"/>
      <c r="G375" s="642"/>
      <c r="H375" s="642"/>
      <c r="I375" s="642"/>
      <c r="J375" s="642"/>
      <c r="K375" s="642"/>
      <c r="L375" s="642"/>
      <c r="M375" s="642"/>
      <c r="N375" s="642"/>
      <c r="O375" s="642"/>
      <c r="P375" s="642"/>
      <c r="Q375" s="642"/>
      <c r="R375" s="642"/>
      <c r="S375" s="642"/>
      <c r="T375" s="642"/>
      <c r="U375" s="642"/>
      <c r="V375" s="642"/>
      <c r="W375" s="642"/>
      <c r="X375" s="642"/>
      <c r="Y375" s="642"/>
      <c r="Z375" s="642"/>
      <c r="AA375" s="66"/>
      <c r="AB375" s="66"/>
      <c r="AC375" s="80"/>
    </row>
    <row r="376" spans="1:68" ht="27" customHeight="1" x14ac:dyDescent="0.25">
      <c r="A376" s="63" t="s">
        <v>623</v>
      </c>
      <c r="B376" s="63" t="s">
        <v>624</v>
      </c>
      <c r="C376" s="36">
        <v>4301020178</v>
      </c>
      <c r="D376" s="643">
        <v>4607091383980</v>
      </c>
      <c r="E376" s="643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8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645"/>
      <c r="R376" s="645"/>
      <c r="S376" s="645"/>
      <c r="T376" s="646"/>
      <c r="U376" s="39" t="s">
        <v>46</v>
      </c>
      <c r="V376" s="39" t="s">
        <v>46</v>
      </c>
      <c r="W376" s="40" t="s">
        <v>0</v>
      </c>
      <c r="X376" s="58">
        <v>150</v>
      </c>
      <c r="Y376" s="55">
        <f>IFERROR(IF(X376="",0,CEILING((X376/$H376),1)*$H376),"")</f>
        <v>150</v>
      </c>
      <c r="Z376" s="41">
        <f>IFERROR(IF(Y376=0,"",ROUNDUP(Y376/H376,0)*0.02175),"")</f>
        <v>0.21749999999999997</v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154.69999999999999</v>
      </c>
      <c r="BN376" s="78">
        <f>IFERROR(Y376*I376/H376,"0")</f>
        <v>154.69999999999999</v>
      </c>
      <c r="BO376" s="78">
        <f>IFERROR(1/J376*(X376/H376),"0")</f>
        <v>0.20833333333333331</v>
      </c>
      <c r="BP376" s="78">
        <f>IFERROR(1/J376*(Y376/H376),"0")</f>
        <v>0.20833333333333331</v>
      </c>
    </row>
    <row r="377" spans="1:68" ht="27" customHeight="1" x14ac:dyDescent="0.25">
      <c r="A377" s="63" t="s">
        <v>626</v>
      </c>
      <c r="B377" s="63" t="s">
        <v>627</v>
      </c>
      <c r="C377" s="36">
        <v>4301020179</v>
      </c>
      <c r="D377" s="643">
        <v>4607091384178</v>
      </c>
      <c r="E377" s="643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8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645"/>
      <c r="R377" s="645"/>
      <c r="S377" s="645"/>
      <c r="T377" s="646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39</v>
      </c>
      <c r="X378" s="43">
        <f>IFERROR(X376/H376,"0")+IFERROR(X377/H377,"0")</f>
        <v>10</v>
      </c>
      <c r="Y378" s="43">
        <f>IFERROR(Y376/H376,"0")+IFERROR(Y377/H377,"0")</f>
        <v>10</v>
      </c>
      <c r="Z378" s="43">
        <f>IFERROR(IF(Z376="",0,Z376),"0")+IFERROR(IF(Z377="",0,Z377),"0")</f>
        <v>0.21749999999999997</v>
      </c>
      <c r="AA378" s="67"/>
      <c r="AB378" s="67"/>
      <c r="AC378" s="67"/>
    </row>
    <row r="379" spans="1:68" x14ac:dyDescent="0.2">
      <c r="A379" s="651"/>
      <c r="B379" s="651"/>
      <c r="C379" s="651"/>
      <c r="D379" s="651"/>
      <c r="E379" s="651"/>
      <c r="F379" s="651"/>
      <c r="G379" s="651"/>
      <c r="H379" s="651"/>
      <c r="I379" s="651"/>
      <c r="J379" s="651"/>
      <c r="K379" s="651"/>
      <c r="L379" s="651"/>
      <c r="M379" s="651"/>
      <c r="N379" s="651"/>
      <c r="O379" s="652"/>
      <c r="P379" s="648" t="s">
        <v>40</v>
      </c>
      <c r="Q379" s="649"/>
      <c r="R379" s="649"/>
      <c r="S379" s="649"/>
      <c r="T379" s="649"/>
      <c r="U379" s="649"/>
      <c r="V379" s="650"/>
      <c r="W379" s="42" t="s">
        <v>0</v>
      </c>
      <c r="X379" s="43">
        <f>IFERROR(SUM(X376:X377),"0")</f>
        <v>150</v>
      </c>
      <c r="Y379" s="43">
        <f>IFERROR(SUM(Y376:Y377),"0")</f>
        <v>150</v>
      </c>
      <c r="Z379" s="42"/>
      <c r="AA379" s="67"/>
      <c r="AB379" s="67"/>
      <c r="AC379" s="67"/>
    </row>
    <row r="380" spans="1:68" ht="14.25" customHeight="1" x14ac:dyDescent="0.25">
      <c r="A380" s="642" t="s">
        <v>87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6"/>
      <c r="AB380" s="66"/>
      <c r="AC380" s="80"/>
    </row>
    <row r="381" spans="1:68" ht="27" customHeight="1" x14ac:dyDescent="0.25">
      <c r="A381" s="63" t="s">
        <v>629</v>
      </c>
      <c r="B381" s="63" t="s">
        <v>630</v>
      </c>
      <c r="C381" s="36">
        <v>4301051903</v>
      </c>
      <c r="D381" s="643">
        <v>4607091383928</v>
      </c>
      <c r="E381" s="643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8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645"/>
      <c r="R381" s="645"/>
      <c r="S381" s="645"/>
      <c r="T381" s="64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632</v>
      </c>
      <c r="B382" s="63" t="s">
        <v>633</v>
      </c>
      <c r="C382" s="36">
        <v>4301051897</v>
      </c>
      <c r="D382" s="643">
        <v>4607091384260</v>
      </c>
      <c r="E382" s="643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8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645"/>
      <c r="R382" s="645"/>
      <c r="S382" s="645"/>
      <c r="T382" s="64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51"/>
      <c r="B383" s="651"/>
      <c r="C383" s="651"/>
      <c r="D383" s="651"/>
      <c r="E383" s="651"/>
      <c r="F383" s="651"/>
      <c r="G383" s="651"/>
      <c r="H383" s="651"/>
      <c r="I383" s="651"/>
      <c r="J383" s="651"/>
      <c r="K383" s="651"/>
      <c r="L383" s="651"/>
      <c r="M383" s="651"/>
      <c r="N383" s="651"/>
      <c r="O383" s="652"/>
      <c r="P383" s="648" t="s">
        <v>40</v>
      </c>
      <c r="Q383" s="649"/>
      <c r="R383" s="649"/>
      <c r="S383" s="649"/>
      <c r="T383" s="649"/>
      <c r="U383" s="649"/>
      <c r="V383" s="650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customHeight="1" x14ac:dyDescent="0.25">
      <c r="A385" s="642" t="s">
        <v>176</v>
      </c>
      <c r="B385" s="642"/>
      <c r="C385" s="642"/>
      <c r="D385" s="642"/>
      <c r="E385" s="642"/>
      <c r="F385" s="642"/>
      <c r="G385" s="642"/>
      <c r="H385" s="642"/>
      <c r="I385" s="642"/>
      <c r="J385" s="642"/>
      <c r="K385" s="642"/>
      <c r="L385" s="642"/>
      <c r="M385" s="642"/>
      <c r="N385" s="642"/>
      <c r="O385" s="642"/>
      <c r="P385" s="642"/>
      <c r="Q385" s="642"/>
      <c r="R385" s="642"/>
      <c r="S385" s="642"/>
      <c r="T385" s="642"/>
      <c r="U385" s="642"/>
      <c r="V385" s="642"/>
      <c r="W385" s="642"/>
      <c r="X385" s="642"/>
      <c r="Y385" s="642"/>
      <c r="Z385" s="642"/>
      <c r="AA385" s="66"/>
      <c r="AB385" s="66"/>
      <c r="AC385" s="80"/>
    </row>
    <row r="386" spans="1:68" ht="16.5" customHeight="1" x14ac:dyDescent="0.25">
      <c r="A386" s="63" t="s">
        <v>635</v>
      </c>
      <c r="B386" s="63" t="s">
        <v>636</v>
      </c>
      <c r="C386" s="36">
        <v>4301060524</v>
      </c>
      <c r="D386" s="643">
        <v>4607091384673</v>
      </c>
      <c r="E386" s="643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645"/>
      <c r="R386" s="645"/>
      <c r="S386" s="645"/>
      <c r="T386" s="64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51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52"/>
      <c r="P387" s="648" t="s">
        <v>40</v>
      </c>
      <c r="Q387" s="649"/>
      <c r="R387" s="649"/>
      <c r="S387" s="649"/>
      <c r="T387" s="649"/>
      <c r="U387" s="649"/>
      <c r="V387" s="650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customHeight="1" x14ac:dyDescent="0.25">
      <c r="A389" s="641" t="s">
        <v>638</v>
      </c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1"/>
      <c r="P389" s="641"/>
      <c r="Q389" s="641"/>
      <c r="R389" s="641"/>
      <c r="S389" s="641"/>
      <c r="T389" s="641"/>
      <c r="U389" s="641"/>
      <c r="V389" s="641"/>
      <c r="W389" s="641"/>
      <c r="X389" s="641"/>
      <c r="Y389" s="641"/>
      <c r="Z389" s="641"/>
      <c r="AA389" s="65"/>
      <c r="AB389" s="65"/>
      <c r="AC389" s="79"/>
    </row>
    <row r="390" spans="1:68" ht="14.25" customHeight="1" x14ac:dyDescent="0.25">
      <c r="A390" s="642" t="s">
        <v>122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6"/>
      <c r="AB390" s="66"/>
      <c r="AC390" s="80"/>
    </row>
    <row r="391" spans="1:68" ht="37.5" customHeight="1" x14ac:dyDescent="0.25">
      <c r="A391" s="63" t="s">
        <v>639</v>
      </c>
      <c r="B391" s="63" t="s">
        <v>640</v>
      </c>
      <c r="C391" s="36">
        <v>4301011875</v>
      </c>
      <c r="D391" s="643">
        <v>4680115884885</v>
      </c>
      <c r="E391" s="643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8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645"/>
      <c r="R391" s="645"/>
      <c r="S391" s="645"/>
      <c r="T391" s="646"/>
      <c r="U391" s="39" t="s">
        <v>46</v>
      </c>
      <c r="V391" s="39" t="s">
        <v>46</v>
      </c>
      <c r="W391" s="40" t="s">
        <v>0</v>
      </c>
      <c r="X391" s="58"/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37.5" customHeight="1" x14ac:dyDescent="0.25">
      <c r="A392" s="63" t="s">
        <v>642</v>
      </c>
      <c r="B392" s="63" t="s">
        <v>643</v>
      </c>
      <c r="C392" s="36">
        <v>4301011871</v>
      </c>
      <c r="D392" s="643">
        <v>4680115884908</v>
      </c>
      <c r="E392" s="643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8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645"/>
      <c r="R392" s="645"/>
      <c r="S392" s="645"/>
      <c r="T392" s="64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51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52"/>
      <c r="P393" s="648" t="s">
        <v>40</v>
      </c>
      <c r="Q393" s="649"/>
      <c r="R393" s="649"/>
      <c r="S393" s="649"/>
      <c r="T393" s="649"/>
      <c r="U393" s="649"/>
      <c r="V393" s="650"/>
      <c r="W393" s="42" t="s">
        <v>39</v>
      </c>
      <c r="X393" s="43">
        <f>IFERROR(X391/H391,"0")+IFERROR(X392/H392,"0")</f>
        <v>0</v>
      </c>
      <c r="Y393" s="43">
        <f>IFERROR(Y391/H391,"0")+IFERROR(Y392/H392,"0")</f>
        <v>0</v>
      </c>
      <c r="Z393" s="43">
        <f>IFERROR(IF(Z391="",0,Z391),"0")+IFERROR(IF(Z392="",0,Z392),"0")</f>
        <v>0</v>
      </c>
      <c r="AA393" s="67"/>
      <c r="AB393" s="67"/>
      <c r="AC393" s="67"/>
    </row>
    <row r="394" spans="1:68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2" t="s">
        <v>0</v>
      </c>
      <c r="X394" s="43">
        <f>IFERROR(SUM(X391:X392),"0")</f>
        <v>0</v>
      </c>
      <c r="Y394" s="43">
        <f>IFERROR(SUM(Y391:Y392),"0")</f>
        <v>0</v>
      </c>
      <c r="Z394" s="42"/>
      <c r="AA394" s="67"/>
      <c r="AB394" s="67"/>
      <c r="AC394" s="67"/>
    </row>
    <row r="395" spans="1:68" ht="14.25" customHeight="1" x14ac:dyDescent="0.25">
      <c r="A395" s="642" t="s">
        <v>77</v>
      </c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42"/>
      <c r="P395" s="642"/>
      <c r="Q395" s="642"/>
      <c r="R395" s="642"/>
      <c r="S395" s="642"/>
      <c r="T395" s="642"/>
      <c r="U395" s="642"/>
      <c r="V395" s="642"/>
      <c r="W395" s="642"/>
      <c r="X395" s="642"/>
      <c r="Y395" s="642"/>
      <c r="Z395" s="642"/>
      <c r="AA395" s="66"/>
      <c r="AB395" s="66"/>
      <c r="AC395" s="80"/>
    </row>
    <row r="396" spans="1:68" ht="27" customHeight="1" x14ac:dyDescent="0.25">
      <c r="A396" s="63" t="s">
        <v>644</v>
      </c>
      <c r="B396" s="63" t="s">
        <v>645</v>
      </c>
      <c r="C396" s="36">
        <v>4301031457</v>
      </c>
      <c r="D396" s="643">
        <v>4607091384802</v>
      </c>
      <c r="E396" s="643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8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645"/>
      <c r="R396" s="645"/>
      <c r="S396" s="645"/>
      <c r="T396" s="64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customHeight="1" x14ac:dyDescent="0.25">
      <c r="A399" s="642" t="s">
        <v>87</v>
      </c>
      <c r="B399" s="642"/>
      <c r="C399" s="642"/>
      <c r="D399" s="642"/>
      <c r="E399" s="642"/>
      <c r="F399" s="642"/>
      <c r="G399" s="642"/>
      <c r="H399" s="642"/>
      <c r="I399" s="642"/>
      <c r="J399" s="642"/>
      <c r="K399" s="642"/>
      <c r="L399" s="642"/>
      <c r="M399" s="642"/>
      <c r="N399" s="642"/>
      <c r="O399" s="642"/>
      <c r="P399" s="642"/>
      <c r="Q399" s="642"/>
      <c r="R399" s="642"/>
      <c r="S399" s="642"/>
      <c r="T399" s="642"/>
      <c r="U399" s="642"/>
      <c r="V399" s="642"/>
      <c r="W399" s="642"/>
      <c r="X399" s="642"/>
      <c r="Y399" s="642"/>
      <c r="Z399" s="642"/>
      <c r="AA399" s="66"/>
      <c r="AB399" s="66"/>
      <c r="AC399" s="80"/>
    </row>
    <row r="400" spans="1:68" ht="27" customHeight="1" x14ac:dyDescent="0.25">
      <c r="A400" s="63" t="s">
        <v>647</v>
      </c>
      <c r="B400" s="63" t="s">
        <v>648</v>
      </c>
      <c r="C400" s="36">
        <v>4301051899</v>
      </c>
      <c r="D400" s="643">
        <v>4607091384246</v>
      </c>
      <c r="E400" s="643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8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645"/>
      <c r="R400" s="645"/>
      <c r="S400" s="645"/>
      <c r="T400" s="64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650</v>
      </c>
      <c r="B401" s="63" t="s">
        <v>651</v>
      </c>
      <c r="C401" s="36">
        <v>4301051660</v>
      </c>
      <c r="D401" s="643">
        <v>4607091384253</v>
      </c>
      <c r="E401" s="643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645"/>
      <c r="R401" s="645"/>
      <c r="S401" s="645"/>
      <c r="T401" s="64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650</v>
      </c>
      <c r="B402" s="63" t="s">
        <v>652</v>
      </c>
      <c r="C402" s="36">
        <v>4301052069</v>
      </c>
      <c r="D402" s="643">
        <v>4607091384253</v>
      </c>
      <c r="E402" s="643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84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645"/>
      <c r="R402" s="645"/>
      <c r="S402" s="645"/>
      <c r="T402" s="64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customHeight="1" x14ac:dyDescent="0.2">
      <c r="A405" s="640" t="s">
        <v>654</v>
      </c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  <c r="AA405" s="54"/>
      <c r="AB405" s="54"/>
      <c r="AC405" s="54"/>
    </row>
    <row r="406" spans="1:68" ht="16.5" customHeight="1" x14ac:dyDescent="0.25">
      <c r="A406" s="641" t="s">
        <v>655</v>
      </c>
      <c r="B406" s="641"/>
      <c r="C406" s="641"/>
      <c r="D406" s="641"/>
      <c r="E406" s="641"/>
      <c r="F406" s="641"/>
      <c r="G406" s="641"/>
      <c r="H406" s="641"/>
      <c r="I406" s="641"/>
      <c r="J406" s="641"/>
      <c r="K406" s="641"/>
      <c r="L406" s="641"/>
      <c r="M406" s="641"/>
      <c r="N406" s="641"/>
      <c r="O406" s="641"/>
      <c r="P406" s="641"/>
      <c r="Q406" s="641"/>
      <c r="R406" s="641"/>
      <c r="S406" s="641"/>
      <c r="T406" s="641"/>
      <c r="U406" s="641"/>
      <c r="V406" s="641"/>
      <c r="W406" s="641"/>
      <c r="X406" s="641"/>
      <c r="Y406" s="641"/>
      <c r="Z406" s="641"/>
      <c r="AA406" s="65"/>
      <c r="AB406" s="65"/>
      <c r="AC406" s="79"/>
    </row>
    <row r="407" spans="1:68" ht="14.25" customHeight="1" x14ac:dyDescent="0.25">
      <c r="A407" s="642" t="s">
        <v>77</v>
      </c>
      <c r="B407" s="642"/>
      <c r="C407" s="642"/>
      <c r="D407" s="642"/>
      <c r="E407" s="642"/>
      <c r="F407" s="642"/>
      <c r="G407" s="642"/>
      <c r="H407" s="642"/>
      <c r="I407" s="642"/>
      <c r="J407" s="642"/>
      <c r="K407" s="642"/>
      <c r="L407" s="642"/>
      <c r="M407" s="642"/>
      <c r="N407" s="642"/>
      <c r="O407" s="642"/>
      <c r="P407" s="642"/>
      <c r="Q407" s="642"/>
      <c r="R407" s="642"/>
      <c r="S407" s="642"/>
      <c r="T407" s="642"/>
      <c r="U407" s="642"/>
      <c r="V407" s="642"/>
      <c r="W407" s="642"/>
      <c r="X407" s="642"/>
      <c r="Y407" s="642"/>
      <c r="Z407" s="642"/>
      <c r="AA407" s="66"/>
      <c r="AB407" s="66"/>
      <c r="AC407" s="80"/>
    </row>
    <row r="408" spans="1:68" ht="27" customHeight="1" x14ac:dyDescent="0.25">
      <c r="A408" s="63" t="s">
        <v>656</v>
      </c>
      <c r="B408" s="63" t="s">
        <v>657</v>
      </c>
      <c r="C408" s="36">
        <v>4301031405</v>
      </c>
      <c r="D408" s="643">
        <v>4680115886100</v>
      </c>
      <c r="E408" s="64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645"/>
      <c r="R408" s="645"/>
      <c r="S408" s="645"/>
      <c r="T408" s="646"/>
      <c r="U408" s="39" t="s">
        <v>46</v>
      </c>
      <c r="V408" s="39" t="s">
        <v>46</v>
      </c>
      <c r="W408" s="40" t="s">
        <v>0</v>
      </c>
      <c r="X408" s="58">
        <v>15</v>
      </c>
      <c r="Y408" s="55">
        <f t="shared" ref="Y408:Y416" si="53">IFERROR(IF(X408="",0,CEILING((X408/$H408),1)*$H408),"")</f>
        <v>16.200000000000003</v>
      </c>
      <c r="Z408" s="41">
        <f>IFERROR(IF(Y408=0,"",ROUNDUP(Y408/H408,0)*0.00902),"")</f>
        <v>2.7060000000000001E-2</v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15.527777777777775</v>
      </c>
      <c r="BN408" s="78">
        <f t="shared" ref="BN408:BN416" si="55">IFERROR(Y408*I408/H408,"0")</f>
        <v>16.77</v>
      </c>
      <c r="BO408" s="78">
        <f t="shared" ref="BO408:BO416" si="56">IFERROR(1/J408*(X408/H408),"0")</f>
        <v>2.1043771043771045E-2</v>
      </c>
      <c r="BP408" s="78">
        <f t="shared" ref="BP408:BP416" si="57">IFERROR(1/J408*(Y408/H408),"0")</f>
        <v>2.2727272727272731E-2</v>
      </c>
    </row>
    <row r="409" spans="1:68" ht="27" customHeight="1" x14ac:dyDescent="0.25">
      <c r="A409" s="63" t="s">
        <v>659</v>
      </c>
      <c r="B409" s="63" t="s">
        <v>660</v>
      </c>
      <c r="C409" s="36">
        <v>4301031406</v>
      </c>
      <c r="D409" s="643">
        <v>4680115886117</v>
      </c>
      <c r="E409" s="643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645"/>
      <c r="R409" s="645"/>
      <c r="S409" s="645"/>
      <c r="T409" s="646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customHeight="1" x14ac:dyDescent="0.25">
      <c r="A410" s="63" t="s">
        <v>662</v>
      </c>
      <c r="B410" s="63" t="s">
        <v>663</v>
      </c>
      <c r="C410" s="36">
        <v>4301031402</v>
      </c>
      <c r="D410" s="643">
        <v>4680115886124</v>
      </c>
      <c r="E410" s="643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8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645"/>
      <c r="R410" s="645"/>
      <c r="S410" s="645"/>
      <c r="T410" s="646"/>
      <c r="U410" s="39" t="s">
        <v>46</v>
      </c>
      <c r="V410" s="39" t="s">
        <v>46</v>
      </c>
      <c r="W410" s="40" t="s">
        <v>0</v>
      </c>
      <c r="X410" s="58">
        <v>15</v>
      </c>
      <c r="Y410" s="55">
        <f t="shared" si="53"/>
        <v>16.200000000000003</v>
      </c>
      <c r="Z410" s="41">
        <f>IFERROR(IF(Y410=0,"",ROUNDUP(Y410/H410,0)*0.00902),"")</f>
        <v>2.7060000000000001E-2</v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15.527777777777775</v>
      </c>
      <c r="BN410" s="78">
        <f t="shared" si="55"/>
        <v>16.77</v>
      </c>
      <c r="BO410" s="78">
        <f t="shared" si="56"/>
        <v>2.1043771043771045E-2</v>
      </c>
      <c r="BP410" s="78">
        <f t="shared" si="57"/>
        <v>2.2727272727272731E-2</v>
      </c>
    </row>
    <row r="411" spans="1:68" ht="27" customHeight="1" x14ac:dyDescent="0.25">
      <c r="A411" s="63" t="s">
        <v>665</v>
      </c>
      <c r="B411" s="63" t="s">
        <v>666</v>
      </c>
      <c r="C411" s="36">
        <v>4301031366</v>
      </c>
      <c r="D411" s="643">
        <v>4680115883147</v>
      </c>
      <c r="E411" s="643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8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645"/>
      <c r="R411" s="645"/>
      <c r="S411" s="645"/>
      <c r="T411" s="646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customHeight="1" x14ac:dyDescent="0.25">
      <c r="A412" s="63" t="s">
        <v>667</v>
      </c>
      <c r="B412" s="63" t="s">
        <v>668</v>
      </c>
      <c r="C412" s="36">
        <v>4301031362</v>
      </c>
      <c r="D412" s="643">
        <v>4607091384338</v>
      </c>
      <c r="E412" s="643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8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645"/>
      <c r="R412" s="645"/>
      <c r="S412" s="645"/>
      <c r="T412" s="646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customHeight="1" x14ac:dyDescent="0.25">
      <c r="A413" s="63" t="s">
        <v>669</v>
      </c>
      <c r="B413" s="63" t="s">
        <v>670</v>
      </c>
      <c r="C413" s="36">
        <v>4301031361</v>
      </c>
      <c r="D413" s="643">
        <v>4607091389524</v>
      </c>
      <c r="E413" s="643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85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645"/>
      <c r="R413" s="645"/>
      <c r="S413" s="645"/>
      <c r="T413" s="646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customHeight="1" x14ac:dyDescent="0.25">
      <c r="A414" s="63" t="s">
        <v>672</v>
      </c>
      <c r="B414" s="63" t="s">
        <v>673</v>
      </c>
      <c r="C414" s="36">
        <v>4301031364</v>
      </c>
      <c r="D414" s="643">
        <v>4680115883161</v>
      </c>
      <c r="E414" s="643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85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645"/>
      <c r="R414" s="645"/>
      <c r="S414" s="645"/>
      <c r="T414" s="646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customHeight="1" x14ac:dyDescent="0.25">
      <c r="A415" s="63" t="s">
        <v>675</v>
      </c>
      <c r="B415" s="63" t="s">
        <v>676</v>
      </c>
      <c r="C415" s="36">
        <v>4301031358</v>
      </c>
      <c r="D415" s="643">
        <v>4607091389531</v>
      </c>
      <c r="E415" s="64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8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645"/>
      <c r="R415" s="645"/>
      <c r="S415" s="645"/>
      <c r="T415" s="646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customHeight="1" x14ac:dyDescent="0.25">
      <c r="A416" s="63" t="s">
        <v>678</v>
      </c>
      <c r="B416" s="63" t="s">
        <v>679</v>
      </c>
      <c r="C416" s="36">
        <v>4301031360</v>
      </c>
      <c r="D416" s="643">
        <v>4607091384345</v>
      </c>
      <c r="E416" s="643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85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645"/>
      <c r="R416" s="645"/>
      <c r="S416" s="645"/>
      <c r="T416" s="646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x14ac:dyDescent="0.2">
      <c r="A417" s="651"/>
      <c r="B417" s="651"/>
      <c r="C417" s="651"/>
      <c r="D417" s="651"/>
      <c r="E417" s="651"/>
      <c r="F417" s="651"/>
      <c r="G417" s="651"/>
      <c r="H417" s="651"/>
      <c r="I417" s="651"/>
      <c r="J417" s="651"/>
      <c r="K417" s="651"/>
      <c r="L417" s="651"/>
      <c r="M417" s="651"/>
      <c r="N417" s="651"/>
      <c r="O417" s="652"/>
      <c r="P417" s="648" t="s">
        <v>40</v>
      </c>
      <c r="Q417" s="649"/>
      <c r="R417" s="649"/>
      <c r="S417" s="649"/>
      <c r="T417" s="649"/>
      <c r="U417" s="649"/>
      <c r="V417" s="650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5.5555555555555554</v>
      </c>
      <c r="Y417" s="43">
        <f>IFERROR(Y408/H408,"0")+IFERROR(Y409/H409,"0")+IFERROR(Y410/H410,"0")+IFERROR(Y411/H411,"0")+IFERROR(Y412/H412,"0")+IFERROR(Y413/H413,"0")+IFERROR(Y414/H414,"0")+IFERROR(Y415/H415,"0")+IFERROR(Y416/H416,"0")</f>
        <v>6.0000000000000009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5.4120000000000001E-2</v>
      </c>
      <c r="AA417" s="67"/>
      <c r="AB417" s="67"/>
      <c r="AC417" s="67"/>
    </row>
    <row r="418" spans="1:68" x14ac:dyDescent="0.2">
      <c r="A418" s="651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2"/>
      <c r="P418" s="648" t="s">
        <v>40</v>
      </c>
      <c r="Q418" s="649"/>
      <c r="R418" s="649"/>
      <c r="S418" s="649"/>
      <c r="T418" s="649"/>
      <c r="U418" s="649"/>
      <c r="V418" s="650"/>
      <c r="W418" s="42" t="s">
        <v>0</v>
      </c>
      <c r="X418" s="43">
        <f>IFERROR(SUM(X408:X416),"0")</f>
        <v>30</v>
      </c>
      <c r="Y418" s="43">
        <f>IFERROR(SUM(Y408:Y416),"0")</f>
        <v>32.400000000000006</v>
      </c>
      <c r="Z418" s="42"/>
      <c r="AA418" s="67"/>
      <c r="AB418" s="67"/>
      <c r="AC418" s="67"/>
    </row>
    <row r="419" spans="1:68" ht="14.25" customHeight="1" x14ac:dyDescent="0.25">
      <c r="A419" s="642" t="s">
        <v>87</v>
      </c>
      <c r="B419" s="642"/>
      <c r="C419" s="642"/>
      <c r="D419" s="642"/>
      <c r="E419" s="642"/>
      <c r="F419" s="642"/>
      <c r="G419" s="642"/>
      <c r="H419" s="642"/>
      <c r="I419" s="642"/>
      <c r="J419" s="642"/>
      <c r="K419" s="642"/>
      <c r="L419" s="642"/>
      <c r="M419" s="642"/>
      <c r="N419" s="642"/>
      <c r="O419" s="642"/>
      <c r="P419" s="642"/>
      <c r="Q419" s="642"/>
      <c r="R419" s="642"/>
      <c r="S419" s="642"/>
      <c r="T419" s="642"/>
      <c r="U419" s="642"/>
      <c r="V419" s="642"/>
      <c r="W419" s="642"/>
      <c r="X419" s="642"/>
      <c r="Y419" s="642"/>
      <c r="Z419" s="642"/>
      <c r="AA419" s="66"/>
      <c r="AB419" s="66"/>
      <c r="AC419" s="80"/>
    </row>
    <row r="420" spans="1:68" ht="27" customHeight="1" x14ac:dyDescent="0.25">
      <c r="A420" s="63" t="s">
        <v>680</v>
      </c>
      <c r="B420" s="63" t="s">
        <v>681</v>
      </c>
      <c r="C420" s="36">
        <v>4301051284</v>
      </c>
      <c r="D420" s="643">
        <v>4607091384352</v>
      </c>
      <c r="E420" s="643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85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645"/>
      <c r="R420" s="645"/>
      <c r="S420" s="645"/>
      <c r="T420" s="64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683</v>
      </c>
      <c r="B421" s="63" t="s">
        <v>684</v>
      </c>
      <c r="C421" s="36">
        <v>4301051431</v>
      </c>
      <c r="D421" s="643">
        <v>4607091389654</v>
      </c>
      <c r="E421" s="643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8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645"/>
      <c r="R421" s="645"/>
      <c r="S421" s="645"/>
      <c r="T421" s="64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customHeight="1" x14ac:dyDescent="0.25">
      <c r="A424" s="641" t="s">
        <v>686</v>
      </c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1"/>
      <c r="P424" s="641"/>
      <c r="Q424" s="641"/>
      <c r="R424" s="641"/>
      <c r="S424" s="641"/>
      <c r="T424" s="641"/>
      <c r="U424" s="641"/>
      <c r="V424" s="641"/>
      <c r="W424" s="641"/>
      <c r="X424" s="641"/>
      <c r="Y424" s="641"/>
      <c r="Z424" s="641"/>
      <c r="AA424" s="65"/>
      <c r="AB424" s="65"/>
      <c r="AC424" s="79"/>
    </row>
    <row r="425" spans="1:68" ht="14.25" customHeight="1" x14ac:dyDescent="0.25">
      <c r="A425" s="642" t="s">
        <v>156</v>
      </c>
      <c r="B425" s="642"/>
      <c r="C425" s="642"/>
      <c r="D425" s="642"/>
      <c r="E425" s="642"/>
      <c r="F425" s="642"/>
      <c r="G425" s="642"/>
      <c r="H425" s="642"/>
      <c r="I425" s="642"/>
      <c r="J425" s="642"/>
      <c r="K425" s="642"/>
      <c r="L425" s="642"/>
      <c r="M425" s="642"/>
      <c r="N425" s="642"/>
      <c r="O425" s="642"/>
      <c r="P425" s="642"/>
      <c r="Q425" s="642"/>
      <c r="R425" s="642"/>
      <c r="S425" s="642"/>
      <c r="T425" s="642"/>
      <c r="U425" s="642"/>
      <c r="V425" s="642"/>
      <c r="W425" s="642"/>
      <c r="X425" s="642"/>
      <c r="Y425" s="642"/>
      <c r="Z425" s="642"/>
      <c r="AA425" s="66"/>
      <c r="AB425" s="66"/>
      <c r="AC425" s="80"/>
    </row>
    <row r="426" spans="1:68" ht="27" customHeight="1" x14ac:dyDescent="0.25">
      <c r="A426" s="63" t="s">
        <v>687</v>
      </c>
      <c r="B426" s="63" t="s">
        <v>688</v>
      </c>
      <c r="C426" s="36">
        <v>4301020416</v>
      </c>
      <c r="D426" s="643">
        <v>4680115885240</v>
      </c>
      <c r="E426" s="643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8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645"/>
      <c r="R426" s="645"/>
      <c r="S426" s="645"/>
      <c r="T426" s="646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x14ac:dyDescent="0.2">
      <c r="A428" s="651"/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2"/>
      <c r="P428" s="648" t="s">
        <v>40</v>
      </c>
      <c r="Q428" s="649"/>
      <c r="R428" s="649"/>
      <c r="S428" s="649"/>
      <c r="T428" s="649"/>
      <c r="U428" s="649"/>
      <c r="V428" s="650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customHeight="1" x14ac:dyDescent="0.25">
      <c r="A429" s="642" t="s">
        <v>77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6"/>
      <c r="AB429" s="66"/>
      <c r="AC429" s="80"/>
    </row>
    <row r="430" spans="1:68" ht="27" customHeight="1" x14ac:dyDescent="0.25">
      <c r="A430" s="63" t="s">
        <v>690</v>
      </c>
      <c r="B430" s="63" t="s">
        <v>691</v>
      </c>
      <c r="C430" s="36">
        <v>4301031407</v>
      </c>
      <c r="D430" s="643">
        <v>4680115886094</v>
      </c>
      <c r="E430" s="643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86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645"/>
      <c r="R430" s="645"/>
      <c r="S430" s="645"/>
      <c r="T430" s="646"/>
      <c r="U430" s="39" t="s">
        <v>46</v>
      </c>
      <c r="V430" s="39" t="s">
        <v>46</v>
      </c>
      <c r="W430" s="40" t="s">
        <v>0</v>
      </c>
      <c r="X430" s="58">
        <v>10</v>
      </c>
      <c r="Y430" s="55">
        <f>IFERROR(IF(X430="",0,CEILING((X430/$H430),1)*$H430),"")</f>
        <v>10.8</v>
      </c>
      <c r="Z430" s="41">
        <f>IFERROR(IF(Y430=0,"",ROUNDUP(Y430/H430,0)*0.00902),"")</f>
        <v>1.804E-2</v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10.351851851851851</v>
      </c>
      <c r="BN430" s="78">
        <f>IFERROR(Y430*I430/H430,"0")</f>
        <v>11.18</v>
      </c>
      <c r="BO430" s="78">
        <f>IFERROR(1/J430*(X430/H430),"0")</f>
        <v>1.4029180695847361E-2</v>
      </c>
      <c r="BP430" s="78">
        <f>IFERROR(1/J430*(Y430/H430),"0")</f>
        <v>1.5151515151515152E-2</v>
      </c>
    </row>
    <row r="431" spans="1:68" ht="27" customHeight="1" x14ac:dyDescent="0.25">
      <c r="A431" s="63" t="s">
        <v>693</v>
      </c>
      <c r="B431" s="63" t="s">
        <v>694</v>
      </c>
      <c r="C431" s="36">
        <v>4301031373</v>
      </c>
      <c r="D431" s="643">
        <v>4680115880771</v>
      </c>
      <c r="E431" s="643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86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645"/>
      <c r="R431" s="645"/>
      <c r="S431" s="645"/>
      <c r="T431" s="64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696</v>
      </c>
      <c r="B432" s="63" t="s">
        <v>697</v>
      </c>
      <c r="C432" s="36">
        <v>4301031359</v>
      </c>
      <c r="D432" s="643">
        <v>4607091389500</v>
      </c>
      <c r="E432" s="643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645"/>
      <c r="R432" s="645"/>
      <c r="S432" s="645"/>
      <c r="T432" s="64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51"/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2"/>
      <c r="P433" s="648" t="s">
        <v>40</v>
      </c>
      <c r="Q433" s="649"/>
      <c r="R433" s="649"/>
      <c r="S433" s="649"/>
      <c r="T433" s="649"/>
      <c r="U433" s="649"/>
      <c r="V433" s="650"/>
      <c r="W433" s="42" t="s">
        <v>39</v>
      </c>
      <c r="X433" s="43">
        <f>IFERROR(X430/H430,"0")+IFERROR(X431/H431,"0")+IFERROR(X432/H432,"0")</f>
        <v>1.8518518518518516</v>
      </c>
      <c r="Y433" s="43">
        <f>IFERROR(Y430/H430,"0")+IFERROR(Y431/H431,"0")+IFERROR(Y432/H432,"0")</f>
        <v>2</v>
      </c>
      <c r="Z433" s="43">
        <f>IFERROR(IF(Z430="",0,Z430),"0")+IFERROR(IF(Z431="",0,Z431),"0")+IFERROR(IF(Z432="",0,Z432),"0")</f>
        <v>1.804E-2</v>
      </c>
      <c r="AA433" s="67"/>
      <c r="AB433" s="67"/>
      <c r="AC433" s="67"/>
    </row>
    <row r="434" spans="1:68" x14ac:dyDescent="0.2">
      <c r="A434" s="651"/>
      <c r="B434" s="651"/>
      <c r="C434" s="651"/>
      <c r="D434" s="651"/>
      <c r="E434" s="651"/>
      <c r="F434" s="651"/>
      <c r="G434" s="651"/>
      <c r="H434" s="651"/>
      <c r="I434" s="651"/>
      <c r="J434" s="651"/>
      <c r="K434" s="651"/>
      <c r="L434" s="651"/>
      <c r="M434" s="651"/>
      <c r="N434" s="651"/>
      <c r="O434" s="652"/>
      <c r="P434" s="648" t="s">
        <v>40</v>
      </c>
      <c r="Q434" s="649"/>
      <c r="R434" s="649"/>
      <c r="S434" s="649"/>
      <c r="T434" s="649"/>
      <c r="U434" s="649"/>
      <c r="V434" s="650"/>
      <c r="W434" s="42" t="s">
        <v>0</v>
      </c>
      <c r="X434" s="43">
        <f>IFERROR(SUM(X430:X432),"0")</f>
        <v>10</v>
      </c>
      <c r="Y434" s="43">
        <f>IFERROR(SUM(Y430:Y432),"0")</f>
        <v>10.8</v>
      </c>
      <c r="Z434" s="42"/>
      <c r="AA434" s="67"/>
      <c r="AB434" s="67"/>
      <c r="AC434" s="67"/>
    </row>
    <row r="435" spans="1:68" ht="16.5" customHeight="1" x14ac:dyDescent="0.25">
      <c r="A435" s="641" t="s">
        <v>698</v>
      </c>
      <c r="B435" s="641"/>
      <c r="C435" s="641"/>
      <c r="D435" s="641"/>
      <c r="E435" s="641"/>
      <c r="F435" s="641"/>
      <c r="G435" s="641"/>
      <c r="H435" s="641"/>
      <c r="I435" s="641"/>
      <c r="J435" s="641"/>
      <c r="K435" s="641"/>
      <c r="L435" s="641"/>
      <c r="M435" s="641"/>
      <c r="N435" s="641"/>
      <c r="O435" s="641"/>
      <c r="P435" s="641"/>
      <c r="Q435" s="641"/>
      <c r="R435" s="641"/>
      <c r="S435" s="641"/>
      <c r="T435" s="641"/>
      <c r="U435" s="641"/>
      <c r="V435" s="641"/>
      <c r="W435" s="641"/>
      <c r="X435" s="641"/>
      <c r="Y435" s="641"/>
      <c r="Z435" s="641"/>
      <c r="AA435" s="65"/>
      <c r="AB435" s="65"/>
      <c r="AC435" s="79"/>
    </row>
    <row r="436" spans="1:68" ht="14.25" customHeight="1" x14ac:dyDescent="0.25">
      <c r="A436" s="642" t="s">
        <v>77</v>
      </c>
      <c r="B436" s="642"/>
      <c r="C436" s="642"/>
      <c r="D436" s="642"/>
      <c r="E436" s="642"/>
      <c r="F436" s="642"/>
      <c r="G436" s="642"/>
      <c r="H436" s="642"/>
      <c r="I436" s="642"/>
      <c r="J436" s="642"/>
      <c r="K436" s="642"/>
      <c r="L436" s="642"/>
      <c r="M436" s="642"/>
      <c r="N436" s="642"/>
      <c r="O436" s="642"/>
      <c r="P436" s="642"/>
      <c r="Q436" s="642"/>
      <c r="R436" s="642"/>
      <c r="S436" s="642"/>
      <c r="T436" s="642"/>
      <c r="U436" s="642"/>
      <c r="V436" s="642"/>
      <c r="W436" s="642"/>
      <c r="X436" s="642"/>
      <c r="Y436" s="642"/>
      <c r="Z436" s="642"/>
      <c r="AA436" s="66"/>
      <c r="AB436" s="66"/>
      <c r="AC436" s="80"/>
    </row>
    <row r="437" spans="1:68" ht="27" customHeight="1" x14ac:dyDescent="0.25">
      <c r="A437" s="63" t="s">
        <v>699</v>
      </c>
      <c r="B437" s="63" t="s">
        <v>700</v>
      </c>
      <c r="C437" s="36">
        <v>4301031347</v>
      </c>
      <c r="D437" s="643">
        <v>4680115885110</v>
      </c>
      <c r="E437" s="643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8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645"/>
      <c r="R437" s="645"/>
      <c r="S437" s="645"/>
      <c r="T437" s="64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51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52"/>
      <c r="P438" s="648" t="s">
        <v>40</v>
      </c>
      <c r="Q438" s="649"/>
      <c r="R438" s="649"/>
      <c r="S438" s="649"/>
      <c r="T438" s="649"/>
      <c r="U438" s="649"/>
      <c r="V438" s="650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customHeight="1" x14ac:dyDescent="0.2">
      <c r="A440" s="640" t="s">
        <v>702</v>
      </c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  <c r="AA440" s="54"/>
      <c r="AB440" s="54"/>
      <c r="AC440" s="54"/>
    </row>
    <row r="441" spans="1:68" ht="16.5" customHeight="1" x14ac:dyDescent="0.25">
      <c r="A441" s="641" t="s">
        <v>702</v>
      </c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1"/>
      <c r="P441" s="641"/>
      <c r="Q441" s="641"/>
      <c r="R441" s="641"/>
      <c r="S441" s="641"/>
      <c r="T441" s="641"/>
      <c r="U441" s="641"/>
      <c r="V441" s="641"/>
      <c r="W441" s="641"/>
      <c r="X441" s="641"/>
      <c r="Y441" s="641"/>
      <c r="Z441" s="641"/>
      <c r="AA441" s="65"/>
      <c r="AB441" s="65"/>
      <c r="AC441" s="79"/>
    </row>
    <row r="442" spans="1:68" ht="14.25" customHeight="1" x14ac:dyDescent="0.25">
      <c r="A442" s="642" t="s">
        <v>122</v>
      </c>
      <c r="B442" s="642"/>
      <c r="C442" s="642"/>
      <c r="D442" s="642"/>
      <c r="E442" s="642"/>
      <c r="F442" s="642"/>
      <c r="G442" s="642"/>
      <c r="H442" s="642"/>
      <c r="I442" s="642"/>
      <c r="J442" s="642"/>
      <c r="K442" s="642"/>
      <c r="L442" s="642"/>
      <c r="M442" s="642"/>
      <c r="N442" s="642"/>
      <c r="O442" s="642"/>
      <c r="P442" s="642"/>
      <c r="Q442" s="642"/>
      <c r="R442" s="642"/>
      <c r="S442" s="642"/>
      <c r="T442" s="642"/>
      <c r="U442" s="642"/>
      <c r="V442" s="642"/>
      <c r="W442" s="642"/>
      <c r="X442" s="642"/>
      <c r="Y442" s="642"/>
      <c r="Z442" s="642"/>
      <c r="AA442" s="66"/>
      <c r="AB442" s="66"/>
      <c r="AC442" s="80"/>
    </row>
    <row r="443" spans="1:68" ht="27" customHeight="1" x14ac:dyDescent="0.25">
      <c r="A443" s="63" t="s">
        <v>703</v>
      </c>
      <c r="B443" s="63" t="s">
        <v>704</v>
      </c>
      <c r="C443" s="36">
        <v>4301011769</v>
      </c>
      <c r="D443" s="643">
        <v>4607091389067</v>
      </c>
      <c r="E443" s="64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645"/>
      <c r="R443" s="645"/>
      <c r="S443" s="645"/>
      <c r="T443" s="646"/>
      <c r="U443" s="39" t="s">
        <v>46</v>
      </c>
      <c r="V443" s="39" t="s">
        <v>46</v>
      </c>
      <c r="W443" s="40" t="s">
        <v>0</v>
      </c>
      <c r="X443" s="58"/>
      <c r="Y443" s="55">
        <f t="shared" ref="Y443:Y453" si="59">IFERROR(IF(X443="",0,CEILING((X443/$H443),1)*$H443),"")</f>
        <v>0</v>
      </c>
      <c r="Z443" s="41" t="str">
        <f t="shared" ref="Z443:Z448" si="60">IFERROR(IF(Y443=0,"",ROUNDUP(Y443/H443,0)*0.01196),"")</f>
        <v/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0</v>
      </c>
      <c r="BN443" s="78">
        <f t="shared" ref="BN443:BN453" si="62">IFERROR(Y443*I443/H443,"0")</f>
        <v>0</v>
      </c>
      <c r="BO443" s="78">
        <f t="shared" ref="BO443:BO453" si="63">IFERROR(1/J443*(X443/H443),"0")</f>
        <v>0</v>
      </c>
      <c r="BP443" s="78">
        <f t="shared" ref="BP443:BP453" si="64">IFERROR(1/J443*(Y443/H443),"0")</f>
        <v>0</v>
      </c>
    </row>
    <row r="444" spans="1:68" ht="27" customHeight="1" x14ac:dyDescent="0.25">
      <c r="A444" s="63" t="s">
        <v>705</v>
      </c>
      <c r="B444" s="63" t="s">
        <v>706</v>
      </c>
      <c r="C444" s="36">
        <v>4301012210</v>
      </c>
      <c r="D444" s="643">
        <v>4607091383522</v>
      </c>
      <c r="E444" s="64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86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645"/>
      <c r="R444" s="645"/>
      <c r="S444" s="645"/>
      <c r="T444" s="64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customHeight="1" x14ac:dyDescent="0.25">
      <c r="A445" s="63" t="s">
        <v>708</v>
      </c>
      <c r="B445" s="63" t="s">
        <v>709</v>
      </c>
      <c r="C445" s="36">
        <v>4301011961</v>
      </c>
      <c r="D445" s="643">
        <v>4680115885271</v>
      </c>
      <c r="E445" s="643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645"/>
      <c r="R445" s="645"/>
      <c r="S445" s="645"/>
      <c r="T445" s="646"/>
      <c r="U445" s="39" t="s">
        <v>46</v>
      </c>
      <c r="V445" s="39" t="s">
        <v>46</v>
      </c>
      <c r="W445" s="40" t="s">
        <v>0</v>
      </c>
      <c r="X445" s="58">
        <v>5</v>
      </c>
      <c r="Y445" s="55">
        <f t="shared" si="59"/>
        <v>5.28</v>
      </c>
      <c r="Z445" s="41">
        <f t="shared" si="60"/>
        <v>1.196E-2</v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5.3314393939393936</v>
      </c>
      <c r="BN445" s="78">
        <f t="shared" si="62"/>
        <v>5.63</v>
      </c>
      <c r="BO445" s="78">
        <f t="shared" si="63"/>
        <v>9.1054778554778559E-3</v>
      </c>
      <c r="BP445" s="78">
        <f t="shared" si="64"/>
        <v>9.6153846153846159E-3</v>
      </c>
    </row>
    <row r="446" spans="1:68" ht="27" customHeight="1" x14ac:dyDescent="0.25">
      <c r="A446" s="63" t="s">
        <v>711</v>
      </c>
      <c r="B446" s="63" t="s">
        <v>712</v>
      </c>
      <c r="C446" s="36">
        <v>4301011369</v>
      </c>
      <c r="D446" s="643">
        <v>4680115885226</v>
      </c>
      <c r="E446" s="643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645"/>
      <c r="R446" s="645"/>
      <c r="S446" s="645"/>
      <c r="T446" s="646"/>
      <c r="U446" s="39" t="s">
        <v>46</v>
      </c>
      <c r="V446" s="39" t="s">
        <v>46</v>
      </c>
      <c r="W446" s="40" t="s">
        <v>0</v>
      </c>
      <c r="X446" s="58">
        <v>70</v>
      </c>
      <c r="Y446" s="55">
        <f t="shared" si="59"/>
        <v>73.92</v>
      </c>
      <c r="Z446" s="41">
        <f t="shared" si="60"/>
        <v>0.16744000000000001</v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74.640151515151501</v>
      </c>
      <c r="BN446" s="78">
        <f t="shared" si="62"/>
        <v>78.819999999999993</v>
      </c>
      <c r="BO446" s="78">
        <f t="shared" si="63"/>
        <v>0.12747668997668998</v>
      </c>
      <c r="BP446" s="78">
        <f t="shared" si="64"/>
        <v>0.13461538461538464</v>
      </c>
    </row>
    <row r="447" spans="1:68" ht="16.5" customHeight="1" x14ac:dyDescent="0.25">
      <c r="A447" s="63" t="s">
        <v>714</v>
      </c>
      <c r="B447" s="63" t="s">
        <v>715</v>
      </c>
      <c r="C447" s="36">
        <v>4301011797</v>
      </c>
      <c r="D447" s="643">
        <v>4680115884502</v>
      </c>
      <c r="E447" s="643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645"/>
      <c r="R447" s="645"/>
      <c r="S447" s="645"/>
      <c r="T447" s="64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customHeight="1" x14ac:dyDescent="0.25">
      <c r="A448" s="63" t="s">
        <v>717</v>
      </c>
      <c r="B448" s="63" t="s">
        <v>718</v>
      </c>
      <c r="C448" s="36">
        <v>4301011771</v>
      </c>
      <c r="D448" s="643">
        <v>4607091389104</v>
      </c>
      <c r="E448" s="643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8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645"/>
      <c r="R448" s="645"/>
      <c r="S448" s="645"/>
      <c r="T448" s="646"/>
      <c r="U448" s="39" t="s">
        <v>46</v>
      </c>
      <c r="V448" s="39" t="s">
        <v>46</v>
      </c>
      <c r="W448" s="40" t="s">
        <v>0</v>
      </c>
      <c r="X448" s="58">
        <v>70</v>
      </c>
      <c r="Y448" s="55">
        <f t="shared" si="59"/>
        <v>73.92</v>
      </c>
      <c r="Z448" s="41">
        <f t="shared" si="60"/>
        <v>0.16744000000000001</v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74.640151515151501</v>
      </c>
      <c r="BN448" s="78">
        <f t="shared" si="62"/>
        <v>78.819999999999993</v>
      </c>
      <c r="BO448" s="78">
        <f t="shared" si="63"/>
        <v>0.12747668997668998</v>
      </c>
      <c r="BP448" s="78">
        <f t="shared" si="64"/>
        <v>0.13461538461538464</v>
      </c>
    </row>
    <row r="449" spans="1:68" ht="27" customHeight="1" x14ac:dyDescent="0.25">
      <c r="A449" s="63" t="s">
        <v>720</v>
      </c>
      <c r="B449" s="63" t="s">
        <v>721</v>
      </c>
      <c r="C449" s="36">
        <v>4301012125</v>
      </c>
      <c r="D449" s="643">
        <v>4680115886391</v>
      </c>
      <c r="E449" s="643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8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645"/>
      <c r="R449" s="645"/>
      <c r="S449" s="645"/>
      <c r="T449" s="64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customHeight="1" x14ac:dyDescent="0.25">
      <c r="A450" s="63" t="s">
        <v>722</v>
      </c>
      <c r="B450" s="63" t="s">
        <v>723</v>
      </c>
      <c r="C450" s="36">
        <v>4301012048</v>
      </c>
      <c r="D450" s="643">
        <v>4680115880603</v>
      </c>
      <c r="E450" s="643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8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645"/>
      <c r="R450" s="645"/>
      <c r="S450" s="645"/>
      <c r="T450" s="646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customHeight="1" x14ac:dyDescent="0.25">
      <c r="A451" s="63" t="s">
        <v>724</v>
      </c>
      <c r="B451" s="63" t="s">
        <v>725</v>
      </c>
      <c r="C451" s="36">
        <v>4301012036</v>
      </c>
      <c r="D451" s="643">
        <v>4680115882782</v>
      </c>
      <c r="E451" s="643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8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645"/>
      <c r="R451" s="645"/>
      <c r="S451" s="645"/>
      <c r="T451" s="646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customHeight="1" x14ac:dyDescent="0.25">
      <c r="A452" s="63" t="s">
        <v>726</v>
      </c>
      <c r="B452" s="63" t="s">
        <v>727</v>
      </c>
      <c r="C452" s="36">
        <v>4301012050</v>
      </c>
      <c r="D452" s="643">
        <v>4680115885479</v>
      </c>
      <c r="E452" s="643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87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645"/>
      <c r="R452" s="645"/>
      <c r="S452" s="645"/>
      <c r="T452" s="646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customHeight="1" x14ac:dyDescent="0.25">
      <c r="A453" s="63" t="s">
        <v>728</v>
      </c>
      <c r="B453" s="63" t="s">
        <v>729</v>
      </c>
      <c r="C453" s="36">
        <v>4301012034</v>
      </c>
      <c r="D453" s="643">
        <v>4607091389982</v>
      </c>
      <c r="E453" s="643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8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645"/>
      <c r="R453" s="645"/>
      <c r="S453" s="645"/>
      <c r="T453" s="646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 x14ac:dyDescent="0.2">
      <c r="A454" s="651"/>
      <c r="B454" s="651"/>
      <c r="C454" s="651"/>
      <c r="D454" s="651"/>
      <c r="E454" s="651"/>
      <c r="F454" s="651"/>
      <c r="G454" s="651"/>
      <c r="H454" s="651"/>
      <c r="I454" s="651"/>
      <c r="J454" s="651"/>
      <c r="K454" s="651"/>
      <c r="L454" s="651"/>
      <c r="M454" s="651"/>
      <c r="N454" s="651"/>
      <c r="O454" s="652"/>
      <c r="P454" s="648" t="s">
        <v>40</v>
      </c>
      <c r="Q454" s="649"/>
      <c r="R454" s="649"/>
      <c r="S454" s="649"/>
      <c r="T454" s="649"/>
      <c r="U454" s="649"/>
      <c r="V454" s="650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27.462121212121211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29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0.34684000000000004</v>
      </c>
      <c r="AA454" s="67"/>
      <c r="AB454" s="67"/>
      <c r="AC454" s="67"/>
    </row>
    <row r="455" spans="1:68" x14ac:dyDescent="0.2">
      <c r="A455" s="651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52"/>
      <c r="P455" s="648" t="s">
        <v>40</v>
      </c>
      <c r="Q455" s="649"/>
      <c r="R455" s="649"/>
      <c r="S455" s="649"/>
      <c r="T455" s="649"/>
      <c r="U455" s="649"/>
      <c r="V455" s="650"/>
      <c r="W455" s="42" t="s">
        <v>0</v>
      </c>
      <c r="X455" s="43">
        <f>IFERROR(SUM(X443:X453),"0")</f>
        <v>145</v>
      </c>
      <c r="Y455" s="43">
        <f>IFERROR(SUM(Y443:Y453),"0")</f>
        <v>153.12</v>
      </c>
      <c r="Z455" s="42"/>
      <c r="AA455" s="67"/>
      <c r="AB455" s="67"/>
      <c r="AC455" s="67"/>
    </row>
    <row r="456" spans="1:68" ht="14.25" customHeight="1" x14ac:dyDescent="0.25">
      <c r="A456" s="642" t="s">
        <v>156</v>
      </c>
      <c r="B456" s="642"/>
      <c r="C456" s="642"/>
      <c r="D456" s="642"/>
      <c r="E456" s="642"/>
      <c r="F456" s="642"/>
      <c r="G456" s="642"/>
      <c r="H456" s="642"/>
      <c r="I456" s="642"/>
      <c r="J456" s="642"/>
      <c r="K456" s="642"/>
      <c r="L456" s="642"/>
      <c r="M456" s="642"/>
      <c r="N456" s="642"/>
      <c r="O456" s="642"/>
      <c r="P456" s="642"/>
      <c r="Q456" s="642"/>
      <c r="R456" s="642"/>
      <c r="S456" s="642"/>
      <c r="T456" s="642"/>
      <c r="U456" s="642"/>
      <c r="V456" s="642"/>
      <c r="W456" s="642"/>
      <c r="X456" s="642"/>
      <c r="Y456" s="642"/>
      <c r="Z456" s="642"/>
      <c r="AA456" s="66"/>
      <c r="AB456" s="66"/>
      <c r="AC456" s="80"/>
    </row>
    <row r="457" spans="1:68" ht="16.5" customHeight="1" x14ac:dyDescent="0.25">
      <c r="A457" s="63" t="s">
        <v>730</v>
      </c>
      <c r="B457" s="63" t="s">
        <v>731</v>
      </c>
      <c r="C457" s="36">
        <v>4301020334</v>
      </c>
      <c r="D457" s="643">
        <v>4607091388930</v>
      </c>
      <c r="E457" s="643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645"/>
      <c r="R457" s="645"/>
      <c r="S457" s="645"/>
      <c r="T457" s="646"/>
      <c r="U457" s="39" t="s">
        <v>46</v>
      </c>
      <c r="V457" s="39" t="s">
        <v>46</v>
      </c>
      <c r="W457" s="40" t="s">
        <v>0</v>
      </c>
      <c r="X457" s="58">
        <v>75</v>
      </c>
      <c r="Y457" s="55">
        <f>IFERROR(IF(X457="",0,CEILING((X457/$H457),1)*$H457),"")</f>
        <v>79.2</v>
      </c>
      <c r="Z457" s="41">
        <f>IFERROR(IF(Y457=0,"",ROUNDUP(Y457/H457,0)*0.01196),"")</f>
        <v>0.1794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79.971590909090907</v>
      </c>
      <c r="BN457" s="78">
        <f>IFERROR(Y457*I457/H457,"0")</f>
        <v>84.45</v>
      </c>
      <c r="BO457" s="78">
        <f>IFERROR(1/J457*(X457/H457),"0")</f>
        <v>0.13658216783216784</v>
      </c>
      <c r="BP457" s="78">
        <f>IFERROR(1/J457*(Y457/H457),"0")</f>
        <v>0.14423076923076925</v>
      </c>
    </row>
    <row r="458" spans="1:68" ht="16.5" customHeight="1" x14ac:dyDescent="0.25">
      <c r="A458" s="63" t="s">
        <v>733</v>
      </c>
      <c r="B458" s="63" t="s">
        <v>734</v>
      </c>
      <c r="C458" s="36">
        <v>4301020374</v>
      </c>
      <c r="D458" s="643">
        <v>4680115886407</v>
      </c>
      <c r="E458" s="643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8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645"/>
      <c r="R458" s="645"/>
      <c r="S458" s="645"/>
      <c r="T458" s="64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customHeight="1" x14ac:dyDescent="0.25">
      <c r="A459" s="63" t="s">
        <v>735</v>
      </c>
      <c r="B459" s="63" t="s">
        <v>736</v>
      </c>
      <c r="C459" s="36">
        <v>4301020385</v>
      </c>
      <c r="D459" s="643">
        <v>4680115880054</v>
      </c>
      <c r="E459" s="643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645"/>
      <c r="R459" s="645"/>
      <c r="S459" s="645"/>
      <c r="T459" s="64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51"/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2"/>
      <c r="P460" s="648" t="s">
        <v>40</v>
      </c>
      <c r="Q460" s="649"/>
      <c r="R460" s="649"/>
      <c r="S460" s="649"/>
      <c r="T460" s="649"/>
      <c r="U460" s="649"/>
      <c r="V460" s="650"/>
      <c r="W460" s="42" t="s">
        <v>39</v>
      </c>
      <c r="X460" s="43">
        <f>IFERROR(X457/H457,"0")+IFERROR(X458/H458,"0")+IFERROR(X459/H459,"0")</f>
        <v>14.204545454545453</v>
      </c>
      <c r="Y460" s="43">
        <f>IFERROR(Y457/H457,"0")+IFERROR(Y458/H458,"0")+IFERROR(Y459/H459,"0")</f>
        <v>15</v>
      </c>
      <c r="Z460" s="43">
        <f>IFERROR(IF(Z457="",0,Z457),"0")+IFERROR(IF(Z458="",0,Z458),"0")+IFERROR(IF(Z459="",0,Z459),"0")</f>
        <v>0.1794</v>
      </c>
      <c r="AA460" s="67"/>
      <c r="AB460" s="67"/>
      <c r="AC460" s="67"/>
    </row>
    <row r="461" spans="1:68" x14ac:dyDescent="0.2">
      <c r="A461" s="651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52"/>
      <c r="P461" s="648" t="s">
        <v>40</v>
      </c>
      <c r="Q461" s="649"/>
      <c r="R461" s="649"/>
      <c r="S461" s="649"/>
      <c r="T461" s="649"/>
      <c r="U461" s="649"/>
      <c r="V461" s="650"/>
      <c r="W461" s="42" t="s">
        <v>0</v>
      </c>
      <c r="X461" s="43">
        <f>IFERROR(SUM(X457:X459),"0")</f>
        <v>75</v>
      </c>
      <c r="Y461" s="43">
        <f>IFERROR(SUM(Y457:Y459),"0")</f>
        <v>79.2</v>
      </c>
      <c r="Z461" s="42"/>
      <c r="AA461" s="67"/>
      <c r="AB461" s="67"/>
      <c r="AC461" s="67"/>
    </row>
    <row r="462" spans="1:68" ht="14.25" customHeight="1" x14ac:dyDescent="0.25">
      <c r="A462" s="642" t="s">
        <v>77</v>
      </c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642"/>
      <c r="N462" s="642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642"/>
      <c r="Z462" s="642"/>
      <c r="AA462" s="66"/>
      <c r="AB462" s="66"/>
      <c r="AC462" s="80"/>
    </row>
    <row r="463" spans="1:68" ht="27" customHeight="1" x14ac:dyDescent="0.25">
      <c r="A463" s="63" t="s">
        <v>737</v>
      </c>
      <c r="B463" s="63" t="s">
        <v>738</v>
      </c>
      <c r="C463" s="36">
        <v>4301031349</v>
      </c>
      <c r="D463" s="643">
        <v>4680115883116</v>
      </c>
      <c r="E463" s="643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645"/>
      <c r="R463" s="645"/>
      <c r="S463" s="645"/>
      <c r="T463" s="646"/>
      <c r="U463" s="39" t="s">
        <v>46</v>
      </c>
      <c r="V463" s="39" t="s">
        <v>46</v>
      </c>
      <c r="W463" s="40" t="s">
        <v>0</v>
      </c>
      <c r="X463" s="58"/>
      <c r="Y463" s="55">
        <f t="shared" ref="Y463:Y469" si="65">IFERROR(IF(X463="",0,CEILING((X463/$H463),1)*$H463),"")</f>
        <v>0</v>
      </c>
      <c r="Z463" s="41" t="str">
        <f>IFERROR(IF(Y463=0,"",ROUNDUP(Y463/H463,0)*0.01196),"")</f>
        <v/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0</v>
      </c>
      <c r="BN463" s="78">
        <f t="shared" ref="BN463:BN469" si="67">IFERROR(Y463*I463/H463,"0")</f>
        <v>0</v>
      </c>
      <c r="BO463" s="78">
        <f t="shared" ref="BO463:BO469" si="68">IFERROR(1/J463*(X463/H463),"0")</f>
        <v>0</v>
      </c>
      <c r="BP463" s="78">
        <f t="shared" ref="BP463:BP469" si="69">IFERROR(1/J463*(Y463/H463),"0")</f>
        <v>0</v>
      </c>
    </row>
    <row r="464" spans="1:68" ht="27" customHeight="1" x14ac:dyDescent="0.25">
      <c r="A464" s="63" t="s">
        <v>740</v>
      </c>
      <c r="B464" s="63" t="s">
        <v>741</v>
      </c>
      <c r="C464" s="36">
        <v>4301031350</v>
      </c>
      <c r="D464" s="643">
        <v>4680115883093</v>
      </c>
      <c r="E464" s="643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87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645"/>
      <c r="R464" s="645"/>
      <c r="S464" s="645"/>
      <c r="T464" s="646"/>
      <c r="U464" s="39" t="s">
        <v>46</v>
      </c>
      <c r="V464" s="39" t="s">
        <v>46</v>
      </c>
      <c r="W464" s="40" t="s">
        <v>0</v>
      </c>
      <c r="X464" s="58"/>
      <c r="Y464" s="55">
        <f t="shared" si="65"/>
        <v>0</v>
      </c>
      <c r="Z464" s="41" t="str">
        <f>IFERROR(IF(Y464=0,"",ROUNDUP(Y464/H464,0)*0.01196),"")</f>
        <v/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0</v>
      </c>
      <c r="BN464" s="78">
        <f t="shared" si="67"/>
        <v>0</v>
      </c>
      <c r="BO464" s="78">
        <f t="shared" si="68"/>
        <v>0</v>
      </c>
      <c r="BP464" s="78">
        <f t="shared" si="69"/>
        <v>0</v>
      </c>
    </row>
    <row r="465" spans="1:68" ht="27" customHeight="1" x14ac:dyDescent="0.25">
      <c r="A465" s="63" t="s">
        <v>743</v>
      </c>
      <c r="B465" s="63" t="s">
        <v>744</v>
      </c>
      <c r="C465" s="36">
        <v>4301031353</v>
      </c>
      <c r="D465" s="643">
        <v>4680115883109</v>
      </c>
      <c r="E465" s="643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8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645"/>
      <c r="R465" s="645"/>
      <c r="S465" s="645"/>
      <c r="T465" s="646"/>
      <c r="U465" s="39" t="s">
        <v>46</v>
      </c>
      <c r="V465" s="39" t="s">
        <v>46</v>
      </c>
      <c r="W465" s="40" t="s">
        <v>0</v>
      </c>
      <c r="X465" s="58">
        <v>50</v>
      </c>
      <c r="Y465" s="55">
        <f t="shared" si="65"/>
        <v>52.800000000000004</v>
      </c>
      <c r="Z465" s="41">
        <f>IFERROR(IF(Y465=0,"",ROUNDUP(Y465/H465,0)*0.01196),"")</f>
        <v>0.1196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53.314393939393938</v>
      </c>
      <c r="BN465" s="78">
        <f t="shared" si="67"/>
        <v>56.3</v>
      </c>
      <c r="BO465" s="78">
        <f t="shared" si="68"/>
        <v>9.1054778554778545E-2</v>
      </c>
      <c r="BP465" s="78">
        <f t="shared" si="69"/>
        <v>9.6153846153846159E-2</v>
      </c>
    </row>
    <row r="466" spans="1:68" ht="27" customHeight="1" x14ac:dyDescent="0.25">
      <c r="A466" s="63" t="s">
        <v>746</v>
      </c>
      <c r="B466" s="63" t="s">
        <v>747</v>
      </c>
      <c r="C466" s="36">
        <v>4301031419</v>
      </c>
      <c r="D466" s="643">
        <v>4680115882072</v>
      </c>
      <c r="E466" s="643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88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645"/>
      <c r="R466" s="645"/>
      <c r="S466" s="645"/>
      <c r="T466" s="646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customHeight="1" x14ac:dyDescent="0.25">
      <c r="A467" s="63" t="s">
        <v>748</v>
      </c>
      <c r="B467" s="63" t="s">
        <v>749</v>
      </c>
      <c r="C467" s="36">
        <v>4301031352</v>
      </c>
      <c r="D467" s="643">
        <v>4680115882102</v>
      </c>
      <c r="E467" s="643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8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645"/>
      <c r="R467" s="645"/>
      <c r="S467" s="645"/>
      <c r="T467" s="646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customHeight="1" x14ac:dyDescent="0.25">
      <c r="A468" s="63" t="s">
        <v>748</v>
      </c>
      <c r="B468" s="63" t="s">
        <v>750</v>
      </c>
      <c r="C468" s="36">
        <v>4301031418</v>
      </c>
      <c r="D468" s="643">
        <v>4680115882102</v>
      </c>
      <c r="E468" s="643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8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645"/>
      <c r="R468" s="645"/>
      <c r="S468" s="645"/>
      <c r="T468" s="646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customHeight="1" x14ac:dyDescent="0.25">
      <c r="A469" s="63" t="s">
        <v>751</v>
      </c>
      <c r="B469" s="63" t="s">
        <v>752</v>
      </c>
      <c r="C469" s="36">
        <v>4301031417</v>
      </c>
      <c r="D469" s="643">
        <v>4680115882096</v>
      </c>
      <c r="E469" s="643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88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645"/>
      <c r="R469" s="645"/>
      <c r="S469" s="645"/>
      <c r="T469" s="646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 x14ac:dyDescent="0.2">
      <c r="A470" s="651"/>
      <c r="B470" s="651"/>
      <c r="C470" s="651"/>
      <c r="D470" s="651"/>
      <c r="E470" s="651"/>
      <c r="F470" s="651"/>
      <c r="G470" s="651"/>
      <c r="H470" s="651"/>
      <c r="I470" s="651"/>
      <c r="J470" s="651"/>
      <c r="K470" s="651"/>
      <c r="L470" s="651"/>
      <c r="M470" s="651"/>
      <c r="N470" s="651"/>
      <c r="O470" s="652"/>
      <c r="P470" s="648" t="s">
        <v>40</v>
      </c>
      <c r="Q470" s="649"/>
      <c r="R470" s="649"/>
      <c r="S470" s="649"/>
      <c r="T470" s="649"/>
      <c r="U470" s="649"/>
      <c r="V470" s="650"/>
      <c r="W470" s="42" t="s">
        <v>39</v>
      </c>
      <c r="X470" s="43">
        <f>IFERROR(X463/H463,"0")+IFERROR(X464/H464,"0")+IFERROR(X465/H465,"0")+IFERROR(X466/H466,"0")+IFERROR(X467/H467,"0")+IFERROR(X468/H468,"0")+IFERROR(X469/H469,"0")</f>
        <v>9.4696969696969688</v>
      </c>
      <c r="Y470" s="43">
        <f>IFERROR(Y463/H463,"0")+IFERROR(Y464/H464,"0")+IFERROR(Y465/H465,"0")+IFERROR(Y466/H466,"0")+IFERROR(Y467/H467,"0")+IFERROR(Y468/H468,"0")+IFERROR(Y469/H469,"0")</f>
        <v>10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0.1196</v>
      </c>
      <c r="AA470" s="67"/>
      <c r="AB470" s="67"/>
      <c r="AC470" s="67"/>
    </row>
    <row r="471" spans="1:68" x14ac:dyDescent="0.2">
      <c r="A471" s="651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52"/>
      <c r="P471" s="648" t="s">
        <v>40</v>
      </c>
      <c r="Q471" s="649"/>
      <c r="R471" s="649"/>
      <c r="S471" s="649"/>
      <c r="T471" s="649"/>
      <c r="U471" s="649"/>
      <c r="V471" s="650"/>
      <c r="W471" s="42" t="s">
        <v>0</v>
      </c>
      <c r="X471" s="43">
        <f>IFERROR(SUM(X463:X469),"0")</f>
        <v>50</v>
      </c>
      <c r="Y471" s="43">
        <f>IFERROR(SUM(Y463:Y469),"0")</f>
        <v>52.800000000000004</v>
      </c>
      <c r="Z471" s="42"/>
      <c r="AA471" s="67"/>
      <c r="AB471" s="67"/>
      <c r="AC471" s="67"/>
    </row>
    <row r="472" spans="1:68" ht="27.75" customHeight="1" x14ac:dyDescent="0.2">
      <c r="A472" s="640" t="s">
        <v>753</v>
      </c>
      <c r="B472" s="640"/>
      <c r="C472" s="640"/>
      <c r="D472" s="640"/>
      <c r="E472" s="640"/>
      <c r="F472" s="640"/>
      <c r="G472" s="640"/>
      <c r="H472" s="640"/>
      <c r="I472" s="640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  <c r="AA472" s="54"/>
      <c r="AB472" s="54"/>
      <c r="AC472" s="54"/>
    </row>
    <row r="473" spans="1:68" ht="16.5" customHeight="1" x14ac:dyDescent="0.25">
      <c r="A473" s="641" t="s">
        <v>753</v>
      </c>
      <c r="B473" s="641"/>
      <c r="C473" s="641"/>
      <c r="D473" s="641"/>
      <c r="E473" s="641"/>
      <c r="F473" s="641"/>
      <c r="G473" s="641"/>
      <c r="H473" s="641"/>
      <c r="I473" s="641"/>
      <c r="J473" s="641"/>
      <c r="K473" s="641"/>
      <c r="L473" s="641"/>
      <c r="M473" s="641"/>
      <c r="N473" s="641"/>
      <c r="O473" s="641"/>
      <c r="P473" s="641"/>
      <c r="Q473" s="641"/>
      <c r="R473" s="641"/>
      <c r="S473" s="641"/>
      <c r="T473" s="641"/>
      <c r="U473" s="641"/>
      <c r="V473" s="641"/>
      <c r="W473" s="641"/>
      <c r="X473" s="641"/>
      <c r="Y473" s="641"/>
      <c r="Z473" s="641"/>
      <c r="AA473" s="65"/>
      <c r="AB473" s="65"/>
      <c r="AC473" s="79"/>
    </row>
    <row r="474" spans="1:68" ht="14.25" customHeight="1" x14ac:dyDescent="0.25">
      <c r="A474" s="642" t="s">
        <v>122</v>
      </c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642"/>
      <c r="Z474" s="642"/>
      <c r="AA474" s="66"/>
      <c r="AB474" s="66"/>
      <c r="AC474" s="80"/>
    </row>
    <row r="475" spans="1:68" ht="27" customHeight="1" x14ac:dyDescent="0.25">
      <c r="A475" s="63" t="s">
        <v>754</v>
      </c>
      <c r="B475" s="63" t="s">
        <v>755</v>
      </c>
      <c r="C475" s="36">
        <v>4301011763</v>
      </c>
      <c r="D475" s="643">
        <v>4640242181011</v>
      </c>
      <c r="E475" s="643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88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645"/>
      <c r="R475" s="645"/>
      <c r="S475" s="645"/>
      <c r="T475" s="64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757</v>
      </c>
      <c r="B476" s="63" t="s">
        <v>758</v>
      </c>
      <c r="C476" s="36">
        <v>4301011584</v>
      </c>
      <c r="D476" s="643">
        <v>4640242180564</v>
      </c>
      <c r="E476" s="643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8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645"/>
      <c r="R476" s="645"/>
      <c r="S476" s="645"/>
      <c r="T476" s="646"/>
      <c r="U476" s="39" t="s">
        <v>46</v>
      </c>
      <c r="V476" s="39" t="s">
        <v>46</v>
      </c>
      <c r="W476" s="40" t="s">
        <v>0</v>
      </c>
      <c r="X476" s="58">
        <v>10</v>
      </c>
      <c r="Y476" s="55">
        <f>IFERROR(IF(X476="",0,CEILING((X476/$H476),1)*$H476),"")</f>
        <v>12</v>
      </c>
      <c r="Z476" s="41">
        <f>IFERROR(IF(Y476=0,"",ROUNDUP(Y476/H476,0)*0.01898),"")</f>
        <v>1.898E-2</v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10.341666666666667</v>
      </c>
      <c r="BN476" s="78">
        <f>IFERROR(Y476*I476/H476,"0")</f>
        <v>12.410000000000002</v>
      </c>
      <c r="BO476" s="78">
        <f>IFERROR(1/J476*(X476/H476),"0")</f>
        <v>1.3020833333333334E-2</v>
      </c>
      <c r="BP476" s="78">
        <f>IFERROR(1/J476*(Y476/H476),"0")</f>
        <v>1.5625E-2</v>
      </c>
    </row>
    <row r="477" spans="1:68" ht="27" customHeight="1" x14ac:dyDescent="0.25">
      <c r="A477" s="63" t="s">
        <v>760</v>
      </c>
      <c r="B477" s="63" t="s">
        <v>761</v>
      </c>
      <c r="C477" s="36">
        <v>4301011764</v>
      </c>
      <c r="D477" s="643">
        <v>4640242181189</v>
      </c>
      <c r="E477" s="643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88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645"/>
      <c r="R477" s="645"/>
      <c r="S477" s="645"/>
      <c r="T477" s="64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51"/>
      <c r="B478" s="651"/>
      <c r="C478" s="651"/>
      <c r="D478" s="651"/>
      <c r="E478" s="651"/>
      <c r="F478" s="651"/>
      <c r="G478" s="651"/>
      <c r="H478" s="651"/>
      <c r="I478" s="651"/>
      <c r="J478" s="651"/>
      <c r="K478" s="651"/>
      <c r="L478" s="651"/>
      <c r="M478" s="651"/>
      <c r="N478" s="651"/>
      <c r="O478" s="652"/>
      <c r="P478" s="648" t="s">
        <v>40</v>
      </c>
      <c r="Q478" s="649"/>
      <c r="R478" s="649"/>
      <c r="S478" s="649"/>
      <c r="T478" s="649"/>
      <c r="U478" s="649"/>
      <c r="V478" s="650"/>
      <c r="W478" s="42" t="s">
        <v>39</v>
      </c>
      <c r="X478" s="43">
        <f>IFERROR(X475/H475,"0")+IFERROR(X476/H476,"0")+IFERROR(X477/H477,"0")</f>
        <v>0.83333333333333337</v>
      </c>
      <c r="Y478" s="43">
        <f>IFERROR(Y475/H475,"0")+IFERROR(Y476/H476,"0")+IFERROR(Y477/H477,"0")</f>
        <v>1</v>
      </c>
      <c r="Z478" s="43">
        <f>IFERROR(IF(Z475="",0,Z475),"0")+IFERROR(IF(Z476="",0,Z476),"0")+IFERROR(IF(Z477="",0,Z477),"0")</f>
        <v>1.898E-2</v>
      </c>
      <c r="AA478" s="67"/>
      <c r="AB478" s="67"/>
      <c r="AC478" s="67"/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0</v>
      </c>
      <c r="X479" s="43">
        <f>IFERROR(SUM(X475:X477),"0")</f>
        <v>10</v>
      </c>
      <c r="Y479" s="43">
        <f>IFERROR(SUM(Y475:Y477),"0")</f>
        <v>12</v>
      </c>
      <c r="Z479" s="42"/>
      <c r="AA479" s="67"/>
      <c r="AB479" s="67"/>
      <c r="AC479" s="67"/>
    </row>
    <row r="480" spans="1:68" ht="14.25" customHeight="1" x14ac:dyDescent="0.25">
      <c r="A480" s="642" t="s">
        <v>156</v>
      </c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642"/>
      <c r="Z480" s="642"/>
      <c r="AA480" s="66"/>
      <c r="AB480" s="66"/>
      <c r="AC480" s="80"/>
    </row>
    <row r="481" spans="1:68" ht="27" customHeight="1" x14ac:dyDescent="0.25">
      <c r="A481" s="63" t="s">
        <v>762</v>
      </c>
      <c r="B481" s="63" t="s">
        <v>763</v>
      </c>
      <c r="C481" s="36">
        <v>4301020400</v>
      </c>
      <c r="D481" s="643">
        <v>4640242180519</v>
      </c>
      <c r="E481" s="643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8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645"/>
      <c r="R481" s="645"/>
      <c r="S481" s="645"/>
      <c r="T481" s="64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51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2"/>
      <c r="P482" s="648" t="s">
        <v>40</v>
      </c>
      <c r="Q482" s="649"/>
      <c r="R482" s="649"/>
      <c r="S482" s="649"/>
      <c r="T482" s="649"/>
      <c r="U482" s="649"/>
      <c r="V482" s="650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customHeight="1" x14ac:dyDescent="0.25">
      <c r="A484" s="642" t="s">
        <v>77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6"/>
      <c r="AB484" s="66"/>
      <c r="AC484" s="80"/>
    </row>
    <row r="485" spans="1:68" ht="27" customHeight="1" x14ac:dyDescent="0.25">
      <c r="A485" s="63" t="s">
        <v>765</v>
      </c>
      <c r="B485" s="63" t="s">
        <v>766</v>
      </c>
      <c r="C485" s="36">
        <v>4301031467</v>
      </c>
      <c r="D485" s="643">
        <v>4640242180595</v>
      </c>
      <c r="E485" s="643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88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645"/>
      <c r="R485" s="645"/>
      <c r="S485" s="645"/>
      <c r="T485" s="64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51"/>
      <c r="B486" s="651"/>
      <c r="C486" s="651"/>
      <c r="D486" s="651"/>
      <c r="E486" s="651"/>
      <c r="F486" s="651"/>
      <c r="G486" s="651"/>
      <c r="H486" s="651"/>
      <c r="I486" s="651"/>
      <c r="J486" s="651"/>
      <c r="K486" s="651"/>
      <c r="L486" s="651"/>
      <c r="M486" s="651"/>
      <c r="N486" s="651"/>
      <c r="O486" s="652"/>
      <c r="P486" s="648" t="s">
        <v>40</v>
      </c>
      <c r="Q486" s="649"/>
      <c r="R486" s="649"/>
      <c r="S486" s="649"/>
      <c r="T486" s="649"/>
      <c r="U486" s="649"/>
      <c r="V486" s="650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51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2"/>
      <c r="P487" s="648" t="s">
        <v>40</v>
      </c>
      <c r="Q487" s="649"/>
      <c r="R487" s="649"/>
      <c r="S487" s="649"/>
      <c r="T487" s="649"/>
      <c r="U487" s="649"/>
      <c r="V487" s="650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customHeight="1" x14ac:dyDescent="0.25">
      <c r="A488" s="642" t="s">
        <v>87</v>
      </c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642"/>
      <c r="N488" s="642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642"/>
      <c r="Z488" s="642"/>
      <c r="AA488" s="66"/>
      <c r="AB488" s="66"/>
      <c r="AC488" s="80"/>
    </row>
    <row r="489" spans="1:68" ht="27" customHeight="1" x14ac:dyDescent="0.25">
      <c r="A489" s="63" t="s">
        <v>768</v>
      </c>
      <c r="B489" s="63" t="s">
        <v>769</v>
      </c>
      <c r="C489" s="36">
        <v>4301052046</v>
      </c>
      <c r="D489" s="643">
        <v>4640242180533</v>
      </c>
      <c r="E489" s="643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89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645"/>
      <c r="R489" s="645"/>
      <c r="S489" s="645"/>
      <c r="T489" s="646"/>
      <c r="U489" s="39" t="s">
        <v>46</v>
      </c>
      <c r="V489" s="39" t="s">
        <v>46</v>
      </c>
      <c r="W489" s="40" t="s">
        <v>0</v>
      </c>
      <c r="X489" s="58">
        <v>100</v>
      </c>
      <c r="Y489" s="55">
        <f>IFERROR(IF(X489="",0,CEILING((X489/$H489),1)*$H489),"")</f>
        <v>108</v>
      </c>
      <c r="Z489" s="41">
        <f>IFERROR(IF(Y489=0,"",ROUNDUP(Y489/H489,0)*0.01898),"")</f>
        <v>0.22776000000000002</v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105.48888888888888</v>
      </c>
      <c r="BN489" s="78">
        <f>IFERROR(Y489*I489/H489,"0")</f>
        <v>113.92799999999998</v>
      </c>
      <c r="BO489" s="78">
        <f>IFERROR(1/J489*(X489/H489),"0")</f>
        <v>0.1736111111111111</v>
      </c>
      <c r="BP489" s="78">
        <f>IFERROR(1/J489*(Y489/H489),"0")</f>
        <v>0.1875</v>
      </c>
    </row>
    <row r="490" spans="1:68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39</v>
      </c>
      <c r="X490" s="43">
        <f>IFERROR(X489/H489,"0")</f>
        <v>11.111111111111111</v>
      </c>
      <c r="Y490" s="43">
        <f>IFERROR(Y489/H489,"0")</f>
        <v>12</v>
      </c>
      <c r="Z490" s="43">
        <f>IFERROR(IF(Z489="",0,Z489),"0")</f>
        <v>0.22776000000000002</v>
      </c>
      <c r="AA490" s="67"/>
      <c r="AB490" s="67"/>
      <c r="AC490" s="67"/>
    </row>
    <row r="491" spans="1:68" x14ac:dyDescent="0.2">
      <c r="A491" s="651"/>
      <c r="B491" s="651"/>
      <c r="C491" s="651"/>
      <c r="D491" s="651"/>
      <c r="E491" s="651"/>
      <c r="F491" s="651"/>
      <c r="G491" s="651"/>
      <c r="H491" s="651"/>
      <c r="I491" s="651"/>
      <c r="J491" s="651"/>
      <c r="K491" s="651"/>
      <c r="L491" s="651"/>
      <c r="M491" s="651"/>
      <c r="N491" s="651"/>
      <c r="O491" s="652"/>
      <c r="P491" s="648" t="s">
        <v>40</v>
      </c>
      <c r="Q491" s="649"/>
      <c r="R491" s="649"/>
      <c r="S491" s="649"/>
      <c r="T491" s="649"/>
      <c r="U491" s="649"/>
      <c r="V491" s="650"/>
      <c r="W491" s="42" t="s">
        <v>0</v>
      </c>
      <c r="X491" s="43">
        <f>IFERROR(SUM(X489:X489),"0")</f>
        <v>100</v>
      </c>
      <c r="Y491" s="43">
        <f>IFERROR(SUM(Y489:Y489),"0")</f>
        <v>108</v>
      </c>
      <c r="Z491" s="42"/>
      <c r="AA491" s="67"/>
      <c r="AB491" s="67"/>
      <c r="AC491" s="67"/>
    </row>
    <row r="492" spans="1:68" ht="14.25" customHeight="1" x14ac:dyDescent="0.25">
      <c r="A492" s="642" t="s">
        <v>176</v>
      </c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642"/>
      <c r="Z492" s="642"/>
      <c r="AA492" s="66"/>
      <c r="AB492" s="66"/>
      <c r="AC492" s="80"/>
    </row>
    <row r="493" spans="1:68" ht="27" customHeight="1" x14ac:dyDescent="0.25">
      <c r="A493" s="63" t="s">
        <v>771</v>
      </c>
      <c r="B493" s="63" t="s">
        <v>772</v>
      </c>
      <c r="C493" s="36">
        <v>4301060491</v>
      </c>
      <c r="D493" s="643">
        <v>4640242180120</v>
      </c>
      <c r="E493" s="643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89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645"/>
      <c r="R493" s="645"/>
      <c r="S493" s="645"/>
      <c r="T493" s="64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774</v>
      </c>
      <c r="B494" s="63" t="s">
        <v>775</v>
      </c>
      <c r="C494" s="36">
        <v>4301060493</v>
      </c>
      <c r="D494" s="643">
        <v>4640242180137</v>
      </c>
      <c r="E494" s="643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89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645"/>
      <c r="R494" s="645"/>
      <c r="S494" s="645"/>
      <c r="T494" s="64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customHeight="1" x14ac:dyDescent="0.25">
      <c r="A497" s="641" t="s">
        <v>777</v>
      </c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641"/>
      <c r="P497" s="641"/>
      <c r="Q497" s="641"/>
      <c r="R497" s="641"/>
      <c r="S497" s="641"/>
      <c r="T497" s="641"/>
      <c r="U497" s="641"/>
      <c r="V497" s="641"/>
      <c r="W497" s="641"/>
      <c r="X497" s="641"/>
      <c r="Y497" s="641"/>
      <c r="Z497" s="641"/>
      <c r="AA497" s="65"/>
      <c r="AB497" s="65"/>
      <c r="AC497" s="79"/>
    </row>
    <row r="498" spans="1:68" ht="14.25" customHeight="1" x14ac:dyDescent="0.25">
      <c r="A498" s="642" t="s">
        <v>156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6"/>
      <c r="AB498" s="66"/>
      <c r="AC498" s="80"/>
    </row>
    <row r="499" spans="1:68" ht="27" customHeight="1" x14ac:dyDescent="0.25">
      <c r="A499" s="63" t="s">
        <v>778</v>
      </c>
      <c r="B499" s="63" t="s">
        <v>779</v>
      </c>
      <c r="C499" s="36">
        <v>4301020314</v>
      </c>
      <c r="D499" s="643">
        <v>4640242180090</v>
      </c>
      <c r="E499" s="643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8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645"/>
      <c r="R499" s="645"/>
      <c r="S499" s="645"/>
      <c r="T499" s="64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x14ac:dyDescent="0.2">
      <c r="A501" s="651"/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2"/>
      <c r="P501" s="648" t="s">
        <v>40</v>
      </c>
      <c r="Q501" s="649"/>
      <c r="R501" s="649"/>
      <c r="S501" s="649"/>
      <c r="T501" s="649"/>
      <c r="U501" s="649"/>
      <c r="V501" s="650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 x14ac:dyDescent="0.2">
      <c r="A502" s="651"/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897"/>
      <c r="P502" s="894" t="s">
        <v>33</v>
      </c>
      <c r="Q502" s="895"/>
      <c r="R502" s="895"/>
      <c r="S502" s="895"/>
      <c r="T502" s="895"/>
      <c r="U502" s="895"/>
      <c r="V502" s="896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1619.06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1693.38</v>
      </c>
      <c r="Z502" s="42"/>
      <c r="AA502" s="67"/>
      <c r="AB502" s="67"/>
      <c r="AC502" s="67"/>
    </row>
    <row r="503" spans="1:68" x14ac:dyDescent="0.2">
      <c r="A503" s="651"/>
      <c r="B503" s="651"/>
      <c r="C503" s="651"/>
      <c r="D503" s="651"/>
      <c r="E503" s="651"/>
      <c r="F503" s="651"/>
      <c r="G503" s="651"/>
      <c r="H503" s="651"/>
      <c r="I503" s="651"/>
      <c r="J503" s="651"/>
      <c r="K503" s="651"/>
      <c r="L503" s="651"/>
      <c r="M503" s="651"/>
      <c r="N503" s="651"/>
      <c r="O503" s="897"/>
      <c r="P503" s="894" t="s">
        <v>34</v>
      </c>
      <c r="Q503" s="895"/>
      <c r="R503" s="895"/>
      <c r="S503" s="895"/>
      <c r="T503" s="895"/>
      <c r="U503" s="895"/>
      <c r="V503" s="896"/>
      <c r="W503" s="42" t="s">
        <v>0</v>
      </c>
      <c r="X503" s="43">
        <f>IFERROR(SUM(BM22:BM499),"0")</f>
        <v>1695.3405755972426</v>
      </c>
      <c r="Y503" s="43">
        <f>IFERROR(SUM(BN22:BN499),"0")</f>
        <v>1773.402</v>
      </c>
      <c r="Z503" s="42"/>
      <c r="AA503" s="67"/>
      <c r="AB503" s="67"/>
      <c r="AC503" s="67"/>
    </row>
    <row r="504" spans="1:68" x14ac:dyDescent="0.2">
      <c r="A504" s="651"/>
      <c r="B504" s="651"/>
      <c r="C504" s="651"/>
      <c r="D504" s="651"/>
      <c r="E504" s="651"/>
      <c r="F504" s="651"/>
      <c r="G504" s="651"/>
      <c r="H504" s="651"/>
      <c r="I504" s="651"/>
      <c r="J504" s="651"/>
      <c r="K504" s="651"/>
      <c r="L504" s="651"/>
      <c r="M504" s="651"/>
      <c r="N504" s="651"/>
      <c r="O504" s="897"/>
      <c r="P504" s="894" t="s">
        <v>35</v>
      </c>
      <c r="Q504" s="895"/>
      <c r="R504" s="895"/>
      <c r="S504" s="895"/>
      <c r="T504" s="895"/>
      <c r="U504" s="895"/>
      <c r="V504" s="896"/>
      <c r="W504" s="42" t="s">
        <v>20</v>
      </c>
      <c r="X504" s="44">
        <f>ROUNDUP(SUM(BO22:BO499),0)</f>
        <v>3</v>
      </c>
      <c r="Y504" s="44">
        <f>ROUNDUP(SUM(BP22:BP499),0)</f>
        <v>3</v>
      </c>
      <c r="Z504" s="42"/>
      <c r="AA504" s="67"/>
      <c r="AB504" s="67"/>
      <c r="AC504" s="67"/>
    </row>
    <row r="505" spans="1:68" x14ac:dyDescent="0.2">
      <c r="A505" s="651"/>
      <c r="B505" s="651"/>
      <c r="C505" s="651"/>
      <c r="D505" s="651"/>
      <c r="E505" s="651"/>
      <c r="F505" s="651"/>
      <c r="G505" s="651"/>
      <c r="H505" s="651"/>
      <c r="I505" s="651"/>
      <c r="J505" s="651"/>
      <c r="K505" s="651"/>
      <c r="L505" s="651"/>
      <c r="M505" s="651"/>
      <c r="N505" s="651"/>
      <c r="O505" s="897"/>
      <c r="P505" s="894" t="s">
        <v>36</v>
      </c>
      <c r="Q505" s="895"/>
      <c r="R505" s="895"/>
      <c r="S505" s="895"/>
      <c r="T505" s="895"/>
      <c r="U505" s="895"/>
      <c r="V505" s="896"/>
      <c r="W505" s="42" t="s">
        <v>0</v>
      </c>
      <c r="X505" s="43">
        <f>GrossWeightTotal+PalletQtyTotal*25</f>
        <v>1770.3405755972426</v>
      </c>
      <c r="Y505" s="43">
        <f>GrossWeightTotalR+PalletQtyTotalR*25</f>
        <v>1848.402</v>
      </c>
      <c r="Z505" s="42"/>
      <c r="AA505" s="67"/>
      <c r="AB505" s="67"/>
      <c r="AC505" s="67"/>
    </row>
    <row r="506" spans="1:68" x14ac:dyDescent="0.2">
      <c r="A506" s="651"/>
      <c r="B506" s="651"/>
      <c r="C506" s="651"/>
      <c r="D506" s="651"/>
      <c r="E506" s="651"/>
      <c r="F506" s="651"/>
      <c r="G506" s="651"/>
      <c r="H506" s="651"/>
      <c r="I506" s="651"/>
      <c r="J506" s="651"/>
      <c r="K506" s="651"/>
      <c r="L506" s="651"/>
      <c r="M506" s="651"/>
      <c r="N506" s="651"/>
      <c r="O506" s="897"/>
      <c r="P506" s="894" t="s">
        <v>37</v>
      </c>
      <c r="Q506" s="895"/>
      <c r="R506" s="895"/>
      <c r="S506" s="895"/>
      <c r="T506" s="895"/>
      <c r="U506" s="895"/>
      <c r="V506" s="896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236.26707860041191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247</v>
      </c>
      <c r="Z506" s="42"/>
      <c r="AA506" s="67"/>
      <c r="AB506" s="67"/>
      <c r="AC506" s="67"/>
    </row>
    <row r="507" spans="1:68" ht="14.25" x14ac:dyDescent="0.2">
      <c r="A507" s="651"/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897"/>
      <c r="P507" s="894" t="s">
        <v>38</v>
      </c>
      <c r="Q507" s="895"/>
      <c r="R507" s="895"/>
      <c r="S507" s="895"/>
      <c r="T507" s="895"/>
      <c r="U507" s="895"/>
      <c r="V507" s="896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3.2635800000000001</v>
      </c>
      <c r="AA507" s="67"/>
      <c r="AB507" s="67"/>
      <c r="AC507" s="67"/>
    </row>
    <row r="508" spans="1:68" ht="13.5" thickBot="1" x14ac:dyDescent="0.25"/>
    <row r="509" spans="1:68" ht="27" thickTop="1" thickBot="1" x14ac:dyDescent="0.25">
      <c r="A509" s="46" t="s">
        <v>9</v>
      </c>
      <c r="B509" s="85" t="s">
        <v>76</v>
      </c>
      <c r="C509" s="85" t="s">
        <v>45</v>
      </c>
      <c r="D509" s="900" t="s">
        <v>120</v>
      </c>
      <c r="E509" s="900" t="s">
        <v>120</v>
      </c>
      <c r="F509" s="900" t="s">
        <v>120</v>
      </c>
      <c r="G509" s="900" t="s">
        <v>120</v>
      </c>
      <c r="H509" s="900" t="s">
        <v>120</v>
      </c>
      <c r="I509" s="900" t="s">
        <v>120</v>
      </c>
      <c r="J509" s="900" t="s">
        <v>293</v>
      </c>
      <c r="K509" s="900" t="s">
        <v>293</v>
      </c>
      <c r="L509" s="900" t="s">
        <v>293</v>
      </c>
      <c r="M509" s="900" t="s">
        <v>293</v>
      </c>
      <c r="N509" s="901"/>
      <c r="O509" s="900" t="s">
        <v>293</v>
      </c>
      <c r="P509" s="900" t="s">
        <v>293</v>
      </c>
      <c r="Q509" s="900" t="s">
        <v>293</v>
      </c>
      <c r="R509" s="900" t="s">
        <v>293</v>
      </c>
      <c r="S509" s="900" t="s">
        <v>293</v>
      </c>
      <c r="T509" s="900" t="s">
        <v>601</v>
      </c>
      <c r="U509" s="900" t="s">
        <v>601</v>
      </c>
      <c r="V509" s="900" t="s">
        <v>654</v>
      </c>
      <c r="W509" s="900" t="s">
        <v>654</v>
      </c>
      <c r="X509" s="900" t="s">
        <v>654</v>
      </c>
      <c r="Y509" s="85" t="s">
        <v>702</v>
      </c>
      <c r="Z509" s="900" t="s">
        <v>753</v>
      </c>
      <c r="AA509" s="900" t="s">
        <v>753</v>
      </c>
      <c r="AB509" s="60"/>
      <c r="AC509" s="60"/>
      <c r="AF509" s="1"/>
    </row>
    <row r="510" spans="1:68" ht="14.25" customHeight="1" thickTop="1" x14ac:dyDescent="0.2">
      <c r="A510" s="898" t="s">
        <v>10</v>
      </c>
      <c r="B510" s="900" t="s">
        <v>76</v>
      </c>
      <c r="C510" s="900" t="s">
        <v>116</v>
      </c>
      <c r="D510" s="900" t="s">
        <v>121</v>
      </c>
      <c r="E510" s="900" t="s">
        <v>137</v>
      </c>
      <c r="F510" s="900" t="s">
        <v>183</v>
      </c>
      <c r="G510" s="900" t="s">
        <v>205</v>
      </c>
      <c r="H510" s="900" t="s">
        <v>242</v>
      </c>
      <c r="I510" s="900" t="s">
        <v>120</v>
      </c>
      <c r="J510" s="900" t="s">
        <v>294</v>
      </c>
      <c r="K510" s="900" t="s">
        <v>350</v>
      </c>
      <c r="L510" s="900" t="s">
        <v>414</v>
      </c>
      <c r="M510" s="900" t="s">
        <v>453</v>
      </c>
      <c r="N510" s="1"/>
      <c r="O510" s="900" t="s">
        <v>469</v>
      </c>
      <c r="P510" s="900" t="s">
        <v>480</v>
      </c>
      <c r="Q510" s="900" t="s">
        <v>489</v>
      </c>
      <c r="R510" s="900" t="s">
        <v>508</v>
      </c>
      <c r="S510" s="900" t="s">
        <v>591</v>
      </c>
      <c r="T510" s="900" t="s">
        <v>602</v>
      </c>
      <c r="U510" s="900" t="s">
        <v>638</v>
      </c>
      <c r="V510" s="900" t="s">
        <v>655</v>
      </c>
      <c r="W510" s="900" t="s">
        <v>686</v>
      </c>
      <c r="X510" s="900" t="s">
        <v>698</v>
      </c>
      <c r="Y510" s="900" t="s">
        <v>702</v>
      </c>
      <c r="Z510" s="900" t="s">
        <v>753</v>
      </c>
      <c r="AA510" s="900" t="s">
        <v>777</v>
      </c>
      <c r="AB510" s="60"/>
      <c r="AC510" s="60"/>
      <c r="AF510" s="1"/>
    </row>
    <row r="511" spans="1:68" ht="13.5" thickBot="1" x14ac:dyDescent="0.25">
      <c r="A511" s="899"/>
      <c r="B511" s="900"/>
      <c r="C511" s="900"/>
      <c r="D511" s="900"/>
      <c r="E511" s="900"/>
      <c r="F511" s="900"/>
      <c r="G511" s="900"/>
      <c r="H511" s="900"/>
      <c r="I511" s="900"/>
      <c r="J511" s="900"/>
      <c r="K511" s="900"/>
      <c r="L511" s="900"/>
      <c r="M511" s="900"/>
      <c r="N511" s="1"/>
      <c r="O511" s="900"/>
      <c r="P511" s="900"/>
      <c r="Q511" s="900"/>
      <c r="R511" s="900"/>
      <c r="S511" s="900"/>
      <c r="T511" s="900"/>
      <c r="U511" s="900"/>
      <c r="V511" s="900"/>
      <c r="W511" s="900"/>
      <c r="X511" s="900"/>
      <c r="Y511" s="900"/>
      <c r="Z511" s="900"/>
      <c r="AA511" s="900"/>
      <c r="AB511" s="60"/>
      <c r="AC511" s="60"/>
      <c r="AF511" s="1"/>
    </row>
    <row r="512" spans="1:68" ht="18" thickTop="1" thickBot="1" x14ac:dyDescent="0.25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21.6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131.4</v>
      </c>
      <c r="F512" s="52">
        <f>IFERROR(Y88*1,"0")+IFERROR(Y89*1,"0")+IFERROR(Y90*1,"0")+IFERROR(Y91*1,"0")+IFERROR(Y95*1,"0")+IFERROR(Y96*1,"0")+IFERROR(Y97*1,"0")+IFERROR(Y98*1,"0")</f>
        <v>65.7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110.69999999999999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133.56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123.30000000000001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86.4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75.599999999999994</v>
      </c>
      <c r="S512" s="52">
        <f>IFERROR(Y358*1,"0")+IFERROR(Y359*1,"0")+IFERROR(Y360*1,"0")</f>
        <v>16.8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480</v>
      </c>
      <c r="U512" s="52">
        <f>IFERROR(Y391*1,"0")+IFERROR(Y392*1,"0")+IFERROR(Y396*1,"0")+IFERROR(Y400*1,"0")+IFERROR(Y401*1,"0")+IFERROR(Y402*1,"0")</f>
        <v>0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32.400000000000006</v>
      </c>
      <c r="W512" s="52">
        <f>IFERROR(Y426*1,"0")+IFERROR(Y430*1,"0")+IFERROR(Y431*1,"0")+IFERROR(Y432*1,"0")</f>
        <v>10.8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285.12</v>
      </c>
      <c r="Z512" s="52">
        <f>IFERROR(Y475*1,"0")+IFERROR(Y476*1,"0")+IFERROR(Y477*1,"0")+IFERROR(Y481*1,"0")+IFERROR(Y485*1,"0")+IFERROR(Y489*1,"0")+IFERROR(Y493*1,"0")+IFERROR(Y494*1,"0")</f>
        <v>120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99"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781</v>
      </c>
      <c r="H1" s="9"/>
    </row>
    <row r="3" spans="2:8" x14ac:dyDescent="0.2">
      <c r="B3" s="53" t="s">
        <v>782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783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784</v>
      </c>
      <c r="C6" s="53" t="s">
        <v>785</v>
      </c>
      <c r="D6" s="53" t="s">
        <v>786</v>
      </c>
      <c r="E6" s="53" t="s">
        <v>46</v>
      </c>
    </row>
    <row r="7" spans="2:8" x14ac:dyDescent="0.2">
      <c r="B7" s="53" t="s">
        <v>787</v>
      </c>
      <c r="C7" s="53" t="s">
        <v>788</v>
      </c>
      <c r="D7" s="53" t="s">
        <v>789</v>
      </c>
      <c r="E7" s="53" t="s">
        <v>46</v>
      </c>
    </row>
    <row r="9" spans="2:8" x14ac:dyDescent="0.2">
      <c r="B9" s="53" t="s">
        <v>790</v>
      </c>
      <c r="C9" s="53" t="s">
        <v>785</v>
      </c>
      <c r="D9" s="53" t="s">
        <v>46</v>
      </c>
      <c r="E9" s="53" t="s">
        <v>46</v>
      </c>
    </row>
    <row r="11" spans="2:8" x14ac:dyDescent="0.2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 x14ac:dyDescent="0.2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1016</vt:i4>
      </vt:variant>
    </vt:vector>
  </HeadingPairs>
  <TitlesOfParts>
    <vt:vector size="101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2026-07-21T05:46:53Z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