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6D7F882-201D-4323-A99F-379E9135A5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Y477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BN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Y463" i="2" s="1"/>
  <c r="P458" i="2"/>
  <c r="X454" i="2"/>
  <c r="X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BP398" i="2" s="1"/>
  <c r="P398" i="2"/>
  <c r="BO397" i="2"/>
  <c r="BM397" i="2"/>
  <c r="Y397" i="2"/>
  <c r="Y400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Y371" i="2" s="1"/>
  <c r="P368" i="2"/>
  <c r="X365" i="2"/>
  <c r="X364" i="2"/>
  <c r="BO363" i="2"/>
  <c r="BM363" i="2"/>
  <c r="Y363" i="2"/>
  <c r="Y365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X286" i="2"/>
  <c r="X285" i="2"/>
  <c r="BO284" i="2"/>
  <c r="BM284" i="2"/>
  <c r="Y284" i="2"/>
  <c r="Z284" i="2" s="1"/>
  <c r="Z285" i="2" s="1"/>
  <c r="P284" i="2"/>
  <c r="X282" i="2"/>
  <c r="X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Z238" i="2" s="1"/>
  <c r="Z239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X205" i="2"/>
  <c r="X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4" i="2"/>
  <c r="X193" i="2"/>
  <c r="BO192" i="2"/>
  <c r="BM192" i="2"/>
  <c r="Y192" i="2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Y181" i="2"/>
  <c r="Z181" i="2" s="1"/>
  <c r="Z182" i="2" s="1"/>
  <c r="P181" i="2"/>
  <c r="X179" i="2"/>
  <c r="X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P168" i="2"/>
  <c r="BO167" i="2"/>
  <c r="BM167" i="2"/>
  <c r="Y167" i="2"/>
  <c r="Z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X154" i="2"/>
  <c r="BO153" i="2"/>
  <c r="BM153" i="2"/>
  <c r="Y153" i="2"/>
  <c r="X151" i="2"/>
  <c r="X150" i="2"/>
  <c r="BO149" i="2"/>
  <c r="BM149" i="2"/>
  <c r="Y149" i="2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Z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P136" i="2"/>
  <c r="BO135" i="2"/>
  <c r="BM135" i="2"/>
  <c r="Y135" i="2"/>
  <c r="BP135" i="2" s="1"/>
  <c r="P135" i="2"/>
  <c r="X133" i="2"/>
  <c r="X132" i="2"/>
  <c r="BO131" i="2"/>
  <c r="BM131" i="2"/>
  <c r="Y131" i="2"/>
  <c r="P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Z114" i="2" s="1"/>
  <c r="P114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X90" i="2"/>
  <c r="X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BO51" i="2"/>
  <c r="BM51" i="2"/>
  <c r="Y51" i="2"/>
  <c r="P51" i="2"/>
  <c r="X48" i="2"/>
  <c r="X47" i="2"/>
  <c r="BO46" i="2"/>
  <c r="BM46" i="2"/>
  <c r="Y46" i="2"/>
  <c r="P46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F10" i="2" s="1"/>
  <c r="D7" i="2"/>
  <c r="Q6" i="2"/>
  <c r="P2" i="2"/>
  <c r="A10" i="2" l="1"/>
  <c r="Z92" i="2"/>
  <c r="BN92" i="2"/>
  <c r="BP214" i="2"/>
  <c r="Z22" i="2"/>
  <c r="Z23" i="2" s="1"/>
  <c r="BN22" i="2"/>
  <c r="BP22" i="2"/>
  <c r="Y23" i="2"/>
  <c r="Z26" i="2"/>
  <c r="BN26" i="2"/>
  <c r="Z147" i="2"/>
  <c r="BN147" i="2"/>
  <c r="Y151" i="2"/>
  <c r="Z388" i="2"/>
  <c r="BN388" i="2"/>
  <c r="Z442" i="2"/>
  <c r="BN442" i="2"/>
  <c r="Z67" i="2"/>
  <c r="BN67" i="2"/>
  <c r="BP108" i="2"/>
  <c r="Z187" i="2"/>
  <c r="BN187" i="2"/>
  <c r="Z197" i="2"/>
  <c r="BN197" i="2"/>
  <c r="Z307" i="2"/>
  <c r="Z347" i="2"/>
  <c r="BN347" i="2"/>
  <c r="Z410" i="2"/>
  <c r="Z461" i="2"/>
  <c r="Z75" i="2"/>
  <c r="BP130" i="2"/>
  <c r="BP170" i="2"/>
  <c r="BP203" i="2"/>
  <c r="Z250" i="2"/>
  <c r="BN250" i="2"/>
  <c r="Z299" i="2"/>
  <c r="BN299" i="2"/>
  <c r="Y326" i="2"/>
  <c r="Z359" i="2"/>
  <c r="BN359" i="2"/>
  <c r="Z398" i="2"/>
  <c r="BN398" i="2"/>
  <c r="Z428" i="2"/>
  <c r="Z452" i="2"/>
  <c r="BP476" i="2"/>
  <c r="Z480" i="2"/>
  <c r="Z335" i="2"/>
  <c r="BN335" i="2"/>
  <c r="X489" i="2"/>
  <c r="BP41" i="2"/>
  <c r="Z61" i="2"/>
  <c r="BN61" i="2"/>
  <c r="BP73" i="2"/>
  <c r="Y83" i="2"/>
  <c r="Z94" i="2"/>
  <c r="BN94" i="2"/>
  <c r="Z103" i="2"/>
  <c r="BN103" i="2"/>
  <c r="Z141" i="2"/>
  <c r="Z144" i="2" s="1"/>
  <c r="BN141" i="2"/>
  <c r="Z199" i="2"/>
  <c r="BN199" i="2"/>
  <c r="Z219" i="2"/>
  <c r="BN219" i="2"/>
  <c r="Z230" i="2"/>
  <c r="BN230" i="2"/>
  <c r="BP247" i="2"/>
  <c r="BP258" i="2"/>
  <c r="Z292" i="2"/>
  <c r="BN292" i="2"/>
  <c r="Z293" i="2"/>
  <c r="BN293" i="2"/>
  <c r="BP302" i="2"/>
  <c r="Z309" i="2"/>
  <c r="BN309" i="2"/>
  <c r="Z324" i="2"/>
  <c r="BN324" i="2"/>
  <c r="Z343" i="2"/>
  <c r="BN343" i="2"/>
  <c r="BP344" i="2"/>
  <c r="Z353" i="2"/>
  <c r="BN353" i="2"/>
  <c r="BP354" i="2"/>
  <c r="Y355" i="2"/>
  <c r="Y356" i="2"/>
  <c r="Z363" i="2"/>
  <c r="Z364" i="2" s="1"/>
  <c r="BN363" i="2"/>
  <c r="BP363" i="2"/>
  <c r="Y364" i="2"/>
  <c r="Z392" i="2"/>
  <c r="BN392" i="2"/>
  <c r="Z424" i="2"/>
  <c r="BN424" i="2"/>
  <c r="Z430" i="2"/>
  <c r="BN430" i="2"/>
  <c r="Z444" i="2"/>
  <c r="BN444" i="2"/>
  <c r="Z458" i="2"/>
  <c r="BP467" i="2"/>
  <c r="Y488" i="2"/>
  <c r="BN27" i="2"/>
  <c r="BP27" i="2"/>
  <c r="Y47" i="2"/>
  <c r="BP46" i="2"/>
  <c r="BN46" i="2"/>
  <c r="Z46" i="2"/>
  <c r="Z47" i="2" s="1"/>
  <c r="Y48" i="2"/>
  <c r="BP51" i="2"/>
  <c r="BN51" i="2"/>
  <c r="Z51" i="2"/>
  <c r="Y77" i="2"/>
  <c r="Z72" i="2"/>
  <c r="BP76" i="2"/>
  <c r="Z76" i="2"/>
  <c r="BN88" i="2"/>
  <c r="BP88" i="2"/>
  <c r="BN95" i="2"/>
  <c r="BP95" i="2"/>
  <c r="Y96" i="2"/>
  <c r="BP101" i="2"/>
  <c r="BN101" i="2"/>
  <c r="Z101" i="2"/>
  <c r="BP113" i="2"/>
  <c r="BN113" i="2"/>
  <c r="Z113" i="2"/>
  <c r="BN131" i="2"/>
  <c r="BP131" i="2"/>
  <c r="BP136" i="2"/>
  <c r="BN136" i="2"/>
  <c r="Z136" i="2"/>
  <c r="BP149" i="2"/>
  <c r="BN149" i="2"/>
  <c r="Z149" i="2"/>
  <c r="BN164" i="2"/>
  <c r="BP164" i="2"/>
  <c r="BP166" i="2"/>
  <c r="BN166" i="2"/>
  <c r="Z166" i="2"/>
  <c r="BN171" i="2"/>
  <c r="BP171" i="2"/>
  <c r="BP176" i="2"/>
  <c r="BN176" i="2"/>
  <c r="Z176" i="2"/>
  <c r="BN198" i="2"/>
  <c r="BN212" i="2"/>
  <c r="BP212" i="2"/>
  <c r="BN213" i="2"/>
  <c r="BP213" i="2"/>
  <c r="Z221" i="2"/>
  <c r="BP303" i="2"/>
  <c r="BN303" i="2"/>
  <c r="Z303" i="2"/>
  <c r="BN389" i="2"/>
  <c r="BP389" i="2"/>
  <c r="BP443" i="2"/>
  <c r="Z443" i="2"/>
  <c r="BN481" i="2"/>
  <c r="BP481" i="2"/>
  <c r="X491" i="2"/>
  <c r="X490" i="2"/>
  <c r="Z34" i="2"/>
  <c r="Z35" i="2" s="1"/>
  <c r="BN34" i="2"/>
  <c r="BP34" i="2"/>
  <c r="Y36" i="2"/>
  <c r="BN56" i="2"/>
  <c r="BN62" i="2"/>
  <c r="BP62" i="2"/>
  <c r="BN74" i="2"/>
  <c r="BP74" i="2"/>
  <c r="Y78" i="2"/>
  <c r="Y104" i="2"/>
  <c r="Y105" i="2"/>
  <c r="Y121" i="2"/>
  <c r="Y122" i="2"/>
  <c r="Y128" i="2"/>
  <c r="Y127" i="2"/>
  <c r="BP126" i="2"/>
  <c r="BN126" i="2"/>
  <c r="Z126" i="2"/>
  <c r="BN142" i="2"/>
  <c r="BP142" i="2"/>
  <c r="Y150" i="2"/>
  <c r="BP169" i="2"/>
  <c r="Z169" i="2"/>
  <c r="BN181" i="2"/>
  <c r="BP181" i="2"/>
  <c r="Y182" i="2"/>
  <c r="Y183" i="2"/>
  <c r="BP186" i="2"/>
  <c r="Z186" i="2"/>
  <c r="BP209" i="2"/>
  <c r="BN209" i="2"/>
  <c r="Z209" i="2"/>
  <c r="Y243" i="2"/>
  <c r="BP242" i="2"/>
  <c r="BN242" i="2"/>
  <c r="Z242" i="2"/>
  <c r="Z243" i="2" s="1"/>
  <c r="Y244" i="2"/>
  <c r="BN246" i="2"/>
  <c r="BP246" i="2"/>
  <c r="BN256" i="2"/>
  <c r="Z256" i="2"/>
  <c r="BN257" i="2"/>
  <c r="BP257" i="2"/>
  <c r="BP289" i="2"/>
  <c r="BN289" i="2"/>
  <c r="Z289" i="2"/>
  <c r="BN322" i="2"/>
  <c r="BP322" i="2"/>
  <c r="BN323" i="2"/>
  <c r="Y332" i="2"/>
  <c r="BP328" i="2"/>
  <c r="BN328" i="2"/>
  <c r="Z328" i="2"/>
  <c r="BP346" i="2"/>
  <c r="Z346" i="2"/>
  <c r="BN358" i="2"/>
  <c r="Y360" i="2"/>
  <c r="BP369" i="2"/>
  <c r="Z369" i="2"/>
  <c r="BP407" i="2"/>
  <c r="BN407" i="2"/>
  <c r="Z407" i="2"/>
  <c r="BN425" i="2"/>
  <c r="BP425" i="2"/>
  <c r="BN52" i="2"/>
  <c r="BP52" i="2"/>
  <c r="Y132" i="2"/>
  <c r="Y133" i="2"/>
  <c r="BN135" i="2"/>
  <c r="Y137" i="2"/>
  <c r="Y138" i="2"/>
  <c r="BN165" i="2"/>
  <c r="J499" i="2"/>
  <c r="BN208" i="2"/>
  <c r="BP215" i="2"/>
  <c r="Z215" i="2"/>
  <c r="BN228" i="2"/>
  <c r="BP228" i="2"/>
  <c r="BN229" i="2"/>
  <c r="BN234" i="2"/>
  <c r="BP234" i="2"/>
  <c r="BP248" i="2"/>
  <c r="BN248" i="2"/>
  <c r="Z248" i="2"/>
  <c r="BP249" i="2"/>
  <c r="Z249" i="2"/>
  <c r="BP264" i="2"/>
  <c r="BN264" i="2"/>
  <c r="Z264" i="2"/>
  <c r="O499" i="2"/>
  <c r="BN273" i="2"/>
  <c r="Z273" i="2"/>
  <c r="BN274" i="2"/>
  <c r="Y276" i="2"/>
  <c r="BP280" i="2"/>
  <c r="BN280" i="2"/>
  <c r="Z280" i="2"/>
  <c r="BN298" i="2"/>
  <c r="BN308" i="2"/>
  <c r="Y312" i="2"/>
  <c r="Y313" i="2"/>
  <c r="BP321" i="2"/>
  <c r="BN321" i="2"/>
  <c r="Z321" i="2"/>
  <c r="BP337" i="2"/>
  <c r="BN337" i="2"/>
  <c r="Z337" i="2"/>
  <c r="BP349" i="2"/>
  <c r="BN349" i="2"/>
  <c r="Z349" i="2"/>
  <c r="Y395" i="2"/>
  <c r="BP386" i="2"/>
  <c r="BN386" i="2"/>
  <c r="Z386" i="2"/>
  <c r="BN393" i="2"/>
  <c r="Y416" i="2"/>
  <c r="Y417" i="2"/>
  <c r="BP422" i="2"/>
  <c r="BN422" i="2"/>
  <c r="Z422" i="2"/>
  <c r="BN429" i="2"/>
  <c r="Z435" i="2"/>
  <c r="Y439" i="2"/>
  <c r="Y438" i="2"/>
  <c r="BN435" i="2"/>
  <c r="BP435" i="2"/>
  <c r="BN445" i="2"/>
  <c r="BP445" i="2"/>
  <c r="Y454" i="2"/>
  <c r="Y453" i="2"/>
  <c r="BP450" i="2"/>
  <c r="BN450" i="2"/>
  <c r="Z450" i="2"/>
  <c r="BN459" i="2"/>
  <c r="BP459" i="2"/>
  <c r="BN476" i="2"/>
  <c r="Y478" i="2"/>
  <c r="Z476" i="2"/>
  <c r="Z477" i="2" s="1"/>
  <c r="Y236" i="2"/>
  <c r="BN225" i="2"/>
  <c r="BP225" i="2"/>
  <c r="BN267" i="2"/>
  <c r="BN329" i="2"/>
  <c r="BP329" i="2"/>
  <c r="R499" i="2"/>
  <c r="Y338" i="2"/>
  <c r="Y339" i="2"/>
  <c r="BP452" i="2"/>
  <c r="Y482" i="2"/>
  <c r="Y483" i="2"/>
  <c r="BP53" i="2"/>
  <c r="BN53" i="2"/>
  <c r="Y118" i="2"/>
  <c r="Y117" i="2"/>
  <c r="BP114" i="2"/>
  <c r="BN114" i="2"/>
  <c r="Y161" i="2"/>
  <c r="Y160" i="2"/>
  <c r="I499" i="2"/>
  <c r="BP200" i="2"/>
  <c r="BN200" i="2"/>
  <c r="Y286" i="2"/>
  <c r="Y285" i="2"/>
  <c r="BP284" i="2"/>
  <c r="BP378" i="2"/>
  <c r="BN378" i="2"/>
  <c r="X499" i="2"/>
  <c r="Y433" i="2"/>
  <c r="Y432" i="2"/>
  <c r="BP421" i="2"/>
  <c r="BN421" i="2"/>
  <c r="Z421" i="2"/>
  <c r="BP168" i="2"/>
  <c r="BN168" i="2"/>
  <c r="Z168" i="2"/>
  <c r="Y269" i="2"/>
  <c r="BP265" i="2"/>
  <c r="Y268" i="2"/>
  <c r="BN265" i="2"/>
  <c r="M499" i="2"/>
  <c r="Z317" i="2"/>
  <c r="Z378" i="2"/>
  <c r="Z265" i="2"/>
  <c r="Y281" i="2"/>
  <c r="P499" i="2"/>
  <c r="BP279" i="2"/>
  <c r="BP348" i="2"/>
  <c r="BN348" i="2"/>
  <c r="Z348" i="2"/>
  <c r="Y90" i="2"/>
  <c r="Z109" i="2"/>
  <c r="BN159" i="2"/>
  <c r="Y178" i="2"/>
  <c r="BN177" i="2"/>
  <c r="BP177" i="2"/>
  <c r="Y240" i="2"/>
  <c r="Y239" i="2"/>
  <c r="Z279" i="2"/>
  <c r="BN284" i="2"/>
  <c r="BN317" i="2"/>
  <c r="Z345" i="2"/>
  <c r="BN410" i="2"/>
  <c r="Y305" i="2"/>
  <c r="Y304" i="2"/>
  <c r="BP373" i="2"/>
  <c r="BN373" i="2"/>
  <c r="BP431" i="2"/>
  <c r="BN431" i="2"/>
  <c r="D499" i="2"/>
  <c r="BN68" i="2"/>
  <c r="Z68" i="2"/>
  <c r="BN109" i="2"/>
  <c r="BP115" i="2"/>
  <c r="BN115" i="2"/>
  <c r="Z115" i="2"/>
  <c r="BP159" i="2"/>
  <c r="Z192" i="2"/>
  <c r="Y217" i="2"/>
  <c r="Y216" i="2"/>
  <c r="L499" i="2"/>
  <c r="Z259" i="2"/>
  <c r="BN279" i="2"/>
  <c r="Z297" i="2"/>
  <c r="BP300" i="2"/>
  <c r="BN300" i="2"/>
  <c r="BN345" i="2"/>
  <c r="Z373" i="2"/>
  <c r="Z431" i="2"/>
  <c r="Y469" i="2"/>
  <c r="BP465" i="2"/>
  <c r="Y468" i="2"/>
  <c r="BN465" i="2"/>
  <c r="E499" i="2"/>
  <c r="BP86" i="2"/>
  <c r="Y89" i="2"/>
  <c r="BN86" i="2"/>
  <c r="Y172" i="2"/>
  <c r="BP210" i="2"/>
  <c r="BN210" i="2"/>
  <c r="Y235" i="2"/>
  <c r="BP226" i="2"/>
  <c r="BN226" i="2"/>
  <c r="K499" i="2"/>
  <c r="BN238" i="2"/>
  <c r="BN428" i="2"/>
  <c r="Z465" i="2"/>
  <c r="BP60" i="2"/>
  <c r="Y64" i="2"/>
  <c r="Y173" i="2"/>
  <c r="BN192" i="2"/>
  <c r="BN259" i="2"/>
  <c r="BN297" i="2"/>
  <c r="Y370" i="2"/>
  <c r="T499" i="2"/>
  <c r="BP368" i="2"/>
  <c r="BP446" i="2"/>
  <c r="Z446" i="2"/>
  <c r="BN446" i="2"/>
  <c r="Z60" i="2"/>
  <c r="BP68" i="2"/>
  <c r="BN80" i="2"/>
  <c r="BP80" i="2"/>
  <c r="BN169" i="2"/>
  <c r="BN207" i="2"/>
  <c r="Z233" i="2"/>
  <c r="BP238" i="2"/>
  <c r="Q499" i="2"/>
  <c r="Z368" i="2"/>
  <c r="Z387" i="2"/>
  <c r="BP390" i="2"/>
  <c r="BN390" i="2"/>
  <c r="BN42" i="2"/>
  <c r="Y63" i="2"/>
  <c r="Y179" i="2"/>
  <c r="BP192" i="2"/>
  <c r="BP297" i="2"/>
  <c r="Y319" i="2"/>
  <c r="BP315" i="2"/>
  <c r="Y318" i="2"/>
  <c r="BN315" i="2"/>
  <c r="Y380" i="2"/>
  <c r="Y412" i="2"/>
  <c r="BP408" i="2"/>
  <c r="Y411" i="2"/>
  <c r="BN408" i="2"/>
  <c r="BN443" i="2"/>
  <c r="BP460" i="2"/>
  <c r="BN460" i="2"/>
  <c r="Y473" i="2"/>
  <c r="BP472" i="2"/>
  <c r="Z42" i="2"/>
  <c r="Z30" i="2"/>
  <c r="C499" i="2"/>
  <c r="Z55" i="2"/>
  <c r="Y111" i="2"/>
  <c r="Z116" i="2"/>
  <c r="Z202" i="2"/>
  <c r="BP207" i="2"/>
  <c r="BN233" i="2"/>
  <c r="BP256" i="2"/>
  <c r="BP273" i="2"/>
  <c r="Z315" i="2"/>
  <c r="BN368" i="2"/>
  <c r="BN387" i="2"/>
  <c r="Z408" i="2"/>
  <c r="Z460" i="2"/>
  <c r="Z472" i="2"/>
  <c r="G499" i="2"/>
  <c r="BN125" i="2"/>
  <c r="Z125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N55" i="2"/>
  <c r="BP93" i="2"/>
  <c r="Y97" i="2"/>
  <c r="BN116" i="2"/>
  <c r="BP125" i="2"/>
  <c r="BN202" i="2"/>
  <c r="Y381" i="2"/>
  <c r="V499" i="2"/>
  <c r="Y405" i="2"/>
  <c r="Y404" i="2"/>
  <c r="BP403" i="2"/>
  <c r="Z423" i="2"/>
  <c r="BP426" i="2"/>
  <c r="BN426" i="2"/>
  <c r="BN472" i="2"/>
  <c r="Y58" i="2"/>
  <c r="Y205" i="2"/>
  <c r="BP310" i="2"/>
  <c r="BN310" i="2"/>
  <c r="Y350" i="2"/>
  <c r="Y375" i="2"/>
  <c r="Y448" i="2"/>
  <c r="Y447" i="2"/>
  <c r="BP441" i="2"/>
  <c r="BN441" i="2"/>
  <c r="Z441" i="2"/>
  <c r="X493" i="2"/>
  <c r="Y32" i="2"/>
  <c r="BN75" i="2"/>
  <c r="Z88" i="2"/>
  <c r="BP102" i="2"/>
  <c r="BP153" i="2"/>
  <c r="Z164" i="2"/>
  <c r="BN167" i="2"/>
  <c r="BP167" i="2"/>
  <c r="Z310" i="2"/>
  <c r="Y394" i="2"/>
  <c r="U499" i="2"/>
  <c r="BP385" i="2"/>
  <c r="BN385" i="2"/>
  <c r="Z385" i="2"/>
  <c r="Y399" i="2"/>
  <c r="BP397" i="2"/>
  <c r="BN423" i="2"/>
  <c r="B499" i="2"/>
  <c r="BP81" i="2"/>
  <c r="Z81" i="2"/>
  <c r="Z82" i="2" s="1"/>
  <c r="BN81" i="2"/>
  <c r="BN148" i="2"/>
  <c r="Z148" i="2"/>
  <c r="BN72" i="2"/>
  <c r="BN93" i="2"/>
  <c r="Y295" i="2"/>
  <c r="Y294" i="2"/>
  <c r="BP290" i="2"/>
  <c r="BN290" i="2"/>
  <c r="Z302" i="2"/>
  <c r="BN307" i="2"/>
  <c r="BP330" i="2"/>
  <c r="BN330" i="2"/>
  <c r="Z397" i="2"/>
  <c r="BN403" i="2"/>
  <c r="Z467" i="2"/>
  <c r="BP148" i="2"/>
  <c r="BP231" i="2"/>
  <c r="BN231" i="2"/>
  <c r="Y251" i="2"/>
  <c r="Y282" i="2"/>
  <c r="Z290" i="2"/>
  <c r="Z322" i="2"/>
  <c r="Y325" i="2"/>
  <c r="Z330" i="2"/>
  <c r="Y351" i="2"/>
  <c r="Y376" i="2"/>
  <c r="BP28" i="2"/>
  <c r="BN28" i="2"/>
  <c r="Y31" i="2"/>
  <c r="BP72" i="2"/>
  <c r="Y82" i="2"/>
  <c r="F499" i="2"/>
  <c r="Y144" i="2"/>
  <c r="BP143" i="2"/>
  <c r="BN143" i="2"/>
  <c r="H499" i="2"/>
  <c r="BN215" i="2"/>
  <c r="Z231" i="2"/>
  <c r="BN397" i="2"/>
  <c r="BP436" i="2"/>
  <c r="BN436" i="2"/>
  <c r="Y462" i="2"/>
  <c r="Y361" i="2"/>
  <c r="Z451" i="2"/>
  <c r="Y193" i="2"/>
  <c r="Z107" i="2"/>
  <c r="Z170" i="2"/>
  <c r="Z213" i="2"/>
  <c r="Z234" i="2"/>
  <c r="F9" i="2"/>
  <c r="Z40" i="2"/>
  <c r="Z73" i="2"/>
  <c r="Z130" i="2"/>
  <c r="Z203" i="2"/>
  <c r="Z246" i="2"/>
  <c r="Z257" i="2"/>
  <c r="H9" i="2"/>
  <c r="Z56" i="2"/>
  <c r="Z135" i="2"/>
  <c r="Z165" i="2"/>
  <c r="Z175" i="2"/>
  <c r="Y189" i="2"/>
  <c r="Z198" i="2"/>
  <c r="Z208" i="2"/>
  <c r="Z229" i="2"/>
  <c r="Y252" i="2"/>
  <c r="Z274" i="2"/>
  <c r="Z298" i="2"/>
  <c r="Z308" i="2"/>
  <c r="Z323" i="2"/>
  <c r="Z358" i="2"/>
  <c r="Z393" i="2"/>
  <c r="Z429" i="2"/>
  <c r="BN451" i="2"/>
  <c r="Z486" i="2"/>
  <c r="Z487" i="2" s="1"/>
  <c r="J9" i="2"/>
  <c r="BN40" i="2"/>
  <c r="Y43" i="2"/>
  <c r="BN107" i="2"/>
  <c r="Y110" i="2"/>
  <c r="Y194" i="2"/>
  <c r="Y260" i="2"/>
  <c r="BN458" i="2"/>
  <c r="BN480" i="2"/>
  <c r="S499" i="2"/>
  <c r="Y474" i="2"/>
  <c r="BN486" i="2"/>
  <c r="Y331" i="2"/>
  <c r="Z374" i="2"/>
  <c r="Z409" i="2"/>
  <c r="BP458" i="2"/>
  <c r="Z466" i="2"/>
  <c r="Z29" i="2"/>
  <c r="Y44" i="2"/>
  <c r="Z54" i="2"/>
  <c r="BN66" i="2"/>
  <c r="Y69" i="2"/>
  <c r="BN76" i="2"/>
  <c r="Z87" i="2"/>
  <c r="BN100" i="2"/>
  <c r="Z120" i="2"/>
  <c r="Z121" i="2" s="1"/>
  <c r="Z163" i="2"/>
  <c r="BP175" i="2"/>
  <c r="BN186" i="2"/>
  <c r="Z196" i="2"/>
  <c r="Z227" i="2"/>
  <c r="BN249" i="2"/>
  <c r="Y261" i="2"/>
  <c r="Z272" i="2"/>
  <c r="Z316" i="2"/>
  <c r="BN346" i="2"/>
  <c r="BN369" i="2"/>
  <c r="Z379" i="2"/>
  <c r="Z391" i="2"/>
  <c r="Z415" i="2"/>
  <c r="Z416" i="2" s="1"/>
  <c r="Z427" i="2"/>
  <c r="Z437" i="2"/>
  <c r="BN461" i="2"/>
  <c r="Z471" i="2"/>
  <c r="BP486" i="2"/>
  <c r="Z201" i="2"/>
  <c r="Z301" i="2"/>
  <c r="BN232" i="2"/>
  <c r="BN266" i="2"/>
  <c r="BN311" i="2"/>
  <c r="BN374" i="2"/>
  <c r="BN409" i="2"/>
  <c r="BN466" i="2"/>
  <c r="W499" i="2"/>
  <c r="Z232" i="2"/>
  <c r="Z255" i="2"/>
  <c r="Z266" i="2"/>
  <c r="Z291" i="2"/>
  <c r="Z311" i="2"/>
  <c r="BN191" i="2"/>
  <c r="BN201" i="2"/>
  <c r="Y204" i="2"/>
  <c r="BN211" i="2"/>
  <c r="BN255" i="2"/>
  <c r="BN291" i="2"/>
  <c r="BN301" i="2"/>
  <c r="BN29" i="2"/>
  <c r="Z41" i="2"/>
  <c r="BN54" i="2"/>
  <c r="Y57" i="2"/>
  <c r="BP66" i="2"/>
  <c r="Z74" i="2"/>
  <c r="BN87" i="2"/>
  <c r="BP100" i="2"/>
  <c r="Z108" i="2"/>
  <c r="BN120" i="2"/>
  <c r="Z131" i="2"/>
  <c r="Y145" i="2"/>
  <c r="BN163" i="2"/>
  <c r="Z171" i="2"/>
  <c r="BN196" i="2"/>
  <c r="Z214" i="2"/>
  <c r="BN227" i="2"/>
  <c r="Z247" i="2"/>
  <c r="Z258" i="2"/>
  <c r="BN272" i="2"/>
  <c r="Y275" i="2"/>
  <c r="BN316" i="2"/>
  <c r="Z344" i="2"/>
  <c r="Z354" i="2"/>
  <c r="BN379" i="2"/>
  <c r="BN391" i="2"/>
  <c r="BN415" i="2"/>
  <c r="BN427" i="2"/>
  <c r="BN437" i="2"/>
  <c r="Z459" i="2"/>
  <c r="BN471" i="2"/>
  <c r="Z481" i="2"/>
  <c r="Z482" i="2" s="1"/>
  <c r="Y487" i="2"/>
  <c r="Z191" i="2"/>
  <c r="Z211" i="2"/>
  <c r="Y499" i="2"/>
  <c r="BP196" i="2"/>
  <c r="Z225" i="2"/>
  <c r="Z188" i="2" l="1"/>
  <c r="Z96" i="2"/>
  <c r="Z69" i="2"/>
  <c r="Z355" i="2"/>
  <c r="Z360" i="2"/>
  <c r="Z178" i="2"/>
  <c r="Z399" i="2"/>
  <c r="Z338" i="2"/>
  <c r="Z117" i="2"/>
  <c r="Z370" i="2"/>
  <c r="Z216" i="2"/>
  <c r="Z350" i="2"/>
  <c r="Z453" i="2"/>
  <c r="Z331" i="2"/>
  <c r="Z150" i="2"/>
  <c r="Z63" i="2"/>
  <c r="Z281" i="2"/>
  <c r="X492" i="2"/>
  <c r="Z193" i="2"/>
  <c r="Z104" i="2"/>
  <c r="Z127" i="2"/>
  <c r="Y493" i="2"/>
  <c r="Y490" i="2"/>
  <c r="Z325" i="2"/>
  <c r="Z260" i="2"/>
  <c r="Z438" i="2"/>
  <c r="Z275" i="2"/>
  <c r="Z89" i="2"/>
  <c r="Z57" i="2"/>
  <c r="Z31" i="2"/>
  <c r="Z312" i="2"/>
  <c r="Z137" i="2"/>
  <c r="Z251" i="2"/>
  <c r="Z132" i="2"/>
  <c r="Z294" i="2"/>
  <c r="Y491" i="2"/>
  <c r="Z375" i="2"/>
  <c r="Z394" i="2"/>
  <c r="Z304" i="2"/>
  <c r="Z432" i="2"/>
  <c r="Z43" i="2"/>
  <c r="Z411" i="2"/>
  <c r="Z268" i="2"/>
  <c r="Z380" i="2"/>
  <c r="Z172" i="2"/>
  <c r="Y489" i="2"/>
  <c r="Z318" i="2"/>
  <c r="Z110" i="2"/>
  <c r="Z447" i="2"/>
  <c r="Z235" i="2"/>
  <c r="Z77" i="2"/>
  <c r="Z204" i="2"/>
  <c r="Z473" i="2"/>
  <c r="Z462" i="2"/>
  <c r="Z468" i="2"/>
  <c r="Y492" i="2" l="1"/>
  <c r="Z494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<sst xmlns="http://schemas.openxmlformats.org/spreadsheetml/2006/main" count="3606" uniqueCount="771">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</sst>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C9" sqref="AC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/>
      <c r="R5" s="557"/>
      <c r="T5" s="558" t="s">
        <v>3</v>
      </c>
      <c r="U5" s="559"/>
      <c r="V5" s="560" t="s">
        <v>742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753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 xml:space="preserve"> 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4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/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>
        <v>45986</v>
      </c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>
        <v>0.54166666666666663</v>
      </c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hidden="1" customHeight="1" x14ac:dyDescent="0.2">
      <c r="A19" s="618" t="s">
        <v>75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hidden="1" customHeight="1" x14ac:dyDescent="0.25">
      <c r="A20" s="619" t="s">
        <v>75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hidden="1" customHeight="1" x14ac:dyDescent="0.25">
      <c r="A21" s="620" t="s">
        <v>76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20" t="s">
        <v>82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20" t="s">
        <v>100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idden="1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hidden="1" customHeight="1" x14ac:dyDescent="0.2">
      <c r="A37" s="618" t="s">
        <v>106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hidden="1" customHeight="1" x14ac:dyDescent="0.25">
      <c r="A38" s="619" t="s">
        <v>107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hidden="1" customHeight="1" x14ac:dyDescent="0.25">
      <c r="A39" s="620" t="s">
        <v>108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hidden="1" customHeight="1" x14ac:dyDescent="0.25">
      <c r="A40" s="63" t="s">
        <v>109</v>
      </c>
      <c r="B40" s="63" t="s">
        <v>110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11.234999999999999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114</v>
      </c>
      <c r="B41" s="63" t="s">
        <v>115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4.21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117</v>
      </c>
      <c r="B42" s="63" t="s">
        <v>118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3.91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idden="1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hidden="1" customHeight="1" x14ac:dyDescent="0.25">
      <c r="A45" s="620" t="s">
        <v>82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hidden="1" customHeight="1" x14ac:dyDescent="0.25">
      <c r="A46" s="63" t="s">
        <v>119</v>
      </c>
      <c r="B46" s="63" t="s">
        <v>120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hidden="1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hidden="1" customHeight="1" x14ac:dyDescent="0.25">
      <c r="A49" s="619" t="s">
        <v>122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hidden="1" customHeight="1" x14ac:dyDescent="0.25">
      <c r="A50" s="620" t="s">
        <v>108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hidden="1" customHeight="1" x14ac:dyDescent="0.25">
      <c r="A51" s="63" t="s">
        <v>123</v>
      </c>
      <c r="B51" s="63" t="s">
        <v>124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11.635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hidden="1" customHeight="1" x14ac:dyDescent="0.25">
      <c r="A52" s="63" t="s">
        <v>126</v>
      </c>
      <c r="B52" s="63" t="s">
        <v>127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11.234999999999999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hidden="1" customHeight="1" x14ac:dyDescent="0.25">
      <c r="A53" s="63" t="s">
        <v>129</v>
      </c>
      <c r="B53" s="63" t="s">
        <v>130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5.01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hidden="1" customHeight="1" x14ac:dyDescent="0.25">
      <c r="A54" s="63" t="s">
        <v>132</v>
      </c>
      <c r="B54" s="63" t="s">
        <v>133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4.21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4.71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idden="1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hidden="1" customHeight="1" x14ac:dyDescent="0.25">
      <c r="A59" s="620" t="s">
        <v>141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hidden="1" customHeight="1" x14ac:dyDescent="0.25">
      <c r="A60" s="63" t="s">
        <v>142</v>
      </c>
      <c r="B60" s="63" t="s">
        <v>143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11.234999999999999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hidden="1" customHeight="1" x14ac:dyDescent="0.25">
      <c r="A61" s="63" t="s">
        <v>145</v>
      </c>
      <c r="B61" s="63" t="s">
        <v>146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hidden="1" customHeight="1" x14ac:dyDescent="0.25">
      <c r="A62" s="63" t="s">
        <v>147</v>
      </c>
      <c r="B62" s="63" t="s">
        <v>148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idden="1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hidden="1" customHeight="1" x14ac:dyDescent="0.25">
      <c r="A65" s="620" t="s">
        <v>76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hidden="1" customHeight="1" x14ac:dyDescent="0.25">
      <c r="A66" s="63" t="s">
        <v>149</v>
      </c>
      <c r="B66" s="63" t="s">
        <v>150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152</v>
      </c>
      <c r="B67" s="63" t="s">
        <v>153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155</v>
      </c>
      <c r="B68" s="63" t="s">
        <v>156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hidden="1" customHeight="1" x14ac:dyDescent="0.25">
      <c r="A71" s="620" t="s">
        <v>82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16.5" hidden="1" customHeight="1" x14ac:dyDescent="0.25">
      <c r="A72" s="63" t="s">
        <v>158</v>
      </c>
      <c r="B72" s="63" t="s">
        <v>159</v>
      </c>
      <c r="C72" s="36">
        <v>4301051838</v>
      </c>
      <c r="D72" s="621">
        <v>4680115881891</v>
      </c>
      <c r="E72" s="621"/>
      <c r="F72" s="62">
        <v>1.4</v>
      </c>
      <c r="G72" s="37">
        <v>6</v>
      </c>
      <c r="H72" s="62">
        <v>8.4</v>
      </c>
      <c r="I72" s="62">
        <v>8.9190000000000005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40</v>
      </c>
      <c r="P72" s="6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161</v>
      </c>
      <c r="B73" s="63" t="s">
        <v>162</v>
      </c>
      <c r="C73" s="36">
        <v>4301051846</v>
      </c>
      <c r="D73" s="621">
        <v>4680115885769</v>
      </c>
      <c r="E73" s="621"/>
      <c r="F73" s="62">
        <v>1.4</v>
      </c>
      <c r="G73" s="37">
        <v>6</v>
      </c>
      <c r="H73" s="62">
        <v>8.4</v>
      </c>
      <c r="I73" s="62">
        <v>8.8350000000000009</v>
      </c>
      <c r="J73" s="37">
        <v>64</v>
      </c>
      <c r="K73" s="37" t="s">
        <v>113</v>
      </c>
      <c r="L73" s="37" t="s">
        <v>45</v>
      </c>
      <c r="M73" s="38" t="s">
        <v>86</v>
      </c>
      <c r="N73" s="38"/>
      <c r="O73" s="37">
        <v>45</v>
      </c>
      <c r="P73" s="6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164</v>
      </c>
      <c r="B74" s="63" t="s">
        <v>165</v>
      </c>
      <c r="C74" s="36">
        <v>4301051837</v>
      </c>
      <c r="D74" s="621">
        <v>4680115884311</v>
      </c>
      <c r="E74" s="621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40</v>
      </c>
      <c r="P74" s="6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166</v>
      </c>
      <c r="B75" s="63" t="s">
        <v>167</v>
      </c>
      <c r="C75" s="36">
        <v>4301051844</v>
      </c>
      <c r="D75" s="621">
        <v>4680115885929</v>
      </c>
      <c r="E75" s="621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45</v>
      </c>
      <c r="P75" s="6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168</v>
      </c>
      <c r="B76" s="63" t="s">
        <v>169</v>
      </c>
      <c r="C76" s="36">
        <v>4301051929</v>
      </c>
      <c r="D76" s="621">
        <v>4680115884403</v>
      </c>
      <c r="E76" s="621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87</v>
      </c>
      <c r="L76" s="37" t="s">
        <v>45</v>
      </c>
      <c r="M76" s="38" t="s">
        <v>86</v>
      </c>
      <c r="N76" s="38"/>
      <c r="O76" s="37">
        <v>40</v>
      </c>
      <c r="P76" s="6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3"/>
      <c r="R76" s="623"/>
      <c r="S76" s="623"/>
      <c r="T76" s="624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170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39</v>
      </c>
      <c r="X77" s="43">
        <f>IFERROR(X72/H72,"0")+IFERROR(X73/H73,"0")+IFERROR(X74/H74,"0")+IFERROR(X75/H75,"0")+IFERROR(X76/H76,"0")</f>
        <v>0</v>
      </c>
      <c r="Y77" s="43">
        <f>IFERROR(Y72/H72,"0")+IFERROR(Y73/H73,"0")+IFERROR(Y74/H74,"0")+IFERROR(Y75/H75,"0")+IFERROR(Y76/H76,"0")</f>
        <v>0</v>
      </c>
      <c r="Z77" s="43">
        <f>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2" t="s">
        <v>0</v>
      </c>
      <c r="X78" s="43">
        <f>IFERROR(SUM(X72:X76),"0")</f>
        <v>0</v>
      </c>
      <c r="Y78" s="43">
        <f>IFERROR(SUM(Y72:Y76),"0")</f>
        <v>0</v>
      </c>
      <c r="Z78" s="42"/>
      <c r="AA78" s="67"/>
      <c r="AB78" s="67"/>
      <c r="AC78" s="67"/>
    </row>
    <row r="79" spans="1:68" ht="14.25" hidden="1" customHeight="1" x14ac:dyDescent="0.25">
      <c r="A79" s="620" t="s">
        <v>171</v>
      </c>
      <c r="B79" s="620"/>
      <c r="C79" s="620"/>
      <c r="D79" s="620"/>
      <c r="E79" s="620"/>
      <c r="F79" s="620"/>
      <c r="G79" s="620"/>
      <c r="H79" s="620"/>
      <c r="I79" s="620"/>
      <c r="J79" s="620"/>
      <c r="K79" s="620"/>
      <c r="L79" s="620"/>
      <c r="M79" s="620"/>
      <c r="N79" s="620"/>
      <c r="O79" s="620"/>
      <c r="P79" s="620"/>
      <c r="Q79" s="620"/>
      <c r="R79" s="620"/>
      <c r="S79" s="620"/>
      <c r="T79" s="620"/>
      <c r="U79" s="620"/>
      <c r="V79" s="620"/>
      <c r="W79" s="620"/>
      <c r="X79" s="620"/>
      <c r="Y79" s="620"/>
      <c r="Z79" s="620"/>
      <c r="AA79" s="66"/>
      <c r="AB79" s="66"/>
      <c r="AC79" s="80"/>
    </row>
    <row r="80" spans="1:68" ht="27" hidden="1" customHeight="1" x14ac:dyDescent="0.25">
      <c r="A80" s="63" t="s">
        <v>172</v>
      </c>
      <c r="B80" s="63" t="s">
        <v>173</v>
      </c>
      <c r="C80" s="36">
        <v>4301060455</v>
      </c>
      <c r="D80" s="621">
        <v>4680115881532</v>
      </c>
      <c r="E80" s="621"/>
      <c r="F80" s="62">
        <v>1.3</v>
      </c>
      <c r="G80" s="37">
        <v>6</v>
      </c>
      <c r="H80" s="62">
        <v>7.8</v>
      </c>
      <c r="I80" s="62">
        <v>8.2349999999999994</v>
      </c>
      <c r="J80" s="37">
        <v>64</v>
      </c>
      <c r="K80" s="37" t="s">
        <v>113</v>
      </c>
      <c r="L80" s="37" t="s">
        <v>45</v>
      </c>
      <c r="M80" s="38" t="s">
        <v>94</v>
      </c>
      <c r="N80" s="38"/>
      <c r="O80" s="37">
        <v>30</v>
      </c>
      <c r="P80" s="6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175</v>
      </c>
      <c r="B81" s="63" t="s">
        <v>176</v>
      </c>
      <c r="C81" s="36">
        <v>4301060351</v>
      </c>
      <c r="D81" s="621">
        <v>4680115881464</v>
      </c>
      <c r="E81" s="621"/>
      <c r="F81" s="62">
        <v>0.4</v>
      </c>
      <c r="G81" s="37">
        <v>6</v>
      </c>
      <c r="H81" s="62">
        <v>2.4</v>
      </c>
      <c r="I81" s="62">
        <v>2.61</v>
      </c>
      <c r="J81" s="37">
        <v>132</v>
      </c>
      <c r="K81" s="37" t="s">
        <v>116</v>
      </c>
      <c r="L81" s="37" t="s">
        <v>45</v>
      </c>
      <c r="M81" s="38" t="s">
        <v>86</v>
      </c>
      <c r="N81" s="38"/>
      <c r="O81" s="37">
        <v>30</v>
      </c>
      <c r="P81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3"/>
      <c r="R81" s="623"/>
      <c r="S81" s="623"/>
      <c r="T81" s="624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177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619" t="s">
        <v>178</v>
      </c>
      <c r="B84" s="619"/>
      <c r="C84" s="619"/>
      <c r="D84" s="619"/>
      <c r="E84" s="619"/>
      <c r="F84" s="619"/>
      <c r="G84" s="619"/>
      <c r="H84" s="619"/>
      <c r="I84" s="619"/>
      <c r="J84" s="619"/>
      <c r="K84" s="619"/>
      <c r="L84" s="619"/>
      <c r="M84" s="619"/>
      <c r="N84" s="619"/>
      <c r="O84" s="619"/>
      <c r="P84" s="619"/>
      <c r="Q84" s="619"/>
      <c r="R84" s="619"/>
      <c r="S84" s="619"/>
      <c r="T84" s="619"/>
      <c r="U84" s="619"/>
      <c r="V84" s="619"/>
      <c r="W84" s="619"/>
      <c r="X84" s="619"/>
      <c r="Y84" s="619"/>
      <c r="Z84" s="619"/>
      <c r="AA84" s="65"/>
      <c r="AB84" s="65"/>
      <c r="AC84" s="79"/>
    </row>
    <row r="85" spans="1:68" ht="14.25" hidden="1" customHeight="1" x14ac:dyDescent="0.25">
      <c r="A85" s="620" t="s">
        <v>108</v>
      </c>
      <c r="B85" s="620"/>
      <c r="C85" s="620"/>
      <c r="D85" s="620"/>
      <c r="E85" s="620"/>
      <c r="F85" s="620"/>
      <c r="G85" s="620"/>
      <c r="H85" s="620"/>
      <c r="I85" s="620"/>
      <c r="J85" s="620"/>
      <c r="K85" s="620"/>
      <c r="L85" s="620"/>
      <c r="M85" s="620"/>
      <c r="N85" s="620"/>
      <c r="O85" s="620"/>
      <c r="P85" s="620"/>
      <c r="Q85" s="620"/>
      <c r="R85" s="620"/>
      <c r="S85" s="620"/>
      <c r="T85" s="620"/>
      <c r="U85" s="620"/>
      <c r="V85" s="620"/>
      <c r="W85" s="620"/>
      <c r="X85" s="620"/>
      <c r="Y85" s="620"/>
      <c r="Z85" s="620"/>
      <c r="AA85" s="66"/>
      <c r="AB85" s="66"/>
      <c r="AC85" s="80"/>
    </row>
    <row r="86" spans="1:68" ht="27" hidden="1" customHeight="1" x14ac:dyDescent="0.25">
      <c r="A86" s="63" t="s">
        <v>179</v>
      </c>
      <c r="B86" s="63" t="s">
        <v>180</v>
      </c>
      <c r="C86" s="36">
        <v>4301011468</v>
      </c>
      <c r="D86" s="621">
        <v>4680115881327</v>
      </c>
      <c r="E86" s="621"/>
      <c r="F86" s="62">
        <v>1.35</v>
      </c>
      <c r="G86" s="37">
        <v>8</v>
      </c>
      <c r="H86" s="62">
        <v>10.8</v>
      </c>
      <c r="I86" s="62">
        <v>11.234999999999999</v>
      </c>
      <c r="J86" s="37">
        <v>64</v>
      </c>
      <c r="K86" s="37" t="s">
        <v>113</v>
      </c>
      <c r="L86" s="37" t="s">
        <v>45</v>
      </c>
      <c r="M86" s="38" t="s">
        <v>94</v>
      </c>
      <c r="N86" s="38"/>
      <c r="O86" s="37">
        <v>50</v>
      </c>
      <c r="P86" s="6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182</v>
      </c>
      <c r="B87" s="63" t="s">
        <v>183</v>
      </c>
      <c r="C87" s="36">
        <v>4301011476</v>
      </c>
      <c r="D87" s="621">
        <v>4680115881518</v>
      </c>
      <c r="E87" s="621"/>
      <c r="F87" s="62">
        <v>0.4</v>
      </c>
      <c r="G87" s="37">
        <v>10</v>
      </c>
      <c r="H87" s="62">
        <v>4</v>
      </c>
      <c r="I87" s="62">
        <v>4.21</v>
      </c>
      <c r="J87" s="37">
        <v>132</v>
      </c>
      <c r="K87" s="37" t="s">
        <v>116</v>
      </c>
      <c r="L87" s="37" t="s">
        <v>45</v>
      </c>
      <c r="M87" s="38" t="s">
        <v>86</v>
      </c>
      <c r="N87" s="38"/>
      <c r="O87" s="37">
        <v>50</v>
      </c>
      <c r="P87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184</v>
      </c>
      <c r="B88" s="63" t="s">
        <v>185</v>
      </c>
      <c r="C88" s="36">
        <v>4301011443</v>
      </c>
      <c r="D88" s="621">
        <v>4680115881303</v>
      </c>
      <c r="E88" s="621"/>
      <c r="F88" s="62">
        <v>0.45</v>
      </c>
      <c r="G88" s="37">
        <v>10</v>
      </c>
      <c r="H88" s="62">
        <v>4.5</v>
      </c>
      <c r="I88" s="62">
        <v>4.71</v>
      </c>
      <c r="J88" s="37">
        <v>132</v>
      </c>
      <c r="K88" s="37" t="s">
        <v>116</v>
      </c>
      <c r="L88" s="37" t="s">
        <v>45</v>
      </c>
      <c r="M88" s="38" t="s">
        <v>94</v>
      </c>
      <c r="N88" s="38"/>
      <c r="O88" s="37">
        <v>50</v>
      </c>
      <c r="P88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3"/>
      <c r="R88" s="623"/>
      <c r="S88" s="623"/>
      <c r="T88" s="624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181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idden="1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hidden="1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hidden="1" customHeight="1" x14ac:dyDescent="0.25">
      <c r="A91" s="620" t="s">
        <v>82</v>
      </c>
      <c r="B91" s="620"/>
      <c r="C91" s="620"/>
      <c r="D91" s="620"/>
      <c r="E91" s="620"/>
      <c r="F91" s="620"/>
      <c r="G91" s="620"/>
      <c r="H91" s="620"/>
      <c r="I91" s="620"/>
      <c r="J91" s="620"/>
      <c r="K91" s="620"/>
      <c r="L91" s="620"/>
      <c r="M91" s="620"/>
      <c r="N91" s="620"/>
      <c r="O91" s="620"/>
      <c r="P91" s="620"/>
      <c r="Q91" s="620"/>
      <c r="R91" s="620"/>
      <c r="S91" s="620"/>
      <c r="T91" s="620"/>
      <c r="U91" s="620"/>
      <c r="V91" s="620"/>
      <c r="W91" s="620"/>
      <c r="X91" s="620"/>
      <c r="Y91" s="620"/>
      <c r="Z91" s="620"/>
      <c r="AA91" s="66"/>
      <c r="AB91" s="66"/>
      <c r="AC91" s="80"/>
    </row>
    <row r="92" spans="1:68" ht="16.5" customHeight="1" x14ac:dyDescent="0.25">
      <c r="A92" s="63" t="s">
        <v>186</v>
      </c>
      <c r="B92" s="63" t="s">
        <v>187</v>
      </c>
      <c r="C92" s="36">
        <v>4301051712</v>
      </c>
      <c r="D92" s="621">
        <v>4607091386967</v>
      </c>
      <c r="E92" s="621"/>
      <c r="F92" s="62">
        <v>1.35</v>
      </c>
      <c r="G92" s="37">
        <v>6</v>
      </c>
      <c r="H92" s="62">
        <v>8.1</v>
      </c>
      <c r="I92" s="62">
        <v>8.6189999999999998</v>
      </c>
      <c r="J92" s="37">
        <v>64</v>
      </c>
      <c r="K92" s="37" t="s">
        <v>113</v>
      </c>
      <c r="L92" s="37" t="s">
        <v>45</v>
      </c>
      <c r="M92" s="38" t="s">
        <v>94</v>
      </c>
      <c r="N92" s="38"/>
      <c r="O92" s="37">
        <v>45</v>
      </c>
      <c r="P92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64.8</v>
      </c>
      <c r="Y92" s="55">
        <f>IFERROR(IF(X92="",0,CEILING((X92/$H92),1)*$H92),"")</f>
        <v>64.8</v>
      </c>
      <c r="Z92" s="41">
        <f>IFERROR(IF(Y92=0,"",ROUNDUP(Y92/H92,0)*0.01898),"")</f>
        <v>0.15184</v>
      </c>
      <c r="AA92" s="68" t="s">
        <v>45</v>
      </c>
      <c r="AB92" s="69" t="s">
        <v>45</v>
      </c>
      <c r="AC92" s="152" t="s">
        <v>188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68.951999999999998</v>
      </c>
      <c r="BN92" s="78">
        <f>IFERROR(Y92*I92/H92,"0")</f>
        <v>68.951999999999998</v>
      </c>
      <c r="BO92" s="78">
        <f>IFERROR(1/J92*(X92/H92),"0")</f>
        <v>0.125</v>
      </c>
      <c r="BP92" s="78">
        <f>IFERROR(1/J92*(Y92/H92),"0")</f>
        <v>0.125</v>
      </c>
    </row>
    <row r="93" spans="1:68" ht="27" hidden="1" customHeight="1" x14ac:dyDescent="0.25">
      <c r="A93" s="63" t="s">
        <v>189</v>
      </c>
      <c r="B93" s="63" t="s">
        <v>190</v>
      </c>
      <c r="C93" s="36">
        <v>4301051788</v>
      </c>
      <c r="D93" s="621">
        <v>4680115884953</v>
      </c>
      <c r="E93" s="621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87</v>
      </c>
      <c r="L93" s="37" t="s">
        <v>45</v>
      </c>
      <c r="M93" s="38" t="s">
        <v>86</v>
      </c>
      <c r="N93" s="38"/>
      <c r="O93" s="37">
        <v>45</v>
      </c>
      <c r="P93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192</v>
      </c>
      <c r="B94" s="63" t="s">
        <v>193</v>
      </c>
      <c r="C94" s="36">
        <v>4301051718</v>
      </c>
      <c r="D94" s="621">
        <v>4607091385731</v>
      </c>
      <c r="E94" s="621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87</v>
      </c>
      <c r="L94" s="37" t="s">
        <v>45</v>
      </c>
      <c r="M94" s="38" t="s">
        <v>94</v>
      </c>
      <c r="N94" s="38"/>
      <c r="O94" s="37">
        <v>45</v>
      </c>
      <c r="P94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hidden="1" customHeight="1" x14ac:dyDescent="0.25">
      <c r="A95" s="63" t="s">
        <v>194</v>
      </c>
      <c r="B95" s="63" t="s">
        <v>195</v>
      </c>
      <c r="C95" s="36">
        <v>4301051438</v>
      </c>
      <c r="D95" s="621">
        <v>4680115880894</v>
      </c>
      <c r="E95" s="621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87</v>
      </c>
      <c r="L95" s="37" t="s">
        <v>45</v>
      </c>
      <c r="M95" s="38" t="s">
        <v>86</v>
      </c>
      <c r="N95" s="38"/>
      <c r="O95" s="37">
        <v>45</v>
      </c>
      <c r="P95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3"/>
      <c r="R95" s="623"/>
      <c r="S95" s="623"/>
      <c r="T95" s="624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39</v>
      </c>
      <c r="X96" s="43">
        <f>IFERROR(X92/H92,"0")+IFERROR(X93/H93,"0")+IFERROR(X94/H94,"0")+IFERROR(X95/H95,"0")</f>
        <v>8</v>
      </c>
      <c r="Y96" s="43">
        <f>IFERROR(Y92/H92,"0")+IFERROR(Y93/H93,"0")+IFERROR(Y94/H94,"0")+IFERROR(Y95/H95,"0")</f>
        <v>8</v>
      </c>
      <c r="Z96" s="43">
        <f>IFERROR(IF(Z92="",0,Z92),"0")+IFERROR(IF(Z93="",0,Z93),"0")+IFERROR(IF(Z94="",0,Z94),"0")+IFERROR(IF(Z95="",0,Z95),"0")</f>
        <v>0.15184</v>
      </c>
      <c r="AA96" s="67"/>
      <c r="AB96" s="67"/>
      <c r="AC96" s="67"/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2" t="s">
        <v>0</v>
      </c>
      <c r="X97" s="43">
        <f>IFERROR(SUM(X92:X95),"0")</f>
        <v>64.8</v>
      </c>
      <c r="Y97" s="43">
        <f>IFERROR(SUM(Y92:Y95),"0")</f>
        <v>64.8</v>
      </c>
      <c r="Z97" s="42"/>
      <c r="AA97" s="67"/>
      <c r="AB97" s="67"/>
      <c r="AC97" s="67"/>
    </row>
    <row r="98" spans="1:68" ht="16.5" hidden="1" customHeight="1" x14ac:dyDescent="0.25">
      <c r="A98" s="619" t="s">
        <v>197</v>
      </c>
      <c r="B98" s="619"/>
      <c r="C98" s="619"/>
      <c r="D98" s="619"/>
      <c r="E98" s="619"/>
      <c r="F98" s="619"/>
      <c r="G98" s="619"/>
      <c r="H98" s="619"/>
      <c r="I98" s="619"/>
      <c r="J98" s="619"/>
      <c r="K98" s="619"/>
      <c r="L98" s="619"/>
      <c r="M98" s="619"/>
      <c r="N98" s="619"/>
      <c r="O98" s="619"/>
      <c r="P98" s="619"/>
      <c r="Q98" s="619"/>
      <c r="R98" s="619"/>
      <c r="S98" s="619"/>
      <c r="T98" s="619"/>
      <c r="U98" s="619"/>
      <c r="V98" s="619"/>
      <c r="W98" s="619"/>
      <c r="X98" s="619"/>
      <c r="Y98" s="619"/>
      <c r="Z98" s="619"/>
      <c r="AA98" s="65"/>
      <c r="AB98" s="65"/>
      <c r="AC98" s="79"/>
    </row>
    <row r="99" spans="1:68" ht="14.25" hidden="1" customHeight="1" x14ac:dyDescent="0.25">
      <c r="A99" s="620" t="s">
        <v>108</v>
      </c>
      <c r="B99" s="620"/>
      <c r="C99" s="620"/>
      <c r="D99" s="620"/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0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6"/>
      <c r="AB99" s="66"/>
      <c r="AC99" s="80"/>
    </row>
    <row r="100" spans="1:68" ht="37.5" customHeight="1" x14ac:dyDescent="0.25">
      <c r="A100" s="63" t="s">
        <v>198</v>
      </c>
      <c r="B100" s="63" t="s">
        <v>199</v>
      </c>
      <c r="C100" s="36">
        <v>4301011514</v>
      </c>
      <c r="D100" s="621">
        <v>4680115882133</v>
      </c>
      <c r="E100" s="621"/>
      <c r="F100" s="62">
        <v>1.35</v>
      </c>
      <c r="G100" s="37">
        <v>8</v>
      </c>
      <c r="H100" s="62">
        <v>10.8</v>
      </c>
      <c r="I100" s="62">
        <v>11.234999999999999</v>
      </c>
      <c r="J100" s="37">
        <v>64</v>
      </c>
      <c r="K100" s="37" t="s">
        <v>113</v>
      </c>
      <c r="L100" s="37" t="s">
        <v>45</v>
      </c>
      <c r="M100" s="38" t="s">
        <v>112</v>
      </c>
      <c r="N100" s="38"/>
      <c r="O100" s="37">
        <v>50</v>
      </c>
      <c r="P100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86.4</v>
      </c>
      <c r="Y100" s="55">
        <f>IFERROR(IF(X100="",0,CEILING((X100/$H100),1)*$H100),"")</f>
        <v>86.4</v>
      </c>
      <c r="Z100" s="41">
        <f>IFERROR(IF(Y100=0,"",ROUNDUP(Y100/H100,0)*0.01898),"")</f>
        <v>0.15184</v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89.88</v>
      </c>
      <c r="BN100" s="78">
        <f>IFERROR(Y100*I100/H100,"0")</f>
        <v>89.88</v>
      </c>
      <c r="BO100" s="78">
        <f>IFERROR(1/J100*(X100/H100),"0")</f>
        <v>0.125</v>
      </c>
      <c r="BP100" s="78">
        <f>IFERROR(1/J100*(Y100/H100),"0")</f>
        <v>0.125</v>
      </c>
    </row>
    <row r="101" spans="1:68" ht="37.5" hidden="1" customHeight="1" x14ac:dyDescent="0.25">
      <c r="A101" s="63" t="s">
        <v>201</v>
      </c>
      <c r="B101" s="63" t="s">
        <v>202</v>
      </c>
      <c r="C101" s="36">
        <v>4301011417</v>
      </c>
      <c r="D101" s="621">
        <v>4680115880269</v>
      </c>
      <c r="E101" s="621"/>
      <c r="F101" s="62">
        <v>0.375</v>
      </c>
      <c r="G101" s="37">
        <v>10</v>
      </c>
      <c r="H101" s="62">
        <v>3.75</v>
      </c>
      <c r="I101" s="62">
        <v>3.96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203</v>
      </c>
      <c r="B102" s="63" t="s">
        <v>204</v>
      </c>
      <c r="C102" s="36">
        <v>4301011415</v>
      </c>
      <c r="D102" s="621">
        <v>4680115880429</v>
      </c>
      <c r="E102" s="621"/>
      <c r="F102" s="62">
        <v>0.45</v>
      </c>
      <c r="G102" s="37">
        <v>10</v>
      </c>
      <c r="H102" s="62">
        <v>4.5</v>
      </c>
      <c r="I102" s="62">
        <v>4.71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205</v>
      </c>
      <c r="B103" s="63" t="s">
        <v>206</v>
      </c>
      <c r="C103" s="36">
        <v>4301011462</v>
      </c>
      <c r="D103" s="621">
        <v>4680115881457</v>
      </c>
      <c r="E103" s="621"/>
      <c r="F103" s="62">
        <v>0.75</v>
      </c>
      <c r="G103" s="37">
        <v>6</v>
      </c>
      <c r="H103" s="62">
        <v>4.5</v>
      </c>
      <c r="I103" s="62">
        <v>4.71</v>
      </c>
      <c r="J103" s="37">
        <v>132</v>
      </c>
      <c r="K103" s="37" t="s">
        <v>116</v>
      </c>
      <c r="L103" s="37" t="s">
        <v>45</v>
      </c>
      <c r="M103" s="38" t="s">
        <v>86</v>
      </c>
      <c r="N103" s="38"/>
      <c r="O103" s="37">
        <v>50</v>
      </c>
      <c r="P103" s="6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3"/>
      <c r="R103" s="623"/>
      <c r="S103" s="623"/>
      <c r="T103" s="624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39</v>
      </c>
      <c r="X104" s="43">
        <f>IFERROR(X100/H100,"0")+IFERROR(X101/H101,"0")+IFERROR(X102/H102,"0")+IFERROR(X103/H103,"0")</f>
        <v>8</v>
      </c>
      <c r="Y104" s="43">
        <f>IFERROR(Y100/H100,"0")+IFERROR(Y101/H101,"0")+IFERROR(Y102/H102,"0")+IFERROR(Y103/H103,"0")</f>
        <v>8</v>
      </c>
      <c r="Z104" s="43">
        <f>IFERROR(IF(Z100="",0,Z100),"0")+IFERROR(IF(Z101="",0,Z101),"0")+IFERROR(IF(Z102="",0,Z102),"0")+IFERROR(IF(Z103="",0,Z103),"0")</f>
        <v>0.15184</v>
      </c>
      <c r="AA104" s="67"/>
      <c r="AB104" s="67"/>
      <c r="AC104" s="67"/>
    </row>
    <row r="105" spans="1:68" x14ac:dyDescent="0.2">
      <c r="A105" s="628"/>
      <c r="B105" s="628"/>
      <c r="C105" s="628"/>
      <c r="D105" s="628"/>
      <c r="E105" s="628"/>
      <c r="F105" s="628"/>
      <c r="G105" s="628"/>
      <c r="H105" s="628"/>
      <c r="I105" s="628"/>
      <c r="J105" s="628"/>
      <c r="K105" s="628"/>
      <c r="L105" s="628"/>
      <c r="M105" s="628"/>
      <c r="N105" s="628"/>
      <c r="O105" s="629"/>
      <c r="P105" s="625" t="s">
        <v>40</v>
      </c>
      <c r="Q105" s="626"/>
      <c r="R105" s="626"/>
      <c r="S105" s="626"/>
      <c r="T105" s="626"/>
      <c r="U105" s="626"/>
      <c r="V105" s="627"/>
      <c r="W105" s="42" t="s">
        <v>0</v>
      </c>
      <c r="X105" s="43">
        <f>IFERROR(SUM(X100:X103),"0")</f>
        <v>86.4</v>
      </c>
      <c r="Y105" s="43">
        <f>IFERROR(SUM(Y100:Y103),"0")</f>
        <v>86.4</v>
      </c>
      <c r="Z105" s="42"/>
      <c r="AA105" s="67"/>
      <c r="AB105" s="67"/>
      <c r="AC105" s="67"/>
    </row>
    <row r="106" spans="1:68" ht="14.25" hidden="1" customHeight="1" x14ac:dyDescent="0.25">
      <c r="A106" s="620" t="s">
        <v>141</v>
      </c>
      <c r="B106" s="620"/>
      <c r="C106" s="620"/>
      <c r="D106" s="620"/>
      <c r="E106" s="620"/>
      <c r="F106" s="620"/>
      <c r="G106" s="620"/>
      <c r="H106" s="620"/>
      <c r="I106" s="620"/>
      <c r="J106" s="620"/>
      <c r="K106" s="620"/>
      <c r="L106" s="620"/>
      <c r="M106" s="620"/>
      <c r="N106" s="620"/>
      <c r="O106" s="620"/>
      <c r="P106" s="620"/>
      <c r="Q106" s="620"/>
      <c r="R106" s="620"/>
      <c r="S106" s="620"/>
      <c r="T106" s="620"/>
      <c r="U106" s="620"/>
      <c r="V106" s="620"/>
      <c r="W106" s="620"/>
      <c r="X106" s="620"/>
      <c r="Y106" s="620"/>
      <c r="Z106" s="620"/>
      <c r="AA106" s="66"/>
      <c r="AB106" s="66"/>
      <c r="AC106" s="80"/>
    </row>
    <row r="107" spans="1:68" ht="16.5" hidden="1" customHeight="1" x14ac:dyDescent="0.25">
      <c r="A107" s="63" t="s">
        <v>207</v>
      </c>
      <c r="B107" s="63" t="s">
        <v>208</v>
      </c>
      <c r="C107" s="36">
        <v>4301020345</v>
      </c>
      <c r="D107" s="621">
        <v>4680115881488</v>
      </c>
      <c r="E107" s="621"/>
      <c r="F107" s="62">
        <v>1.35</v>
      </c>
      <c r="G107" s="37">
        <v>8</v>
      </c>
      <c r="H107" s="62">
        <v>10.8</v>
      </c>
      <c r="I107" s="62">
        <v>11.234999999999999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6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209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hidden="1" customHeight="1" x14ac:dyDescent="0.25">
      <c r="A108" s="63" t="s">
        <v>210</v>
      </c>
      <c r="B108" s="63" t="s">
        <v>211</v>
      </c>
      <c r="C108" s="36">
        <v>4301020346</v>
      </c>
      <c r="D108" s="621">
        <v>4680115882775</v>
      </c>
      <c r="E108" s="621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81</v>
      </c>
      <c r="L108" s="37" t="s">
        <v>45</v>
      </c>
      <c r="M108" s="38" t="s">
        <v>112</v>
      </c>
      <c r="N108" s="38"/>
      <c r="O108" s="37">
        <v>55</v>
      </c>
      <c r="P108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209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212</v>
      </c>
      <c r="B109" s="63" t="s">
        <v>213</v>
      </c>
      <c r="C109" s="36">
        <v>4301020344</v>
      </c>
      <c r="D109" s="621">
        <v>4680115880658</v>
      </c>
      <c r="E109" s="621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87</v>
      </c>
      <c r="L109" s="37" t="s">
        <v>45</v>
      </c>
      <c r="M109" s="38" t="s">
        <v>112</v>
      </c>
      <c r="N109" s="38"/>
      <c r="O109" s="37">
        <v>55</v>
      </c>
      <c r="P109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3"/>
      <c r="R109" s="623"/>
      <c r="S109" s="623"/>
      <c r="T109" s="62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209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idden="1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hidden="1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hidden="1" customHeight="1" x14ac:dyDescent="0.25">
      <c r="A112" s="620" t="s">
        <v>82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214</v>
      </c>
      <c r="B113" s="63" t="s">
        <v>215</v>
      </c>
      <c r="C113" s="36">
        <v>4301051724</v>
      </c>
      <c r="D113" s="621">
        <v>4607091385168</v>
      </c>
      <c r="E113" s="621"/>
      <c r="F113" s="62">
        <v>1.35</v>
      </c>
      <c r="G113" s="37">
        <v>6</v>
      </c>
      <c r="H113" s="62">
        <v>8.1</v>
      </c>
      <c r="I113" s="62">
        <v>8.6129999999999995</v>
      </c>
      <c r="J113" s="37">
        <v>64</v>
      </c>
      <c r="K113" s="37" t="s">
        <v>113</v>
      </c>
      <c r="L113" s="37" t="s">
        <v>45</v>
      </c>
      <c r="M113" s="38" t="s">
        <v>94</v>
      </c>
      <c r="N113" s="38"/>
      <c r="O113" s="37">
        <v>45</v>
      </c>
      <c r="P113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64.8</v>
      </c>
      <c r="Y113" s="55">
        <f>IFERROR(IF(X113="",0,CEILING((X113/$H113),1)*$H113),"")</f>
        <v>64.8</v>
      </c>
      <c r="Z113" s="41">
        <f>IFERROR(IF(Y113=0,"",ROUNDUP(Y113/H113,0)*0.01898),"")</f>
        <v>0.15184</v>
      </c>
      <c r="AA113" s="68" t="s">
        <v>45</v>
      </c>
      <c r="AB113" s="69" t="s">
        <v>45</v>
      </c>
      <c r="AC113" s="174" t="s">
        <v>216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68.903999999999996</v>
      </c>
      <c r="BN113" s="78">
        <f>IFERROR(Y113*I113/H113,"0")</f>
        <v>68.903999999999996</v>
      </c>
      <c r="BO113" s="78">
        <f>IFERROR(1/J113*(X113/H113),"0")</f>
        <v>0.125</v>
      </c>
      <c r="BP113" s="78">
        <f>IFERROR(1/J113*(Y113/H113),"0")</f>
        <v>0.125</v>
      </c>
    </row>
    <row r="114" spans="1:68" ht="27" hidden="1" customHeight="1" x14ac:dyDescent="0.25">
      <c r="A114" s="63" t="s">
        <v>217</v>
      </c>
      <c r="B114" s="63" t="s">
        <v>218</v>
      </c>
      <c r="C114" s="36">
        <v>4301051730</v>
      </c>
      <c r="D114" s="621">
        <v>4607091383256</v>
      </c>
      <c r="E114" s="621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216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219</v>
      </c>
      <c r="B115" s="63" t="s">
        <v>220</v>
      </c>
      <c r="C115" s="36">
        <v>4301051721</v>
      </c>
      <c r="D115" s="621">
        <v>4607091385748</v>
      </c>
      <c r="E115" s="621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87</v>
      </c>
      <c r="L115" s="37" t="s">
        <v>45</v>
      </c>
      <c r="M115" s="38" t="s">
        <v>94</v>
      </c>
      <c r="N115" s="38"/>
      <c r="O115" s="37">
        <v>45</v>
      </c>
      <c r="P115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hidden="1" customHeight="1" x14ac:dyDescent="0.25">
      <c r="A116" s="63" t="s">
        <v>221</v>
      </c>
      <c r="B116" s="63" t="s">
        <v>222</v>
      </c>
      <c r="C116" s="36">
        <v>4301051740</v>
      </c>
      <c r="D116" s="621">
        <v>4680115884533</v>
      </c>
      <c r="E116" s="621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87</v>
      </c>
      <c r="L116" s="37" t="s">
        <v>45</v>
      </c>
      <c r="M116" s="38" t="s">
        <v>86</v>
      </c>
      <c r="N116" s="38"/>
      <c r="O116" s="37">
        <v>45</v>
      </c>
      <c r="P116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3"/>
      <c r="R116" s="623"/>
      <c r="S116" s="623"/>
      <c r="T116" s="62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223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39</v>
      </c>
      <c r="X117" s="43">
        <f>IFERROR(X113/H113,"0")+IFERROR(X114/H114,"0")+IFERROR(X115/H115,"0")+IFERROR(X116/H116,"0")</f>
        <v>8</v>
      </c>
      <c r="Y117" s="43">
        <f>IFERROR(Y113/H113,"0")+IFERROR(Y114/H114,"0")+IFERROR(Y115/H115,"0")+IFERROR(Y116/H116,"0")</f>
        <v>8</v>
      </c>
      <c r="Z117" s="43">
        <f>IFERROR(IF(Z113="",0,Z113),"0")+IFERROR(IF(Z114="",0,Z114),"0")+IFERROR(IF(Z115="",0,Z115),"0")+IFERROR(IF(Z116="",0,Z116),"0")</f>
        <v>0.15184</v>
      </c>
      <c r="AA117" s="67"/>
      <c r="AB117" s="67"/>
      <c r="AC117" s="67"/>
    </row>
    <row r="118" spans="1:68" x14ac:dyDescent="0.2">
      <c r="A118" s="628"/>
      <c r="B118" s="628"/>
      <c r="C118" s="628"/>
      <c r="D118" s="628"/>
      <c r="E118" s="628"/>
      <c r="F118" s="628"/>
      <c r="G118" s="628"/>
      <c r="H118" s="628"/>
      <c r="I118" s="628"/>
      <c r="J118" s="628"/>
      <c r="K118" s="628"/>
      <c r="L118" s="628"/>
      <c r="M118" s="628"/>
      <c r="N118" s="628"/>
      <c r="O118" s="629"/>
      <c r="P118" s="625" t="s">
        <v>40</v>
      </c>
      <c r="Q118" s="626"/>
      <c r="R118" s="626"/>
      <c r="S118" s="626"/>
      <c r="T118" s="626"/>
      <c r="U118" s="626"/>
      <c r="V118" s="627"/>
      <c r="W118" s="42" t="s">
        <v>0</v>
      </c>
      <c r="X118" s="43">
        <f>IFERROR(SUM(X113:X116),"0")</f>
        <v>64.8</v>
      </c>
      <c r="Y118" s="43">
        <f>IFERROR(SUM(Y113:Y116),"0")</f>
        <v>64.8</v>
      </c>
      <c r="Z118" s="42"/>
      <c r="AA118" s="67"/>
      <c r="AB118" s="67"/>
      <c r="AC118" s="67"/>
    </row>
    <row r="119" spans="1:68" ht="14.25" hidden="1" customHeight="1" x14ac:dyDescent="0.25">
      <c r="A119" s="620" t="s">
        <v>171</v>
      </c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6"/>
      <c r="AB119" s="66"/>
      <c r="AC119" s="80"/>
    </row>
    <row r="120" spans="1:68" ht="16.5" hidden="1" customHeight="1" x14ac:dyDescent="0.25">
      <c r="A120" s="63" t="s">
        <v>224</v>
      </c>
      <c r="B120" s="63" t="s">
        <v>225</v>
      </c>
      <c r="C120" s="36">
        <v>4301060317</v>
      </c>
      <c r="D120" s="621">
        <v>4680115880238</v>
      </c>
      <c r="E120" s="621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87</v>
      </c>
      <c r="L120" s="37" t="s">
        <v>45</v>
      </c>
      <c r="M120" s="38" t="s">
        <v>86</v>
      </c>
      <c r="N120" s="38"/>
      <c r="O120" s="37">
        <v>40</v>
      </c>
      <c r="P120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3"/>
      <c r="R120" s="623"/>
      <c r="S120" s="623"/>
      <c r="T120" s="624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226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628"/>
      <c r="B122" s="628"/>
      <c r="C122" s="628"/>
      <c r="D122" s="628"/>
      <c r="E122" s="628"/>
      <c r="F122" s="628"/>
      <c r="G122" s="628"/>
      <c r="H122" s="628"/>
      <c r="I122" s="628"/>
      <c r="J122" s="628"/>
      <c r="K122" s="628"/>
      <c r="L122" s="628"/>
      <c r="M122" s="628"/>
      <c r="N122" s="628"/>
      <c r="O122" s="629"/>
      <c r="P122" s="625" t="s">
        <v>40</v>
      </c>
      <c r="Q122" s="626"/>
      <c r="R122" s="626"/>
      <c r="S122" s="626"/>
      <c r="T122" s="626"/>
      <c r="U122" s="626"/>
      <c r="V122" s="627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hidden="1" customHeight="1" x14ac:dyDescent="0.25">
      <c r="A123" s="619" t="s">
        <v>227</v>
      </c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  <c r="AA123" s="65"/>
      <c r="AB123" s="65"/>
      <c r="AC123" s="79"/>
    </row>
    <row r="124" spans="1:68" ht="14.25" hidden="1" customHeight="1" x14ac:dyDescent="0.25">
      <c r="A124" s="620" t="s">
        <v>108</v>
      </c>
      <c r="B124" s="620"/>
      <c r="C124" s="620"/>
      <c r="D124" s="620"/>
      <c r="E124" s="620"/>
      <c r="F124" s="620"/>
      <c r="G124" s="620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6"/>
      <c r="AB124" s="66"/>
      <c r="AC124" s="80"/>
    </row>
    <row r="125" spans="1:68" ht="27" hidden="1" customHeight="1" x14ac:dyDescent="0.25">
      <c r="A125" s="63" t="s">
        <v>228</v>
      </c>
      <c r="B125" s="63" t="s">
        <v>229</v>
      </c>
      <c r="C125" s="36">
        <v>4301011562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6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228</v>
      </c>
      <c r="B126" s="63" t="s">
        <v>231</v>
      </c>
      <c r="C126" s="36">
        <v>4301011564</v>
      </c>
      <c r="D126" s="621">
        <v>4680115882577</v>
      </c>
      <c r="E126" s="62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87</v>
      </c>
      <c r="L126" s="37" t="s">
        <v>45</v>
      </c>
      <c r="M126" s="38" t="s">
        <v>105</v>
      </c>
      <c r="N126" s="38"/>
      <c r="O126" s="37">
        <v>90</v>
      </c>
      <c r="P126" s="6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3"/>
      <c r="R126" s="623"/>
      <c r="S126" s="623"/>
      <c r="T126" s="62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20" t="s">
        <v>76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27" hidden="1" customHeight="1" x14ac:dyDescent="0.25">
      <c r="A130" s="63" t="s">
        <v>232</v>
      </c>
      <c r="B130" s="63" t="s">
        <v>233</v>
      </c>
      <c r="C130" s="36">
        <v>4301031235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6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234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232</v>
      </c>
      <c r="B131" s="63" t="s">
        <v>235</v>
      </c>
      <c r="C131" s="36">
        <v>4301031234</v>
      </c>
      <c r="D131" s="621">
        <v>4680115883444</v>
      </c>
      <c r="E131" s="62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87</v>
      </c>
      <c r="L131" s="37" t="s">
        <v>45</v>
      </c>
      <c r="M131" s="38" t="s">
        <v>105</v>
      </c>
      <c r="N131" s="38"/>
      <c r="O131" s="37">
        <v>90</v>
      </c>
      <c r="P131" s="6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3"/>
      <c r="R131" s="623"/>
      <c r="S131" s="623"/>
      <c r="T131" s="62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20" t="s">
        <v>82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16.5" hidden="1" customHeight="1" x14ac:dyDescent="0.25">
      <c r="A135" s="63" t="s">
        <v>236</v>
      </c>
      <c r="B135" s="63" t="s">
        <v>237</v>
      </c>
      <c r="C135" s="36">
        <v>4301051477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230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hidden="1" customHeight="1" x14ac:dyDescent="0.25">
      <c r="A136" s="63" t="s">
        <v>236</v>
      </c>
      <c r="B136" s="63" t="s">
        <v>238</v>
      </c>
      <c r="C136" s="36">
        <v>4301051476</v>
      </c>
      <c r="D136" s="621">
        <v>4680115882584</v>
      </c>
      <c r="E136" s="62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87</v>
      </c>
      <c r="L136" s="37" t="s">
        <v>45</v>
      </c>
      <c r="M136" s="38" t="s">
        <v>105</v>
      </c>
      <c r="N136" s="38"/>
      <c r="O136" s="37">
        <v>60</v>
      </c>
      <c r="P136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3"/>
      <c r="R136" s="623"/>
      <c r="S136" s="623"/>
      <c r="T136" s="62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hidden="1" customHeight="1" x14ac:dyDescent="0.25">
      <c r="A139" s="619" t="s">
        <v>106</v>
      </c>
      <c r="B139" s="619"/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5"/>
      <c r="AB139" s="65"/>
      <c r="AC139" s="79"/>
    </row>
    <row r="140" spans="1:68" ht="14.25" hidden="1" customHeight="1" x14ac:dyDescent="0.25">
      <c r="A140" s="620" t="s">
        <v>108</v>
      </c>
      <c r="B140" s="620"/>
      <c r="C140" s="620"/>
      <c r="D140" s="620"/>
      <c r="E140" s="620"/>
      <c r="F140" s="620"/>
      <c r="G140" s="620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6"/>
      <c r="AB140" s="66"/>
      <c r="AC140" s="80"/>
    </row>
    <row r="141" spans="1:68" ht="27" hidden="1" customHeight="1" x14ac:dyDescent="0.25">
      <c r="A141" s="63" t="s">
        <v>239</v>
      </c>
      <c r="B141" s="63" t="s">
        <v>240</v>
      </c>
      <c r="C141" s="36">
        <v>4301012244</v>
      </c>
      <c r="D141" s="621">
        <v>4680115887374</v>
      </c>
      <c r="E141" s="621"/>
      <c r="F141" s="62">
        <v>1.6</v>
      </c>
      <c r="G141" s="37">
        <v>8</v>
      </c>
      <c r="H141" s="62">
        <v>12.8</v>
      </c>
      <c r="I141" s="62">
        <v>13.234999999999999</v>
      </c>
      <c r="J141" s="37">
        <v>64</v>
      </c>
      <c r="K141" s="37" t="s">
        <v>113</v>
      </c>
      <c r="L141" s="37" t="s">
        <v>45</v>
      </c>
      <c r="M141" s="38" t="s">
        <v>112</v>
      </c>
      <c r="N141" s="38"/>
      <c r="O141" s="37">
        <v>55</v>
      </c>
      <c r="P141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242</v>
      </c>
      <c r="AC141" s="196" t="s">
        <v>241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243</v>
      </c>
      <c r="B142" s="63" t="s">
        <v>244</v>
      </c>
      <c r="C142" s="36">
        <v>4301011705</v>
      </c>
      <c r="D142" s="621">
        <v>4607091384604</v>
      </c>
      <c r="E142" s="621"/>
      <c r="F142" s="62">
        <v>0.4</v>
      </c>
      <c r="G142" s="37">
        <v>10</v>
      </c>
      <c r="H142" s="62">
        <v>4</v>
      </c>
      <c r="I142" s="62">
        <v>4.21</v>
      </c>
      <c r="J142" s="37">
        <v>132</v>
      </c>
      <c r="K142" s="37" t="s">
        <v>116</v>
      </c>
      <c r="L142" s="37" t="s">
        <v>45</v>
      </c>
      <c r="M142" s="38" t="s">
        <v>112</v>
      </c>
      <c r="N142" s="38"/>
      <c r="O142" s="37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246</v>
      </c>
      <c r="B143" s="63" t="s">
        <v>247</v>
      </c>
      <c r="C143" s="36">
        <v>4301012179</v>
      </c>
      <c r="D143" s="621">
        <v>4680115886810</v>
      </c>
      <c r="E143" s="621"/>
      <c r="F143" s="62">
        <v>0.3</v>
      </c>
      <c r="G143" s="37">
        <v>10</v>
      </c>
      <c r="H143" s="62">
        <v>3</v>
      </c>
      <c r="I143" s="62">
        <v>3.18</v>
      </c>
      <c r="J143" s="37">
        <v>182</v>
      </c>
      <c r="K143" s="37" t="s">
        <v>87</v>
      </c>
      <c r="L143" s="37" t="s">
        <v>45</v>
      </c>
      <c r="M143" s="38" t="s">
        <v>112</v>
      </c>
      <c r="N143" s="38"/>
      <c r="O143" s="37">
        <v>55</v>
      </c>
      <c r="P143" s="68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623"/>
      <c r="R143" s="623"/>
      <c r="S143" s="623"/>
      <c r="T143" s="624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00" t="s">
        <v>248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28"/>
      <c r="B145" s="628"/>
      <c r="C145" s="628"/>
      <c r="D145" s="628"/>
      <c r="E145" s="628"/>
      <c r="F145" s="628"/>
      <c r="G145" s="628"/>
      <c r="H145" s="628"/>
      <c r="I145" s="628"/>
      <c r="J145" s="628"/>
      <c r="K145" s="628"/>
      <c r="L145" s="628"/>
      <c r="M145" s="628"/>
      <c r="N145" s="628"/>
      <c r="O145" s="629"/>
      <c r="P145" s="625" t="s">
        <v>40</v>
      </c>
      <c r="Q145" s="626"/>
      <c r="R145" s="626"/>
      <c r="S145" s="626"/>
      <c r="T145" s="626"/>
      <c r="U145" s="626"/>
      <c r="V145" s="627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4.25" hidden="1" customHeight="1" x14ac:dyDescent="0.25">
      <c r="A146" s="620" t="s">
        <v>76</v>
      </c>
      <c r="B146" s="620"/>
      <c r="C146" s="620"/>
      <c r="D146" s="620"/>
      <c r="E146" s="620"/>
      <c r="F146" s="620"/>
      <c r="G146" s="620"/>
      <c r="H146" s="620"/>
      <c r="I146" s="620"/>
      <c r="J146" s="620"/>
      <c r="K146" s="620"/>
      <c r="L146" s="620"/>
      <c r="M146" s="620"/>
      <c r="N146" s="620"/>
      <c r="O146" s="620"/>
      <c r="P146" s="620"/>
      <c r="Q146" s="620"/>
      <c r="R146" s="620"/>
      <c r="S146" s="620"/>
      <c r="T146" s="620"/>
      <c r="U146" s="620"/>
      <c r="V146" s="620"/>
      <c r="W146" s="620"/>
      <c r="X146" s="620"/>
      <c r="Y146" s="620"/>
      <c r="Z146" s="620"/>
      <c r="AA146" s="66"/>
      <c r="AB146" s="66"/>
      <c r="AC146" s="80"/>
    </row>
    <row r="147" spans="1:68" ht="16.5" hidden="1" customHeight="1" x14ac:dyDescent="0.25">
      <c r="A147" s="63" t="s">
        <v>249</v>
      </c>
      <c r="B147" s="63" t="s">
        <v>250</v>
      </c>
      <c r="C147" s="36">
        <v>4301030895</v>
      </c>
      <c r="D147" s="621">
        <v>4607091387667</v>
      </c>
      <c r="E147" s="621"/>
      <c r="F147" s="62">
        <v>0.9</v>
      </c>
      <c r="G147" s="37">
        <v>10</v>
      </c>
      <c r="H147" s="62">
        <v>9</v>
      </c>
      <c r="I147" s="62">
        <v>9.5850000000000009</v>
      </c>
      <c r="J147" s="37">
        <v>64</v>
      </c>
      <c r="K147" s="37" t="s">
        <v>113</v>
      </c>
      <c r="L147" s="37" t="s">
        <v>45</v>
      </c>
      <c r="M147" s="38" t="s">
        <v>112</v>
      </c>
      <c r="N147" s="38"/>
      <c r="O147" s="37">
        <v>40</v>
      </c>
      <c r="P147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252</v>
      </c>
      <c r="B148" s="63" t="s">
        <v>253</v>
      </c>
      <c r="C148" s="36">
        <v>4301030961</v>
      </c>
      <c r="D148" s="621">
        <v>4607091387636</v>
      </c>
      <c r="E148" s="621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87</v>
      </c>
      <c r="L148" s="37" t="s">
        <v>45</v>
      </c>
      <c r="M148" s="38" t="s">
        <v>80</v>
      </c>
      <c r="N148" s="38"/>
      <c r="O148" s="37">
        <v>40</v>
      </c>
      <c r="P148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255</v>
      </c>
      <c r="B149" s="63" t="s">
        <v>256</v>
      </c>
      <c r="C149" s="36">
        <v>4301030963</v>
      </c>
      <c r="D149" s="621">
        <v>4607091382426</v>
      </c>
      <c r="E149" s="621"/>
      <c r="F149" s="62">
        <v>0.9</v>
      </c>
      <c r="G149" s="37">
        <v>10</v>
      </c>
      <c r="H149" s="62">
        <v>9</v>
      </c>
      <c r="I149" s="62">
        <v>9.5850000000000009</v>
      </c>
      <c r="J149" s="37">
        <v>64</v>
      </c>
      <c r="K149" s="37" t="s">
        <v>113</v>
      </c>
      <c r="L149" s="37" t="s">
        <v>45</v>
      </c>
      <c r="M149" s="38" t="s">
        <v>80</v>
      </c>
      <c r="N149" s="38"/>
      <c r="O149" s="37">
        <v>40</v>
      </c>
      <c r="P149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3"/>
      <c r="R149" s="623"/>
      <c r="S149" s="623"/>
      <c r="T149" s="624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257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28"/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9"/>
      <c r="P150" s="625" t="s">
        <v>40</v>
      </c>
      <c r="Q150" s="626"/>
      <c r="R150" s="626"/>
      <c r="S150" s="626"/>
      <c r="T150" s="626"/>
      <c r="U150" s="626"/>
      <c r="V150" s="627"/>
      <c r="W150" s="42" t="s">
        <v>39</v>
      </c>
      <c r="X150" s="43">
        <f>IFERROR(X147/H147,"0")+IFERROR(X148/H148,"0")+IFERROR(X149/H149,"0")</f>
        <v>0</v>
      </c>
      <c r="Y150" s="43">
        <f>IFERROR(Y147/H147,"0")+IFERROR(Y148/H148,"0")+IFERROR(Y149/H149,"0")</f>
        <v>0</v>
      </c>
      <c r="Z150" s="43">
        <f>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2" t="s">
        <v>0</v>
      </c>
      <c r="X151" s="43">
        <f>IFERROR(SUM(X147:X149),"0")</f>
        <v>0</v>
      </c>
      <c r="Y151" s="43">
        <f>IFERROR(SUM(Y147:Y149),"0")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20" t="s">
        <v>82</v>
      </c>
      <c r="B152" s="620"/>
      <c r="C152" s="620"/>
      <c r="D152" s="620"/>
      <c r="E152" s="620"/>
      <c r="F152" s="620"/>
      <c r="G152" s="620"/>
      <c r="H152" s="620"/>
      <c r="I152" s="620"/>
      <c r="J152" s="620"/>
      <c r="K152" s="620"/>
      <c r="L152" s="620"/>
      <c r="M152" s="620"/>
      <c r="N152" s="620"/>
      <c r="O152" s="620"/>
      <c r="P152" s="620"/>
      <c r="Q152" s="620"/>
      <c r="R152" s="620"/>
      <c r="S152" s="620"/>
      <c r="T152" s="620"/>
      <c r="U152" s="620"/>
      <c r="V152" s="620"/>
      <c r="W152" s="620"/>
      <c r="X152" s="620"/>
      <c r="Y152" s="620"/>
      <c r="Z152" s="620"/>
      <c r="AA152" s="66"/>
      <c r="AB152" s="66"/>
      <c r="AC152" s="80"/>
    </row>
    <row r="153" spans="1:68" ht="27" hidden="1" customHeight="1" x14ac:dyDescent="0.25">
      <c r="A153" s="63" t="s">
        <v>258</v>
      </c>
      <c r="B153" s="63" t="s">
        <v>259</v>
      </c>
      <c r="C153" s="36">
        <v>4301052064</v>
      </c>
      <c r="D153" s="621">
        <v>4680115887459</v>
      </c>
      <c r="E153" s="621"/>
      <c r="F153" s="62">
        <v>0.3</v>
      </c>
      <c r="G153" s="37">
        <v>6</v>
      </c>
      <c r="H153" s="62">
        <v>1.8</v>
      </c>
      <c r="I153" s="62">
        <v>2.0579999999999998</v>
      </c>
      <c r="J153" s="37">
        <v>182</v>
      </c>
      <c r="K153" s="37" t="s">
        <v>87</v>
      </c>
      <c r="L153" s="37" t="s">
        <v>45</v>
      </c>
      <c r="M153" s="38" t="s">
        <v>86</v>
      </c>
      <c r="N153" s="38"/>
      <c r="O153" s="37">
        <v>45</v>
      </c>
      <c r="P153" s="690" t="s">
        <v>260</v>
      </c>
      <c r="Q153" s="623"/>
      <c r="R153" s="623"/>
      <c r="S153" s="623"/>
      <c r="T153" s="624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45</v>
      </c>
      <c r="AB153" s="69" t="s">
        <v>242</v>
      </c>
      <c r="AC153" s="208" t="s">
        <v>261</v>
      </c>
      <c r="AG153" s="78"/>
      <c r="AJ153" s="84" t="s">
        <v>45</v>
      </c>
      <c r="AK153" s="84">
        <v>0</v>
      </c>
      <c r="BB153" s="209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27.75" hidden="1" customHeight="1" x14ac:dyDescent="0.2">
      <c r="A156" s="618" t="s">
        <v>262</v>
      </c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  <c r="Q156" s="618"/>
      <c r="R156" s="618"/>
      <c r="S156" s="618"/>
      <c r="T156" s="618"/>
      <c r="U156" s="618"/>
      <c r="V156" s="618"/>
      <c r="W156" s="618"/>
      <c r="X156" s="618"/>
      <c r="Y156" s="618"/>
      <c r="Z156" s="618"/>
      <c r="AA156" s="54"/>
      <c r="AB156" s="54"/>
      <c r="AC156" s="54"/>
    </row>
    <row r="157" spans="1:68" ht="16.5" hidden="1" customHeight="1" x14ac:dyDescent="0.25">
      <c r="A157" s="619" t="s">
        <v>263</v>
      </c>
      <c r="B157" s="619"/>
      <c r="C157" s="619"/>
      <c r="D157" s="619"/>
      <c r="E157" s="619"/>
      <c r="F157" s="619"/>
      <c r="G157" s="619"/>
      <c r="H157" s="619"/>
      <c r="I157" s="619"/>
      <c r="J157" s="619"/>
      <c r="K157" s="619"/>
      <c r="L157" s="619"/>
      <c r="M157" s="619"/>
      <c r="N157" s="619"/>
      <c r="O157" s="619"/>
      <c r="P157" s="619"/>
      <c r="Q157" s="619"/>
      <c r="R157" s="619"/>
      <c r="S157" s="619"/>
      <c r="T157" s="619"/>
      <c r="U157" s="619"/>
      <c r="V157" s="619"/>
      <c r="W157" s="619"/>
      <c r="X157" s="619"/>
      <c r="Y157" s="619"/>
      <c r="Z157" s="619"/>
      <c r="AA157" s="65"/>
      <c r="AB157" s="65"/>
      <c r="AC157" s="79"/>
    </row>
    <row r="158" spans="1:68" ht="14.25" hidden="1" customHeight="1" x14ac:dyDescent="0.25">
      <c r="A158" s="620" t="s">
        <v>141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264</v>
      </c>
      <c r="B159" s="63" t="s">
        <v>265</v>
      </c>
      <c r="C159" s="36">
        <v>4301020323</v>
      </c>
      <c r="D159" s="621">
        <v>4680115886223</v>
      </c>
      <c r="E159" s="621"/>
      <c r="F159" s="62">
        <v>0.33</v>
      </c>
      <c r="G159" s="37">
        <v>6</v>
      </c>
      <c r="H159" s="62">
        <v>1.98</v>
      </c>
      <c r="I159" s="62">
        <v>2.08</v>
      </c>
      <c r="J159" s="37">
        <v>234</v>
      </c>
      <c r="K159" s="37" t="s">
        <v>81</v>
      </c>
      <c r="L159" s="37" t="s">
        <v>45</v>
      </c>
      <c r="M159" s="38" t="s">
        <v>80</v>
      </c>
      <c r="N159" s="38"/>
      <c r="O159" s="37">
        <v>40</v>
      </c>
      <c r="P159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623"/>
      <c r="R159" s="623"/>
      <c r="S159" s="623"/>
      <c r="T159" s="624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10" t="s">
        <v>266</v>
      </c>
      <c r="AG159" s="78"/>
      <c r="AJ159" s="84" t="s">
        <v>45</v>
      </c>
      <c r="AK159" s="84">
        <v>0</v>
      </c>
      <c r="BB159" s="211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76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27" hidden="1" customHeight="1" x14ac:dyDescent="0.25">
      <c r="A163" s="63" t="s">
        <v>267</v>
      </c>
      <c r="B163" s="63" t="s">
        <v>268</v>
      </c>
      <c r="C163" s="36">
        <v>4301031191</v>
      </c>
      <c r="D163" s="621">
        <v>4680115880993</v>
      </c>
      <c r="E163" s="621"/>
      <c r="F163" s="62">
        <v>0.7</v>
      </c>
      <c r="G163" s="37">
        <v>6</v>
      </c>
      <c r="H163" s="62">
        <v>4.2</v>
      </c>
      <c r="I163" s="62">
        <v>4.47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ref="Y163:Y171" si="5">IFERROR(IF(X163="",0,CEILING((X163/$H163),1)*$H163),"")</f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269</v>
      </c>
      <c r="AG163" s="78"/>
      <c r="AJ163" s="84" t="s">
        <v>45</v>
      </c>
      <c r="AK163" s="84">
        <v>0</v>
      </c>
      <c r="BB163" s="213" t="s">
        <v>66</v>
      </c>
      <c r="BM163" s="78">
        <f t="shared" ref="BM163:BM171" si="6">IFERROR(X163*I163/H163,"0")</f>
        <v>0</v>
      </c>
      <c r="BN163" s="78">
        <f t="shared" ref="BN163:BN171" si="7">IFERROR(Y163*I163/H163,"0")</f>
        <v>0</v>
      </c>
      <c r="BO163" s="78">
        <f t="shared" ref="BO163:BO171" si="8">IFERROR(1/J163*(X163/H163),"0")</f>
        <v>0</v>
      </c>
      <c r="BP163" s="78">
        <f t="shared" ref="BP163:BP171" si="9">IFERROR(1/J163*(Y163/H163),"0")</f>
        <v>0</v>
      </c>
    </row>
    <row r="164" spans="1:68" ht="27" hidden="1" customHeight="1" x14ac:dyDescent="0.25">
      <c r="A164" s="63" t="s">
        <v>270</v>
      </c>
      <c r="B164" s="63" t="s">
        <v>271</v>
      </c>
      <c r="C164" s="36">
        <v>4301031204</v>
      </c>
      <c r="D164" s="621">
        <v>4680115881761</v>
      </c>
      <c r="E164" s="621"/>
      <c r="F164" s="62">
        <v>0.7</v>
      </c>
      <c r="G164" s="37">
        <v>6</v>
      </c>
      <c r="H164" s="62">
        <v>4.2</v>
      </c>
      <c r="I164" s="62">
        <v>4.47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272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hidden="1" customHeight="1" x14ac:dyDescent="0.25">
      <c r="A165" s="63" t="s">
        <v>273</v>
      </c>
      <c r="B165" s="63" t="s">
        <v>274</v>
      </c>
      <c r="C165" s="36">
        <v>4301031201</v>
      </c>
      <c r="D165" s="621">
        <v>4680115881563</v>
      </c>
      <c r="E165" s="621"/>
      <c r="F165" s="62">
        <v>0.7</v>
      </c>
      <c r="G165" s="37">
        <v>6</v>
      </c>
      <c r="H165" s="62">
        <v>4.2</v>
      </c>
      <c r="I165" s="62">
        <v>4.41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hidden="1" customHeight="1" x14ac:dyDescent="0.25">
      <c r="A166" s="63" t="s">
        <v>276</v>
      </c>
      <c r="B166" s="63" t="s">
        <v>277</v>
      </c>
      <c r="C166" s="36">
        <v>4301031199</v>
      </c>
      <c r="D166" s="621">
        <v>4680115880986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269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hidden="1" customHeight="1" x14ac:dyDescent="0.25">
      <c r="A167" s="63" t="s">
        <v>278</v>
      </c>
      <c r="B167" s="63" t="s">
        <v>279</v>
      </c>
      <c r="C167" s="36">
        <v>4301031205</v>
      </c>
      <c r="D167" s="621">
        <v>4680115881785</v>
      </c>
      <c r="E167" s="621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272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hidden="1" customHeight="1" x14ac:dyDescent="0.25">
      <c r="A168" s="63" t="s">
        <v>280</v>
      </c>
      <c r="B168" s="63" t="s">
        <v>281</v>
      </c>
      <c r="C168" s="36">
        <v>4301031399</v>
      </c>
      <c r="D168" s="621">
        <v>4680115886537</v>
      </c>
      <c r="E168" s="621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hidden="1" customHeight="1" x14ac:dyDescent="0.25">
      <c r="A169" s="63" t="s">
        <v>283</v>
      </c>
      <c r="B169" s="63" t="s">
        <v>284</v>
      </c>
      <c r="C169" s="36">
        <v>4301031202</v>
      </c>
      <c r="D169" s="621">
        <v>4680115881679</v>
      </c>
      <c r="E169" s="621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81</v>
      </c>
      <c r="L169" s="37" t="s">
        <v>45</v>
      </c>
      <c r="M169" s="38" t="s">
        <v>80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hidden="1" customHeight="1" x14ac:dyDescent="0.25">
      <c r="A170" s="63" t="s">
        <v>285</v>
      </c>
      <c r="B170" s="63" t="s">
        <v>286</v>
      </c>
      <c r="C170" s="36">
        <v>4301031158</v>
      </c>
      <c r="D170" s="621">
        <v>4680115880191</v>
      </c>
      <c r="E170" s="621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87</v>
      </c>
      <c r="L170" s="37" t="s">
        <v>45</v>
      </c>
      <c r="M170" s="38" t="s">
        <v>80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hidden="1" customHeight="1" x14ac:dyDescent="0.25">
      <c r="A171" s="63" t="s">
        <v>287</v>
      </c>
      <c r="B171" s="63" t="s">
        <v>288</v>
      </c>
      <c r="C171" s="36">
        <v>4301031245</v>
      </c>
      <c r="D171" s="621">
        <v>4680115883963</v>
      </c>
      <c r="E171" s="621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81</v>
      </c>
      <c r="L171" s="37" t="s">
        <v>45</v>
      </c>
      <c r="M171" s="38" t="s">
        <v>80</v>
      </c>
      <c r="N171" s="38"/>
      <c r="O171" s="37">
        <v>40</v>
      </c>
      <c r="P171" s="70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289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idden="1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39</v>
      </c>
      <c r="X172" s="43">
        <f>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28"/>
      <c r="B173" s="628"/>
      <c r="C173" s="628"/>
      <c r="D173" s="628"/>
      <c r="E173" s="628"/>
      <c r="F173" s="628"/>
      <c r="G173" s="628"/>
      <c r="H173" s="628"/>
      <c r="I173" s="628"/>
      <c r="J173" s="628"/>
      <c r="K173" s="628"/>
      <c r="L173" s="628"/>
      <c r="M173" s="628"/>
      <c r="N173" s="628"/>
      <c r="O173" s="629"/>
      <c r="P173" s="625" t="s">
        <v>40</v>
      </c>
      <c r="Q173" s="626"/>
      <c r="R173" s="626"/>
      <c r="S173" s="626"/>
      <c r="T173" s="626"/>
      <c r="U173" s="626"/>
      <c r="V173" s="627"/>
      <c r="W173" s="42" t="s">
        <v>0</v>
      </c>
      <c r="X173" s="43">
        <f>IFERROR(SUM(X163:X171),"0")</f>
        <v>0</v>
      </c>
      <c r="Y173" s="43">
        <f>IFERROR(SUM(Y163:Y171),"0")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20" t="s">
        <v>100</v>
      </c>
      <c r="B174" s="620"/>
      <c r="C174" s="620"/>
      <c r="D174" s="620"/>
      <c r="E174" s="620"/>
      <c r="F174" s="620"/>
      <c r="G174" s="620"/>
      <c r="H174" s="620"/>
      <c r="I174" s="620"/>
      <c r="J174" s="620"/>
      <c r="K174" s="620"/>
      <c r="L174" s="620"/>
      <c r="M174" s="620"/>
      <c r="N174" s="620"/>
      <c r="O174" s="620"/>
      <c r="P174" s="620"/>
      <c r="Q174" s="620"/>
      <c r="R174" s="620"/>
      <c r="S174" s="620"/>
      <c r="T174" s="620"/>
      <c r="U174" s="620"/>
      <c r="V174" s="620"/>
      <c r="W174" s="620"/>
      <c r="X174" s="620"/>
      <c r="Y174" s="620"/>
      <c r="Z174" s="620"/>
      <c r="AA174" s="66"/>
      <c r="AB174" s="66"/>
      <c r="AC174" s="80"/>
    </row>
    <row r="175" spans="1:68" ht="27" hidden="1" customHeight="1" x14ac:dyDescent="0.25">
      <c r="A175" s="63" t="s">
        <v>290</v>
      </c>
      <c r="B175" s="63" t="s">
        <v>291</v>
      </c>
      <c r="C175" s="36">
        <v>4301032053</v>
      </c>
      <c r="D175" s="621">
        <v>4680115886780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294</v>
      </c>
      <c r="L175" s="37" t="s">
        <v>45</v>
      </c>
      <c r="M175" s="38" t="s">
        <v>293</v>
      </c>
      <c r="N175" s="38"/>
      <c r="O175" s="37">
        <v>60</v>
      </c>
      <c r="P175" s="7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hidden="1" customHeight="1" x14ac:dyDescent="0.25">
      <c r="A176" s="63" t="s">
        <v>295</v>
      </c>
      <c r="B176" s="63" t="s">
        <v>296</v>
      </c>
      <c r="C176" s="36">
        <v>4301032051</v>
      </c>
      <c r="D176" s="621">
        <v>4680115886742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294</v>
      </c>
      <c r="L176" s="37" t="s">
        <v>45</v>
      </c>
      <c r="M176" s="38" t="s">
        <v>293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297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hidden="1" customHeight="1" x14ac:dyDescent="0.25">
      <c r="A177" s="63" t="s">
        <v>298</v>
      </c>
      <c r="B177" s="63" t="s">
        <v>299</v>
      </c>
      <c r="C177" s="36">
        <v>4301032052</v>
      </c>
      <c r="D177" s="621">
        <v>4680115886766</v>
      </c>
      <c r="E177" s="621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294</v>
      </c>
      <c r="L177" s="37" t="s">
        <v>45</v>
      </c>
      <c r="M177" s="38" t="s">
        <v>293</v>
      </c>
      <c r="N177" s="38"/>
      <c r="O177" s="37">
        <v>90</v>
      </c>
      <c r="P177" s="7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297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idden="1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20" t="s">
        <v>300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hidden="1" customHeight="1" x14ac:dyDescent="0.25">
      <c r="A181" s="63" t="s">
        <v>301</v>
      </c>
      <c r="B181" s="63" t="s">
        <v>302</v>
      </c>
      <c r="C181" s="36">
        <v>4301170013</v>
      </c>
      <c r="D181" s="621">
        <v>4680115886797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294</v>
      </c>
      <c r="L181" s="37" t="s">
        <v>45</v>
      </c>
      <c r="M181" s="38" t="s">
        <v>293</v>
      </c>
      <c r="N181" s="38"/>
      <c r="O181" s="37">
        <v>90</v>
      </c>
      <c r="P181" s="7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297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hidden="1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hidden="1" customHeight="1" x14ac:dyDescent="0.25">
      <c r="A184" s="619" t="s">
        <v>303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5"/>
      <c r="AB184" s="65"/>
      <c r="AC184" s="79"/>
    </row>
    <row r="185" spans="1:68" ht="14.25" hidden="1" customHeight="1" x14ac:dyDescent="0.25">
      <c r="A185" s="620" t="s">
        <v>108</v>
      </c>
      <c r="B185" s="620"/>
      <c r="C185" s="620"/>
      <c r="D185" s="620"/>
      <c r="E185" s="620"/>
      <c r="F185" s="620"/>
      <c r="G185" s="620"/>
      <c r="H185" s="620"/>
      <c r="I185" s="620"/>
      <c r="J185" s="620"/>
      <c r="K185" s="620"/>
      <c r="L185" s="620"/>
      <c r="M185" s="620"/>
      <c r="N185" s="620"/>
      <c r="O185" s="620"/>
      <c r="P185" s="620"/>
      <c r="Q185" s="620"/>
      <c r="R185" s="620"/>
      <c r="S185" s="620"/>
      <c r="T185" s="620"/>
      <c r="U185" s="620"/>
      <c r="V185" s="620"/>
      <c r="W185" s="620"/>
      <c r="X185" s="620"/>
      <c r="Y185" s="620"/>
      <c r="Z185" s="620"/>
      <c r="AA185" s="66"/>
      <c r="AB185" s="66"/>
      <c r="AC185" s="80"/>
    </row>
    <row r="186" spans="1:68" ht="16.5" hidden="1" customHeight="1" x14ac:dyDescent="0.25">
      <c r="A186" s="63" t="s">
        <v>304</v>
      </c>
      <c r="B186" s="63" t="s">
        <v>305</v>
      </c>
      <c r="C186" s="36">
        <v>4301011450</v>
      </c>
      <c r="D186" s="621">
        <v>4680115881402</v>
      </c>
      <c r="E186" s="621"/>
      <c r="F186" s="62">
        <v>1.35</v>
      </c>
      <c r="G186" s="37">
        <v>8</v>
      </c>
      <c r="H186" s="62">
        <v>10.8</v>
      </c>
      <c r="I186" s="62">
        <v>11.234999999999999</v>
      </c>
      <c r="J186" s="37">
        <v>64</v>
      </c>
      <c r="K186" s="37" t="s">
        <v>113</v>
      </c>
      <c r="L186" s="37" t="s">
        <v>45</v>
      </c>
      <c r="M186" s="38" t="s">
        <v>112</v>
      </c>
      <c r="N186" s="38"/>
      <c r="O186" s="37">
        <v>55</v>
      </c>
      <c r="P186" s="7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306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307</v>
      </c>
      <c r="B187" s="63" t="s">
        <v>308</v>
      </c>
      <c r="C187" s="36">
        <v>4301011768</v>
      </c>
      <c r="D187" s="621">
        <v>4680115881396</v>
      </c>
      <c r="E187" s="621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87</v>
      </c>
      <c r="L187" s="37" t="s">
        <v>45</v>
      </c>
      <c r="M187" s="38" t="s">
        <v>112</v>
      </c>
      <c r="N187" s="38"/>
      <c r="O187" s="37">
        <v>55</v>
      </c>
      <c r="P187" s="7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306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0" t="s">
        <v>141</v>
      </c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0"/>
      <c r="P190" s="620"/>
      <c r="Q190" s="620"/>
      <c r="R190" s="620"/>
      <c r="S190" s="620"/>
      <c r="T190" s="620"/>
      <c r="U190" s="620"/>
      <c r="V190" s="620"/>
      <c r="W190" s="620"/>
      <c r="X190" s="620"/>
      <c r="Y190" s="620"/>
      <c r="Z190" s="620"/>
      <c r="AA190" s="66"/>
      <c r="AB190" s="66"/>
      <c r="AC190" s="80"/>
    </row>
    <row r="191" spans="1:68" ht="16.5" hidden="1" customHeight="1" x14ac:dyDescent="0.25">
      <c r="A191" s="63" t="s">
        <v>309</v>
      </c>
      <c r="B191" s="63" t="s">
        <v>310</v>
      </c>
      <c r="C191" s="36">
        <v>4301020261</v>
      </c>
      <c r="D191" s="621">
        <v>4680115882935</v>
      </c>
      <c r="E191" s="621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113</v>
      </c>
      <c r="L191" s="37" t="s">
        <v>45</v>
      </c>
      <c r="M191" s="38" t="s">
        <v>112</v>
      </c>
      <c r="N191" s="38"/>
      <c r="O191" s="37">
        <v>50</v>
      </c>
      <c r="P191" s="70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311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312</v>
      </c>
      <c r="B192" s="63" t="s">
        <v>313</v>
      </c>
      <c r="C192" s="36">
        <v>4301020220</v>
      </c>
      <c r="D192" s="621">
        <v>4680115880764</v>
      </c>
      <c r="E192" s="621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87</v>
      </c>
      <c r="L192" s="37" t="s">
        <v>45</v>
      </c>
      <c r="M192" s="38" t="s">
        <v>112</v>
      </c>
      <c r="N192" s="38"/>
      <c r="O192" s="37">
        <v>50</v>
      </c>
      <c r="P192" s="70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311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20" t="s">
        <v>76</v>
      </c>
      <c r="B195" s="620"/>
      <c r="C195" s="620"/>
      <c r="D195" s="620"/>
      <c r="E195" s="620"/>
      <c r="F195" s="620"/>
      <c r="G195" s="620"/>
      <c r="H195" s="620"/>
      <c r="I195" s="620"/>
      <c r="J195" s="620"/>
      <c r="K195" s="620"/>
      <c r="L195" s="620"/>
      <c r="M195" s="620"/>
      <c r="N195" s="620"/>
      <c r="O195" s="620"/>
      <c r="P195" s="620"/>
      <c r="Q195" s="620"/>
      <c r="R195" s="620"/>
      <c r="S195" s="620"/>
      <c r="T195" s="620"/>
      <c r="U195" s="620"/>
      <c r="V195" s="620"/>
      <c r="W195" s="620"/>
      <c r="X195" s="620"/>
      <c r="Y195" s="620"/>
      <c r="Z195" s="620"/>
      <c r="AA195" s="66"/>
      <c r="AB195" s="66"/>
      <c r="AC195" s="80"/>
    </row>
    <row r="196" spans="1:68" ht="27" hidden="1" customHeight="1" x14ac:dyDescent="0.25">
      <c r="A196" s="63" t="s">
        <v>314</v>
      </c>
      <c r="B196" s="63" t="s">
        <v>315</v>
      </c>
      <c r="C196" s="36">
        <v>4301031224</v>
      </c>
      <c r="D196" s="621">
        <v>4680115882683</v>
      </c>
      <c r="E196" s="621"/>
      <c r="F196" s="62">
        <v>0.9</v>
      </c>
      <c r="G196" s="37">
        <v>6</v>
      </c>
      <c r="H196" s="62">
        <v>5.4</v>
      </c>
      <c r="I196" s="62">
        <v>5.61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316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hidden="1" customHeight="1" x14ac:dyDescent="0.25">
      <c r="A197" s="63" t="s">
        <v>317</v>
      </c>
      <c r="B197" s="63" t="s">
        <v>318</v>
      </c>
      <c r="C197" s="36">
        <v>4301031230</v>
      </c>
      <c r="D197" s="621">
        <v>4680115882690</v>
      </c>
      <c r="E197" s="621"/>
      <c r="F197" s="62">
        <v>0.9</v>
      </c>
      <c r="G197" s="37">
        <v>6</v>
      </c>
      <c r="H197" s="62">
        <v>5.4</v>
      </c>
      <c r="I197" s="62">
        <v>5.61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319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hidden="1" customHeight="1" x14ac:dyDescent="0.25">
      <c r="A198" s="63" t="s">
        <v>320</v>
      </c>
      <c r="B198" s="63" t="s">
        <v>321</v>
      </c>
      <c r="C198" s="36">
        <v>4301031220</v>
      </c>
      <c r="D198" s="621">
        <v>4680115882669</v>
      </c>
      <c r="E198" s="621"/>
      <c r="F198" s="62">
        <v>0.9</v>
      </c>
      <c r="G198" s="37">
        <v>6</v>
      </c>
      <c r="H198" s="62">
        <v>5.4</v>
      </c>
      <c r="I198" s="62">
        <v>5.61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322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hidden="1" customHeight="1" x14ac:dyDescent="0.25">
      <c r="A199" s="63" t="s">
        <v>323</v>
      </c>
      <c r="B199" s="63" t="s">
        <v>324</v>
      </c>
      <c r="C199" s="36">
        <v>4301031221</v>
      </c>
      <c r="D199" s="621">
        <v>4680115882676</v>
      </c>
      <c r="E199" s="621"/>
      <c r="F199" s="62">
        <v>0.9</v>
      </c>
      <c r="G199" s="37">
        <v>6</v>
      </c>
      <c r="H199" s="62">
        <v>5.4</v>
      </c>
      <c r="I199" s="62">
        <v>5.61</v>
      </c>
      <c r="J199" s="37">
        <v>132</v>
      </c>
      <c r="K199" s="37" t="s">
        <v>116</v>
      </c>
      <c r="L199" s="37" t="s">
        <v>45</v>
      </c>
      <c r="M199" s="38" t="s">
        <v>80</v>
      </c>
      <c r="N199" s="38"/>
      <c r="O199" s="37">
        <v>40</v>
      </c>
      <c r="P199" s="7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325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hidden="1" customHeight="1" x14ac:dyDescent="0.25">
      <c r="A200" s="63" t="s">
        <v>326</v>
      </c>
      <c r="B200" s="63" t="s">
        <v>327</v>
      </c>
      <c r="C200" s="36">
        <v>4301031223</v>
      </c>
      <c r="D200" s="621">
        <v>4680115884014</v>
      </c>
      <c r="E200" s="621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316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hidden="1" customHeight="1" x14ac:dyDescent="0.25">
      <c r="A201" s="63" t="s">
        <v>328</v>
      </c>
      <c r="B201" s="63" t="s">
        <v>329</v>
      </c>
      <c r="C201" s="36">
        <v>4301031222</v>
      </c>
      <c r="D201" s="621">
        <v>4680115884007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319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hidden="1" customHeight="1" x14ac:dyDescent="0.25">
      <c r="A202" s="63" t="s">
        <v>330</v>
      </c>
      <c r="B202" s="63" t="s">
        <v>331</v>
      </c>
      <c r="C202" s="36">
        <v>4301031229</v>
      </c>
      <c r="D202" s="621">
        <v>4680115884038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322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hidden="1" customHeight="1" x14ac:dyDescent="0.25">
      <c r="A203" s="63" t="s">
        <v>332</v>
      </c>
      <c r="B203" s="63" t="s">
        <v>333</v>
      </c>
      <c r="C203" s="36">
        <v>4301031225</v>
      </c>
      <c r="D203" s="621">
        <v>4680115884021</v>
      </c>
      <c r="E203" s="621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81</v>
      </c>
      <c r="L203" s="37" t="s">
        <v>45</v>
      </c>
      <c r="M203" s="38" t="s">
        <v>80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325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idden="1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hidden="1" customHeight="1" x14ac:dyDescent="0.25">
      <c r="A206" s="620" t="s">
        <v>82</v>
      </c>
      <c r="B206" s="620"/>
      <c r="C206" s="620"/>
      <c r="D206" s="620"/>
      <c r="E206" s="620"/>
      <c r="F206" s="620"/>
      <c r="G206" s="620"/>
      <c r="H206" s="620"/>
      <c r="I206" s="620"/>
      <c r="J206" s="620"/>
      <c r="K206" s="620"/>
      <c r="L206" s="620"/>
      <c r="M206" s="620"/>
      <c r="N206" s="620"/>
      <c r="O206" s="620"/>
      <c r="P206" s="620"/>
      <c r="Q206" s="620"/>
      <c r="R206" s="620"/>
      <c r="S206" s="620"/>
      <c r="T206" s="620"/>
      <c r="U206" s="620"/>
      <c r="V206" s="620"/>
      <c r="W206" s="620"/>
      <c r="X206" s="620"/>
      <c r="Y206" s="620"/>
      <c r="Z206" s="620"/>
      <c r="AA206" s="66"/>
      <c r="AB206" s="66"/>
      <c r="AC206" s="80"/>
    </row>
    <row r="207" spans="1:68" ht="27" hidden="1" customHeight="1" x14ac:dyDescent="0.25">
      <c r="A207" s="63" t="s">
        <v>334</v>
      </c>
      <c r="B207" s="63" t="s">
        <v>335</v>
      </c>
      <c r="C207" s="36">
        <v>4301051408</v>
      </c>
      <c r="D207" s="621">
        <v>4680115881594</v>
      </c>
      <c r="E207" s="621"/>
      <c r="F207" s="62">
        <v>1.35</v>
      </c>
      <c r="G207" s="37">
        <v>6</v>
      </c>
      <c r="H207" s="62">
        <v>8.1</v>
      </c>
      <c r="I207" s="62">
        <v>8.6189999999999998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336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hidden="1" customHeight="1" x14ac:dyDescent="0.25">
      <c r="A208" s="63" t="s">
        <v>337</v>
      </c>
      <c r="B208" s="63" t="s">
        <v>338</v>
      </c>
      <c r="C208" s="36">
        <v>4301051411</v>
      </c>
      <c r="D208" s="621">
        <v>4680115881617</v>
      </c>
      <c r="E208" s="621"/>
      <c r="F208" s="62">
        <v>1.35</v>
      </c>
      <c r="G208" s="37">
        <v>6</v>
      </c>
      <c r="H208" s="62">
        <v>8.1</v>
      </c>
      <c r="I208" s="62">
        <v>8.6010000000000009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40</v>
      </c>
      <c r="P208" s="7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339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hidden="1" customHeight="1" x14ac:dyDescent="0.25">
      <c r="A209" s="63" t="s">
        <v>340</v>
      </c>
      <c r="B209" s="63" t="s">
        <v>341</v>
      </c>
      <c r="C209" s="36">
        <v>4301051656</v>
      </c>
      <c r="D209" s="621">
        <v>4680115880573</v>
      </c>
      <c r="E209" s="621"/>
      <c r="F209" s="62">
        <v>1.45</v>
      </c>
      <c r="G209" s="37">
        <v>6</v>
      </c>
      <c r="H209" s="62">
        <v>8.6999999999999993</v>
      </c>
      <c r="I209" s="62">
        <v>9.2189999999999994</v>
      </c>
      <c r="J209" s="37">
        <v>64</v>
      </c>
      <c r="K209" s="37" t="s">
        <v>113</v>
      </c>
      <c r="L209" s="37" t="s">
        <v>45</v>
      </c>
      <c r="M209" s="38" t="s">
        <v>86</v>
      </c>
      <c r="N209" s="38"/>
      <c r="O209" s="37">
        <v>45</v>
      </c>
      <c r="P209" s="7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342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hidden="1" customHeight="1" x14ac:dyDescent="0.25">
      <c r="A210" s="63" t="s">
        <v>343</v>
      </c>
      <c r="B210" s="63" t="s">
        <v>344</v>
      </c>
      <c r="C210" s="36">
        <v>4301051407</v>
      </c>
      <c r="D210" s="621">
        <v>4680115882195</v>
      </c>
      <c r="E210" s="621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87</v>
      </c>
      <c r="L210" s="37" t="s">
        <v>45</v>
      </c>
      <c r="M210" s="38" t="s">
        <v>86</v>
      </c>
      <c r="N210" s="38"/>
      <c r="O210" s="37">
        <v>40</v>
      </c>
      <c r="P210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336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hidden="1" customHeight="1" x14ac:dyDescent="0.25">
      <c r="A211" s="63" t="s">
        <v>345</v>
      </c>
      <c r="B211" s="63" t="s">
        <v>346</v>
      </c>
      <c r="C211" s="36">
        <v>4301051752</v>
      </c>
      <c r="D211" s="621">
        <v>4680115882607</v>
      </c>
      <c r="E211" s="621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87</v>
      </c>
      <c r="L211" s="37" t="s">
        <v>45</v>
      </c>
      <c r="M211" s="38" t="s">
        <v>94</v>
      </c>
      <c r="N211" s="38"/>
      <c r="O211" s="37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hidden="1" customHeight="1" x14ac:dyDescent="0.25">
      <c r="A212" s="63" t="s">
        <v>348</v>
      </c>
      <c r="B212" s="63" t="s">
        <v>349</v>
      </c>
      <c r="C212" s="36">
        <v>4301051666</v>
      </c>
      <c r="D212" s="621">
        <v>4680115880092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342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hidden="1" customHeight="1" x14ac:dyDescent="0.25">
      <c r="A213" s="63" t="s">
        <v>350</v>
      </c>
      <c r="B213" s="63" t="s">
        <v>351</v>
      </c>
      <c r="C213" s="36">
        <v>4301051668</v>
      </c>
      <c r="D213" s="621">
        <v>4680115880221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86</v>
      </c>
      <c r="N213" s="38"/>
      <c r="O213" s="37">
        <v>45</v>
      </c>
      <c r="P213" s="7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hidden="1" customHeight="1" x14ac:dyDescent="0.25">
      <c r="A214" s="63" t="s">
        <v>352</v>
      </c>
      <c r="B214" s="63" t="s">
        <v>353</v>
      </c>
      <c r="C214" s="36">
        <v>4301051945</v>
      </c>
      <c r="D214" s="621">
        <v>4680115880504</v>
      </c>
      <c r="E214" s="621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87</v>
      </c>
      <c r="L214" s="37" t="s">
        <v>45</v>
      </c>
      <c r="M214" s="38" t="s">
        <v>94</v>
      </c>
      <c r="N214" s="38"/>
      <c r="O214" s="37">
        <v>40</v>
      </c>
      <c r="P214" s="7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354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hidden="1" customHeight="1" x14ac:dyDescent="0.25">
      <c r="A215" s="63" t="s">
        <v>355</v>
      </c>
      <c r="B215" s="63" t="s">
        <v>356</v>
      </c>
      <c r="C215" s="36">
        <v>4301051410</v>
      </c>
      <c r="D215" s="621">
        <v>4680115882164</v>
      </c>
      <c r="E215" s="621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87</v>
      </c>
      <c r="L215" s="37" t="s">
        <v>45</v>
      </c>
      <c r="M215" s="38" t="s">
        <v>86</v>
      </c>
      <c r="N215" s="38"/>
      <c r="O215" s="37">
        <v>40</v>
      </c>
      <c r="P215" s="7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339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idden="1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hidden="1" x14ac:dyDescent="0.2">
      <c r="A217" s="628"/>
      <c r="B217" s="628"/>
      <c r="C217" s="628"/>
      <c r="D217" s="628"/>
      <c r="E217" s="628"/>
      <c r="F217" s="628"/>
      <c r="G217" s="628"/>
      <c r="H217" s="628"/>
      <c r="I217" s="628"/>
      <c r="J217" s="628"/>
      <c r="K217" s="628"/>
      <c r="L217" s="628"/>
      <c r="M217" s="628"/>
      <c r="N217" s="628"/>
      <c r="O217" s="629"/>
      <c r="P217" s="625" t="s">
        <v>40</v>
      </c>
      <c r="Q217" s="626"/>
      <c r="R217" s="626"/>
      <c r="S217" s="626"/>
      <c r="T217" s="626"/>
      <c r="U217" s="626"/>
      <c r="V217" s="627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20" t="s">
        <v>171</v>
      </c>
      <c r="B218" s="620"/>
      <c r="C218" s="620"/>
      <c r="D218" s="620"/>
      <c r="E218" s="620"/>
      <c r="F218" s="620"/>
      <c r="G218" s="620"/>
      <c r="H218" s="620"/>
      <c r="I218" s="620"/>
      <c r="J218" s="620"/>
      <c r="K218" s="620"/>
      <c r="L218" s="620"/>
      <c r="M218" s="620"/>
      <c r="N218" s="620"/>
      <c r="O218" s="620"/>
      <c r="P218" s="620"/>
      <c r="Q218" s="620"/>
      <c r="R218" s="620"/>
      <c r="S218" s="620"/>
      <c r="T218" s="620"/>
      <c r="U218" s="620"/>
      <c r="V218" s="620"/>
      <c r="W218" s="620"/>
      <c r="X218" s="620"/>
      <c r="Y218" s="620"/>
      <c r="Z218" s="620"/>
      <c r="AA218" s="66"/>
      <c r="AB218" s="66"/>
      <c r="AC218" s="80"/>
    </row>
    <row r="219" spans="1:68" ht="27" hidden="1" customHeight="1" x14ac:dyDescent="0.25">
      <c r="A219" s="63" t="s">
        <v>357</v>
      </c>
      <c r="B219" s="63" t="s">
        <v>358</v>
      </c>
      <c r="C219" s="36">
        <v>4301060463</v>
      </c>
      <c r="D219" s="621">
        <v>4680115880818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94</v>
      </c>
      <c r="N219" s="38"/>
      <c r="O219" s="37">
        <v>40</v>
      </c>
      <c r="P219" s="7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359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hidden="1" customHeight="1" x14ac:dyDescent="0.25">
      <c r="A220" s="63" t="s">
        <v>360</v>
      </c>
      <c r="B220" s="63" t="s">
        <v>361</v>
      </c>
      <c r="C220" s="36">
        <v>4301060389</v>
      </c>
      <c r="D220" s="621">
        <v>4680115880801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87</v>
      </c>
      <c r="L220" s="37" t="s">
        <v>45</v>
      </c>
      <c r="M220" s="38" t="s">
        <v>86</v>
      </c>
      <c r="N220" s="38"/>
      <c r="O220" s="37">
        <v>40</v>
      </c>
      <c r="P220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362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hidden="1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hidden="1" x14ac:dyDescent="0.2">
      <c r="A222" s="628"/>
      <c r="B222" s="628"/>
      <c r="C222" s="628"/>
      <c r="D222" s="628"/>
      <c r="E222" s="628"/>
      <c r="F222" s="628"/>
      <c r="G222" s="628"/>
      <c r="H222" s="628"/>
      <c r="I222" s="628"/>
      <c r="J222" s="628"/>
      <c r="K222" s="628"/>
      <c r="L222" s="628"/>
      <c r="M222" s="628"/>
      <c r="N222" s="628"/>
      <c r="O222" s="629"/>
      <c r="P222" s="625" t="s">
        <v>40</v>
      </c>
      <c r="Q222" s="626"/>
      <c r="R222" s="626"/>
      <c r="S222" s="626"/>
      <c r="T222" s="626"/>
      <c r="U222" s="626"/>
      <c r="V222" s="627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hidden="1" customHeight="1" x14ac:dyDescent="0.25">
      <c r="A223" s="619" t="s">
        <v>363</v>
      </c>
      <c r="B223" s="619"/>
      <c r="C223" s="619"/>
      <c r="D223" s="619"/>
      <c r="E223" s="619"/>
      <c r="F223" s="619"/>
      <c r="G223" s="619"/>
      <c r="H223" s="619"/>
      <c r="I223" s="619"/>
      <c r="J223" s="619"/>
      <c r="K223" s="619"/>
      <c r="L223" s="619"/>
      <c r="M223" s="619"/>
      <c r="N223" s="619"/>
      <c r="O223" s="619"/>
      <c r="P223" s="619"/>
      <c r="Q223" s="619"/>
      <c r="R223" s="619"/>
      <c r="S223" s="619"/>
      <c r="T223" s="619"/>
      <c r="U223" s="619"/>
      <c r="V223" s="619"/>
      <c r="W223" s="619"/>
      <c r="X223" s="619"/>
      <c r="Y223" s="619"/>
      <c r="Z223" s="619"/>
      <c r="AA223" s="65"/>
      <c r="AB223" s="65"/>
      <c r="AC223" s="79"/>
    </row>
    <row r="224" spans="1:68" ht="14.25" hidden="1" customHeight="1" x14ac:dyDescent="0.25">
      <c r="A224" s="620" t="s">
        <v>108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hidden="1" customHeight="1" x14ac:dyDescent="0.25">
      <c r="A225" s="63" t="s">
        <v>364</v>
      </c>
      <c r="B225" s="63" t="s">
        <v>365</v>
      </c>
      <c r="C225" s="36">
        <v>4301011826</v>
      </c>
      <c r="D225" s="621">
        <v>4680115884137</v>
      </c>
      <c r="E225" s="621"/>
      <c r="F225" s="62">
        <v>1.45</v>
      </c>
      <c r="G225" s="37">
        <v>8</v>
      </c>
      <c r="H225" s="62">
        <v>11.6</v>
      </c>
      <c r="I225" s="62">
        <v>12.035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366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hidden="1" customHeight="1" x14ac:dyDescent="0.25">
      <c r="A226" s="63" t="s">
        <v>367</v>
      </c>
      <c r="B226" s="63" t="s">
        <v>368</v>
      </c>
      <c r="C226" s="36">
        <v>4301011724</v>
      </c>
      <c r="D226" s="621">
        <v>4680115884236</v>
      </c>
      <c r="E226" s="621"/>
      <c r="F226" s="62">
        <v>1.45</v>
      </c>
      <c r="G226" s="37">
        <v>8</v>
      </c>
      <c r="H226" s="62">
        <v>11.6</v>
      </c>
      <c r="I226" s="62">
        <v>12.035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370</v>
      </c>
      <c r="B227" s="63" t="s">
        <v>371</v>
      </c>
      <c r="C227" s="36">
        <v>4301011721</v>
      </c>
      <c r="D227" s="621">
        <v>4680115884175</v>
      </c>
      <c r="E227" s="621"/>
      <c r="F227" s="62">
        <v>1.45</v>
      </c>
      <c r="G227" s="37">
        <v>8</v>
      </c>
      <c r="H227" s="62">
        <v>11.6</v>
      </c>
      <c r="I227" s="62">
        <v>12.035</v>
      </c>
      <c r="J227" s="37">
        <v>64</v>
      </c>
      <c r="K227" s="37" t="s">
        <v>113</v>
      </c>
      <c r="L227" s="37" t="s">
        <v>45</v>
      </c>
      <c r="M227" s="38" t="s">
        <v>112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372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373</v>
      </c>
      <c r="B228" s="63" t="s">
        <v>374</v>
      </c>
      <c r="C228" s="36">
        <v>4301011824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4.21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366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373</v>
      </c>
      <c r="B229" s="63" t="s">
        <v>375</v>
      </c>
      <c r="C229" s="36">
        <v>4301012196</v>
      </c>
      <c r="D229" s="621">
        <v>4680115884144</v>
      </c>
      <c r="E229" s="621"/>
      <c r="F229" s="62">
        <v>0.4</v>
      </c>
      <c r="G229" s="37">
        <v>10</v>
      </c>
      <c r="H229" s="62">
        <v>4</v>
      </c>
      <c r="I229" s="62">
        <v>4.21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366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376</v>
      </c>
      <c r="B230" s="63" t="s">
        <v>377</v>
      </c>
      <c r="C230" s="36">
        <v>4301012149</v>
      </c>
      <c r="D230" s="621">
        <v>4680115886551</v>
      </c>
      <c r="E230" s="621"/>
      <c r="F230" s="62">
        <v>0.4</v>
      </c>
      <c r="G230" s="37">
        <v>10</v>
      </c>
      <c r="H230" s="62">
        <v>4</v>
      </c>
      <c r="I230" s="62">
        <v>4.21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378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379</v>
      </c>
      <c r="B231" s="63" t="s">
        <v>380</v>
      </c>
      <c r="C231" s="36">
        <v>4301011726</v>
      </c>
      <c r="D231" s="621">
        <v>4680115884182</v>
      </c>
      <c r="E231" s="621"/>
      <c r="F231" s="62">
        <v>0.37</v>
      </c>
      <c r="G231" s="37">
        <v>10</v>
      </c>
      <c r="H231" s="62">
        <v>3.7</v>
      </c>
      <c r="I231" s="62">
        <v>3.91</v>
      </c>
      <c r="J231" s="37">
        <v>132</v>
      </c>
      <c r="K231" s="37" t="s">
        <v>116</v>
      </c>
      <c r="L231" s="37" t="s">
        <v>45</v>
      </c>
      <c r="M231" s="38" t="s">
        <v>112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369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381</v>
      </c>
      <c r="B232" s="63" t="s">
        <v>382</v>
      </c>
      <c r="C232" s="36">
        <v>4301012228</v>
      </c>
      <c r="D232" s="621">
        <v>4680115887282</v>
      </c>
      <c r="E232" s="621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87</v>
      </c>
      <c r="L232" s="37" t="s">
        <v>45</v>
      </c>
      <c r="M232" s="38" t="s">
        <v>112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369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383</v>
      </c>
      <c r="B233" s="63" t="s">
        <v>384</v>
      </c>
      <c r="C233" s="36">
        <v>4301011722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4.21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372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hidden="1" customHeight="1" x14ac:dyDescent="0.25">
      <c r="A234" s="63" t="s">
        <v>383</v>
      </c>
      <c r="B234" s="63" t="s">
        <v>385</v>
      </c>
      <c r="C234" s="36">
        <v>4301012195</v>
      </c>
      <c r="D234" s="621">
        <v>4680115884205</v>
      </c>
      <c r="E234" s="621"/>
      <c r="F234" s="62">
        <v>0.4</v>
      </c>
      <c r="G234" s="37">
        <v>10</v>
      </c>
      <c r="H234" s="62">
        <v>4</v>
      </c>
      <c r="I234" s="62">
        <v>4.21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372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141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386</v>
      </c>
      <c r="B238" s="63" t="s">
        <v>387</v>
      </c>
      <c r="C238" s="36">
        <v>4301020377</v>
      </c>
      <c r="D238" s="621">
        <v>4680115885981</v>
      </c>
      <c r="E238" s="621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81</v>
      </c>
      <c r="L238" s="37" t="s">
        <v>45</v>
      </c>
      <c r="M238" s="38" t="s">
        <v>86</v>
      </c>
      <c r="N238" s="38"/>
      <c r="O238" s="37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388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idden="1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628"/>
      <c r="B240" s="628"/>
      <c r="C240" s="628"/>
      <c r="D240" s="628"/>
      <c r="E240" s="628"/>
      <c r="F240" s="628"/>
      <c r="G240" s="628"/>
      <c r="H240" s="628"/>
      <c r="I240" s="628"/>
      <c r="J240" s="628"/>
      <c r="K240" s="628"/>
      <c r="L240" s="628"/>
      <c r="M240" s="628"/>
      <c r="N240" s="628"/>
      <c r="O240" s="629"/>
      <c r="P240" s="625" t="s">
        <v>40</v>
      </c>
      <c r="Q240" s="626"/>
      <c r="R240" s="626"/>
      <c r="S240" s="626"/>
      <c r="T240" s="626"/>
      <c r="U240" s="626"/>
      <c r="V240" s="627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hidden="1" customHeight="1" x14ac:dyDescent="0.25">
      <c r="A241" s="620" t="s">
        <v>389</v>
      </c>
      <c r="B241" s="620"/>
      <c r="C241" s="620"/>
      <c r="D241" s="620"/>
      <c r="E241" s="620"/>
      <c r="F241" s="620"/>
      <c r="G241" s="620"/>
      <c r="H241" s="620"/>
      <c r="I241" s="620"/>
      <c r="J241" s="620"/>
      <c r="K241" s="620"/>
      <c r="L241" s="620"/>
      <c r="M241" s="620"/>
      <c r="N241" s="620"/>
      <c r="O241" s="620"/>
      <c r="P241" s="620"/>
      <c r="Q241" s="620"/>
      <c r="R241" s="620"/>
      <c r="S241" s="620"/>
      <c r="T241" s="620"/>
      <c r="U241" s="620"/>
      <c r="V241" s="620"/>
      <c r="W241" s="620"/>
      <c r="X241" s="620"/>
      <c r="Y241" s="620"/>
      <c r="Z241" s="620"/>
      <c r="AA241" s="66"/>
      <c r="AB241" s="66"/>
      <c r="AC241" s="80"/>
    </row>
    <row r="242" spans="1:68" ht="27" hidden="1" customHeight="1" x14ac:dyDescent="0.25">
      <c r="A242" s="63" t="s">
        <v>390</v>
      </c>
      <c r="B242" s="63" t="s">
        <v>391</v>
      </c>
      <c r="C242" s="36">
        <v>4301040362</v>
      </c>
      <c r="D242" s="621">
        <v>4680115886803</v>
      </c>
      <c r="E242" s="621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294</v>
      </c>
      <c r="L242" s="37" t="s">
        <v>45</v>
      </c>
      <c r="M242" s="38" t="s">
        <v>293</v>
      </c>
      <c r="N242" s="38"/>
      <c r="O242" s="37">
        <v>45</v>
      </c>
      <c r="P242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3"/>
      <c r="R242" s="623"/>
      <c r="S242" s="623"/>
      <c r="T242" s="624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392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628"/>
      <c r="B244" s="628"/>
      <c r="C244" s="628"/>
      <c r="D244" s="628"/>
      <c r="E244" s="628"/>
      <c r="F244" s="628"/>
      <c r="G244" s="628"/>
      <c r="H244" s="628"/>
      <c r="I244" s="628"/>
      <c r="J244" s="628"/>
      <c r="K244" s="628"/>
      <c r="L244" s="628"/>
      <c r="M244" s="628"/>
      <c r="N244" s="628"/>
      <c r="O244" s="629"/>
      <c r="P244" s="625" t="s">
        <v>40</v>
      </c>
      <c r="Q244" s="626"/>
      <c r="R244" s="626"/>
      <c r="S244" s="626"/>
      <c r="T244" s="626"/>
      <c r="U244" s="626"/>
      <c r="V244" s="627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20" t="s">
        <v>393</v>
      </c>
      <c r="B245" s="620"/>
      <c r="C245" s="620"/>
      <c r="D245" s="620"/>
      <c r="E245" s="620"/>
      <c r="F245" s="620"/>
      <c r="G245" s="620"/>
      <c r="H245" s="620"/>
      <c r="I245" s="620"/>
      <c r="J245" s="620"/>
      <c r="K245" s="620"/>
      <c r="L245" s="620"/>
      <c r="M245" s="620"/>
      <c r="N245" s="620"/>
      <c r="O245" s="620"/>
      <c r="P245" s="620"/>
      <c r="Q245" s="620"/>
      <c r="R245" s="620"/>
      <c r="S245" s="620"/>
      <c r="T245" s="620"/>
      <c r="U245" s="620"/>
      <c r="V245" s="620"/>
      <c r="W245" s="620"/>
      <c r="X245" s="620"/>
      <c r="Y245" s="620"/>
      <c r="Z245" s="620"/>
      <c r="AA245" s="66"/>
      <c r="AB245" s="66"/>
      <c r="AC245" s="80"/>
    </row>
    <row r="246" spans="1:68" ht="27" hidden="1" customHeight="1" x14ac:dyDescent="0.25">
      <c r="A246" s="63" t="s">
        <v>394</v>
      </c>
      <c r="B246" s="63" t="s">
        <v>395</v>
      </c>
      <c r="C246" s="36">
        <v>4301041004</v>
      </c>
      <c r="D246" s="621">
        <v>4680115886704</v>
      </c>
      <c r="E246" s="621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294</v>
      </c>
      <c r="L246" s="37" t="s">
        <v>45</v>
      </c>
      <c r="M246" s="38" t="s">
        <v>293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396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397</v>
      </c>
      <c r="B247" s="63" t="s">
        <v>398</v>
      </c>
      <c r="C247" s="36">
        <v>4301041008</v>
      </c>
      <c r="D247" s="621">
        <v>4680115886681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294</v>
      </c>
      <c r="L247" s="37" t="s">
        <v>45</v>
      </c>
      <c r="M247" s="38" t="s">
        <v>293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396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399</v>
      </c>
      <c r="B248" s="63" t="s">
        <v>400</v>
      </c>
      <c r="C248" s="36">
        <v>4301041007</v>
      </c>
      <c r="D248" s="621">
        <v>4680115886735</v>
      </c>
      <c r="E248" s="621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294</v>
      </c>
      <c r="L248" s="37" t="s">
        <v>45</v>
      </c>
      <c r="M248" s="38" t="s">
        <v>293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396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401</v>
      </c>
      <c r="B249" s="63" t="s">
        <v>402</v>
      </c>
      <c r="C249" s="36">
        <v>4301041006</v>
      </c>
      <c r="D249" s="621">
        <v>4680115886728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294</v>
      </c>
      <c r="L249" s="37" t="s">
        <v>45</v>
      </c>
      <c r="M249" s="38" t="s">
        <v>293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396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403</v>
      </c>
      <c r="B250" s="63" t="s">
        <v>404</v>
      </c>
      <c r="C250" s="36">
        <v>4301041005</v>
      </c>
      <c r="D250" s="621">
        <v>4680115886711</v>
      </c>
      <c r="E250" s="621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294</v>
      </c>
      <c r="L250" s="37" t="s">
        <v>45</v>
      </c>
      <c r="M250" s="38" t="s">
        <v>293</v>
      </c>
      <c r="N250" s="38"/>
      <c r="O250" s="37">
        <v>90</v>
      </c>
      <c r="P250" s="74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3"/>
      <c r="R250" s="623"/>
      <c r="S250" s="623"/>
      <c r="T250" s="624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396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19" t="s">
        <v>405</v>
      </c>
      <c r="B253" s="619"/>
      <c r="C253" s="619"/>
      <c r="D253" s="619"/>
      <c r="E253" s="619"/>
      <c r="F253" s="619"/>
      <c r="G253" s="619"/>
      <c r="H253" s="619"/>
      <c r="I253" s="619"/>
      <c r="J253" s="619"/>
      <c r="K253" s="619"/>
      <c r="L253" s="619"/>
      <c r="M253" s="619"/>
      <c r="N253" s="619"/>
      <c r="O253" s="619"/>
      <c r="P253" s="619"/>
      <c r="Q253" s="619"/>
      <c r="R253" s="619"/>
      <c r="S253" s="619"/>
      <c r="T253" s="619"/>
      <c r="U253" s="619"/>
      <c r="V253" s="619"/>
      <c r="W253" s="619"/>
      <c r="X253" s="619"/>
      <c r="Y253" s="619"/>
      <c r="Z253" s="619"/>
      <c r="AA253" s="65"/>
      <c r="AB253" s="65"/>
      <c r="AC253" s="79"/>
    </row>
    <row r="254" spans="1:68" ht="14.25" hidden="1" customHeight="1" x14ac:dyDescent="0.25">
      <c r="A254" s="620" t="s">
        <v>108</v>
      </c>
      <c r="B254" s="620"/>
      <c r="C254" s="620"/>
      <c r="D254" s="620"/>
      <c r="E254" s="620"/>
      <c r="F254" s="620"/>
      <c r="G254" s="620"/>
      <c r="H254" s="620"/>
      <c r="I254" s="620"/>
      <c r="J254" s="620"/>
      <c r="K254" s="620"/>
      <c r="L254" s="620"/>
      <c r="M254" s="620"/>
      <c r="N254" s="620"/>
      <c r="O254" s="620"/>
      <c r="P254" s="620"/>
      <c r="Q254" s="620"/>
      <c r="R254" s="620"/>
      <c r="S254" s="620"/>
      <c r="T254" s="620"/>
      <c r="U254" s="620"/>
      <c r="V254" s="620"/>
      <c r="W254" s="620"/>
      <c r="X254" s="620"/>
      <c r="Y254" s="620"/>
      <c r="Z254" s="620"/>
      <c r="AA254" s="66"/>
      <c r="AB254" s="66"/>
      <c r="AC254" s="80"/>
    </row>
    <row r="255" spans="1:68" ht="27" hidden="1" customHeight="1" x14ac:dyDescent="0.25">
      <c r="A255" s="63" t="s">
        <v>406</v>
      </c>
      <c r="B255" s="63" t="s">
        <v>407</v>
      </c>
      <c r="C255" s="36">
        <v>4301011855</v>
      </c>
      <c r="D255" s="621">
        <v>4680115885837</v>
      </c>
      <c r="E255" s="621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hidden="1" customHeight="1" x14ac:dyDescent="0.25">
      <c r="A256" s="63" t="s">
        <v>409</v>
      </c>
      <c r="B256" s="63" t="s">
        <v>410</v>
      </c>
      <c r="C256" s="36">
        <v>4301011853</v>
      </c>
      <c r="D256" s="621">
        <v>4680115885851</v>
      </c>
      <c r="E256" s="621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412</v>
      </c>
      <c r="B257" s="63" t="s">
        <v>413</v>
      </c>
      <c r="C257" s="36">
        <v>4301011850</v>
      </c>
      <c r="D257" s="621">
        <v>4680115885806</v>
      </c>
      <c r="E257" s="621"/>
      <c r="F257" s="62">
        <v>1.35</v>
      </c>
      <c r="G257" s="37">
        <v>8</v>
      </c>
      <c r="H257" s="62">
        <v>10.8</v>
      </c>
      <c r="I257" s="62">
        <v>11.234999999999999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415</v>
      </c>
      <c r="B258" s="63" t="s">
        <v>416</v>
      </c>
      <c r="C258" s="36">
        <v>4301011852</v>
      </c>
      <c r="D258" s="621">
        <v>4680115885844</v>
      </c>
      <c r="E258" s="621"/>
      <c r="F258" s="62">
        <v>0.4</v>
      </c>
      <c r="G258" s="37">
        <v>10</v>
      </c>
      <c r="H258" s="62">
        <v>4</v>
      </c>
      <c r="I258" s="62">
        <v>4.21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hidden="1" customHeight="1" x14ac:dyDescent="0.25">
      <c r="A259" s="63" t="s">
        <v>418</v>
      </c>
      <c r="B259" s="63" t="s">
        <v>419</v>
      </c>
      <c r="C259" s="36">
        <v>4301011851</v>
      </c>
      <c r="D259" s="621">
        <v>4680115885820</v>
      </c>
      <c r="E259" s="621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116</v>
      </c>
      <c r="L259" s="37" t="s">
        <v>45</v>
      </c>
      <c r="M259" s="38" t="s">
        <v>112</v>
      </c>
      <c r="N259" s="38"/>
      <c r="O259" s="37">
        <v>55</v>
      </c>
      <c r="P259" s="7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3"/>
      <c r="R259" s="623"/>
      <c r="S259" s="623"/>
      <c r="T259" s="624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420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idden="1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hidden="1" x14ac:dyDescent="0.2">
      <c r="A261" s="628"/>
      <c r="B261" s="628"/>
      <c r="C261" s="628"/>
      <c r="D261" s="628"/>
      <c r="E261" s="628"/>
      <c r="F261" s="628"/>
      <c r="G261" s="628"/>
      <c r="H261" s="628"/>
      <c r="I261" s="628"/>
      <c r="J261" s="628"/>
      <c r="K261" s="628"/>
      <c r="L261" s="628"/>
      <c r="M261" s="628"/>
      <c r="N261" s="628"/>
      <c r="O261" s="629"/>
      <c r="P261" s="625" t="s">
        <v>40</v>
      </c>
      <c r="Q261" s="626"/>
      <c r="R261" s="626"/>
      <c r="S261" s="626"/>
      <c r="T261" s="626"/>
      <c r="U261" s="626"/>
      <c r="V261" s="627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hidden="1" customHeight="1" x14ac:dyDescent="0.25">
      <c r="A262" s="619" t="s">
        <v>421</v>
      </c>
      <c r="B262" s="619"/>
      <c r="C262" s="619"/>
      <c r="D262" s="619"/>
      <c r="E262" s="619"/>
      <c r="F262" s="619"/>
      <c r="G262" s="619"/>
      <c r="H262" s="619"/>
      <c r="I262" s="619"/>
      <c r="J262" s="619"/>
      <c r="K262" s="619"/>
      <c r="L262" s="619"/>
      <c r="M262" s="619"/>
      <c r="N262" s="619"/>
      <c r="O262" s="619"/>
      <c r="P262" s="619"/>
      <c r="Q262" s="619"/>
      <c r="R262" s="619"/>
      <c r="S262" s="619"/>
      <c r="T262" s="619"/>
      <c r="U262" s="619"/>
      <c r="V262" s="619"/>
      <c r="W262" s="619"/>
      <c r="X262" s="619"/>
      <c r="Y262" s="619"/>
      <c r="Z262" s="619"/>
      <c r="AA262" s="65"/>
      <c r="AB262" s="65"/>
      <c r="AC262" s="79"/>
    </row>
    <row r="263" spans="1:68" ht="14.25" hidden="1" customHeight="1" x14ac:dyDescent="0.25">
      <c r="A263" s="620" t="s">
        <v>108</v>
      </c>
      <c r="B263" s="620"/>
      <c r="C263" s="620"/>
      <c r="D263" s="620"/>
      <c r="E263" s="620"/>
      <c r="F263" s="620"/>
      <c r="G263" s="620"/>
      <c r="H263" s="620"/>
      <c r="I263" s="620"/>
      <c r="J263" s="620"/>
      <c r="K263" s="620"/>
      <c r="L263" s="620"/>
      <c r="M263" s="620"/>
      <c r="N263" s="620"/>
      <c r="O263" s="620"/>
      <c r="P263" s="620"/>
      <c r="Q263" s="620"/>
      <c r="R263" s="620"/>
      <c r="S263" s="620"/>
      <c r="T263" s="620"/>
      <c r="U263" s="620"/>
      <c r="V263" s="620"/>
      <c r="W263" s="620"/>
      <c r="X263" s="620"/>
      <c r="Y263" s="620"/>
      <c r="Z263" s="620"/>
      <c r="AA263" s="66"/>
      <c r="AB263" s="66"/>
      <c r="AC263" s="80"/>
    </row>
    <row r="264" spans="1:68" ht="27" hidden="1" customHeight="1" x14ac:dyDescent="0.25">
      <c r="A264" s="63" t="s">
        <v>422</v>
      </c>
      <c r="B264" s="63" t="s">
        <v>423</v>
      </c>
      <c r="C264" s="36">
        <v>4301011223</v>
      </c>
      <c r="D264" s="621">
        <v>4607091383423</v>
      </c>
      <c r="E264" s="621"/>
      <c r="F264" s="62">
        <v>1.35</v>
      </c>
      <c r="G264" s="37">
        <v>8</v>
      </c>
      <c r="H264" s="62">
        <v>10.8</v>
      </c>
      <c r="I264" s="62">
        <v>11.331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35</v>
      </c>
      <c r="P264" s="75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424</v>
      </c>
      <c r="B265" s="63" t="s">
        <v>425</v>
      </c>
      <c r="C265" s="36">
        <v>4301012199</v>
      </c>
      <c r="D265" s="621">
        <v>4680115886957</v>
      </c>
      <c r="E265" s="621"/>
      <c r="F265" s="62">
        <v>1.35</v>
      </c>
      <c r="G265" s="37">
        <v>8</v>
      </c>
      <c r="H265" s="62">
        <v>10.8</v>
      </c>
      <c r="I265" s="62">
        <v>11.234999999999999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30</v>
      </c>
      <c r="P265" s="75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426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427</v>
      </c>
      <c r="B266" s="63" t="s">
        <v>428</v>
      </c>
      <c r="C266" s="36">
        <v>4301012098</v>
      </c>
      <c r="D266" s="621">
        <v>4680115885660</v>
      </c>
      <c r="E266" s="621"/>
      <c r="F266" s="62">
        <v>1.35</v>
      </c>
      <c r="G266" s="37">
        <v>8</v>
      </c>
      <c r="H266" s="62">
        <v>10.8</v>
      </c>
      <c r="I266" s="62">
        <v>11.234999999999999</v>
      </c>
      <c r="J266" s="37">
        <v>64</v>
      </c>
      <c r="K266" s="37" t="s">
        <v>113</v>
      </c>
      <c r="L266" s="37" t="s">
        <v>45</v>
      </c>
      <c r="M266" s="38" t="s">
        <v>86</v>
      </c>
      <c r="N266" s="38"/>
      <c r="O266" s="37">
        <v>35</v>
      </c>
      <c r="P266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372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hidden="1" customHeight="1" x14ac:dyDescent="0.25">
      <c r="A267" s="63" t="s">
        <v>429</v>
      </c>
      <c r="B267" s="63" t="s">
        <v>430</v>
      </c>
      <c r="C267" s="36">
        <v>4301012176</v>
      </c>
      <c r="D267" s="621">
        <v>4680115886773</v>
      </c>
      <c r="E267" s="621"/>
      <c r="F267" s="62">
        <v>0.9</v>
      </c>
      <c r="G267" s="37">
        <v>10</v>
      </c>
      <c r="H267" s="62">
        <v>9</v>
      </c>
      <c r="I267" s="62">
        <v>9.4350000000000005</v>
      </c>
      <c r="J267" s="37">
        <v>64</v>
      </c>
      <c r="K267" s="37" t="s">
        <v>113</v>
      </c>
      <c r="L267" s="37" t="s">
        <v>45</v>
      </c>
      <c r="M267" s="38" t="s">
        <v>112</v>
      </c>
      <c r="N267" s="38"/>
      <c r="O267" s="37">
        <v>31</v>
      </c>
      <c r="P267" s="75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3"/>
      <c r="R267" s="623"/>
      <c r="S267" s="623"/>
      <c r="T267" s="624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431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hidden="1" x14ac:dyDescent="0.2">
      <c r="A269" s="628"/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9"/>
      <c r="P269" s="625" t="s">
        <v>40</v>
      </c>
      <c r="Q269" s="626"/>
      <c r="R269" s="626"/>
      <c r="S269" s="626"/>
      <c r="T269" s="626"/>
      <c r="U269" s="626"/>
      <c r="V269" s="627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hidden="1" customHeight="1" x14ac:dyDescent="0.25">
      <c r="A270" s="619" t="s">
        <v>432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5"/>
      <c r="AB270" s="65"/>
      <c r="AC270" s="79"/>
    </row>
    <row r="271" spans="1:68" ht="14.25" hidden="1" customHeight="1" x14ac:dyDescent="0.25">
      <c r="A271" s="620" t="s">
        <v>82</v>
      </c>
      <c r="B271" s="620"/>
      <c r="C271" s="620"/>
      <c r="D271" s="620"/>
      <c r="E271" s="620"/>
      <c r="F271" s="620"/>
      <c r="G271" s="620"/>
      <c r="H271" s="620"/>
      <c r="I271" s="620"/>
      <c r="J271" s="620"/>
      <c r="K271" s="620"/>
      <c r="L271" s="620"/>
      <c r="M271" s="620"/>
      <c r="N271" s="620"/>
      <c r="O271" s="620"/>
      <c r="P271" s="620"/>
      <c r="Q271" s="620"/>
      <c r="R271" s="620"/>
      <c r="S271" s="620"/>
      <c r="T271" s="620"/>
      <c r="U271" s="620"/>
      <c r="V271" s="620"/>
      <c r="W271" s="620"/>
      <c r="X271" s="620"/>
      <c r="Y271" s="620"/>
      <c r="Z271" s="620"/>
      <c r="AA271" s="66"/>
      <c r="AB271" s="66"/>
      <c r="AC271" s="80"/>
    </row>
    <row r="272" spans="1:68" ht="27" hidden="1" customHeight="1" x14ac:dyDescent="0.25">
      <c r="A272" s="63" t="s">
        <v>433</v>
      </c>
      <c r="B272" s="63" t="s">
        <v>434</v>
      </c>
      <c r="C272" s="36">
        <v>4301051893</v>
      </c>
      <c r="D272" s="621">
        <v>4680115886186</v>
      </c>
      <c r="E272" s="621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87</v>
      </c>
      <c r="L272" s="37" t="s">
        <v>45</v>
      </c>
      <c r="M272" s="38" t="s">
        <v>86</v>
      </c>
      <c r="N272" s="38"/>
      <c r="O272" s="37">
        <v>45</v>
      </c>
      <c r="P272" s="75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436</v>
      </c>
      <c r="B273" s="63" t="s">
        <v>437</v>
      </c>
      <c r="C273" s="36">
        <v>4301051795</v>
      </c>
      <c r="D273" s="621">
        <v>4680115881228</v>
      </c>
      <c r="E273" s="62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87</v>
      </c>
      <c r="L273" s="37" t="s">
        <v>45</v>
      </c>
      <c r="M273" s="38" t="s">
        <v>94</v>
      </c>
      <c r="N273" s="38"/>
      <c r="O273" s="37">
        <v>40</v>
      </c>
      <c r="P273" s="7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hidden="1" customHeight="1" x14ac:dyDescent="0.25">
      <c r="A274" s="63" t="s">
        <v>439</v>
      </c>
      <c r="B274" s="63" t="s">
        <v>440</v>
      </c>
      <c r="C274" s="36">
        <v>4301051388</v>
      </c>
      <c r="D274" s="621">
        <v>4680115881211</v>
      </c>
      <c r="E274" s="621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87</v>
      </c>
      <c r="L274" s="37" t="s">
        <v>45</v>
      </c>
      <c r="M274" s="38" t="s">
        <v>86</v>
      </c>
      <c r="N274" s="38"/>
      <c r="O274" s="37">
        <v>45</v>
      </c>
      <c r="P274" s="75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3"/>
      <c r="R274" s="623"/>
      <c r="S274" s="623"/>
      <c r="T274" s="624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435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19" t="s">
        <v>441</v>
      </c>
      <c r="B277" s="619"/>
      <c r="C277" s="619"/>
      <c r="D277" s="619"/>
      <c r="E277" s="619"/>
      <c r="F277" s="619"/>
      <c r="G277" s="619"/>
      <c r="H277" s="619"/>
      <c r="I277" s="619"/>
      <c r="J277" s="619"/>
      <c r="K277" s="619"/>
      <c r="L277" s="619"/>
      <c r="M277" s="619"/>
      <c r="N277" s="619"/>
      <c r="O277" s="619"/>
      <c r="P277" s="619"/>
      <c r="Q277" s="619"/>
      <c r="R277" s="619"/>
      <c r="S277" s="619"/>
      <c r="T277" s="619"/>
      <c r="U277" s="619"/>
      <c r="V277" s="619"/>
      <c r="W277" s="619"/>
      <c r="X277" s="619"/>
      <c r="Y277" s="619"/>
      <c r="Z277" s="619"/>
      <c r="AA277" s="65"/>
      <c r="AB277" s="65"/>
      <c r="AC277" s="79"/>
    </row>
    <row r="278" spans="1:68" ht="14.25" hidden="1" customHeight="1" x14ac:dyDescent="0.25">
      <c r="A278" s="620" t="s">
        <v>76</v>
      </c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0"/>
      <c r="P278" s="620"/>
      <c r="Q278" s="620"/>
      <c r="R278" s="620"/>
      <c r="S278" s="620"/>
      <c r="T278" s="620"/>
      <c r="U278" s="620"/>
      <c r="V278" s="620"/>
      <c r="W278" s="620"/>
      <c r="X278" s="620"/>
      <c r="Y278" s="620"/>
      <c r="Z278" s="620"/>
      <c r="AA278" s="66"/>
      <c r="AB278" s="66"/>
      <c r="AC278" s="80"/>
    </row>
    <row r="279" spans="1:68" ht="27" hidden="1" customHeight="1" x14ac:dyDescent="0.25">
      <c r="A279" s="63" t="s">
        <v>442</v>
      </c>
      <c r="B279" s="63" t="s">
        <v>443</v>
      </c>
      <c r="C279" s="36">
        <v>4301031307</v>
      </c>
      <c r="D279" s="621">
        <v>4680115880344</v>
      </c>
      <c r="E279" s="621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81</v>
      </c>
      <c r="L279" s="37" t="s">
        <v>45</v>
      </c>
      <c r="M279" s="38" t="s">
        <v>80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445</v>
      </c>
      <c r="B280" s="63" t="s">
        <v>446</v>
      </c>
      <c r="C280" s="36">
        <v>4301031429</v>
      </c>
      <c r="D280" s="621">
        <v>4680115886919</v>
      </c>
      <c r="E280" s="621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87</v>
      </c>
      <c r="L280" s="37" t="s">
        <v>45</v>
      </c>
      <c r="M280" s="38" t="s">
        <v>80</v>
      </c>
      <c r="N280" s="38"/>
      <c r="O280" s="37">
        <v>40</v>
      </c>
      <c r="P280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3"/>
      <c r="R280" s="623"/>
      <c r="S280" s="623"/>
      <c r="T280" s="624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447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idden="1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620" t="s">
        <v>82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37.5" hidden="1" customHeight="1" x14ac:dyDescent="0.25">
      <c r="A284" s="63" t="s">
        <v>448</v>
      </c>
      <c r="B284" s="63" t="s">
        <v>449</v>
      </c>
      <c r="C284" s="36">
        <v>4301051782</v>
      </c>
      <c r="D284" s="621">
        <v>4680115884618</v>
      </c>
      <c r="E284" s="621"/>
      <c r="F284" s="62">
        <v>0.6</v>
      </c>
      <c r="G284" s="37">
        <v>6</v>
      </c>
      <c r="H284" s="62">
        <v>3.6</v>
      </c>
      <c r="I284" s="62">
        <v>3.81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idden="1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IFERROR(X284/H284,"0")</f>
        <v>0</v>
      </c>
      <c r="Y285" s="43">
        <f>IFERROR(Y284/H284,"0")</f>
        <v>0</v>
      </c>
      <c r="Z285" s="43">
        <f>IFERROR(IF(Z284="",0,Z284),"0")</f>
        <v>0</v>
      </c>
      <c r="AA285" s="67"/>
      <c r="AB285" s="67"/>
      <c r="AC285" s="67"/>
    </row>
    <row r="286" spans="1:68" hidden="1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IFERROR(SUM(X284:X284),"0")</f>
        <v>0</v>
      </c>
      <c r="Y286" s="43">
        <f>IFERROR(SUM(Y284:Y284),"0")</f>
        <v>0</v>
      </c>
      <c r="Z286" s="42"/>
      <c r="AA286" s="67"/>
      <c r="AB286" s="67"/>
      <c r="AC286" s="67"/>
    </row>
    <row r="287" spans="1:68" ht="16.5" hidden="1" customHeight="1" x14ac:dyDescent="0.25">
      <c r="A287" s="619" t="s">
        <v>451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hidden="1" customHeight="1" x14ac:dyDescent="0.25">
      <c r="A288" s="620" t="s">
        <v>108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hidden="1" customHeight="1" x14ac:dyDescent="0.25">
      <c r="A289" s="63" t="s">
        <v>452</v>
      </c>
      <c r="B289" s="63" t="s">
        <v>453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11.234999999999999</v>
      </c>
      <c r="J289" s="37">
        <v>64</v>
      </c>
      <c r="K289" s="37" t="s">
        <v>113</v>
      </c>
      <c r="L289" s="37" t="s">
        <v>45</v>
      </c>
      <c r="M289" s="38" t="s">
        <v>86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454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hidden="1" customHeight="1" x14ac:dyDescent="0.25">
      <c r="A290" s="63" t="s">
        <v>455</v>
      </c>
      <c r="B290" s="63" t="s">
        <v>456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11.234999999999999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458</v>
      </c>
      <c r="B291" s="63" t="s">
        <v>459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11.234999999999999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461</v>
      </c>
      <c r="B292" s="63" t="s">
        <v>462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4.21</v>
      </c>
      <c r="J292" s="37">
        <v>132</v>
      </c>
      <c r="K292" s="37" t="s">
        <v>116</v>
      </c>
      <c r="L292" s="37" t="s">
        <v>45</v>
      </c>
      <c r="M292" s="38" t="s">
        <v>112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454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463</v>
      </c>
      <c r="B293" s="63" t="s">
        <v>464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4.21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20" t="s">
        <v>76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hidden="1" customHeight="1" x14ac:dyDescent="0.25">
      <c r="A297" s="63" t="s">
        <v>466</v>
      </c>
      <c r="B297" s="63" t="s">
        <v>467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4.47</v>
      </c>
      <c r="J297" s="37">
        <v>132</v>
      </c>
      <c r="K297" s="37" t="s">
        <v>116</v>
      </c>
      <c r="L297" s="37" t="s">
        <v>45</v>
      </c>
      <c r="M297" s="38" t="s">
        <v>80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468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hidden="1" customHeight="1" x14ac:dyDescent="0.25">
      <c r="A298" s="63" t="s">
        <v>469</v>
      </c>
      <c r="B298" s="63" t="s">
        <v>470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4.47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471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hidden="1" customHeight="1" x14ac:dyDescent="0.25">
      <c r="A299" s="63" t="s">
        <v>472</v>
      </c>
      <c r="B299" s="63" t="s">
        <v>473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4.6500000000000004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hidden="1" customHeight="1" x14ac:dyDescent="0.25">
      <c r="A300" s="63" t="s">
        <v>475</v>
      </c>
      <c r="B300" s="63" t="s">
        <v>476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81</v>
      </c>
      <c r="L300" s="37" t="s">
        <v>45</v>
      </c>
      <c r="M300" s="38" t="s">
        <v>80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471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hidden="1" customHeight="1" x14ac:dyDescent="0.25">
      <c r="A301" s="63" t="s">
        <v>477</v>
      </c>
      <c r="B301" s="63" t="s">
        <v>478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479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hidden="1" customHeight="1" x14ac:dyDescent="0.25">
      <c r="A302" s="63" t="s">
        <v>480</v>
      </c>
      <c r="B302" s="63" t="s">
        <v>481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479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hidden="1" customHeight="1" x14ac:dyDescent="0.25">
      <c r="A303" s="63" t="s">
        <v>482</v>
      </c>
      <c r="B303" s="63" t="s">
        <v>483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87</v>
      </c>
      <c r="L303" s="37" t="s">
        <v>45</v>
      </c>
      <c r="M303" s="38" t="s">
        <v>80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484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idden="1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20" t="s">
        <v>82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hidden="1" customHeight="1" x14ac:dyDescent="0.25">
      <c r="A307" s="63" t="s">
        <v>485</v>
      </c>
      <c r="B307" s="63" t="s">
        <v>486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8.3130000000000006</v>
      </c>
      <c r="J307" s="37">
        <v>64</v>
      </c>
      <c r="K307" s="37" t="s">
        <v>113</v>
      </c>
      <c r="L307" s="37" t="s">
        <v>45</v>
      </c>
      <c r="M307" s="38" t="s">
        <v>86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487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hidden="1" customHeight="1" x14ac:dyDescent="0.25">
      <c r="A308" s="63" t="s">
        <v>488</v>
      </c>
      <c r="B308" s="63" t="s">
        <v>489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8.3190000000000008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hidden="1" customHeight="1" x14ac:dyDescent="0.25">
      <c r="A309" s="63" t="s">
        <v>491</v>
      </c>
      <c r="B309" s="63" t="s">
        <v>492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8.6010000000000009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494</v>
      </c>
      <c r="B310" s="63" t="s">
        <v>495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87</v>
      </c>
      <c r="L310" s="37" t="s">
        <v>45</v>
      </c>
      <c r="M310" s="38" t="s">
        <v>86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496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497</v>
      </c>
      <c r="B311" s="63" t="s">
        <v>498</v>
      </c>
      <c r="C311" s="36">
        <v>4301051578</v>
      </c>
      <c r="D311" s="621">
        <v>4607091387513</v>
      </c>
      <c r="E311" s="621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87</v>
      </c>
      <c r="L311" s="37" t="s">
        <v>45</v>
      </c>
      <c r="M311" s="38" t="s">
        <v>94</v>
      </c>
      <c r="N311" s="38"/>
      <c r="O311" s="37">
        <v>40</v>
      </c>
      <c r="P311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499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0" t="s">
        <v>171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500</v>
      </c>
      <c r="B315" s="63" t="s">
        <v>501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8.9190000000000005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67.2</v>
      </c>
      <c r="Y315" s="55">
        <f>IFERROR(IF(X315="",0,CEILING((X315/$H315),1)*$H315),"")</f>
        <v>67.2</v>
      </c>
      <c r="Z315" s="41">
        <f>IFERROR(IF(Y315=0,"",ROUNDUP(Y315/H315,0)*0.01898),"")</f>
        <v>0.15184</v>
      </c>
      <c r="AA315" s="68" t="s">
        <v>45</v>
      </c>
      <c r="AB315" s="69" t="s">
        <v>45</v>
      </c>
      <c r="AC315" s="382" t="s">
        <v>502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71.352000000000004</v>
      </c>
      <c r="BN315" s="78">
        <f>IFERROR(Y315*I315/H315,"0")</f>
        <v>71.352000000000004</v>
      </c>
      <c r="BO315" s="78">
        <f>IFERROR(1/J315*(X315/H315),"0")</f>
        <v>0.125</v>
      </c>
      <c r="BP315" s="78">
        <f>IFERROR(1/J315*(Y315/H315),"0")</f>
        <v>0.125</v>
      </c>
    </row>
    <row r="316" spans="1:68" ht="27" customHeight="1" x14ac:dyDescent="0.25">
      <c r="A316" s="63" t="s">
        <v>503</v>
      </c>
      <c r="B316" s="63" t="s">
        <v>504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8.3190000000000008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62.4</v>
      </c>
      <c r="Y316" s="55">
        <f>IFERROR(IF(X316="",0,CEILING((X316/$H316),1)*$H316),"")</f>
        <v>62.4</v>
      </c>
      <c r="Z316" s="41">
        <f>IFERROR(IF(Y316=0,"",ROUNDUP(Y316/H316,0)*0.01898),"")</f>
        <v>0.15184</v>
      </c>
      <c r="AA316" s="68" t="s">
        <v>45</v>
      </c>
      <c r="AB316" s="69" t="s">
        <v>45</v>
      </c>
      <c r="AC316" s="384" t="s">
        <v>505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66.552000000000007</v>
      </c>
      <c r="BN316" s="78">
        <f>IFERROR(Y316*I316/H316,"0")</f>
        <v>66.552000000000007</v>
      </c>
      <c r="BO316" s="78">
        <f>IFERROR(1/J316*(X316/H316),"0")</f>
        <v>0.125</v>
      </c>
      <c r="BP316" s="78">
        <f>IFERROR(1/J316*(Y316/H316),"0")</f>
        <v>0.125</v>
      </c>
    </row>
    <row r="317" spans="1:68" ht="16.5" hidden="1" customHeight="1" x14ac:dyDescent="0.25">
      <c r="A317" s="63" t="s">
        <v>506</v>
      </c>
      <c r="B317" s="63" t="s">
        <v>507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8.9190000000000005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16</v>
      </c>
      <c r="Y318" s="43">
        <f>IFERROR(Y315/H315,"0")+IFERROR(Y316/H316,"0")+IFERROR(Y317/H317,"0")</f>
        <v>16</v>
      </c>
      <c r="Z318" s="43">
        <f>IFERROR(IF(Z315="",0,Z315),"0")+IFERROR(IF(Z316="",0,Z316),"0")+IFERROR(IF(Z317="",0,Z317),"0")</f>
        <v>0.30368000000000001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129.6</v>
      </c>
      <c r="Y319" s="43">
        <f>IFERROR(SUM(Y315:Y317),"0")</f>
        <v>129.6</v>
      </c>
      <c r="Z319" s="42"/>
      <c r="AA319" s="67"/>
      <c r="AB319" s="67"/>
      <c r="AC319" s="67"/>
    </row>
    <row r="320" spans="1:68" ht="14.25" hidden="1" customHeight="1" x14ac:dyDescent="0.25">
      <c r="A320" s="620" t="s">
        <v>100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hidden="1" customHeight="1" x14ac:dyDescent="0.25">
      <c r="A321" s="63" t="s">
        <v>509</v>
      </c>
      <c r="B321" s="63" t="s">
        <v>510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3.33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512</v>
      </c>
      <c r="B322" s="63" t="s">
        <v>513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3.29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781" t="s">
        <v>514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515</v>
      </c>
      <c r="B323" s="63" t="s">
        <v>516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518</v>
      </c>
      <c r="B324" s="63" t="s">
        <v>519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511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hidden="1" customHeight="1" x14ac:dyDescent="0.25">
      <c r="A327" s="620" t="s">
        <v>520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hidden="1" customHeight="1" x14ac:dyDescent="0.25">
      <c r="A328" s="63" t="s">
        <v>521</v>
      </c>
      <c r="B328" s="63" t="s">
        <v>522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524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525</v>
      </c>
      <c r="B329" s="63" t="s">
        <v>526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524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527</v>
      </c>
      <c r="B330" s="63" t="s">
        <v>528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524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19" t="s">
        <v>529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hidden="1" customHeight="1" x14ac:dyDescent="0.25">
      <c r="A334" s="620" t="s">
        <v>82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8.6189999999999998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64.8</v>
      </c>
      <c r="Y335" s="55">
        <f>IFERROR(IF(X335="",0,CEILING((X335/$H335),1)*$H335),"")</f>
        <v>64.8</v>
      </c>
      <c r="Z335" s="41">
        <f>IFERROR(IF(Y335=0,"",ROUNDUP(Y335/H335,0)*0.01898),"")</f>
        <v>0.15184</v>
      </c>
      <c r="AA335" s="68" t="s">
        <v>45</v>
      </c>
      <c r="AB335" s="69" t="s">
        <v>45</v>
      </c>
      <c r="AC335" s="402" t="s">
        <v>532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68.951999999999998</v>
      </c>
      <c r="BN335" s="78">
        <f>IFERROR(Y335*I335/H335,"0")</f>
        <v>68.951999999999998</v>
      </c>
      <c r="BO335" s="78">
        <f>IFERROR(1/J335*(X335/H335),"0")</f>
        <v>0.125</v>
      </c>
      <c r="BP335" s="78">
        <f>IFERROR(1/J335*(Y335/H335),"0")</f>
        <v>0.125</v>
      </c>
    </row>
    <row r="336" spans="1:68" ht="27" hidden="1" customHeight="1" x14ac:dyDescent="0.25">
      <c r="A336" s="63" t="s">
        <v>533</v>
      </c>
      <c r="B336" s="63" t="s">
        <v>534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536</v>
      </c>
      <c r="B337" s="63" t="s">
        <v>537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8</v>
      </c>
      <c r="Y338" s="43">
        <f>IFERROR(Y335/H335,"0")+IFERROR(Y336/H336,"0")+IFERROR(Y337/H337,"0")</f>
        <v>8</v>
      </c>
      <c r="Z338" s="43">
        <f>IFERROR(IF(Z335="",0,Z335),"0")+IFERROR(IF(Z336="",0,Z336),"0")+IFERROR(IF(Z337="",0,Z337),"0")</f>
        <v>0.15184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64.8</v>
      </c>
      <c r="Y339" s="43">
        <f>IFERROR(SUM(Y335:Y337),"0")</f>
        <v>64.8</v>
      </c>
      <c r="Z339" s="42"/>
      <c r="AA339" s="67"/>
      <c r="AB339" s="67"/>
      <c r="AC339" s="67"/>
    </row>
    <row r="340" spans="1:68" ht="27.75" hidden="1" customHeight="1" x14ac:dyDescent="0.2">
      <c r="A340" s="618" t="s">
        <v>539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hidden="1" customHeight="1" x14ac:dyDescent="0.25">
      <c r="A341" s="619" t="s">
        <v>540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hidden="1" customHeight="1" x14ac:dyDescent="0.25">
      <c r="A342" s="620" t="s">
        <v>108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hidden="1" customHeight="1" x14ac:dyDescent="0.25">
      <c r="A343" s="63" t="s">
        <v>541</v>
      </c>
      <c r="B343" s="63" t="s">
        <v>542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15.48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1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543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0</v>
      </c>
      <c r="BN343" s="78">
        <f t="shared" ref="BN343:BN349" si="33">IFERROR(Y343*I343/H343,"0")</f>
        <v>0</v>
      </c>
      <c r="BO343" s="78">
        <f t="shared" ref="BO343:BO349" si="34">IFERROR(1/J343*(X343/H343),"0")</f>
        <v>0</v>
      </c>
      <c r="BP343" s="78">
        <f t="shared" ref="BP343:BP349" si="35">IFERROR(1/J343*(Y343/H343),"0")</f>
        <v>0</v>
      </c>
    </row>
    <row r="344" spans="1:68" ht="27" customHeight="1" x14ac:dyDescent="0.25">
      <c r="A344" s="63" t="s">
        <v>544</v>
      </c>
      <c r="B344" s="63" t="s">
        <v>545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15.48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120</v>
      </c>
      <c r="Y344" s="55">
        <f t="shared" si="31"/>
        <v>120</v>
      </c>
      <c r="Z344" s="41">
        <f>IFERROR(IF(Y344=0,"",ROUNDUP(Y344/H344,0)*0.02175),"")</f>
        <v>0.17399999999999999</v>
      </c>
      <c r="AA344" s="68" t="s">
        <v>45</v>
      </c>
      <c r="AB344" s="69" t="s">
        <v>45</v>
      </c>
      <c r="AC344" s="410" t="s">
        <v>546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123.84</v>
      </c>
      <c r="BN344" s="78">
        <f t="shared" si="33"/>
        <v>123.84</v>
      </c>
      <c r="BO344" s="78">
        <f t="shared" si="34"/>
        <v>0.16666666666666666</v>
      </c>
      <c r="BP344" s="78">
        <f t="shared" si="35"/>
        <v>0.16666666666666666</v>
      </c>
    </row>
    <row r="345" spans="1:68" ht="27" hidden="1" customHeight="1" x14ac:dyDescent="0.25">
      <c r="A345" s="63" t="s">
        <v>547</v>
      </c>
      <c r="B345" s="63" t="s">
        <v>548</v>
      </c>
      <c r="C345" s="36">
        <v>4301011832</v>
      </c>
      <c r="D345" s="621">
        <v>4607091383997</v>
      </c>
      <c r="E345" s="621"/>
      <c r="F345" s="62">
        <v>2.5</v>
      </c>
      <c r="G345" s="37">
        <v>6</v>
      </c>
      <c r="H345" s="62">
        <v>15</v>
      </c>
      <c r="I345" s="62">
        <v>15.48</v>
      </c>
      <c r="J345" s="37">
        <v>48</v>
      </c>
      <c r="K345" s="37" t="s">
        <v>113</v>
      </c>
      <c r="L345" s="37" t="s">
        <v>45</v>
      </c>
      <c r="M345" s="38" t="s">
        <v>94</v>
      </c>
      <c r="N345" s="38"/>
      <c r="O345" s="37">
        <v>60</v>
      </c>
      <c r="P345" s="79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549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37.5" hidden="1" customHeight="1" x14ac:dyDescent="0.25">
      <c r="A346" s="63" t="s">
        <v>550</v>
      </c>
      <c r="B346" s="63" t="s">
        <v>551</v>
      </c>
      <c r="C346" s="36">
        <v>4301011867</v>
      </c>
      <c r="D346" s="621">
        <v>4680115884830</v>
      </c>
      <c r="E346" s="621"/>
      <c r="F346" s="62">
        <v>2.5</v>
      </c>
      <c r="G346" s="37">
        <v>6</v>
      </c>
      <c r="H346" s="62">
        <v>15</v>
      </c>
      <c r="I346" s="62">
        <v>15.48</v>
      </c>
      <c r="J346" s="37">
        <v>48</v>
      </c>
      <c r="K346" s="37" t="s">
        <v>113</v>
      </c>
      <c r="L346" s="37" t="s">
        <v>45</v>
      </c>
      <c r="M346" s="38" t="s">
        <v>80</v>
      </c>
      <c r="N346" s="38"/>
      <c r="O346" s="37">
        <v>60</v>
      </c>
      <c r="P346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hidden="1" customHeight="1" x14ac:dyDescent="0.25">
      <c r="A347" s="63" t="s">
        <v>553</v>
      </c>
      <c r="B347" s="63" t="s">
        <v>554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4.21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555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hidden="1" customHeight="1" x14ac:dyDescent="0.25">
      <c r="A348" s="63" t="s">
        <v>556</v>
      </c>
      <c r="B348" s="63" t="s">
        <v>557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5.21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hidden="1" customHeight="1" x14ac:dyDescent="0.25">
      <c r="A349" s="63" t="s">
        <v>558</v>
      </c>
      <c r="B349" s="63" t="s">
        <v>559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5.21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552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8</v>
      </c>
      <c r="Y350" s="43">
        <f>IFERROR(Y343/H343,"0")+IFERROR(Y344/H344,"0")+IFERROR(Y345/H345,"0")+IFERROR(Y346/H346,"0")+IFERROR(Y347/H347,"0")+IFERROR(Y348/H348,"0")+IFERROR(Y349/H349,"0")</f>
        <v>8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0.17399999999999999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120</v>
      </c>
      <c r="Y351" s="43">
        <f>IFERROR(SUM(Y343:Y349),"0")</f>
        <v>120</v>
      </c>
      <c r="Z351" s="42"/>
      <c r="AA351" s="67"/>
      <c r="AB351" s="67"/>
      <c r="AC351" s="67"/>
    </row>
    <row r="352" spans="1:68" ht="14.25" hidden="1" customHeight="1" x14ac:dyDescent="0.25">
      <c r="A352" s="620" t="s">
        <v>141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560</v>
      </c>
      <c r="B353" s="63" t="s">
        <v>561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15.48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120</v>
      </c>
      <c r="Y353" s="55">
        <f>IFERROR(IF(X353="",0,CEILING((X353/$H353),1)*$H353),"")</f>
        <v>120</v>
      </c>
      <c r="Z353" s="41">
        <f>IFERROR(IF(Y353=0,"",ROUNDUP(Y353/H353,0)*0.02175),"")</f>
        <v>0.17399999999999999</v>
      </c>
      <c r="AA353" s="68" t="s">
        <v>45</v>
      </c>
      <c r="AB353" s="69" t="s">
        <v>45</v>
      </c>
      <c r="AC353" s="422" t="s">
        <v>562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123.84</v>
      </c>
      <c r="BN353" s="78">
        <f>IFERROR(Y353*I353/H353,"0")</f>
        <v>123.84</v>
      </c>
      <c r="BO353" s="78">
        <f>IFERROR(1/J353*(X353/H353),"0")</f>
        <v>0.16666666666666666</v>
      </c>
      <c r="BP353" s="78">
        <f>IFERROR(1/J353*(Y353/H353),"0")</f>
        <v>0.16666666666666666</v>
      </c>
    </row>
    <row r="354" spans="1:68" ht="16.5" hidden="1" customHeight="1" x14ac:dyDescent="0.25">
      <c r="A354" s="63" t="s">
        <v>563</v>
      </c>
      <c r="B354" s="63" t="s">
        <v>564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4.21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8</v>
      </c>
      <c r="Y355" s="43">
        <f>IFERROR(Y353/H353,"0")+IFERROR(Y354/H354,"0")</f>
        <v>8</v>
      </c>
      <c r="Z355" s="43">
        <f>IFERROR(IF(Z353="",0,Z353),"0")+IFERROR(IF(Z354="",0,Z354),"0")</f>
        <v>0.17399999999999999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120</v>
      </c>
      <c r="Y356" s="43">
        <f>IFERROR(SUM(Y353:Y354),"0")</f>
        <v>120</v>
      </c>
      <c r="Z356" s="42"/>
      <c r="AA356" s="67"/>
      <c r="AB356" s="67"/>
      <c r="AC356" s="67"/>
    </row>
    <row r="357" spans="1:68" ht="14.25" hidden="1" customHeight="1" x14ac:dyDescent="0.25">
      <c r="A357" s="620" t="s">
        <v>82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hidden="1" customHeight="1" x14ac:dyDescent="0.25">
      <c r="A358" s="63" t="s">
        <v>565</v>
      </c>
      <c r="B358" s="63" t="s">
        <v>566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9.5250000000000004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568</v>
      </c>
      <c r="B359" s="63" t="s">
        <v>569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9.5190000000000001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20" t="s">
        <v>171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hidden="1" customHeight="1" x14ac:dyDescent="0.25">
      <c r="A363" s="63" t="s">
        <v>571</v>
      </c>
      <c r="B363" s="63" t="s">
        <v>572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9.5190000000000001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idden="1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hidden="1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hidden="1" customHeight="1" x14ac:dyDescent="0.25">
      <c r="A366" s="619" t="s">
        <v>574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hidden="1" customHeight="1" x14ac:dyDescent="0.25">
      <c r="A367" s="620" t="s">
        <v>108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hidden="1" customHeight="1" x14ac:dyDescent="0.25">
      <c r="A368" s="63" t="s">
        <v>575</v>
      </c>
      <c r="B368" s="63" t="s">
        <v>576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12.435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577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hidden="1" customHeight="1" x14ac:dyDescent="0.25">
      <c r="A369" s="63" t="s">
        <v>578</v>
      </c>
      <c r="B369" s="63" t="s">
        <v>579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4.21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20" t="s">
        <v>76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hidden="1" customHeight="1" x14ac:dyDescent="0.25">
      <c r="A373" s="63" t="s">
        <v>580</v>
      </c>
      <c r="B373" s="63" t="s">
        <v>581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4.6500000000000004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580</v>
      </c>
      <c r="B374" s="63" t="s">
        <v>583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4.47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20" t="s">
        <v>82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585</v>
      </c>
      <c r="B378" s="63" t="s">
        <v>586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9.5190000000000001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72</v>
      </c>
      <c r="Y378" s="55">
        <f>IFERROR(IF(X378="",0,CEILING((X378/$H378),1)*$H378),"")</f>
        <v>72</v>
      </c>
      <c r="Z378" s="41">
        <f>IFERROR(IF(Y378=0,"",ROUNDUP(Y378/H378,0)*0.01898),"")</f>
        <v>0.15184</v>
      </c>
      <c r="AA378" s="68" t="s">
        <v>45</v>
      </c>
      <c r="AB378" s="69" t="s">
        <v>45</v>
      </c>
      <c r="AC378" s="440" t="s">
        <v>587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76.152000000000001</v>
      </c>
      <c r="BN378" s="78">
        <f>IFERROR(Y378*I378/H378,"0")</f>
        <v>76.152000000000001</v>
      </c>
      <c r="BO378" s="78">
        <f>IFERROR(1/J378*(X378/H378),"0")</f>
        <v>0.125</v>
      </c>
      <c r="BP378" s="78">
        <f>IFERROR(1/J378*(Y378/H378),"0")</f>
        <v>0.125</v>
      </c>
    </row>
    <row r="379" spans="1:68" ht="27" hidden="1" customHeight="1" x14ac:dyDescent="0.25">
      <c r="A379" s="63" t="s">
        <v>588</v>
      </c>
      <c r="B379" s="63" t="s">
        <v>589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587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8</v>
      </c>
      <c r="Y380" s="43">
        <f>IFERROR(Y378/H378,"0")+IFERROR(Y379/H379,"0")</f>
        <v>8</v>
      </c>
      <c r="Z380" s="43">
        <f>IFERROR(IF(Z378="",0,Z378),"0")+IFERROR(IF(Z379="",0,Z379),"0")</f>
        <v>0.15184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72</v>
      </c>
      <c r="Y381" s="43">
        <f>IFERROR(SUM(Y378:Y379),"0")</f>
        <v>72</v>
      </c>
      <c r="Z381" s="42"/>
      <c r="AA381" s="67"/>
      <c r="AB381" s="67"/>
      <c r="AC381" s="67"/>
    </row>
    <row r="382" spans="1:68" ht="27.75" hidden="1" customHeight="1" x14ac:dyDescent="0.2">
      <c r="A382" s="618" t="s">
        <v>590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hidden="1" customHeight="1" x14ac:dyDescent="0.25">
      <c r="A383" s="619" t="s">
        <v>591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hidden="1" customHeight="1" x14ac:dyDescent="0.25">
      <c r="A384" s="620" t="s">
        <v>76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592</v>
      </c>
      <c r="B385" s="63" t="s">
        <v>593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5.61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hidden="1" customHeight="1" x14ac:dyDescent="0.25">
      <c r="A386" s="63" t="s">
        <v>595</v>
      </c>
      <c r="B386" s="63" t="s">
        <v>596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5.61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hidden="1" customHeight="1" x14ac:dyDescent="0.25">
      <c r="A387" s="63" t="s">
        <v>598</v>
      </c>
      <c r="B387" s="63" t="s">
        <v>599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5.61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hidden="1" customHeight="1" x14ac:dyDescent="0.25">
      <c r="A388" s="63" t="s">
        <v>601</v>
      </c>
      <c r="B388" s="63" t="s">
        <v>602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594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hidden="1" customHeight="1" x14ac:dyDescent="0.25">
      <c r="A389" s="63" t="s">
        <v>603</v>
      </c>
      <c r="B389" s="63" t="s">
        <v>604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594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hidden="1" customHeight="1" x14ac:dyDescent="0.25">
      <c r="A390" s="63" t="s">
        <v>605</v>
      </c>
      <c r="B390" s="63" t="s">
        <v>606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607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hidden="1" customHeight="1" x14ac:dyDescent="0.25">
      <c r="A391" s="63" t="s">
        <v>608</v>
      </c>
      <c r="B391" s="63" t="s">
        <v>609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hidden="1" customHeight="1" x14ac:dyDescent="0.25">
      <c r="A392" s="63" t="s">
        <v>611</v>
      </c>
      <c r="B392" s="63" t="s">
        <v>612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hidden="1" customHeight="1" x14ac:dyDescent="0.25">
      <c r="A393" s="63" t="s">
        <v>614</v>
      </c>
      <c r="B393" s="63" t="s">
        <v>615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idden="1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20" t="s">
        <v>82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hidden="1" customHeight="1" x14ac:dyDescent="0.25">
      <c r="A397" s="63" t="s">
        <v>616</v>
      </c>
      <c r="B397" s="63" t="s">
        <v>617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2.6459999999999999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618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619</v>
      </c>
      <c r="B398" s="63" t="s">
        <v>620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hidden="1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hidden="1" customHeight="1" x14ac:dyDescent="0.25">
      <c r="A401" s="619" t="s">
        <v>622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hidden="1" customHeight="1" x14ac:dyDescent="0.25">
      <c r="A402" s="620" t="s">
        <v>141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hidden="1" customHeight="1" x14ac:dyDescent="0.25">
      <c r="A403" s="63" t="s">
        <v>623</v>
      </c>
      <c r="B403" s="63" t="s">
        <v>624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hidden="1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20" t="s">
        <v>76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626</v>
      </c>
      <c r="B407" s="63" t="s">
        <v>627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5.61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628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629</v>
      </c>
      <c r="B408" s="63" t="s">
        <v>630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632</v>
      </c>
      <c r="B409" s="63" t="s">
        <v>633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635</v>
      </c>
      <c r="B410" s="63" t="s">
        <v>636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19" t="s">
        <v>637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hidden="1" customHeight="1" x14ac:dyDescent="0.25">
      <c r="A414" s="620" t="s">
        <v>76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hidden="1" customHeight="1" x14ac:dyDescent="0.25">
      <c r="A415" s="63" t="s">
        <v>638</v>
      </c>
      <c r="B415" s="63" t="s">
        <v>639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hidden="1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hidden="1" customHeight="1" x14ac:dyDescent="0.2">
      <c r="A418" s="618" t="s">
        <v>641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hidden="1" customHeight="1" x14ac:dyDescent="0.25">
      <c r="A419" s="619" t="s">
        <v>641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hidden="1" customHeight="1" x14ac:dyDescent="0.25">
      <c r="A420" s="620" t="s">
        <v>108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hidden="1" customHeight="1" x14ac:dyDescent="0.25">
      <c r="A421" s="63" t="s">
        <v>642</v>
      </c>
      <c r="B421" s="63" t="s">
        <v>643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5.64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hidden="1" customHeight="1" x14ac:dyDescent="0.25">
      <c r="A422" s="63" t="s">
        <v>644</v>
      </c>
      <c r="B422" s="63" t="s">
        <v>645</v>
      </c>
      <c r="C422" s="36">
        <v>4301011961</v>
      </c>
      <c r="D422" s="621">
        <v>4680115885271</v>
      </c>
      <c r="E422" s="621"/>
      <c r="F422" s="62">
        <v>0.88</v>
      </c>
      <c r="G422" s="37">
        <v>6</v>
      </c>
      <c r="H422" s="62">
        <v>5.28</v>
      </c>
      <c r="I422" s="62">
        <v>5.64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8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646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647</v>
      </c>
      <c r="B423" s="63" t="s">
        <v>648</v>
      </c>
      <c r="C423" s="36">
        <v>4301011376</v>
      </c>
      <c r="D423" s="621">
        <v>4680115885226</v>
      </c>
      <c r="E423" s="621"/>
      <c r="F423" s="62">
        <v>0.88</v>
      </c>
      <c r="G423" s="37">
        <v>6</v>
      </c>
      <c r="H423" s="62">
        <v>5.28</v>
      </c>
      <c r="I423" s="62">
        <v>5.64</v>
      </c>
      <c r="J423" s="37">
        <v>104</v>
      </c>
      <c r="K423" s="37" t="s">
        <v>113</v>
      </c>
      <c r="L423" s="37" t="s">
        <v>45</v>
      </c>
      <c r="M423" s="38" t="s">
        <v>86</v>
      </c>
      <c r="N423" s="38"/>
      <c r="O423" s="37">
        <v>60</v>
      </c>
      <c r="P423" s="8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42.24</v>
      </c>
      <c r="Y423" s="55">
        <f t="shared" si="42"/>
        <v>42.24</v>
      </c>
      <c r="Z423" s="41">
        <f t="shared" si="43"/>
        <v>9.5680000000000001E-2</v>
      </c>
      <c r="AA423" s="68" t="s">
        <v>45</v>
      </c>
      <c r="AB423" s="69" t="s">
        <v>45</v>
      </c>
      <c r="AC423" s="482" t="s">
        <v>649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45.12</v>
      </c>
      <c r="BN423" s="78">
        <f t="shared" si="45"/>
        <v>45.12</v>
      </c>
      <c r="BO423" s="78">
        <f t="shared" si="46"/>
        <v>7.6923076923076927E-2</v>
      </c>
      <c r="BP423" s="78">
        <f t="shared" si="47"/>
        <v>7.6923076923076927E-2</v>
      </c>
    </row>
    <row r="424" spans="1:68" ht="27" hidden="1" customHeight="1" x14ac:dyDescent="0.25">
      <c r="A424" s="63" t="s">
        <v>650</v>
      </c>
      <c r="B424" s="63" t="s">
        <v>651</v>
      </c>
      <c r="C424" s="36">
        <v>4301012145</v>
      </c>
      <c r="D424" s="621">
        <v>4607091383522</v>
      </c>
      <c r="E424" s="621"/>
      <c r="F424" s="62">
        <v>0.88</v>
      </c>
      <c r="G424" s="37">
        <v>6</v>
      </c>
      <c r="H424" s="62">
        <v>5.28</v>
      </c>
      <c r="I424" s="62">
        <v>5.64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hidden="1" customHeight="1" x14ac:dyDescent="0.25">
      <c r="A425" s="63" t="s">
        <v>653</v>
      </c>
      <c r="B425" s="63" t="s">
        <v>654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5.64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655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656</v>
      </c>
      <c r="B426" s="63" t="s">
        <v>657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5.64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84.48</v>
      </c>
      <c r="Y426" s="55">
        <f t="shared" si="42"/>
        <v>84.48</v>
      </c>
      <c r="Z426" s="41">
        <f t="shared" si="43"/>
        <v>0.19136</v>
      </c>
      <c r="AA426" s="68" t="s">
        <v>45</v>
      </c>
      <c r="AB426" s="69" t="s">
        <v>45</v>
      </c>
      <c r="AC426" s="488" t="s">
        <v>658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90.24</v>
      </c>
      <c r="BN426" s="78">
        <f t="shared" si="45"/>
        <v>90.24</v>
      </c>
      <c r="BO426" s="78">
        <f t="shared" si="46"/>
        <v>0.15384615384615385</v>
      </c>
      <c r="BP426" s="78">
        <f t="shared" si="47"/>
        <v>0.15384615384615385</v>
      </c>
    </row>
    <row r="427" spans="1:68" ht="27" hidden="1" customHeight="1" x14ac:dyDescent="0.25">
      <c r="A427" s="63" t="s">
        <v>659</v>
      </c>
      <c r="B427" s="63" t="s">
        <v>660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hidden="1" customHeight="1" x14ac:dyDescent="0.25">
      <c r="A428" s="63" t="s">
        <v>661</v>
      </c>
      <c r="B428" s="63" t="s">
        <v>662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6.93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hidden="1" customHeight="1" x14ac:dyDescent="0.25">
      <c r="A429" s="63" t="s">
        <v>663</v>
      </c>
      <c r="B429" s="63" t="s">
        <v>664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646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hidden="1" customHeight="1" x14ac:dyDescent="0.25">
      <c r="A430" s="63" t="s">
        <v>665</v>
      </c>
      <c r="B430" s="63" t="s">
        <v>666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hidden="1" customHeight="1" x14ac:dyDescent="0.25">
      <c r="A431" s="63" t="s">
        <v>668</v>
      </c>
      <c r="B431" s="63" t="s">
        <v>669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6.93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658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24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0.28704000000000002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126.72</v>
      </c>
      <c r="Y433" s="43">
        <f>IFERROR(SUM(Y421:Y431),"0")</f>
        <v>126.72</v>
      </c>
      <c r="Z433" s="42"/>
      <c r="AA433" s="67"/>
      <c r="AB433" s="67"/>
      <c r="AC433" s="67"/>
    </row>
    <row r="434" spans="1:68" ht="14.25" hidden="1" customHeight="1" x14ac:dyDescent="0.25">
      <c r="A434" s="620" t="s">
        <v>141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hidden="1" customHeight="1" x14ac:dyDescent="0.25">
      <c r="A435" s="63" t="s">
        <v>670</v>
      </c>
      <c r="B435" s="63" t="s">
        <v>671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5.64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hidden="1" customHeight="1" x14ac:dyDescent="0.25">
      <c r="A436" s="63" t="s">
        <v>673</v>
      </c>
      <c r="B436" s="63" t="s">
        <v>674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675</v>
      </c>
      <c r="B437" s="63" t="s">
        <v>676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6.93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hidden="1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hidden="1" customHeight="1" x14ac:dyDescent="0.25">
      <c r="A440" s="620" t="s">
        <v>76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677</v>
      </c>
      <c r="B441" s="63" t="s">
        <v>678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5.64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42.24</v>
      </c>
      <c r="Y441" s="55">
        <f t="shared" ref="Y441:Y446" si="48">IFERROR(IF(X441="",0,CEILING((X441/$H441),1)*$H441),"")</f>
        <v>42.24</v>
      </c>
      <c r="Z441" s="41">
        <f>IFERROR(IF(Y441=0,"",ROUNDUP(Y441/H441,0)*0.01196),"")</f>
        <v>9.5680000000000001E-2</v>
      </c>
      <c r="AA441" s="68" t="s">
        <v>45</v>
      </c>
      <c r="AB441" s="69" t="s">
        <v>45</v>
      </c>
      <c r="AC441" s="506" t="s">
        <v>679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45.12</v>
      </c>
      <c r="BN441" s="78">
        <f t="shared" ref="BN441:BN446" si="50">IFERROR(Y441*I441/H441,"0")</f>
        <v>45.12</v>
      </c>
      <c r="BO441" s="78">
        <f t="shared" ref="BO441:BO446" si="51">IFERROR(1/J441*(X441/H441),"0")</f>
        <v>7.6923076923076927E-2</v>
      </c>
      <c r="BP441" s="78">
        <f t="shared" ref="BP441:BP446" si="52">IFERROR(1/J441*(Y441/H441),"0")</f>
        <v>7.6923076923076927E-2</v>
      </c>
    </row>
    <row r="442" spans="1:68" ht="27" hidden="1" customHeight="1" x14ac:dyDescent="0.25">
      <c r="A442" s="63" t="s">
        <v>680</v>
      </c>
      <c r="B442" s="63" t="s">
        <v>681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5.64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682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hidden="1" customHeight="1" x14ac:dyDescent="0.25">
      <c r="A443" s="63" t="s">
        <v>683</v>
      </c>
      <c r="B443" s="63" t="s">
        <v>684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5.64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hidden="1" customHeight="1" x14ac:dyDescent="0.25">
      <c r="A444" s="63" t="s">
        <v>686</v>
      </c>
      <c r="B444" s="63" t="s">
        <v>687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6.93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679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hidden="1" customHeight="1" x14ac:dyDescent="0.25">
      <c r="A445" s="63" t="s">
        <v>688</v>
      </c>
      <c r="B445" s="63" t="s">
        <v>689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6.69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682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hidden="1" customHeight="1" x14ac:dyDescent="0.25">
      <c r="A446" s="63" t="s">
        <v>690</v>
      </c>
      <c r="B446" s="63" t="s">
        <v>691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6.69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685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8</v>
      </c>
      <c r="Y447" s="43">
        <f>IFERROR(Y441/H441,"0")+IFERROR(Y442/H442,"0")+IFERROR(Y443/H443,"0")+IFERROR(Y444/H444,"0")+IFERROR(Y445/H445,"0")+IFERROR(Y446/H446,"0")</f>
        <v>8</v>
      </c>
      <c r="Z447" s="43">
        <f>IFERROR(IF(Z441="",0,Z441),"0")+IFERROR(IF(Z442="",0,Z442),"0")+IFERROR(IF(Z443="",0,Z443),"0")+IFERROR(IF(Z444="",0,Z444),"0")+IFERROR(IF(Z445="",0,Z445),"0")+IFERROR(IF(Z446="",0,Z446),"0")</f>
        <v>9.5680000000000001E-2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42.24</v>
      </c>
      <c r="Y448" s="43">
        <f>IFERROR(SUM(Y441:Y446),"0")</f>
        <v>42.24</v>
      </c>
      <c r="Z448" s="42"/>
      <c r="AA448" s="67"/>
      <c r="AB448" s="67"/>
      <c r="AC448" s="67"/>
    </row>
    <row r="449" spans="1:68" ht="14.25" hidden="1" customHeight="1" x14ac:dyDescent="0.25">
      <c r="A449" s="620" t="s">
        <v>82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hidden="1" customHeight="1" x14ac:dyDescent="0.25">
      <c r="A450" s="63" t="s">
        <v>692</v>
      </c>
      <c r="B450" s="63" t="s">
        <v>693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8.3010000000000002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695</v>
      </c>
      <c r="B451" s="63" t="s">
        <v>696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8.3010000000000002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698</v>
      </c>
      <c r="B452" s="63" t="s">
        <v>699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hidden="1" customHeight="1" x14ac:dyDescent="0.2">
      <c r="A455" s="618" t="s">
        <v>701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hidden="1" customHeight="1" x14ac:dyDescent="0.25">
      <c r="A456" s="619" t="s">
        <v>701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hidden="1" customHeight="1" x14ac:dyDescent="0.25">
      <c r="A457" s="620" t="s">
        <v>108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hidden="1" customHeight="1" x14ac:dyDescent="0.25">
      <c r="A458" s="63" t="s">
        <v>702</v>
      </c>
      <c r="B458" s="63" t="s">
        <v>703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11.234999999999999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705</v>
      </c>
      <c r="B459" s="63" t="s">
        <v>706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12.435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708</v>
      </c>
      <c r="B460" s="63" t="s">
        <v>709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12.435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711</v>
      </c>
      <c r="B461" s="63" t="s">
        <v>712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4.21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20" t="s">
        <v>141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hidden="1" customHeight="1" x14ac:dyDescent="0.25">
      <c r="A465" s="63" t="s">
        <v>713</v>
      </c>
      <c r="B465" s="63" t="s">
        <v>714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12.435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716</v>
      </c>
      <c r="B466" s="63" t="s">
        <v>717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11.234999999999999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719</v>
      </c>
      <c r="B467" s="63" t="s">
        <v>720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4.21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0" t="s">
        <v>76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hidden="1" customHeight="1" x14ac:dyDescent="0.25">
      <c r="A471" s="63" t="s">
        <v>722</v>
      </c>
      <c r="B471" s="63" t="s">
        <v>723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4.47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725</v>
      </c>
      <c r="B472" s="63" t="s">
        <v>726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4.47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20" t="s">
        <v>82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hidden="1" customHeight="1" x14ac:dyDescent="0.25">
      <c r="A476" s="63" t="s">
        <v>728</v>
      </c>
      <c r="B476" s="63" t="s">
        <v>729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9.5190000000000001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hidden="1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20" t="s">
        <v>171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hidden="1" customHeight="1" x14ac:dyDescent="0.25">
      <c r="A480" s="63" t="s">
        <v>731</v>
      </c>
      <c r="B480" s="63" t="s">
        <v>732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9.4350000000000005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734</v>
      </c>
      <c r="B481" s="63" t="s">
        <v>735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9.4350000000000005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19" t="s">
        <v>737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hidden="1" customHeight="1" x14ac:dyDescent="0.25">
      <c r="A485" s="620" t="s">
        <v>141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hidden="1" customHeight="1" x14ac:dyDescent="0.25">
      <c r="A486" s="63" t="s">
        <v>738</v>
      </c>
      <c r="B486" s="63" t="s">
        <v>739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12.435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891.36000000000013</v>
      </c>
      <c r="Y489" s="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891.36000000000013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938.90400000000011</v>
      </c>
      <c r="Y490" s="43">
        <f>IFERROR(SUM(BN22:BN486),"0")</f>
        <v>938.90400000000011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2</v>
      </c>
      <c r="Y491" s="44">
        <f>ROUNDUP(SUM(BP22:BP486),0)</f>
        <v>2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988.90400000000011</v>
      </c>
      <c r="Y492" s="43">
        <f>GrossWeightTotalR+PalletQtyTotalR*25</f>
        <v>988.90400000000011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104</v>
      </c>
      <c r="Y493" s="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104</v>
      </c>
      <c r="Z493" s="42"/>
      <c r="AA493" s="67"/>
      <c r="AB493" s="67"/>
      <c r="AC493" s="67"/>
    </row>
    <row r="494" spans="1:68" ht="14.25" hidden="1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1.7935999999999999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867" t="s">
        <v>106</v>
      </c>
      <c r="D496" s="867" t="s">
        <v>106</v>
      </c>
      <c r="E496" s="867" t="s">
        <v>106</v>
      </c>
      <c r="F496" s="867" t="s">
        <v>106</v>
      </c>
      <c r="G496" s="867" t="s">
        <v>106</v>
      </c>
      <c r="H496" s="867" t="s">
        <v>106</v>
      </c>
      <c r="I496" s="867" t="s">
        <v>262</v>
      </c>
      <c r="J496" s="867" t="s">
        <v>262</v>
      </c>
      <c r="K496" s="867" t="s">
        <v>262</v>
      </c>
      <c r="L496" s="867" t="s">
        <v>262</v>
      </c>
      <c r="M496" s="867" t="s">
        <v>262</v>
      </c>
      <c r="N496" s="868"/>
      <c r="O496" s="867" t="s">
        <v>262</v>
      </c>
      <c r="P496" s="867" t="s">
        <v>262</v>
      </c>
      <c r="Q496" s="867" t="s">
        <v>262</v>
      </c>
      <c r="R496" s="867" t="s">
        <v>262</v>
      </c>
      <c r="S496" s="867" t="s">
        <v>539</v>
      </c>
      <c r="T496" s="867" t="s">
        <v>539</v>
      </c>
      <c r="U496" s="867" t="s">
        <v>590</v>
      </c>
      <c r="V496" s="867" t="s">
        <v>590</v>
      </c>
      <c r="W496" s="867" t="s">
        <v>590</v>
      </c>
      <c r="X496" s="85" t="s">
        <v>641</v>
      </c>
      <c r="Y496" s="867" t="s">
        <v>701</v>
      </c>
      <c r="Z496" s="867" t="s">
        <v>701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75</v>
      </c>
      <c r="C497" s="867" t="s">
        <v>107</v>
      </c>
      <c r="D497" s="867" t="s">
        <v>122</v>
      </c>
      <c r="E497" s="867" t="s">
        <v>178</v>
      </c>
      <c r="F497" s="867" t="s">
        <v>197</v>
      </c>
      <c r="G497" s="867" t="s">
        <v>227</v>
      </c>
      <c r="H497" s="867" t="s">
        <v>106</v>
      </c>
      <c r="I497" s="867" t="s">
        <v>263</v>
      </c>
      <c r="J497" s="867" t="s">
        <v>303</v>
      </c>
      <c r="K497" s="867" t="s">
        <v>363</v>
      </c>
      <c r="L497" s="867" t="s">
        <v>405</v>
      </c>
      <c r="M497" s="867" t="s">
        <v>421</v>
      </c>
      <c r="N497" s="1"/>
      <c r="O497" s="867" t="s">
        <v>432</v>
      </c>
      <c r="P497" s="867" t="s">
        <v>441</v>
      </c>
      <c r="Q497" s="867" t="s">
        <v>451</v>
      </c>
      <c r="R497" s="867" t="s">
        <v>529</v>
      </c>
      <c r="S497" s="867" t="s">
        <v>540</v>
      </c>
      <c r="T497" s="867" t="s">
        <v>574</v>
      </c>
      <c r="U497" s="867" t="s">
        <v>591</v>
      </c>
      <c r="V497" s="867" t="s">
        <v>622</v>
      </c>
      <c r="W497" s="867" t="s">
        <v>637</v>
      </c>
      <c r="X497" s="867" t="s">
        <v>641</v>
      </c>
      <c r="Y497" s="867" t="s">
        <v>701</v>
      </c>
      <c r="Z497" s="867" t="s">
        <v>737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0</v>
      </c>
      <c r="E499" s="52">
        <f>IFERROR(Y86*1,"0")+IFERROR(Y87*1,"0")+IFERROR(Y88*1,"0")+IFERROR(Y92*1,"0")+IFERROR(Y93*1,"0")+IFERROR(Y94*1,"0")+IFERROR(Y95*1,"0")</f>
        <v>64.8</v>
      </c>
      <c r="F499" s="52">
        <f>IFERROR(Y100*1,"0")+IFERROR(Y101*1,"0")+IFERROR(Y102*1,"0")+IFERROR(Y103*1,"0")+IFERROR(Y107*1,"0")+IFERROR(Y108*1,"0")+IFERROR(Y109*1,"0")+IFERROR(Y113*1,"0")+IFERROR(Y114*1,"0")+IFERROR(Y115*1,"0")+IFERROR(Y116*1,"0")+IFERROR(Y120*1,"0")</f>
        <v>151.19999999999999</v>
      </c>
      <c r="G499" s="52">
        <f>IFERROR(Y125*1,"0")+IFERROR(Y126*1,"0")+IFERROR(Y130*1,"0")+IFERROR(Y131*1,"0")+IFERROR(Y135*1,"0")+IFERROR(Y136*1,"0")</f>
        <v>0</v>
      </c>
      <c r="H499" s="52">
        <f>IFERROR(Y141*1,"0")+IFERROR(Y142*1,"0")+IFERROR(Y143*1,"0")+IFERROR(Y147*1,"0")+IFERROR(Y148*1,"0")+IFERROR(Y149*1,"0")+IFERROR(Y153*1,"0")</f>
        <v>0</v>
      </c>
      <c r="I499" s="52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129.6</v>
      </c>
      <c r="R499" s="52">
        <f>IFERROR(Y335*1,"0")+IFERROR(Y336*1,"0")+IFERROR(Y337*1,"0")</f>
        <v>64.8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240</v>
      </c>
      <c r="T499" s="52">
        <f>IFERROR(Y368*1,"0")+IFERROR(Y369*1,"0")+IFERROR(Y373*1,"0")+IFERROR(Y374*1,"0")+IFERROR(Y378*1,"0")+IFERROR(Y379*1,"0")</f>
        <v>72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168.96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4,00"/>
        <filter val="120,00"/>
        <filter val="126,72"/>
        <filter val="129,60"/>
        <filter val="16,00"/>
        <filter val="2"/>
        <filter val="24,00"/>
        <filter val="42,24"/>
        <filter val="62,40"/>
        <filter val="64,80"/>
        <filter val="67,20"/>
        <filter val="72,00"/>
        <filter val="8,00"/>
        <filter val="84,48"/>
        <filter val="86,40"/>
        <filter val="891,36"/>
        <filter val="938,90"/>
        <filter val="988,90"/>
      </filters>
    </filterColumn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3" t="s">
        <v>742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744</v>
      </c>
      <c r="C6" s="53" t="s">
        <v>745</v>
      </c>
      <c r="D6" s="53" t="s">
        <v>746</v>
      </c>
      <c r="E6" s="53" t="s">
        <v>45</v>
      </c>
    </row>
    <row r="7" spans="2:8" x14ac:dyDescent="0.2">
      <c r="B7" s="53" t="s">
        <v>747</v>
      </c>
      <c r="C7" s="53" t="s">
        <v>748</v>
      </c>
      <c r="D7" s="53" t="s">
        <v>749</v>
      </c>
      <c r="E7" s="53" t="s">
        <v>45</v>
      </c>
    </row>
    <row r="8" spans="2:8" x14ac:dyDescent="0.2">
      <c r="B8" s="53" t="s">
        <v>750</v>
      </c>
      <c r="C8" s="53" t="s">
        <v>751</v>
      </c>
      <c r="D8" s="53" t="s">
        <v>752</v>
      </c>
      <c r="E8" s="53" t="s">
        <v>45</v>
      </c>
    </row>
    <row r="9" spans="2:8" x14ac:dyDescent="0.2">
      <c r="B9" s="53" t="s">
        <v>753</v>
      </c>
      <c r="C9" s="53" t="s">
        <v>754</v>
      </c>
      <c r="D9" s="53" t="s">
        <v>755</v>
      </c>
      <c r="E9" s="53" t="s">
        <v>45</v>
      </c>
    </row>
    <row r="11" spans="2:8" x14ac:dyDescent="0.2">
      <c r="B11" s="53" t="s">
        <v>756</v>
      </c>
      <c r="C11" s="53" t="s">
        <v>745</v>
      </c>
      <c r="D11" s="53" t="s">
        <v>45</v>
      </c>
      <c r="E11" s="53" t="s">
        <v>45</v>
      </c>
    </row>
    <row r="13" spans="2:8" x14ac:dyDescent="0.2">
      <c r="B13" s="53" t="s">
        <v>757</v>
      </c>
      <c r="C13" s="53" t="s">
        <v>748</v>
      </c>
      <c r="D13" s="53" t="s">
        <v>45</v>
      </c>
      <c r="E13" s="53" t="s">
        <v>45</v>
      </c>
    </row>
    <row r="15" spans="2:8" x14ac:dyDescent="0.2">
      <c r="B15" s="53" t="s">
        <v>758</v>
      </c>
      <c r="C15" s="53" t="s">
        <v>751</v>
      </c>
      <c r="D15" s="53" t="s">
        <v>45</v>
      </c>
      <c r="E15" s="53" t="s">
        <v>45</v>
      </c>
    </row>
    <row r="17" spans="2:5" x14ac:dyDescent="0.2">
      <c r="B17" s="53" t="s">
        <v>759</v>
      </c>
      <c r="C17" s="53" t="s">
        <v>754</v>
      </c>
      <c r="D17" s="53" t="s">
        <v>45</v>
      </c>
      <c r="E17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  <row r="24" spans="2:5" x14ac:dyDescent="0.2">
      <c r="B24" s="53" t="s">
        <v>765</v>
      </c>
      <c r="C24" s="53" t="s">
        <v>45</v>
      </c>
      <c r="D24" s="53" t="s">
        <v>45</v>
      </c>
      <c r="E24" s="53" t="s">
        <v>45</v>
      </c>
    </row>
    <row r="25" spans="2:5" x14ac:dyDescent="0.2">
      <c r="B25" s="53" t="s">
        <v>766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767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768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769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770</v>
      </c>
      <c r="C29" s="53" t="s">
        <v>45</v>
      </c>
      <c r="D29" s="53" t="s">
        <v>45</v>
      </c>
      <c r="E29" s="53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