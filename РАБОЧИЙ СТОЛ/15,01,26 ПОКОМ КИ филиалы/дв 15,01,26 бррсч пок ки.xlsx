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5,01,26 ПОКОМ КИ филиалы\"/>
    </mc:Choice>
  </mc:AlternateContent>
  <xr:revisionPtr revIDLastSave="0" documentId="13_ncr:1_{7381E98C-E20A-4EFE-B2E0-A3BB353B5FC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Sheet!$A$3:$AH$97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H94" i="1" l="1"/>
  <c r="AH92" i="1"/>
  <c r="AH90" i="1"/>
  <c r="AH88" i="1"/>
  <c r="AH86" i="1"/>
  <c r="AH84" i="1"/>
  <c r="AH68" i="1"/>
  <c r="AH66" i="1"/>
  <c r="AH62" i="1"/>
  <c r="AH60" i="1"/>
  <c r="AH32" i="1"/>
  <c r="AH30" i="1"/>
  <c r="AH24" i="1"/>
  <c r="AH20" i="1"/>
  <c r="AH18" i="1"/>
  <c r="AH16" i="1"/>
  <c r="AH14" i="1"/>
  <c r="R7" i="1"/>
  <c r="R8" i="1"/>
  <c r="S8" i="1" s="1"/>
  <c r="AH8" i="1" s="1"/>
  <c r="R9" i="1"/>
  <c r="W9" i="1" s="1"/>
  <c r="R10" i="1"/>
  <c r="S10" i="1" s="1"/>
  <c r="AH10" i="1" s="1"/>
  <c r="R11" i="1"/>
  <c r="R12" i="1"/>
  <c r="S12" i="1" s="1"/>
  <c r="AH12" i="1" s="1"/>
  <c r="R13" i="1"/>
  <c r="R14" i="1"/>
  <c r="R15" i="1"/>
  <c r="R16" i="1"/>
  <c r="R17" i="1"/>
  <c r="R18" i="1"/>
  <c r="R19" i="1"/>
  <c r="R20" i="1"/>
  <c r="R21" i="1"/>
  <c r="R22" i="1"/>
  <c r="S22" i="1" s="1"/>
  <c r="AH22" i="1" s="1"/>
  <c r="R23" i="1"/>
  <c r="R24" i="1"/>
  <c r="R25" i="1"/>
  <c r="R26" i="1"/>
  <c r="W26" i="1" s="1"/>
  <c r="R27" i="1"/>
  <c r="R28" i="1"/>
  <c r="R29" i="1"/>
  <c r="W29" i="1" s="1"/>
  <c r="R30" i="1"/>
  <c r="R31" i="1"/>
  <c r="S31" i="1" s="1"/>
  <c r="R32" i="1"/>
  <c r="R33" i="1"/>
  <c r="R34" i="1"/>
  <c r="S34" i="1" s="1"/>
  <c r="AH34" i="1" s="1"/>
  <c r="R35" i="1"/>
  <c r="R36" i="1"/>
  <c r="S36" i="1" s="1"/>
  <c r="AH36" i="1" s="1"/>
  <c r="R37" i="1"/>
  <c r="W37" i="1" s="1"/>
  <c r="R38" i="1"/>
  <c r="S38" i="1" s="1"/>
  <c r="R39" i="1"/>
  <c r="R40" i="1"/>
  <c r="R41" i="1"/>
  <c r="R42" i="1"/>
  <c r="R43" i="1"/>
  <c r="R44" i="1"/>
  <c r="R45" i="1"/>
  <c r="R46" i="1"/>
  <c r="R47" i="1"/>
  <c r="R48" i="1"/>
  <c r="R49" i="1"/>
  <c r="R50" i="1"/>
  <c r="S50" i="1" s="1"/>
  <c r="R51" i="1"/>
  <c r="W51" i="1" s="1"/>
  <c r="R52" i="1"/>
  <c r="S52" i="1" s="1"/>
  <c r="AH52" i="1" s="1"/>
  <c r="R53" i="1"/>
  <c r="W53" i="1" s="1"/>
  <c r="R54" i="1"/>
  <c r="R55" i="1"/>
  <c r="R56" i="1"/>
  <c r="W56" i="1" s="1"/>
  <c r="R57" i="1"/>
  <c r="R58" i="1"/>
  <c r="S58" i="1" s="1"/>
  <c r="AH58" i="1" s="1"/>
  <c r="R59" i="1"/>
  <c r="R60" i="1"/>
  <c r="R61" i="1"/>
  <c r="R62" i="1"/>
  <c r="R63" i="1"/>
  <c r="R64" i="1"/>
  <c r="S64" i="1" s="1"/>
  <c r="AH64" i="1" s="1"/>
  <c r="R65" i="1"/>
  <c r="R66" i="1"/>
  <c r="R67" i="1"/>
  <c r="R68" i="1"/>
  <c r="R69" i="1"/>
  <c r="W69" i="1" s="1"/>
  <c r="R70" i="1"/>
  <c r="R71" i="1"/>
  <c r="R72" i="1"/>
  <c r="R73" i="1"/>
  <c r="W73" i="1" s="1"/>
  <c r="R74" i="1"/>
  <c r="R75" i="1"/>
  <c r="W75" i="1" s="1"/>
  <c r="R76" i="1"/>
  <c r="R77" i="1"/>
  <c r="W77" i="1" s="1"/>
  <c r="R78" i="1"/>
  <c r="W78" i="1" s="1"/>
  <c r="R79" i="1"/>
  <c r="R80" i="1"/>
  <c r="R81" i="1"/>
  <c r="R82" i="1"/>
  <c r="R83" i="1"/>
  <c r="W83" i="1" s="1"/>
  <c r="R84" i="1"/>
  <c r="R85" i="1"/>
  <c r="R86" i="1"/>
  <c r="R87" i="1"/>
  <c r="R88" i="1"/>
  <c r="R89" i="1"/>
  <c r="R90" i="1"/>
  <c r="R91" i="1"/>
  <c r="R92" i="1"/>
  <c r="X92" i="1" s="1"/>
  <c r="R93" i="1"/>
  <c r="R94" i="1"/>
  <c r="X94" i="1" s="1"/>
  <c r="R95" i="1"/>
  <c r="R96" i="1"/>
  <c r="X96" i="1" s="1"/>
  <c r="R97" i="1"/>
  <c r="R6" i="1"/>
  <c r="V5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F5" i="1"/>
  <c r="AE5" i="1"/>
  <c r="AD5" i="1"/>
  <c r="AC5" i="1"/>
  <c r="AB5" i="1"/>
  <c r="AA5" i="1"/>
  <c r="Z5" i="1"/>
  <c r="Y5" i="1"/>
  <c r="T5" i="1"/>
  <c r="Q5" i="1"/>
  <c r="P5" i="1"/>
  <c r="O5" i="1"/>
  <c r="N5" i="1"/>
  <c r="M5" i="1"/>
  <c r="K5" i="1"/>
  <c r="F5" i="1"/>
  <c r="E5" i="1"/>
  <c r="S74" i="1" l="1"/>
  <c r="AH74" i="1" s="1"/>
  <c r="S96" i="1"/>
  <c r="AH96" i="1" s="1"/>
  <c r="X97" i="1"/>
  <c r="AH97" i="1"/>
  <c r="X95" i="1"/>
  <c r="AH95" i="1"/>
  <c r="X93" i="1"/>
  <c r="S93" i="1"/>
  <c r="AH93" i="1" s="1"/>
  <c r="S91" i="1"/>
  <c r="AH91" i="1" s="1"/>
  <c r="S89" i="1"/>
  <c r="AH89" i="1" s="1"/>
  <c r="AH87" i="1"/>
  <c r="S85" i="1"/>
  <c r="AH85" i="1" s="1"/>
  <c r="W67" i="1"/>
  <c r="AH67" i="1"/>
  <c r="S65" i="1"/>
  <c r="AH65" i="1" s="1"/>
  <c r="S63" i="1"/>
  <c r="AH63" i="1" s="1"/>
  <c r="W61" i="1"/>
  <c r="AH61" i="1"/>
  <c r="AH59" i="1"/>
  <c r="W57" i="1"/>
  <c r="AH57" i="1"/>
  <c r="W43" i="1"/>
  <c r="AH35" i="1"/>
  <c r="AH33" i="1"/>
  <c r="AH31" i="1"/>
  <c r="S25" i="1"/>
  <c r="AH25" i="1" s="1"/>
  <c r="W23" i="1"/>
  <c r="AH23" i="1"/>
  <c r="S21" i="1"/>
  <c r="AH21" i="1" s="1"/>
  <c r="W19" i="1"/>
  <c r="AH19" i="1"/>
  <c r="S17" i="1"/>
  <c r="AH17" i="1" s="1"/>
  <c r="S15" i="1"/>
  <c r="AH15" i="1" s="1"/>
  <c r="S13" i="1"/>
  <c r="AH13" i="1" s="1"/>
  <c r="S11" i="1"/>
  <c r="AH11" i="1" s="1"/>
  <c r="S27" i="1"/>
  <c r="AH27" i="1" s="1"/>
  <c r="S41" i="1"/>
  <c r="AH41" i="1" s="1"/>
  <c r="S45" i="1"/>
  <c r="AH45" i="1" s="1"/>
  <c r="S49" i="1"/>
  <c r="AH49" i="1" s="1"/>
  <c r="S55" i="1"/>
  <c r="AH55" i="1" s="1"/>
  <c r="S81" i="1"/>
  <c r="AH81" i="1" s="1"/>
  <c r="S7" i="1"/>
  <c r="AH7" i="1" s="1"/>
  <c r="AH39" i="1"/>
  <c r="AH43" i="1"/>
  <c r="AH47" i="1"/>
  <c r="S71" i="1"/>
  <c r="AH71" i="1" s="1"/>
  <c r="AH79" i="1"/>
  <c r="S6" i="1"/>
  <c r="S28" i="1"/>
  <c r="AH28" i="1" s="1"/>
  <c r="AH38" i="1"/>
  <c r="S40" i="1"/>
  <c r="AH40" i="1" s="1"/>
  <c r="AH42" i="1"/>
  <c r="AH44" i="1"/>
  <c r="S46" i="1"/>
  <c r="AH46" i="1" s="1"/>
  <c r="AH48" i="1"/>
  <c r="AH50" i="1"/>
  <c r="S54" i="1"/>
  <c r="AH54" i="1" s="1"/>
  <c r="S70" i="1"/>
  <c r="AH70" i="1" s="1"/>
  <c r="AH72" i="1"/>
  <c r="AH76" i="1"/>
  <c r="S80" i="1"/>
  <c r="AH80" i="1" s="1"/>
  <c r="AH82" i="1"/>
  <c r="W90" i="1"/>
  <c r="W88" i="1"/>
  <c r="W86" i="1"/>
  <c r="W84" i="1"/>
  <c r="W74" i="1"/>
  <c r="W68" i="1"/>
  <c r="W66" i="1"/>
  <c r="W64" i="1"/>
  <c r="W62" i="1"/>
  <c r="W60" i="1"/>
  <c r="W58" i="1"/>
  <c r="W52" i="1"/>
  <c r="W36" i="1"/>
  <c r="W34" i="1"/>
  <c r="W32" i="1"/>
  <c r="W30" i="1"/>
  <c r="W24" i="1"/>
  <c r="W22" i="1"/>
  <c r="W20" i="1"/>
  <c r="W18" i="1"/>
  <c r="W16" i="1"/>
  <c r="W14" i="1"/>
  <c r="W12" i="1"/>
  <c r="W10" i="1"/>
  <c r="R5" i="1"/>
  <c r="W8" i="1"/>
  <c r="X6" i="1"/>
  <c r="W94" i="1"/>
  <c r="W92" i="1"/>
  <c r="X90" i="1"/>
  <c r="X88" i="1"/>
  <c r="X86" i="1"/>
  <c r="X84" i="1"/>
  <c r="X82" i="1"/>
  <c r="X80" i="1"/>
  <c r="X78" i="1"/>
  <c r="X76" i="1"/>
  <c r="X74" i="1"/>
  <c r="X72" i="1"/>
  <c r="X70" i="1"/>
  <c r="X68" i="1"/>
  <c r="X66" i="1"/>
  <c r="X64" i="1"/>
  <c r="X62" i="1"/>
  <c r="X60" i="1"/>
  <c r="X58" i="1"/>
  <c r="X56" i="1"/>
  <c r="X54" i="1"/>
  <c r="X52" i="1"/>
  <c r="X50" i="1"/>
  <c r="X48" i="1"/>
  <c r="X46" i="1"/>
  <c r="X44" i="1"/>
  <c r="X42" i="1"/>
  <c r="X40" i="1"/>
  <c r="X38" i="1"/>
  <c r="X36" i="1"/>
  <c r="X34" i="1"/>
  <c r="X32" i="1"/>
  <c r="X30" i="1"/>
  <c r="X28" i="1"/>
  <c r="X26" i="1"/>
  <c r="X24" i="1"/>
  <c r="X22" i="1"/>
  <c r="X20" i="1"/>
  <c r="X18" i="1"/>
  <c r="X16" i="1"/>
  <c r="X14" i="1"/>
  <c r="X12" i="1"/>
  <c r="X10" i="1"/>
  <c r="X8" i="1"/>
  <c r="X91" i="1"/>
  <c r="X89" i="1"/>
  <c r="X87" i="1"/>
  <c r="X85" i="1"/>
  <c r="X83" i="1"/>
  <c r="X81" i="1"/>
  <c r="X79" i="1"/>
  <c r="X77" i="1"/>
  <c r="X75" i="1"/>
  <c r="X73" i="1"/>
  <c r="X71" i="1"/>
  <c r="X69" i="1"/>
  <c r="X67" i="1"/>
  <c r="X65" i="1"/>
  <c r="X63" i="1"/>
  <c r="X61" i="1"/>
  <c r="X59" i="1"/>
  <c r="X57" i="1"/>
  <c r="X55" i="1"/>
  <c r="X53" i="1"/>
  <c r="X51" i="1"/>
  <c r="X49" i="1"/>
  <c r="X47" i="1"/>
  <c r="X45" i="1"/>
  <c r="X43" i="1"/>
  <c r="X41" i="1"/>
  <c r="X39" i="1"/>
  <c r="X37" i="1"/>
  <c r="X35" i="1"/>
  <c r="X33" i="1"/>
  <c r="X31" i="1"/>
  <c r="X29" i="1"/>
  <c r="X27" i="1"/>
  <c r="X25" i="1"/>
  <c r="X23" i="1"/>
  <c r="X21" i="1"/>
  <c r="X19" i="1"/>
  <c r="X17" i="1"/>
  <c r="X15" i="1"/>
  <c r="X13" i="1"/>
  <c r="X11" i="1"/>
  <c r="X9" i="1"/>
  <c r="X7" i="1"/>
  <c r="L5" i="1"/>
  <c r="W96" i="1" l="1"/>
  <c r="W93" i="1"/>
  <c r="W7" i="1"/>
  <c r="W11" i="1"/>
  <c r="W13" i="1"/>
  <c r="W15" i="1"/>
  <c r="W17" i="1"/>
  <c r="W21" i="1"/>
  <c r="W25" i="1"/>
  <c r="W55" i="1"/>
  <c r="W59" i="1"/>
  <c r="W63" i="1"/>
  <c r="W65" i="1"/>
  <c r="AH6" i="1"/>
  <c r="AH5" i="1" s="1"/>
  <c r="S5" i="1"/>
  <c r="W38" i="1"/>
  <c r="W42" i="1"/>
  <c r="W46" i="1"/>
  <c r="W50" i="1"/>
  <c r="W70" i="1"/>
  <c r="W76" i="1"/>
  <c r="W82" i="1"/>
  <c r="W39" i="1"/>
  <c r="W47" i="1"/>
  <c r="W79" i="1"/>
  <c r="W97" i="1"/>
  <c r="W95" i="1"/>
  <c r="W28" i="1"/>
  <c r="W40" i="1"/>
  <c r="W44" i="1"/>
  <c r="W48" i="1"/>
  <c r="W54" i="1"/>
  <c r="W72" i="1"/>
  <c r="W80" i="1"/>
  <c r="W6" i="1"/>
  <c r="W27" i="1"/>
  <c r="W31" i="1"/>
  <c r="W33" i="1"/>
  <c r="W35" i="1"/>
  <c r="W41" i="1"/>
  <c r="W45" i="1"/>
  <c r="W49" i="1"/>
  <c r="W71" i="1"/>
  <c r="W81" i="1"/>
  <c r="W85" i="1"/>
  <c r="W87" i="1"/>
  <c r="W89" i="1"/>
  <c r="W91" i="1"/>
</calcChain>
</file>

<file path=xl/sharedStrings.xml><?xml version="1.0" encoding="utf-8"?>
<sst xmlns="http://schemas.openxmlformats.org/spreadsheetml/2006/main" count="368" uniqueCount="150">
  <si>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</si>
  <si>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</si>
  <si>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</si>
  <si>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</si>
  <si>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</si>
  <si>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</si>
  <si>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</si>
  <si>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</si>
  <si>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</si>
  <si>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</si>
  <si>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</si>
  <si>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</si>
  <si>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</si>
  <si>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</si>
  <si>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</si>
  <si>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</si>
  <si>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</si>
  <si>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</si>
  <si>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</si>
  <si>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</si>
  <si>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</si>
  <si>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</si>
  <si>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</si>
  <si>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</si>
  <si>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10,01,(2)</t>
  </si>
  <si>
    <t>12,01,</t>
  </si>
  <si>
    <t>17,01,</t>
  </si>
  <si>
    <t>15,01,</t>
  </si>
  <si>
    <t>13,01,</t>
  </si>
  <si>
    <t>08,01,</t>
  </si>
  <si>
    <t>06,01,</t>
  </si>
  <si>
    <t>25,12,</t>
  </si>
  <si>
    <t>18,12,</t>
  </si>
  <si>
    <t>16,12,</t>
  </si>
  <si>
    <t>11,12,</t>
  </si>
  <si>
    <t>09,12,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</si>
  <si>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</si>
  <si>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</si>
  <si>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</si>
  <si>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</si>
  <si>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>Мера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</si>
  <si>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</si>
  <si>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</si>
  <si>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</si>
  <si>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не в матрице</t>
  </si>
  <si>
    <t>перемещение (Новороссийск)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</si>
  <si>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</si>
  <si>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</si>
  <si>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</si>
  <si>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</si>
  <si>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</si>
  <si>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</si>
  <si>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>ТМА декабрь_январь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</si>
  <si>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</si>
  <si>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</si>
  <si>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</si>
  <si>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>нужно увеличить продажи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</si>
  <si>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</si>
  <si>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</si>
  <si>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</si>
  <si>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</si>
  <si>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</si>
  <si>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</si>
  <si>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</si>
  <si>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</si>
  <si>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>нет потребности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</si>
  <si>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</si>
  <si>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</si>
  <si>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</si>
  <si>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</si>
  <si>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</si>
  <si>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</si>
  <si>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>нужно увеличить продажи!!!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</si>
  <si>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</si>
  <si>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</si>
  <si>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>Мера / ТМА декабрь_январь</t>
  </si>
  <si>
    <t xml:space="preserve"> 276  Колбаса Сливушка ТМ Вязанка в оболочке полиамид 0,45 кг  ПОКОМ</t>
  </si>
  <si>
    <t>ВНИМАНИЕ / матрица</t>
  </si>
  <si>
    <t xml:space="preserve"> 278  Сосиски Сочинки с сочным окороком, МГС 0.4кг,   ПОКОМ</t>
  </si>
  <si>
    <t xml:space="preserve"> 279  Колбаса Докторский гарант, Вязанка вектор, 0,4 кг.  ПОКОМ</t>
  </si>
  <si>
    <t xml:space="preserve"> 281  Сосиски Молочные для завтрака ТМ Особый рецепт, 0,4кг  ПОКОМ</t>
  </si>
  <si>
    <t>24,12,25 списание 172шт.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</si>
  <si>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</si>
  <si>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</si>
  <si>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</si>
  <si>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</si>
  <si>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</si>
  <si>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</si>
  <si>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</si>
  <si>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</si>
  <si>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</si>
  <si>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</si>
  <si>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</si>
  <si>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</si>
  <si>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>ВНИМАНИЕ!!! / матрица</t>
  </si>
  <si>
    <t>ОП договор со школами (заказ ~раз в мес.)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</si>
  <si>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</si>
  <si>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</si>
  <si>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</si>
  <si>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</si>
  <si>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</si>
  <si>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</si>
  <si>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</si>
  <si>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</si>
  <si>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</si>
  <si>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</si>
  <si>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</si>
  <si>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</si>
  <si>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</si>
  <si>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</si>
  <si>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</si>
  <si>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</si>
  <si>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</si>
  <si>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</si>
  <si>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</si>
  <si>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</si>
  <si>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</si>
  <si>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</si>
  <si>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</si>
  <si>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</si>
  <si>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</si>
  <si>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>нет потребности / нет в бланке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</si>
  <si>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</si>
  <si>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</si>
  <si>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</si>
  <si>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>нет потребности / 02,04,25 в уценку 51кг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</si>
  <si>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</si>
  <si>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</si>
  <si>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</si>
  <si>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</si>
  <si>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</si>
  <si>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</si>
  <si>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</si>
  <si>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</si>
  <si>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</si>
  <si>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</si>
  <si>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</si>
  <si>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</si>
  <si>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</si>
  <si>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</si>
  <si>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нет в бланке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</si>
  <si>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</si>
  <si>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</si>
  <si>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</si>
  <si>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</si>
  <si>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</si>
  <si>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Химич</t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</si>
  <si>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  <family val="2"/>
        <charset val="204"/>
      </rPr>
      <t>/ перемещение (Новороссийск)</t>
    </r>
  </si>
  <si>
    <t>20,03,25 в уценку 19кг</t>
  </si>
  <si>
    <t>новинка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</si>
</sst>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1"/>
      <name val="Calibri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24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2" borderId="1" xfId="1" applyNumberFormat="1" applyFont="1" applyFill="1"/>
    <xf numFmtId="164" fontId="5" fillId="5" borderId="1" xfId="1" applyNumberFormat="1" applyFont="1" applyFill="1"/>
    <xf numFmtId="164" fontId="1" fillId="6" borderId="1" xfId="1" applyNumberFormat="1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6" fillId="8" borderId="1" xfId="1" applyNumberFormat="1" applyFont="1" applyFill="1"/>
    <xf numFmtId="164" fontId="1" fillId="6" borderId="2" xfId="1" applyNumberFormat="1" applyFill="1" applyBorder="1"/>
    <xf numFmtId="164" fontId="1" fillId="9" borderId="1" xfId="1" applyNumberFormat="1" applyFill="1"/>
    <xf numFmtId="2" fontId="1" fillId="9" borderId="1" xfId="1" applyNumberFormat="1" applyFill="1"/>
    <xf numFmtId="164" fontId="1" fillId="9" borderId="2" xfId="1" applyNumberFormat="1" applyFill="1" applyBorder="1"/>
    <xf numFmtId="164" fontId="1" fillId="8" borderId="1" xfId="1" applyNumberFormat="1" applyFill="1"/>
    <xf numFmtId="164" fontId="7" fillId="8" borderId="1" xfId="1" applyNumberFormat="1" applyFont="1" applyFill="1"/>
    <xf numFmtId="164" fontId="6" fillId="0" borderId="1" xfId="1" applyNumberFormat="1" applyFon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U6" sqref="U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28515625" customWidth="1"/>
    <col min="15" max="20" width="7" customWidth="1"/>
    <col min="21" max="21" width="13.42578125" customWidth="1"/>
    <col min="22" max="22" width="7" customWidth="1"/>
    <col min="23" max="24" width="5" customWidth="1"/>
    <col min="25" max="32" width="6" customWidth="1"/>
    <col min="33" max="33" width="50.42578125" customWidth="1"/>
    <col min="34" max="34" width="7" customWidth="1"/>
    <col min="35" max="51" width="8" customWidth="1"/>
  </cols>
  <sheetData>
    <row r="1" spans="1:51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15</v>
      </c>
      <c r="S3" s="3" t="s">
        <v>16</v>
      </c>
      <c r="T3" s="7" t="s">
        <v>17</v>
      </c>
      <c r="U3" s="7" t="s">
        <v>18</v>
      </c>
      <c r="V3" s="10" t="s">
        <v>146</v>
      </c>
      <c r="W3" s="2" t="s">
        <v>19</v>
      </c>
      <c r="X3" s="2" t="s">
        <v>20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21</v>
      </c>
      <c r="AF3" s="2" t="s">
        <v>21</v>
      </c>
      <c r="AG3" s="2" t="s">
        <v>22</v>
      </c>
      <c r="AH3" s="2" t="s">
        <v>23</v>
      </c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26</v>
      </c>
      <c r="R4" s="1" t="s">
        <v>27</v>
      </c>
      <c r="S4" s="1"/>
      <c r="T4" s="1"/>
      <c r="U4" s="1"/>
      <c r="V4" s="1"/>
      <c r="W4" s="1"/>
      <c r="X4" s="1"/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 t="s">
        <v>34</v>
      </c>
      <c r="AF4" s="1" t="s">
        <v>35</v>
      </c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1" x14ac:dyDescent="0.25">
      <c r="A5" s="1"/>
      <c r="B5" s="1"/>
      <c r="C5" s="1"/>
      <c r="D5" s="1"/>
      <c r="E5" s="4">
        <f>SUM(E6:E500)</f>
        <v>11473.660999999998</v>
      </c>
      <c r="F5" s="4">
        <f>SUM(F6:F500)</f>
        <v>14450.317000000001</v>
      </c>
      <c r="G5" s="8"/>
      <c r="H5" s="1"/>
      <c r="I5" s="1"/>
      <c r="J5" s="1"/>
      <c r="K5" s="4">
        <f t="shared" ref="K5:V5" si="0">SUM(K6:K500)</f>
        <v>11773.002</v>
      </c>
      <c r="L5" s="4">
        <f t="shared" si="0"/>
        <v>-299.34100000000007</v>
      </c>
      <c r="M5" s="4">
        <f t="shared" si="0"/>
        <v>0</v>
      </c>
      <c r="N5" s="4">
        <f t="shared" si="0"/>
        <v>0</v>
      </c>
      <c r="O5" s="4">
        <f t="shared" si="0"/>
        <v>6205.4998199999955</v>
      </c>
      <c r="P5" s="4">
        <f t="shared" si="0"/>
        <v>3233.2707499999997</v>
      </c>
      <c r="Q5" s="4">
        <f t="shared" si="0"/>
        <v>1929.7659400000005</v>
      </c>
      <c r="R5" s="4">
        <f t="shared" si="0"/>
        <v>2294.7321999999999</v>
      </c>
      <c r="S5" s="4">
        <f t="shared" si="0"/>
        <v>5068.1578</v>
      </c>
      <c r="T5" s="4">
        <f t="shared" si="0"/>
        <v>0</v>
      </c>
      <c r="U5" s="1"/>
      <c r="V5" s="4">
        <f t="shared" si="0"/>
        <v>0</v>
      </c>
      <c r="W5" s="1"/>
      <c r="X5" s="1"/>
      <c r="Y5" s="4">
        <f t="shared" ref="Y5:AF5" si="1">SUM(Y6:Y500)</f>
        <v>2229.7986000000005</v>
      </c>
      <c r="Z5" s="4">
        <f t="shared" si="1"/>
        <v>2516.3498333333341</v>
      </c>
      <c r="AA5" s="4">
        <f t="shared" si="1"/>
        <v>2999.6713999999997</v>
      </c>
      <c r="AB5" s="4">
        <f t="shared" si="1"/>
        <v>2379.5410000000002</v>
      </c>
      <c r="AC5" s="4">
        <f t="shared" si="1"/>
        <v>2623.6326000000004</v>
      </c>
      <c r="AD5" s="4">
        <f t="shared" si="1"/>
        <v>2468.4562000000005</v>
      </c>
      <c r="AE5" s="4">
        <f t="shared" si="1"/>
        <v>2102.4102000000003</v>
      </c>
      <c r="AF5" s="4">
        <f t="shared" si="1"/>
        <v>2139.5634000000009</v>
      </c>
      <c r="AG5" s="1"/>
      <c r="AH5" s="4">
        <f>SUM(AH6:AH500)</f>
        <v>3467.9827999999998</v>
      </c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x14ac:dyDescent="0.25">
      <c r="A6" s="1" t="s">
        <v>36</v>
      </c>
      <c r="B6" s="1" t="s">
        <v>37</v>
      </c>
      <c r="C6" s="1">
        <v>87.266000000000005</v>
      </c>
      <c r="D6" s="1">
        <v>258.59399999999999</v>
      </c>
      <c r="E6" s="1">
        <v>138.09700000000001</v>
      </c>
      <c r="F6" s="1">
        <v>195.95099999999999</v>
      </c>
      <c r="G6" s="8">
        <v>1</v>
      </c>
      <c r="H6" s="1">
        <v>50</v>
      </c>
      <c r="I6" s="1" t="s">
        <v>38</v>
      </c>
      <c r="J6" s="1"/>
      <c r="K6" s="1">
        <v>130.4</v>
      </c>
      <c r="L6" s="1">
        <f t="shared" ref="L6:L37" si="2">E6-K6</f>
        <v>7.6970000000000027</v>
      </c>
      <c r="M6" s="1"/>
      <c r="N6" s="1"/>
      <c r="O6" s="1">
        <v>0</v>
      </c>
      <c r="P6" s="1">
        <v>0</v>
      </c>
      <c r="Q6" s="1">
        <v>77.270400000000052</v>
      </c>
      <c r="R6" s="1">
        <f>E6/5</f>
        <v>27.619400000000002</v>
      </c>
      <c r="S6" s="5">
        <f>12*R6-Q6-P6-O6-F6</f>
        <v>58.211399999999998</v>
      </c>
      <c r="T6" s="5"/>
      <c r="U6" s="1"/>
      <c r="V6" s="1"/>
      <c r="W6" s="1">
        <f>(F6+O6+P6+Q6+S6)/R6</f>
        <v>12</v>
      </c>
      <c r="X6" s="1">
        <f>(F6+O6+P6+Q6)/R6</f>
        <v>9.8923727524855707</v>
      </c>
      <c r="Y6" s="1">
        <v>30.043399999999998</v>
      </c>
      <c r="Z6" s="1">
        <v>23.93116666666667</v>
      </c>
      <c r="AA6" s="1">
        <v>29.980599999999999</v>
      </c>
      <c r="AB6" s="1">
        <v>30.4298</v>
      </c>
      <c r="AC6" s="1">
        <v>21.640999999999998</v>
      </c>
      <c r="AD6" s="1">
        <v>28.107199999999999</v>
      </c>
      <c r="AE6" s="1">
        <v>22.5428</v>
      </c>
      <c r="AF6" s="1">
        <v>22.8916</v>
      </c>
      <c r="AG6" s="1"/>
      <c r="AH6" s="1">
        <f>G6*S6</f>
        <v>58.211399999999998</v>
      </c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1" x14ac:dyDescent="0.25">
      <c r="A7" s="1" t="s">
        <v>39</v>
      </c>
      <c r="B7" s="1" t="s">
        <v>37</v>
      </c>
      <c r="C7" s="1">
        <v>-1.3879999999999999</v>
      </c>
      <c r="D7" s="1">
        <v>122.01600000000001</v>
      </c>
      <c r="E7" s="1">
        <v>77.296000000000006</v>
      </c>
      <c r="F7" s="1">
        <v>36.244999999999997</v>
      </c>
      <c r="G7" s="8">
        <v>1</v>
      </c>
      <c r="H7" s="1">
        <v>45</v>
      </c>
      <c r="I7" s="1" t="s">
        <v>38</v>
      </c>
      <c r="J7" s="1"/>
      <c r="K7" s="1">
        <v>76.260000000000005</v>
      </c>
      <c r="L7" s="1">
        <f t="shared" si="2"/>
        <v>1.0360000000000014</v>
      </c>
      <c r="M7" s="1"/>
      <c r="N7" s="1"/>
      <c r="O7" s="1">
        <v>12.972799999999991</v>
      </c>
      <c r="P7" s="1">
        <v>0</v>
      </c>
      <c r="Q7" s="1">
        <v>61.84220000000002</v>
      </c>
      <c r="R7" s="1">
        <f t="shared" ref="R7:R70" si="3">E7/5</f>
        <v>15.459200000000001</v>
      </c>
      <c r="S7" s="5">
        <f t="shared" ref="S7:S8" si="4">12*R7-Q7-P7-O7-F7</f>
        <v>74.450400000000002</v>
      </c>
      <c r="T7" s="5"/>
      <c r="U7" s="1"/>
      <c r="V7" s="1"/>
      <c r="W7" s="1">
        <f t="shared" ref="W7:W70" si="5">(F7+O7+P7+Q7+S7)/R7</f>
        <v>12</v>
      </c>
      <c r="X7" s="1">
        <f t="shared" ref="X7:X70" si="6">(F7+O7+P7+Q7)/R7</f>
        <v>7.1840716207824462</v>
      </c>
      <c r="Y7" s="1">
        <v>12.702</v>
      </c>
      <c r="Z7" s="1">
        <v>6.9579999999999993</v>
      </c>
      <c r="AA7" s="1">
        <v>11.8482</v>
      </c>
      <c r="AB7" s="1">
        <v>12.653600000000001</v>
      </c>
      <c r="AC7" s="1">
        <v>7.6798000000000002</v>
      </c>
      <c r="AD7" s="1">
        <v>7.6087999999999996</v>
      </c>
      <c r="AE7" s="1">
        <v>3.928199999999999</v>
      </c>
      <c r="AF7" s="1">
        <v>7.7417999999999996</v>
      </c>
      <c r="AG7" s="1" t="s">
        <v>40</v>
      </c>
      <c r="AH7" s="1">
        <f>G7*S7</f>
        <v>74.450400000000002</v>
      </c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1" x14ac:dyDescent="0.25">
      <c r="A8" s="1" t="s">
        <v>41</v>
      </c>
      <c r="B8" s="1" t="s">
        <v>37</v>
      </c>
      <c r="C8" s="1">
        <v>118.218</v>
      </c>
      <c r="D8" s="1">
        <v>24.434000000000001</v>
      </c>
      <c r="E8" s="1">
        <v>62.67</v>
      </c>
      <c r="F8" s="1">
        <v>43.218000000000004</v>
      </c>
      <c r="G8" s="8">
        <v>1</v>
      </c>
      <c r="H8" s="1">
        <v>45</v>
      </c>
      <c r="I8" s="1" t="s">
        <v>38</v>
      </c>
      <c r="J8" s="1"/>
      <c r="K8" s="1">
        <v>88</v>
      </c>
      <c r="L8" s="1">
        <f t="shared" si="2"/>
        <v>-25.33</v>
      </c>
      <c r="M8" s="1"/>
      <c r="N8" s="1"/>
      <c r="O8" s="1">
        <v>5.0032000000000068</v>
      </c>
      <c r="P8" s="1">
        <v>0</v>
      </c>
      <c r="Q8" s="1">
        <v>80.732799999999983</v>
      </c>
      <c r="R8" s="1">
        <f t="shared" si="3"/>
        <v>12.534000000000001</v>
      </c>
      <c r="S8" s="5">
        <f t="shared" si="4"/>
        <v>21.454000000000022</v>
      </c>
      <c r="T8" s="5"/>
      <c r="U8" s="1"/>
      <c r="V8" s="1"/>
      <c r="W8" s="1">
        <f t="shared" si="5"/>
        <v>12</v>
      </c>
      <c r="X8" s="1">
        <f t="shared" si="6"/>
        <v>10.288335726823041</v>
      </c>
      <c r="Y8" s="1">
        <v>13.5924</v>
      </c>
      <c r="Z8" s="1">
        <v>10.22233333333333</v>
      </c>
      <c r="AA8" s="1">
        <v>11.449199999999999</v>
      </c>
      <c r="AB8" s="1">
        <v>7.1951999999999998</v>
      </c>
      <c r="AC8" s="1">
        <v>15.5526</v>
      </c>
      <c r="AD8" s="1">
        <v>14.3314</v>
      </c>
      <c r="AE8" s="1">
        <v>6.7866</v>
      </c>
      <c r="AF8" s="1">
        <v>8.9580000000000002</v>
      </c>
      <c r="AG8" s="1"/>
      <c r="AH8" s="1">
        <f>G8*S8</f>
        <v>21.454000000000022</v>
      </c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1" x14ac:dyDescent="0.25">
      <c r="A9" s="13" t="s">
        <v>42</v>
      </c>
      <c r="B9" s="13" t="s">
        <v>43</v>
      </c>
      <c r="C9" s="13">
        <v>29</v>
      </c>
      <c r="D9" s="13"/>
      <c r="E9" s="13">
        <v>4</v>
      </c>
      <c r="F9" s="13">
        <v>25</v>
      </c>
      <c r="G9" s="14">
        <v>0</v>
      </c>
      <c r="H9" s="13" t="e">
        <v>#N/A</v>
      </c>
      <c r="I9" s="13" t="s">
        <v>44</v>
      </c>
      <c r="J9" s="13"/>
      <c r="K9" s="13">
        <v>4</v>
      </c>
      <c r="L9" s="13">
        <f t="shared" si="2"/>
        <v>0</v>
      </c>
      <c r="M9" s="13"/>
      <c r="N9" s="13"/>
      <c r="O9" s="13">
        <v>0</v>
      </c>
      <c r="P9" s="13">
        <v>0</v>
      </c>
      <c r="Q9" s="13">
        <v>0</v>
      </c>
      <c r="R9" s="13">
        <f t="shared" si="3"/>
        <v>0.8</v>
      </c>
      <c r="S9" s="15"/>
      <c r="T9" s="15"/>
      <c r="U9" s="13"/>
      <c r="V9" s="13"/>
      <c r="W9" s="13">
        <f t="shared" si="5"/>
        <v>31.25</v>
      </c>
      <c r="X9" s="13">
        <f t="shared" si="6"/>
        <v>31.25</v>
      </c>
      <c r="Y9" s="13">
        <v>0.6</v>
      </c>
      <c r="Z9" s="13">
        <v>0.16666666666666671</v>
      </c>
      <c r="AA9" s="13">
        <v>0</v>
      </c>
      <c r="AB9" s="13">
        <v>0</v>
      </c>
      <c r="AC9" s="13">
        <v>0</v>
      </c>
      <c r="AD9" s="13">
        <v>0</v>
      </c>
      <c r="AE9" s="13">
        <v>0</v>
      </c>
      <c r="AF9" s="13">
        <v>0</v>
      </c>
      <c r="AG9" s="16" t="s">
        <v>147</v>
      </c>
      <c r="AH9" s="13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1" x14ac:dyDescent="0.25">
      <c r="A10" s="1" t="s">
        <v>46</v>
      </c>
      <c r="B10" s="1" t="s">
        <v>43</v>
      </c>
      <c r="C10" s="1">
        <v>468</v>
      </c>
      <c r="D10" s="1">
        <v>19</v>
      </c>
      <c r="E10" s="1">
        <v>300</v>
      </c>
      <c r="F10" s="1">
        <v>164</v>
      </c>
      <c r="G10" s="8">
        <v>0.45</v>
      </c>
      <c r="H10" s="1">
        <v>45</v>
      </c>
      <c r="I10" s="1" t="s">
        <v>38</v>
      </c>
      <c r="J10" s="1"/>
      <c r="K10" s="1">
        <v>320</v>
      </c>
      <c r="L10" s="1">
        <f t="shared" si="2"/>
        <v>-20</v>
      </c>
      <c r="M10" s="1"/>
      <c r="N10" s="1"/>
      <c r="O10" s="1">
        <v>0</v>
      </c>
      <c r="P10" s="1">
        <v>214</v>
      </c>
      <c r="Q10" s="1">
        <v>54.600000000000023</v>
      </c>
      <c r="R10" s="1">
        <f t="shared" si="3"/>
        <v>60</v>
      </c>
      <c r="S10" s="5">
        <f t="shared" ref="S10:S25" si="7">12*R10-Q10-P10-O10-F10</f>
        <v>287.39999999999998</v>
      </c>
      <c r="T10" s="5"/>
      <c r="U10" s="1"/>
      <c r="V10" s="1"/>
      <c r="W10" s="1">
        <f t="shared" si="5"/>
        <v>12</v>
      </c>
      <c r="X10" s="1">
        <f t="shared" si="6"/>
        <v>7.21</v>
      </c>
      <c r="Y10" s="1">
        <v>54.6</v>
      </c>
      <c r="Z10" s="1">
        <v>56.833333333333343</v>
      </c>
      <c r="AA10" s="1">
        <v>50</v>
      </c>
      <c r="AB10" s="1">
        <v>23.4</v>
      </c>
      <c r="AC10" s="1">
        <v>65.2</v>
      </c>
      <c r="AD10" s="1">
        <v>49</v>
      </c>
      <c r="AE10" s="1">
        <v>23.2</v>
      </c>
      <c r="AF10" s="1">
        <v>35</v>
      </c>
      <c r="AG10" s="1" t="s">
        <v>40</v>
      </c>
      <c r="AH10" s="1">
        <f t="shared" ref="AH10:AH25" si="8">G10*S10</f>
        <v>129.32999999999998</v>
      </c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1" x14ac:dyDescent="0.25">
      <c r="A11" s="1" t="s">
        <v>47</v>
      </c>
      <c r="B11" s="1" t="s">
        <v>43</v>
      </c>
      <c r="C11" s="1">
        <v>542</v>
      </c>
      <c r="D11" s="1">
        <v>16</v>
      </c>
      <c r="E11" s="1">
        <v>276</v>
      </c>
      <c r="F11" s="1">
        <v>259</v>
      </c>
      <c r="G11" s="8">
        <v>0.45</v>
      </c>
      <c r="H11" s="1">
        <v>45</v>
      </c>
      <c r="I11" s="1" t="s">
        <v>38</v>
      </c>
      <c r="J11" s="1"/>
      <c r="K11" s="1">
        <v>292</v>
      </c>
      <c r="L11" s="1">
        <f t="shared" si="2"/>
        <v>-16</v>
      </c>
      <c r="M11" s="1"/>
      <c r="N11" s="1"/>
      <c r="O11" s="1">
        <v>0</v>
      </c>
      <c r="P11" s="1">
        <v>232</v>
      </c>
      <c r="Q11" s="1">
        <v>43</v>
      </c>
      <c r="R11" s="1">
        <f t="shared" si="3"/>
        <v>55.2</v>
      </c>
      <c r="S11" s="5">
        <f t="shared" si="7"/>
        <v>128.40000000000009</v>
      </c>
      <c r="T11" s="5"/>
      <c r="U11" s="1"/>
      <c r="V11" s="1"/>
      <c r="W11" s="1">
        <f t="shared" si="5"/>
        <v>12.000000000000002</v>
      </c>
      <c r="X11" s="1">
        <f t="shared" si="6"/>
        <v>9.6739130434782599</v>
      </c>
      <c r="Y11" s="1">
        <v>62</v>
      </c>
      <c r="Z11" s="1">
        <v>64.5</v>
      </c>
      <c r="AA11" s="1">
        <v>46.6</v>
      </c>
      <c r="AB11" s="1">
        <v>27.4</v>
      </c>
      <c r="AC11" s="1">
        <v>74.8</v>
      </c>
      <c r="AD11" s="1">
        <v>59</v>
      </c>
      <c r="AE11" s="1">
        <v>31.8</v>
      </c>
      <c r="AF11" s="1">
        <v>33.6</v>
      </c>
      <c r="AG11" s="1"/>
      <c r="AH11" s="1">
        <f t="shared" si="8"/>
        <v>57.780000000000044</v>
      </c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spans="1:51" x14ac:dyDescent="0.25">
      <c r="A12" s="1" t="s">
        <v>48</v>
      </c>
      <c r="B12" s="1" t="s">
        <v>43</v>
      </c>
      <c r="C12" s="1">
        <v>15</v>
      </c>
      <c r="D12" s="1">
        <v>31</v>
      </c>
      <c r="E12" s="1">
        <v>40</v>
      </c>
      <c r="F12" s="1">
        <v>5</v>
      </c>
      <c r="G12" s="8">
        <v>0.17</v>
      </c>
      <c r="H12" s="1">
        <v>180</v>
      </c>
      <c r="I12" s="1" t="s">
        <v>38</v>
      </c>
      <c r="J12" s="1"/>
      <c r="K12" s="1">
        <v>49</v>
      </c>
      <c r="L12" s="1">
        <f t="shared" si="2"/>
        <v>-9</v>
      </c>
      <c r="M12" s="1"/>
      <c r="N12" s="1"/>
      <c r="O12" s="1">
        <v>0</v>
      </c>
      <c r="P12" s="1">
        <v>78.800000000000011</v>
      </c>
      <c r="Q12" s="1">
        <v>0</v>
      </c>
      <c r="R12" s="1">
        <f t="shared" si="3"/>
        <v>8</v>
      </c>
      <c r="S12" s="5">
        <f t="shared" si="7"/>
        <v>12.199999999999989</v>
      </c>
      <c r="T12" s="5"/>
      <c r="U12" s="1"/>
      <c r="V12" s="1"/>
      <c r="W12" s="1">
        <f t="shared" si="5"/>
        <v>12</v>
      </c>
      <c r="X12" s="1">
        <f t="shared" si="6"/>
        <v>10.475000000000001</v>
      </c>
      <c r="Y12" s="1">
        <v>9</v>
      </c>
      <c r="Z12" s="1">
        <v>11.16666666666667</v>
      </c>
      <c r="AA12" s="1">
        <v>7.6</v>
      </c>
      <c r="AB12" s="1">
        <v>6.8</v>
      </c>
      <c r="AC12" s="1">
        <v>6</v>
      </c>
      <c r="AD12" s="1">
        <v>5.6</v>
      </c>
      <c r="AE12" s="1">
        <v>1.8</v>
      </c>
      <c r="AF12" s="1">
        <v>4.4000000000000004</v>
      </c>
      <c r="AG12" s="1"/>
      <c r="AH12" s="1">
        <f t="shared" si="8"/>
        <v>2.0739999999999981</v>
      </c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spans="1:51" x14ac:dyDescent="0.25">
      <c r="A13" s="1" t="s">
        <v>49</v>
      </c>
      <c r="B13" s="1" t="s">
        <v>43</v>
      </c>
      <c r="C13" s="1">
        <v>26</v>
      </c>
      <c r="D13" s="1">
        <v>18</v>
      </c>
      <c r="E13" s="1">
        <v>39</v>
      </c>
      <c r="F13" s="1">
        <v>1</v>
      </c>
      <c r="G13" s="8">
        <v>0.3</v>
      </c>
      <c r="H13" s="1">
        <v>40</v>
      </c>
      <c r="I13" s="1" t="s">
        <v>38</v>
      </c>
      <c r="J13" s="1"/>
      <c r="K13" s="1">
        <v>49</v>
      </c>
      <c r="L13" s="1">
        <f t="shared" si="2"/>
        <v>-10</v>
      </c>
      <c r="M13" s="1"/>
      <c r="N13" s="1"/>
      <c r="O13" s="1">
        <v>0</v>
      </c>
      <c r="P13" s="1">
        <v>27.599999999999991</v>
      </c>
      <c r="Q13" s="1">
        <v>60.400000000000013</v>
      </c>
      <c r="R13" s="1">
        <f t="shared" si="3"/>
        <v>7.8</v>
      </c>
      <c r="S13" s="5">
        <f t="shared" si="7"/>
        <v>4.5999999999999908</v>
      </c>
      <c r="T13" s="5"/>
      <c r="U13" s="1"/>
      <c r="V13" s="1"/>
      <c r="W13" s="1">
        <f t="shared" si="5"/>
        <v>12</v>
      </c>
      <c r="X13" s="1">
        <f t="shared" si="6"/>
        <v>11.410256410256411</v>
      </c>
      <c r="Y13" s="1">
        <v>9.8000000000000007</v>
      </c>
      <c r="Z13" s="1">
        <v>5.833333333333333</v>
      </c>
      <c r="AA13" s="1">
        <v>4.4000000000000004</v>
      </c>
      <c r="AB13" s="1">
        <v>4.8</v>
      </c>
      <c r="AC13" s="1">
        <v>6.8</v>
      </c>
      <c r="AD13" s="1">
        <v>3.4</v>
      </c>
      <c r="AE13" s="1">
        <v>1.2</v>
      </c>
      <c r="AF13" s="1">
        <v>3.4</v>
      </c>
      <c r="AG13" s="1"/>
      <c r="AH13" s="1">
        <f t="shared" si="8"/>
        <v>1.3799999999999972</v>
      </c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 spans="1:51" x14ac:dyDescent="0.25">
      <c r="A14" s="1" t="s">
        <v>50</v>
      </c>
      <c r="B14" s="1" t="s">
        <v>43</v>
      </c>
      <c r="C14" s="1">
        <v>71</v>
      </c>
      <c r="D14" s="1"/>
      <c r="E14" s="1">
        <v>43</v>
      </c>
      <c r="F14" s="1">
        <v>27</v>
      </c>
      <c r="G14" s="8">
        <v>0.17</v>
      </c>
      <c r="H14" s="1">
        <v>180</v>
      </c>
      <c r="I14" s="1" t="s">
        <v>38</v>
      </c>
      <c r="J14" s="1"/>
      <c r="K14" s="1">
        <v>44</v>
      </c>
      <c r="L14" s="1">
        <f t="shared" si="2"/>
        <v>-1</v>
      </c>
      <c r="M14" s="1"/>
      <c r="N14" s="1"/>
      <c r="O14" s="1">
        <v>0</v>
      </c>
      <c r="P14" s="1">
        <v>87</v>
      </c>
      <c r="Q14" s="1">
        <v>0</v>
      </c>
      <c r="R14" s="1">
        <f t="shared" si="3"/>
        <v>8.6</v>
      </c>
      <c r="S14" s="5"/>
      <c r="T14" s="5"/>
      <c r="U14" s="1"/>
      <c r="V14" s="1"/>
      <c r="W14" s="1">
        <f t="shared" si="5"/>
        <v>13.255813953488373</v>
      </c>
      <c r="X14" s="1">
        <f t="shared" si="6"/>
        <v>13.255813953488373</v>
      </c>
      <c r="Y14" s="1">
        <v>11</v>
      </c>
      <c r="Z14" s="1">
        <v>13.16666666666667</v>
      </c>
      <c r="AA14" s="1">
        <v>5.4</v>
      </c>
      <c r="AB14" s="1">
        <v>10.6</v>
      </c>
      <c r="AC14" s="1">
        <v>15.8</v>
      </c>
      <c r="AD14" s="1">
        <v>3.8</v>
      </c>
      <c r="AE14" s="1">
        <v>1.8</v>
      </c>
      <c r="AF14" s="1">
        <v>10.4</v>
      </c>
      <c r="AG14" s="1"/>
      <c r="AH14" s="1">
        <f t="shared" si="8"/>
        <v>0</v>
      </c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 spans="1:51" x14ac:dyDescent="0.25">
      <c r="A15" s="1" t="s">
        <v>51</v>
      </c>
      <c r="B15" s="1" t="s">
        <v>37</v>
      </c>
      <c r="C15" s="1">
        <v>222.88499999999999</v>
      </c>
      <c r="D15" s="1">
        <v>233.56700000000001</v>
      </c>
      <c r="E15" s="1">
        <v>143.61099999999999</v>
      </c>
      <c r="F15" s="1">
        <v>306.66699999999997</v>
      </c>
      <c r="G15" s="8">
        <v>1</v>
      </c>
      <c r="H15" s="1">
        <v>55</v>
      </c>
      <c r="I15" s="1" t="s">
        <v>38</v>
      </c>
      <c r="J15" s="1"/>
      <c r="K15" s="1">
        <v>133.4</v>
      </c>
      <c r="L15" s="1">
        <f t="shared" si="2"/>
        <v>10.210999999999984</v>
      </c>
      <c r="M15" s="1"/>
      <c r="N15" s="1"/>
      <c r="O15" s="1">
        <v>0</v>
      </c>
      <c r="P15" s="1">
        <v>0</v>
      </c>
      <c r="Q15" s="1">
        <v>0</v>
      </c>
      <c r="R15" s="1">
        <f t="shared" si="3"/>
        <v>28.722199999999997</v>
      </c>
      <c r="S15" s="5">
        <f t="shared" si="7"/>
        <v>37.99939999999998</v>
      </c>
      <c r="T15" s="5"/>
      <c r="U15" s="1"/>
      <c r="V15" s="1"/>
      <c r="W15" s="1">
        <f t="shared" si="5"/>
        <v>12</v>
      </c>
      <c r="X15" s="1">
        <f t="shared" si="6"/>
        <v>10.677002458028982</v>
      </c>
      <c r="Y15" s="1">
        <v>28.55</v>
      </c>
      <c r="Z15" s="1">
        <v>27.055499999999999</v>
      </c>
      <c r="AA15" s="1">
        <v>36.171599999999998</v>
      </c>
      <c r="AB15" s="1">
        <v>39.584600000000002</v>
      </c>
      <c r="AC15" s="1">
        <v>39.674400000000013</v>
      </c>
      <c r="AD15" s="1">
        <v>34.943199999999997</v>
      </c>
      <c r="AE15" s="1">
        <v>35.653399999999998</v>
      </c>
      <c r="AF15" s="1">
        <v>39.485599999999998</v>
      </c>
      <c r="AG15" s="1" t="s">
        <v>52</v>
      </c>
      <c r="AH15" s="1">
        <f t="shared" si="8"/>
        <v>37.99939999999998</v>
      </c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spans="1:51" x14ac:dyDescent="0.25">
      <c r="A16" s="1" t="s">
        <v>53</v>
      </c>
      <c r="B16" s="1" t="s">
        <v>37</v>
      </c>
      <c r="C16" s="1">
        <v>738.20699999999999</v>
      </c>
      <c r="D16" s="1">
        <v>2433.2449999999999</v>
      </c>
      <c r="E16" s="1">
        <v>989.6</v>
      </c>
      <c r="F16" s="1">
        <v>2120.5140000000001</v>
      </c>
      <c r="G16" s="8">
        <v>1</v>
      </c>
      <c r="H16" s="1">
        <v>50</v>
      </c>
      <c r="I16" s="1" t="s">
        <v>38</v>
      </c>
      <c r="J16" s="1"/>
      <c r="K16" s="1">
        <v>992.476</v>
      </c>
      <c r="L16" s="1">
        <f t="shared" si="2"/>
        <v>-2.8759999999999764</v>
      </c>
      <c r="M16" s="1"/>
      <c r="N16" s="1"/>
      <c r="O16" s="1">
        <v>483.8440999999998</v>
      </c>
      <c r="P16" s="1">
        <v>0</v>
      </c>
      <c r="Q16" s="1">
        <v>0</v>
      </c>
      <c r="R16" s="1">
        <f t="shared" si="3"/>
        <v>197.92000000000002</v>
      </c>
      <c r="S16" s="5"/>
      <c r="T16" s="5"/>
      <c r="U16" s="1"/>
      <c r="V16" s="1"/>
      <c r="W16" s="1">
        <f t="shared" si="5"/>
        <v>13.158640359741309</v>
      </c>
      <c r="X16" s="1">
        <f t="shared" si="6"/>
        <v>13.158640359741309</v>
      </c>
      <c r="Y16" s="1">
        <v>200.38300000000001</v>
      </c>
      <c r="Z16" s="1">
        <v>244.566</v>
      </c>
      <c r="AA16" s="1">
        <v>332.7568</v>
      </c>
      <c r="AB16" s="1">
        <v>240.71799999999999</v>
      </c>
      <c r="AC16" s="1">
        <v>226.48679999999999</v>
      </c>
      <c r="AD16" s="1">
        <v>222.994</v>
      </c>
      <c r="AE16" s="1">
        <v>199.20480000000001</v>
      </c>
      <c r="AF16" s="1">
        <v>189.55840000000001</v>
      </c>
      <c r="AG16" s="1" t="s">
        <v>52</v>
      </c>
      <c r="AH16" s="1">
        <f t="shared" si="8"/>
        <v>0</v>
      </c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 spans="1:51" x14ac:dyDescent="0.25">
      <c r="A17" s="1" t="s">
        <v>54</v>
      </c>
      <c r="B17" s="1" t="s">
        <v>37</v>
      </c>
      <c r="C17" s="1">
        <v>24.382000000000001</v>
      </c>
      <c r="D17" s="1">
        <v>42.207999999999998</v>
      </c>
      <c r="E17" s="1">
        <v>40.430999999999997</v>
      </c>
      <c r="F17" s="1">
        <v>23.521999999999998</v>
      </c>
      <c r="G17" s="8">
        <v>1</v>
      </c>
      <c r="H17" s="1">
        <v>60</v>
      </c>
      <c r="I17" s="1" t="s">
        <v>38</v>
      </c>
      <c r="J17" s="1"/>
      <c r="K17" s="1">
        <v>38.5</v>
      </c>
      <c r="L17" s="1">
        <f t="shared" si="2"/>
        <v>1.9309999999999974</v>
      </c>
      <c r="M17" s="1"/>
      <c r="N17" s="1"/>
      <c r="O17" s="1">
        <v>0</v>
      </c>
      <c r="P17" s="1">
        <v>50.27600000000001</v>
      </c>
      <c r="Q17" s="1">
        <v>15.01379999999998</v>
      </c>
      <c r="R17" s="1">
        <f t="shared" si="3"/>
        <v>8.0861999999999998</v>
      </c>
      <c r="S17" s="5">
        <f t="shared" si="7"/>
        <v>8.2226000000000212</v>
      </c>
      <c r="T17" s="5"/>
      <c r="U17" s="1"/>
      <c r="V17" s="1"/>
      <c r="W17" s="1">
        <f t="shared" si="5"/>
        <v>12</v>
      </c>
      <c r="X17" s="1">
        <f t="shared" si="6"/>
        <v>10.983131755336249</v>
      </c>
      <c r="Y17" s="1">
        <v>9.6727999999999987</v>
      </c>
      <c r="Z17" s="1">
        <v>9.2493333333333343</v>
      </c>
      <c r="AA17" s="1">
        <v>6.3465999999999996</v>
      </c>
      <c r="AB17" s="1">
        <v>7.9516000000000009</v>
      </c>
      <c r="AC17" s="1">
        <v>8.0396000000000001</v>
      </c>
      <c r="AD17" s="1">
        <v>7.3372000000000002</v>
      </c>
      <c r="AE17" s="1">
        <v>6.5974000000000004</v>
      </c>
      <c r="AF17" s="1">
        <v>7.4787999999999997</v>
      </c>
      <c r="AG17" s="1"/>
      <c r="AH17" s="1">
        <f t="shared" si="8"/>
        <v>8.2226000000000212</v>
      </c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</row>
    <row r="18" spans="1:51" x14ac:dyDescent="0.25">
      <c r="A18" s="1" t="s">
        <v>55</v>
      </c>
      <c r="B18" s="1" t="s">
        <v>37</v>
      </c>
      <c r="C18" s="1">
        <v>323.49099999999999</v>
      </c>
      <c r="D18" s="1">
        <v>1896.5229999999999</v>
      </c>
      <c r="E18" s="1">
        <v>405.60700000000003</v>
      </c>
      <c r="F18" s="1">
        <v>1797.0170000000001</v>
      </c>
      <c r="G18" s="8">
        <v>1</v>
      </c>
      <c r="H18" s="1">
        <v>60</v>
      </c>
      <c r="I18" s="1" t="s">
        <v>38</v>
      </c>
      <c r="J18" s="1"/>
      <c r="K18" s="1">
        <v>407.5</v>
      </c>
      <c r="L18" s="1">
        <f t="shared" si="2"/>
        <v>-1.8929999999999723</v>
      </c>
      <c r="M18" s="1"/>
      <c r="N18" s="1"/>
      <c r="O18" s="1">
        <v>272.1191</v>
      </c>
      <c r="P18" s="1">
        <v>0</v>
      </c>
      <c r="Q18" s="1">
        <v>0</v>
      </c>
      <c r="R18" s="1">
        <f t="shared" si="3"/>
        <v>81.121400000000008</v>
      </c>
      <c r="S18" s="5"/>
      <c r="T18" s="5"/>
      <c r="U18" s="1"/>
      <c r="V18" s="1"/>
      <c r="W18" s="1">
        <f t="shared" si="5"/>
        <v>25.506661620731396</v>
      </c>
      <c r="X18" s="1">
        <f t="shared" si="6"/>
        <v>25.506661620731396</v>
      </c>
      <c r="Y18" s="1">
        <v>96.032600000000002</v>
      </c>
      <c r="Z18" s="1">
        <v>145.94566666666671</v>
      </c>
      <c r="AA18" s="1">
        <v>219.3134</v>
      </c>
      <c r="AB18" s="1">
        <v>182.58320000000001</v>
      </c>
      <c r="AC18" s="1">
        <v>142.5966</v>
      </c>
      <c r="AD18" s="1">
        <v>155.06899999999999</v>
      </c>
      <c r="AE18" s="1">
        <v>145.56960000000001</v>
      </c>
      <c r="AF18" s="1">
        <v>137.7544</v>
      </c>
      <c r="AG18" s="21" t="s">
        <v>56</v>
      </c>
      <c r="AH18" s="1">
        <f t="shared" si="8"/>
        <v>0</v>
      </c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</row>
    <row r="19" spans="1:51" x14ac:dyDescent="0.25">
      <c r="A19" s="1" t="s">
        <v>57</v>
      </c>
      <c r="B19" s="1" t="s">
        <v>37</v>
      </c>
      <c r="C19" s="1">
        <v>28.1</v>
      </c>
      <c r="D19" s="1">
        <v>3.5339999999999998</v>
      </c>
      <c r="E19" s="1">
        <v>23.635999999999999</v>
      </c>
      <c r="F19" s="1">
        <v>3.5779999999999998</v>
      </c>
      <c r="G19" s="8">
        <v>1</v>
      </c>
      <c r="H19" s="1">
        <v>60</v>
      </c>
      <c r="I19" s="1" t="s">
        <v>38</v>
      </c>
      <c r="J19" s="1"/>
      <c r="K19" s="1">
        <v>38.1</v>
      </c>
      <c r="L19" s="1">
        <f t="shared" si="2"/>
        <v>-14.464000000000002</v>
      </c>
      <c r="M19" s="1"/>
      <c r="N19" s="1"/>
      <c r="O19" s="1">
        <v>15.2582</v>
      </c>
      <c r="P19" s="1">
        <v>39.287799999999997</v>
      </c>
      <c r="Q19" s="1">
        <v>5.6677999999999908</v>
      </c>
      <c r="R19" s="1">
        <f t="shared" si="3"/>
        <v>4.7271999999999998</v>
      </c>
      <c r="S19" s="5"/>
      <c r="T19" s="5"/>
      <c r="U19" s="1"/>
      <c r="V19" s="1"/>
      <c r="W19" s="1">
        <f t="shared" si="5"/>
        <v>13.494626840412927</v>
      </c>
      <c r="X19" s="1">
        <f t="shared" si="6"/>
        <v>13.494626840412927</v>
      </c>
      <c r="Y19" s="1">
        <v>6.8337999999999992</v>
      </c>
      <c r="Z19" s="1">
        <v>6.8871666666666664</v>
      </c>
      <c r="AA19" s="1">
        <v>5.8531999999999993</v>
      </c>
      <c r="AB19" s="1">
        <v>3.4077999999999999</v>
      </c>
      <c r="AC19" s="1">
        <v>5.8864000000000001</v>
      </c>
      <c r="AD19" s="1">
        <v>4.9603999999999999</v>
      </c>
      <c r="AE19" s="1">
        <v>4.3460000000000001</v>
      </c>
      <c r="AF19" s="1">
        <v>3.9996</v>
      </c>
      <c r="AG19" s="1"/>
      <c r="AH19" s="1">
        <f t="shared" si="8"/>
        <v>0</v>
      </c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</row>
    <row r="20" spans="1:51" x14ac:dyDescent="0.25">
      <c r="A20" s="1" t="s">
        <v>58</v>
      </c>
      <c r="B20" s="1" t="s">
        <v>37</v>
      </c>
      <c r="C20" s="1">
        <v>5.94</v>
      </c>
      <c r="D20" s="1"/>
      <c r="E20" s="1">
        <v>0.378</v>
      </c>
      <c r="F20" s="1">
        <v>5.1959999999999997</v>
      </c>
      <c r="G20" s="8">
        <v>1</v>
      </c>
      <c r="H20" s="1">
        <v>180</v>
      </c>
      <c r="I20" s="1" t="s">
        <v>38</v>
      </c>
      <c r="J20" s="1"/>
      <c r="K20" s="1">
        <v>0.8</v>
      </c>
      <c r="L20" s="1">
        <f t="shared" si="2"/>
        <v>-0.42200000000000004</v>
      </c>
      <c r="M20" s="1"/>
      <c r="N20" s="1"/>
      <c r="O20" s="1">
        <v>0</v>
      </c>
      <c r="P20" s="1">
        <v>0</v>
      </c>
      <c r="Q20" s="1">
        <v>0</v>
      </c>
      <c r="R20" s="1">
        <f t="shared" si="3"/>
        <v>7.5600000000000001E-2</v>
      </c>
      <c r="S20" s="5"/>
      <c r="T20" s="5"/>
      <c r="U20" s="1"/>
      <c r="V20" s="1"/>
      <c r="W20" s="1">
        <f t="shared" si="5"/>
        <v>68.73015873015872</v>
      </c>
      <c r="X20" s="1">
        <f t="shared" si="6"/>
        <v>68.73015873015872</v>
      </c>
      <c r="Y20" s="1">
        <v>0.14560000000000001</v>
      </c>
      <c r="Z20" s="1">
        <v>0.1836666666666667</v>
      </c>
      <c r="AA20" s="1">
        <v>0.5292</v>
      </c>
      <c r="AB20" s="1">
        <v>0.68179999999999996</v>
      </c>
      <c r="AC20" s="1">
        <v>0.67999999999999994</v>
      </c>
      <c r="AD20" s="1">
        <v>0.52779999999999994</v>
      </c>
      <c r="AE20" s="1">
        <v>0.222</v>
      </c>
      <c r="AF20" s="1">
        <v>0.4582</v>
      </c>
      <c r="AG20" s="21" t="s">
        <v>56</v>
      </c>
      <c r="AH20" s="1">
        <f t="shared" si="8"/>
        <v>0</v>
      </c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</row>
    <row r="21" spans="1:51" x14ac:dyDescent="0.25">
      <c r="A21" s="1" t="s">
        <v>59</v>
      </c>
      <c r="B21" s="1" t="s">
        <v>37</v>
      </c>
      <c r="C21" s="1">
        <v>260.90300000000002</v>
      </c>
      <c r="D21" s="1">
        <v>202.63399999999999</v>
      </c>
      <c r="E21" s="1">
        <v>208.61799999999999</v>
      </c>
      <c r="F21" s="1">
        <v>245.94800000000001</v>
      </c>
      <c r="G21" s="8">
        <v>1</v>
      </c>
      <c r="H21" s="1">
        <v>60</v>
      </c>
      <c r="I21" s="1" t="s">
        <v>38</v>
      </c>
      <c r="J21" s="1"/>
      <c r="K21" s="1">
        <v>194.2</v>
      </c>
      <c r="L21" s="1">
        <f t="shared" si="2"/>
        <v>14.418000000000006</v>
      </c>
      <c r="M21" s="1"/>
      <c r="N21" s="1"/>
      <c r="O21" s="1">
        <v>0</v>
      </c>
      <c r="P21" s="1">
        <v>204.23980000000009</v>
      </c>
      <c r="Q21" s="1">
        <v>0</v>
      </c>
      <c r="R21" s="1">
        <f t="shared" si="3"/>
        <v>41.723599999999998</v>
      </c>
      <c r="S21" s="5">
        <f t="shared" si="7"/>
        <v>50.495399999999876</v>
      </c>
      <c r="T21" s="5"/>
      <c r="U21" s="1"/>
      <c r="V21" s="1"/>
      <c r="W21" s="1">
        <f t="shared" si="5"/>
        <v>12</v>
      </c>
      <c r="X21" s="1">
        <f t="shared" si="6"/>
        <v>10.789764066379702</v>
      </c>
      <c r="Y21" s="1">
        <v>45.596600000000002</v>
      </c>
      <c r="Z21" s="1">
        <v>49.124666666666663</v>
      </c>
      <c r="AA21" s="1">
        <v>49.304600000000001</v>
      </c>
      <c r="AB21" s="1">
        <v>49.347999999999999</v>
      </c>
      <c r="AC21" s="1">
        <v>55.198400000000007</v>
      </c>
      <c r="AD21" s="1">
        <v>54.27</v>
      </c>
      <c r="AE21" s="1">
        <v>36.486600000000003</v>
      </c>
      <c r="AF21" s="1">
        <v>38.938000000000002</v>
      </c>
      <c r="AG21" s="1" t="s">
        <v>52</v>
      </c>
      <c r="AH21" s="1">
        <f t="shared" si="8"/>
        <v>50.495399999999876</v>
      </c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 spans="1:51" x14ac:dyDescent="0.25">
      <c r="A22" s="1" t="s">
        <v>60</v>
      </c>
      <c r="B22" s="1" t="s">
        <v>37</v>
      </c>
      <c r="C22" s="1">
        <v>160.34700000000001</v>
      </c>
      <c r="D22" s="1"/>
      <c r="E22" s="1">
        <v>93.917000000000002</v>
      </c>
      <c r="F22" s="1">
        <v>61.046999999999997</v>
      </c>
      <c r="G22" s="8">
        <v>1</v>
      </c>
      <c r="H22" s="1">
        <v>60</v>
      </c>
      <c r="I22" s="1" t="s">
        <v>38</v>
      </c>
      <c r="J22" s="1"/>
      <c r="K22" s="1">
        <v>86</v>
      </c>
      <c r="L22" s="1">
        <f t="shared" si="2"/>
        <v>7.9170000000000016</v>
      </c>
      <c r="M22" s="1"/>
      <c r="N22" s="1"/>
      <c r="O22" s="1">
        <v>0</v>
      </c>
      <c r="P22" s="1">
        <v>127.22775</v>
      </c>
      <c r="Q22" s="1">
        <v>0</v>
      </c>
      <c r="R22" s="1">
        <f t="shared" si="3"/>
        <v>18.7834</v>
      </c>
      <c r="S22" s="5">
        <f t="shared" si="7"/>
        <v>37.126050000000006</v>
      </c>
      <c r="T22" s="5"/>
      <c r="U22" s="1"/>
      <c r="V22" s="1"/>
      <c r="W22" s="1">
        <f t="shared" si="5"/>
        <v>12</v>
      </c>
      <c r="X22" s="1">
        <f t="shared" si="6"/>
        <v>10.023464867915285</v>
      </c>
      <c r="Y22" s="1">
        <v>19.64</v>
      </c>
      <c r="Z22" s="1">
        <v>21.301833333333331</v>
      </c>
      <c r="AA22" s="1">
        <v>15.8376</v>
      </c>
      <c r="AB22" s="1">
        <v>6.9802000000000008</v>
      </c>
      <c r="AC22" s="1">
        <v>23.1342</v>
      </c>
      <c r="AD22" s="1">
        <v>16.4252</v>
      </c>
      <c r="AE22" s="1">
        <v>11.7744</v>
      </c>
      <c r="AF22" s="1">
        <v>13.5616</v>
      </c>
      <c r="AG22" s="1"/>
      <c r="AH22" s="1">
        <f t="shared" si="8"/>
        <v>37.126050000000006</v>
      </c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 spans="1:51" x14ac:dyDescent="0.25">
      <c r="A23" s="1" t="s">
        <v>61</v>
      </c>
      <c r="B23" s="1" t="s">
        <v>37</v>
      </c>
      <c r="C23" s="1">
        <v>101.15300000000001</v>
      </c>
      <c r="D23" s="1">
        <v>1.891</v>
      </c>
      <c r="E23" s="1">
        <v>60.871000000000002</v>
      </c>
      <c r="F23" s="1">
        <v>37.805</v>
      </c>
      <c r="G23" s="8">
        <v>1</v>
      </c>
      <c r="H23" s="1">
        <v>60</v>
      </c>
      <c r="I23" s="1" t="s">
        <v>38</v>
      </c>
      <c r="J23" s="1"/>
      <c r="K23" s="1">
        <v>55.48</v>
      </c>
      <c r="L23" s="1">
        <f t="shared" si="2"/>
        <v>5.3910000000000053</v>
      </c>
      <c r="M23" s="1"/>
      <c r="N23" s="1"/>
      <c r="O23" s="1">
        <v>38.54740000000001</v>
      </c>
      <c r="P23" s="1">
        <v>80.227599999999981</v>
      </c>
      <c r="Q23" s="1">
        <v>0</v>
      </c>
      <c r="R23" s="1">
        <f t="shared" si="3"/>
        <v>12.174200000000001</v>
      </c>
      <c r="S23" s="5"/>
      <c r="T23" s="5"/>
      <c r="U23" s="1"/>
      <c r="V23" s="1"/>
      <c r="W23" s="1">
        <f t="shared" si="5"/>
        <v>12.861625404544034</v>
      </c>
      <c r="X23" s="1">
        <f t="shared" si="6"/>
        <v>12.861625404544034</v>
      </c>
      <c r="Y23" s="1">
        <v>11.984400000000001</v>
      </c>
      <c r="Z23" s="1">
        <v>18.327333333333328</v>
      </c>
      <c r="AA23" s="1">
        <v>15.494400000000001</v>
      </c>
      <c r="AB23" s="1">
        <v>7.3226000000000004</v>
      </c>
      <c r="AC23" s="1">
        <v>17.344200000000001</v>
      </c>
      <c r="AD23" s="1">
        <v>11.5716</v>
      </c>
      <c r="AE23" s="1">
        <v>10.374000000000001</v>
      </c>
      <c r="AF23" s="1">
        <v>5.6201999999999996</v>
      </c>
      <c r="AG23" s="1"/>
      <c r="AH23" s="1">
        <f t="shared" si="8"/>
        <v>0</v>
      </c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 spans="1:51" x14ac:dyDescent="0.25">
      <c r="A24" s="1" t="s">
        <v>62</v>
      </c>
      <c r="B24" s="1" t="s">
        <v>37</v>
      </c>
      <c r="C24" s="1">
        <v>0.35399999999999998</v>
      </c>
      <c r="D24" s="1">
        <v>5.827</v>
      </c>
      <c r="E24" s="1">
        <v>1.073</v>
      </c>
      <c r="F24" s="1">
        <v>5.1079999999999997</v>
      </c>
      <c r="G24" s="8">
        <v>1</v>
      </c>
      <c r="H24" s="1">
        <v>180</v>
      </c>
      <c r="I24" s="1" t="s">
        <v>38</v>
      </c>
      <c r="J24" s="1"/>
      <c r="K24" s="1">
        <v>1.1000000000000001</v>
      </c>
      <c r="L24" s="1">
        <f t="shared" si="2"/>
        <v>-2.7000000000000135E-2</v>
      </c>
      <c r="M24" s="1"/>
      <c r="N24" s="1"/>
      <c r="O24" s="1">
        <v>7.1626000000000012</v>
      </c>
      <c r="P24" s="1">
        <v>0</v>
      </c>
      <c r="Q24" s="1">
        <v>0</v>
      </c>
      <c r="R24" s="1">
        <f t="shared" si="3"/>
        <v>0.21459999999999999</v>
      </c>
      <c r="S24" s="5"/>
      <c r="T24" s="5"/>
      <c r="U24" s="1"/>
      <c r="V24" s="1"/>
      <c r="W24" s="1">
        <f t="shared" si="5"/>
        <v>57.178937558247917</v>
      </c>
      <c r="X24" s="1">
        <f t="shared" si="6"/>
        <v>57.178937558247917</v>
      </c>
      <c r="Y24" s="1">
        <v>0.20580000000000001</v>
      </c>
      <c r="Z24" s="1">
        <v>0.74783333333333335</v>
      </c>
      <c r="AA24" s="1">
        <v>1.1086</v>
      </c>
      <c r="AB24" s="1">
        <v>0.628</v>
      </c>
      <c r="AC24" s="1">
        <v>7.0199999999999999E-2</v>
      </c>
      <c r="AD24" s="1">
        <v>0.2114</v>
      </c>
      <c r="AE24" s="1">
        <v>0.35239999999999999</v>
      </c>
      <c r="AF24" s="1">
        <v>0.2112</v>
      </c>
      <c r="AG24" s="21" t="s">
        <v>56</v>
      </c>
      <c r="AH24" s="1">
        <f t="shared" si="8"/>
        <v>0</v>
      </c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spans="1:51" x14ac:dyDescent="0.25">
      <c r="A25" s="1" t="s">
        <v>63</v>
      </c>
      <c r="B25" s="1" t="s">
        <v>37</v>
      </c>
      <c r="C25" s="1">
        <v>258.29500000000002</v>
      </c>
      <c r="D25" s="1">
        <v>1.758</v>
      </c>
      <c r="E25" s="1">
        <v>92.238</v>
      </c>
      <c r="F25" s="1">
        <v>165.18199999999999</v>
      </c>
      <c r="G25" s="8">
        <v>1</v>
      </c>
      <c r="H25" s="1">
        <v>60</v>
      </c>
      <c r="I25" s="1" t="s">
        <v>38</v>
      </c>
      <c r="J25" s="1"/>
      <c r="K25" s="1">
        <v>84.9</v>
      </c>
      <c r="L25" s="1">
        <f t="shared" si="2"/>
        <v>7.3379999999999939</v>
      </c>
      <c r="M25" s="1"/>
      <c r="N25" s="1"/>
      <c r="O25" s="1">
        <v>0</v>
      </c>
      <c r="P25" s="1">
        <v>47.329249999999981</v>
      </c>
      <c r="Q25" s="1">
        <v>0</v>
      </c>
      <c r="R25" s="1">
        <f t="shared" si="3"/>
        <v>18.447600000000001</v>
      </c>
      <c r="S25" s="5">
        <f t="shared" si="7"/>
        <v>8.8599500000000546</v>
      </c>
      <c r="T25" s="5"/>
      <c r="U25" s="1"/>
      <c r="V25" s="1"/>
      <c r="W25" s="1">
        <f t="shared" si="5"/>
        <v>12</v>
      </c>
      <c r="X25" s="1">
        <f t="shared" si="6"/>
        <v>11.519723432858472</v>
      </c>
      <c r="Y25" s="1">
        <v>21.787800000000001</v>
      </c>
      <c r="Z25" s="1">
        <v>22.638833333333331</v>
      </c>
      <c r="AA25" s="1">
        <v>17.836600000000001</v>
      </c>
      <c r="AB25" s="1">
        <v>19.833200000000001</v>
      </c>
      <c r="AC25" s="1">
        <v>35.476999999999997</v>
      </c>
      <c r="AD25" s="1">
        <v>32.472999999999999</v>
      </c>
      <c r="AE25" s="1">
        <v>22.639800000000001</v>
      </c>
      <c r="AF25" s="1">
        <v>21.586600000000001</v>
      </c>
      <c r="AG25" s="1" t="s">
        <v>52</v>
      </c>
      <c r="AH25" s="1">
        <f t="shared" si="8"/>
        <v>8.8599500000000546</v>
      </c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spans="1:51" x14ac:dyDescent="0.25">
      <c r="A26" s="18" t="s">
        <v>64</v>
      </c>
      <c r="B26" s="18" t="s">
        <v>37</v>
      </c>
      <c r="C26" s="18"/>
      <c r="D26" s="18"/>
      <c r="E26" s="18"/>
      <c r="F26" s="18"/>
      <c r="G26" s="19">
        <v>0</v>
      </c>
      <c r="H26" s="18">
        <v>30</v>
      </c>
      <c r="I26" s="18" t="s">
        <v>38</v>
      </c>
      <c r="J26" s="18"/>
      <c r="K26" s="18"/>
      <c r="L26" s="18">
        <f t="shared" si="2"/>
        <v>0</v>
      </c>
      <c r="M26" s="18"/>
      <c r="N26" s="18"/>
      <c r="O26" s="18">
        <v>0</v>
      </c>
      <c r="P26" s="18">
        <v>0</v>
      </c>
      <c r="Q26" s="18">
        <v>0</v>
      </c>
      <c r="R26" s="18">
        <f t="shared" si="3"/>
        <v>0</v>
      </c>
      <c r="S26" s="20"/>
      <c r="T26" s="20"/>
      <c r="U26" s="18"/>
      <c r="V26" s="18"/>
      <c r="W26" s="18" t="e">
        <f t="shared" si="5"/>
        <v>#DIV/0!</v>
      </c>
      <c r="X26" s="18" t="e">
        <f t="shared" si="6"/>
        <v>#DIV/0!</v>
      </c>
      <c r="Y26" s="18">
        <v>0</v>
      </c>
      <c r="Z26" s="18">
        <v>0</v>
      </c>
      <c r="AA26" s="18">
        <v>0</v>
      </c>
      <c r="AB26" s="18">
        <v>0</v>
      </c>
      <c r="AC26" s="18">
        <v>0</v>
      </c>
      <c r="AD26" s="18">
        <v>0</v>
      </c>
      <c r="AE26" s="18">
        <v>0</v>
      </c>
      <c r="AF26" s="18">
        <v>0</v>
      </c>
      <c r="AG26" s="18" t="s">
        <v>65</v>
      </c>
      <c r="AH26" s="18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 spans="1:51" x14ac:dyDescent="0.25">
      <c r="A27" s="1" t="s">
        <v>66</v>
      </c>
      <c r="B27" s="1" t="s">
        <v>37</v>
      </c>
      <c r="C27" s="1">
        <v>27.373999999999999</v>
      </c>
      <c r="D27" s="1">
        <v>159.672</v>
      </c>
      <c r="E27" s="1">
        <v>89.215000000000003</v>
      </c>
      <c r="F27" s="1">
        <v>80.64</v>
      </c>
      <c r="G27" s="8">
        <v>1</v>
      </c>
      <c r="H27" s="1">
        <v>30</v>
      </c>
      <c r="I27" s="1" t="s">
        <v>38</v>
      </c>
      <c r="J27" s="1"/>
      <c r="K27" s="1">
        <v>84.7</v>
      </c>
      <c r="L27" s="1">
        <f t="shared" si="2"/>
        <v>4.5150000000000006</v>
      </c>
      <c r="M27" s="1"/>
      <c r="N27" s="1"/>
      <c r="O27" s="1">
        <v>25.289000000000051</v>
      </c>
      <c r="P27" s="1">
        <v>0</v>
      </c>
      <c r="Q27" s="1">
        <v>20.26939999999993</v>
      </c>
      <c r="R27" s="1">
        <f t="shared" si="3"/>
        <v>17.843</v>
      </c>
      <c r="S27" s="5">
        <f t="shared" ref="S27:S28" si="9">12*R27-Q27-P27-O27-F27</f>
        <v>87.917600000000007</v>
      </c>
      <c r="T27" s="5"/>
      <c r="U27" s="1"/>
      <c r="V27" s="1"/>
      <c r="W27" s="1">
        <f t="shared" si="5"/>
        <v>12</v>
      </c>
      <c r="X27" s="1">
        <f t="shared" si="6"/>
        <v>7.0727119878944116</v>
      </c>
      <c r="Y27" s="1">
        <v>15.7944</v>
      </c>
      <c r="Z27" s="1">
        <v>14.419166666666669</v>
      </c>
      <c r="AA27" s="1">
        <v>19.844000000000001</v>
      </c>
      <c r="AB27" s="1">
        <v>17.498000000000001</v>
      </c>
      <c r="AC27" s="1">
        <v>13.9122</v>
      </c>
      <c r="AD27" s="1">
        <v>18.367000000000001</v>
      </c>
      <c r="AE27" s="1">
        <v>16.213000000000001</v>
      </c>
      <c r="AF27" s="1">
        <v>15.67</v>
      </c>
      <c r="AG27" s="1"/>
      <c r="AH27" s="1">
        <f>G27*S27</f>
        <v>87.917600000000007</v>
      </c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</row>
    <row r="28" spans="1:51" x14ac:dyDescent="0.25">
      <c r="A28" s="1" t="s">
        <v>67</v>
      </c>
      <c r="B28" s="1" t="s">
        <v>37</v>
      </c>
      <c r="C28" s="1">
        <v>61.207999999999998</v>
      </c>
      <c r="D28" s="1">
        <v>121.73099999999999</v>
      </c>
      <c r="E28" s="1">
        <v>100.032</v>
      </c>
      <c r="F28" s="1">
        <v>54.405000000000001</v>
      </c>
      <c r="G28" s="8">
        <v>1</v>
      </c>
      <c r="H28" s="1">
        <v>30</v>
      </c>
      <c r="I28" s="1" t="s">
        <v>38</v>
      </c>
      <c r="J28" s="1"/>
      <c r="K28" s="1">
        <v>115.2</v>
      </c>
      <c r="L28" s="1">
        <f t="shared" si="2"/>
        <v>-15.168000000000006</v>
      </c>
      <c r="M28" s="1"/>
      <c r="N28" s="1"/>
      <c r="O28" s="1">
        <v>0</v>
      </c>
      <c r="P28" s="1">
        <v>0</v>
      </c>
      <c r="Q28" s="1">
        <v>133.03800000000001</v>
      </c>
      <c r="R28" s="1">
        <f t="shared" si="3"/>
        <v>20.006399999999999</v>
      </c>
      <c r="S28" s="5">
        <f t="shared" si="9"/>
        <v>52.633799999999979</v>
      </c>
      <c r="T28" s="5"/>
      <c r="U28" s="1"/>
      <c r="V28" s="1"/>
      <c r="W28" s="1">
        <f t="shared" si="5"/>
        <v>12</v>
      </c>
      <c r="X28" s="1">
        <f t="shared" si="6"/>
        <v>9.3691518714011526</v>
      </c>
      <c r="Y28" s="1">
        <v>23.244599999999998</v>
      </c>
      <c r="Z28" s="1">
        <v>12.7905</v>
      </c>
      <c r="AA28" s="1">
        <v>11.502599999999999</v>
      </c>
      <c r="AB28" s="1">
        <v>17.809000000000001</v>
      </c>
      <c r="AC28" s="1">
        <v>18.3062</v>
      </c>
      <c r="AD28" s="1">
        <v>19.308199999999999</v>
      </c>
      <c r="AE28" s="1">
        <v>15.922000000000001</v>
      </c>
      <c r="AF28" s="1">
        <v>20.171399999999998</v>
      </c>
      <c r="AG28" s="1" t="s">
        <v>52</v>
      </c>
      <c r="AH28" s="1">
        <f>G28*S28</f>
        <v>52.633799999999979</v>
      </c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spans="1:51" x14ac:dyDescent="0.25">
      <c r="A29" s="18" t="s">
        <v>68</v>
      </c>
      <c r="B29" s="18" t="s">
        <v>37</v>
      </c>
      <c r="C29" s="18"/>
      <c r="D29" s="18"/>
      <c r="E29" s="18"/>
      <c r="F29" s="18"/>
      <c r="G29" s="19">
        <v>0</v>
      </c>
      <c r="H29" s="18">
        <v>45</v>
      </c>
      <c r="I29" s="18" t="s">
        <v>38</v>
      </c>
      <c r="J29" s="18"/>
      <c r="K29" s="18"/>
      <c r="L29" s="18">
        <f t="shared" si="2"/>
        <v>0</v>
      </c>
      <c r="M29" s="18"/>
      <c r="N29" s="18"/>
      <c r="O29" s="18">
        <v>0</v>
      </c>
      <c r="P29" s="18">
        <v>0</v>
      </c>
      <c r="Q29" s="18">
        <v>0</v>
      </c>
      <c r="R29" s="18">
        <f t="shared" si="3"/>
        <v>0</v>
      </c>
      <c r="S29" s="20"/>
      <c r="T29" s="20"/>
      <c r="U29" s="18"/>
      <c r="V29" s="18"/>
      <c r="W29" s="18" t="e">
        <f t="shared" si="5"/>
        <v>#DIV/0!</v>
      </c>
      <c r="X29" s="18" t="e">
        <f t="shared" si="6"/>
        <v>#DIV/0!</v>
      </c>
      <c r="Y29" s="18">
        <v>0</v>
      </c>
      <c r="Z29" s="18">
        <v>0</v>
      </c>
      <c r="AA29" s="18">
        <v>0</v>
      </c>
      <c r="AB29" s="18">
        <v>0</v>
      </c>
      <c r="AC29" s="18">
        <v>0</v>
      </c>
      <c r="AD29" s="18">
        <v>0</v>
      </c>
      <c r="AE29" s="18">
        <v>0</v>
      </c>
      <c r="AF29" s="18">
        <v>0</v>
      </c>
      <c r="AG29" s="18" t="s">
        <v>65</v>
      </c>
      <c r="AH29" s="18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spans="1:51" x14ac:dyDescent="0.25">
      <c r="A30" s="1" t="s">
        <v>69</v>
      </c>
      <c r="B30" s="1" t="s">
        <v>37</v>
      </c>
      <c r="C30" s="1">
        <v>8.7929999999999993</v>
      </c>
      <c r="D30" s="1">
        <v>55.246000000000002</v>
      </c>
      <c r="E30" s="1">
        <v>20.547999999999998</v>
      </c>
      <c r="F30" s="1">
        <v>37.561</v>
      </c>
      <c r="G30" s="8">
        <v>1</v>
      </c>
      <c r="H30" s="1">
        <v>40</v>
      </c>
      <c r="I30" s="1" t="s">
        <v>38</v>
      </c>
      <c r="J30" s="1"/>
      <c r="K30" s="1">
        <v>22.2</v>
      </c>
      <c r="L30" s="1">
        <f t="shared" si="2"/>
        <v>-1.652000000000001</v>
      </c>
      <c r="M30" s="1"/>
      <c r="N30" s="1"/>
      <c r="O30" s="1">
        <v>0</v>
      </c>
      <c r="P30" s="1">
        <v>26.018800000000009</v>
      </c>
      <c r="Q30" s="1">
        <v>0</v>
      </c>
      <c r="R30" s="1">
        <f t="shared" si="3"/>
        <v>4.1095999999999995</v>
      </c>
      <c r="S30" s="5"/>
      <c r="T30" s="5"/>
      <c r="U30" s="1"/>
      <c r="V30" s="1"/>
      <c r="W30" s="1">
        <f t="shared" si="5"/>
        <v>15.471043410550909</v>
      </c>
      <c r="X30" s="1">
        <f t="shared" si="6"/>
        <v>15.471043410550909</v>
      </c>
      <c r="Y30" s="1">
        <v>5.6880000000000006</v>
      </c>
      <c r="Z30" s="1">
        <v>6.5115000000000007</v>
      </c>
      <c r="AA30" s="1">
        <v>6.5385999999999997</v>
      </c>
      <c r="AB30" s="1">
        <v>5.1761999999999997</v>
      </c>
      <c r="AC30" s="1">
        <v>3.4788000000000001</v>
      </c>
      <c r="AD30" s="1">
        <v>4.9555999999999996</v>
      </c>
      <c r="AE30" s="1">
        <v>4.5793999999999997</v>
      </c>
      <c r="AF30" s="1">
        <v>1.9532</v>
      </c>
      <c r="AG30" s="1"/>
      <c r="AH30" s="1">
        <f t="shared" ref="AH30:AH36" si="10">G30*S30</f>
        <v>0</v>
      </c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 spans="1:51" x14ac:dyDescent="0.25">
      <c r="A31" s="1" t="s">
        <v>70</v>
      </c>
      <c r="B31" s="1" t="s">
        <v>37</v>
      </c>
      <c r="C31" s="1">
        <v>0.66200000000000003</v>
      </c>
      <c r="D31" s="1">
        <v>51.904000000000003</v>
      </c>
      <c r="E31" s="1">
        <v>27.356000000000002</v>
      </c>
      <c r="F31" s="1">
        <v>17.995999999999999</v>
      </c>
      <c r="G31" s="8">
        <v>1</v>
      </c>
      <c r="H31" s="1">
        <v>30</v>
      </c>
      <c r="I31" s="1" t="s">
        <v>38</v>
      </c>
      <c r="J31" s="1"/>
      <c r="K31" s="1">
        <v>31.3</v>
      </c>
      <c r="L31" s="1">
        <f t="shared" si="2"/>
        <v>-3.9439999999999991</v>
      </c>
      <c r="M31" s="1"/>
      <c r="N31" s="1"/>
      <c r="O31" s="1">
        <v>0</v>
      </c>
      <c r="P31" s="1">
        <v>0</v>
      </c>
      <c r="Q31" s="1">
        <v>0</v>
      </c>
      <c r="R31" s="1">
        <f t="shared" si="3"/>
        <v>5.4712000000000005</v>
      </c>
      <c r="S31" s="5">
        <f>11*R31-Q31-P31-O31-F31</f>
        <v>42.187200000000004</v>
      </c>
      <c r="T31" s="5"/>
      <c r="U31" s="1"/>
      <c r="V31" s="1"/>
      <c r="W31" s="1">
        <f t="shared" si="5"/>
        <v>10.999999999999998</v>
      </c>
      <c r="X31" s="1">
        <f t="shared" si="6"/>
        <v>3.28922357069747</v>
      </c>
      <c r="Y31" s="1">
        <v>1.3692</v>
      </c>
      <c r="Z31" s="1">
        <v>2.761333333333333</v>
      </c>
      <c r="AA31" s="1">
        <v>6.2792000000000003</v>
      </c>
      <c r="AB31" s="1">
        <v>6.8353999999999999</v>
      </c>
      <c r="AC31" s="1">
        <v>4.0375999999999994</v>
      </c>
      <c r="AD31" s="1">
        <v>4.9176000000000002</v>
      </c>
      <c r="AE31" s="1">
        <v>4.3883999999999999</v>
      </c>
      <c r="AF31" s="1">
        <v>7.2539999999999996</v>
      </c>
      <c r="AG31" s="23" t="s">
        <v>148</v>
      </c>
      <c r="AH31" s="1">
        <f t="shared" si="10"/>
        <v>42.187200000000004</v>
      </c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 spans="1:51" x14ac:dyDescent="0.25">
      <c r="A32" s="1" t="s">
        <v>71</v>
      </c>
      <c r="B32" s="1" t="s">
        <v>37</v>
      </c>
      <c r="C32" s="1">
        <v>68.866</v>
      </c>
      <c r="D32" s="1">
        <v>208.10900000000001</v>
      </c>
      <c r="E32" s="1">
        <v>62.188000000000002</v>
      </c>
      <c r="F32" s="1">
        <v>207.499</v>
      </c>
      <c r="G32" s="8">
        <v>1</v>
      </c>
      <c r="H32" s="1">
        <v>50</v>
      </c>
      <c r="I32" s="1" t="s">
        <v>38</v>
      </c>
      <c r="J32" s="1"/>
      <c r="K32" s="1">
        <v>57.8</v>
      </c>
      <c r="L32" s="1">
        <f t="shared" si="2"/>
        <v>4.3880000000000052</v>
      </c>
      <c r="M32" s="1"/>
      <c r="N32" s="1"/>
      <c r="O32" s="1">
        <v>0</v>
      </c>
      <c r="P32" s="1">
        <v>0</v>
      </c>
      <c r="Q32" s="1">
        <v>0</v>
      </c>
      <c r="R32" s="1">
        <f t="shared" si="3"/>
        <v>12.4376</v>
      </c>
      <c r="S32" s="5"/>
      <c r="T32" s="5"/>
      <c r="U32" s="1"/>
      <c r="V32" s="1"/>
      <c r="W32" s="1">
        <f t="shared" si="5"/>
        <v>16.683202547115197</v>
      </c>
      <c r="X32" s="1">
        <f t="shared" si="6"/>
        <v>16.683202547115197</v>
      </c>
      <c r="Y32" s="1">
        <v>10.7364</v>
      </c>
      <c r="Z32" s="1">
        <v>16.374500000000001</v>
      </c>
      <c r="AA32" s="1">
        <v>25.625599999999999</v>
      </c>
      <c r="AB32" s="1">
        <v>24.022400000000001</v>
      </c>
      <c r="AC32" s="1">
        <v>19.895800000000001</v>
      </c>
      <c r="AD32" s="1">
        <v>18.579599999999999</v>
      </c>
      <c r="AE32" s="1">
        <v>18.502600000000001</v>
      </c>
      <c r="AF32" s="1">
        <v>21.0794</v>
      </c>
      <c r="AG32" s="1"/>
      <c r="AH32" s="1">
        <f t="shared" si="10"/>
        <v>0</v>
      </c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spans="1:51" x14ac:dyDescent="0.25">
      <c r="A33" s="1" t="s">
        <v>73</v>
      </c>
      <c r="B33" s="1" t="s">
        <v>37</v>
      </c>
      <c r="C33" s="1">
        <v>0.02</v>
      </c>
      <c r="D33" s="1">
        <v>110.925</v>
      </c>
      <c r="E33" s="1">
        <v>26.122</v>
      </c>
      <c r="F33" s="1">
        <v>82.119</v>
      </c>
      <c r="G33" s="8">
        <v>1</v>
      </c>
      <c r="H33" s="1">
        <v>50</v>
      </c>
      <c r="I33" s="1" t="s">
        <v>38</v>
      </c>
      <c r="J33" s="1"/>
      <c r="K33" s="1">
        <v>22.706</v>
      </c>
      <c r="L33" s="1">
        <f t="shared" si="2"/>
        <v>3.4160000000000004</v>
      </c>
      <c r="M33" s="1"/>
      <c r="N33" s="1"/>
      <c r="O33" s="1">
        <v>131.39796000000001</v>
      </c>
      <c r="P33" s="1">
        <v>0</v>
      </c>
      <c r="Q33" s="1">
        <v>0</v>
      </c>
      <c r="R33" s="1">
        <f t="shared" si="3"/>
        <v>5.2244000000000002</v>
      </c>
      <c r="S33" s="5"/>
      <c r="T33" s="5"/>
      <c r="U33" s="1"/>
      <c r="V33" s="1"/>
      <c r="W33" s="1">
        <f t="shared" si="5"/>
        <v>40.869183064083913</v>
      </c>
      <c r="X33" s="1">
        <f t="shared" si="6"/>
        <v>40.869183064083913</v>
      </c>
      <c r="Y33" s="1">
        <v>0.36820000000000003</v>
      </c>
      <c r="Z33" s="1">
        <v>16.494</v>
      </c>
      <c r="AA33" s="1">
        <v>23.8748</v>
      </c>
      <c r="AB33" s="1">
        <v>12.8446</v>
      </c>
      <c r="AC33" s="1">
        <v>10.7354</v>
      </c>
      <c r="AD33" s="1">
        <v>11.4434</v>
      </c>
      <c r="AE33" s="1">
        <v>14.2158</v>
      </c>
      <c r="AF33" s="1">
        <v>15.3316</v>
      </c>
      <c r="AG33" s="1"/>
      <c r="AH33" s="1">
        <f t="shared" si="10"/>
        <v>0</v>
      </c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</row>
    <row r="34" spans="1:51" x14ac:dyDescent="0.25">
      <c r="A34" s="1" t="s">
        <v>74</v>
      </c>
      <c r="B34" s="1" t="s">
        <v>43</v>
      </c>
      <c r="C34" s="1">
        <v>1072</v>
      </c>
      <c r="D34" s="1">
        <v>12</v>
      </c>
      <c r="E34" s="1">
        <v>582</v>
      </c>
      <c r="F34" s="1">
        <v>475</v>
      </c>
      <c r="G34" s="8">
        <v>0.4</v>
      </c>
      <c r="H34" s="1">
        <v>45</v>
      </c>
      <c r="I34" s="1" t="s">
        <v>38</v>
      </c>
      <c r="J34" s="1"/>
      <c r="K34" s="1">
        <v>595</v>
      </c>
      <c r="L34" s="1">
        <f t="shared" si="2"/>
        <v>-13</v>
      </c>
      <c r="M34" s="1"/>
      <c r="N34" s="1"/>
      <c r="O34" s="1">
        <v>0</v>
      </c>
      <c r="P34" s="1">
        <v>271</v>
      </c>
      <c r="Q34" s="1">
        <v>136</v>
      </c>
      <c r="R34" s="1">
        <f t="shared" si="3"/>
        <v>116.4</v>
      </c>
      <c r="S34" s="5">
        <f t="shared" ref="S34:S36" si="11">12*R34-Q34-P34-O34-F34</f>
        <v>514.80000000000018</v>
      </c>
      <c r="T34" s="5"/>
      <c r="U34" s="1"/>
      <c r="V34" s="1"/>
      <c r="W34" s="1">
        <f t="shared" si="5"/>
        <v>12.000000000000002</v>
      </c>
      <c r="X34" s="1">
        <f t="shared" si="6"/>
        <v>7.5773195876288657</v>
      </c>
      <c r="Y34" s="1">
        <v>109</v>
      </c>
      <c r="Z34" s="1">
        <v>112</v>
      </c>
      <c r="AA34" s="1">
        <v>117.6</v>
      </c>
      <c r="AB34" s="1">
        <v>98</v>
      </c>
      <c r="AC34" s="1">
        <v>159.19999999999999</v>
      </c>
      <c r="AD34" s="1">
        <v>133.6</v>
      </c>
      <c r="AE34" s="1">
        <v>100.4</v>
      </c>
      <c r="AF34" s="1">
        <v>94.2</v>
      </c>
      <c r="AG34" s="1" t="s">
        <v>75</v>
      </c>
      <c r="AH34" s="1">
        <f t="shared" si="10"/>
        <v>205.92000000000007</v>
      </c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</row>
    <row r="35" spans="1:51" x14ac:dyDescent="0.25">
      <c r="A35" s="1" t="s">
        <v>76</v>
      </c>
      <c r="B35" s="1" t="s">
        <v>43</v>
      </c>
      <c r="C35" s="1">
        <v>125</v>
      </c>
      <c r="D35" s="1"/>
      <c r="E35" s="1">
        <v>81</v>
      </c>
      <c r="F35" s="1">
        <v>42</v>
      </c>
      <c r="G35" s="8">
        <v>0.45</v>
      </c>
      <c r="H35" s="1">
        <v>50</v>
      </c>
      <c r="I35" s="12" t="s">
        <v>77</v>
      </c>
      <c r="J35" s="1"/>
      <c r="K35" s="1">
        <v>83</v>
      </c>
      <c r="L35" s="1">
        <f t="shared" si="2"/>
        <v>-2</v>
      </c>
      <c r="M35" s="1"/>
      <c r="N35" s="1"/>
      <c r="O35" s="1">
        <v>145.4</v>
      </c>
      <c r="P35" s="1">
        <v>153.6</v>
      </c>
      <c r="Q35" s="1">
        <v>0</v>
      </c>
      <c r="R35" s="1">
        <f t="shared" si="3"/>
        <v>16.2</v>
      </c>
      <c r="S35" s="5"/>
      <c r="T35" s="5"/>
      <c r="U35" s="1"/>
      <c r="V35" s="1"/>
      <c r="W35" s="1">
        <f t="shared" si="5"/>
        <v>21.049382716049383</v>
      </c>
      <c r="X35" s="1">
        <f t="shared" si="6"/>
        <v>21.049382716049383</v>
      </c>
      <c r="Y35" s="1">
        <v>26.6</v>
      </c>
      <c r="Z35" s="1">
        <v>35.333333333333343</v>
      </c>
      <c r="AA35" s="1">
        <v>30.4</v>
      </c>
      <c r="AB35" s="1">
        <v>16.2</v>
      </c>
      <c r="AC35" s="1">
        <v>29.8</v>
      </c>
      <c r="AD35" s="1">
        <v>26.2</v>
      </c>
      <c r="AE35" s="1">
        <v>20.2</v>
      </c>
      <c r="AF35" s="1">
        <v>21.2</v>
      </c>
      <c r="AG35" s="1" t="s">
        <v>40</v>
      </c>
      <c r="AH35" s="1">
        <f t="shared" si="10"/>
        <v>0</v>
      </c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 spans="1:51" x14ac:dyDescent="0.25">
      <c r="A36" s="1" t="s">
        <v>78</v>
      </c>
      <c r="B36" s="1" t="s">
        <v>43</v>
      </c>
      <c r="C36" s="1">
        <v>695</v>
      </c>
      <c r="D36" s="1">
        <v>18</v>
      </c>
      <c r="E36" s="1">
        <v>406</v>
      </c>
      <c r="F36" s="1">
        <v>270</v>
      </c>
      <c r="G36" s="8">
        <v>0.4</v>
      </c>
      <c r="H36" s="1">
        <v>45</v>
      </c>
      <c r="I36" s="1" t="s">
        <v>38</v>
      </c>
      <c r="J36" s="1"/>
      <c r="K36" s="1">
        <v>427</v>
      </c>
      <c r="L36" s="1">
        <f t="shared" si="2"/>
        <v>-21</v>
      </c>
      <c r="M36" s="1"/>
      <c r="N36" s="1"/>
      <c r="O36" s="1">
        <v>191.40000000000009</v>
      </c>
      <c r="P36" s="1">
        <v>247.59999999999991</v>
      </c>
      <c r="Q36" s="1">
        <v>74.799999999999955</v>
      </c>
      <c r="R36" s="1">
        <f t="shared" si="3"/>
        <v>81.2</v>
      </c>
      <c r="S36" s="5">
        <f t="shared" si="11"/>
        <v>190.60000000000014</v>
      </c>
      <c r="T36" s="5"/>
      <c r="U36" s="1"/>
      <c r="V36" s="1"/>
      <c r="W36" s="1">
        <f t="shared" si="5"/>
        <v>12</v>
      </c>
      <c r="X36" s="1">
        <f t="shared" si="6"/>
        <v>9.652709359605911</v>
      </c>
      <c r="Y36" s="1">
        <v>87.8</v>
      </c>
      <c r="Z36" s="1">
        <v>94.5</v>
      </c>
      <c r="AA36" s="1">
        <v>98.4</v>
      </c>
      <c r="AB36" s="1">
        <v>70.599999999999994</v>
      </c>
      <c r="AC36" s="1">
        <v>114.4</v>
      </c>
      <c r="AD36" s="1">
        <v>103.2</v>
      </c>
      <c r="AE36" s="1">
        <v>73</v>
      </c>
      <c r="AF36" s="1">
        <v>81</v>
      </c>
      <c r="AG36" s="1"/>
      <c r="AH36" s="1">
        <f t="shared" si="10"/>
        <v>76.240000000000052</v>
      </c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spans="1:51" x14ac:dyDescent="0.25">
      <c r="A37" s="13" t="s">
        <v>79</v>
      </c>
      <c r="B37" s="13" t="s">
        <v>43</v>
      </c>
      <c r="C37" s="13">
        <v>28</v>
      </c>
      <c r="D37" s="13"/>
      <c r="E37" s="13">
        <v>11</v>
      </c>
      <c r="F37" s="13">
        <v>17</v>
      </c>
      <c r="G37" s="14">
        <v>0</v>
      </c>
      <c r="H37" s="13" t="e">
        <v>#N/A</v>
      </c>
      <c r="I37" s="13" t="s">
        <v>44</v>
      </c>
      <c r="J37" s="13"/>
      <c r="K37" s="13">
        <v>11</v>
      </c>
      <c r="L37" s="13">
        <f t="shared" si="2"/>
        <v>0</v>
      </c>
      <c r="M37" s="13"/>
      <c r="N37" s="13"/>
      <c r="O37" s="13">
        <v>0</v>
      </c>
      <c r="P37" s="13">
        <v>0</v>
      </c>
      <c r="Q37" s="13">
        <v>0</v>
      </c>
      <c r="R37" s="13">
        <f t="shared" si="3"/>
        <v>2.2000000000000002</v>
      </c>
      <c r="S37" s="15"/>
      <c r="T37" s="15"/>
      <c r="U37" s="13"/>
      <c r="V37" s="13"/>
      <c r="W37" s="13">
        <f t="shared" si="5"/>
        <v>7.7272727272727266</v>
      </c>
      <c r="X37" s="13">
        <f t="shared" si="6"/>
        <v>7.7272727272727266</v>
      </c>
      <c r="Y37" s="13">
        <v>1.6</v>
      </c>
      <c r="Z37" s="13">
        <v>0.33333333333333331</v>
      </c>
      <c r="AA37" s="13">
        <v>0</v>
      </c>
      <c r="AB37" s="13">
        <v>0</v>
      </c>
      <c r="AC37" s="13">
        <v>0</v>
      </c>
      <c r="AD37" s="13">
        <v>0</v>
      </c>
      <c r="AE37" s="13">
        <v>0</v>
      </c>
      <c r="AF37" s="13">
        <v>0</v>
      </c>
      <c r="AG37" s="13" t="s">
        <v>45</v>
      </c>
      <c r="AH37" s="13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 spans="1:51" x14ac:dyDescent="0.25">
      <c r="A38" s="1" t="s">
        <v>80</v>
      </c>
      <c r="B38" s="1" t="s">
        <v>43</v>
      </c>
      <c r="C38" s="1"/>
      <c r="D38" s="1">
        <v>48</v>
      </c>
      <c r="E38" s="1">
        <v>43</v>
      </c>
      <c r="F38" s="1"/>
      <c r="G38" s="8">
        <v>0.4</v>
      </c>
      <c r="H38" s="1">
        <v>40</v>
      </c>
      <c r="I38" s="1" t="s">
        <v>38</v>
      </c>
      <c r="J38" s="1"/>
      <c r="K38" s="1">
        <v>56</v>
      </c>
      <c r="L38" s="1">
        <f t="shared" ref="L38:L69" si="12">E38-K38</f>
        <v>-13</v>
      </c>
      <c r="M38" s="1"/>
      <c r="N38" s="1"/>
      <c r="O38" s="1">
        <v>0</v>
      </c>
      <c r="P38" s="1">
        <v>0</v>
      </c>
      <c r="Q38" s="1">
        <v>0</v>
      </c>
      <c r="R38" s="1">
        <f t="shared" si="3"/>
        <v>8.6</v>
      </c>
      <c r="S38" s="5">
        <f>9*R38-Q38-P38-O38-F38</f>
        <v>77.399999999999991</v>
      </c>
      <c r="T38" s="5"/>
      <c r="U38" s="1"/>
      <c r="V38" s="1"/>
      <c r="W38" s="1">
        <f t="shared" si="5"/>
        <v>9</v>
      </c>
      <c r="X38" s="1">
        <f t="shared" si="6"/>
        <v>0</v>
      </c>
      <c r="Y38" s="1">
        <v>1.8</v>
      </c>
      <c r="Z38" s="1">
        <v>-1.166666666666667</v>
      </c>
      <c r="AA38" s="1">
        <v>-1.4</v>
      </c>
      <c r="AB38" s="1">
        <v>0.4</v>
      </c>
      <c r="AC38" s="1">
        <v>8.4</v>
      </c>
      <c r="AD38" s="1">
        <v>6.4</v>
      </c>
      <c r="AE38" s="1">
        <v>3.2</v>
      </c>
      <c r="AF38" s="1">
        <v>6</v>
      </c>
      <c r="AG38" s="1" t="s">
        <v>81</v>
      </c>
      <c r="AH38" s="1">
        <f t="shared" ref="AH38:AH50" si="13">G38*S38</f>
        <v>30.959999999999997</v>
      </c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 spans="1:51" x14ac:dyDescent="0.25">
      <c r="A39" s="1" t="s">
        <v>82</v>
      </c>
      <c r="B39" s="1" t="s">
        <v>37</v>
      </c>
      <c r="C39" s="1">
        <v>28.167000000000002</v>
      </c>
      <c r="D39" s="1">
        <v>68.451999999999998</v>
      </c>
      <c r="E39" s="1">
        <v>26.64</v>
      </c>
      <c r="F39" s="1">
        <v>65.783000000000001</v>
      </c>
      <c r="G39" s="8">
        <v>1</v>
      </c>
      <c r="H39" s="1">
        <v>45</v>
      </c>
      <c r="I39" s="1" t="s">
        <v>38</v>
      </c>
      <c r="J39" s="1"/>
      <c r="K39" s="1">
        <v>28.3</v>
      </c>
      <c r="L39" s="1">
        <f t="shared" si="12"/>
        <v>-1.6600000000000001</v>
      </c>
      <c r="M39" s="1"/>
      <c r="N39" s="1"/>
      <c r="O39" s="1">
        <v>0</v>
      </c>
      <c r="P39" s="1">
        <v>0</v>
      </c>
      <c r="Q39" s="1">
        <v>0</v>
      </c>
      <c r="R39" s="1">
        <f t="shared" si="3"/>
        <v>5.3280000000000003</v>
      </c>
      <c r="S39" s="5"/>
      <c r="T39" s="5"/>
      <c r="U39" s="1"/>
      <c r="V39" s="1"/>
      <c r="W39" s="1">
        <f t="shared" si="5"/>
        <v>12.346659159159159</v>
      </c>
      <c r="X39" s="1">
        <f t="shared" si="6"/>
        <v>12.346659159159159</v>
      </c>
      <c r="Y39" s="1">
        <v>2.2604000000000002</v>
      </c>
      <c r="Z39" s="1">
        <v>1.162666666666667</v>
      </c>
      <c r="AA39" s="1">
        <v>5.8878000000000004</v>
      </c>
      <c r="AB39" s="1">
        <v>7.9117999999999986</v>
      </c>
      <c r="AC39" s="1">
        <v>5.5939999999999994</v>
      </c>
      <c r="AD39" s="1">
        <v>5.4148000000000014</v>
      </c>
      <c r="AE39" s="1">
        <v>3.1444000000000001</v>
      </c>
      <c r="AF39" s="1">
        <v>5.4264000000000001</v>
      </c>
      <c r="AG39" s="1"/>
      <c r="AH39" s="1">
        <f t="shared" si="13"/>
        <v>0</v>
      </c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spans="1:51" x14ac:dyDescent="0.25">
      <c r="A40" s="1" t="s">
        <v>83</v>
      </c>
      <c r="B40" s="1" t="s">
        <v>43</v>
      </c>
      <c r="C40" s="1">
        <v>109</v>
      </c>
      <c r="D40" s="1"/>
      <c r="E40" s="1">
        <v>37</v>
      </c>
      <c r="F40" s="1">
        <v>67</v>
      </c>
      <c r="G40" s="8">
        <v>0.1</v>
      </c>
      <c r="H40" s="1">
        <v>730</v>
      </c>
      <c r="I40" s="1" t="s">
        <v>38</v>
      </c>
      <c r="J40" s="1"/>
      <c r="K40" s="1">
        <v>37</v>
      </c>
      <c r="L40" s="1">
        <f t="shared" si="12"/>
        <v>0</v>
      </c>
      <c r="M40" s="1"/>
      <c r="N40" s="1"/>
      <c r="O40" s="1">
        <v>0</v>
      </c>
      <c r="P40" s="1">
        <v>0</v>
      </c>
      <c r="Q40" s="1">
        <v>0</v>
      </c>
      <c r="R40" s="1">
        <f t="shared" si="3"/>
        <v>7.4</v>
      </c>
      <c r="S40" s="5">
        <f t="shared" ref="S40:S49" si="14">12*R40-Q40-P40-O40-F40</f>
        <v>21.800000000000011</v>
      </c>
      <c r="T40" s="5"/>
      <c r="U40" s="1"/>
      <c r="V40" s="1"/>
      <c r="W40" s="1">
        <f t="shared" si="5"/>
        <v>12.000000000000002</v>
      </c>
      <c r="X40" s="1">
        <f t="shared" si="6"/>
        <v>9.0540540540540544</v>
      </c>
      <c r="Y40" s="1">
        <v>6.4</v>
      </c>
      <c r="Z40" s="1">
        <v>4.5</v>
      </c>
      <c r="AA40" s="1">
        <v>5.6</v>
      </c>
      <c r="AB40" s="1">
        <v>4.8</v>
      </c>
      <c r="AC40" s="1">
        <v>8.8000000000000007</v>
      </c>
      <c r="AD40" s="1">
        <v>10.6</v>
      </c>
      <c r="AE40" s="1">
        <v>5.2</v>
      </c>
      <c r="AF40" s="1">
        <v>5.4</v>
      </c>
      <c r="AG40" s="1"/>
      <c r="AH40" s="1">
        <f t="shared" si="13"/>
        <v>2.180000000000001</v>
      </c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 spans="1:51" x14ac:dyDescent="0.25">
      <c r="A41" s="1" t="s">
        <v>84</v>
      </c>
      <c r="B41" s="1" t="s">
        <v>43</v>
      </c>
      <c r="C41" s="1">
        <v>63</v>
      </c>
      <c r="D41" s="1">
        <v>134</v>
      </c>
      <c r="E41" s="1">
        <v>92</v>
      </c>
      <c r="F41" s="1">
        <v>92</v>
      </c>
      <c r="G41" s="8">
        <v>0.35</v>
      </c>
      <c r="H41" s="1">
        <v>40</v>
      </c>
      <c r="I41" s="1" t="s">
        <v>38</v>
      </c>
      <c r="J41" s="1"/>
      <c r="K41" s="1">
        <v>104</v>
      </c>
      <c r="L41" s="1">
        <f t="shared" si="12"/>
        <v>-12</v>
      </c>
      <c r="M41" s="1"/>
      <c r="N41" s="1"/>
      <c r="O41" s="1">
        <v>0</v>
      </c>
      <c r="P41" s="1">
        <v>34.280000000000143</v>
      </c>
      <c r="Q41" s="1">
        <v>51.519999999999868</v>
      </c>
      <c r="R41" s="1">
        <f t="shared" si="3"/>
        <v>18.399999999999999</v>
      </c>
      <c r="S41" s="5">
        <f t="shared" si="14"/>
        <v>42.999999999999972</v>
      </c>
      <c r="T41" s="5"/>
      <c r="U41" s="1"/>
      <c r="V41" s="1"/>
      <c r="W41" s="1">
        <f t="shared" si="5"/>
        <v>12</v>
      </c>
      <c r="X41" s="1">
        <f t="shared" si="6"/>
        <v>9.663043478260871</v>
      </c>
      <c r="Y41" s="1">
        <v>19.8</v>
      </c>
      <c r="Z41" s="1">
        <v>19.333333333333329</v>
      </c>
      <c r="AA41" s="1">
        <v>20.8</v>
      </c>
      <c r="AB41" s="1">
        <v>22.4</v>
      </c>
      <c r="AC41" s="1">
        <v>18.8</v>
      </c>
      <c r="AD41" s="1">
        <v>25.2</v>
      </c>
      <c r="AE41" s="1">
        <v>20.6</v>
      </c>
      <c r="AF41" s="1">
        <v>15</v>
      </c>
      <c r="AG41" s="1" t="s">
        <v>40</v>
      </c>
      <c r="AH41" s="1">
        <f t="shared" si="13"/>
        <v>15.049999999999988</v>
      </c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spans="1:51" x14ac:dyDescent="0.25">
      <c r="A42" s="1" t="s">
        <v>85</v>
      </c>
      <c r="B42" s="1" t="s">
        <v>37</v>
      </c>
      <c r="C42" s="1">
        <v>8.6999999999999994E-2</v>
      </c>
      <c r="D42" s="1">
        <v>237.65799999999999</v>
      </c>
      <c r="E42" s="1">
        <v>93.733000000000004</v>
      </c>
      <c r="F42" s="1">
        <v>133.87</v>
      </c>
      <c r="G42" s="8">
        <v>1</v>
      </c>
      <c r="H42" s="1">
        <v>40</v>
      </c>
      <c r="I42" s="1" t="s">
        <v>38</v>
      </c>
      <c r="J42" s="1"/>
      <c r="K42" s="1">
        <v>102.033</v>
      </c>
      <c r="L42" s="1">
        <f t="shared" si="12"/>
        <v>-8.2999999999999972</v>
      </c>
      <c r="M42" s="1"/>
      <c r="N42" s="1"/>
      <c r="O42" s="1">
        <v>183.54080000000019</v>
      </c>
      <c r="P42" s="1">
        <v>0</v>
      </c>
      <c r="Q42" s="1">
        <v>0</v>
      </c>
      <c r="R42" s="1">
        <f t="shared" si="3"/>
        <v>18.746600000000001</v>
      </c>
      <c r="S42" s="5"/>
      <c r="T42" s="5"/>
      <c r="U42" s="1"/>
      <c r="V42" s="1"/>
      <c r="W42" s="1">
        <f t="shared" si="5"/>
        <v>16.931646271857307</v>
      </c>
      <c r="X42" s="1">
        <f t="shared" si="6"/>
        <v>16.931646271857307</v>
      </c>
      <c r="Y42" s="1">
        <v>9.8463999999999992</v>
      </c>
      <c r="Z42" s="1">
        <v>23.373666666666669</v>
      </c>
      <c r="AA42" s="1">
        <v>38.018000000000001</v>
      </c>
      <c r="AB42" s="1">
        <v>29.227399999999999</v>
      </c>
      <c r="AC42" s="1">
        <v>18.8142</v>
      </c>
      <c r="AD42" s="1">
        <v>21.289200000000001</v>
      </c>
      <c r="AE42" s="1">
        <v>27.791599999999999</v>
      </c>
      <c r="AF42" s="1">
        <v>26.162600000000001</v>
      </c>
      <c r="AG42" s="1"/>
      <c r="AH42" s="1">
        <f t="shared" si="13"/>
        <v>0</v>
      </c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spans="1:51" x14ac:dyDescent="0.25">
      <c r="A43" s="1" t="s">
        <v>86</v>
      </c>
      <c r="B43" s="1" t="s">
        <v>43</v>
      </c>
      <c r="C43" s="1">
        <v>301</v>
      </c>
      <c r="D43" s="1">
        <v>12</v>
      </c>
      <c r="E43" s="1">
        <v>54</v>
      </c>
      <c r="F43" s="1">
        <v>219</v>
      </c>
      <c r="G43" s="8">
        <v>0.4</v>
      </c>
      <c r="H43" s="1">
        <v>40</v>
      </c>
      <c r="I43" s="1" t="s">
        <v>38</v>
      </c>
      <c r="J43" s="1"/>
      <c r="K43" s="1">
        <v>91</v>
      </c>
      <c r="L43" s="1">
        <f t="shared" si="12"/>
        <v>-37</v>
      </c>
      <c r="M43" s="1"/>
      <c r="N43" s="1"/>
      <c r="O43" s="1">
        <v>0</v>
      </c>
      <c r="P43" s="1">
        <v>0</v>
      </c>
      <c r="Q43" s="1">
        <v>0</v>
      </c>
      <c r="R43" s="1">
        <f t="shared" si="3"/>
        <v>10.8</v>
      </c>
      <c r="S43" s="5"/>
      <c r="T43" s="5"/>
      <c r="U43" s="1"/>
      <c r="V43" s="1"/>
      <c r="W43" s="1">
        <f t="shared" si="5"/>
        <v>20.277777777777775</v>
      </c>
      <c r="X43" s="1">
        <f t="shared" si="6"/>
        <v>20.277777777777775</v>
      </c>
      <c r="Y43" s="1">
        <v>8.4</v>
      </c>
      <c r="Z43" s="1">
        <v>16</v>
      </c>
      <c r="AA43" s="1">
        <v>13.2</v>
      </c>
      <c r="AB43" s="1">
        <v>4.5999999999999996</v>
      </c>
      <c r="AC43" s="1">
        <v>34.4</v>
      </c>
      <c r="AD43" s="1">
        <v>28</v>
      </c>
      <c r="AE43" s="1">
        <v>10.199999999999999</v>
      </c>
      <c r="AF43" s="1">
        <v>2</v>
      </c>
      <c r="AG43" s="22" t="s">
        <v>72</v>
      </c>
      <c r="AH43" s="1">
        <f t="shared" si="13"/>
        <v>0</v>
      </c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 spans="1:51" x14ac:dyDescent="0.25">
      <c r="A44" s="1" t="s">
        <v>87</v>
      </c>
      <c r="B44" s="1" t="s">
        <v>43</v>
      </c>
      <c r="C44" s="1">
        <v>491</v>
      </c>
      <c r="D44" s="1">
        <v>9</v>
      </c>
      <c r="E44" s="1">
        <v>131</v>
      </c>
      <c r="F44" s="1">
        <v>358</v>
      </c>
      <c r="G44" s="8">
        <v>0.4</v>
      </c>
      <c r="H44" s="1">
        <v>45</v>
      </c>
      <c r="I44" s="1" t="s">
        <v>38</v>
      </c>
      <c r="J44" s="1"/>
      <c r="K44" s="1">
        <v>142</v>
      </c>
      <c r="L44" s="1">
        <f t="shared" si="12"/>
        <v>-11</v>
      </c>
      <c r="M44" s="1"/>
      <c r="N44" s="1"/>
      <c r="O44" s="1">
        <v>0</v>
      </c>
      <c r="P44" s="1">
        <v>0</v>
      </c>
      <c r="Q44" s="1">
        <v>0</v>
      </c>
      <c r="R44" s="1">
        <f t="shared" si="3"/>
        <v>26.2</v>
      </c>
      <c r="S44" s="5"/>
      <c r="T44" s="5"/>
      <c r="U44" s="1"/>
      <c r="V44" s="1"/>
      <c r="W44" s="1">
        <f t="shared" si="5"/>
        <v>13.664122137404581</v>
      </c>
      <c r="X44" s="1">
        <f t="shared" si="6"/>
        <v>13.664122137404581</v>
      </c>
      <c r="Y44" s="1">
        <v>26.4</v>
      </c>
      <c r="Z44" s="1">
        <v>38.666666666666657</v>
      </c>
      <c r="AA44" s="1">
        <v>33</v>
      </c>
      <c r="AB44" s="1">
        <v>7.6</v>
      </c>
      <c r="AC44" s="1">
        <v>55</v>
      </c>
      <c r="AD44" s="1">
        <v>27.8</v>
      </c>
      <c r="AE44" s="1">
        <v>13.8</v>
      </c>
      <c r="AF44" s="1">
        <v>13.2</v>
      </c>
      <c r="AG44" s="1" t="s">
        <v>40</v>
      </c>
      <c r="AH44" s="1">
        <f t="shared" si="13"/>
        <v>0</v>
      </c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spans="1:51" x14ac:dyDescent="0.25">
      <c r="A45" s="1" t="s">
        <v>88</v>
      </c>
      <c r="B45" s="1" t="s">
        <v>37</v>
      </c>
      <c r="C45" s="1">
        <v>17.405999999999999</v>
      </c>
      <c r="D45" s="1">
        <v>323.51</v>
      </c>
      <c r="E45" s="1">
        <v>154.37799999999999</v>
      </c>
      <c r="F45" s="1">
        <v>178.49700000000001</v>
      </c>
      <c r="G45" s="8">
        <v>1</v>
      </c>
      <c r="H45" s="1">
        <v>40</v>
      </c>
      <c r="I45" s="1" t="s">
        <v>38</v>
      </c>
      <c r="J45" s="1"/>
      <c r="K45" s="1">
        <v>158.18799999999999</v>
      </c>
      <c r="L45" s="1">
        <f t="shared" si="12"/>
        <v>-3.8100000000000023</v>
      </c>
      <c r="M45" s="1"/>
      <c r="N45" s="1"/>
      <c r="O45" s="1">
        <v>0</v>
      </c>
      <c r="P45" s="1">
        <v>4</v>
      </c>
      <c r="Q45" s="1">
        <v>91.980199999999968</v>
      </c>
      <c r="R45" s="1">
        <f t="shared" si="3"/>
        <v>30.875599999999999</v>
      </c>
      <c r="S45" s="5">
        <f t="shared" si="14"/>
        <v>96.03000000000003</v>
      </c>
      <c r="T45" s="5"/>
      <c r="U45" s="1"/>
      <c r="V45" s="1"/>
      <c r="W45" s="1">
        <f t="shared" si="5"/>
        <v>12.000000000000002</v>
      </c>
      <c r="X45" s="1">
        <f t="shared" si="6"/>
        <v>8.889777040770058</v>
      </c>
      <c r="Y45" s="1">
        <v>32.422199999999997</v>
      </c>
      <c r="Z45" s="1">
        <v>27.6645</v>
      </c>
      <c r="AA45" s="1">
        <v>30.544599999999999</v>
      </c>
      <c r="AB45" s="1">
        <v>41.069400000000002</v>
      </c>
      <c r="AC45" s="1">
        <v>29.6418</v>
      </c>
      <c r="AD45" s="1">
        <v>30.0472</v>
      </c>
      <c r="AE45" s="1">
        <v>29.268599999999999</v>
      </c>
      <c r="AF45" s="1">
        <v>32.658000000000001</v>
      </c>
      <c r="AG45" s="1"/>
      <c r="AH45" s="1">
        <f t="shared" si="13"/>
        <v>96.03000000000003</v>
      </c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spans="1:51" x14ac:dyDescent="0.25">
      <c r="A46" s="1" t="s">
        <v>89</v>
      </c>
      <c r="B46" s="1" t="s">
        <v>43</v>
      </c>
      <c r="C46" s="1">
        <v>245</v>
      </c>
      <c r="D46" s="1">
        <v>36</v>
      </c>
      <c r="E46" s="1">
        <v>206</v>
      </c>
      <c r="F46" s="1">
        <v>58</v>
      </c>
      <c r="G46" s="8">
        <v>0.35</v>
      </c>
      <c r="H46" s="1">
        <v>40</v>
      </c>
      <c r="I46" s="1" t="s">
        <v>38</v>
      </c>
      <c r="J46" s="1"/>
      <c r="K46" s="1">
        <v>219</v>
      </c>
      <c r="L46" s="1">
        <f t="shared" si="12"/>
        <v>-13</v>
      </c>
      <c r="M46" s="1"/>
      <c r="N46" s="1"/>
      <c r="O46" s="1">
        <v>134.31999999999979</v>
      </c>
      <c r="P46" s="1">
        <v>0</v>
      </c>
      <c r="Q46" s="1">
        <v>0</v>
      </c>
      <c r="R46" s="1">
        <f t="shared" si="3"/>
        <v>41.2</v>
      </c>
      <c r="S46" s="5">
        <f t="shared" si="14"/>
        <v>302.08000000000027</v>
      </c>
      <c r="T46" s="5"/>
      <c r="U46" s="1"/>
      <c r="V46" s="1"/>
      <c r="W46" s="1">
        <f t="shared" si="5"/>
        <v>12.000000000000002</v>
      </c>
      <c r="X46" s="1">
        <f t="shared" si="6"/>
        <v>4.6679611650485384</v>
      </c>
      <c r="Y46" s="1">
        <v>27.8</v>
      </c>
      <c r="Z46" s="1">
        <v>32.333333333333343</v>
      </c>
      <c r="AA46" s="1">
        <v>42</v>
      </c>
      <c r="AB46" s="1">
        <v>32.200000000000003</v>
      </c>
      <c r="AC46" s="1">
        <v>40.200000000000003</v>
      </c>
      <c r="AD46" s="1">
        <v>48.8</v>
      </c>
      <c r="AE46" s="1">
        <v>36</v>
      </c>
      <c r="AF46" s="1">
        <v>32</v>
      </c>
      <c r="AG46" s="1" t="s">
        <v>52</v>
      </c>
      <c r="AH46" s="1">
        <f t="shared" si="13"/>
        <v>105.72800000000009</v>
      </c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spans="1:51" x14ac:dyDescent="0.25">
      <c r="A47" s="1" t="s">
        <v>90</v>
      </c>
      <c r="B47" s="1" t="s">
        <v>43</v>
      </c>
      <c r="C47" s="1">
        <v>272</v>
      </c>
      <c r="D47" s="1">
        <v>11</v>
      </c>
      <c r="E47" s="1">
        <v>257</v>
      </c>
      <c r="F47" s="1">
        <v>6</v>
      </c>
      <c r="G47" s="8">
        <v>0.4</v>
      </c>
      <c r="H47" s="1">
        <v>40</v>
      </c>
      <c r="I47" s="1" t="s">
        <v>38</v>
      </c>
      <c r="J47" s="1"/>
      <c r="K47" s="1">
        <v>302</v>
      </c>
      <c r="L47" s="1">
        <f t="shared" si="12"/>
        <v>-45</v>
      </c>
      <c r="M47" s="1"/>
      <c r="N47" s="1"/>
      <c r="O47" s="1">
        <v>271.2</v>
      </c>
      <c r="P47" s="1">
        <v>346.8</v>
      </c>
      <c r="Q47" s="1">
        <v>0</v>
      </c>
      <c r="R47" s="1">
        <f t="shared" si="3"/>
        <v>51.4</v>
      </c>
      <c r="S47" s="5"/>
      <c r="T47" s="5"/>
      <c r="U47" s="1"/>
      <c r="V47" s="1"/>
      <c r="W47" s="1">
        <f t="shared" si="5"/>
        <v>12.140077821011673</v>
      </c>
      <c r="X47" s="1">
        <f t="shared" si="6"/>
        <v>12.140077821011673</v>
      </c>
      <c r="Y47" s="1">
        <v>64</v>
      </c>
      <c r="Z47" s="1">
        <v>74.166666666666671</v>
      </c>
      <c r="AA47" s="1">
        <v>65.2</v>
      </c>
      <c r="AB47" s="1">
        <v>44.6</v>
      </c>
      <c r="AC47" s="1">
        <v>80.400000000000006</v>
      </c>
      <c r="AD47" s="1">
        <v>61.8</v>
      </c>
      <c r="AE47" s="1">
        <v>53.6</v>
      </c>
      <c r="AF47" s="1">
        <v>67.400000000000006</v>
      </c>
      <c r="AG47" s="1" t="s">
        <v>40</v>
      </c>
      <c r="AH47" s="1">
        <f t="shared" si="13"/>
        <v>0</v>
      </c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spans="1:51" x14ac:dyDescent="0.25">
      <c r="A48" s="1" t="s">
        <v>91</v>
      </c>
      <c r="B48" s="1" t="s">
        <v>37</v>
      </c>
      <c r="C48" s="1">
        <v>5.3810000000000002</v>
      </c>
      <c r="D48" s="1">
        <v>86.522000000000006</v>
      </c>
      <c r="E48" s="1">
        <v>54.148000000000003</v>
      </c>
      <c r="F48" s="1">
        <v>29.765000000000001</v>
      </c>
      <c r="G48" s="8">
        <v>1</v>
      </c>
      <c r="H48" s="1">
        <v>50</v>
      </c>
      <c r="I48" s="1" t="s">
        <v>38</v>
      </c>
      <c r="J48" s="1"/>
      <c r="K48" s="1">
        <v>52.5</v>
      </c>
      <c r="L48" s="1">
        <f t="shared" si="12"/>
        <v>1.6480000000000032</v>
      </c>
      <c r="M48" s="1"/>
      <c r="N48" s="1"/>
      <c r="O48" s="1">
        <v>138.19020000000009</v>
      </c>
      <c r="P48" s="1">
        <v>63.680749999999897</v>
      </c>
      <c r="Q48" s="1">
        <v>0</v>
      </c>
      <c r="R48" s="1">
        <f t="shared" si="3"/>
        <v>10.829600000000001</v>
      </c>
      <c r="S48" s="5"/>
      <c r="T48" s="5"/>
      <c r="U48" s="1"/>
      <c r="V48" s="1"/>
      <c r="W48" s="1">
        <f t="shared" si="5"/>
        <v>21.389151030508973</v>
      </c>
      <c r="X48" s="1">
        <f t="shared" si="6"/>
        <v>21.389151030508973</v>
      </c>
      <c r="Y48" s="1">
        <v>12.9322</v>
      </c>
      <c r="Z48" s="1">
        <v>20.37316666666667</v>
      </c>
      <c r="AA48" s="1">
        <v>23.681799999999999</v>
      </c>
      <c r="AB48" s="1">
        <v>12.9686</v>
      </c>
      <c r="AC48" s="1">
        <v>13.4724</v>
      </c>
      <c r="AD48" s="1">
        <v>8.6025999999999989</v>
      </c>
      <c r="AE48" s="1">
        <v>10.509</v>
      </c>
      <c r="AF48" s="1">
        <v>18.158200000000001</v>
      </c>
      <c r="AG48" s="1"/>
      <c r="AH48" s="1">
        <f t="shared" si="13"/>
        <v>0</v>
      </c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spans="1:51" x14ac:dyDescent="0.25">
      <c r="A49" s="1" t="s">
        <v>92</v>
      </c>
      <c r="B49" s="1" t="s">
        <v>37</v>
      </c>
      <c r="C49" s="1">
        <v>109.547</v>
      </c>
      <c r="D49" s="1">
        <v>289.17700000000002</v>
      </c>
      <c r="E49" s="1">
        <v>156.12799999999999</v>
      </c>
      <c r="F49" s="1">
        <v>235.131</v>
      </c>
      <c r="G49" s="8">
        <v>1</v>
      </c>
      <c r="H49" s="1">
        <v>50</v>
      </c>
      <c r="I49" s="1" t="s">
        <v>38</v>
      </c>
      <c r="J49" s="1"/>
      <c r="K49" s="1">
        <v>151.03800000000001</v>
      </c>
      <c r="L49" s="1">
        <f t="shared" si="12"/>
        <v>5.089999999999975</v>
      </c>
      <c r="M49" s="1"/>
      <c r="N49" s="1"/>
      <c r="O49" s="1">
        <v>60.672599999999989</v>
      </c>
      <c r="P49" s="1">
        <v>0</v>
      </c>
      <c r="Q49" s="1">
        <v>0</v>
      </c>
      <c r="R49" s="1">
        <f t="shared" si="3"/>
        <v>31.225599999999996</v>
      </c>
      <c r="S49" s="5">
        <f t="shared" si="14"/>
        <v>78.903599999999955</v>
      </c>
      <c r="T49" s="5"/>
      <c r="U49" s="1"/>
      <c r="V49" s="1"/>
      <c r="W49" s="1">
        <f t="shared" si="5"/>
        <v>12</v>
      </c>
      <c r="X49" s="1">
        <f t="shared" si="6"/>
        <v>9.4731118056978882</v>
      </c>
      <c r="Y49" s="1">
        <v>30.873799999999999</v>
      </c>
      <c r="Z49" s="1">
        <v>31.46466666666667</v>
      </c>
      <c r="AA49" s="1">
        <v>40.104399999999998</v>
      </c>
      <c r="AB49" s="1">
        <v>36.584200000000003</v>
      </c>
      <c r="AC49" s="1">
        <v>32.971200000000003</v>
      </c>
      <c r="AD49" s="1">
        <v>31.989000000000001</v>
      </c>
      <c r="AE49" s="1">
        <v>28.648</v>
      </c>
      <c r="AF49" s="1">
        <v>28.224799999999998</v>
      </c>
      <c r="AG49" s="1"/>
      <c r="AH49" s="1">
        <f t="shared" si="13"/>
        <v>78.903599999999955</v>
      </c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spans="1:51" x14ac:dyDescent="0.25">
      <c r="A50" s="1" t="s">
        <v>93</v>
      </c>
      <c r="B50" s="1" t="s">
        <v>37</v>
      </c>
      <c r="C50" s="1">
        <v>33.151000000000003</v>
      </c>
      <c r="D50" s="1">
        <v>67.977000000000004</v>
      </c>
      <c r="E50" s="1">
        <v>101.29</v>
      </c>
      <c r="F50" s="1">
        <v>-0.16200000000000001</v>
      </c>
      <c r="G50" s="8">
        <v>1</v>
      </c>
      <c r="H50" s="1">
        <v>40</v>
      </c>
      <c r="I50" s="11" t="s">
        <v>94</v>
      </c>
      <c r="J50" s="1"/>
      <c r="K50" s="1">
        <v>124.4</v>
      </c>
      <c r="L50" s="1">
        <f t="shared" si="12"/>
        <v>-23.11</v>
      </c>
      <c r="M50" s="1"/>
      <c r="N50" s="1"/>
      <c r="O50" s="1">
        <v>0</v>
      </c>
      <c r="P50" s="1">
        <v>20.1632</v>
      </c>
      <c r="Q50" s="1">
        <v>120</v>
      </c>
      <c r="R50" s="1">
        <f t="shared" si="3"/>
        <v>20.258000000000003</v>
      </c>
      <c r="S50" s="5">
        <f>11*R50-Q50-P50-O50-F50</f>
        <v>82.836800000000025</v>
      </c>
      <c r="T50" s="5"/>
      <c r="U50" s="1"/>
      <c r="V50" s="1"/>
      <c r="W50" s="1">
        <f t="shared" si="5"/>
        <v>11</v>
      </c>
      <c r="X50" s="1">
        <f t="shared" si="6"/>
        <v>6.9109092704116888</v>
      </c>
      <c r="Y50" s="1">
        <v>22.395399999999999</v>
      </c>
      <c r="Z50" s="1">
        <v>7.9931666666666672</v>
      </c>
      <c r="AA50" s="1">
        <v>7.4543999999999997</v>
      </c>
      <c r="AB50" s="1">
        <v>7.1261999999999999</v>
      </c>
      <c r="AC50" s="1">
        <v>9.4860000000000007</v>
      </c>
      <c r="AD50" s="1">
        <v>5.6243999999999996</v>
      </c>
      <c r="AE50" s="1">
        <v>4.1120000000000001</v>
      </c>
      <c r="AF50" s="1">
        <v>5.6002000000000001</v>
      </c>
      <c r="AG50" s="1" t="s">
        <v>95</v>
      </c>
      <c r="AH50" s="1">
        <f t="shared" si="13"/>
        <v>82.836800000000025</v>
      </c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spans="1:51" x14ac:dyDescent="0.25">
      <c r="A51" s="13" t="s">
        <v>96</v>
      </c>
      <c r="B51" s="13" t="s">
        <v>43</v>
      </c>
      <c r="C51" s="13">
        <v>27</v>
      </c>
      <c r="D51" s="13">
        <v>2</v>
      </c>
      <c r="E51" s="13">
        <v>12</v>
      </c>
      <c r="F51" s="13">
        <v>16</v>
      </c>
      <c r="G51" s="14">
        <v>0</v>
      </c>
      <c r="H51" s="13" t="e">
        <v>#N/A</v>
      </c>
      <c r="I51" s="13" t="s">
        <v>44</v>
      </c>
      <c r="J51" s="13"/>
      <c r="K51" s="13">
        <v>12</v>
      </c>
      <c r="L51" s="13">
        <f t="shared" si="12"/>
        <v>0</v>
      </c>
      <c r="M51" s="13"/>
      <c r="N51" s="13"/>
      <c r="O51" s="13">
        <v>0</v>
      </c>
      <c r="P51" s="13">
        <v>0</v>
      </c>
      <c r="Q51" s="13">
        <v>0</v>
      </c>
      <c r="R51" s="13">
        <f t="shared" si="3"/>
        <v>2.4</v>
      </c>
      <c r="S51" s="15"/>
      <c r="T51" s="15"/>
      <c r="U51" s="13"/>
      <c r="V51" s="13"/>
      <c r="W51" s="13">
        <f t="shared" si="5"/>
        <v>6.666666666666667</v>
      </c>
      <c r="X51" s="13">
        <f t="shared" si="6"/>
        <v>6.666666666666667</v>
      </c>
      <c r="Y51" s="13">
        <v>2</v>
      </c>
      <c r="Z51" s="13">
        <v>0.5</v>
      </c>
      <c r="AA51" s="13">
        <v>0</v>
      </c>
      <c r="AB51" s="13">
        <v>0</v>
      </c>
      <c r="AC51" s="13">
        <v>0</v>
      </c>
      <c r="AD51" s="13">
        <v>0</v>
      </c>
      <c r="AE51" s="13">
        <v>0</v>
      </c>
      <c r="AF51" s="13">
        <v>0</v>
      </c>
      <c r="AG51" s="13" t="s">
        <v>45</v>
      </c>
      <c r="AH51" s="13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spans="1:51" x14ac:dyDescent="0.25">
      <c r="A52" s="1" t="s">
        <v>97</v>
      </c>
      <c r="B52" s="1" t="s">
        <v>43</v>
      </c>
      <c r="C52" s="1">
        <v>236</v>
      </c>
      <c r="D52" s="1">
        <v>4.07</v>
      </c>
      <c r="E52" s="1">
        <v>153</v>
      </c>
      <c r="F52" s="1">
        <v>82</v>
      </c>
      <c r="G52" s="8">
        <v>0.45</v>
      </c>
      <c r="H52" s="1">
        <v>50</v>
      </c>
      <c r="I52" s="1" t="s">
        <v>38</v>
      </c>
      <c r="J52" s="1"/>
      <c r="K52" s="1">
        <v>154</v>
      </c>
      <c r="L52" s="1">
        <f t="shared" si="12"/>
        <v>-1</v>
      </c>
      <c r="M52" s="1"/>
      <c r="N52" s="1"/>
      <c r="O52" s="1">
        <v>12</v>
      </c>
      <c r="P52" s="1">
        <v>62.5</v>
      </c>
      <c r="Q52" s="1">
        <v>0</v>
      </c>
      <c r="R52" s="1">
        <f t="shared" si="3"/>
        <v>30.6</v>
      </c>
      <c r="S52" s="5">
        <f>12*R52-Q52-P52-O52-F52</f>
        <v>210.70000000000005</v>
      </c>
      <c r="T52" s="5"/>
      <c r="U52" s="1"/>
      <c r="V52" s="1"/>
      <c r="W52" s="1">
        <f t="shared" si="5"/>
        <v>12.000000000000002</v>
      </c>
      <c r="X52" s="1">
        <f t="shared" si="6"/>
        <v>5.1143790849673199</v>
      </c>
      <c r="Y52" s="1">
        <v>21.013999999999999</v>
      </c>
      <c r="Z52" s="1">
        <v>23</v>
      </c>
      <c r="AA52" s="1">
        <v>24</v>
      </c>
      <c r="AB52" s="1">
        <v>22</v>
      </c>
      <c r="AC52" s="1">
        <v>31.4</v>
      </c>
      <c r="AD52" s="1">
        <v>33.4</v>
      </c>
      <c r="AE52" s="1">
        <v>23</v>
      </c>
      <c r="AF52" s="1">
        <v>21.8</v>
      </c>
      <c r="AG52" s="1"/>
      <c r="AH52" s="1">
        <f>G52*S52</f>
        <v>94.815000000000026</v>
      </c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spans="1:51" x14ac:dyDescent="0.25">
      <c r="A53" s="13" t="s">
        <v>98</v>
      </c>
      <c r="B53" s="13" t="s">
        <v>43</v>
      </c>
      <c r="C53" s="13">
        <v>29</v>
      </c>
      <c r="D53" s="13">
        <v>1</v>
      </c>
      <c r="E53" s="13">
        <v>11</v>
      </c>
      <c r="F53" s="13">
        <v>18</v>
      </c>
      <c r="G53" s="14">
        <v>0</v>
      </c>
      <c r="H53" s="13" t="e">
        <v>#N/A</v>
      </c>
      <c r="I53" s="13" t="s">
        <v>44</v>
      </c>
      <c r="J53" s="13"/>
      <c r="K53" s="13">
        <v>12</v>
      </c>
      <c r="L53" s="13">
        <f t="shared" si="12"/>
        <v>-1</v>
      </c>
      <c r="M53" s="13"/>
      <c r="N53" s="13"/>
      <c r="O53" s="13">
        <v>0</v>
      </c>
      <c r="P53" s="13">
        <v>0</v>
      </c>
      <c r="Q53" s="13">
        <v>0</v>
      </c>
      <c r="R53" s="13">
        <f t="shared" si="3"/>
        <v>2.2000000000000002</v>
      </c>
      <c r="S53" s="15"/>
      <c r="T53" s="15"/>
      <c r="U53" s="13"/>
      <c r="V53" s="13"/>
      <c r="W53" s="13">
        <f t="shared" si="5"/>
        <v>8.1818181818181817</v>
      </c>
      <c r="X53" s="13">
        <f t="shared" si="6"/>
        <v>8.1818181818181817</v>
      </c>
      <c r="Y53" s="13">
        <v>2.2000000000000002</v>
      </c>
      <c r="Z53" s="13">
        <v>0.16666666666666671</v>
      </c>
      <c r="AA53" s="13">
        <v>0</v>
      </c>
      <c r="AB53" s="13">
        <v>0</v>
      </c>
      <c r="AC53" s="13">
        <v>0</v>
      </c>
      <c r="AD53" s="13">
        <v>0</v>
      </c>
      <c r="AE53" s="13">
        <v>0</v>
      </c>
      <c r="AF53" s="13">
        <v>0</v>
      </c>
      <c r="AG53" s="13" t="s">
        <v>45</v>
      </c>
      <c r="AH53" s="13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1:51" x14ac:dyDescent="0.25">
      <c r="A54" s="1" t="s">
        <v>99</v>
      </c>
      <c r="B54" s="1" t="s">
        <v>43</v>
      </c>
      <c r="C54" s="1"/>
      <c r="D54" s="1">
        <v>36</v>
      </c>
      <c r="E54" s="1">
        <v>25</v>
      </c>
      <c r="F54" s="1">
        <v>6</v>
      </c>
      <c r="G54" s="8">
        <v>0.4</v>
      </c>
      <c r="H54" s="1">
        <v>40</v>
      </c>
      <c r="I54" s="1" t="s">
        <v>38</v>
      </c>
      <c r="J54" s="1"/>
      <c r="K54" s="1">
        <v>30</v>
      </c>
      <c r="L54" s="1">
        <f t="shared" si="12"/>
        <v>-5</v>
      </c>
      <c r="M54" s="1"/>
      <c r="N54" s="1"/>
      <c r="O54" s="1">
        <v>24</v>
      </c>
      <c r="P54" s="1">
        <v>0</v>
      </c>
      <c r="Q54" s="1">
        <v>0</v>
      </c>
      <c r="R54" s="1">
        <f t="shared" si="3"/>
        <v>5</v>
      </c>
      <c r="S54" s="5">
        <f t="shared" ref="S54:S55" si="15">12*R54-Q54-P54-O54-F54</f>
        <v>30</v>
      </c>
      <c r="T54" s="5"/>
      <c r="U54" s="1"/>
      <c r="V54" s="1"/>
      <c r="W54" s="1">
        <f t="shared" si="5"/>
        <v>12</v>
      </c>
      <c r="X54" s="1">
        <f t="shared" si="6"/>
        <v>6</v>
      </c>
      <c r="Y54" s="1">
        <v>0.8</v>
      </c>
      <c r="Z54" s="1">
        <v>2.166666666666667</v>
      </c>
      <c r="AA54" s="1">
        <v>5.2</v>
      </c>
      <c r="AB54" s="1">
        <v>4.2</v>
      </c>
      <c r="AC54" s="1">
        <v>-0.2</v>
      </c>
      <c r="AD54" s="1">
        <v>5</v>
      </c>
      <c r="AE54" s="1">
        <v>1.8</v>
      </c>
      <c r="AF54" s="1">
        <v>0.4</v>
      </c>
      <c r="AG54" s="1"/>
      <c r="AH54" s="1">
        <f>G54*S54</f>
        <v>12</v>
      </c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1:51" x14ac:dyDescent="0.25">
      <c r="A55" s="1" t="s">
        <v>100</v>
      </c>
      <c r="B55" s="1" t="s">
        <v>43</v>
      </c>
      <c r="C55" s="1">
        <v>92</v>
      </c>
      <c r="D55" s="1">
        <v>3</v>
      </c>
      <c r="E55" s="1">
        <v>62</v>
      </c>
      <c r="F55" s="1">
        <v>29</v>
      </c>
      <c r="G55" s="8">
        <v>0.4</v>
      </c>
      <c r="H55" s="1">
        <v>40</v>
      </c>
      <c r="I55" s="1" t="s">
        <v>38</v>
      </c>
      <c r="J55" s="1"/>
      <c r="K55" s="1">
        <v>66</v>
      </c>
      <c r="L55" s="1">
        <f t="shared" si="12"/>
        <v>-4</v>
      </c>
      <c r="M55" s="1"/>
      <c r="N55" s="1"/>
      <c r="O55" s="1">
        <v>0</v>
      </c>
      <c r="P55" s="1">
        <v>0</v>
      </c>
      <c r="Q55" s="1">
        <v>60.199999999999989</v>
      </c>
      <c r="R55" s="1">
        <f t="shared" si="3"/>
        <v>12.4</v>
      </c>
      <c r="S55" s="5">
        <f t="shared" si="15"/>
        <v>59.600000000000023</v>
      </c>
      <c r="T55" s="5"/>
      <c r="U55" s="1"/>
      <c r="V55" s="1"/>
      <c r="W55" s="1">
        <f t="shared" si="5"/>
        <v>12</v>
      </c>
      <c r="X55" s="1">
        <f t="shared" si="6"/>
        <v>7.1935483870967731</v>
      </c>
      <c r="Y55" s="1">
        <v>10.199999999999999</v>
      </c>
      <c r="Z55" s="1">
        <v>6.166666666666667</v>
      </c>
      <c r="AA55" s="1">
        <v>6.4</v>
      </c>
      <c r="AB55" s="1">
        <v>6.6</v>
      </c>
      <c r="AC55" s="1">
        <v>14.6</v>
      </c>
      <c r="AD55" s="1">
        <v>12.2</v>
      </c>
      <c r="AE55" s="1">
        <v>6.6</v>
      </c>
      <c r="AF55" s="1">
        <v>10.4</v>
      </c>
      <c r="AG55" s="1" t="s">
        <v>52</v>
      </c>
      <c r="AH55" s="1">
        <f>G55*S55</f>
        <v>23.840000000000011</v>
      </c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1:51" x14ac:dyDescent="0.25">
      <c r="A56" s="18" t="s">
        <v>101</v>
      </c>
      <c r="B56" s="18" t="s">
        <v>37</v>
      </c>
      <c r="C56" s="18"/>
      <c r="D56" s="18"/>
      <c r="E56" s="18"/>
      <c r="F56" s="18"/>
      <c r="G56" s="19">
        <v>0</v>
      </c>
      <c r="H56" s="18">
        <v>50</v>
      </c>
      <c r="I56" s="18" t="s">
        <v>38</v>
      </c>
      <c r="J56" s="18"/>
      <c r="K56" s="18"/>
      <c r="L56" s="18">
        <f t="shared" si="12"/>
        <v>0</v>
      </c>
      <c r="M56" s="18"/>
      <c r="N56" s="18"/>
      <c r="O56" s="18">
        <v>0</v>
      </c>
      <c r="P56" s="18">
        <v>0</v>
      </c>
      <c r="Q56" s="18">
        <v>0</v>
      </c>
      <c r="R56" s="18">
        <f t="shared" si="3"/>
        <v>0</v>
      </c>
      <c r="S56" s="20"/>
      <c r="T56" s="20"/>
      <c r="U56" s="18"/>
      <c r="V56" s="18"/>
      <c r="W56" s="18" t="e">
        <f t="shared" si="5"/>
        <v>#DIV/0!</v>
      </c>
      <c r="X56" s="18" t="e">
        <f t="shared" si="6"/>
        <v>#DIV/0!</v>
      </c>
      <c r="Y56" s="18">
        <v>0</v>
      </c>
      <c r="Z56" s="18">
        <v>0</v>
      </c>
      <c r="AA56" s="18">
        <v>0</v>
      </c>
      <c r="AB56" s="18">
        <v>0</v>
      </c>
      <c r="AC56" s="18">
        <v>0</v>
      </c>
      <c r="AD56" s="18">
        <v>0</v>
      </c>
      <c r="AE56" s="18">
        <v>0</v>
      </c>
      <c r="AF56" s="18">
        <v>0</v>
      </c>
      <c r="AG56" s="18" t="s">
        <v>65</v>
      </c>
      <c r="AH56" s="18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1:51" x14ac:dyDescent="0.25">
      <c r="A57" s="1" t="s">
        <v>102</v>
      </c>
      <c r="B57" s="1" t="s">
        <v>43</v>
      </c>
      <c r="C57" s="1">
        <v>53</v>
      </c>
      <c r="D57" s="1"/>
      <c r="E57" s="1">
        <v>28</v>
      </c>
      <c r="F57" s="1">
        <v>20</v>
      </c>
      <c r="G57" s="8">
        <v>0.1</v>
      </c>
      <c r="H57" s="1">
        <v>730</v>
      </c>
      <c r="I57" s="1" t="s">
        <v>38</v>
      </c>
      <c r="J57" s="1"/>
      <c r="K57" s="1">
        <v>28</v>
      </c>
      <c r="L57" s="1">
        <f t="shared" si="12"/>
        <v>0</v>
      </c>
      <c r="M57" s="1"/>
      <c r="N57" s="1"/>
      <c r="O57" s="1">
        <v>56.199999999999989</v>
      </c>
      <c r="P57" s="1">
        <v>0</v>
      </c>
      <c r="Q57" s="1">
        <v>0</v>
      </c>
      <c r="R57" s="1">
        <f t="shared" si="3"/>
        <v>5.6</v>
      </c>
      <c r="S57" s="5"/>
      <c r="T57" s="5"/>
      <c r="U57" s="1"/>
      <c r="V57" s="1"/>
      <c r="W57" s="1">
        <f t="shared" si="5"/>
        <v>13.607142857142856</v>
      </c>
      <c r="X57" s="1">
        <f t="shared" si="6"/>
        <v>13.607142857142856</v>
      </c>
      <c r="Y57" s="1">
        <v>5.4</v>
      </c>
      <c r="Z57" s="1">
        <v>8.6666666666666661</v>
      </c>
      <c r="AA57" s="1">
        <v>10.199999999999999</v>
      </c>
      <c r="AB57" s="1">
        <v>3.8</v>
      </c>
      <c r="AC57" s="1">
        <v>5.6</v>
      </c>
      <c r="AD57" s="1">
        <v>7.4</v>
      </c>
      <c r="AE57" s="1">
        <v>6.2</v>
      </c>
      <c r="AF57" s="1">
        <v>6.4</v>
      </c>
      <c r="AG57" s="1"/>
      <c r="AH57" s="1">
        <f t="shared" ref="AH57:AH68" si="16">G57*S57</f>
        <v>0</v>
      </c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1:51" x14ac:dyDescent="0.25">
      <c r="A58" s="1" t="s">
        <v>103</v>
      </c>
      <c r="B58" s="1" t="s">
        <v>37</v>
      </c>
      <c r="C58" s="1">
        <v>126.78100000000001</v>
      </c>
      <c r="D58" s="1">
        <v>348.13600000000002</v>
      </c>
      <c r="E58" s="1">
        <v>158.78399999999999</v>
      </c>
      <c r="F58" s="1">
        <v>305.37700000000001</v>
      </c>
      <c r="G58" s="8">
        <v>1</v>
      </c>
      <c r="H58" s="1">
        <v>50</v>
      </c>
      <c r="I58" s="1" t="s">
        <v>38</v>
      </c>
      <c r="J58" s="1"/>
      <c r="K58" s="1">
        <v>153.30799999999999</v>
      </c>
      <c r="L58" s="1">
        <f t="shared" si="12"/>
        <v>5.4759999999999991</v>
      </c>
      <c r="M58" s="1"/>
      <c r="N58" s="1"/>
      <c r="O58" s="1">
        <v>0</v>
      </c>
      <c r="P58" s="1">
        <v>0</v>
      </c>
      <c r="Q58" s="1">
        <v>0</v>
      </c>
      <c r="R58" s="1">
        <f t="shared" si="3"/>
        <v>31.756799999999998</v>
      </c>
      <c r="S58" s="5">
        <f t="shared" ref="S58:S65" si="17">12*R58-Q58-P58-O58-F58</f>
        <v>75.704599999999971</v>
      </c>
      <c r="T58" s="5"/>
      <c r="U58" s="1"/>
      <c r="V58" s="1"/>
      <c r="W58" s="1">
        <f t="shared" si="5"/>
        <v>12</v>
      </c>
      <c r="X58" s="1">
        <f t="shared" si="6"/>
        <v>9.6161137142281348</v>
      </c>
      <c r="Y58" s="1">
        <v>30.0944</v>
      </c>
      <c r="Z58" s="1">
        <v>29.36033333333333</v>
      </c>
      <c r="AA58" s="1">
        <v>38.4056</v>
      </c>
      <c r="AB58" s="1">
        <v>41.643000000000001</v>
      </c>
      <c r="AC58" s="1">
        <v>35.771599999999999</v>
      </c>
      <c r="AD58" s="1">
        <v>36.772599999999997</v>
      </c>
      <c r="AE58" s="1">
        <v>32.881799999999998</v>
      </c>
      <c r="AF58" s="1">
        <v>30.616399999999999</v>
      </c>
      <c r="AG58" s="1"/>
      <c r="AH58" s="1">
        <f t="shared" si="16"/>
        <v>75.704599999999971</v>
      </c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1:51" x14ac:dyDescent="0.25">
      <c r="A59" s="1" t="s">
        <v>104</v>
      </c>
      <c r="B59" s="1" t="s">
        <v>37</v>
      </c>
      <c r="C59" s="1">
        <v>122.645</v>
      </c>
      <c r="D59" s="1"/>
      <c r="E59" s="1">
        <v>38.030999999999999</v>
      </c>
      <c r="F59" s="1">
        <v>83.534000000000006</v>
      </c>
      <c r="G59" s="8">
        <v>1</v>
      </c>
      <c r="H59" s="1">
        <v>50</v>
      </c>
      <c r="I59" s="1" t="s">
        <v>38</v>
      </c>
      <c r="J59" s="1"/>
      <c r="K59" s="1">
        <v>37.1</v>
      </c>
      <c r="L59" s="1">
        <f t="shared" si="12"/>
        <v>0.93099999999999739</v>
      </c>
      <c r="M59" s="1"/>
      <c r="N59" s="1"/>
      <c r="O59" s="1">
        <v>0</v>
      </c>
      <c r="P59" s="1">
        <v>0</v>
      </c>
      <c r="Q59" s="1">
        <v>5.9968000000000217</v>
      </c>
      <c r="R59" s="1">
        <f t="shared" si="3"/>
        <v>7.6061999999999994</v>
      </c>
      <c r="S59" s="5">
        <v>4</v>
      </c>
      <c r="T59" s="5"/>
      <c r="U59" s="1"/>
      <c r="V59" s="1"/>
      <c r="W59" s="1">
        <f t="shared" si="5"/>
        <v>12.296652730667091</v>
      </c>
      <c r="X59" s="1">
        <f t="shared" si="6"/>
        <v>11.77076595409009</v>
      </c>
      <c r="Y59" s="1">
        <v>8.5058000000000007</v>
      </c>
      <c r="Z59" s="1">
        <v>4.9453333333333331</v>
      </c>
      <c r="AA59" s="1">
        <v>7.0244</v>
      </c>
      <c r="AB59" s="1">
        <v>6.891</v>
      </c>
      <c r="AC59" s="1">
        <v>10.807600000000001</v>
      </c>
      <c r="AD59" s="1">
        <v>11.3232</v>
      </c>
      <c r="AE59" s="1">
        <v>6.4828000000000001</v>
      </c>
      <c r="AF59" s="1">
        <v>4.8945999999999996</v>
      </c>
      <c r="AG59" s="1"/>
      <c r="AH59" s="1">
        <f t="shared" si="16"/>
        <v>4</v>
      </c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1:51" x14ac:dyDescent="0.25">
      <c r="A60" s="1" t="s">
        <v>105</v>
      </c>
      <c r="B60" s="1" t="s">
        <v>43</v>
      </c>
      <c r="C60" s="1">
        <v>89</v>
      </c>
      <c r="D60" s="1"/>
      <c r="E60" s="1">
        <v>23</v>
      </c>
      <c r="F60" s="1">
        <v>61</v>
      </c>
      <c r="G60" s="8">
        <v>0.1</v>
      </c>
      <c r="H60" s="1">
        <v>730</v>
      </c>
      <c r="I60" s="1" t="s">
        <v>38</v>
      </c>
      <c r="J60" s="1"/>
      <c r="K60" s="1">
        <v>23</v>
      </c>
      <c r="L60" s="1">
        <f t="shared" si="12"/>
        <v>0</v>
      </c>
      <c r="M60" s="1"/>
      <c r="N60" s="1"/>
      <c r="O60" s="1">
        <v>0</v>
      </c>
      <c r="P60" s="1">
        <v>0</v>
      </c>
      <c r="Q60" s="1">
        <v>0</v>
      </c>
      <c r="R60" s="1">
        <f t="shared" si="3"/>
        <v>4.5999999999999996</v>
      </c>
      <c r="S60" s="5"/>
      <c r="T60" s="5"/>
      <c r="U60" s="1"/>
      <c r="V60" s="1"/>
      <c r="W60" s="1">
        <f t="shared" si="5"/>
        <v>13.260869565217392</v>
      </c>
      <c r="X60" s="1">
        <f t="shared" si="6"/>
        <v>13.260869565217392</v>
      </c>
      <c r="Y60" s="1">
        <v>4.4000000000000004</v>
      </c>
      <c r="Z60" s="1">
        <v>6</v>
      </c>
      <c r="AA60" s="1">
        <v>7</v>
      </c>
      <c r="AB60" s="1">
        <v>3</v>
      </c>
      <c r="AC60" s="1">
        <v>6.4</v>
      </c>
      <c r="AD60" s="1">
        <v>8.1999999999999993</v>
      </c>
      <c r="AE60" s="1">
        <v>4</v>
      </c>
      <c r="AF60" s="1">
        <v>4.2</v>
      </c>
      <c r="AG60" s="1"/>
      <c r="AH60" s="1">
        <f t="shared" si="16"/>
        <v>0</v>
      </c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1:51" x14ac:dyDescent="0.25">
      <c r="A61" s="1" t="s">
        <v>106</v>
      </c>
      <c r="B61" s="1" t="s">
        <v>43</v>
      </c>
      <c r="C61" s="1">
        <v>94</v>
      </c>
      <c r="D61" s="1">
        <v>10</v>
      </c>
      <c r="E61" s="1">
        <v>8</v>
      </c>
      <c r="F61" s="1">
        <v>79</v>
      </c>
      <c r="G61" s="8">
        <v>0.4</v>
      </c>
      <c r="H61" s="1">
        <v>50</v>
      </c>
      <c r="I61" s="1" t="s">
        <v>38</v>
      </c>
      <c r="J61" s="1"/>
      <c r="K61" s="1">
        <v>29</v>
      </c>
      <c r="L61" s="1">
        <f t="shared" si="12"/>
        <v>-21</v>
      </c>
      <c r="M61" s="1"/>
      <c r="N61" s="1"/>
      <c r="O61" s="1">
        <v>0</v>
      </c>
      <c r="P61" s="1">
        <v>0</v>
      </c>
      <c r="Q61" s="1">
        <v>0</v>
      </c>
      <c r="R61" s="1">
        <f t="shared" si="3"/>
        <v>1.6</v>
      </c>
      <c r="S61" s="5"/>
      <c r="T61" s="5"/>
      <c r="U61" s="1"/>
      <c r="V61" s="1"/>
      <c r="W61" s="1">
        <f t="shared" si="5"/>
        <v>49.375</v>
      </c>
      <c r="X61" s="1">
        <f t="shared" si="6"/>
        <v>49.375</v>
      </c>
      <c r="Y61" s="1">
        <v>0.6</v>
      </c>
      <c r="Z61" s="1">
        <v>0.16666666666666671</v>
      </c>
      <c r="AA61" s="1">
        <v>3.4</v>
      </c>
      <c r="AB61" s="1">
        <v>5.8</v>
      </c>
      <c r="AC61" s="1">
        <v>8.4</v>
      </c>
      <c r="AD61" s="1">
        <v>12.4</v>
      </c>
      <c r="AE61" s="1">
        <v>5</v>
      </c>
      <c r="AF61" s="1">
        <v>3.8</v>
      </c>
      <c r="AG61" s="22" t="s">
        <v>72</v>
      </c>
      <c r="AH61" s="1">
        <f t="shared" si="16"/>
        <v>0</v>
      </c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1:51" x14ac:dyDescent="0.25">
      <c r="A62" s="1" t="s">
        <v>107</v>
      </c>
      <c r="B62" s="1" t="s">
        <v>37</v>
      </c>
      <c r="C62" s="1">
        <v>41.445999999999998</v>
      </c>
      <c r="D62" s="1"/>
      <c r="E62" s="1">
        <v>39.497</v>
      </c>
      <c r="F62" s="1">
        <v>1.25</v>
      </c>
      <c r="G62" s="8">
        <v>1</v>
      </c>
      <c r="H62" s="1">
        <v>40</v>
      </c>
      <c r="I62" s="1" t="s">
        <v>38</v>
      </c>
      <c r="J62" s="1"/>
      <c r="K62" s="1">
        <v>44.6</v>
      </c>
      <c r="L62" s="1">
        <f t="shared" si="12"/>
        <v>-5.1030000000000015</v>
      </c>
      <c r="M62" s="1"/>
      <c r="N62" s="1"/>
      <c r="O62" s="1">
        <v>111.8514</v>
      </c>
      <c r="P62" s="1">
        <v>49.058599999999998</v>
      </c>
      <c r="Q62" s="1">
        <v>0</v>
      </c>
      <c r="R62" s="1">
        <f t="shared" si="3"/>
        <v>7.8994</v>
      </c>
      <c r="S62" s="5"/>
      <c r="T62" s="5"/>
      <c r="U62" s="1"/>
      <c r="V62" s="1"/>
      <c r="W62" s="1">
        <f t="shared" si="5"/>
        <v>20.528141377826163</v>
      </c>
      <c r="X62" s="1">
        <f t="shared" si="6"/>
        <v>20.528141377826163</v>
      </c>
      <c r="Y62" s="1">
        <v>8.966800000000001</v>
      </c>
      <c r="Z62" s="1">
        <v>16.863</v>
      </c>
      <c r="AA62" s="1">
        <v>19.994800000000001</v>
      </c>
      <c r="AB62" s="1">
        <v>9.3117999999999999</v>
      </c>
      <c r="AC62" s="1">
        <v>15.613799999999999</v>
      </c>
      <c r="AD62" s="1">
        <v>1.1060000000000001</v>
      </c>
      <c r="AE62" s="1">
        <v>5.3941999999999997</v>
      </c>
      <c r="AF62" s="1">
        <v>11.5876</v>
      </c>
      <c r="AG62" s="1"/>
      <c r="AH62" s="1">
        <f t="shared" si="16"/>
        <v>0</v>
      </c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1:51" x14ac:dyDescent="0.25">
      <c r="A63" s="1" t="s">
        <v>108</v>
      </c>
      <c r="B63" s="1" t="s">
        <v>37</v>
      </c>
      <c r="C63" s="1">
        <v>84.061999999999998</v>
      </c>
      <c r="D63" s="1"/>
      <c r="E63" s="1">
        <v>31.276</v>
      </c>
      <c r="F63" s="1">
        <v>51.436</v>
      </c>
      <c r="G63" s="8">
        <v>1</v>
      </c>
      <c r="H63" s="1">
        <v>40</v>
      </c>
      <c r="I63" s="1" t="s">
        <v>38</v>
      </c>
      <c r="J63" s="1"/>
      <c r="K63" s="1">
        <v>29</v>
      </c>
      <c r="L63" s="1">
        <f t="shared" si="12"/>
        <v>2.2759999999999998</v>
      </c>
      <c r="M63" s="1"/>
      <c r="N63" s="1"/>
      <c r="O63" s="1">
        <v>0</v>
      </c>
      <c r="P63" s="1">
        <v>0</v>
      </c>
      <c r="Q63" s="1">
        <v>0</v>
      </c>
      <c r="R63" s="1">
        <f t="shared" si="3"/>
        <v>6.2552000000000003</v>
      </c>
      <c r="S63" s="5">
        <f t="shared" si="17"/>
        <v>23.626399999999997</v>
      </c>
      <c r="T63" s="5"/>
      <c r="U63" s="1"/>
      <c r="V63" s="1"/>
      <c r="W63" s="1">
        <f t="shared" si="5"/>
        <v>11.999999999999998</v>
      </c>
      <c r="X63" s="1">
        <f t="shared" si="6"/>
        <v>8.2229185317815574</v>
      </c>
      <c r="Y63" s="1">
        <v>5.9763999999999999</v>
      </c>
      <c r="Z63" s="1">
        <v>2.2364999999999999</v>
      </c>
      <c r="AA63" s="1">
        <v>3.1947999999999999</v>
      </c>
      <c r="AB63" s="1">
        <v>1.8586</v>
      </c>
      <c r="AC63" s="1">
        <v>8.3574000000000002</v>
      </c>
      <c r="AD63" s="1">
        <v>10.234</v>
      </c>
      <c r="AE63" s="1">
        <v>3.2046000000000001</v>
      </c>
      <c r="AF63" s="1">
        <v>1.6073999999999999</v>
      </c>
      <c r="AG63" s="1"/>
      <c r="AH63" s="1">
        <f t="shared" si="16"/>
        <v>23.626399999999997</v>
      </c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1:51" x14ac:dyDescent="0.25">
      <c r="A64" s="1" t="s">
        <v>109</v>
      </c>
      <c r="B64" s="1" t="s">
        <v>43</v>
      </c>
      <c r="C64" s="1">
        <v>213</v>
      </c>
      <c r="D64" s="1">
        <v>350</v>
      </c>
      <c r="E64" s="1">
        <v>382</v>
      </c>
      <c r="F64" s="1">
        <v>156</v>
      </c>
      <c r="G64" s="8">
        <v>0.4</v>
      </c>
      <c r="H64" s="1">
        <v>40</v>
      </c>
      <c r="I64" s="1" t="s">
        <v>38</v>
      </c>
      <c r="J64" s="1"/>
      <c r="K64" s="1">
        <v>391</v>
      </c>
      <c r="L64" s="1">
        <f t="shared" si="12"/>
        <v>-9</v>
      </c>
      <c r="M64" s="1"/>
      <c r="N64" s="1"/>
      <c r="O64" s="1">
        <v>261.39999999999958</v>
      </c>
      <c r="P64" s="1">
        <v>60.599999999999909</v>
      </c>
      <c r="Q64" s="1">
        <v>172.20000000000061</v>
      </c>
      <c r="R64" s="1">
        <f t="shared" si="3"/>
        <v>76.400000000000006</v>
      </c>
      <c r="S64" s="5">
        <f t="shared" si="17"/>
        <v>266.59999999999997</v>
      </c>
      <c r="T64" s="5"/>
      <c r="U64" s="1"/>
      <c r="V64" s="1"/>
      <c r="W64" s="1">
        <f t="shared" si="5"/>
        <v>11.999999999999998</v>
      </c>
      <c r="X64" s="1">
        <f t="shared" si="6"/>
        <v>8.510471204188482</v>
      </c>
      <c r="Y64" s="1">
        <v>72.2</v>
      </c>
      <c r="Z64" s="1">
        <v>72.666666666666671</v>
      </c>
      <c r="AA64" s="1">
        <v>83.4</v>
      </c>
      <c r="AB64" s="1">
        <v>65.8</v>
      </c>
      <c r="AC64" s="1">
        <v>79.599999999999994</v>
      </c>
      <c r="AD64" s="1">
        <v>68.599999999999994</v>
      </c>
      <c r="AE64" s="1">
        <v>74</v>
      </c>
      <c r="AF64" s="1">
        <v>77.2</v>
      </c>
      <c r="AG64" s="1"/>
      <c r="AH64" s="1">
        <f t="shared" si="16"/>
        <v>106.63999999999999</v>
      </c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1:51" x14ac:dyDescent="0.25">
      <c r="A65" s="1" t="s">
        <v>110</v>
      </c>
      <c r="B65" s="1" t="s">
        <v>43</v>
      </c>
      <c r="C65" s="1">
        <v>365</v>
      </c>
      <c r="D65" s="1">
        <v>2</v>
      </c>
      <c r="E65" s="1">
        <v>330</v>
      </c>
      <c r="F65" s="1">
        <v>27</v>
      </c>
      <c r="G65" s="8">
        <v>0.4</v>
      </c>
      <c r="H65" s="1">
        <v>40</v>
      </c>
      <c r="I65" s="1" t="s">
        <v>38</v>
      </c>
      <c r="J65" s="1"/>
      <c r="K65" s="1">
        <v>336</v>
      </c>
      <c r="L65" s="1">
        <f t="shared" si="12"/>
        <v>-6</v>
      </c>
      <c r="M65" s="1"/>
      <c r="N65" s="1"/>
      <c r="O65" s="1">
        <v>326</v>
      </c>
      <c r="P65" s="1">
        <v>181</v>
      </c>
      <c r="Q65" s="1">
        <v>25.600000000000019</v>
      </c>
      <c r="R65" s="1">
        <f t="shared" si="3"/>
        <v>66</v>
      </c>
      <c r="S65" s="5">
        <f t="shared" si="17"/>
        <v>232.39999999999998</v>
      </c>
      <c r="T65" s="5"/>
      <c r="U65" s="1"/>
      <c r="V65" s="1"/>
      <c r="W65" s="1">
        <f t="shared" si="5"/>
        <v>12</v>
      </c>
      <c r="X65" s="1">
        <f t="shared" si="6"/>
        <v>8.4787878787878785</v>
      </c>
      <c r="Y65" s="1">
        <v>63.6</v>
      </c>
      <c r="Z65" s="1">
        <v>72.666666666666671</v>
      </c>
      <c r="AA65" s="1">
        <v>75</v>
      </c>
      <c r="AB65" s="1">
        <v>39.200000000000003</v>
      </c>
      <c r="AC65" s="1">
        <v>83.8</v>
      </c>
      <c r="AD65" s="1">
        <v>64.2</v>
      </c>
      <c r="AE65" s="1">
        <v>55.6</v>
      </c>
      <c r="AF65" s="1">
        <v>55</v>
      </c>
      <c r="AG65" s="1" t="s">
        <v>40</v>
      </c>
      <c r="AH65" s="1">
        <f t="shared" si="16"/>
        <v>92.96</v>
      </c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1:51" x14ac:dyDescent="0.25">
      <c r="A66" s="1" t="s">
        <v>111</v>
      </c>
      <c r="B66" s="1" t="s">
        <v>37</v>
      </c>
      <c r="C66" s="1">
        <v>46.982999999999997</v>
      </c>
      <c r="D66" s="1">
        <v>331.089</v>
      </c>
      <c r="E66" s="1">
        <v>146.79</v>
      </c>
      <c r="F66" s="1">
        <v>217.751</v>
      </c>
      <c r="G66" s="8">
        <v>1</v>
      </c>
      <c r="H66" s="1">
        <v>40</v>
      </c>
      <c r="I66" s="1" t="s">
        <v>38</v>
      </c>
      <c r="J66" s="1"/>
      <c r="K66" s="1">
        <v>128.91800000000001</v>
      </c>
      <c r="L66" s="1">
        <f t="shared" si="12"/>
        <v>17.871999999999986</v>
      </c>
      <c r="M66" s="1"/>
      <c r="N66" s="1"/>
      <c r="O66" s="1">
        <v>224.68299999999971</v>
      </c>
      <c r="P66" s="1">
        <v>0</v>
      </c>
      <c r="Q66" s="1">
        <v>0</v>
      </c>
      <c r="R66" s="1">
        <f t="shared" si="3"/>
        <v>29.357999999999997</v>
      </c>
      <c r="S66" s="5"/>
      <c r="T66" s="5"/>
      <c r="U66" s="1"/>
      <c r="V66" s="1"/>
      <c r="W66" s="1">
        <f t="shared" si="5"/>
        <v>15.07030451665644</v>
      </c>
      <c r="X66" s="1">
        <f t="shared" si="6"/>
        <v>15.07030451665644</v>
      </c>
      <c r="Y66" s="1">
        <v>26.1556</v>
      </c>
      <c r="Z66" s="1">
        <v>45.908333333333331</v>
      </c>
      <c r="AA66" s="1">
        <v>58.191800000000001</v>
      </c>
      <c r="AB66" s="1">
        <v>43.218000000000004</v>
      </c>
      <c r="AC66" s="1">
        <v>41.256999999999998</v>
      </c>
      <c r="AD66" s="1">
        <v>33.469000000000001</v>
      </c>
      <c r="AE66" s="1">
        <v>39.264600000000002</v>
      </c>
      <c r="AF66" s="1">
        <v>38.571399999999997</v>
      </c>
      <c r="AG66" s="1"/>
      <c r="AH66" s="1">
        <f t="shared" si="16"/>
        <v>0</v>
      </c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1:51" x14ac:dyDescent="0.25">
      <c r="A67" s="1" t="s">
        <v>112</v>
      </c>
      <c r="B67" s="1" t="s">
        <v>37</v>
      </c>
      <c r="C67" s="1">
        <v>11.484</v>
      </c>
      <c r="D67" s="1">
        <v>374.71100000000001</v>
      </c>
      <c r="E67" s="1">
        <v>144.10900000000001</v>
      </c>
      <c r="F67" s="1">
        <v>219.571</v>
      </c>
      <c r="G67" s="8">
        <v>1</v>
      </c>
      <c r="H67" s="1">
        <v>40</v>
      </c>
      <c r="I67" s="1" t="s">
        <v>38</v>
      </c>
      <c r="J67" s="1"/>
      <c r="K67" s="1">
        <v>138.21199999999999</v>
      </c>
      <c r="L67" s="1">
        <f t="shared" si="12"/>
        <v>5.8970000000000198</v>
      </c>
      <c r="M67" s="1"/>
      <c r="N67" s="1"/>
      <c r="O67" s="1">
        <v>144.8614</v>
      </c>
      <c r="P67" s="1">
        <v>34.93779999999996</v>
      </c>
      <c r="Q67" s="1">
        <v>0</v>
      </c>
      <c r="R67" s="1">
        <f t="shared" si="3"/>
        <v>28.821800000000003</v>
      </c>
      <c r="S67" s="5"/>
      <c r="T67" s="5"/>
      <c r="U67" s="1"/>
      <c r="V67" s="1"/>
      <c r="W67" s="1">
        <f t="shared" si="5"/>
        <v>13.856532208259026</v>
      </c>
      <c r="X67" s="1">
        <f t="shared" si="6"/>
        <v>13.856532208259026</v>
      </c>
      <c r="Y67" s="1">
        <v>30.860800000000001</v>
      </c>
      <c r="Z67" s="1">
        <v>45.458833333333331</v>
      </c>
      <c r="AA67" s="1">
        <v>52.653200000000012</v>
      </c>
      <c r="AB67" s="1">
        <v>47.058199999999999</v>
      </c>
      <c r="AC67" s="1">
        <v>39.851399999999998</v>
      </c>
      <c r="AD67" s="1">
        <v>34.515599999999999</v>
      </c>
      <c r="AE67" s="1">
        <v>40.766800000000003</v>
      </c>
      <c r="AF67" s="1">
        <v>41.4636</v>
      </c>
      <c r="AG67" s="1"/>
      <c r="AH67" s="1">
        <f t="shared" si="16"/>
        <v>0</v>
      </c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1:51" x14ac:dyDescent="0.25">
      <c r="A68" s="1" t="s">
        <v>113</v>
      </c>
      <c r="B68" s="1" t="s">
        <v>37</v>
      </c>
      <c r="C68" s="1">
        <v>12.584</v>
      </c>
      <c r="D68" s="1">
        <v>1052.0239999999999</v>
      </c>
      <c r="E68" s="1">
        <v>228.78700000000001</v>
      </c>
      <c r="F68" s="1">
        <v>810.71900000000005</v>
      </c>
      <c r="G68" s="8">
        <v>1</v>
      </c>
      <c r="H68" s="1">
        <v>40</v>
      </c>
      <c r="I68" s="1" t="s">
        <v>38</v>
      </c>
      <c r="J68" s="1"/>
      <c r="K68" s="1">
        <v>217.1</v>
      </c>
      <c r="L68" s="1">
        <f t="shared" si="12"/>
        <v>11.687000000000012</v>
      </c>
      <c r="M68" s="1"/>
      <c r="N68" s="1"/>
      <c r="O68" s="1">
        <v>0</v>
      </c>
      <c r="P68" s="1">
        <v>0</v>
      </c>
      <c r="Q68" s="1">
        <v>0</v>
      </c>
      <c r="R68" s="1">
        <f t="shared" si="3"/>
        <v>45.757400000000004</v>
      </c>
      <c r="S68" s="5"/>
      <c r="T68" s="5"/>
      <c r="U68" s="1"/>
      <c r="V68" s="1"/>
      <c r="W68" s="1">
        <f t="shared" si="5"/>
        <v>17.717768055003123</v>
      </c>
      <c r="X68" s="1">
        <f t="shared" si="6"/>
        <v>17.717768055003123</v>
      </c>
      <c r="Y68" s="1">
        <v>42.098399999999998</v>
      </c>
      <c r="Z68" s="1">
        <v>45.980499999999999</v>
      </c>
      <c r="AA68" s="1">
        <v>63.721799999999988</v>
      </c>
      <c r="AB68" s="1">
        <v>127.86360000000001</v>
      </c>
      <c r="AC68" s="1">
        <v>42.148200000000003</v>
      </c>
      <c r="AD68" s="1">
        <v>70.266999999999996</v>
      </c>
      <c r="AE68" s="1">
        <v>82.022000000000006</v>
      </c>
      <c r="AF68" s="1">
        <v>66.065799999999996</v>
      </c>
      <c r="AG68" s="1"/>
      <c r="AH68" s="1">
        <f t="shared" si="16"/>
        <v>0</v>
      </c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1:51" x14ac:dyDescent="0.25">
      <c r="A69" s="18" t="s">
        <v>114</v>
      </c>
      <c r="B69" s="18" t="s">
        <v>37</v>
      </c>
      <c r="C69" s="18"/>
      <c r="D69" s="18"/>
      <c r="E69" s="18"/>
      <c r="F69" s="18"/>
      <c r="G69" s="19">
        <v>0</v>
      </c>
      <c r="H69" s="18">
        <v>30</v>
      </c>
      <c r="I69" s="18" t="s">
        <v>38</v>
      </c>
      <c r="J69" s="18"/>
      <c r="K69" s="18"/>
      <c r="L69" s="18">
        <f t="shared" si="12"/>
        <v>0</v>
      </c>
      <c r="M69" s="18"/>
      <c r="N69" s="18"/>
      <c r="O69" s="18">
        <v>0</v>
      </c>
      <c r="P69" s="18">
        <v>0</v>
      </c>
      <c r="Q69" s="18">
        <v>0</v>
      </c>
      <c r="R69" s="18">
        <f t="shared" si="3"/>
        <v>0</v>
      </c>
      <c r="S69" s="20"/>
      <c r="T69" s="20"/>
      <c r="U69" s="18"/>
      <c r="V69" s="18"/>
      <c r="W69" s="18" t="e">
        <f t="shared" si="5"/>
        <v>#DIV/0!</v>
      </c>
      <c r="X69" s="18" t="e">
        <f t="shared" si="6"/>
        <v>#DIV/0!</v>
      </c>
      <c r="Y69" s="18">
        <v>0</v>
      </c>
      <c r="Z69" s="18">
        <v>0</v>
      </c>
      <c r="AA69" s="18">
        <v>0</v>
      </c>
      <c r="AB69" s="18">
        <v>0</v>
      </c>
      <c r="AC69" s="18">
        <v>0</v>
      </c>
      <c r="AD69" s="18">
        <v>0</v>
      </c>
      <c r="AE69" s="18">
        <v>0</v>
      </c>
      <c r="AF69" s="18">
        <v>0</v>
      </c>
      <c r="AG69" s="18" t="s">
        <v>65</v>
      </c>
      <c r="AH69" s="18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1:51" x14ac:dyDescent="0.25">
      <c r="A70" s="1" t="s">
        <v>115</v>
      </c>
      <c r="B70" s="1" t="s">
        <v>43</v>
      </c>
      <c r="C70" s="1">
        <v>38</v>
      </c>
      <c r="D70" s="1">
        <v>8</v>
      </c>
      <c r="E70" s="1">
        <v>22</v>
      </c>
      <c r="F70" s="1">
        <v>16</v>
      </c>
      <c r="G70" s="8">
        <v>0.6</v>
      </c>
      <c r="H70" s="1">
        <v>60</v>
      </c>
      <c r="I70" s="1" t="s">
        <v>38</v>
      </c>
      <c r="J70" s="1"/>
      <c r="K70" s="1">
        <v>50</v>
      </c>
      <c r="L70" s="1">
        <f t="shared" ref="L70:L97" si="18">E70-K70</f>
        <v>-28</v>
      </c>
      <c r="M70" s="1"/>
      <c r="N70" s="1"/>
      <c r="O70" s="1">
        <v>0</v>
      </c>
      <c r="P70" s="1">
        <v>0</v>
      </c>
      <c r="Q70" s="1">
        <v>0</v>
      </c>
      <c r="R70" s="1">
        <f t="shared" si="3"/>
        <v>4.4000000000000004</v>
      </c>
      <c r="S70" s="5">
        <f t="shared" ref="S70:S71" si="19">12*R70-Q70-P70-O70-F70</f>
        <v>36.800000000000004</v>
      </c>
      <c r="T70" s="5"/>
      <c r="U70" s="1"/>
      <c r="V70" s="1"/>
      <c r="W70" s="1">
        <f t="shared" si="5"/>
        <v>12</v>
      </c>
      <c r="X70" s="1">
        <f t="shared" si="6"/>
        <v>3.6363636363636362</v>
      </c>
      <c r="Y70" s="1">
        <v>2.4</v>
      </c>
      <c r="Z70" s="1">
        <v>1.666666666666667</v>
      </c>
      <c r="AA70" s="1">
        <v>0.4</v>
      </c>
      <c r="AB70" s="1">
        <v>2.2000000000000002</v>
      </c>
      <c r="AC70" s="1">
        <v>17.8</v>
      </c>
      <c r="AD70" s="1">
        <v>3.8</v>
      </c>
      <c r="AE70" s="1">
        <v>0.97579999999999989</v>
      </c>
      <c r="AF70" s="1">
        <v>2.1758000000000002</v>
      </c>
      <c r="AG70" s="1"/>
      <c r="AH70" s="1">
        <f>G70*S70</f>
        <v>22.080000000000002</v>
      </c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1:51" x14ac:dyDescent="0.25">
      <c r="A71" s="1" t="s">
        <v>116</v>
      </c>
      <c r="B71" s="1" t="s">
        <v>43</v>
      </c>
      <c r="C71" s="1">
        <v>28</v>
      </c>
      <c r="D71" s="1">
        <v>32</v>
      </c>
      <c r="E71" s="1">
        <v>44</v>
      </c>
      <c r="F71" s="1">
        <v>16</v>
      </c>
      <c r="G71" s="8">
        <v>0.6</v>
      </c>
      <c r="H71" s="1">
        <v>60</v>
      </c>
      <c r="I71" s="1" t="s">
        <v>38</v>
      </c>
      <c r="J71" s="1"/>
      <c r="K71" s="1">
        <v>40</v>
      </c>
      <c r="L71" s="1">
        <f t="shared" si="18"/>
        <v>4</v>
      </c>
      <c r="M71" s="1"/>
      <c r="N71" s="1"/>
      <c r="O71" s="1">
        <v>34.599999999999987</v>
      </c>
      <c r="P71" s="1">
        <v>0</v>
      </c>
      <c r="Q71" s="1">
        <v>0</v>
      </c>
      <c r="R71" s="1">
        <f t="shared" ref="R71:R97" si="20">E71/5</f>
        <v>8.8000000000000007</v>
      </c>
      <c r="S71" s="5">
        <f t="shared" si="19"/>
        <v>55.000000000000028</v>
      </c>
      <c r="T71" s="5"/>
      <c r="U71" s="1"/>
      <c r="V71" s="1"/>
      <c r="W71" s="1">
        <f t="shared" ref="W71:W97" si="21">(F71+O71+P71+Q71+S71)/R71</f>
        <v>12.000000000000002</v>
      </c>
      <c r="X71" s="1">
        <f t="shared" ref="X71:X97" si="22">(F71+O71+P71+Q71)/R71</f>
        <v>5.7499999999999982</v>
      </c>
      <c r="Y71" s="1">
        <v>1.4</v>
      </c>
      <c r="Z71" s="1">
        <v>4.5</v>
      </c>
      <c r="AA71" s="1">
        <v>8.1999999999999993</v>
      </c>
      <c r="AB71" s="1">
        <v>3.4</v>
      </c>
      <c r="AC71" s="1">
        <v>0</v>
      </c>
      <c r="AD71" s="1">
        <v>0</v>
      </c>
      <c r="AE71" s="1">
        <v>0</v>
      </c>
      <c r="AF71" s="1">
        <v>0</v>
      </c>
      <c r="AG71" s="23" t="s">
        <v>149</v>
      </c>
      <c r="AH71" s="1">
        <f>G71*S71</f>
        <v>33.000000000000014</v>
      </c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1:51" x14ac:dyDescent="0.25">
      <c r="A72" s="1" t="s">
        <v>117</v>
      </c>
      <c r="B72" s="1" t="s">
        <v>43</v>
      </c>
      <c r="C72" s="1">
        <v>-3</v>
      </c>
      <c r="D72" s="1">
        <v>50</v>
      </c>
      <c r="E72" s="1">
        <v>16</v>
      </c>
      <c r="F72" s="1">
        <v>20</v>
      </c>
      <c r="G72" s="8">
        <v>0.37</v>
      </c>
      <c r="H72" s="1">
        <v>50</v>
      </c>
      <c r="I72" s="12" t="s">
        <v>77</v>
      </c>
      <c r="J72" s="1"/>
      <c r="K72" s="1">
        <v>27</v>
      </c>
      <c r="L72" s="1">
        <f t="shared" si="18"/>
        <v>-11</v>
      </c>
      <c r="M72" s="1"/>
      <c r="N72" s="1"/>
      <c r="O72" s="1">
        <v>135.4</v>
      </c>
      <c r="P72" s="1">
        <v>45</v>
      </c>
      <c r="Q72" s="1">
        <v>0</v>
      </c>
      <c r="R72" s="1">
        <f t="shared" si="20"/>
        <v>3.2</v>
      </c>
      <c r="S72" s="5"/>
      <c r="T72" s="5"/>
      <c r="U72" s="1"/>
      <c r="V72" s="1"/>
      <c r="W72" s="1">
        <f t="shared" si="21"/>
        <v>62.625</v>
      </c>
      <c r="X72" s="1">
        <f t="shared" si="22"/>
        <v>62.625</v>
      </c>
      <c r="Y72" s="1">
        <v>7.8</v>
      </c>
      <c r="Z72" s="1">
        <v>17.333333333333329</v>
      </c>
      <c r="AA72" s="1">
        <v>22</v>
      </c>
      <c r="AB72" s="1">
        <v>9.4</v>
      </c>
      <c r="AC72" s="1">
        <v>9.6</v>
      </c>
      <c r="AD72" s="1">
        <v>12.4</v>
      </c>
      <c r="AE72" s="1">
        <v>9.6</v>
      </c>
      <c r="AF72" s="1">
        <v>9.1999999999999993</v>
      </c>
      <c r="AG72" s="1" t="s">
        <v>40</v>
      </c>
      <c r="AH72" s="1">
        <f>G72*S72</f>
        <v>0</v>
      </c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1:51" x14ac:dyDescent="0.25">
      <c r="A73" s="18" t="s">
        <v>118</v>
      </c>
      <c r="B73" s="18" t="s">
        <v>43</v>
      </c>
      <c r="C73" s="18"/>
      <c r="D73" s="18"/>
      <c r="E73" s="18"/>
      <c r="F73" s="18"/>
      <c r="G73" s="19">
        <v>0</v>
      </c>
      <c r="H73" s="18">
        <v>30</v>
      </c>
      <c r="I73" s="18" t="s">
        <v>38</v>
      </c>
      <c r="J73" s="18"/>
      <c r="K73" s="18"/>
      <c r="L73" s="18">
        <f t="shared" si="18"/>
        <v>0</v>
      </c>
      <c r="M73" s="18"/>
      <c r="N73" s="18"/>
      <c r="O73" s="18">
        <v>0</v>
      </c>
      <c r="P73" s="18">
        <v>0</v>
      </c>
      <c r="Q73" s="18">
        <v>0</v>
      </c>
      <c r="R73" s="18">
        <f t="shared" si="20"/>
        <v>0</v>
      </c>
      <c r="S73" s="20"/>
      <c r="T73" s="20"/>
      <c r="U73" s="18"/>
      <c r="V73" s="18"/>
      <c r="W73" s="18" t="e">
        <f t="shared" si="21"/>
        <v>#DIV/0!</v>
      </c>
      <c r="X73" s="18" t="e">
        <f t="shared" si="22"/>
        <v>#DIV/0!</v>
      </c>
      <c r="Y73" s="18">
        <v>0</v>
      </c>
      <c r="Z73" s="18">
        <v>0</v>
      </c>
      <c r="AA73" s="18">
        <v>0</v>
      </c>
      <c r="AB73" s="18">
        <v>0</v>
      </c>
      <c r="AC73" s="18">
        <v>0</v>
      </c>
      <c r="AD73" s="18">
        <v>0</v>
      </c>
      <c r="AE73" s="18">
        <v>0</v>
      </c>
      <c r="AF73" s="18">
        <v>0</v>
      </c>
      <c r="AG73" s="18" t="s">
        <v>65</v>
      </c>
      <c r="AH73" s="18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1:51" x14ac:dyDescent="0.25">
      <c r="A74" s="1" t="s">
        <v>119</v>
      </c>
      <c r="B74" s="1" t="s">
        <v>43</v>
      </c>
      <c r="C74" s="1">
        <v>113</v>
      </c>
      <c r="D74" s="1">
        <v>2</v>
      </c>
      <c r="E74" s="1">
        <v>74</v>
      </c>
      <c r="F74" s="1">
        <v>40</v>
      </c>
      <c r="G74" s="8">
        <v>0.6</v>
      </c>
      <c r="H74" s="1">
        <v>55</v>
      </c>
      <c r="I74" s="12" t="s">
        <v>77</v>
      </c>
      <c r="J74" s="1"/>
      <c r="K74" s="1">
        <v>67</v>
      </c>
      <c r="L74" s="1">
        <f t="shared" si="18"/>
        <v>7</v>
      </c>
      <c r="M74" s="1"/>
      <c r="N74" s="1"/>
      <c r="O74" s="1">
        <v>0</v>
      </c>
      <c r="P74" s="1">
        <v>0</v>
      </c>
      <c r="Q74" s="1">
        <v>0</v>
      </c>
      <c r="R74" s="1">
        <f t="shared" si="20"/>
        <v>14.8</v>
      </c>
      <c r="S74" s="5">
        <f>9*R74-Q74-P74-O74-F74</f>
        <v>93.200000000000017</v>
      </c>
      <c r="T74" s="5"/>
      <c r="U74" s="1"/>
      <c r="V74" s="1"/>
      <c r="W74" s="1">
        <f t="shared" si="21"/>
        <v>9</v>
      </c>
      <c r="X74" s="1">
        <f t="shared" si="22"/>
        <v>2.7027027027027026</v>
      </c>
      <c r="Y74" s="1">
        <v>1.6</v>
      </c>
      <c r="Z74" s="1">
        <v>7.333333333333333</v>
      </c>
      <c r="AA74" s="1">
        <v>7.4</v>
      </c>
      <c r="AB74" s="1">
        <v>2.4</v>
      </c>
      <c r="AC74" s="1">
        <v>12.953200000000001</v>
      </c>
      <c r="AD74" s="1">
        <v>3.6</v>
      </c>
      <c r="AE74" s="1">
        <v>0.7762</v>
      </c>
      <c r="AF74" s="1">
        <v>1.5762</v>
      </c>
      <c r="AG74" s="1"/>
      <c r="AH74" s="1">
        <f>G74*S74</f>
        <v>55.920000000000009</v>
      </c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1:51" x14ac:dyDescent="0.25">
      <c r="A75" s="18" t="s">
        <v>120</v>
      </c>
      <c r="B75" s="18" t="s">
        <v>43</v>
      </c>
      <c r="C75" s="18"/>
      <c r="D75" s="18"/>
      <c r="E75" s="18"/>
      <c r="F75" s="18"/>
      <c r="G75" s="19">
        <v>0</v>
      </c>
      <c r="H75" s="18">
        <v>40</v>
      </c>
      <c r="I75" s="18" t="s">
        <v>38</v>
      </c>
      <c r="J75" s="18"/>
      <c r="K75" s="18"/>
      <c r="L75" s="18">
        <f t="shared" si="18"/>
        <v>0</v>
      </c>
      <c r="M75" s="18"/>
      <c r="N75" s="18"/>
      <c r="O75" s="18">
        <v>0</v>
      </c>
      <c r="P75" s="18">
        <v>0</v>
      </c>
      <c r="Q75" s="18">
        <v>0</v>
      </c>
      <c r="R75" s="18">
        <f t="shared" si="20"/>
        <v>0</v>
      </c>
      <c r="S75" s="20"/>
      <c r="T75" s="20"/>
      <c r="U75" s="18"/>
      <c r="V75" s="18"/>
      <c r="W75" s="18" t="e">
        <f t="shared" si="21"/>
        <v>#DIV/0!</v>
      </c>
      <c r="X75" s="18" t="e">
        <f t="shared" si="22"/>
        <v>#DIV/0!</v>
      </c>
      <c r="Y75" s="18">
        <v>0</v>
      </c>
      <c r="Z75" s="18">
        <v>0</v>
      </c>
      <c r="AA75" s="18">
        <v>0</v>
      </c>
      <c r="AB75" s="18">
        <v>0</v>
      </c>
      <c r="AC75" s="18">
        <v>0</v>
      </c>
      <c r="AD75" s="18">
        <v>0</v>
      </c>
      <c r="AE75" s="18">
        <v>0</v>
      </c>
      <c r="AF75" s="18">
        <v>0</v>
      </c>
      <c r="AG75" s="18" t="s">
        <v>121</v>
      </c>
      <c r="AH75" s="18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1:51" x14ac:dyDescent="0.25">
      <c r="A76" s="1" t="s">
        <v>122</v>
      </c>
      <c r="B76" s="1" t="s">
        <v>43</v>
      </c>
      <c r="C76" s="1">
        <v>34</v>
      </c>
      <c r="D76" s="1"/>
      <c r="E76" s="1">
        <v>24</v>
      </c>
      <c r="F76" s="1">
        <v>7</v>
      </c>
      <c r="G76" s="8">
        <v>0.4</v>
      </c>
      <c r="H76" s="1">
        <v>50</v>
      </c>
      <c r="I76" s="1" t="s">
        <v>38</v>
      </c>
      <c r="J76" s="1"/>
      <c r="K76" s="1">
        <v>27</v>
      </c>
      <c r="L76" s="1">
        <f t="shared" si="18"/>
        <v>-3</v>
      </c>
      <c r="M76" s="1"/>
      <c r="N76" s="1"/>
      <c r="O76" s="1">
        <v>94</v>
      </c>
      <c r="P76" s="1">
        <v>38</v>
      </c>
      <c r="Q76" s="1">
        <v>0</v>
      </c>
      <c r="R76" s="1">
        <f t="shared" si="20"/>
        <v>4.8</v>
      </c>
      <c r="S76" s="5"/>
      <c r="T76" s="5"/>
      <c r="U76" s="1"/>
      <c r="V76" s="1"/>
      <c r="W76" s="1">
        <f t="shared" si="21"/>
        <v>28.958333333333336</v>
      </c>
      <c r="X76" s="1">
        <f t="shared" si="22"/>
        <v>28.958333333333336</v>
      </c>
      <c r="Y76" s="1">
        <v>8.1999999999999993</v>
      </c>
      <c r="Z76" s="1">
        <v>13.83333333333333</v>
      </c>
      <c r="AA76" s="1">
        <v>14.6</v>
      </c>
      <c r="AB76" s="1">
        <v>3.8</v>
      </c>
      <c r="AC76" s="1">
        <v>10</v>
      </c>
      <c r="AD76" s="1">
        <v>6.2</v>
      </c>
      <c r="AE76" s="1">
        <v>1.6</v>
      </c>
      <c r="AF76" s="1">
        <v>0.6</v>
      </c>
      <c r="AG76" s="1"/>
      <c r="AH76" s="1">
        <f>G76*S76</f>
        <v>0</v>
      </c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1:51" x14ac:dyDescent="0.25">
      <c r="A77" s="18" t="s">
        <v>123</v>
      </c>
      <c r="B77" s="18" t="s">
        <v>43</v>
      </c>
      <c r="C77" s="18"/>
      <c r="D77" s="18"/>
      <c r="E77" s="18"/>
      <c r="F77" s="18"/>
      <c r="G77" s="19">
        <v>0</v>
      </c>
      <c r="H77" s="18">
        <v>55</v>
      </c>
      <c r="I77" s="18" t="s">
        <v>38</v>
      </c>
      <c r="J77" s="18"/>
      <c r="K77" s="18"/>
      <c r="L77" s="18">
        <f t="shared" si="18"/>
        <v>0</v>
      </c>
      <c r="M77" s="18"/>
      <c r="N77" s="18"/>
      <c r="O77" s="18">
        <v>0</v>
      </c>
      <c r="P77" s="18">
        <v>0</v>
      </c>
      <c r="Q77" s="18">
        <v>0</v>
      </c>
      <c r="R77" s="18">
        <f t="shared" si="20"/>
        <v>0</v>
      </c>
      <c r="S77" s="20"/>
      <c r="T77" s="20"/>
      <c r="U77" s="18"/>
      <c r="V77" s="18"/>
      <c r="W77" s="18" t="e">
        <f t="shared" si="21"/>
        <v>#DIV/0!</v>
      </c>
      <c r="X77" s="18" t="e">
        <f t="shared" si="22"/>
        <v>#DIV/0!</v>
      </c>
      <c r="Y77" s="18">
        <v>0</v>
      </c>
      <c r="Z77" s="18">
        <v>0</v>
      </c>
      <c r="AA77" s="18">
        <v>0</v>
      </c>
      <c r="AB77" s="18">
        <v>0</v>
      </c>
      <c r="AC77" s="18">
        <v>0</v>
      </c>
      <c r="AD77" s="18">
        <v>0</v>
      </c>
      <c r="AE77" s="18">
        <v>0</v>
      </c>
      <c r="AF77" s="18">
        <v>0</v>
      </c>
      <c r="AG77" s="18" t="s">
        <v>65</v>
      </c>
      <c r="AH77" s="18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1:51" x14ac:dyDescent="0.25">
      <c r="A78" s="18" t="s">
        <v>124</v>
      </c>
      <c r="B78" s="18" t="s">
        <v>37</v>
      </c>
      <c r="C78" s="18"/>
      <c r="D78" s="18"/>
      <c r="E78" s="18"/>
      <c r="F78" s="18"/>
      <c r="G78" s="19">
        <v>0</v>
      </c>
      <c r="H78" s="18">
        <v>55</v>
      </c>
      <c r="I78" s="18" t="s">
        <v>38</v>
      </c>
      <c r="J78" s="18"/>
      <c r="K78" s="18"/>
      <c r="L78" s="18">
        <f t="shared" si="18"/>
        <v>0</v>
      </c>
      <c r="M78" s="18"/>
      <c r="N78" s="18"/>
      <c r="O78" s="18">
        <v>0</v>
      </c>
      <c r="P78" s="18">
        <v>0</v>
      </c>
      <c r="Q78" s="18">
        <v>0</v>
      </c>
      <c r="R78" s="18">
        <f t="shared" si="20"/>
        <v>0</v>
      </c>
      <c r="S78" s="20"/>
      <c r="T78" s="20"/>
      <c r="U78" s="18"/>
      <c r="V78" s="18"/>
      <c r="W78" s="18" t="e">
        <f t="shared" si="21"/>
        <v>#DIV/0!</v>
      </c>
      <c r="X78" s="18" t="e">
        <f t="shared" si="22"/>
        <v>#DIV/0!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 t="s">
        <v>125</v>
      </c>
      <c r="AH78" s="18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spans="1:51" x14ac:dyDescent="0.25">
      <c r="A79" s="1" t="s">
        <v>126</v>
      </c>
      <c r="B79" s="1" t="s">
        <v>37</v>
      </c>
      <c r="C79" s="1">
        <v>89.623999999999995</v>
      </c>
      <c r="D79" s="1">
        <v>25.155999999999999</v>
      </c>
      <c r="E79" s="1">
        <v>95.296999999999997</v>
      </c>
      <c r="F79" s="1">
        <v>18.631</v>
      </c>
      <c r="G79" s="8">
        <v>1</v>
      </c>
      <c r="H79" s="1">
        <v>60</v>
      </c>
      <c r="I79" s="1" t="s">
        <v>38</v>
      </c>
      <c r="J79" s="1"/>
      <c r="K79" s="1">
        <v>89.3</v>
      </c>
      <c r="L79" s="1">
        <f t="shared" si="18"/>
        <v>5.9969999999999999</v>
      </c>
      <c r="M79" s="1"/>
      <c r="N79" s="1"/>
      <c r="O79" s="1">
        <v>201.53200000000001</v>
      </c>
      <c r="P79" s="1">
        <v>52.322400000000037</v>
      </c>
      <c r="Q79" s="1">
        <v>0</v>
      </c>
      <c r="R79" s="1">
        <f t="shared" si="20"/>
        <v>19.0594</v>
      </c>
      <c r="S79" s="5"/>
      <c r="T79" s="5"/>
      <c r="U79" s="1"/>
      <c r="V79" s="1"/>
      <c r="W79" s="1">
        <f t="shared" si="21"/>
        <v>14.296641027524478</v>
      </c>
      <c r="X79" s="1">
        <f t="shared" si="22"/>
        <v>14.296641027524478</v>
      </c>
      <c r="Y79" s="1">
        <v>20.004200000000001</v>
      </c>
      <c r="Z79" s="1">
        <v>26.745999999999999</v>
      </c>
      <c r="AA79" s="1">
        <v>30.1508</v>
      </c>
      <c r="AB79" s="1">
        <v>19.381</v>
      </c>
      <c r="AC79" s="1">
        <v>25.3506</v>
      </c>
      <c r="AD79" s="1">
        <v>19.732399999999998</v>
      </c>
      <c r="AE79" s="1">
        <v>19.7456</v>
      </c>
      <c r="AF79" s="1">
        <v>22.788799999999998</v>
      </c>
      <c r="AG79" s="1" t="s">
        <v>52</v>
      </c>
      <c r="AH79" s="1">
        <f>G79*S79</f>
        <v>0</v>
      </c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1:51" x14ac:dyDescent="0.25">
      <c r="A80" s="1" t="s">
        <v>127</v>
      </c>
      <c r="B80" s="1" t="s">
        <v>37</v>
      </c>
      <c r="C80" s="1">
        <v>554.33600000000001</v>
      </c>
      <c r="D80" s="1">
        <v>406.07799999999997</v>
      </c>
      <c r="E80" s="1">
        <v>554.86400000000003</v>
      </c>
      <c r="F80" s="1">
        <v>372.45100000000002</v>
      </c>
      <c r="G80" s="8">
        <v>1</v>
      </c>
      <c r="H80" s="1">
        <v>60</v>
      </c>
      <c r="I80" s="1" t="s">
        <v>38</v>
      </c>
      <c r="J80" s="1"/>
      <c r="K80" s="1">
        <v>557.52</v>
      </c>
      <c r="L80" s="1">
        <f t="shared" si="18"/>
        <v>-2.6559999999999491</v>
      </c>
      <c r="M80" s="1"/>
      <c r="N80" s="1"/>
      <c r="O80" s="1">
        <v>438.96990000000022</v>
      </c>
      <c r="P80" s="1">
        <v>164.49775</v>
      </c>
      <c r="Q80" s="1">
        <v>22.349549999999908</v>
      </c>
      <c r="R80" s="1">
        <f t="shared" si="20"/>
        <v>110.97280000000001</v>
      </c>
      <c r="S80" s="5">
        <f t="shared" ref="S80:S81" si="23">12*R80-Q80-P80-O80-F80</f>
        <v>333.40539999999987</v>
      </c>
      <c r="T80" s="5"/>
      <c r="U80" s="1"/>
      <c r="V80" s="1"/>
      <c r="W80" s="1">
        <f t="shared" si="21"/>
        <v>12</v>
      </c>
      <c r="X80" s="1">
        <f t="shared" si="22"/>
        <v>8.9956115372415599</v>
      </c>
      <c r="Y80" s="1">
        <v>111.33920000000001</v>
      </c>
      <c r="Z80" s="1">
        <v>109.66516666666671</v>
      </c>
      <c r="AA80" s="1">
        <v>132.04480000000001</v>
      </c>
      <c r="AB80" s="1">
        <v>98.457399999999993</v>
      </c>
      <c r="AC80" s="1">
        <v>111.7734</v>
      </c>
      <c r="AD80" s="1">
        <v>108.4014</v>
      </c>
      <c r="AE80" s="1">
        <v>93.259799999999998</v>
      </c>
      <c r="AF80" s="1">
        <v>95.246000000000009</v>
      </c>
      <c r="AG80" s="1"/>
      <c r="AH80" s="1">
        <f>G80*S80</f>
        <v>333.40539999999987</v>
      </c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spans="1:51" x14ac:dyDescent="0.25">
      <c r="A81" s="1" t="s">
        <v>128</v>
      </c>
      <c r="B81" s="1" t="s">
        <v>37</v>
      </c>
      <c r="C81" s="1">
        <v>45.094000000000001</v>
      </c>
      <c r="D81" s="1">
        <v>1273.152</v>
      </c>
      <c r="E81" s="1">
        <v>784.24099999999999</v>
      </c>
      <c r="F81" s="1">
        <v>496.41899999999998</v>
      </c>
      <c r="G81" s="8">
        <v>1</v>
      </c>
      <c r="H81" s="1">
        <v>60</v>
      </c>
      <c r="I81" s="1" t="s">
        <v>38</v>
      </c>
      <c r="J81" s="1"/>
      <c r="K81" s="1">
        <v>785.09500000000003</v>
      </c>
      <c r="L81" s="1">
        <f t="shared" si="18"/>
        <v>-0.85400000000004184</v>
      </c>
      <c r="M81" s="1"/>
      <c r="N81" s="1"/>
      <c r="O81" s="1">
        <v>214.67239999999981</v>
      </c>
      <c r="P81" s="1">
        <v>170.42325</v>
      </c>
      <c r="Q81" s="1">
        <v>350.18195000000043</v>
      </c>
      <c r="R81" s="1">
        <f t="shared" si="20"/>
        <v>156.84819999999999</v>
      </c>
      <c r="S81" s="5">
        <f t="shared" si="23"/>
        <v>650.48179999999945</v>
      </c>
      <c r="T81" s="5"/>
      <c r="U81" s="1"/>
      <c r="V81" s="1"/>
      <c r="W81" s="1">
        <f t="shared" si="21"/>
        <v>12</v>
      </c>
      <c r="X81" s="1">
        <f t="shared" si="22"/>
        <v>7.8527939753213634</v>
      </c>
      <c r="Y81" s="1">
        <v>141.7116</v>
      </c>
      <c r="Z81" s="1">
        <v>113.6155</v>
      </c>
      <c r="AA81" s="1">
        <v>145.12819999999999</v>
      </c>
      <c r="AB81" s="1">
        <v>136.1464</v>
      </c>
      <c r="AC81" s="1">
        <v>92.448000000000008</v>
      </c>
      <c r="AD81" s="1">
        <v>96.532399999999996</v>
      </c>
      <c r="AE81" s="1">
        <v>92.557199999999995</v>
      </c>
      <c r="AF81" s="1">
        <v>91.076599999999999</v>
      </c>
      <c r="AG81" s="1" t="s">
        <v>52</v>
      </c>
      <c r="AH81" s="1">
        <f>G81*S81</f>
        <v>650.48179999999945</v>
      </c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1:51" x14ac:dyDescent="0.25">
      <c r="A82" s="1" t="s">
        <v>129</v>
      </c>
      <c r="B82" s="1" t="s">
        <v>37</v>
      </c>
      <c r="C82" s="1">
        <v>103.999</v>
      </c>
      <c r="D82" s="1">
        <v>3439.17</v>
      </c>
      <c r="E82" s="1">
        <v>1258.9259999999999</v>
      </c>
      <c r="F82" s="1">
        <v>2225.0129999999999</v>
      </c>
      <c r="G82" s="8">
        <v>1</v>
      </c>
      <c r="H82" s="1">
        <v>60</v>
      </c>
      <c r="I82" s="1" t="s">
        <v>38</v>
      </c>
      <c r="J82" s="1"/>
      <c r="K82" s="1">
        <v>1269.9680000000001</v>
      </c>
      <c r="L82" s="1">
        <f t="shared" si="18"/>
        <v>-11.042000000000144</v>
      </c>
      <c r="M82" s="1"/>
      <c r="N82" s="1"/>
      <c r="O82" s="1">
        <v>994.55279999999766</v>
      </c>
      <c r="P82" s="1">
        <v>0</v>
      </c>
      <c r="Q82" s="1">
        <v>0</v>
      </c>
      <c r="R82" s="1">
        <f t="shared" si="20"/>
        <v>251.78519999999997</v>
      </c>
      <c r="S82" s="5"/>
      <c r="T82" s="5"/>
      <c r="U82" s="1"/>
      <c r="V82" s="1"/>
      <c r="W82" s="1">
        <f t="shared" si="21"/>
        <v>12.786954118033934</v>
      </c>
      <c r="X82" s="1">
        <f t="shared" si="22"/>
        <v>12.786954118033934</v>
      </c>
      <c r="Y82" s="1">
        <v>246.667</v>
      </c>
      <c r="Z82" s="1">
        <v>303.02916666666658</v>
      </c>
      <c r="AA82" s="1">
        <v>407.41539999999998</v>
      </c>
      <c r="AB82" s="1">
        <v>277.85980000000001</v>
      </c>
      <c r="AC82" s="1">
        <v>224.4718</v>
      </c>
      <c r="AD82" s="1">
        <v>221.23580000000001</v>
      </c>
      <c r="AE82" s="1">
        <v>215.50120000000001</v>
      </c>
      <c r="AF82" s="1">
        <v>220.69839999999999</v>
      </c>
      <c r="AG82" s="1" t="s">
        <v>52</v>
      </c>
      <c r="AH82" s="1">
        <f>G82*S82</f>
        <v>0</v>
      </c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spans="1:51" x14ac:dyDescent="0.25">
      <c r="A83" s="18" t="s">
        <v>130</v>
      </c>
      <c r="B83" s="18" t="s">
        <v>37</v>
      </c>
      <c r="C83" s="18"/>
      <c r="D83" s="18"/>
      <c r="E83" s="18"/>
      <c r="F83" s="18"/>
      <c r="G83" s="19">
        <v>0</v>
      </c>
      <c r="H83" s="18">
        <v>60</v>
      </c>
      <c r="I83" s="18" t="s">
        <v>38</v>
      </c>
      <c r="J83" s="18"/>
      <c r="K83" s="18"/>
      <c r="L83" s="18">
        <f t="shared" si="18"/>
        <v>0</v>
      </c>
      <c r="M83" s="18"/>
      <c r="N83" s="18"/>
      <c r="O83" s="18">
        <v>0</v>
      </c>
      <c r="P83" s="18">
        <v>0</v>
      </c>
      <c r="Q83" s="18">
        <v>0</v>
      </c>
      <c r="R83" s="18">
        <f t="shared" si="20"/>
        <v>0</v>
      </c>
      <c r="S83" s="20"/>
      <c r="T83" s="20"/>
      <c r="U83" s="18"/>
      <c r="V83" s="18"/>
      <c r="W83" s="18" t="e">
        <f t="shared" si="21"/>
        <v>#DIV/0!</v>
      </c>
      <c r="X83" s="18" t="e">
        <f t="shared" si="22"/>
        <v>#DIV/0!</v>
      </c>
      <c r="Y83" s="18">
        <v>0</v>
      </c>
      <c r="Z83" s="18">
        <v>0</v>
      </c>
      <c r="AA83" s="18">
        <v>0</v>
      </c>
      <c r="AB83" s="18">
        <v>0</v>
      </c>
      <c r="AC83" s="18">
        <v>0</v>
      </c>
      <c r="AD83" s="18">
        <v>0</v>
      </c>
      <c r="AE83" s="18">
        <v>0</v>
      </c>
      <c r="AF83" s="18">
        <v>0</v>
      </c>
      <c r="AG83" s="18" t="s">
        <v>65</v>
      </c>
      <c r="AH83" s="18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1:51" x14ac:dyDescent="0.25">
      <c r="A84" s="1" t="s">
        <v>131</v>
      </c>
      <c r="B84" s="1" t="s">
        <v>43</v>
      </c>
      <c r="C84" s="1">
        <v>1</v>
      </c>
      <c r="D84" s="1">
        <v>157</v>
      </c>
      <c r="E84" s="1">
        <v>74</v>
      </c>
      <c r="F84" s="1">
        <v>66</v>
      </c>
      <c r="G84" s="8">
        <v>0.3</v>
      </c>
      <c r="H84" s="1">
        <v>40</v>
      </c>
      <c r="I84" s="1" t="s">
        <v>38</v>
      </c>
      <c r="J84" s="1"/>
      <c r="K84" s="1">
        <v>87</v>
      </c>
      <c r="L84" s="1">
        <f t="shared" si="18"/>
        <v>-13</v>
      </c>
      <c r="M84" s="1"/>
      <c r="N84" s="1"/>
      <c r="O84" s="1">
        <v>127.4</v>
      </c>
      <c r="P84" s="1">
        <v>0</v>
      </c>
      <c r="Q84" s="1">
        <v>0</v>
      </c>
      <c r="R84" s="1">
        <f t="shared" si="20"/>
        <v>14.8</v>
      </c>
      <c r="S84" s="5"/>
      <c r="T84" s="5"/>
      <c r="U84" s="1"/>
      <c r="V84" s="1"/>
      <c r="W84" s="1">
        <f t="shared" si="21"/>
        <v>13.067567567567567</v>
      </c>
      <c r="X84" s="1">
        <f t="shared" si="22"/>
        <v>13.067567567567567</v>
      </c>
      <c r="Y84" s="1">
        <v>14.3188</v>
      </c>
      <c r="Z84" s="1">
        <v>20.5</v>
      </c>
      <c r="AA84" s="1">
        <v>28.2</v>
      </c>
      <c r="AB84" s="1">
        <v>19.8</v>
      </c>
      <c r="AC84" s="1">
        <v>19.399999999999999</v>
      </c>
      <c r="AD84" s="1">
        <v>22</v>
      </c>
      <c r="AE84" s="1">
        <v>22.2</v>
      </c>
      <c r="AF84" s="1">
        <v>18</v>
      </c>
      <c r="AG84" s="1"/>
      <c r="AH84" s="1">
        <f t="shared" ref="AH84:AH97" si="24">G84*S84</f>
        <v>0</v>
      </c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spans="1:51" x14ac:dyDescent="0.25">
      <c r="A85" s="1" t="s">
        <v>132</v>
      </c>
      <c r="B85" s="1" t="s">
        <v>43</v>
      </c>
      <c r="C85" s="1">
        <v>48</v>
      </c>
      <c r="D85" s="1">
        <v>36</v>
      </c>
      <c r="E85" s="1">
        <v>26</v>
      </c>
      <c r="F85" s="1">
        <v>54</v>
      </c>
      <c r="G85" s="8">
        <v>7.0000000000000007E-2</v>
      </c>
      <c r="H85" s="1">
        <v>90</v>
      </c>
      <c r="I85" s="1" t="s">
        <v>38</v>
      </c>
      <c r="J85" s="1"/>
      <c r="K85" s="1">
        <v>30</v>
      </c>
      <c r="L85" s="1">
        <f t="shared" si="18"/>
        <v>-4</v>
      </c>
      <c r="M85" s="1"/>
      <c r="N85" s="1"/>
      <c r="O85" s="1">
        <v>0</v>
      </c>
      <c r="P85" s="1">
        <v>0</v>
      </c>
      <c r="Q85" s="1">
        <v>0</v>
      </c>
      <c r="R85" s="1">
        <f t="shared" si="20"/>
        <v>5.2</v>
      </c>
      <c r="S85" s="5">
        <f t="shared" ref="S85:S96" si="25">12*R85-Q85-P85-O85-F85</f>
        <v>8.4000000000000057</v>
      </c>
      <c r="T85" s="5"/>
      <c r="U85" s="1"/>
      <c r="V85" s="1"/>
      <c r="W85" s="1">
        <f t="shared" si="21"/>
        <v>12</v>
      </c>
      <c r="X85" s="1">
        <f t="shared" si="22"/>
        <v>10.384615384615385</v>
      </c>
      <c r="Y85" s="1">
        <v>3.4</v>
      </c>
      <c r="Z85" s="1">
        <v>3.833333333333333</v>
      </c>
      <c r="AA85" s="1">
        <v>4.4000000000000004</v>
      </c>
      <c r="AB85" s="1">
        <v>6.6</v>
      </c>
      <c r="AC85" s="1">
        <v>6.2</v>
      </c>
      <c r="AD85" s="1">
        <v>6</v>
      </c>
      <c r="AE85" s="1">
        <v>5.2</v>
      </c>
      <c r="AF85" s="1">
        <v>4.5999999999999996</v>
      </c>
      <c r="AG85" s="1"/>
      <c r="AH85" s="1">
        <f t="shared" si="24"/>
        <v>0.58800000000000041</v>
      </c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1:51" x14ac:dyDescent="0.25">
      <c r="A86" s="1" t="s">
        <v>133</v>
      </c>
      <c r="B86" s="1" t="s">
        <v>43</v>
      </c>
      <c r="C86" s="1">
        <v>55</v>
      </c>
      <c r="D86" s="1">
        <v>36</v>
      </c>
      <c r="E86" s="1">
        <v>19</v>
      </c>
      <c r="F86" s="1">
        <v>71</v>
      </c>
      <c r="G86" s="8">
        <v>7.0000000000000007E-2</v>
      </c>
      <c r="H86" s="1">
        <v>90</v>
      </c>
      <c r="I86" s="1" t="s">
        <v>38</v>
      </c>
      <c r="J86" s="1"/>
      <c r="K86" s="1">
        <v>20</v>
      </c>
      <c r="L86" s="1">
        <f t="shared" si="18"/>
        <v>-1</v>
      </c>
      <c r="M86" s="1"/>
      <c r="N86" s="1"/>
      <c r="O86" s="1">
        <v>33.119999999999983</v>
      </c>
      <c r="P86" s="1">
        <v>6</v>
      </c>
      <c r="Q86" s="1">
        <v>0</v>
      </c>
      <c r="R86" s="1">
        <f t="shared" si="20"/>
        <v>3.8</v>
      </c>
      <c r="S86" s="5"/>
      <c r="T86" s="5"/>
      <c r="U86" s="1"/>
      <c r="V86" s="1"/>
      <c r="W86" s="1">
        <f t="shared" si="21"/>
        <v>28.978947368421046</v>
      </c>
      <c r="X86" s="1">
        <f t="shared" si="22"/>
        <v>28.978947368421046</v>
      </c>
      <c r="Y86" s="1">
        <v>5.8</v>
      </c>
      <c r="Z86" s="1">
        <v>10.16666666666667</v>
      </c>
      <c r="AA86" s="1">
        <v>12.2</v>
      </c>
      <c r="AB86" s="1">
        <v>9</v>
      </c>
      <c r="AC86" s="1">
        <v>6.6</v>
      </c>
      <c r="AD86" s="1">
        <v>9.8000000000000007</v>
      </c>
      <c r="AE86" s="1">
        <v>8.6</v>
      </c>
      <c r="AF86" s="1">
        <v>5.6</v>
      </c>
      <c r="AG86" s="22" t="s">
        <v>72</v>
      </c>
      <c r="AH86" s="1">
        <f t="shared" si="24"/>
        <v>0</v>
      </c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spans="1:51" x14ac:dyDescent="0.25">
      <c r="A87" s="1" t="s">
        <v>134</v>
      </c>
      <c r="B87" s="1" t="s">
        <v>43</v>
      </c>
      <c r="C87" s="1">
        <v>46</v>
      </c>
      <c r="D87" s="1">
        <v>18</v>
      </c>
      <c r="E87" s="1">
        <v>19</v>
      </c>
      <c r="F87" s="1">
        <v>43</v>
      </c>
      <c r="G87" s="8">
        <v>7.0000000000000007E-2</v>
      </c>
      <c r="H87" s="1">
        <v>90</v>
      </c>
      <c r="I87" s="1" t="s">
        <v>38</v>
      </c>
      <c r="J87" s="1"/>
      <c r="K87" s="1">
        <v>21</v>
      </c>
      <c r="L87" s="1">
        <f t="shared" si="18"/>
        <v>-2</v>
      </c>
      <c r="M87" s="1"/>
      <c r="N87" s="1"/>
      <c r="O87" s="1">
        <v>35.200000000000003</v>
      </c>
      <c r="P87" s="1">
        <v>0</v>
      </c>
      <c r="Q87" s="1">
        <v>0</v>
      </c>
      <c r="R87" s="1">
        <f t="shared" si="20"/>
        <v>3.8</v>
      </c>
      <c r="S87" s="5"/>
      <c r="T87" s="5"/>
      <c r="U87" s="1"/>
      <c r="V87" s="1"/>
      <c r="W87" s="1">
        <f t="shared" si="21"/>
        <v>20.578947368421055</v>
      </c>
      <c r="X87" s="1">
        <f t="shared" si="22"/>
        <v>20.578947368421055</v>
      </c>
      <c r="Y87" s="1">
        <v>3.8</v>
      </c>
      <c r="Z87" s="1">
        <v>7.833333333333333</v>
      </c>
      <c r="AA87" s="1">
        <v>10</v>
      </c>
      <c r="AB87" s="1">
        <v>6.4</v>
      </c>
      <c r="AC87" s="1">
        <v>3.4</v>
      </c>
      <c r="AD87" s="1">
        <v>6</v>
      </c>
      <c r="AE87" s="1">
        <v>5.6</v>
      </c>
      <c r="AF87" s="1">
        <v>4</v>
      </c>
      <c r="AG87" s="22" t="s">
        <v>72</v>
      </c>
      <c r="AH87" s="1">
        <f t="shared" si="24"/>
        <v>0</v>
      </c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spans="1:51" x14ac:dyDescent="0.25">
      <c r="A88" s="1" t="s">
        <v>135</v>
      </c>
      <c r="B88" s="1" t="s">
        <v>43</v>
      </c>
      <c r="C88" s="1">
        <v>37</v>
      </c>
      <c r="D88" s="1">
        <v>72</v>
      </c>
      <c r="E88" s="1">
        <v>18</v>
      </c>
      <c r="F88" s="1">
        <v>91</v>
      </c>
      <c r="G88" s="8">
        <v>0.05</v>
      </c>
      <c r="H88" s="1">
        <v>90</v>
      </c>
      <c r="I88" s="1" t="s">
        <v>38</v>
      </c>
      <c r="J88" s="1"/>
      <c r="K88" s="1">
        <v>18</v>
      </c>
      <c r="L88" s="1">
        <f t="shared" si="18"/>
        <v>0</v>
      </c>
      <c r="M88" s="1"/>
      <c r="N88" s="1"/>
      <c r="O88" s="1">
        <v>37.200000000000017</v>
      </c>
      <c r="P88" s="1">
        <v>0</v>
      </c>
      <c r="Q88" s="1">
        <v>0</v>
      </c>
      <c r="R88" s="1">
        <f t="shared" si="20"/>
        <v>3.6</v>
      </c>
      <c r="S88" s="5"/>
      <c r="T88" s="5"/>
      <c r="U88" s="1"/>
      <c r="V88" s="1"/>
      <c r="W88" s="1">
        <f t="shared" si="21"/>
        <v>35.611111111111114</v>
      </c>
      <c r="X88" s="1">
        <f t="shared" si="22"/>
        <v>35.611111111111114</v>
      </c>
      <c r="Y88" s="1">
        <v>3.8</v>
      </c>
      <c r="Z88" s="1">
        <v>10</v>
      </c>
      <c r="AA88" s="1">
        <v>12</v>
      </c>
      <c r="AB88" s="1">
        <v>8.1999999999999993</v>
      </c>
      <c r="AC88" s="1">
        <v>6.4</v>
      </c>
      <c r="AD88" s="1">
        <v>7</v>
      </c>
      <c r="AE88" s="1">
        <v>7.2</v>
      </c>
      <c r="AF88" s="1">
        <v>7.2</v>
      </c>
      <c r="AG88" s="22" t="s">
        <v>72</v>
      </c>
      <c r="AH88" s="1">
        <f t="shared" si="24"/>
        <v>0</v>
      </c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spans="1:51" x14ac:dyDescent="0.25">
      <c r="A89" s="1" t="s">
        <v>136</v>
      </c>
      <c r="B89" s="1" t="s">
        <v>43</v>
      </c>
      <c r="C89" s="1">
        <v>59</v>
      </c>
      <c r="D89" s="1"/>
      <c r="E89" s="1">
        <v>24</v>
      </c>
      <c r="F89" s="1">
        <v>34</v>
      </c>
      <c r="G89" s="8">
        <v>0.05</v>
      </c>
      <c r="H89" s="1">
        <v>90</v>
      </c>
      <c r="I89" s="1" t="s">
        <v>38</v>
      </c>
      <c r="J89" s="1"/>
      <c r="K89" s="1">
        <v>25</v>
      </c>
      <c r="L89" s="1">
        <f t="shared" si="18"/>
        <v>-1</v>
      </c>
      <c r="M89" s="1"/>
      <c r="N89" s="1"/>
      <c r="O89" s="1">
        <v>0</v>
      </c>
      <c r="P89" s="1">
        <v>0</v>
      </c>
      <c r="Q89" s="1">
        <v>0</v>
      </c>
      <c r="R89" s="1">
        <f t="shared" si="20"/>
        <v>4.8</v>
      </c>
      <c r="S89" s="5">
        <f t="shared" si="25"/>
        <v>23.599999999999994</v>
      </c>
      <c r="T89" s="5"/>
      <c r="U89" s="1"/>
      <c r="V89" s="1"/>
      <c r="W89" s="1">
        <f t="shared" si="21"/>
        <v>12</v>
      </c>
      <c r="X89" s="1">
        <f t="shared" si="22"/>
        <v>7.0833333333333339</v>
      </c>
      <c r="Y89" s="1">
        <v>3.2</v>
      </c>
      <c r="Z89" s="1">
        <v>2.166666666666667</v>
      </c>
      <c r="AA89" s="1">
        <v>1</v>
      </c>
      <c r="AB89" s="1">
        <v>4.4000000000000004</v>
      </c>
      <c r="AC89" s="1">
        <v>7.6</v>
      </c>
      <c r="AD89" s="1">
        <v>8</v>
      </c>
      <c r="AE89" s="1">
        <v>5.2</v>
      </c>
      <c r="AF89" s="1">
        <v>6</v>
      </c>
      <c r="AG89" s="1"/>
      <c r="AH89" s="1">
        <f t="shared" si="24"/>
        <v>1.1799999999999997</v>
      </c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spans="1:51" x14ac:dyDescent="0.25">
      <c r="A90" s="1" t="s">
        <v>137</v>
      </c>
      <c r="B90" s="1" t="s">
        <v>43</v>
      </c>
      <c r="C90" s="1">
        <v>19</v>
      </c>
      <c r="D90" s="1">
        <v>72</v>
      </c>
      <c r="E90" s="1">
        <v>32</v>
      </c>
      <c r="F90" s="1">
        <v>58</v>
      </c>
      <c r="G90" s="8">
        <v>5.5E-2</v>
      </c>
      <c r="H90" s="1">
        <v>90</v>
      </c>
      <c r="I90" s="1" t="s">
        <v>38</v>
      </c>
      <c r="J90" s="1"/>
      <c r="K90" s="1">
        <v>33</v>
      </c>
      <c r="L90" s="1">
        <f t="shared" si="18"/>
        <v>-1</v>
      </c>
      <c r="M90" s="1"/>
      <c r="N90" s="1"/>
      <c r="O90" s="1">
        <v>36.199999999999989</v>
      </c>
      <c r="P90" s="1">
        <v>10.000000000000011</v>
      </c>
      <c r="Q90" s="1">
        <v>0</v>
      </c>
      <c r="R90" s="1">
        <f t="shared" si="20"/>
        <v>6.4</v>
      </c>
      <c r="S90" s="5"/>
      <c r="T90" s="5"/>
      <c r="U90" s="1"/>
      <c r="V90" s="1"/>
      <c r="W90" s="1">
        <f t="shared" si="21"/>
        <v>16.28125</v>
      </c>
      <c r="X90" s="1">
        <f t="shared" si="22"/>
        <v>16.28125</v>
      </c>
      <c r="Y90" s="1">
        <v>5.6</v>
      </c>
      <c r="Z90" s="1">
        <v>8.1666666666666661</v>
      </c>
      <c r="AA90" s="1">
        <v>9</v>
      </c>
      <c r="AB90" s="1">
        <v>6.2</v>
      </c>
      <c r="AC90" s="1">
        <v>5.4</v>
      </c>
      <c r="AD90" s="1">
        <v>6</v>
      </c>
      <c r="AE90" s="1">
        <v>5.4</v>
      </c>
      <c r="AF90" s="1">
        <v>6.4</v>
      </c>
      <c r="AG90" s="1"/>
      <c r="AH90" s="1">
        <f t="shared" si="24"/>
        <v>0</v>
      </c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spans="1:51" x14ac:dyDescent="0.25">
      <c r="A91" s="1" t="s">
        <v>138</v>
      </c>
      <c r="B91" s="1" t="s">
        <v>37</v>
      </c>
      <c r="C91" s="1">
        <v>317.928</v>
      </c>
      <c r="D91" s="1">
        <v>237.80199999999999</v>
      </c>
      <c r="E91" s="1">
        <v>429.96100000000001</v>
      </c>
      <c r="F91" s="1">
        <v>103.273</v>
      </c>
      <c r="G91" s="8">
        <v>1</v>
      </c>
      <c r="H91" s="1">
        <v>40</v>
      </c>
      <c r="I91" s="1" t="s">
        <v>38</v>
      </c>
      <c r="J91" s="1"/>
      <c r="K91" s="1">
        <v>384.6</v>
      </c>
      <c r="L91" s="1">
        <f t="shared" si="18"/>
        <v>45.36099999999999</v>
      </c>
      <c r="M91" s="1"/>
      <c r="N91" s="1"/>
      <c r="O91" s="1">
        <v>271.29896000000008</v>
      </c>
      <c r="P91" s="1">
        <v>0</v>
      </c>
      <c r="Q91" s="1">
        <v>118.10303999999979</v>
      </c>
      <c r="R91" s="1">
        <f t="shared" si="20"/>
        <v>85.992199999999997</v>
      </c>
      <c r="S91" s="5">
        <f t="shared" si="25"/>
        <v>539.23140000000001</v>
      </c>
      <c r="T91" s="5"/>
      <c r="U91" s="1"/>
      <c r="V91" s="1"/>
      <c r="W91" s="1">
        <f t="shared" si="21"/>
        <v>11.999999999999998</v>
      </c>
      <c r="X91" s="1">
        <f t="shared" si="22"/>
        <v>5.7292987038359282</v>
      </c>
      <c r="Y91" s="1">
        <v>65.176999999999992</v>
      </c>
      <c r="Z91" s="1">
        <v>64.354833333333332</v>
      </c>
      <c r="AA91" s="1">
        <v>83.301599999999993</v>
      </c>
      <c r="AB91" s="1">
        <v>65.376999999999995</v>
      </c>
      <c r="AC91" s="1">
        <v>86.279200000000003</v>
      </c>
      <c r="AD91" s="1">
        <v>92.022400000000005</v>
      </c>
      <c r="AE91" s="1">
        <v>83.626400000000004</v>
      </c>
      <c r="AF91" s="1">
        <v>92.351199999999992</v>
      </c>
      <c r="AG91" s="1" t="s">
        <v>52</v>
      </c>
      <c r="AH91" s="1">
        <f t="shared" si="24"/>
        <v>539.23140000000001</v>
      </c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spans="1:51" x14ac:dyDescent="0.25">
      <c r="A92" s="12" t="s">
        <v>139</v>
      </c>
      <c r="B92" s="1" t="s">
        <v>37</v>
      </c>
      <c r="C92" s="1"/>
      <c r="D92" s="1"/>
      <c r="E92" s="1"/>
      <c r="F92" s="1"/>
      <c r="G92" s="8">
        <v>1</v>
      </c>
      <c r="H92" s="1">
        <v>60</v>
      </c>
      <c r="I92" s="1" t="s">
        <v>38</v>
      </c>
      <c r="J92" s="1"/>
      <c r="K92" s="1"/>
      <c r="L92" s="1">
        <f t="shared" si="18"/>
        <v>0</v>
      </c>
      <c r="M92" s="1"/>
      <c r="N92" s="1"/>
      <c r="O92" s="1"/>
      <c r="P92" s="1"/>
      <c r="Q92" s="12"/>
      <c r="R92" s="1">
        <f t="shared" si="20"/>
        <v>0</v>
      </c>
      <c r="S92" s="17">
        <v>4</v>
      </c>
      <c r="T92" s="5"/>
      <c r="U92" s="1"/>
      <c r="V92" s="1"/>
      <c r="W92" s="1" t="e">
        <f t="shared" si="21"/>
        <v>#DIV/0!</v>
      </c>
      <c r="X92" s="1" t="e">
        <f t="shared" si="22"/>
        <v>#DIV/0!</v>
      </c>
      <c r="Y92" s="1">
        <v>0</v>
      </c>
      <c r="Z92" s="1">
        <v>0</v>
      </c>
      <c r="AA92" s="1">
        <v>0</v>
      </c>
      <c r="AB92" s="1">
        <v>0</v>
      </c>
      <c r="AC92" s="1">
        <v>-0.71879999999999999</v>
      </c>
      <c r="AD92" s="1">
        <v>0</v>
      </c>
      <c r="AE92" s="1">
        <v>0</v>
      </c>
      <c r="AF92" s="1">
        <v>0</v>
      </c>
      <c r="AG92" s="12" t="s">
        <v>140</v>
      </c>
      <c r="AH92" s="1">
        <f t="shared" si="24"/>
        <v>4</v>
      </c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spans="1:51" x14ac:dyDescent="0.25">
      <c r="A93" s="1" t="s">
        <v>141</v>
      </c>
      <c r="B93" s="1" t="s">
        <v>43</v>
      </c>
      <c r="C93" s="1">
        <v>81</v>
      </c>
      <c r="D93" s="1">
        <v>123</v>
      </c>
      <c r="E93" s="1">
        <v>108</v>
      </c>
      <c r="F93" s="1">
        <v>81</v>
      </c>
      <c r="G93" s="8">
        <v>0.3</v>
      </c>
      <c r="H93" s="1">
        <v>40</v>
      </c>
      <c r="I93" s="1" t="s">
        <v>38</v>
      </c>
      <c r="J93" s="1"/>
      <c r="K93" s="1">
        <v>115</v>
      </c>
      <c r="L93" s="1">
        <f t="shared" si="18"/>
        <v>-7</v>
      </c>
      <c r="M93" s="1"/>
      <c r="N93" s="1"/>
      <c r="O93" s="1">
        <v>22.400000000000031</v>
      </c>
      <c r="P93" s="1">
        <v>3.8000000000000109</v>
      </c>
      <c r="Q93" s="1">
        <v>101.1999999999999</v>
      </c>
      <c r="R93" s="1">
        <f t="shared" si="20"/>
        <v>21.6</v>
      </c>
      <c r="S93" s="5">
        <f t="shared" si="25"/>
        <v>50.800000000000097</v>
      </c>
      <c r="T93" s="5"/>
      <c r="U93" s="1"/>
      <c r="V93" s="1"/>
      <c r="W93" s="1">
        <f t="shared" si="21"/>
        <v>12.000000000000002</v>
      </c>
      <c r="X93" s="1">
        <f t="shared" si="22"/>
        <v>9.6481481481481453</v>
      </c>
      <c r="Y93" s="1">
        <v>22.4</v>
      </c>
      <c r="Z93" s="1">
        <v>18.333333333333329</v>
      </c>
      <c r="AA93" s="1">
        <v>23.2</v>
      </c>
      <c r="AB93" s="1">
        <v>21.4</v>
      </c>
      <c r="AC93" s="1">
        <v>24.8</v>
      </c>
      <c r="AD93" s="1">
        <v>24.4</v>
      </c>
      <c r="AE93" s="1">
        <v>19.8</v>
      </c>
      <c r="AF93" s="1">
        <v>19.8</v>
      </c>
      <c r="AG93" s="1"/>
      <c r="AH93" s="1">
        <f t="shared" si="24"/>
        <v>15.240000000000029</v>
      </c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spans="1:51" x14ac:dyDescent="0.25">
      <c r="A94" s="1" t="s">
        <v>142</v>
      </c>
      <c r="B94" s="1" t="s">
        <v>43</v>
      </c>
      <c r="C94" s="1">
        <v>31</v>
      </c>
      <c r="D94" s="1">
        <v>99</v>
      </c>
      <c r="E94" s="1">
        <v>76</v>
      </c>
      <c r="F94" s="1">
        <v>32</v>
      </c>
      <c r="G94" s="8">
        <v>0.3</v>
      </c>
      <c r="H94" s="1">
        <v>40</v>
      </c>
      <c r="I94" s="1" t="s">
        <v>38</v>
      </c>
      <c r="J94" s="1"/>
      <c r="K94" s="1">
        <v>89</v>
      </c>
      <c r="L94" s="1">
        <f t="shared" si="18"/>
        <v>-13</v>
      </c>
      <c r="M94" s="1"/>
      <c r="N94" s="1"/>
      <c r="O94" s="1">
        <v>201.04000000000011</v>
      </c>
      <c r="P94" s="1">
        <v>0</v>
      </c>
      <c r="Q94" s="1">
        <v>0</v>
      </c>
      <c r="R94" s="1">
        <f t="shared" si="20"/>
        <v>15.2</v>
      </c>
      <c r="S94" s="5"/>
      <c r="T94" s="5"/>
      <c r="U94" s="1"/>
      <c r="V94" s="1"/>
      <c r="W94" s="1">
        <f t="shared" si="21"/>
        <v>15.331578947368429</v>
      </c>
      <c r="X94" s="1">
        <f t="shared" si="22"/>
        <v>15.331578947368429</v>
      </c>
      <c r="Y94" s="1">
        <v>18.2</v>
      </c>
      <c r="Z94" s="1">
        <v>26.166666666666671</v>
      </c>
      <c r="AA94" s="1">
        <v>32.4</v>
      </c>
      <c r="AB94" s="1">
        <v>19.399999999999999</v>
      </c>
      <c r="AC94" s="1">
        <v>15.8</v>
      </c>
      <c r="AD94" s="1">
        <v>26.6</v>
      </c>
      <c r="AE94" s="1">
        <v>24.8</v>
      </c>
      <c r="AF94" s="1">
        <v>16.399999999999999</v>
      </c>
      <c r="AG94" s="1"/>
      <c r="AH94" s="1">
        <f t="shared" si="24"/>
        <v>0</v>
      </c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spans="1:51" x14ac:dyDescent="0.25">
      <c r="A95" s="1" t="s">
        <v>143</v>
      </c>
      <c r="B95" s="1" t="s">
        <v>37</v>
      </c>
      <c r="C95" s="1">
        <v>1E-3</v>
      </c>
      <c r="D95" s="1">
        <v>65.432000000000002</v>
      </c>
      <c r="E95" s="1">
        <v>12.276999999999999</v>
      </c>
      <c r="F95" s="1">
        <v>51.79</v>
      </c>
      <c r="G95" s="8">
        <v>1</v>
      </c>
      <c r="H95" s="1">
        <v>50</v>
      </c>
      <c r="I95" s="1" t="s">
        <v>38</v>
      </c>
      <c r="J95" s="1"/>
      <c r="K95" s="1">
        <v>11.8</v>
      </c>
      <c r="L95" s="1">
        <f t="shared" si="18"/>
        <v>0.47699999999999854</v>
      </c>
      <c r="M95" s="1"/>
      <c r="N95" s="1"/>
      <c r="O95" s="1">
        <v>0</v>
      </c>
      <c r="P95" s="1">
        <v>0</v>
      </c>
      <c r="Q95" s="1">
        <v>0</v>
      </c>
      <c r="R95" s="1">
        <f t="shared" si="20"/>
        <v>2.4554</v>
      </c>
      <c r="S95" s="5"/>
      <c r="T95" s="5"/>
      <c r="U95" s="1"/>
      <c r="V95" s="1"/>
      <c r="W95" s="1">
        <f t="shared" si="21"/>
        <v>21.092286389183023</v>
      </c>
      <c r="X95" s="1">
        <f t="shared" si="22"/>
        <v>21.092286389183023</v>
      </c>
      <c r="Y95" s="1">
        <v>0.80719999999999992</v>
      </c>
      <c r="Z95" s="1">
        <v>1.8308333333333331</v>
      </c>
      <c r="AA95" s="1">
        <v>4.6577999999999999</v>
      </c>
      <c r="AB95" s="1">
        <v>6.2843999999999998</v>
      </c>
      <c r="AC95" s="1">
        <v>2.4613999999999998</v>
      </c>
      <c r="AD95" s="1">
        <v>2.4756</v>
      </c>
      <c r="AE95" s="1">
        <v>2.7784</v>
      </c>
      <c r="AF95" s="1">
        <v>2.5097999999999998</v>
      </c>
      <c r="AG95" s="1"/>
      <c r="AH95" s="1">
        <f t="shared" si="24"/>
        <v>0</v>
      </c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spans="1:51" x14ac:dyDescent="0.25">
      <c r="A96" s="1" t="s">
        <v>144</v>
      </c>
      <c r="B96" s="1" t="s">
        <v>43</v>
      </c>
      <c r="C96" s="1">
        <v>32</v>
      </c>
      <c r="D96" s="1">
        <v>120</v>
      </c>
      <c r="E96" s="1">
        <v>72</v>
      </c>
      <c r="F96" s="1">
        <v>74</v>
      </c>
      <c r="G96" s="8">
        <v>0.3</v>
      </c>
      <c r="H96" s="1">
        <v>40</v>
      </c>
      <c r="I96" s="1" t="s">
        <v>38</v>
      </c>
      <c r="J96" s="1"/>
      <c r="K96" s="1">
        <v>75</v>
      </c>
      <c r="L96" s="1">
        <f t="shared" si="18"/>
        <v>-3</v>
      </c>
      <c r="M96" s="1"/>
      <c r="N96" s="1"/>
      <c r="O96" s="1">
        <v>0</v>
      </c>
      <c r="P96" s="1">
        <v>0</v>
      </c>
      <c r="Q96" s="1">
        <v>47.800000000000011</v>
      </c>
      <c r="R96" s="1">
        <f t="shared" si="20"/>
        <v>14.4</v>
      </c>
      <c r="S96" s="5">
        <f t="shared" si="25"/>
        <v>51</v>
      </c>
      <c r="T96" s="5"/>
      <c r="U96" s="1"/>
      <c r="V96" s="1"/>
      <c r="W96" s="1">
        <f t="shared" si="21"/>
        <v>12</v>
      </c>
      <c r="X96" s="1">
        <f t="shared" si="22"/>
        <v>8.4583333333333339</v>
      </c>
      <c r="Y96" s="1">
        <v>13.8</v>
      </c>
      <c r="Z96" s="1">
        <v>9.8333333333333339</v>
      </c>
      <c r="AA96" s="1">
        <v>11.6</v>
      </c>
      <c r="AB96" s="1">
        <v>15.4</v>
      </c>
      <c r="AC96" s="1">
        <v>13.2</v>
      </c>
      <c r="AD96" s="1">
        <v>13.4</v>
      </c>
      <c r="AE96" s="1">
        <v>11.6</v>
      </c>
      <c r="AF96" s="1">
        <v>12.2</v>
      </c>
      <c r="AG96" s="1"/>
      <c r="AH96" s="1">
        <f t="shared" si="24"/>
        <v>15.299999999999999</v>
      </c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spans="1:51" x14ac:dyDescent="0.25">
      <c r="A97" s="1" t="s">
        <v>145</v>
      </c>
      <c r="B97" s="1" t="s">
        <v>43</v>
      </c>
      <c r="C97" s="1">
        <v>18</v>
      </c>
      <c r="D97" s="1">
        <v>62</v>
      </c>
      <c r="E97" s="1">
        <v>17</v>
      </c>
      <c r="F97" s="1">
        <v>41</v>
      </c>
      <c r="G97" s="8">
        <v>0.12</v>
      </c>
      <c r="H97" s="1">
        <v>45</v>
      </c>
      <c r="I97" s="1" t="s">
        <v>38</v>
      </c>
      <c r="J97" s="1"/>
      <c r="K97" s="1">
        <v>19</v>
      </c>
      <c r="L97" s="1">
        <f t="shared" si="18"/>
        <v>-2</v>
      </c>
      <c r="M97" s="1"/>
      <c r="N97" s="1"/>
      <c r="O97" s="1">
        <v>50.599999999999987</v>
      </c>
      <c r="P97" s="1">
        <v>0</v>
      </c>
      <c r="Q97" s="1">
        <v>0</v>
      </c>
      <c r="R97" s="1">
        <f t="shared" si="20"/>
        <v>3.4</v>
      </c>
      <c r="S97" s="5"/>
      <c r="T97" s="5"/>
      <c r="U97" s="1"/>
      <c r="V97" s="1"/>
      <c r="W97" s="1">
        <f t="shared" si="21"/>
        <v>26.941176470588236</v>
      </c>
      <c r="X97" s="1">
        <f t="shared" si="22"/>
        <v>26.941176470588236</v>
      </c>
      <c r="Y97" s="1">
        <v>1.6</v>
      </c>
      <c r="Z97" s="1">
        <v>6.333333333333333</v>
      </c>
      <c r="AA97" s="1">
        <v>10.6</v>
      </c>
      <c r="AB97" s="1">
        <v>7</v>
      </c>
      <c r="AC97" s="1">
        <v>1.2</v>
      </c>
      <c r="AD97" s="1">
        <v>0</v>
      </c>
      <c r="AE97" s="1">
        <v>0.4</v>
      </c>
      <c r="AF97" s="1">
        <v>7</v>
      </c>
      <c r="AG97" s="1"/>
      <c r="AH97" s="1">
        <f t="shared" si="24"/>
        <v>0</v>
      </c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spans="1:51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spans="1:51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spans="1:51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spans="1:51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spans="1:51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spans="1:51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spans="1:51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spans="1:51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spans="1:51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spans="1:51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spans="1:51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spans="1:51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spans="1:51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spans="1:51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  <row r="112" spans="1:51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</row>
    <row r="113" spans="1:51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</row>
    <row r="114" spans="1:51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</row>
    <row r="115" spans="1:51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</row>
    <row r="116" spans="1:51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</row>
    <row r="117" spans="1:51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</row>
    <row r="118" spans="1:51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</row>
    <row r="119" spans="1:51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</row>
    <row r="120" spans="1:51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</row>
    <row r="121" spans="1:51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</row>
    <row r="122" spans="1:51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</row>
    <row r="123" spans="1:51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</row>
    <row r="124" spans="1:51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</row>
    <row r="125" spans="1:51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</row>
    <row r="126" spans="1:51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</row>
    <row r="127" spans="1:51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</row>
    <row r="128" spans="1:51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</row>
    <row r="129" spans="1:51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</row>
    <row r="130" spans="1:51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</row>
    <row r="131" spans="1:51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</row>
    <row r="132" spans="1:51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</row>
    <row r="133" spans="1:51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</row>
    <row r="134" spans="1:51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</row>
    <row r="135" spans="1:51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</row>
    <row r="136" spans="1:51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</row>
    <row r="137" spans="1:51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</row>
    <row r="138" spans="1:51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</row>
    <row r="139" spans="1:51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</row>
    <row r="140" spans="1:51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</row>
    <row r="141" spans="1:51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</row>
    <row r="142" spans="1:51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</row>
    <row r="143" spans="1:51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</row>
    <row r="144" spans="1:51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</row>
    <row r="145" spans="1:51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</row>
    <row r="146" spans="1:51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</row>
    <row r="147" spans="1:51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</row>
    <row r="148" spans="1:51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</row>
    <row r="149" spans="1:51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</row>
    <row r="150" spans="1:51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</row>
    <row r="151" spans="1:51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</row>
    <row r="152" spans="1:51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</row>
    <row r="153" spans="1:51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</row>
    <row r="154" spans="1:51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</row>
    <row r="155" spans="1:51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</row>
    <row r="156" spans="1:51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</row>
    <row r="157" spans="1:51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</row>
    <row r="158" spans="1:51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</row>
    <row r="159" spans="1:51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</row>
    <row r="160" spans="1:51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</row>
    <row r="161" spans="1:51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</row>
    <row r="162" spans="1:51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</row>
    <row r="163" spans="1:51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</row>
    <row r="164" spans="1:51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</row>
    <row r="165" spans="1:51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</row>
    <row r="166" spans="1:51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</row>
    <row r="167" spans="1:51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</row>
    <row r="168" spans="1:51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</row>
    <row r="169" spans="1:51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</row>
    <row r="170" spans="1:51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</row>
    <row r="171" spans="1:51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</row>
    <row r="172" spans="1:51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</row>
    <row r="173" spans="1:51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</row>
    <row r="174" spans="1:51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</row>
    <row r="175" spans="1:51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</row>
    <row r="176" spans="1:51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</row>
    <row r="177" spans="1:51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</row>
    <row r="178" spans="1:51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</row>
    <row r="179" spans="1:51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</row>
    <row r="180" spans="1:51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</row>
    <row r="181" spans="1:51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</row>
    <row r="182" spans="1:51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</row>
    <row r="183" spans="1:51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</row>
    <row r="184" spans="1:51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</row>
    <row r="185" spans="1:51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</row>
    <row r="186" spans="1:51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</row>
    <row r="187" spans="1:51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</row>
    <row r="188" spans="1:51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</row>
    <row r="189" spans="1:51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</row>
    <row r="190" spans="1:51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</row>
    <row r="191" spans="1:51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</row>
    <row r="192" spans="1:51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</row>
    <row r="193" spans="1:51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</row>
    <row r="194" spans="1:51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</row>
    <row r="195" spans="1:51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</row>
    <row r="196" spans="1:51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</row>
    <row r="197" spans="1:51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</row>
    <row r="198" spans="1:51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</row>
    <row r="199" spans="1:51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</row>
    <row r="200" spans="1:51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</row>
    <row r="201" spans="1:51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</row>
    <row r="202" spans="1:51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</row>
    <row r="203" spans="1:51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</row>
    <row r="204" spans="1:51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</row>
    <row r="205" spans="1:51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</row>
    <row r="206" spans="1:51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</row>
    <row r="207" spans="1:51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</row>
    <row r="208" spans="1:51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</row>
    <row r="209" spans="1:51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</row>
    <row r="210" spans="1:51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</row>
    <row r="211" spans="1:51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</row>
    <row r="212" spans="1:51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</row>
    <row r="213" spans="1:51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</row>
    <row r="214" spans="1:51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</row>
    <row r="215" spans="1:51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</row>
    <row r="216" spans="1:51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</row>
    <row r="217" spans="1:51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</row>
    <row r="218" spans="1:51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</row>
    <row r="219" spans="1:51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</row>
    <row r="220" spans="1:51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</row>
    <row r="221" spans="1:51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</row>
    <row r="222" spans="1:51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</row>
    <row r="223" spans="1:51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</row>
    <row r="224" spans="1:51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</row>
    <row r="225" spans="1:51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</row>
    <row r="226" spans="1:51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</row>
    <row r="227" spans="1:51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</row>
    <row r="228" spans="1:51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</row>
    <row r="229" spans="1:51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</row>
    <row r="230" spans="1:51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</row>
    <row r="231" spans="1:51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</row>
    <row r="232" spans="1:51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</row>
    <row r="233" spans="1:51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</row>
    <row r="234" spans="1:51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</row>
    <row r="235" spans="1:51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</row>
    <row r="236" spans="1:51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</row>
    <row r="237" spans="1:51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</row>
    <row r="238" spans="1:51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</row>
    <row r="239" spans="1:51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</row>
    <row r="240" spans="1:51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</row>
    <row r="241" spans="1:51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</row>
    <row r="242" spans="1:51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</row>
    <row r="243" spans="1:51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</row>
    <row r="244" spans="1:51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</row>
    <row r="245" spans="1:51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</row>
    <row r="246" spans="1:51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</row>
    <row r="247" spans="1:51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</row>
    <row r="248" spans="1:51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</row>
    <row r="249" spans="1:51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</row>
    <row r="250" spans="1:51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</row>
    <row r="251" spans="1:51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</row>
    <row r="252" spans="1:51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</row>
    <row r="253" spans="1:51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</row>
    <row r="254" spans="1:51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</row>
    <row r="255" spans="1:51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</row>
    <row r="256" spans="1:51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</row>
    <row r="257" spans="1:51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</row>
    <row r="258" spans="1:51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</row>
    <row r="259" spans="1:51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</row>
    <row r="260" spans="1:51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</row>
    <row r="261" spans="1:51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</row>
    <row r="262" spans="1:51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</row>
    <row r="263" spans="1:51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</row>
    <row r="264" spans="1:51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</row>
    <row r="265" spans="1:51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</row>
    <row r="266" spans="1:51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</row>
    <row r="267" spans="1:51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</row>
    <row r="268" spans="1:51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</row>
    <row r="269" spans="1:51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</row>
    <row r="270" spans="1:51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</row>
    <row r="271" spans="1:51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</row>
    <row r="272" spans="1:51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</row>
    <row r="273" spans="1:51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</row>
    <row r="274" spans="1:51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</row>
    <row r="275" spans="1:51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</row>
    <row r="276" spans="1:51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</row>
    <row r="277" spans="1:51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</row>
    <row r="278" spans="1:51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</row>
    <row r="279" spans="1:51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</row>
    <row r="280" spans="1:51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</row>
    <row r="281" spans="1:51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</row>
    <row r="282" spans="1:51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</row>
    <row r="283" spans="1:51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</row>
    <row r="284" spans="1:51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</row>
    <row r="285" spans="1:51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</row>
    <row r="286" spans="1:51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</row>
    <row r="287" spans="1:51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</row>
    <row r="288" spans="1:51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</row>
    <row r="289" spans="1:51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</row>
    <row r="290" spans="1:51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</row>
    <row r="291" spans="1:51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</row>
    <row r="292" spans="1:51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</row>
    <row r="293" spans="1:51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</row>
    <row r="294" spans="1:51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</row>
    <row r="295" spans="1:51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</row>
    <row r="296" spans="1:51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</row>
    <row r="297" spans="1:51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</row>
    <row r="298" spans="1:51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</row>
    <row r="299" spans="1:51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</row>
    <row r="300" spans="1:51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</row>
    <row r="301" spans="1:51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</row>
    <row r="302" spans="1:51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</row>
    <row r="303" spans="1:51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</row>
    <row r="304" spans="1:51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</row>
    <row r="305" spans="1:51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</row>
    <row r="306" spans="1:51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</row>
    <row r="307" spans="1:51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</row>
    <row r="308" spans="1:51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</row>
    <row r="309" spans="1:51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</row>
    <row r="310" spans="1:51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</row>
    <row r="311" spans="1:51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</row>
    <row r="312" spans="1:51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</row>
    <row r="313" spans="1:51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</row>
    <row r="314" spans="1:51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</row>
    <row r="315" spans="1:51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</row>
    <row r="316" spans="1:51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</row>
    <row r="317" spans="1:51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</row>
    <row r="318" spans="1:51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</row>
    <row r="319" spans="1:51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</row>
    <row r="320" spans="1:51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</row>
    <row r="321" spans="1:51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</row>
    <row r="322" spans="1:51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</row>
    <row r="323" spans="1:51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</row>
    <row r="324" spans="1:51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</row>
    <row r="325" spans="1:51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</row>
    <row r="326" spans="1:51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</row>
    <row r="327" spans="1:51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</row>
    <row r="328" spans="1:51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</row>
    <row r="329" spans="1:51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</row>
    <row r="330" spans="1:51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</row>
    <row r="331" spans="1:51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</row>
    <row r="332" spans="1:51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</row>
    <row r="333" spans="1:51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</row>
    <row r="334" spans="1:51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</row>
    <row r="335" spans="1:51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</row>
    <row r="336" spans="1:51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</row>
    <row r="337" spans="1:51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</row>
    <row r="338" spans="1:51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</row>
    <row r="339" spans="1:51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</row>
    <row r="340" spans="1:51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</row>
    <row r="341" spans="1:51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</row>
    <row r="342" spans="1:51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</row>
    <row r="343" spans="1:51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</row>
    <row r="344" spans="1:51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</row>
    <row r="345" spans="1:51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</row>
    <row r="346" spans="1:51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</row>
    <row r="347" spans="1:51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</row>
    <row r="348" spans="1:51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</row>
    <row r="349" spans="1:51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</row>
    <row r="350" spans="1:51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</row>
    <row r="351" spans="1:51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</row>
    <row r="352" spans="1:51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</row>
    <row r="353" spans="1:51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</row>
    <row r="354" spans="1:51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</row>
    <row r="355" spans="1:51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</row>
    <row r="356" spans="1:51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</row>
    <row r="357" spans="1:51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</row>
    <row r="358" spans="1:51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</row>
    <row r="359" spans="1:51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</row>
    <row r="360" spans="1:51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</row>
    <row r="361" spans="1:51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</row>
    <row r="362" spans="1:51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</row>
    <row r="363" spans="1:51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</row>
    <row r="364" spans="1:51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</row>
    <row r="365" spans="1:51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</row>
    <row r="366" spans="1:51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</row>
    <row r="367" spans="1:51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</row>
    <row r="368" spans="1:51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</row>
    <row r="369" spans="1:51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</row>
    <row r="370" spans="1:51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</row>
    <row r="371" spans="1:51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</row>
    <row r="372" spans="1:51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</row>
    <row r="373" spans="1:51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</row>
    <row r="374" spans="1:51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</row>
    <row r="375" spans="1:51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</row>
    <row r="376" spans="1:51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</row>
    <row r="377" spans="1:51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</row>
    <row r="378" spans="1:51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</row>
    <row r="379" spans="1:51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</row>
    <row r="380" spans="1:51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</row>
    <row r="381" spans="1:51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</row>
    <row r="382" spans="1:51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</row>
    <row r="383" spans="1:51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</row>
    <row r="384" spans="1:51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</row>
    <row r="385" spans="1:51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</row>
    <row r="386" spans="1:51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</row>
    <row r="387" spans="1:51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</row>
    <row r="388" spans="1:51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</row>
    <row r="389" spans="1:51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</row>
    <row r="390" spans="1:51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</row>
    <row r="391" spans="1:51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</row>
    <row r="392" spans="1:51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</row>
    <row r="393" spans="1:51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</row>
    <row r="394" spans="1:51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</row>
    <row r="395" spans="1:51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</row>
    <row r="396" spans="1:51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</row>
    <row r="397" spans="1:51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</row>
    <row r="398" spans="1:51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</row>
    <row r="399" spans="1:51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</row>
    <row r="400" spans="1:51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</row>
    <row r="401" spans="1:51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</row>
    <row r="402" spans="1:51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</row>
    <row r="403" spans="1:51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</row>
    <row r="404" spans="1:51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</row>
    <row r="405" spans="1:51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</row>
    <row r="406" spans="1:51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</row>
    <row r="407" spans="1:51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</row>
    <row r="408" spans="1:51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</row>
    <row r="409" spans="1:51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</row>
    <row r="410" spans="1:51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</row>
    <row r="411" spans="1:51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</row>
    <row r="412" spans="1:51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</row>
    <row r="413" spans="1:51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</row>
    <row r="414" spans="1:51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</row>
    <row r="415" spans="1:51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</row>
    <row r="416" spans="1:51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</row>
    <row r="417" spans="1:51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</row>
    <row r="418" spans="1:51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</row>
    <row r="419" spans="1:51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</row>
    <row r="420" spans="1:51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</row>
    <row r="421" spans="1:51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</row>
    <row r="422" spans="1:51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</row>
    <row r="423" spans="1:51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</row>
    <row r="424" spans="1:51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</row>
    <row r="425" spans="1:51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</row>
    <row r="426" spans="1:51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</row>
    <row r="427" spans="1:51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</row>
    <row r="428" spans="1:51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</row>
    <row r="429" spans="1:51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</row>
    <row r="430" spans="1:51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</row>
    <row r="431" spans="1:51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</row>
    <row r="432" spans="1:51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</row>
    <row r="433" spans="1:51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</row>
    <row r="434" spans="1:51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</row>
    <row r="435" spans="1:51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</row>
    <row r="436" spans="1:51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</row>
    <row r="437" spans="1:51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</row>
    <row r="438" spans="1:51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</row>
    <row r="439" spans="1:51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</row>
    <row r="440" spans="1:51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</row>
    <row r="441" spans="1:51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</row>
    <row r="442" spans="1:51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</row>
    <row r="443" spans="1:51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</row>
    <row r="444" spans="1:51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</row>
    <row r="445" spans="1:51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</row>
    <row r="446" spans="1:51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</row>
    <row r="447" spans="1:51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</row>
    <row r="448" spans="1:51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</row>
    <row r="449" spans="1:51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</row>
    <row r="450" spans="1:51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</row>
    <row r="451" spans="1:51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</row>
    <row r="452" spans="1:51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</row>
    <row r="453" spans="1:51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</row>
    <row r="454" spans="1:51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</row>
    <row r="455" spans="1:51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</row>
    <row r="456" spans="1:51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</row>
    <row r="457" spans="1:51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</row>
    <row r="458" spans="1:51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</row>
    <row r="459" spans="1:51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</row>
    <row r="460" spans="1:51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</row>
    <row r="461" spans="1:51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</row>
    <row r="462" spans="1:51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</row>
    <row r="463" spans="1:51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</row>
    <row r="464" spans="1:51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</row>
    <row r="465" spans="1:51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</row>
    <row r="466" spans="1:51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</row>
    <row r="467" spans="1:51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</row>
    <row r="468" spans="1:51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</row>
    <row r="469" spans="1:51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</row>
    <row r="470" spans="1:51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</row>
    <row r="471" spans="1:51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</row>
    <row r="472" spans="1:51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</row>
    <row r="473" spans="1:51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</row>
    <row r="474" spans="1:51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</row>
    <row r="475" spans="1:51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</row>
    <row r="476" spans="1:51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</row>
    <row r="477" spans="1:51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</row>
    <row r="478" spans="1:51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</row>
    <row r="479" spans="1:51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</row>
    <row r="480" spans="1:51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</row>
    <row r="481" spans="1:51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</row>
    <row r="482" spans="1:51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</row>
    <row r="483" spans="1:51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</row>
    <row r="484" spans="1:51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</row>
    <row r="485" spans="1:51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</row>
    <row r="486" spans="1:51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</row>
    <row r="487" spans="1:51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</row>
    <row r="488" spans="1:51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</row>
    <row r="489" spans="1:51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</row>
    <row r="490" spans="1:51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</row>
    <row r="491" spans="1:51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</row>
    <row r="492" spans="1:51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</row>
    <row r="493" spans="1:51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</row>
    <row r="494" spans="1:51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</row>
    <row r="495" spans="1:51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</row>
    <row r="496" spans="1:51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</row>
    <row r="497" spans="1:51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</row>
    <row r="498" spans="1:51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</row>
    <row r="499" spans="1:51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</row>
    <row r="500" spans="1:51" x14ac:dyDescent="0.25">
      <c r="A500" s="1"/>
      <c r="B500" s="1"/>
      <c r="C500" s="1"/>
      <c r="D500" s="1"/>
      <c r="E500" s="1"/>
      <c r="F500" s="1"/>
      <c r="G500" s="8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</row>
  </sheetData>
  <autoFilter ref="A3:AH97" xr:uid="{FB08C798-D9AB-4271-BA0F-9F6BD69E0015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2026-01-15T10:53:16Z</dcterms:created>
  <dcterms:modified xsi:type="dcterms:W3CDTF">2026-01-15T11:11:49Z</dcterms:modified>
</cp:coreProperties>
</file>