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B46C751-88DB-4DCE-8EAE-1934D06AFB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Sheet!$A$3:$AC$53</definedName>
  </definedNames>
  <calcPr calcId="191029"/>
</workbook>
</file>

<file path=xl/calcChain.xml><?xml version="1.0" encoding="utf-8"?>
<calcChain xmlns="http://schemas.openxmlformats.org/spreadsheetml/2006/main">
  <c r="Q53" i="1" l="1"/>
  <c r="V53" i="1" s="1"/>
  <c r="Q52" i="1"/>
  <c r="V52" i="1" s="1"/>
  <c r="Q51" i="1"/>
  <c r="V51" i="1" s="1"/>
  <c r="H51" i="1"/>
  <c r="K50" i="1"/>
  <c r="E50" i="1"/>
  <c r="Q50" i="1" s="1"/>
  <c r="R50" i="1" s="1"/>
  <c r="AC50" i="1" s="1"/>
  <c r="K49" i="1"/>
  <c r="L49" i="1" s="1"/>
  <c r="F49" i="1"/>
  <c r="E49" i="1"/>
  <c r="Q49" i="1" s="1"/>
  <c r="R49" i="1" s="1"/>
  <c r="AC49" i="1" s="1"/>
  <c r="Q48" i="1"/>
  <c r="U48" i="1" s="1"/>
  <c r="K48" i="1"/>
  <c r="L48" i="1" s="1"/>
  <c r="Q47" i="1"/>
  <c r="AC47" i="1" s="1"/>
  <c r="K47" i="1"/>
  <c r="L47" i="1" s="1"/>
  <c r="F47" i="1"/>
  <c r="Q46" i="1"/>
  <c r="V46" i="1" s="1"/>
  <c r="L46" i="1"/>
  <c r="K45" i="1"/>
  <c r="F45" i="1"/>
  <c r="K44" i="1"/>
  <c r="E44" i="1"/>
  <c r="E45" i="1" s="1"/>
  <c r="K43" i="1"/>
  <c r="L43" i="1" s="1"/>
  <c r="E43" i="1"/>
  <c r="Q43" i="1" s="1"/>
  <c r="V43" i="1" s="1"/>
  <c r="K42" i="1"/>
  <c r="E42" i="1"/>
  <c r="Q42" i="1" s="1"/>
  <c r="V42" i="1" s="1"/>
  <c r="K41" i="1"/>
  <c r="E41" i="1"/>
  <c r="Q41" i="1" s="1"/>
  <c r="R41" i="1" s="1"/>
  <c r="AC41" i="1" s="1"/>
  <c r="K40" i="1"/>
  <c r="E40" i="1"/>
  <c r="Q40" i="1" s="1"/>
  <c r="AC40" i="1" s="1"/>
  <c r="K39" i="1"/>
  <c r="E39" i="1"/>
  <c r="Q39" i="1" s="1"/>
  <c r="AC39" i="1" s="1"/>
  <c r="K38" i="1"/>
  <c r="E38" i="1"/>
  <c r="Q38" i="1" s="1"/>
  <c r="AC38" i="1" s="1"/>
  <c r="K37" i="1"/>
  <c r="E37" i="1"/>
  <c r="Q37" i="1" s="1"/>
  <c r="K36" i="1"/>
  <c r="E36" i="1"/>
  <c r="Q36" i="1" s="1"/>
  <c r="V36" i="1" s="1"/>
  <c r="K35" i="1"/>
  <c r="E35" i="1"/>
  <c r="K34" i="1"/>
  <c r="E34" i="1"/>
  <c r="K33" i="1"/>
  <c r="E33" i="1"/>
  <c r="Q33" i="1" s="1"/>
  <c r="R33" i="1" s="1"/>
  <c r="AC33" i="1" s="1"/>
  <c r="K32" i="1"/>
  <c r="E32" i="1"/>
  <c r="Q32" i="1" s="1"/>
  <c r="AC32" i="1" s="1"/>
  <c r="K31" i="1"/>
  <c r="E31" i="1"/>
  <c r="K30" i="1"/>
  <c r="E30" i="1"/>
  <c r="K29" i="1"/>
  <c r="E29" i="1"/>
  <c r="K28" i="1"/>
  <c r="E28" i="1"/>
  <c r="K27" i="1"/>
  <c r="E27" i="1"/>
  <c r="Q27" i="1" s="1"/>
  <c r="AC27" i="1" s="1"/>
  <c r="K26" i="1"/>
  <c r="E26" i="1"/>
  <c r="Q25" i="1"/>
  <c r="AC25" i="1" s="1"/>
  <c r="L25" i="1"/>
  <c r="K24" i="1"/>
  <c r="L24" i="1" s="1"/>
  <c r="E24" i="1"/>
  <c r="Q24" i="1" s="1"/>
  <c r="AC24" i="1" s="1"/>
  <c r="Q23" i="1"/>
  <c r="V23" i="1" s="1"/>
  <c r="K23" i="1"/>
  <c r="L23" i="1" s="1"/>
  <c r="K22" i="1"/>
  <c r="E22" i="1"/>
  <c r="Q22" i="1" s="1"/>
  <c r="V22" i="1" s="1"/>
  <c r="K21" i="1"/>
  <c r="L21" i="1" s="1"/>
  <c r="E21" i="1"/>
  <c r="Q21" i="1" s="1"/>
  <c r="V21" i="1" s="1"/>
  <c r="K20" i="1"/>
  <c r="E20" i="1"/>
  <c r="K19" i="1"/>
  <c r="E19" i="1"/>
  <c r="Q19" i="1" s="1"/>
  <c r="R19" i="1" s="1"/>
  <c r="AC19" i="1" s="1"/>
  <c r="K18" i="1"/>
  <c r="E18" i="1"/>
  <c r="Q18" i="1" s="1"/>
  <c r="R18" i="1" s="1"/>
  <c r="AC18" i="1" s="1"/>
  <c r="Q17" i="1"/>
  <c r="AC17" i="1" s="1"/>
  <c r="K17" i="1"/>
  <c r="L17" i="1" s="1"/>
  <c r="K16" i="1"/>
  <c r="E16" i="1"/>
  <c r="Q16" i="1" s="1"/>
  <c r="R16" i="1" s="1"/>
  <c r="AC16" i="1" s="1"/>
  <c r="K15" i="1"/>
  <c r="E15" i="1"/>
  <c r="K14" i="1"/>
  <c r="E14" i="1"/>
  <c r="Q14" i="1" s="1"/>
  <c r="R14" i="1" s="1"/>
  <c r="AC14" i="1" s="1"/>
  <c r="K13" i="1"/>
  <c r="E13" i="1"/>
  <c r="Q13" i="1" s="1"/>
  <c r="R13" i="1" s="1"/>
  <c r="AC13" i="1" s="1"/>
  <c r="K12" i="1"/>
  <c r="E12" i="1"/>
  <c r="Q12" i="1" s="1"/>
  <c r="K11" i="1"/>
  <c r="E11" i="1"/>
  <c r="K10" i="1"/>
  <c r="E10" i="1"/>
  <c r="K9" i="1"/>
  <c r="E9" i="1"/>
  <c r="Q9" i="1" s="1"/>
  <c r="R9" i="1" s="1"/>
  <c r="AC9" i="1" s="1"/>
  <c r="K8" i="1"/>
  <c r="E8" i="1"/>
  <c r="Q8" i="1" s="1"/>
  <c r="AC8" i="1" s="1"/>
  <c r="K7" i="1"/>
  <c r="E7" i="1"/>
  <c r="Q7" i="1" s="1"/>
  <c r="K6" i="1"/>
  <c r="E6" i="1"/>
  <c r="Q6" i="1" s="1"/>
  <c r="R6" i="1" s="1"/>
  <c r="S5" i="1"/>
  <c r="P5" i="1"/>
  <c r="N5" i="1"/>
  <c r="M5" i="1"/>
  <c r="F5" i="1"/>
  <c r="L35" i="1" l="1"/>
  <c r="L29" i="1"/>
  <c r="L31" i="1"/>
  <c r="L19" i="1"/>
  <c r="L39" i="1"/>
  <c r="L42" i="1"/>
  <c r="AC6" i="1"/>
  <c r="V12" i="1"/>
  <c r="R12" i="1"/>
  <c r="AC12" i="1" s="1"/>
  <c r="AC37" i="1"/>
  <c r="L15" i="1"/>
  <c r="AC36" i="1"/>
  <c r="L22" i="1"/>
  <c r="AC21" i="1"/>
  <c r="AC22" i="1"/>
  <c r="R42" i="1"/>
  <c r="AC42" i="1" s="1"/>
  <c r="U17" i="1"/>
  <c r="V17" i="1"/>
  <c r="Q44" i="1"/>
  <c r="V44" i="1" s="1"/>
  <c r="AC23" i="1"/>
  <c r="AC43" i="1"/>
  <c r="AC7" i="1"/>
  <c r="AC51" i="1"/>
  <c r="L26" i="1"/>
  <c r="V47" i="1"/>
  <c r="AC52" i="1"/>
  <c r="AC53" i="1"/>
  <c r="U25" i="1"/>
  <c r="U47" i="1"/>
  <c r="L10" i="1"/>
  <c r="Q31" i="1"/>
  <c r="L37" i="1"/>
  <c r="K5" i="1"/>
  <c r="L6" i="1"/>
  <c r="V48" i="1"/>
  <c r="Q26" i="1"/>
  <c r="L12" i="1"/>
  <c r="U12" i="1"/>
  <c r="U22" i="1"/>
  <c r="L7" i="1"/>
  <c r="L28" i="1"/>
  <c r="L34" i="1"/>
  <c r="L44" i="1"/>
  <c r="Q34" i="1"/>
  <c r="Q29" i="1"/>
  <c r="L20" i="1"/>
  <c r="L30" i="1"/>
  <c r="L36" i="1"/>
  <c r="V7" i="1"/>
  <c r="AA5" i="1"/>
  <c r="V37" i="1"/>
  <c r="O5" i="1"/>
  <c r="Y5" i="1"/>
  <c r="Z5" i="1"/>
  <c r="W5" i="1"/>
  <c r="X5" i="1"/>
  <c r="V9" i="1"/>
  <c r="U9" i="1"/>
  <c r="V32" i="1"/>
  <c r="U32" i="1"/>
  <c r="V27" i="1"/>
  <c r="U27" i="1"/>
  <c r="V14" i="1"/>
  <c r="U14" i="1"/>
  <c r="U50" i="1"/>
  <c r="V50" i="1"/>
  <c r="U39" i="1"/>
  <c r="V39" i="1"/>
  <c r="U41" i="1"/>
  <c r="U16" i="1"/>
  <c r="V16" i="1"/>
  <c r="Q45" i="1"/>
  <c r="L45" i="1"/>
  <c r="U33" i="1"/>
  <c r="V33" i="1"/>
  <c r="V8" i="1"/>
  <c r="U8" i="1"/>
  <c r="U40" i="1"/>
  <c r="V40" i="1"/>
  <c r="V13" i="1"/>
  <c r="U13" i="1"/>
  <c r="V19" i="1"/>
  <c r="U19" i="1"/>
  <c r="E5" i="1"/>
  <c r="V24" i="1"/>
  <c r="U24" i="1"/>
  <c r="V49" i="1"/>
  <c r="V38" i="1"/>
  <c r="U38" i="1"/>
  <c r="U18" i="1"/>
  <c r="V18" i="1"/>
  <c r="Q20" i="1"/>
  <c r="AC20" i="1" s="1"/>
  <c r="V25" i="1"/>
  <c r="L40" i="1"/>
  <c r="Q10" i="1"/>
  <c r="Q15" i="1"/>
  <c r="R15" i="1" s="1"/>
  <c r="AC15" i="1" s="1"/>
  <c r="L27" i="1"/>
  <c r="L32" i="1"/>
  <c r="V41" i="1"/>
  <c r="L11" i="1"/>
  <c r="U6" i="1"/>
  <c r="Q11" i="1"/>
  <c r="AC11" i="1" s="1"/>
  <c r="V6" i="1"/>
  <c r="Q28" i="1"/>
  <c r="AC28" i="1" s="1"/>
  <c r="L9" i="1"/>
  <c r="L14" i="1"/>
  <c r="U49" i="1"/>
  <c r="U51" i="1"/>
  <c r="L16" i="1"/>
  <c r="U36" i="1"/>
  <c r="L33" i="1"/>
  <c r="L41" i="1"/>
  <c r="L18" i="1"/>
  <c r="L38" i="1"/>
  <c r="U46" i="1"/>
  <c r="U52" i="1"/>
  <c r="Q30" i="1"/>
  <c r="AC30" i="1" s="1"/>
  <c r="Q35" i="1"/>
  <c r="AC35" i="1" s="1"/>
  <c r="L50" i="1"/>
  <c r="U53" i="1"/>
  <c r="L8" i="1"/>
  <c r="L13" i="1"/>
  <c r="U42" i="1" l="1"/>
  <c r="U7" i="1"/>
  <c r="V26" i="1"/>
  <c r="R26" i="1"/>
  <c r="V31" i="1"/>
  <c r="U21" i="1"/>
  <c r="R45" i="1"/>
  <c r="AC45" i="1" s="1"/>
  <c r="V29" i="1"/>
  <c r="R29" i="1"/>
  <c r="AC29" i="1" s="1"/>
  <c r="U37" i="1"/>
  <c r="Q5" i="1"/>
  <c r="R10" i="1"/>
  <c r="AC10" i="1" s="1"/>
  <c r="U43" i="1"/>
  <c r="AC34" i="1"/>
  <c r="U23" i="1"/>
  <c r="U44" i="1"/>
  <c r="R5" i="1"/>
  <c r="V45" i="1"/>
  <c r="L5" i="1"/>
  <c r="V34" i="1"/>
  <c r="U30" i="1"/>
  <c r="V30" i="1"/>
  <c r="U28" i="1"/>
  <c r="V28" i="1"/>
  <c r="V11" i="1"/>
  <c r="U11" i="1"/>
  <c r="V20" i="1"/>
  <c r="U20" i="1"/>
  <c r="V10" i="1"/>
  <c r="U35" i="1"/>
  <c r="V35" i="1"/>
  <c r="V15" i="1"/>
  <c r="U15" i="1"/>
  <c r="AC26" i="1" l="1"/>
  <c r="U26" i="1"/>
  <c r="U10" i="1"/>
  <c r="U45" i="1"/>
  <c r="AC31" i="1"/>
  <c r="AC5" i="1" s="1"/>
  <c r="U31" i="1"/>
  <c r="U34" i="1"/>
  <c r="U29" i="1"/>
</calcChain>
</file>

<file path=xl/sharedStrings.xml><?xml version="1.0" encoding="utf-8"?>
<sst xmlns="http://schemas.openxmlformats.org/spreadsheetml/2006/main" count="147" uniqueCount="84">
  <si>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</si>
  <si>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</si>
  <si>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</si>
  <si>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</si>
  <si>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</si>
  <si>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</si>
  <si>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</si>
  <si>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</si>
  <si>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</si>
  <si>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</si>
  <si>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</si>
  <si>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</si>
  <si>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</si>
  <si>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</si>
  <si>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</si>
  <si>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</si>
  <si>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</si>
  <si>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</si>
  <si>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</si>
  <si>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</si>
  <si>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</si>
  <si>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</si>
  <si>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</si>
  <si>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</si>
  <si>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29,06,</t>
  </si>
  <si>
    <t>29,06,(доп)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</si>
  <si>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</si>
  <si>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</si>
  <si>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</si>
  <si>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</si>
  <si>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</si>
  <si>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</si>
  <si>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</si>
  <si>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</si>
  <si>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</si>
  <si>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</si>
  <si>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</si>
  <si>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</si>
  <si>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</si>
  <si>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</si>
  <si>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</si>
  <si>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</si>
  <si>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</si>
  <si>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</si>
  <si>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</si>
  <si>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</si>
  <si>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</si>
  <si>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</si>
  <si>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</si>
  <si>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</si>
  <si>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</si>
  <si>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</si>
  <si>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</si>
  <si>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</si>
  <si>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</si>
  <si>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</si>
  <si>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</si>
  <si>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</si>
  <si>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</si>
  <si>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</si>
  <si>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</si>
  <si>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</si>
  <si>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</si>
  <si>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</si>
  <si>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</si>
  <si>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</si>
  <si>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</si>
  <si>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</si>
  <si>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</si>
  <si>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</si>
  <si>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</si>
  <si>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</si>
  <si>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</si>
  <si>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</si>
  <si>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</si>
  <si>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</si>
  <si>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</si>
  <si>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</si>
  <si>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</si>
  <si>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</si>
  <si>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Сыр "Пармезан" 40% кусок 180 гр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</si>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</sst>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0" fontId="0" fillId="0" borderId="1" xfId="0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3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3">
          <cell r="A3" t="str">
            <v>Отбор:</v>
          </cell>
          <cell r="C3" t="str">
            <v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...; АСП1 Мелитополь Останкино"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</row>
        <row r="6">
          <cell r="F6" t="str">
            <v>Вес</v>
          </cell>
          <cell r="G6" t="str">
            <v>Количество</v>
          </cell>
        </row>
        <row r="7">
          <cell r="A7" t="str">
            <v>3215 ВЕТЧ.МЯСНАЯ Папа может п/о 0.4кг 8шт.    ОСТАНКИНО</v>
          </cell>
          <cell r="D7" t="str">
            <v>00-00005413</v>
          </cell>
          <cell r="F7">
            <v>104.8</v>
          </cell>
          <cell r="G7">
            <v>262</v>
          </cell>
        </row>
        <row r="8">
          <cell r="A8" t="str">
            <v>3287 САЛЯМИ ИТАЛЬЯНСКАЯ с/к в/у ОСТАНКИНО</v>
          </cell>
          <cell r="D8" t="str">
            <v>00-00000651</v>
          </cell>
          <cell r="F8">
            <v>52.09</v>
          </cell>
          <cell r="G8">
            <v>52.09</v>
          </cell>
        </row>
        <row r="9">
          <cell r="A9" t="str">
            <v>3323 Сыр Российский цилиндр 1/4 пленка ЮКМП м.д.ж. 50%  ОСТАНКИНО</v>
          </cell>
          <cell r="D9" t="str">
            <v>00-ko011401</v>
          </cell>
          <cell r="F9">
            <v>53.094000000000001</v>
          </cell>
          <cell r="G9">
            <v>53.094000000000001</v>
          </cell>
        </row>
        <row r="10">
          <cell r="A10" t="str">
            <v>3986 Ароматная с/к в/у 1/250 ОСТАНКИНО</v>
          </cell>
          <cell r="D10" t="str">
            <v>00-00000744</v>
          </cell>
          <cell r="F10">
            <v>67.25</v>
          </cell>
          <cell r="G10">
            <v>269</v>
          </cell>
        </row>
        <row r="11">
          <cell r="A11" t="str">
            <v>4063 МЯСНАЯ Папа может вар п/о_Л   ОСТАНКИНО</v>
          </cell>
          <cell r="D11" t="str">
            <v>00-00006364</v>
          </cell>
          <cell r="F11">
            <v>184.85300000000001</v>
          </cell>
          <cell r="G11">
            <v>184.85300000000001</v>
          </cell>
        </row>
        <row r="12">
          <cell r="A12" t="str">
            <v>4117 ЭКСТРА Папа может с/к в/у_Л   ОСТАНКИНО</v>
          </cell>
          <cell r="D12" t="str">
            <v>00-00006375</v>
          </cell>
          <cell r="F12">
            <v>30.242000000000001</v>
          </cell>
          <cell r="G12">
            <v>30.242000000000001</v>
          </cell>
        </row>
        <row r="13">
          <cell r="A13" t="str">
            <v>4574 Мясная со шпиком Папа может вар п/о ОСТАНКИНО</v>
          </cell>
          <cell r="D13" t="str">
            <v>00-00000698</v>
          </cell>
          <cell r="F13">
            <v>45.143000000000001</v>
          </cell>
          <cell r="G13">
            <v>45.143000000000001</v>
          </cell>
        </row>
        <row r="14">
          <cell r="A14" t="str">
            <v>4813 ФИЛЕЙНАЯ Папа может вар п/о_Л   ОСТАНКИНО</v>
          </cell>
          <cell r="D14" t="str">
            <v>00-00006365</v>
          </cell>
          <cell r="F14">
            <v>151.66200000000001</v>
          </cell>
          <cell r="G14">
            <v>151.66200000000001</v>
          </cell>
        </row>
        <row r="15">
          <cell r="A15" t="str">
            <v>4931  Сыр полутвердый "Купеческий" с ароматом топленого молока, с м.д.ж. 50% ОСТАНКИНО</v>
          </cell>
          <cell r="D15" t="str">
            <v>00-ko011689</v>
          </cell>
          <cell r="F15">
            <v>19.260000000000002</v>
          </cell>
          <cell r="G15">
            <v>19.260000000000002</v>
          </cell>
        </row>
        <row r="16">
          <cell r="A16" t="str">
            <v>4993 САЛЯМИ ИТАЛЬЯНСКАЯ с/к в/у 1/250*8_120c ОСТАНКИНО</v>
          </cell>
          <cell r="D16" t="str">
            <v>00-00000753</v>
          </cell>
          <cell r="F16">
            <v>49.75</v>
          </cell>
          <cell r="G16">
            <v>199</v>
          </cell>
        </row>
        <row r="17">
          <cell r="A17" t="str">
            <v>5452 ВЕТЧ.МЯСНАЯ Папа может п/о    ОСТАНКИНО</v>
          </cell>
          <cell r="D17" t="str">
            <v>00-00005378</v>
          </cell>
          <cell r="F17">
            <v>17.425000000000001</v>
          </cell>
          <cell r="G17">
            <v>17.425000000000001</v>
          </cell>
        </row>
        <row r="18">
          <cell r="A18" t="str">
            <v>5483 ЭКСТРА Папа может с/к в/у 1/250 8шт.   ОСТАНКИНО</v>
          </cell>
          <cell r="D18" t="str">
            <v>00-00005436</v>
          </cell>
          <cell r="F18">
            <v>63.25</v>
          </cell>
          <cell r="G18">
            <v>253</v>
          </cell>
        </row>
        <row r="19">
          <cell r="A19" t="str">
            <v>5495 ВЕТЧ.С ИНДЕЙКОЙ Папа может п/о 400*6  Останкино</v>
          </cell>
          <cell r="D19" t="str">
            <v>00-ko009672</v>
          </cell>
          <cell r="F19">
            <v>67.2</v>
          </cell>
          <cell r="G19">
            <v>168</v>
          </cell>
        </row>
        <row r="20">
          <cell r="A20" t="str">
            <v>5544 Сервелат Финский в/к в/у_45с НОВАЯ ОСТАНКИНО</v>
          </cell>
          <cell r="D20" t="str">
            <v>00-00005653</v>
          </cell>
          <cell r="F20">
            <v>199.53100000000001</v>
          </cell>
          <cell r="G20">
            <v>199.53100000000001</v>
          </cell>
        </row>
        <row r="21">
          <cell r="A21" t="str">
            <v>5708 ПОСОЛЬСКАЯ Папа может с/к в/у ОСТАНКИНО</v>
          </cell>
          <cell r="D21" t="str">
            <v>00-00005867</v>
          </cell>
          <cell r="F21">
            <v>15.081</v>
          </cell>
          <cell r="G21">
            <v>15.081</v>
          </cell>
        </row>
        <row r="22">
          <cell r="A22" t="str">
            <v>5819 Сосиски Папа может 400г Мясные  ОСТАНКИНО</v>
          </cell>
          <cell r="D22" t="str">
            <v>00-00009307</v>
          </cell>
          <cell r="F22">
            <v>76.400000000000006</v>
          </cell>
          <cell r="G22">
            <v>191</v>
          </cell>
        </row>
        <row r="23">
          <cell r="A23" t="str">
            <v>5851 ЭКСТРА Папа может вар п/о   ОСТАНКИНО</v>
          </cell>
          <cell r="D23" t="str">
            <v>00-00006074</v>
          </cell>
          <cell r="F23">
            <v>53.456000000000003</v>
          </cell>
          <cell r="G23">
            <v>53.456000000000003</v>
          </cell>
        </row>
        <row r="24">
          <cell r="A24" t="str">
            <v>5931 ОХОТНИЧЬЯ Папа может с/к в/у 1/220 8шт.   ОСТАНКИНО</v>
          </cell>
          <cell r="D24" t="str">
            <v>00-00006294</v>
          </cell>
          <cell r="F24">
            <v>49.5</v>
          </cell>
          <cell r="G24">
            <v>225</v>
          </cell>
        </row>
        <row r="25">
          <cell r="A25" t="str">
            <v>6008 САЛО СОЛЕНОЕ С ЧЕРНЫМ ПЕРЦЕМ мл/к в/у ОСТАНКИНО</v>
          </cell>
          <cell r="D25" t="str">
            <v>00-ko011702</v>
          </cell>
          <cell r="F25">
            <v>62.122</v>
          </cell>
          <cell r="G25">
            <v>62.122</v>
          </cell>
        </row>
        <row r="26">
          <cell r="A26" t="str">
            <v>6208 ДЫМОВИЦА ИЗ ЛОПАТКИ ПМ к/в с/н в/у 1/150  Останкино</v>
          </cell>
          <cell r="D26" t="str">
            <v>00-ko010377</v>
          </cell>
          <cell r="F26">
            <v>4.8</v>
          </cell>
          <cell r="G26">
            <v>32</v>
          </cell>
        </row>
        <row r="27">
          <cell r="A27" t="str">
            <v>6220 ГОВЯЖЬЯ папа может вар п/о  Останкино</v>
          </cell>
          <cell r="D27" t="str">
            <v>00-ko009211</v>
          </cell>
          <cell r="F27">
            <v>20.262</v>
          </cell>
          <cell r="G27">
            <v>20.262</v>
          </cell>
        </row>
        <row r="28">
          <cell r="A28" t="str">
            <v>6221 НЕОПОЛИТАНСКИЙ ДУЭТ с/к с/н мгс 1/90  Останкино</v>
          </cell>
          <cell r="D28" t="str">
            <v>00-ko010380</v>
          </cell>
          <cell r="F28">
            <v>3.51</v>
          </cell>
          <cell r="G28">
            <v>39</v>
          </cell>
        </row>
        <row r="29">
          <cell r="A29" t="str">
            <v>6228 МЯСНОЕ АССОРТИ к/з с/н мгс 1/90 10шт  Останкино</v>
          </cell>
          <cell r="D29" t="str">
            <v>00-ko009215</v>
          </cell>
          <cell r="F29">
            <v>10.8</v>
          </cell>
          <cell r="G29">
            <v>120</v>
          </cell>
        </row>
        <row r="30">
          <cell r="A30" t="str">
            <v>6279 КОРЕЙКА ПО-ОСТ.к/в в/с с/н в/у 1/150_45с  Останкино</v>
          </cell>
          <cell r="D30" t="str">
            <v>00-ko010967</v>
          </cell>
          <cell r="F30">
            <v>24.9</v>
          </cell>
          <cell r="G30">
            <v>166</v>
          </cell>
        </row>
        <row r="31">
          <cell r="A31" t="str">
            <v>6303 Мясные Папа может сос п/о мгс 1,5*3  Останкино</v>
          </cell>
          <cell r="D31" t="str">
            <v>00-00009145</v>
          </cell>
          <cell r="F31">
            <v>308.39999999999998</v>
          </cell>
          <cell r="G31">
            <v>308.39999999999998</v>
          </cell>
        </row>
        <row r="32">
          <cell r="A32" t="str">
            <v>6325 ДОКТОРСКАЯ ПРЕМИУМ вар п/о 0.4кг 8шт.  ОСТАНКИНО</v>
          </cell>
          <cell r="D32" t="str">
            <v>00-00007305</v>
          </cell>
          <cell r="F32">
            <v>9.6</v>
          </cell>
          <cell r="G32">
            <v>24</v>
          </cell>
        </row>
        <row r="33">
          <cell r="A33" t="str">
            <v>6333 МЯСНАЯ Папа может вар п/о 0.4кг 8шт.  ОСТАНКИНО</v>
          </cell>
          <cell r="D33" t="str">
            <v>00-00007020</v>
          </cell>
          <cell r="F33">
            <v>140</v>
          </cell>
          <cell r="G33">
            <v>350</v>
          </cell>
        </row>
        <row r="34">
          <cell r="A34" t="str">
            <v>6353 ЭКСТРА Папа может вар п/о 0.4кг 8шт.  ОСТАНКИНО</v>
          </cell>
          <cell r="D34" t="str">
            <v>00-00007022</v>
          </cell>
          <cell r="F34">
            <v>110.8</v>
          </cell>
          <cell r="G34">
            <v>277</v>
          </cell>
        </row>
        <row r="35">
          <cell r="A35" t="str">
            <v>6392 ФИЛЕЙНАЯ Папа может вар п/о 0,4кг  ОСТАНКИНО</v>
          </cell>
          <cell r="D35" t="str">
            <v>00-00008829</v>
          </cell>
          <cell r="F35">
            <v>132.4</v>
          </cell>
          <cell r="G35">
            <v>331</v>
          </cell>
        </row>
        <row r="36">
          <cell r="A36" t="str">
            <v>6453 ЭКСТРА Папа может с/к с/н в/у 1/100 14шт.   ОСТАНКИНО</v>
          </cell>
          <cell r="D36" t="str">
            <v>00-00007953</v>
          </cell>
          <cell r="F36">
            <v>18.8</v>
          </cell>
          <cell r="G36">
            <v>188</v>
          </cell>
        </row>
        <row r="37">
          <cell r="A37" t="str">
            <v>6454 АРОМАТНАЯ с/к с/н в/у 1/100 10шт.  ОСТАНКИНО</v>
          </cell>
          <cell r="D37" t="str">
            <v>00-00007952</v>
          </cell>
          <cell r="F37">
            <v>28.3</v>
          </cell>
          <cell r="G37">
            <v>283</v>
          </cell>
        </row>
        <row r="38">
          <cell r="A38" t="str">
            <v>6459 СЕРВЕЛАТ ШВЕЙЦАРСК. в/к с/н в/у 1/100*10  Останкино</v>
          </cell>
          <cell r="D38" t="str">
            <v>00-ko010965</v>
          </cell>
          <cell r="F38">
            <v>1.6</v>
          </cell>
          <cell r="G38">
            <v>16</v>
          </cell>
        </row>
        <row r="39">
          <cell r="A39" t="str">
            <v>6470 ВЕТЧ.МРАМОРНАЯ в/у_45с  Останкино</v>
          </cell>
          <cell r="D39" t="str">
            <v>00-ko010639</v>
          </cell>
          <cell r="F39">
            <v>8.39</v>
          </cell>
          <cell r="G39">
            <v>8.39</v>
          </cell>
        </row>
        <row r="40">
          <cell r="A40" t="str">
            <v>6475 Сосиски Папа может 400г С сыром  ОСТАНКИНО</v>
          </cell>
          <cell r="D40" t="str">
            <v>00-00009308</v>
          </cell>
          <cell r="F40">
            <v>111.2</v>
          </cell>
          <cell r="G40">
            <v>278</v>
          </cell>
        </row>
        <row r="41">
          <cell r="A41" t="str">
            <v>6495 ВЕТЧ.МРАМОРНАЯ в/у срез 0,3кг 6шт_45с  Останкино</v>
          </cell>
          <cell r="D41" t="str">
            <v>00-ko009959</v>
          </cell>
          <cell r="F41">
            <v>12.3</v>
          </cell>
          <cell r="G41">
            <v>41</v>
          </cell>
        </row>
        <row r="42">
          <cell r="A42" t="str">
            <v>6498 МОЛОЧНАЯ Папа может вар п/о  ОСТАНКИНО</v>
          </cell>
          <cell r="D42" t="str">
            <v>00-00008386</v>
          </cell>
          <cell r="F42">
            <v>104.07299999999999</v>
          </cell>
          <cell r="G42">
            <v>104.07299999999999</v>
          </cell>
        </row>
        <row r="43">
          <cell r="A43" t="str">
            <v>6527 ШПИКАЧКИ СОЧНЫЕ ПМ сар б/о мгс 1*3 45с ОСТАНКИНО</v>
          </cell>
          <cell r="D43" t="str">
            <v>00-00008387</v>
          </cell>
          <cell r="F43">
            <v>131.55699999999999</v>
          </cell>
          <cell r="G43">
            <v>131.55699999999999</v>
          </cell>
        </row>
        <row r="44">
          <cell r="A44" t="str">
            <v>6550 МЯСНЫЕ Папа может сар б/о мгс 1*3 О 45с  Останкино</v>
          </cell>
          <cell r="D44" t="str">
            <v>00-ko009350</v>
          </cell>
          <cell r="F44">
            <v>137.02000000000001</v>
          </cell>
          <cell r="G44">
            <v>137.02000000000001</v>
          </cell>
        </row>
        <row r="45">
          <cell r="A45" t="str">
            <v>6602 БАВАРСКИЕ ПМ сос ц/о мгс 0,35кг 8шт  Останкино</v>
          </cell>
          <cell r="D45" t="str">
            <v>00-ko009213</v>
          </cell>
          <cell r="F45">
            <v>9.8000000000000007</v>
          </cell>
          <cell r="G45">
            <v>28</v>
          </cell>
        </row>
        <row r="46">
          <cell r="A46" t="str">
            <v>6608 С ГОВЯДИНОЙ ОРИГИН. сар б/о мгс 1*3_45с  ОСТАНКИНО</v>
          </cell>
          <cell r="D46" t="str">
            <v>00-00008873</v>
          </cell>
          <cell r="F46">
            <v>63.165999999999997</v>
          </cell>
          <cell r="G46">
            <v>63.165999999999997</v>
          </cell>
        </row>
        <row r="47">
          <cell r="A47" t="str">
            <v>6616 МОЛОЧНЫЕ КЛАССИЧЕСКИЕ сос п/о в/у 0,3 кг  Останкино</v>
          </cell>
          <cell r="D47" t="str">
            <v>00-ko010530</v>
          </cell>
          <cell r="F47">
            <v>94.8</v>
          </cell>
          <cell r="G47">
            <v>316</v>
          </cell>
        </row>
        <row r="48">
          <cell r="A48" t="str">
            <v>6661 СОЧНЫЙ ГРИЛЬ ПМ сос п/о мгс 1,5*4_Маяк Останкино</v>
          </cell>
          <cell r="D48" t="str">
            <v>00-00009144</v>
          </cell>
          <cell r="F48">
            <v>94.646000000000001</v>
          </cell>
          <cell r="G48">
            <v>94.646000000000001</v>
          </cell>
        </row>
        <row r="49">
          <cell r="A49" t="str">
            <v>6697 СЕРВЕЛАТ ФИНСКИЙ ПМ в/к в/у 0,35кг 8шт  ОСТАНКИНО</v>
          </cell>
          <cell r="D49" t="str">
            <v>00-00008789</v>
          </cell>
          <cell r="F49">
            <v>166.95</v>
          </cell>
          <cell r="G49">
            <v>477</v>
          </cell>
        </row>
        <row r="50">
          <cell r="A50" t="str">
            <v>6701 СЕРВЕЛАТ ШВАРЦЕР ПМ в/к в/у 0.28кг 8шт.  ОСТАНКИНО</v>
          </cell>
          <cell r="D50" t="str">
            <v>00-00008511</v>
          </cell>
          <cell r="F50">
            <v>-0.28000000000000003</v>
          </cell>
          <cell r="G50">
            <v>-1</v>
          </cell>
        </row>
        <row r="51">
          <cell r="A51" t="str">
            <v>6713 СОЧНЫЙ ГРИЛЬ ПМ сос п/о мгс 0,41кг 8 шт.  ОСТАНКИНО</v>
          </cell>
          <cell r="D51" t="str">
            <v>00-00009132</v>
          </cell>
          <cell r="F51">
            <v>114.8</v>
          </cell>
          <cell r="G51">
            <v>280</v>
          </cell>
        </row>
        <row r="52">
          <cell r="A52" t="str">
            <v>6724 МОЛОЧНЫЕ ПМ сос п/о мгс 0,41кг 10шт  Останкино</v>
          </cell>
          <cell r="D52" t="str">
            <v>00-ko010964</v>
          </cell>
          <cell r="F52">
            <v>108.65</v>
          </cell>
          <cell r="G52">
            <v>265</v>
          </cell>
        </row>
        <row r="53">
          <cell r="A53" t="str">
            <v>6765 РУБЛЕНЫЕ сос ц/о мгс 0,36кг 6шт  Останкино</v>
          </cell>
          <cell r="D53" t="str">
            <v>00-ko009677</v>
          </cell>
          <cell r="F53">
            <v>41.04</v>
          </cell>
          <cell r="G53">
            <v>114</v>
          </cell>
        </row>
        <row r="54">
          <cell r="A54" t="str">
            <v>6787 СЕРВЕЛАТ КРЕМЛЕВСКИЙ в/к в/у 0,33кг 8шт  Останкино</v>
          </cell>
          <cell r="D54" t="str">
            <v>00-ko009922</v>
          </cell>
          <cell r="F54">
            <v>21.45</v>
          </cell>
          <cell r="G54">
            <v>65</v>
          </cell>
        </row>
        <row r="55">
          <cell r="A55" t="str">
            <v>6793 БАЛЫКОВАЯ в/к в/у 0,33кг 8шт  Останкино</v>
          </cell>
          <cell r="D55" t="str">
            <v>00-ko009562</v>
          </cell>
          <cell r="F55">
            <v>1.65</v>
          </cell>
          <cell r="G55">
            <v>5</v>
          </cell>
        </row>
        <row r="56">
          <cell r="A56" t="str">
            <v>6797 С ИНДЕЙКОЙ Папа может вар п/о 0,4кг 8шт. ОСТАНКИНО</v>
          </cell>
          <cell r="D56" t="str">
            <v>00-ko011300</v>
          </cell>
          <cell r="F56">
            <v>12.8</v>
          </cell>
          <cell r="G56">
            <v>32</v>
          </cell>
        </row>
        <row r="57">
          <cell r="A57" t="str">
            <v>6807 СЕРВЕЛАТ ЕВРОПЕЙСКИЙ в/к в/у 0,33кг 8шт  Останкино</v>
          </cell>
          <cell r="D57" t="str">
            <v>00-ko009568</v>
          </cell>
          <cell r="F57">
            <v>36.96</v>
          </cell>
          <cell r="G57">
            <v>112</v>
          </cell>
        </row>
        <row r="58">
          <cell r="A58" t="str">
            <v>6829  МОЛОЧНЫЕ КЛАССИЧЕСКИЕ сос п/о мгс 2*4 С  Останккино</v>
          </cell>
          <cell r="D58" t="str">
            <v>00-ko009595</v>
          </cell>
          <cell r="F58">
            <v>449.70299999999997</v>
          </cell>
          <cell r="G58">
            <v>449.70299999999997</v>
          </cell>
        </row>
        <row r="59">
          <cell r="A59" t="str">
            <v>6834 ПОСОЛЬСКАЯ с/к с/н в/у 1/100 10шт  Останкино</v>
          </cell>
          <cell r="D59" t="str">
            <v>00-ko009682</v>
          </cell>
          <cell r="F59">
            <v>2.9</v>
          </cell>
          <cell r="G59">
            <v>29</v>
          </cell>
        </row>
        <row r="60">
          <cell r="A60" t="str">
            <v>6837 ФИЛЕЙНЫЕ Папа Может сос ц/о мгс 0,4кг  Останкино</v>
          </cell>
          <cell r="D60" t="str">
            <v>00-ko010963</v>
          </cell>
          <cell r="F60">
            <v>37.6</v>
          </cell>
          <cell r="G60">
            <v>94</v>
          </cell>
        </row>
        <row r="61">
          <cell r="A61" t="str">
            <v>6861 ДОМАШНИЙ РЕЦЕПТ Коровино вар п/о  Останкино</v>
          </cell>
          <cell r="D61" t="str">
            <v>00-ko009673</v>
          </cell>
          <cell r="F61">
            <v>4.0730000000000004</v>
          </cell>
          <cell r="G61">
            <v>4.0730000000000004</v>
          </cell>
        </row>
        <row r="62">
          <cell r="A62" t="str">
            <v>6866 ВЕТЧ.НЕЖНАЯ Коровино п/о_Маяк  Останкино</v>
          </cell>
          <cell r="D62" t="str">
            <v>00-ko009992</v>
          </cell>
          <cell r="F62">
            <v>56.935000000000002</v>
          </cell>
          <cell r="G62">
            <v>56.935000000000002</v>
          </cell>
        </row>
        <row r="63">
          <cell r="A63" t="str">
            <v>6948249 Майонезный соус провансаль 824,5гр деликатес.с массовой долей жирн.25% Коровино Останкино</v>
          </cell>
          <cell r="D63" t="str">
            <v>00-ko011307</v>
          </cell>
          <cell r="F63">
            <v>19.776</v>
          </cell>
          <cell r="G63">
            <v>24</v>
          </cell>
        </row>
        <row r="64">
          <cell r="A64" t="str">
            <v>6948256 Майонез провансаль классич.оливковый Папа может 372гр с массовой долей жирн. 67% Останкино</v>
          </cell>
          <cell r="D64" t="str">
            <v>00-ko011305</v>
          </cell>
          <cell r="F64">
            <v>91.14</v>
          </cell>
          <cell r="G64">
            <v>245</v>
          </cell>
        </row>
        <row r="65">
          <cell r="A65" t="str">
            <v>6948263 Майонез провансаль классич.оливковый Папа может 744гр с массовой долей жирн. 67% Останкино</v>
          </cell>
          <cell r="D65" t="str">
            <v>00-ko011306</v>
          </cell>
          <cell r="F65">
            <v>151.03200000000001</v>
          </cell>
          <cell r="G65">
            <v>203</v>
          </cell>
        </row>
        <row r="66">
          <cell r="A66" t="str">
            <v>6948270 Майонез провансаль классич.Папа может 372гр с массовой долей жирн. 67% Останкино</v>
          </cell>
          <cell r="D66" t="str">
            <v>00-ko011303</v>
          </cell>
          <cell r="F66">
            <v>129.084</v>
          </cell>
          <cell r="G66">
            <v>347</v>
          </cell>
        </row>
        <row r="67">
          <cell r="A67" t="str">
            <v>6948287 Майонез провансаль классич.Папа может 744гр с массовой долей жирн. 67% Останкино</v>
          </cell>
          <cell r="D67" t="str">
            <v>00-ko011304</v>
          </cell>
          <cell r="F67">
            <v>267.096</v>
          </cell>
          <cell r="G67">
            <v>359</v>
          </cell>
        </row>
        <row r="68">
          <cell r="A68" t="str">
            <v>6967 БУРГУНДИЯ Папа может с/к в/у 1/250 8шт  Останкино</v>
          </cell>
          <cell r="D68" t="str">
            <v>00-ko010379</v>
          </cell>
          <cell r="F68">
            <v>3.5</v>
          </cell>
          <cell r="G68">
            <v>14</v>
          </cell>
        </row>
        <row r="69">
          <cell r="A69" t="str">
            <v>7001 КЛАССИЧЕСКИЕ Папа может сар б/о мгс 1*3  Останкино</v>
          </cell>
          <cell r="D69" t="str">
            <v>00-ko010285</v>
          </cell>
          <cell r="F69">
            <v>38.057000000000002</v>
          </cell>
          <cell r="G69">
            <v>38.057000000000002</v>
          </cell>
        </row>
        <row r="70">
          <cell r="A70" t="str">
            <v>7059 ШПИКАЧКИ СОЧНЫЕ С БЕК. п/о мгс 0,3кг 60с ОСТАНКИНО</v>
          </cell>
          <cell r="D70" t="str">
            <v>00-ko011609</v>
          </cell>
          <cell r="F70">
            <v>38.700000000000003</v>
          </cell>
          <cell r="G70">
            <v>129</v>
          </cell>
        </row>
        <row r="71">
          <cell r="A71" t="str">
            <v>7066 СОЧНЫЕ ПМ сос п/о мгс 0,41кг 10шт 50с  Останкино</v>
          </cell>
          <cell r="D71" t="str">
            <v>00-ko010284</v>
          </cell>
          <cell r="F71">
            <v>170.15</v>
          </cell>
          <cell r="G71">
            <v>415</v>
          </cell>
        </row>
        <row r="72">
          <cell r="A72" t="str">
            <v>7067 СОЧНЫЕ ПМ сос. п/о мгс 0,41кг СНГ 50с ОСТАНКИНО</v>
          </cell>
          <cell r="D72" t="str">
            <v>00-ko011706</v>
          </cell>
          <cell r="F72">
            <v>5.33</v>
          </cell>
          <cell r="G72">
            <v>13</v>
          </cell>
        </row>
        <row r="73">
          <cell r="A73" t="str">
            <v>7070 СОЧНЫЕ ПМ сос п/о 1,5*4_А_50с  Останкино</v>
          </cell>
          <cell r="D73" t="str">
            <v>00-ko010282</v>
          </cell>
          <cell r="F73">
            <v>217.44900000000001</v>
          </cell>
          <cell r="G73">
            <v>217.44900000000001</v>
          </cell>
        </row>
        <row r="74">
          <cell r="A74" t="str">
            <v>7073 МОЛОЧ.ПРЕМИУМ ПМ сос п/о в/у 1/350_50с  Останкино</v>
          </cell>
          <cell r="D74" t="str">
            <v>00-ko010301</v>
          </cell>
          <cell r="F74">
            <v>23.45</v>
          </cell>
          <cell r="G74">
            <v>67</v>
          </cell>
        </row>
        <row r="75">
          <cell r="A75" t="str">
            <v>7075 МОЛОЧ.ПРЕМИУМ ПМ сос п/о мгс 1,5*4_О_50с  Останкино</v>
          </cell>
          <cell r="D75" t="str">
            <v>00-ko010300</v>
          </cell>
          <cell r="F75">
            <v>17.094999999999999</v>
          </cell>
          <cell r="G75">
            <v>17.094999999999999</v>
          </cell>
        </row>
        <row r="76">
          <cell r="A76" t="str">
            <v>7080 СЛИВОЧНЫЕ ПМ сос п/о мгс 0,41кг 10шт 50с  Останкино</v>
          </cell>
          <cell r="D76" t="str">
            <v>00-ko010283</v>
          </cell>
          <cell r="F76">
            <v>213.2</v>
          </cell>
          <cell r="G76">
            <v>520</v>
          </cell>
        </row>
        <row r="77">
          <cell r="A77" t="str">
            <v>7083 СЛИВОЧНЫЕ ПМ сос п/о мгс 1.5*4_А_50с  ОСТАНКИНО</v>
          </cell>
          <cell r="D77" t="str">
            <v>00-ko011523</v>
          </cell>
          <cell r="F77">
            <v>205.65100000000001</v>
          </cell>
          <cell r="G77">
            <v>205.65100000000001</v>
          </cell>
        </row>
        <row r="78">
          <cell r="A78" t="str">
            <v>7090 СВИНИНА ПО-ДОМ.к/в мл/к в/у 0,3кг_50с  Останкино</v>
          </cell>
          <cell r="D78" t="str">
            <v>00-ko010286</v>
          </cell>
          <cell r="F78">
            <v>23.7</v>
          </cell>
          <cell r="G78">
            <v>79</v>
          </cell>
        </row>
        <row r="79">
          <cell r="A79" t="str">
            <v>7092 БЕКОН Папа может с/к с/н в/у 1/140_50с  Останкино</v>
          </cell>
          <cell r="D79" t="str">
            <v>00-ko010966</v>
          </cell>
          <cell r="F79">
            <v>3.92</v>
          </cell>
          <cell r="G79">
            <v>28</v>
          </cell>
        </row>
        <row r="80">
          <cell r="A80" t="str">
            <v>7103 БЕКОН Останкино с/к с/н в/у 1/180_50с  Останкино</v>
          </cell>
          <cell r="D80" t="str">
            <v>00-ko010254</v>
          </cell>
          <cell r="F80">
            <v>19.8</v>
          </cell>
          <cell r="G80">
            <v>110</v>
          </cell>
        </row>
        <row r="81">
          <cell r="A81" t="str">
            <v>7131 БАЛЫКОВАЯ в/к в/у 0,84кг  Останкино</v>
          </cell>
          <cell r="D81" t="str">
            <v>00-ko010427</v>
          </cell>
          <cell r="F81">
            <v>-0.84399999999999997</v>
          </cell>
          <cell r="G81">
            <v>-0.84399999999999997</v>
          </cell>
        </row>
        <row r="82">
          <cell r="A82" t="str">
            <v>7147 САЛЬЧИЧОН Останкино с/к в/у 1/220 8 шт  Останкино</v>
          </cell>
          <cell r="D82" t="str">
            <v>00-ko010673</v>
          </cell>
          <cell r="F82">
            <v>0.66</v>
          </cell>
          <cell r="G82">
            <v>3</v>
          </cell>
        </row>
        <row r="83">
          <cell r="A83" t="str">
            <v>7149 БАЛЫКОВАЯ Коровино п/к в/у 0,84кг_50с  Останкино</v>
          </cell>
          <cell r="D83" t="str">
            <v>00-ko010403</v>
          </cell>
          <cell r="F83">
            <v>6.72</v>
          </cell>
          <cell r="G83">
            <v>8</v>
          </cell>
        </row>
        <row r="84">
          <cell r="A84" t="str">
            <v>7154 СЕРВЕЛАТ ЗЕРНИСТЫЙ ПМ в/к в/у 0,35кг_50с  Останкино</v>
          </cell>
          <cell r="D84" t="str">
            <v>00-ko010401</v>
          </cell>
          <cell r="F84">
            <v>168.7</v>
          </cell>
          <cell r="G84">
            <v>482</v>
          </cell>
        </row>
        <row r="85">
          <cell r="A85" t="str">
            <v>7157 СЕРВЕЛАТ ЗЕРНИСТЫЙ ПМ в/к в/у_50с  Останкино</v>
          </cell>
          <cell r="D85" t="str">
            <v>00-ko010432</v>
          </cell>
          <cell r="F85">
            <v>145.422</v>
          </cell>
          <cell r="G85">
            <v>145.422</v>
          </cell>
        </row>
        <row r="86">
          <cell r="A86" t="str">
            <v>7161 СЕРВЕЛАТ ДОМАШНИЙ ПМ в/к в/у 0,84кг_50с ОСТАНКИНО</v>
          </cell>
          <cell r="D86" t="str">
            <v>00-ko011676</v>
          </cell>
          <cell r="F86">
            <v>-0.84</v>
          </cell>
          <cell r="G86">
            <v>-1</v>
          </cell>
        </row>
        <row r="87">
          <cell r="A87" t="str">
            <v>7166 СЕРВЕЛАТ ОХОТНИЧИЙ ПМ в/к в/у_50с  Останкино</v>
          </cell>
          <cell r="D87" t="str">
            <v>00-ko010400</v>
          </cell>
          <cell r="F87">
            <v>206.61699999999999</v>
          </cell>
          <cell r="G87">
            <v>206.61699999999999</v>
          </cell>
        </row>
        <row r="88">
          <cell r="A88" t="str">
            <v>7169 СЕРВЕЛАТ ОХОТНИЧИЙ ПМ в/к в/у 0,35кг_50с  Останкино</v>
          </cell>
          <cell r="D88" t="str">
            <v>00-ko010399</v>
          </cell>
          <cell r="F88">
            <v>174.65</v>
          </cell>
          <cell r="G88">
            <v>499</v>
          </cell>
        </row>
        <row r="89">
          <cell r="A89" t="str">
            <v>7187 ГРУДИНКА ПРЕМИУМ к/в мл/к в/у 0,3кг_50с  Останкино</v>
          </cell>
          <cell r="D89" t="str">
            <v>00-ko010604</v>
          </cell>
          <cell r="F89">
            <v>16.2</v>
          </cell>
          <cell r="G89">
            <v>54</v>
          </cell>
        </row>
        <row r="90">
          <cell r="A90" t="str">
            <v>7231 КЛАССИЧЕСКАЯ ПМ вар п/о 0,3кг 8 шт_209к  Останкино</v>
          </cell>
          <cell r="D90" t="str">
            <v>00-ko010962</v>
          </cell>
          <cell r="F90">
            <v>37.799999999999997</v>
          </cell>
          <cell r="G90">
            <v>126</v>
          </cell>
        </row>
        <row r="91">
          <cell r="A91" t="str">
            <v>7232 БОЯNСКАЯ ПМ п/к в/у 0,28кг 8шт_209к  Останкино</v>
          </cell>
          <cell r="D91" t="str">
            <v>00-ko010557</v>
          </cell>
          <cell r="F91">
            <v>106.4</v>
          </cell>
          <cell r="G91">
            <v>380</v>
          </cell>
        </row>
        <row r="92">
          <cell r="A92" t="str">
            <v>7236 СЕРВЕЛАТ КАРЕЛЬСКИЙ в/к в/у 0,28кг_209к  Останкино</v>
          </cell>
          <cell r="D92" t="str">
            <v>00-ko010598</v>
          </cell>
          <cell r="F92">
            <v>107.24</v>
          </cell>
          <cell r="G92">
            <v>383</v>
          </cell>
        </row>
        <row r="93">
          <cell r="A93" t="str">
            <v>7237 СЕРВЕЛАТ ШВАРЦЕР ПМ в/к в/у 0,28кг_209к  Останкино</v>
          </cell>
          <cell r="D93" t="str">
            <v>00-ko010558</v>
          </cell>
          <cell r="F93">
            <v>36.96</v>
          </cell>
          <cell r="G93">
            <v>132</v>
          </cell>
        </row>
        <row r="94">
          <cell r="A94" t="str">
            <v>7241 САЛЯМИ Папа может п/к в/у 0,28кг ОСТАНКИНО</v>
          </cell>
          <cell r="D94" t="str">
            <v>00-ko010555</v>
          </cell>
          <cell r="F94">
            <v>85.12</v>
          </cell>
          <cell r="G94">
            <v>304</v>
          </cell>
        </row>
        <row r="95">
          <cell r="A95" t="str">
            <v>7255 МЯСНЫЕ С ГОВЯД.ПМ сос п/о мгс 0.4кг 6шт.  ОСТАНКИНО</v>
          </cell>
          <cell r="D95" t="str">
            <v>00-ko011229</v>
          </cell>
          <cell r="F95">
            <v>121.2</v>
          </cell>
          <cell r="G95">
            <v>303</v>
          </cell>
        </row>
        <row r="96">
          <cell r="A96" t="str">
            <v>7257 ФИЛЕЙНЫЕ ПМ сос ц/о мгс 0,33кг 8шт  Останкино</v>
          </cell>
          <cell r="D96" t="str">
            <v>00-ko010635</v>
          </cell>
          <cell r="F96">
            <v>-1.32</v>
          </cell>
          <cell r="G96">
            <v>-4</v>
          </cell>
        </row>
        <row r="97">
          <cell r="A97" t="str">
            <v>7271 МЯСНЫЕ С ГОВЯДИНОЙ ПМ сос п/о мгс 1.5*4  ОСТАНКИНО</v>
          </cell>
          <cell r="D97" t="str">
            <v>00-ko011425</v>
          </cell>
          <cell r="F97">
            <v>49.896000000000001</v>
          </cell>
          <cell r="G97">
            <v>49.896000000000001</v>
          </cell>
        </row>
        <row r="98">
          <cell r="A98" t="str">
            <v>7276 СЛИВОЧНЫЕ ПМ сос п/о мгс 0,3кг 7шт  Останкино</v>
          </cell>
          <cell r="D98" t="str">
            <v>00-ko010753</v>
          </cell>
          <cell r="F98">
            <v>9.9</v>
          </cell>
          <cell r="G98">
            <v>33</v>
          </cell>
        </row>
        <row r="99">
          <cell r="A99" t="str">
            <v>7284 ДЛЯ ДЕТЕЙ сос п/о мгс 0,33кг 6шт  Останкино</v>
          </cell>
          <cell r="D99" t="str">
            <v>00-ko010746</v>
          </cell>
          <cell r="F99">
            <v>11.22</v>
          </cell>
          <cell r="G99">
            <v>34</v>
          </cell>
        </row>
        <row r="100">
          <cell r="A100" t="str">
            <v>7288 БАЛЫК с/к с/н в/у 1/100 10шт ОСТАНКИНО</v>
          </cell>
          <cell r="D100" t="str">
            <v>00-ko011373</v>
          </cell>
          <cell r="F100">
            <v>2.1</v>
          </cell>
          <cell r="G100">
            <v>21</v>
          </cell>
        </row>
        <row r="101">
          <cell r="A101" t="str">
            <v>7332 БОЯРСКАЯ ПМ п/к в/у 0,28кг ОСТАНКИНО</v>
          </cell>
          <cell r="D101" t="str">
            <v>00-ko011144</v>
          </cell>
          <cell r="F101">
            <v>43.4</v>
          </cell>
          <cell r="G101">
            <v>155</v>
          </cell>
        </row>
        <row r="102">
          <cell r="A102" t="str">
            <v>7333 СЕРВЕЛАТ ОХОТНИЧИЙ ПМ в/к в/у 0,28кг ОСТАНКИНО</v>
          </cell>
          <cell r="D102" t="str">
            <v>00-ko011143</v>
          </cell>
          <cell r="F102">
            <v>1.4</v>
          </cell>
          <cell r="G102">
            <v>5</v>
          </cell>
        </row>
        <row r="103">
          <cell r="A103" t="str">
            <v>7343 СЕЙЧАС СЕЗОН ПМ вар п/о 0,4кг ОСТАНКИНО</v>
          </cell>
          <cell r="D103" t="str">
            <v>00-ko011207</v>
          </cell>
          <cell r="F103">
            <v>1.6</v>
          </cell>
          <cell r="G103">
            <v>4</v>
          </cell>
        </row>
        <row r="104">
          <cell r="A104" t="str">
            <v>7382  САЛЯМИ МЕЛКОЗЕРНЕНАЯ с/к в/у1/120 8шт.  ОСТАНКИНО</v>
          </cell>
          <cell r="D104" t="str">
            <v>00-ko011257</v>
          </cell>
          <cell r="F104">
            <v>27.96</v>
          </cell>
          <cell r="G104">
            <v>233</v>
          </cell>
        </row>
        <row r="105">
          <cell r="A105" t="str">
            <v>7461 ДЛЯ ДЕТЕЙ Папа Может сос п/о мгс 0,33кг ОСТАНКИНО</v>
          </cell>
          <cell r="D105" t="str">
            <v>00-ko011659</v>
          </cell>
          <cell r="F105">
            <v>27.39</v>
          </cell>
          <cell r="G105">
            <v>83</v>
          </cell>
        </row>
        <row r="106">
          <cell r="A106" t="str">
            <v>7489 СЫРРРВЕЛАТ Папа Может в/к в/у 0,28кг 8шт. ОСТАНКИНО</v>
          </cell>
          <cell r="D106" t="str">
            <v>00-ko011701</v>
          </cell>
          <cell r="F106">
            <v>47.6</v>
          </cell>
          <cell r="G106">
            <v>170</v>
          </cell>
        </row>
        <row r="107">
          <cell r="A107" t="str">
            <v>7539 ДОКТОРСКАЯ ГОСТ вар п/о 0,35кг ОСТАНКИНО</v>
          </cell>
          <cell r="D107" t="str">
            <v>00-ko011655</v>
          </cell>
          <cell r="F107">
            <v>5.95</v>
          </cell>
          <cell r="G107">
            <v>17</v>
          </cell>
        </row>
        <row r="108">
          <cell r="A108" t="str">
            <v>7603 БАЛЫКОВАЯ в/к в/у 0.33кг 8шт. ОСТАНКИНО</v>
          </cell>
          <cell r="D108" t="str">
            <v>00-ko011685</v>
          </cell>
          <cell r="F108">
            <v>12.54</v>
          </cell>
          <cell r="G108">
            <v>38</v>
          </cell>
        </row>
        <row r="109">
          <cell r="A109" t="str">
            <v>9988421 Творожный Сыр 60 % С маринованными огурчиками и укропом  Останкино</v>
          </cell>
          <cell r="D109" t="str">
            <v>00-ko009363</v>
          </cell>
          <cell r="F109">
            <v>10.64</v>
          </cell>
          <cell r="G109">
            <v>76</v>
          </cell>
        </row>
        <row r="110">
          <cell r="A110" t="str">
            <v>9988438 Плавленый Сыр 45% "С ветчиной" СТМ"ПапаМожет" 180гр  Останкино</v>
          </cell>
          <cell r="D110" t="str">
            <v>00-ko009361</v>
          </cell>
          <cell r="F110">
            <v>15.3</v>
          </cell>
          <cell r="G110">
            <v>85</v>
          </cell>
        </row>
        <row r="111">
          <cell r="A111" t="str">
            <v>9988445 Плавленый Сыр 45%"С грибами" СТМ"ПапаМожет" 180 гр  Останкино</v>
          </cell>
          <cell r="D111" t="str">
            <v>00-ko009362</v>
          </cell>
          <cell r="F111">
            <v>16.02</v>
          </cell>
          <cell r="G111">
            <v>89</v>
          </cell>
        </row>
        <row r="112">
          <cell r="A112" t="str">
            <v>Cыр Перлини копченый 40% 100гр (8шт)  Останкино</v>
          </cell>
          <cell r="D112" t="str">
            <v>00-ko010566</v>
          </cell>
          <cell r="F112">
            <v>3</v>
          </cell>
          <cell r="G112">
            <v>30</v>
          </cell>
        </row>
        <row r="113">
          <cell r="A113" t="str">
            <v>БОНУС_6087 СОЧНЫЕ ПМ сос п/о мгс 0,41кг 10шт.  ОСТАНКИНО</v>
          </cell>
          <cell r="D113" t="str">
            <v>00-00008893</v>
          </cell>
          <cell r="F113">
            <v>4.51</v>
          </cell>
          <cell r="G113">
            <v>11</v>
          </cell>
        </row>
        <row r="114">
          <cell r="A114" t="str">
            <v>БОНУС_6954 СОЧНЫЕ Папа может сос п/о мгс 1.5*4_Х5  ОСТАНКИНО</v>
          </cell>
          <cell r="D114" t="str">
            <v>00-ko010224</v>
          </cell>
          <cell r="F114">
            <v>6.2</v>
          </cell>
          <cell r="G114">
            <v>6.2</v>
          </cell>
        </row>
        <row r="115">
          <cell r="A115" t="str">
            <v>Масло "Папа может" 82,5% 180гр  Останкино</v>
          </cell>
          <cell r="D115" t="str">
            <v>00-ko009727</v>
          </cell>
          <cell r="F115">
            <v>34.200000000000003</v>
          </cell>
          <cell r="G115">
            <v>190</v>
          </cell>
        </row>
        <row r="116">
          <cell r="A116" t="str">
            <v>Масло сливочное 72,5 % 180 гр.(10 шт) СЛАВЯНА  Останкино</v>
          </cell>
          <cell r="D116" t="str">
            <v>00-ko009671</v>
          </cell>
          <cell r="F116">
            <v>28.98</v>
          </cell>
          <cell r="G116">
            <v>161</v>
          </cell>
        </row>
        <row r="117">
          <cell r="A117" t="str">
            <v>Плавленый продукт с Сыром колбасный копченый 40% СТМ "Коровино" 400гр  Останкино</v>
          </cell>
          <cell r="D117" t="str">
            <v>00-ko009522</v>
          </cell>
          <cell r="F117">
            <v>3.2</v>
          </cell>
          <cell r="G117">
            <v>8</v>
          </cell>
        </row>
        <row r="118">
          <cell r="A118" t="str">
            <v>Плавленый сыр "Шоколадный" 30% 180гр Папа Может Останкино</v>
          </cell>
          <cell r="D118" t="str">
            <v>00-ko011445</v>
          </cell>
          <cell r="F118">
            <v>38.94</v>
          </cell>
          <cell r="G118">
            <v>33</v>
          </cell>
        </row>
        <row r="119">
          <cell r="A119" t="str">
            <v>Плавленый Сыр колбасный копченый 40% СТМ"ПапаМожет"400гр  Останкино</v>
          </cell>
          <cell r="D119" t="str">
            <v>00-ko009521</v>
          </cell>
          <cell r="F119">
            <v>0.4</v>
          </cell>
          <cell r="G119">
            <v>1</v>
          </cell>
        </row>
        <row r="120">
          <cell r="A120" t="str">
            <v>Продукт По-Росийски Классический с ЗМЖ 50% 200г Коровино Останкино</v>
          </cell>
          <cell r="D120" t="str">
            <v>00-ko011449</v>
          </cell>
          <cell r="F120">
            <v>0.6</v>
          </cell>
          <cell r="G120">
            <v>3</v>
          </cell>
        </row>
        <row r="121">
          <cell r="A121" t="str">
            <v>Сыр "Пармезан" 40% кусок 180 гр  ОСТАНКИНО</v>
          </cell>
          <cell r="D121" t="str">
            <v>00-00008903</v>
          </cell>
          <cell r="F121">
            <v>-0.18</v>
          </cell>
          <cell r="G121">
            <v>-1</v>
          </cell>
        </row>
        <row r="122">
          <cell r="A122" t="str">
            <v>Сыр Боккончини копченый 40% 100 гр.  ОСТАНКИНО</v>
          </cell>
          <cell r="D122" t="str">
            <v>00-00008885</v>
          </cell>
          <cell r="F122">
            <v>1.9</v>
          </cell>
          <cell r="G122">
            <v>19</v>
          </cell>
        </row>
        <row r="123">
          <cell r="A123" t="str">
            <v>Сыр Голандский 45% нарезка 125г Папа Может Останкино</v>
          </cell>
          <cell r="D123" t="str">
            <v>00-ko011448</v>
          </cell>
          <cell r="F123">
            <v>-0.125</v>
          </cell>
          <cell r="G123">
            <v>-1</v>
          </cell>
        </row>
        <row r="124">
          <cell r="A124" t="str">
            <v>Сыр Косичка сырная 45% 100г/8шт Папа Может Останкино</v>
          </cell>
          <cell r="D124" t="str">
            <v>00-ko011451</v>
          </cell>
          <cell r="F124">
            <v>-0.3</v>
          </cell>
          <cell r="G124">
            <v>-3</v>
          </cell>
        </row>
        <row r="125">
          <cell r="A125" t="str">
            <v>Сыр Косичка сырная копченая 43% 100г/8шт Папа Может Останкино</v>
          </cell>
          <cell r="D125" t="str">
            <v>00-ko011446</v>
          </cell>
          <cell r="F125">
            <v>2.2999999999999998</v>
          </cell>
          <cell r="G125">
            <v>23</v>
          </cell>
        </row>
        <row r="126">
          <cell r="A126" t="str">
            <v>Сыр ПАПА МОЖЕТ "Гауда Голд" 45 % 180 гр (10шт) Останкино</v>
          </cell>
          <cell r="D126" t="str">
            <v>00-ko009386</v>
          </cell>
          <cell r="F126">
            <v>47.52</v>
          </cell>
          <cell r="G126">
            <v>264</v>
          </cell>
        </row>
        <row r="127">
          <cell r="A127" t="str">
            <v>Сыр ПАПА МОЖЕТ "Голландский традиционный" 45% 180 гр (10шт)  Останкино</v>
          </cell>
          <cell r="D127" t="str">
            <v>00-ko009387</v>
          </cell>
          <cell r="F127">
            <v>54.18</v>
          </cell>
          <cell r="G127">
            <v>301</v>
          </cell>
        </row>
        <row r="128">
          <cell r="A128" t="str">
            <v>Сыр ПАПА МОЖЕТ "Министерский" 180 г фасованный массовая  Останкино</v>
          </cell>
          <cell r="D128" t="str">
            <v>00-ko009670</v>
          </cell>
          <cell r="F128">
            <v>23.4</v>
          </cell>
          <cell r="G128">
            <v>130</v>
          </cell>
        </row>
        <row r="129">
          <cell r="A129" t="str">
            <v>Сыр ПАПА МОЖЕТ "Папин завтрак"  45% 180 г  Останкино</v>
          </cell>
          <cell r="D129" t="str">
            <v>00-ko009687</v>
          </cell>
          <cell r="F129">
            <v>30.42</v>
          </cell>
          <cell r="G129">
            <v>169</v>
          </cell>
        </row>
        <row r="130">
          <cell r="A130" t="str">
            <v>Сыр ПАПА МОЖЕТ "Российский традиционный"45 % 180 г Останкино</v>
          </cell>
          <cell r="D130" t="str">
            <v>00-ko009434</v>
          </cell>
          <cell r="F130">
            <v>61.74</v>
          </cell>
          <cell r="G130">
            <v>343</v>
          </cell>
        </row>
        <row r="131">
          <cell r="A131" t="str">
            <v>Сыр ПАПА МОЖЕТ "Тильзитер" фасованный массовая доля жира в сухом веществе 45%, 180г  Останкино</v>
          </cell>
          <cell r="D131" t="str">
            <v>00-ko009520</v>
          </cell>
          <cell r="F131">
            <v>26.1</v>
          </cell>
          <cell r="G131">
            <v>145</v>
          </cell>
        </row>
        <row r="132">
          <cell r="A132" t="str">
            <v>Сыр плавленный Сливочный ж.45% 180г ТМ Папа может (16шт)  Останкино</v>
          </cell>
          <cell r="D132" t="str">
            <v>00-ko009626</v>
          </cell>
          <cell r="F132">
            <v>28.44</v>
          </cell>
          <cell r="G132">
            <v>158</v>
          </cell>
        </row>
        <row r="133">
          <cell r="A133" t="str">
            <v>Сыр полутвердый "Гауда" с массовой долей жира в пересчете на сухое вещество 45%,   Останкино</v>
          </cell>
          <cell r="D133" t="str">
            <v>00-ko009875</v>
          </cell>
          <cell r="F133">
            <v>27.192</v>
          </cell>
          <cell r="G133">
            <v>27.192</v>
          </cell>
        </row>
        <row r="134">
          <cell r="A134" t="str">
            <v>Сыр полутвердый "Голландский" с массовой долей жира в пересчете на сухое  Останкино</v>
          </cell>
          <cell r="D134" t="str">
            <v>00-ko009874</v>
          </cell>
          <cell r="F134">
            <v>20.138999999999999</v>
          </cell>
          <cell r="G134">
            <v>20.138999999999999</v>
          </cell>
        </row>
        <row r="135">
          <cell r="A135" t="str">
            <v>Сыр полутвердый "Сметанковый", с масс долей жира в пересчете на сухое вещес50%, брус  Останкино</v>
          </cell>
          <cell r="D135" t="str">
            <v>00-ko009524</v>
          </cell>
          <cell r="F135">
            <v>48.932000000000002</v>
          </cell>
          <cell r="G135">
            <v>48.932000000000002</v>
          </cell>
        </row>
        <row r="136">
          <cell r="A136" t="str">
            <v>Сыр полутвердый "Тильзитер" с массовой долей жира в пересчете на сухое вещество 45%. 1/5  Останкино</v>
          </cell>
          <cell r="D136" t="str">
            <v>00-ko009526</v>
          </cell>
          <cell r="F136">
            <v>9.8539999999999992</v>
          </cell>
          <cell r="G136">
            <v>9.8539999999999992</v>
          </cell>
        </row>
        <row r="137">
          <cell r="A137" t="str">
            <v>Сыр рассольный жирный Чечил 45% 100 гр  ОСТАНКИНО</v>
          </cell>
          <cell r="D137" t="str">
            <v>00-00008886</v>
          </cell>
          <cell r="F137">
            <v>3.4</v>
          </cell>
          <cell r="G137">
            <v>34</v>
          </cell>
        </row>
        <row r="138">
          <cell r="A138" t="str">
            <v>Сыр рассольный жирный Чечил копченый 43% 100 гр  Останкино</v>
          </cell>
          <cell r="D138" t="str">
            <v>00-00009171</v>
          </cell>
          <cell r="F138">
            <v>7.6</v>
          </cell>
          <cell r="G138">
            <v>76</v>
          </cell>
        </row>
        <row r="139">
          <cell r="A139" t="str">
            <v>Сыр Творожный с зеленью 60% Папа может 140 гр.  Останкино</v>
          </cell>
          <cell r="D139" t="str">
            <v>00-ko009290</v>
          </cell>
          <cell r="F139">
            <v>10.78</v>
          </cell>
          <cell r="G139">
            <v>77</v>
          </cell>
        </row>
        <row r="140">
          <cell r="A140" t="str">
            <v>Сыр творожный Сливочный 140 гр.  Останкино</v>
          </cell>
          <cell r="D140" t="str">
            <v>00-ko009053</v>
          </cell>
          <cell r="F140">
            <v>7.28</v>
          </cell>
          <cell r="G140">
            <v>52</v>
          </cell>
        </row>
        <row r="141">
          <cell r="A141" t="str">
            <v>Сыч/Прод Коровино Российский 50% 200г НОВАЯ СЗМЖ  ОСТАНКИНО</v>
          </cell>
          <cell r="D141" t="str">
            <v>00-00008341</v>
          </cell>
          <cell r="F141">
            <v>-0.8</v>
          </cell>
          <cell r="G141">
            <v>-4</v>
          </cell>
        </row>
        <row r="142">
          <cell r="A142" t="str">
            <v>Сыч/Прод Коровино Российский 50% 200г СЗМЖ  Останкино</v>
          </cell>
          <cell r="D142" t="str">
            <v>00-00007977</v>
          </cell>
          <cell r="F142">
            <v>16.600000000000001</v>
          </cell>
          <cell r="G142">
            <v>83</v>
          </cell>
        </row>
        <row r="143">
          <cell r="A143" t="str">
            <v>Сыч/Прод Коровино Тильзитер 50% 200г СЗМЖ  ОСТАНКИНО</v>
          </cell>
          <cell r="D143" t="str">
            <v>00-00007918</v>
          </cell>
          <cell r="F143">
            <v>14.2</v>
          </cell>
          <cell r="G143">
            <v>71</v>
          </cell>
        </row>
        <row r="144">
          <cell r="A144" t="str">
            <v>Сыч/Прод Коровино Тильзитер Оригин 50% ВЕС (3,5 кг брус) СЗМЖ  Останкино</v>
          </cell>
          <cell r="D144" t="str">
            <v>00-ko009389</v>
          </cell>
          <cell r="F144">
            <v>122.944</v>
          </cell>
          <cell r="G144">
            <v>122.944</v>
          </cell>
        </row>
        <row r="145">
          <cell r="A145" t="str">
            <v>Итого</v>
          </cell>
          <cell r="F145">
            <v>7813.741</v>
          </cell>
          <cell r="G145">
            <v>17542.788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4">
          <cell r="A4" t="str">
            <v>Документ.Склад</v>
          </cell>
          <cell r="E4" t="str">
            <v>по заказам</v>
          </cell>
        </row>
        <row r="5">
          <cell r="A5" t="str">
            <v>Номенклатура</v>
          </cell>
          <cell r="E5" t="str">
            <v>Заказано</v>
          </cell>
        </row>
        <row r="7">
          <cell r="A7" t="str">
            <v>Останкино ООО</v>
          </cell>
        </row>
        <row r="8">
          <cell r="A8" t="str">
            <v>ООО Останкино-Краснодар</v>
          </cell>
        </row>
        <row r="9">
          <cell r="A9" t="str">
            <v>А_6767 РУБЛЕНЫЕ сос ц/о мгс 1*4  Останкино</v>
          </cell>
        </row>
        <row r="10">
          <cell r="A10" t="str">
            <v>БОНУС_6954 СОЧНЫЕ Папа может сос п/о мгс 1.5*4_Х5  ОСТАНКИНО</v>
          </cell>
        </row>
        <row r="11">
          <cell r="A11" t="str">
            <v>ООО Останкино-Краснодар (ШТ)</v>
          </cell>
        </row>
        <row r="12">
          <cell r="A12" t="str">
            <v>3215 ВЕТЧ.МЯСНАЯ Папа может п/о 0.4кг 8шт.    ОСТАНКИНО</v>
          </cell>
        </row>
        <row r="13">
          <cell r="A13" t="str">
            <v>3986 Ароматная с/к в/у 1/250 ОСТАНКИНО</v>
          </cell>
        </row>
        <row r="14">
          <cell r="A14" t="str">
            <v>5483 ЭКСТРА Папа может с/к в/у 1/250 8шт.   ОСТАНКИНО</v>
          </cell>
        </row>
        <row r="15">
          <cell r="A15" t="str">
            <v>5495 ВЕТЧ.С ИНДЕЙКОЙ Папа может п/о 400*6  Останкино</v>
          </cell>
        </row>
        <row r="16">
          <cell r="A16" t="str">
            <v>5819 Сосиски Папа может 400г Мясные  ОСТАНКИНО</v>
          </cell>
        </row>
        <row r="17">
          <cell r="A17" t="str">
            <v>5931 ОХОТНИЧЬЯ Папа может с/к в/у 1/220 8шт.   ОСТАНКИНО</v>
          </cell>
        </row>
        <row r="18">
          <cell r="A18" t="str">
            <v>6208 ДЫМОВИЦА ИЗ ЛОПАТКИ ПМ к/в с/н в/у 1/150  Останкино</v>
          </cell>
        </row>
        <row r="19">
          <cell r="A19" t="str">
            <v>6221 НЕОПОЛИТАНСКИЙ ДУЭТ с/к с/н мгс 1/90  Останкино</v>
          </cell>
        </row>
        <row r="20">
          <cell r="A20" t="str">
            <v>6222 ИТАЛЬЯНСКОЕ АССОРТИ с/в с/н мгс 1/90 ОСТАНКИНО</v>
          </cell>
        </row>
        <row r="21">
          <cell r="A21" t="str">
            <v>6228 МЯСНОЕ АССОРТИ к/з с/н мгс 1/90 10шт  Останкино</v>
          </cell>
        </row>
        <row r="22">
          <cell r="A22" t="str">
            <v>6279 КОРЕЙКА ПО-ОСТ.к/в в/с с/н в/у 1/150_45с  Останкино</v>
          </cell>
        </row>
        <row r="23">
          <cell r="A23" t="str">
            <v>6325 ДОКТОРСКАЯ ПРЕМИУМ вар п/о 0.4кг 8шт.  ОСТАНКИНО</v>
          </cell>
        </row>
        <row r="24">
          <cell r="A24" t="str">
            <v>6333 МЯСНАЯ Папа может вар п/о 0.4кг 8шт.  ОСТАНКИНО</v>
          </cell>
        </row>
        <row r="25">
          <cell r="A25" t="str">
            <v>6392 ФИЛЕЙНАЯ Папа может вар п/о 0,4кг  ОСТАНКИНО</v>
          </cell>
        </row>
        <row r="26">
          <cell r="A26" t="str">
            <v>6448 Свинина Останкино 100г Мадера с/к в/у нарезка  ОСТАНКИНО</v>
          </cell>
        </row>
        <row r="27">
          <cell r="A27" t="str">
            <v>6453 ЭКСТРА Папа может с/к с/н в/у 1/100 14шт.   ОСТАНКИНО</v>
          </cell>
        </row>
        <row r="28">
          <cell r="A28" t="str">
            <v>6475 Сосиски Папа может 400г С сыром  ОСТАНКИНО</v>
          </cell>
        </row>
        <row r="29">
          <cell r="A29" t="str">
            <v>6557 ОХОТНИЧЬЯ ПМ с/к с/н в/у 1/100 10шт  Останкино</v>
          </cell>
        </row>
        <row r="30">
          <cell r="A30" t="str">
            <v>6616 МОЛОЧНЫЕ КЛАССИЧЕСКИЕ сос п/о в/у 0,3 кг  Останкино</v>
          </cell>
        </row>
        <row r="31">
          <cell r="A31" t="str">
            <v>6697 СЕРВЕЛАТ ФИНСКИЙ ПМ в/к в/у 0,35кг 8шт  ОСТАНКИНО</v>
          </cell>
        </row>
        <row r="32">
          <cell r="A32" t="str">
            <v>6713 СОЧНЫЙ ГРИЛЬ ПМ сос п/о мгс 0,41кг 8 шт.  ОСТАНКИНО</v>
          </cell>
        </row>
        <row r="33">
          <cell r="A33" t="str">
            <v>6754 БАЛЫК И ШЕЙКА с/в с/н мгс 1/90 8 шт ОСТАНКИНО</v>
          </cell>
        </row>
        <row r="34">
          <cell r="A34" t="str">
            <v>6765 РУБЛЕНЫЕ сос ц/о мгс 0,36кг 6шт  Останкино</v>
          </cell>
        </row>
        <row r="35">
          <cell r="A35" t="str">
            <v>6837 ФИЛЕЙНЫЕ Папа Может сос ц/о мгс 0,4кг  Останкино</v>
          </cell>
        </row>
        <row r="36">
          <cell r="A36" t="str">
            <v>7067 СОЧНЫЕ ПМ сос. п/о мгс 0,41кг СНГ 50с ОСТАНКИНО</v>
          </cell>
        </row>
        <row r="37">
          <cell r="A37" t="str">
            <v>7074 МОЛОЧ.ПРЕМИУМ ПМ сос п/о мгс 0.6кг_50с  ОСТАНКИНО</v>
          </cell>
        </row>
        <row r="38">
          <cell r="A38" t="str">
            <v>7090 СВИНИНА ПО-ДОМ.к/в мл/к в/у 0,3кг_50с  Останкино</v>
          </cell>
        </row>
        <row r="39">
          <cell r="A39" t="str">
            <v>7092 БЕКОН Папа может с/к с/н в/у 1/140_50с  Останкино</v>
          </cell>
        </row>
        <row r="40">
          <cell r="A40" t="str">
            <v>7103 БЕКОН Останкино с/к с/н в/у 1/180_50с  Останкино</v>
          </cell>
        </row>
        <row r="41">
          <cell r="A41" t="str">
            <v>7154 СЕРВЕЛАТ ЗЕРНИСТЫЙ ПМ в/к в/у 0,35кг_50с  Останкино</v>
          </cell>
        </row>
        <row r="42">
          <cell r="A42" t="str">
            <v>7169 СЕРВЕЛАТ ОХОТНИЧИЙ ПМ в/к в/у 0,35кг_50с  Останкино</v>
          </cell>
        </row>
        <row r="43">
          <cell r="A43" t="str">
            <v>7231 КЛАССИЧЕСКАЯ ПМ вар п/о 0,3кг 8 шт_209к  Останкино</v>
          </cell>
        </row>
        <row r="44">
          <cell r="A44" t="str">
            <v>7232 БОЯNСКАЯ ПМ п/к в/у 0,28кг 8шт_209к  Останкино</v>
          </cell>
        </row>
        <row r="45">
          <cell r="A45" t="str">
            <v>7236 СЕРВЕЛАТ КАРЕЛЬСКИЙ в/к в/у 0,28кг_209к  Останкино</v>
          </cell>
        </row>
        <row r="46">
          <cell r="A46" t="str">
            <v>7241 САЛЯМИ Папа может п/к в/у 0,28кг ОСТАНКИНО</v>
          </cell>
        </row>
        <row r="47">
          <cell r="A47" t="str">
            <v>7255 МЯСНЫЕ С ГОВЯД.ПМ сос п/о мгс 0.4кг 6шт.  ОСТАНКИНО</v>
          </cell>
        </row>
        <row r="48">
          <cell r="A48" t="str">
            <v>7284 ДЛЯ ДЕТЕЙ сос п/о мгс 0,33кг 6шт  Останкино</v>
          </cell>
        </row>
        <row r="49">
          <cell r="A49" t="str">
            <v>7334 МЯСНАЯ СО ШПИКОМ ПМ вар п/о 0.4кг 8шт.</v>
          </cell>
        </row>
        <row r="50">
          <cell r="A50" t="str">
            <v>7343 СЕЙЧАС СЕЗОН ПМ вар п/о 0,4кг ОСТАНКИНО</v>
          </cell>
        </row>
        <row r="51">
          <cell r="A51" t="str">
            <v>7382  САЛЯМИ МЕЛКОЗЕРНЕНАЯ с/к в/у1/120 8шт.  ОСТАНКИНО</v>
          </cell>
        </row>
        <row r="52">
          <cell r="A52" t="str">
            <v>7523 ГОВЯЖЬЯ Папа Может вар п/о 0,4кг 6шт. ОСТАНКИНО</v>
          </cell>
        </row>
        <row r="53">
          <cell r="A53" t="str">
            <v>7539 ДОКТОРСКАЯ ГОСТ вар п/о 0,35кг ОСТАНКИНО</v>
          </cell>
        </row>
        <row r="54">
          <cell r="A54" t="str">
            <v>7632 ЭКСТРА Папа может вар п/о 0.4кг 8шт_195к</v>
          </cell>
        </row>
        <row r="55">
          <cell r="A55" t="str">
            <v>А_5679 САЛЯМИ ИТАЛЬЯНСКАЯ с/к в/у 1/150_60с ОСТАНКИНО</v>
          </cell>
        </row>
        <row r="56">
          <cell r="A56" t="str">
            <v>А_6475 Сосиски Папа может 400г С сыром  ОСТАНКИНО</v>
          </cell>
        </row>
        <row r="57">
          <cell r="A57" t="str">
            <v>А_6925 ВЕТЧ.КЛАССИЧЕСКАЯ в/у 0,6кг 8шт. ОСТАНКИНО</v>
          </cell>
        </row>
        <row r="58">
          <cell r="A58" t="str">
            <v>БОНУС_6087 СОЧНЫЕ ПМ сос п/о мгс 0,41кг 10шт.  ОСТАНКИНО</v>
          </cell>
        </row>
        <row r="59">
          <cell r="A59" t="str">
            <v>Поддон деревянный ЕВРО</v>
          </cell>
        </row>
        <row r="60">
          <cell r="A60" t="str">
            <v>ПОКОМ Логистический Партнер</v>
          </cell>
        </row>
        <row r="61">
          <cell r="A61" t="str">
            <v>Вязанка Логистический Партнер(Кг)</v>
          </cell>
        </row>
        <row r="62">
          <cell r="A62" t="str">
            <v xml:space="preserve"> 005  Колбаса Докторская ГОСТ, Вязанка вектор,ВЕС. ПОКОМ</v>
          </cell>
        </row>
        <row r="63">
          <cell r="A63" t="str">
            <v xml:space="preserve"> 016  Сосиски Вязанка Молочные, Вязанка вискофан  ВЕС.ПОКОМ</v>
          </cell>
        </row>
        <row r="64">
          <cell r="A64" t="str">
            <v xml:space="preserve"> 017  Сосиски Вязанка Сливочные, Вязанка амицел ВЕС.ПОКОМ</v>
          </cell>
        </row>
        <row r="65">
          <cell r="A65" t="str">
            <v xml:space="preserve"> 312  Ветчина Филейская ВЕС ТМ  Вязанка ТС Столичная  ПОКОМ</v>
          </cell>
        </row>
        <row r="66">
          <cell r="A66" t="str">
            <v xml:space="preserve"> 315  Колбаса вареная Молокуша ТМ Вязанка ВЕС, ПОКОМ</v>
          </cell>
        </row>
        <row r="67">
          <cell r="A67" t="str">
            <v xml:space="preserve"> 330  Колбаса вареная Филейская ТМ Вязанка ТС Классическая ВЕС  ПОКОМ</v>
          </cell>
        </row>
        <row r="68">
          <cell r="A68" t="str">
            <v xml:space="preserve"> 335  Колбаса Сливушка ТМ Вязанка. ВЕС.  ПОКОМ </v>
          </cell>
        </row>
        <row r="69">
          <cell r="A69" t="str">
            <v xml:space="preserve"> 364  Сардельки Филейские Вязанка ВЕС NDX ТМ Вязанка  ПОКОМ</v>
          </cell>
        </row>
        <row r="70">
          <cell r="A70" t="str">
            <v>503 Колбаса Филейская со шпиком ТМ Вязанка в оболочке полиамид.ПОКОМ</v>
          </cell>
        </row>
        <row r="71">
          <cell r="A71" t="str">
            <v>Вязанка Логистический Партнер(Шт)</v>
          </cell>
        </row>
        <row r="72">
          <cell r="A72" t="str">
            <v xml:space="preserve"> 030  Сосиски Вязанка Молочные, Вязанка вискофан МГС, 0.45кг, ПОКОМ</v>
          </cell>
        </row>
        <row r="73">
          <cell r="A73" t="str">
            <v>Логистический Партнер Кг</v>
          </cell>
        </row>
        <row r="74">
          <cell r="A74" t="str">
            <v xml:space="preserve"> 201  Ветчина Нежная ТМ Особый рецепт, (2,5кг), ПОКОМ</v>
          </cell>
        </row>
        <row r="75">
          <cell r="A75" t="str">
            <v xml:space="preserve"> 229  Колбаса Молочная Дугушка, в/у, ВЕС, ТМ Стародворье   ПОКОМ</v>
          </cell>
        </row>
        <row r="76">
          <cell r="A76" t="str">
            <v xml:space="preserve"> 236  Колбаса Рубленая ЗАПЕЧ. Дугушка ТМ Стародворье, вектор, в/к    ПОКОМ</v>
          </cell>
        </row>
        <row r="77">
          <cell r="A77" t="str">
            <v xml:space="preserve"> 239  Колбаса Салями запеч Дугушка, оболочка вектор, ВЕС, ТМ Стародворье  ПОКОМ</v>
          </cell>
        </row>
        <row r="78">
          <cell r="A78" t="str">
            <v xml:space="preserve"> 242  Колбаса Сервелат ЗАПЕЧ.Дугушка ТМ Стародворье, вектор, в/к     ПОКОМ</v>
          </cell>
        </row>
        <row r="79">
          <cell r="A79" t="str">
            <v xml:space="preserve"> 247  Сардельки Нежные, ВЕС.  ПОКОМ</v>
          </cell>
        </row>
        <row r="80">
          <cell r="A80" t="str">
            <v xml:space="preserve"> 248  Сардельки Сочные ТМ Особый рецепт,   ПОКОМ</v>
          </cell>
        </row>
        <row r="81">
          <cell r="A81" t="str">
            <v xml:space="preserve"> 250  Сардельки стародворские с говядиной в обол. NDX, ВЕС. ПОКОМ</v>
          </cell>
        </row>
        <row r="82">
          <cell r="A82" t="str">
            <v xml:space="preserve"> 255  Сосиски Молочные для завтрака ТМ Особый рецепт, п/а МГС, ВЕС, ТМ Стародворье  ПОКОМ</v>
          </cell>
        </row>
        <row r="83">
          <cell r="A83" t="str">
            <v xml:space="preserve"> 263  Шпикачки Стародворские, ВЕС.  ПОКОМ</v>
          </cell>
        </row>
        <row r="84">
          <cell r="A84" t="str">
            <v xml:space="preserve"> 283  Сосиски Сочинки, ВЕС, ТМ Стародворье ПОКОМ</v>
          </cell>
        </row>
        <row r="85">
          <cell r="A85" t="str">
            <v xml:space="preserve"> 297  Колбаса Мясорубская с рубленой грудинкой ВЕС ТМ Стародворье  ПОКОМ</v>
          </cell>
        </row>
        <row r="86">
          <cell r="A86" t="str">
            <v xml:space="preserve"> 305  Колбаса Сервелат Мясорубский с мелкорубленным окороком в/у  ТМ Стародворье ВЕС   ПОКОМ</v>
          </cell>
        </row>
        <row r="87">
          <cell r="A87" t="str">
            <v xml:space="preserve"> 344  Колбаса Сочинка по-европейски с сочной грудинкой ТМ Стародворье, ВЕС ПОКОМ</v>
          </cell>
        </row>
        <row r="88">
          <cell r="A88" t="str">
            <v xml:space="preserve"> 345  Колбаса Сочинка по-фински с сочным окроком ТМ Стародворье ВЕС ПОКОМ</v>
          </cell>
        </row>
        <row r="89">
          <cell r="A89" t="str">
            <v xml:space="preserve"> 346  Колбаса Сочинка зернистая с сочной грудинкой ТМ Стародворье.ВЕС ПОКОМ</v>
          </cell>
        </row>
        <row r="90">
          <cell r="A90" t="str">
            <v xml:space="preserve"> 347  Колбаса Сочинка рубленая с сочным окороком ТМ Стародворье ВЕС ПОКОМ</v>
          </cell>
        </row>
        <row r="91">
          <cell r="A91" t="str">
            <v xml:space="preserve"> 449  Колбаса Дугушка Стародворская ВЕС ТС Дугушка ПОКОМ</v>
          </cell>
        </row>
        <row r="92">
          <cell r="A92" t="str">
            <v xml:space="preserve"> 452  Колбаса Со шпиком ВЕС большой батон ТМ Особый рецепт  ПОКОМ</v>
          </cell>
        </row>
        <row r="93">
          <cell r="A93" t="str">
            <v xml:space="preserve"> 456  Колбаса Филейная ТМ Особый рецепт ВЕС большой батон  ПОКОМ</v>
          </cell>
        </row>
        <row r="94">
          <cell r="A94" t="str">
            <v xml:space="preserve"> 457  Колбаса Молочная ТМ Особый рецепт ВЕС большой батон  ПОКОМ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</row>
        <row r="96">
          <cell r="A96" t="str">
            <v>А_ 347  Колбаса Сочинка рубленая с сочным окороком ТМ Стародворье ВЕС ПОКОМ</v>
          </cell>
        </row>
        <row r="97">
          <cell r="A97" t="str">
            <v>Логистический Партнер Шт</v>
          </cell>
        </row>
        <row r="98">
          <cell r="A98" t="str">
            <v xml:space="preserve"> 273  Сосиски Сочинки с сочной грудинкой, МГС 0.4кг,   ПОКОМ</v>
          </cell>
        </row>
        <row r="99">
          <cell r="A99" t="str">
            <v xml:space="preserve"> 278  Сосиски Сочинки с сочным окороком, МГС 0.4кг,   ПОКОМ</v>
          </cell>
        </row>
        <row r="100">
          <cell r="A100" t="str">
            <v xml:space="preserve"> 281  Сосиски Молочные для завтрака ТМ Особый рецепт, 0,4кг  ПОКОМ</v>
          </cell>
        </row>
        <row r="101">
          <cell r="A101" t="str">
            <v xml:space="preserve"> 296  Колбаса Мясорубская с рубленой грудинкой 0,35кг срез ТМ Стародворье  ПОКОМ</v>
          </cell>
        </row>
        <row r="102">
          <cell r="A102" t="str">
            <v xml:space="preserve"> 301  Сосиски Сочинки по-баварски с сыром,  0.4кг, ТМ Стародворье  ПОКОМ</v>
          </cell>
        </row>
        <row r="103">
          <cell r="A103" t="str">
            <v xml:space="preserve"> 302  Сосиски Сочинки по-баварски,  0.4кг, ТМ Стародворье  ПОКОМ</v>
          </cell>
        </row>
        <row r="104">
          <cell r="A104" t="str">
            <v xml:space="preserve"> 307  Колбаса Сервелат Мясорубский с мелкорубленным окороком 0,35 кг срез ТМ Стародворье   Поком</v>
          </cell>
        </row>
        <row r="105">
          <cell r="A105" t="str">
            <v xml:space="preserve"> 342 Сосиски Сочинки Молочные ТМ Стародворье 0,4 кг ПОКОМ</v>
          </cell>
        </row>
        <row r="106">
          <cell r="A106" t="str">
            <v xml:space="preserve"> 343 Сосиски Сочинки Сливочные ТМ Стародворье  0,4 кг ПОКОМ</v>
          </cell>
        </row>
        <row r="107">
          <cell r="A107" t="str">
            <v>ПОКОМ Логистический Партнер Заморозка</v>
          </cell>
        </row>
        <row r="108">
          <cell r="A108" t="str">
            <v>БОНУС_Готовые чебупели сочные с мясом ТМ Горячая штучка флоу-пак 0,24 кг  ПОКОМ</v>
          </cell>
        </row>
        <row r="109">
          <cell r="A109" t="str">
            <v>БОНУС_Пельмени Бульмени со сливочным маслом ТМ Горячая штучка флоу-пак сфера 0,7 кг .  Поком</v>
          </cell>
        </row>
        <row r="110">
          <cell r="A110" t="str">
            <v>БОНУС_Чебупицца курочка по-итальянски Горячая штучка 0,25 кг зам  ПОКОМ</v>
          </cell>
        </row>
        <row r="111">
          <cell r="A111" t="str">
            <v>* 2-8 УЦЕНКА Бердянск</v>
          </cell>
          <cell r="E111">
            <v>136</v>
          </cell>
        </row>
        <row r="112">
          <cell r="A112" t="str">
            <v>Владимирский стандарт ООО</v>
          </cell>
          <cell r="E112">
            <v>20</v>
          </cell>
        </row>
        <row r="113">
          <cell r="A113" t="str">
            <v>Владимирский стандарт(заморозка) ООО</v>
          </cell>
          <cell r="E113">
            <v>20</v>
          </cell>
        </row>
        <row r="114">
          <cell r="A114" t="str">
            <v>А_Пельмени\Пельмени Со сливочным маслом по-деревенски  ВлСТ</v>
          </cell>
          <cell r="E114">
            <v>20</v>
          </cell>
        </row>
        <row r="115">
          <cell r="A115" t="str">
            <v>НОРД ООО</v>
          </cell>
          <cell r="E115">
            <v>5</v>
          </cell>
        </row>
        <row r="116">
          <cell r="A116" t="str">
            <v>А_Форель н/р 800-1200 Турция (вес)  Норд</v>
          </cell>
          <cell r="E116">
            <v>5</v>
          </cell>
        </row>
        <row r="117">
          <cell r="A117" t="str">
            <v>Останкино ООО</v>
          </cell>
          <cell r="E117">
            <v>11</v>
          </cell>
        </row>
        <row r="118">
          <cell r="A118" t="str">
            <v>ООО Останкино-Краснодар</v>
          </cell>
          <cell r="E118">
            <v>11</v>
          </cell>
        </row>
        <row r="119">
          <cell r="A119" t="str">
            <v>А_7001 КЛАССИЧЕСКИЕ Папа может сар б/о мгс 1*3  Останкино</v>
          </cell>
          <cell r="E119">
            <v>11</v>
          </cell>
        </row>
        <row r="120">
          <cell r="A120" t="str">
            <v>СИТРЕЙД ООО</v>
          </cell>
          <cell r="E120">
            <v>100</v>
          </cell>
        </row>
        <row r="121">
          <cell r="A121" t="str">
            <v>А_Горбуша н/р "ДВ-Рыбак" 1/20  Ситрейд</v>
          </cell>
          <cell r="E121">
            <v>100</v>
          </cell>
        </row>
        <row r="122">
          <cell r="A122" t="str">
            <v>* 2-8 УЦЕНКА Донецк</v>
          </cell>
          <cell r="E122">
            <v>351.72199999999998</v>
          </cell>
        </row>
        <row r="123">
          <cell r="A123" t="str">
            <v>Останкино ООО</v>
          </cell>
          <cell r="E123">
            <v>294.18299999999999</v>
          </cell>
        </row>
        <row r="124">
          <cell r="A124" t="str">
            <v>ООО Останкино-Краснодар</v>
          </cell>
          <cell r="E124">
            <v>111.483</v>
          </cell>
        </row>
        <row r="125">
          <cell r="A125" t="str">
            <v>А_5708 ПОСОЛЬСКАЯ Папа может с/к в/у ОСТАНКИНО</v>
          </cell>
          <cell r="E125">
            <v>106.983</v>
          </cell>
        </row>
        <row r="126">
          <cell r="A126" t="str">
            <v>А_6661 СОЧНЫЙ ГРИЛЬ ПМ сос п/о мгс 1,5*4_Маяк Останкино</v>
          </cell>
          <cell r="E126">
            <v>4.5</v>
          </cell>
        </row>
        <row r="127">
          <cell r="A127" t="str">
            <v>ООО Останкино-Краснодар (ШТ)</v>
          </cell>
          <cell r="E127">
            <v>96</v>
          </cell>
        </row>
        <row r="128">
          <cell r="A128" t="str">
            <v>А_6208 ДЫМОВИЦА ИЗ ЛОПАТКИ ПМ к/в с/н в/у 1/150  Останкино</v>
          </cell>
          <cell r="E128">
            <v>3</v>
          </cell>
        </row>
        <row r="129">
          <cell r="A129" t="str">
            <v>А_6279 КОРЕЙКА ПО-ОСТ.к/в в/с с/н в/у 1/150_45с  Останкино</v>
          </cell>
          <cell r="E129">
            <v>8</v>
          </cell>
        </row>
        <row r="130">
          <cell r="A130" t="str">
            <v>А_6475 Сосиски Папа может 400г С сыром  ОСТАНКИНО</v>
          </cell>
          <cell r="E130">
            <v>2</v>
          </cell>
        </row>
        <row r="131">
          <cell r="A131" t="str">
            <v>А_6765 РУБЛЕНЫЕ сос ц/о мгс 0,36кг 6шт  Останкино</v>
          </cell>
          <cell r="E131">
            <v>60</v>
          </cell>
        </row>
        <row r="132">
          <cell r="A132" t="str">
            <v>А_6925 ВЕТЧ.КЛАССИЧЕСКАЯ в/у 0,6кг 8шт. ОСТАНКИНО</v>
          </cell>
          <cell r="E132">
            <v>19</v>
          </cell>
        </row>
        <row r="133">
          <cell r="A133" t="str">
            <v>А_7103 БЕКОН Останкино с/к с/н в/у 1/180_50с  Останкино</v>
          </cell>
          <cell r="E133">
            <v>2</v>
          </cell>
        </row>
        <row r="134">
          <cell r="A134" t="str">
            <v>А_7236 СЕРВЕЛАТ КАРЕЛЬСКИЙ в/к в/у 0,28кг_209к  Останкино</v>
          </cell>
          <cell r="E134">
            <v>2</v>
          </cell>
        </row>
        <row r="135">
          <cell r="A135" t="str">
            <v>Останкино КОРОВИНО (ВЕС)</v>
          </cell>
          <cell r="E135">
            <v>32</v>
          </cell>
        </row>
        <row r="136">
          <cell r="A136" t="str">
            <v>А_6832 АССОРТИ СЫРОКОПЧЕНЫХ КОЛБАС Коровино в/у  ОСТАНКИНО</v>
          </cell>
          <cell r="E136">
            <v>20</v>
          </cell>
        </row>
        <row r="137">
          <cell r="A137" t="str">
            <v>А_6861 ДОМАШНИЙ РЕЦЕПТ Коровино вар п/о  Останкино</v>
          </cell>
          <cell r="E137">
            <v>12</v>
          </cell>
        </row>
        <row r="138">
          <cell r="A138" t="str">
            <v>Останкино СЫР</v>
          </cell>
          <cell r="E138">
            <v>54.7</v>
          </cell>
        </row>
        <row r="139">
          <cell r="A139" t="str">
            <v>А_3323 Сыр Российский цилиндр 1/4 пленка ЮКМП м.д.ж. 50%  ОСТАНКИНО</v>
          </cell>
          <cell r="E139">
            <v>1.7</v>
          </cell>
        </row>
        <row r="140">
          <cell r="A140" t="str">
            <v>А_Сыр Косичка сырная 45% 100г/8шт Папа Может Останкино</v>
          </cell>
          <cell r="E140">
            <v>50</v>
          </cell>
        </row>
        <row r="141">
          <cell r="A141" t="str">
            <v>А_Сыр рассольный жирный Чечил 45% 100 гр  ОСТАНКИНО</v>
          </cell>
          <cell r="E141">
            <v>3</v>
          </cell>
        </row>
        <row r="142">
          <cell r="A142" t="str">
            <v>ПОКОМ Логистический Партнер</v>
          </cell>
          <cell r="E142">
            <v>57.539000000000001</v>
          </cell>
        </row>
        <row r="143">
          <cell r="A143" t="str">
            <v>Логистический Партнер Кг</v>
          </cell>
          <cell r="E143">
            <v>24.539000000000001</v>
          </cell>
        </row>
        <row r="144">
          <cell r="A144" t="str">
            <v>А_ 347  Колбаса Сочинка рубленая с сочным окороком ТМ Стародворье ВЕС ПОКОМ</v>
          </cell>
          <cell r="E144">
            <v>24.539000000000001</v>
          </cell>
        </row>
        <row r="145">
          <cell r="A145" t="str">
            <v>Логистический Партнер Шт</v>
          </cell>
          <cell r="E145">
            <v>33</v>
          </cell>
        </row>
        <row r="146">
          <cell r="A146" t="str">
            <v>А_ 544  Сосиски Мясные для гриля ТС Ядрена копоть 0,3 кг  ПОКОМ</v>
          </cell>
          <cell r="E146">
            <v>10</v>
          </cell>
        </row>
        <row r="147">
          <cell r="A147" t="str">
            <v>А_329  Сардельки Сочинки с сыром Стародворье ТМ, 0,4 кг. ПОКОМ</v>
          </cell>
          <cell r="E147">
            <v>23</v>
          </cell>
        </row>
        <row r="148">
          <cell r="A148" t="str">
            <v>* 2-8 УЦЕНКА Луганск</v>
          </cell>
          <cell r="E148">
            <v>5</v>
          </cell>
        </row>
        <row r="149">
          <cell r="A149" t="str">
            <v>ПОКОМ Логистический Партнер</v>
          </cell>
          <cell r="E149">
            <v>5</v>
          </cell>
        </row>
        <row r="150">
          <cell r="A150" t="str">
            <v>Вязанка Логистический Партнер(Шт)</v>
          </cell>
          <cell r="E150">
            <v>5</v>
          </cell>
        </row>
        <row r="151">
          <cell r="A151" t="str">
            <v>А_ 405  Сардельки Сливушки ТМ Вязанка в оболочке айпил 0,33 кг. ПОКОМ</v>
          </cell>
          <cell r="E151">
            <v>5</v>
          </cell>
        </row>
        <row r="152">
          <cell r="A152" t="str">
            <v>* 2-8 УЦЕНКА Мелитополь</v>
          </cell>
          <cell r="E152">
            <v>17.11</v>
          </cell>
        </row>
        <row r="153">
          <cell r="A153" t="str">
            <v>Останкино ООО</v>
          </cell>
          <cell r="E153">
            <v>17.11</v>
          </cell>
        </row>
        <row r="154">
          <cell r="A154" t="str">
            <v>ООО Останкино-Краснодар</v>
          </cell>
          <cell r="E154">
            <v>4.5999999999999996</v>
          </cell>
        </row>
        <row r="155">
          <cell r="A155" t="str">
            <v>А_6767 РУБЛЕНЫЕ сос ц/о мгс 1*4  Останкино</v>
          </cell>
          <cell r="E155">
            <v>3</v>
          </cell>
        </row>
        <row r="156">
          <cell r="A156" t="str">
            <v>А_7131 БАЛЫКОВАЯ в/к в/у 0,84кг  Останкино</v>
          </cell>
          <cell r="E156">
            <v>1.6</v>
          </cell>
        </row>
        <row r="157">
          <cell r="A157" t="str">
            <v>ООО Останкино-Краснодар (ШТ)</v>
          </cell>
          <cell r="E157">
            <v>6</v>
          </cell>
        </row>
        <row r="158">
          <cell r="A158" t="str">
            <v>7371 БРЕСТСКИЕ сос п/о в/у 0,3кг 8шт. ОСТАНКИНО</v>
          </cell>
          <cell r="E158">
            <v>3</v>
          </cell>
        </row>
        <row r="159">
          <cell r="A159" t="str">
            <v>А_7371 БРЕСТСКИЕ сос п/о в/у 0,3кг 8шт. ОСТАНКИНО</v>
          </cell>
          <cell r="E159">
            <v>3</v>
          </cell>
        </row>
        <row r="160">
          <cell r="A160" t="str">
            <v>Останкино СЫР</v>
          </cell>
          <cell r="E160">
            <v>6.51</v>
          </cell>
        </row>
        <row r="161">
          <cell r="A161" t="str">
            <v>А_3323 Сыр Российский цилиндр 1/4 пленка ЮКМП м.д.ж. 50%  ОСТАНКИНО</v>
          </cell>
          <cell r="E161">
            <v>6.51</v>
          </cell>
        </row>
        <row r="162">
          <cell r="A162" t="str">
            <v>АСП Бердянск Заморозка</v>
          </cell>
          <cell r="E162">
            <v>12693.2</v>
          </cell>
        </row>
        <row r="163">
          <cell r="A163" t="str">
            <v>Останкино ООО</v>
          </cell>
          <cell r="E163">
            <v>404.5</v>
          </cell>
        </row>
        <row r="164">
          <cell r="A164" t="str">
            <v>Останкино (соусы, майонезы)</v>
          </cell>
          <cell r="E164">
            <v>2</v>
          </cell>
        </row>
        <row r="165">
          <cell r="A165" t="str">
            <v>6948270 Майонез провансаль классич.Папа может 372гр с массовой долей жирн. 67% Останкино</v>
          </cell>
          <cell r="E165">
            <v>2</v>
          </cell>
        </row>
        <row r="166">
          <cell r="A166" t="str">
            <v>Останкино Заморозка</v>
          </cell>
          <cell r="E166">
            <v>402.5</v>
          </cell>
        </row>
        <row r="167">
          <cell r="A167" t="str">
            <v>5754 БЛИНЧ.КРУГЛЫЕ С МЯСОМ 4,5кг зам. ПМ ОСТАНКИНО</v>
          </cell>
          <cell r="E167">
            <v>5.5</v>
          </cell>
        </row>
        <row r="168">
          <cell r="A168" t="str">
            <v>5755 БЛИНЧ.КРУГЛЫЕ С ТВОРОГОМ 4,5кг зам. ПМ ОСТАНКИНО</v>
          </cell>
          <cell r="E168">
            <v>5</v>
          </cell>
        </row>
        <row r="169">
          <cell r="A169" t="str">
            <v>5897 БЛИНЧ.КРУГЛЫЕ С ГРУШЕЙ пл.1/420 зам.   ОСТАНКИНО</v>
          </cell>
          <cell r="E169">
            <v>9</v>
          </cell>
        </row>
        <row r="170">
          <cell r="A170" t="str">
            <v>6148 БЛИНЧ.КРУГЛЫЕ С ВЕТЧ.И СЫР. ПМ 1/300 зам. ОСТАНКИНО</v>
          </cell>
          <cell r="E170">
            <v>43</v>
          </cell>
        </row>
        <row r="171">
          <cell r="A171" t="str">
            <v>6149 БЛИНЧ.КРУГЛЫЕ С ПЕЧЕНЬЮ ПМ 1/300 зам. ОСТАНКИНО</v>
          </cell>
          <cell r="E171">
            <v>51</v>
          </cell>
        </row>
        <row r="172">
          <cell r="A172" t="str">
            <v>6168 Блинчики с мясом пл. 1/350 зам. ОСТАНКИНО</v>
          </cell>
          <cell r="E172">
            <v>98</v>
          </cell>
        </row>
        <row r="173">
          <cell r="A173" t="str">
            <v>6202 БЛИНЧ.КРУГЛЫЕ С ТВОРОГОМ ПМ 1/300 зам. ОСТАНКИНО</v>
          </cell>
          <cell r="E173">
            <v>94</v>
          </cell>
        </row>
        <row r="174">
          <cell r="A174" t="str">
            <v>6209 Блинчики с куриным мясом пл. 1/350 зам. ОСТАНКИНО</v>
          </cell>
          <cell r="E174">
            <v>81</v>
          </cell>
        </row>
        <row r="175">
          <cell r="A175" t="str">
            <v>6819 БЛИНЧ.КРУГЛЫЕ С САД.ЯБЛОК. пл. 1/300 зам. ОСТАНКИНО</v>
          </cell>
          <cell r="E175">
            <v>6</v>
          </cell>
        </row>
        <row r="176">
          <cell r="A176" t="str">
            <v>7216 СОЧНЫЕ СО СЛ.МАСЛ.ПМ пельм пл.0.7кг зам. ОСТАНКИНО</v>
          </cell>
          <cell r="E176">
            <v>10</v>
          </cell>
        </row>
        <row r="177">
          <cell r="A177" t="str">
            <v>ПОКОМ Логистический Партнер</v>
          </cell>
          <cell r="E177">
            <v>12288.7</v>
          </cell>
        </row>
        <row r="178">
          <cell r="A178" t="str">
            <v>Заморозка Зареченские Логистический партнер (кг)</v>
          </cell>
          <cell r="E178">
            <v>585</v>
          </cell>
        </row>
        <row r="179">
          <cell r="A179" t="str">
            <v>Мини-сосиски в тесте 5кг ВЕС ТМ Зареченские  ПОКОМ</v>
          </cell>
          <cell r="E179">
            <v>95</v>
          </cell>
        </row>
        <row r="180">
          <cell r="A180" t="str">
            <v>Мини-шарики с курочкой и сыром ТМ Зареченские ВЕС ПОКОМ</v>
          </cell>
          <cell r="E180">
            <v>51.8</v>
          </cell>
        </row>
        <row r="181">
          <cell r="A181" t="str">
            <v>Наггетсы Хрустящие ТМ Зареченские ТС Зареченские продукты. Поком</v>
          </cell>
          <cell r="E181">
            <v>26</v>
          </cell>
        </row>
        <row r="182">
          <cell r="A182" t="str">
            <v>Пирожки с мясом 3,7кг ВЕС ТМ Зареченские  ПОКОМ</v>
          </cell>
          <cell r="E182">
            <v>40.9</v>
          </cell>
        </row>
        <row r="183">
          <cell r="A183" t="str">
            <v>Чебуреки Мясные вес 2,7 кг ТМ Зареченские ТС Зареченские продукты   Поком</v>
          </cell>
          <cell r="E183">
            <v>53.2</v>
          </cell>
        </row>
        <row r="184">
          <cell r="A184" t="str">
            <v>Чебуреки сочные ТМ Зареченские ТС Зареченские продукты.  Поком</v>
          </cell>
          <cell r="E184">
            <v>318.10000000000002</v>
          </cell>
        </row>
        <row r="185">
          <cell r="A185" t="str">
            <v>Заморозка Зареченские Логистический партнер (шт)</v>
          </cell>
          <cell r="E185">
            <v>190</v>
          </cell>
        </row>
        <row r="186">
          <cell r="A186" t="str">
            <v>Пельмени Домашние со сливочным маслом ТМ Зареченские  продукты флоу-пак сфера 0,7 кг.  Поком</v>
          </cell>
          <cell r="E186">
            <v>190</v>
          </cell>
        </row>
        <row r="187">
          <cell r="A187" t="str">
            <v>ПОКОМ Логистический Партнер Заморозка</v>
          </cell>
          <cell r="E187">
            <v>11513.7</v>
          </cell>
        </row>
        <row r="188">
          <cell r="A188" t="str">
            <v>БОНУС_Готовые чебупели сочные с мясом ТМ Горячая штучка флоу-пак 0,24 кг  ПОКОМ</v>
          </cell>
          <cell r="E188">
            <v>45</v>
          </cell>
        </row>
        <row r="189">
          <cell r="A189" t="str">
            <v>БОНУС_Пельмени Бульмени со сливочным маслом ТМ Горячая штучка флоу-пак сфера 0,7 кг .  Поком</v>
          </cell>
          <cell r="E189">
            <v>78</v>
          </cell>
        </row>
        <row r="190">
          <cell r="A190" t="str">
            <v>БОНУС_Чебупицца курочка по-итальянски Горячая штучка 0,25 кг зам  ПОКОМ</v>
          </cell>
          <cell r="E190">
            <v>26</v>
          </cell>
        </row>
        <row r="191">
          <cell r="A191" t="str">
            <v>Бульмени хрустящие с мясом ТМ Горячая штучка ТС Бульмени ГШ сфера 0,22 кг  Поком</v>
          </cell>
          <cell r="E191">
            <v>29</v>
          </cell>
        </row>
        <row r="192">
          <cell r="A192" t="str">
            <v>Готовые бельмеши сочные с мясом ТМ Горячая штучка 0,3кг зам  ПОКОМ</v>
          </cell>
          <cell r="E192">
            <v>167</v>
          </cell>
        </row>
        <row r="193">
          <cell r="A193" t="str">
            <v>Готовые чебуманы с говядиной ТМ горячая штучка 0,28 кг.  Поком</v>
          </cell>
          <cell r="E193">
            <v>221</v>
          </cell>
        </row>
        <row r="194">
          <cell r="A194" t="str">
            <v>Готовые чебупели острые с мясом ТМ Горячая штучка флоу-пак 0,24 кг  Поком</v>
          </cell>
          <cell r="E194">
            <v>440</v>
          </cell>
        </row>
        <row r="195">
          <cell r="A195" t="str">
            <v>Готовые чебупели с ветчиной и сыром ТМ Горячая штучка флоу-пак 0,24 кг.  ПОКОМ</v>
          </cell>
          <cell r="E195">
            <v>391</v>
          </cell>
        </row>
        <row r="196">
          <cell r="A196" t="str">
            <v>Готовые чебупели с мясом ТМ Горячая штучка 0,24 кг  ПОКОМ</v>
          </cell>
          <cell r="E196">
            <v>291</v>
          </cell>
        </row>
        <row r="197">
          <cell r="A197" t="str">
            <v>Готовые чебупели сочные с мясом ТМ Горячая штучка флоу-пак 0,24 кг  ПОКОМ</v>
          </cell>
          <cell r="E197">
            <v>328</v>
          </cell>
        </row>
        <row r="198">
          <cell r="A198" t="str">
            <v>Готовые чебупели сочные с мясом ТМ Горячая штучка флоу-пак 0,48 кг XXL  Поком</v>
          </cell>
          <cell r="E198">
            <v>24</v>
          </cell>
        </row>
        <row r="199">
          <cell r="A199" t="str">
            <v>Готовые чебуреки с мясом ТМ Горячая штучка 0,09 кг флоу-пак ПОКОМ</v>
          </cell>
          <cell r="E199">
            <v>2</v>
          </cell>
        </row>
        <row r="200">
          <cell r="A200" t="str">
            <v>Готовые чебуреки со свининой и говядиной ТМ Горячая штучка ТС Базовый ассортимент 0,36 кг  ПОКОМ</v>
          </cell>
          <cell r="E200">
            <v>174</v>
          </cell>
        </row>
        <row r="201">
          <cell r="A201" t="str">
            <v>ЖАР-ладушки с клубникой и вишней ТМ Стародворье 0,2 кг.  Поком</v>
          </cell>
          <cell r="E201">
            <v>4</v>
          </cell>
        </row>
        <row r="202">
          <cell r="A202" t="str">
            <v>Жареные вареники с картофелем и беконом ТМ Стародворье 0,2 кг  ПОКОМ</v>
          </cell>
          <cell r="E202">
            <v>12</v>
          </cell>
        </row>
        <row r="203">
          <cell r="A203" t="str">
            <v>Круггетсы с сырным соусом ТМ Горячая штучка ТС Круггетсы флоу-пак 0,2 кг  ПОКОМ</v>
          </cell>
          <cell r="E203">
            <v>261</v>
          </cell>
        </row>
        <row r="204">
          <cell r="A204" t="str">
            <v>Круггетсы сочные ТМ Горячая штучка ТС Круггетсы флоу-пак  0,2 кг.  ПОКОМ</v>
          </cell>
          <cell r="E204">
            <v>154</v>
          </cell>
        </row>
        <row r="205">
          <cell r="A205" t="str">
            <v>Наггетсы из печи 0,25кг ТМ Вязанка замор.  ПОКОМ</v>
          </cell>
          <cell r="E205">
            <v>261</v>
          </cell>
        </row>
        <row r="206">
          <cell r="A206" t="str">
            <v>Наггетсы Нагетосы Сочная курочка со сметаной и зеленью ТМ Горячая штучка флоу-пак 0,25 кг  Поком</v>
          </cell>
          <cell r="E206">
            <v>171</v>
          </cell>
        </row>
        <row r="207">
          <cell r="A207" t="str">
            <v>Наггетсы Нагетосы Сочная курочка ТМ Горячая штучка 0,25 кг зам  ПОКОМ</v>
          </cell>
          <cell r="E207">
            <v>391</v>
          </cell>
        </row>
        <row r="208">
          <cell r="A208" t="str">
            <v>Наггетсы с индейкой 0,25кг ТМ Вязанка ТС Из печи Сливушки ПОКОМ</v>
          </cell>
          <cell r="E208">
            <v>338</v>
          </cell>
        </row>
        <row r="209">
          <cell r="A209" t="str">
            <v>Наггетсы с куриным филе и сыром ТМ Вязанка ТС Из печи Сливушки 0,25 кг.  Поком</v>
          </cell>
          <cell r="E209">
            <v>222</v>
          </cell>
        </row>
        <row r="210">
          <cell r="A210" t="str">
            <v>Наггетсы Хрустящие ТМ Стародворье с сочной курочкой 0,23 кг  ПОКОМ</v>
          </cell>
          <cell r="E210">
            <v>126</v>
          </cell>
        </row>
        <row r="211">
          <cell r="A211" t="str">
            <v>Пекерсы с индейкой в сливочном соусе ТМ Горячая штучка 0,25 кг зам  ПОКОМ</v>
          </cell>
          <cell r="E211">
            <v>12</v>
          </cell>
        </row>
        <row r="212">
          <cell r="A212" t="str">
            <v>Пельмени Grandmeni с говядиной и свининой ТМ Горячаяштучка флоу-па классическая форма 0,7 кг.  Поком</v>
          </cell>
          <cell r="E212">
            <v>57</v>
          </cell>
        </row>
        <row r="213">
          <cell r="A213" t="str">
            <v>Пельмени Grandmeni с говядиной ТМ Горячаяштучка флоу-пак сфера 0,7 кг.  Поком</v>
          </cell>
          <cell r="E213">
            <v>74</v>
          </cell>
        </row>
        <row r="214">
          <cell r="A214" t="str">
            <v>Пельмени Grandmeni со сливочным маслом  ТМ Горячая штучка флоу-пак сфера 0,7 кг.  Поком</v>
          </cell>
          <cell r="E214">
            <v>61</v>
          </cell>
        </row>
        <row r="215">
          <cell r="A215" t="str">
            <v>Пельмени Бигбули #МЕГАВКУСИЩЕ с сочной грудинкой  ТМ Горячая штучка  флоу-пак сфера 0,7 кг.  Поком</v>
          </cell>
          <cell r="E215">
            <v>307</v>
          </cell>
        </row>
        <row r="216">
          <cell r="A216" t="str">
            <v>Пельмени Бигбули с мясом ТМ Горячая штучка БУЛЬМЕНИ ТС Бигбули ГШ  флоу-пак сфера 0,7.   Поком</v>
          </cell>
          <cell r="E216">
            <v>82</v>
          </cell>
        </row>
        <row r="217">
          <cell r="A217" t="str">
            <v>Пельмени Бигбули со сливочным маслом  ТС Бигбули ГШ#МЕГАМАСЛИЩЕ флоу-пак сфера 0,7.  Поком</v>
          </cell>
          <cell r="E217">
            <v>184</v>
          </cell>
        </row>
        <row r="218">
          <cell r="A218" t="str">
            <v>Пельмени Бульмени мини с мясом и оливковым маслом  ТС Бульмени ГШ флоу-пак сфера 0,7кг  Поком</v>
          </cell>
          <cell r="E218">
            <v>234</v>
          </cell>
        </row>
        <row r="219">
          <cell r="A219" t="str">
            <v>Пельмени Бульмени с говядиной и свининой Наваристые Горячая штучка ВЕС  ПОКОМ</v>
          </cell>
          <cell r="E219">
            <v>305</v>
          </cell>
        </row>
        <row r="220">
          <cell r="A220" t="str">
            <v>Пельмени Бульмени с говядиной и свининой ТМ Горячая штучка  флоу-пак сфера 0,4 кг  Поком</v>
          </cell>
          <cell r="E220">
            <v>193</v>
          </cell>
        </row>
        <row r="221">
          <cell r="A221" t="str">
            <v>Пельмени Бульмени с говядиной и свининой ТМ Горячая штучка БУЛЬМЕНИ  флоу-пак сфера 0,7 кг.  Поком</v>
          </cell>
          <cell r="E221">
            <v>580</v>
          </cell>
        </row>
        <row r="222">
          <cell r="A222" t="str">
            <v>Пельмени Бульмени со сливочным маслом ТМ Горячая штучка  флоу-пак сфера 0,4 кг .  Поком</v>
          </cell>
          <cell r="E222">
            <v>256</v>
          </cell>
        </row>
        <row r="223">
          <cell r="A223" t="str">
            <v>Пельмени Бульмени со сливочным маслом ТМ Горячая штучка флоу-пак сфера 0,7 кг .  Поком</v>
          </cell>
          <cell r="E223">
            <v>695</v>
          </cell>
        </row>
        <row r="224">
          <cell r="A224" t="str">
            <v>Пельмени Мясные с говядиной ТМ Стародворье сфера флоу-пак 1 кг  ПОКОМ</v>
          </cell>
          <cell r="E224">
            <v>166</v>
          </cell>
        </row>
        <row r="225">
          <cell r="A225" t="str">
            <v>Пельмени Отборные из свинины и говядины 0,9 кг ТМ Стародворье ТС Медвежье ушко  ПОКОМ</v>
          </cell>
          <cell r="E225">
            <v>121</v>
          </cell>
        </row>
        <row r="226">
          <cell r="A226" t="str">
            <v>Пельмени Отборные с говядиной 0,9 кг НОВА ТМ Стародворье ТС Медвежье ушко  ПОКОМ</v>
          </cell>
          <cell r="E226">
            <v>68</v>
          </cell>
        </row>
        <row r="227">
          <cell r="A227" t="str">
            <v>Пельмени С говядиной и свининой, ВЕС, ТМ Славница сфера пуговки  ПОКОМ</v>
          </cell>
          <cell r="E227">
            <v>735</v>
          </cell>
        </row>
        <row r="228">
          <cell r="A228" t="str">
            <v>Пельмени Со свининой и говядиной ТМ Особый рецепт Любимая ложка 1,0 кг  ПОКОМ</v>
          </cell>
          <cell r="E228">
            <v>140</v>
          </cell>
        </row>
        <row r="229">
          <cell r="A229" t="str">
            <v>Хотстеры Васаби-чили ТМ Горячая штучка ТС Хотстеры 0,23кг жареные ПОКОМ</v>
          </cell>
          <cell r="E229">
            <v>119</v>
          </cell>
        </row>
        <row r="230">
          <cell r="A230" t="str">
            <v>Хотстеры с сыром ТМ Горячая штучка ТС Хотстеры 0,25кг.  Поком</v>
          </cell>
          <cell r="E230">
            <v>173</v>
          </cell>
        </row>
        <row r="231">
          <cell r="A231" t="str">
            <v>Хотстеры ТМ Горячая штучка ТС Хотстеры 0,25 кг зам  ПОКОМ</v>
          </cell>
          <cell r="E231">
            <v>302</v>
          </cell>
        </row>
        <row r="232">
          <cell r="A232" t="str">
            <v>Хрустипай апельсин имбирь ТМ Горячая штучка 0,18 кг  ПОКОМ</v>
          </cell>
          <cell r="E232">
            <v>3</v>
          </cell>
        </row>
        <row r="233">
          <cell r="A233" t="str">
            <v>Хрустипай манго маракуйя ТМ Горячая штучка 0,18 кг  ПОКОМ</v>
          </cell>
          <cell r="E233">
            <v>8</v>
          </cell>
        </row>
        <row r="234">
          <cell r="A234" t="str">
            <v>Хрустипай манго чили ТМ Горячая штучка 0,18кг с начинкой ПОКОМ</v>
          </cell>
          <cell r="E234">
            <v>1</v>
          </cell>
        </row>
        <row r="235">
          <cell r="A235" t="str">
            <v>Хрустящие крылышки острые к пиву ТМ Горячая штучка 0,3кг зам  ПОКОМ</v>
          </cell>
          <cell r="E235">
            <v>407</v>
          </cell>
        </row>
        <row r="236">
          <cell r="A236" t="str">
            <v>Хрустящие крылышки ТМ Горячая штучка 0,3 кг зам  ПОКОМ</v>
          </cell>
          <cell r="E236">
            <v>404</v>
          </cell>
        </row>
        <row r="237">
          <cell r="A237" t="str">
            <v>Чебупели Курочка гриль Базовый ассортимент Фикс.вес 0,3 Пакет Горячая штучка  Поком</v>
          </cell>
          <cell r="E237">
            <v>57</v>
          </cell>
        </row>
        <row r="238">
          <cell r="A238" t="str">
            <v>Чебупицца курочка по-итальянски Горячая штучка 0,25 кг зам  ПОКОМ</v>
          </cell>
          <cell r="E238">
            <v>606</v>
          </cell>
        </row>
        <row r="239">
          <cell r="A239" t="str">
            <v>Чебупицца Пепперони ТМ Горячая штучка ТС Чебупицца 0.25кг зам  ПОКОМ</v>
          </cell>
          <cell r="E239">
            <v>570</v>
          </cell>
        </row>
        <row r="240">
          <cell r="A240" t="str">
            <v>Чебупицца со вкусом 4 сыра 0,2кг ТМ Горячая штучка ТС Foodgital  ПОКОМ</v>
          </cell>
          <cell r="E240">
            <v>176</v>
          </cell>
        </row>
        <row r="241">
          <cell r="A241" t="str">
            <v>Чебупицца со вкусом Том ям ТМ Горячая штучка ТС Чебупицца 0,23кг жареные ПОКОМ</v>
          </cell>
          <cell r="E241">
            <v>214</v>
          </cell>
        </row>
        <row r="242">
          <cell r="A242" t="str">
            <v>Чебуреки сочные, ВЕС, куриные жарен. зам  ПОКОМ</v>
          </cell>
          <cell r="E242">
            <v>47.7</v>
          </cell>
        </row>
        <row r="243">
          <cell r="A243" t="str">
            <v>АСП Бердянск Молоко Останкино</v>
          </cell>
          <cell r="E243">
            <v>4901.3999999999996</v>
          </cell>
        </row>
        <row r="244">
          <cell r="A244" t="str">
            <v>Останкино ООО</v>
          </cell>
          <cell r="E244">
            <v>4901.3999999999996</v>
          </cell>
        </row>
        <row r="245">
          <cell r="A245" t="str">
            <v>Останкино (соусы, майонезы)</v>
          </cell>
          <cell r="E245">
            <v>967</v>
          </cell>
        </row>
        <row r="246">
          <cell r="A246" t="str">
            <v>6948249 Майонезный соус провансаль 824,5гр деликатес.с массовой долей жирн.25% Коровино Останкино</v>
          </cell>
          <cell r="E246">
            <v>22</v>
          </cell>
        </row>
        <row r="247">
          <cell r="A247" t="str">
            <v>6948256 Майонез провансаль классич.оливковый Папа может 372гр с массовой долей жирн. 67% Останкино</v>
          </cell>
          <cell r="E247">
            <v>159</v>
          </cell>
        </row>
        <row r="248">
          <cell r="A248" t="str">
            <v>6948263 Майонез провансаль классич.оливковый Папа может 744гр с массовой долей жирн. 67% Останкино</v>
          </cell>
          <cell r="E248">
            <v>133</v>
          </cell>
        </row>
        <row r="249">
          <cell r="A249" t="str">
            <v>6948270 Майонез провансаль классич.Папа может 372гр с массовой долей жирн. 67% Останкино</v>
          </cell>
          <cell r="E249">
            <v>356</v>
          </cell>
        </row>
        <row r="250">
          <cell r="A250" t="str">
            <v>6948287 Майонез провансаль классич.Папа может 744гр с массовой долей жирн. 67% Останкино</v>
          </cell>
          <cell r="E250">
            <v>297</v>
          </cell>
        </row>
        <row r="251">
          <cell r="A251" t="str">
            <v>Останкино Заморозка</v>
          </cell>
          <cell r="E251">
            <v>1</v>
          </cell>
        </row>
        <row r="252">
          <cell r="A252" t="str">
            <v>6149 БЛИНЧ.КРУГЛЫЕ С ПЕЧЕНЬЮ ПМ 1/300 зам. ОСТАНКИНО</v>
          </cell>
          <cell r="E252">
            <v>1</v>
          </cell>
        </row>
        <row r="253">
          <cell r="A253" t="str">
            <v>Останкино СЫР</v>
          </cell>
          <cell r="E253">
            <v>3933.4</v>
          </cell>
        </row>
        <row r="254">
          <cell r="A254" t="str">
            <v>3323 Сыр Российский цилиндр 1/4 пленка ЮКМП м.д.ж. 50%  ОСТАНКИНО</v>
          </cell>
          <cell r="E254">
            <v>49.3</v>
          </cell>
        </row>
        <row r="255">
          <cell r="A255" t="str">
            <v>4421577 Спред растительно-сливочный "Сливочный вкус" 82,5% 180гр  Останкино</v>
          </cell>
          <cell r="E255">
            <v>30</v>
          </cell>
        </row>
        <row r="256">
          <cell r="A256" t="str">
            <v>4421584 Спред растительно-сливочный "Сливочный вкус" 72,5% 180гр  Останкино</v>
          </cell>
          <cell r="E256">
            <v>38</v>
          </cell>
        </row>
        <row r="257">
          <cell r="A257" t="str">
            <v>4931  Сыр полутвердый "Купеческий" с ароматом топленого молока, с м.д.ж. 50% ОСТАНКИНО</v>
          </cell>
          <cell r="E257">
            <v>30.2</v>
          </cell>
        </row>
        <row r="258">
          <cell r="A258" t="str">
            <v>9988421 Творожный Сыр 60 % С маринованными огурчиками и укропом  Останкино</v>
          </cell>
          <cell r="E258">
            <v>8</v>
          </cell>
        </row>
        <row r="259">
          <cell r="A259" t="str">
            <v>9988438 Плавленый Сыр 45% "С ветчиной" СТМ"ПапаМожет" 180гр  Останкино</v>
          </cell>
          <cell r="E259">
            <v>21</v>
          </cell>
        </row>
        <row r="260">
          <cell r="A260" t="str">
            <v>9988445 Плавленый Сыр 45%"С грибами" СТМ"ПапаМожет" 180 гр  Останкино</v>
          </cell>
          <cell r="E260">
            <v>40</v>
          </cell>
        </row>
        <row r="261">
          <cell r="A261" t="str">
            <v>Cыр Перлини 40% 100гр (8шт)  Останкино</v>
          </cell>
          <cell r="E261">
            <v>2</v>
          </cell>
        </row>
        <row r="262">
          <cell r="A262" t="str">
            <v>Cыр Перлини копченый 40% 100гр (8шт)  Останкино</v>
          </cell>
          <cell r="E262">
            <v>2</v>
          </cell>
        </row>
        <row r="263">
          <cell r="A263" t="str">
            <v>Cыр Перлини со вкусом Васаби 40% 100гр (8шт)  Останкино</v>
          </cell>
          <cell r="E263">
            <v>25</v>
          </cell>
        </row>
        <row r="264">
          <cell r="A264" t="str">
            <v>А_Сыр Боккончини копченый 40% 100 гр.  ОСТАНКИНО</v>
          </cell>
          <cell r="E264">
            <v>5</v>
          </cell>
        </row>
        <row r="265">
          <cell r="A265" t="str">
            <v>Масло "Папа может" 82,5% 180гр  Останкино</v>
          </cell>
          <cell r="E265">
            <v>337</v>
          </cell>
        </row>
        <row r="266">
          <cell r="A266" t="str">
            <v>Масло сливочное 72,5 % 180 гр.(10 шт) СЛАВЯНА  Останкино</v>
          </cell>
          <cell r="E266">
            <v>733</v>
          </cell>
        </row>
        <row r="267">
          <cell r="A267" t="str">
            <v>Плавленый сыр "Шоколадный" 30% 180гр Папа Может Останкино</v>
          </cell>
          <cell r="E267">
            <v>5</v>
          </cell>
        </row>
        <row r="268">
          <cell r="A268" t="str">
            <v>Плавленый Сыр колбасный копченый 40% СТМ"ПапаМожет"400гр  Останкино</v>
          </cell>
          <cell r="E268">
            <v>11</v>
          </cell>
        </row>
        <row r="269">
          <cell r="A269" t="str">
            <v>Продукт белково-жировой Сметанковый 50% ВЕС Коровино Останкино</v>
          </cell>
          <cell r="E269">
            <v>3.5</v>
          </cell>
        </row>
        <row r="270">
          <cell r="A270" t="str">
            <v>Российский сливочный 45% ТМ Папа Может, брус (2шт)  Останкино</v>
          </cell>
          <cell r="E270">
            <v>1.5</v>
          </cell>
        </row>
        <row r="271">
          <cell r="A271" t="str">
            <v>Сыр "Пармезан" 40% кусок 180 гр  ОСТАНКИНО</v>
          </cell>
          <cell r="E271">
            <v>120</v>
          </cell>
        </row>
        <row r="272">
          <cell r="A272" t="str">
            <v>Сыр Боккончини копченый 40% 100 гр.  ОСТАНКИНО</v>
          </cell>
          <cell r="E272">
            <v>76</v>
          </cell>
        </row>
        <row r="273">
          <cell r="A273" t="str">
            <v>Сыр Косичка сырная 45% 100г/8шт Папа Может Останкино</v>
          </cell>
          <cell r="E273">
            <v>195</v>
          </cell>
        </row>
        <row r="274">
          <cell r="A274" t="str">
            <v>Сыр Косичка сырная копченая 43% 100г/8шт Папа Может Останкино</v>
          </cell>
          <cell r="E274">
            <v>134</v>
          </cell>
        </row>
        <row r="275">
          <cell r="A275" t="str">
            <v>Сыр ПАПА МОЖЕТ "Гауда Голд" 45 % 180 гр (10шт) Останкино</v>
          </cell>
          <cell r="E275">
            <v>163</v>
          </cell>
        </row>
        <row r="276">
          <cell r="A276" t="str">
            <v>Сыр ПАПА МОЖЕТ "Голландский традиционный" 45% 180 гр (10шт)  Останкино</v>
          </cell>
          <cell r="E276">
            <v>438</v>
          </cell>
        </row>
        <row r="277">
          <cell r="A277" t="str">
            <v>Сыр ПАПА МОЖЕТ "Министерский" 180 г фасованный массовая  Останкино</v>
          </cell>
          <cell r="E277">
            <v>99</v>
          </cell>
        </row>
        <row r="278">
          <cell r="A278" t="str">
            <v>Сыр ПАПА МОЖЕТ "Папин завтрак"  45% 180 г  Останкино</v>
          </cell>
          <cell r="E278">
            <v>71</v>
          </cell>
        </row>
        <row r="279">
          <cell r="A279" t="str">
            <v>Сыр ПАПА МОЖЕТ "Российский традиционный"45 % 180 г Останкино</v>
          </cell>
          <cell r="E279">
            <v>345</v>
          </cell>
        </row>
        <row r="280">
          <cell r="A280" t="str">
            <v>Сыр ПАПА МОЖЕТ "Тильзитер" фасованный массовая доля жира в сухом веществе 45%, 180г  Останкино</v>
          </cell>
          <cell r="E280">
            <v>122</v>
          </cell>
        </row>
        <row r="281">
          <cell r="A281" t="str">
            <v>Сыр Папа Может Министерский 45% 200г  Останкино</v>
          </cell>
          <cell r="E281">
            <v>1</v>
          </cell>
        </row>
        <row r="282">
          <cell r="A282" t="str">
            <v>Сыр Папа Может Российский  50% 200гр    Останкино</v>
          </cell>
          <cell r="E282">
            <v>1</v>
          </cell>
        </row>
        <row r="283">
          <cell r="A283" t="str">
            <v>Сыр плавленный Сливочный ж.45% 180г ТМ Папа может (16шт)  Останкино</v>
          </cell>
          <cell r="E283">
            <v>96</v>
          </cell>
        </row>
        <row r="284">
          <cell r="A284" t="str">
            <v>Сыр Плавленый Сливочный Папа Может 55% 190гр  Останкино</v>
          </cell>
          <cell r="E284">
            <v>5</v>
          </cell>
        </row>
        <row r="285">
          <cell r="A285" t="str">
            <v>Сыр полутвердый "Гауда" с массовой долей жира в пересчете на сухое вещество 45%,   Останкино</v>
          </cell>
          <cell r="E285">
            <v>6.5</v>
          </cell>
        </row>
        <row r="286">
          <cell r="A286" t="str">
            <v>Сыр полутвердый "Голландский" с массовой долей жира в пересчете на сухое  Останкино</v>
          </cell>
          <cell r="E286">
            <v>12.5</v>
          </cell>
        </row>
        <row r="287">
          <cell r="A287" t="str">
            <v>Сыр полутвердый "Российский" с массовой долей жира 50%  Останкино</v>
          </cell>
          <cell r="E287">
            <v>10.9</v>
          </cell>
        </row>
        <row r="288">
          <cell r="A288" t="str">
            <v>Сыр полутвердый "Сметанковый", с масс долей жира в пересчете на сухое вещес50%, брус  Останкино</v>
          </cell>
          <cell r="E288">
            <v>43.5</v>
          </cell>
        </row>
        <row r="289">
          <cell r="A289" t="str">
            <v>Сыр полутвердый "Тильзитер" с массовой долей жира в пересчете на сухое вещество 45%. 1/5  Останкино</v>
          </cell>
          <cell r="E289">
            <v>3.5</v>
          </cell>
        </row>
        <row r="290">
          <cell r="A290" t="str">
            <v>Сыр рассольный жирный Чечил 45% 100 гр  ОСТАНКИНО</v>
          </cell>
          <cell r="E290">
            <v>204</v>
          </cell>
        </row>
        <row r="291">
          <cell r="A291" t="str">
            <v>Сыр рассольный жирный Чечил копченый 43% 100 гр  Останкино</v>
          </cell>
          <cell r="E291">
            <v>254</v>
          </cell>
        </row>
        <row r="292">
          <cell r="A292" t="str">
            <v>Сыр Скаморца свежий 100 гр.  ОСТАНКИНО</v>
          </cell>
          <cell r="E292">
            <v>21</v>
          </cell>
        </row>
        <row r="293">
          <cell r="A293" t="str">
            <v>Сыр Творожный с зеленью 60% Папа может 140 гр.  Останкино</v>
          </cell>
          <cell r="E293">
            <v>19</v>
          </cell>
        </row>
        <row r="294">
          <cell r="A294" t="str">
            <v>Сыр творожный Сливочный 140 гр.  Останкино</v>
          </cell>
          <cell r="E294">
            <v>32</v>
          </cell>
        </row>
        <row r="295">
          <cell r="A295" t="str">
            <v>Сыч/Прод Коровино Российский 50% 200г НОВАЯ СЗМЖ  ОСТАНКИНО</v>
          </cell>
          <cell r="E295">
            <v>21</v>
          </cell>
        </row>
        <row r="296">
          <cell r="A296" t="str">
            <v>Сыч/Прод Коровино Российский Оригин 50% ВЕС НОВАЯ (3,5 кг)  ОСТАНКИНО</v>
          </cell>
          <cell r="E296">
            <v>31.5</v>
          </cell>
        </row>
        <row r="297">
          <cell r="A297" t="str">
            <v>Сыч/Прод Коровино Тильзитер 50% 200г НОВАЯ СЗМЖ  ОСТАНКИНО</v>
          </cell>
          <cell r="E297">
            <v>11</v>
          </cell>
        </row>
        <row r="298">
          <cell r="A298" t="str">
            <v>Сыч/Прод Коровино Тильзитер Оригин 50% ВЕС НОВАЯ (5 кг брус) СЗМЖ  ОСТАНКИНО</v>
          </cell>
          <cell r="E298">
            <v>55.5</v>
          </cell>
        </row>
        <row r="299">
          <cell r="A299" t="str">
            <v>АСП Бердянск Останкино</v>
          </cell>
          <cell r="E299">
            <v>13744.737999999999</v>
          </cell>
        </row>
        <row r="300">
          <cell r="A300" t="str">
            <v>Останкино ООО</v>
          </cell>
          <cell r="E300">
            <v>13744.737999999999</v>
          </cell>
        </row>
        <row r="301">
          <cell r="A301" t="str">
            <v>ООО Останкино-Краснодар</v>
          </cell>
          <cell r="E301">
            <v>2516.2379999999998</v>
          </cell>
        </row>
        <row r="302">
          <cell r="A302" t="str">
            <v>3287 САЛЯМИ ИТАЛЬЯНСКАЯ с/к в/у ОСТАНКИНО</v>
          </cell>
          <cell r="E302">
            <v>25.5</v>
          </cell>
        </row>
        <row r="303">
          <cell r="A303" t="str">
            <v>4063 МЯСНАЯ Папа может вар п/о_Л   ОСТАНКИНО</v>
          </cell>
          <cell r="E303">
            <v>230.4</v>
          </cell>
        </row>
        <row r="304">
          <cell r="A304" t="str">
            <v>4117 ЭКСТРА Папа может с/к в/у_Л   ОСТАНКИНО</v>
          </cell>
          <cell r="E304">
            <v>19.007999999999999</v>
          </cell>
        </row>
        <row r="305">
          <cell r="A305" t="str">
            <v>4574 Мясная со шпиком Папа может вар п/о ОСТАНКИНО</v>
          </cell>
          <cell r="E305">
            <v>15.2</v>
          </cell>
        </row>
        <row r="306">
          <cell r="A306" t="str">
            <v>4813 ФИЛЕЙНАЯ Папа может вар п/о_Л   ОСТАНКИНО</v>
          </cell>
          <cell r="E306">
            <v>246.8</v>
          </cell>
        </row>
        <row r="307">
          <cell r="A307" t="str">
            <v>5452 ВЕТЧ.МЯСНАЯ Папа может п/о    ОСТАНКИНО</v>
          </cell>
          <cell r="E307">
            <v>66</v>
          </cell>
        </row>
        <row r="308">
          <cell r="A308" t="str">
            <v>5544 Сервелат Финский в/к в/у_45с НОВАЯ ОСТАНКИНО</v>
          </cell>
          <cell r="E308">
            <v>217.7</v>
          </cell>
        </row>
        <row r="309">
          <cell r="A309" t="str">
            <v>5708 ПОСОЛЬСКАЯ Папа может с/к в/у ОСТАНКИНО</v>
          </cell>
          <cell r="E309">
            <v>18.5</v>
          </cell>
        </row>
        <row r="310">
          <cell r="A310" t="str">
            <v>5851 ЭКСТРА Папа может вар п/о   ОСТАНКИНО</v>
          </cell>
          <cell r="E310">
            <v>145.6</v>
          </cell>
        </row>
        <row r="311">
          <cell r="A311" t="str">
            <v>6008 САЛО СОЛЕНОЕ С ЧЕРНЫМ ПЕРЦЕМ мл/к в/у ОСТАНКИНО</v>
          </cell>
          <cell r="E311">
            <v>10.5</v>
          </cell>
        </row>
        <row r="312">
          <cell r="A312" t="str">
            <v>6220 ГОВЯЖЬЯ папа может вар п/о  Останкино</v>
          </cell>
          <cell r="E312">
            <v>67</v>
          </cell>
        </row>
        <row r="313">
          <cell r="A313" t="str">
            <v>6303 Мясные Папа может сос п/о мгс 1,5*3  Останкино</v>
          </cell>
          <cell r="E313">
            <v>312</v>
          </cell>
        </row>
        <row r="314">
          <cell r="A314" t="str">
            <v>6470 ВЕТЧ.МРАМОРНАЯ в/у_45с  Останкино</v>
          </cell>
          <cell r="E314">
            <v>6.7</v>
          </cell>
        </row>
        <row r="315">
          <cell r="A315" t="str">
            <v>6498 МОЛОЧНАЯ Папа может вар п/о  ОСТАНКИНО</v>
          </cell>
          <cell r="E315">
            <v>198.2</v>
          </cell>
        </row>
        <row r="316">
          <cell r="A316" t="str">
            <v>6527 ШПИКАЧКИ СОЧНЫЕ ПМ сар б/о мгс 1*3 45с ОСТАНКИНО</v>
          </cell>
          <cell r="E316">
            <v>69.3</v>
          </cell>
        </row>
        <row r="317">
          <cell r="A317" t="str">
            <v>6550 МЯСНЫЕ Папа может сар б/о мгс 1*3 О 45с  Останкино</v>
          </cell>
          <cell r="E317">
            <v>37.1</v>
          </cell>
        </row>
        <row r="318">
          <cell r="A318" t="str">
            <v>6608 С ГОВЯДИНОЙ ОРИГИН. сар б/о мгс 1*3_45с  ОСТАНКИНО</v>
          </cell>
          <cell r="E318">
            <v>52.024000000000001</v>
          </cell>
        </row>
        <row r="319">
          <cell r="A319" t="str">
            <v>6620 РЕБРЫШКИ к/в в/у_30с  Останкино</v>
          </cell>
          <cell r="E319">
            <v>1</v>
          </cell>
        </row>
        <row r="320">
          <cell r="A320" t="str">
            <v>6661 СОЧНЫЙ ГРИЛЬ ПМ сос п/о мгс 1,5*4_Маяк Останкино</v>
          </cell>
          <cell r="E320">
            <v>15.1</v>
          </cell>
        </row>
        <row r="321">
          <cell r="A321" t="str">
            <v>6829  МОЛОЧНЫЕ КЛАССИЧЕСКИЕ сос п/о мгс 2*4 С  Останккино</v>
          </cell>
          <cell r="E321">
            <v>192.471</v>
          </cell>
        </row>
        <row r="322">
          <cell r="A322" t="str">
            <v>7001 КЛАССИЧЕСКИЕ Папа может сар б/о мгс 1*3  Останкино</v>
          </cell>
          <cell r="E322">
            <v>15</v>
          </cell>
        </row>
        <row r="323">
          <cell r="A323" t="str">
            <v>7070 СОЧНЫЕ ПМ сос п/о 1,5*4_А_50с  Останкино</v>
          </cell>
          <cell r="E323">
            <v>99.135000000000005</v>
          </cell>
        </row>
        <row r="324">
          <cell r="A324" t="str">
            <v>7075 МОЛОЧ.ПРЕМИУМ ПМ сос п/о мгс 1,5*4_О_50с  Останкино</v>
          </cell>
          <cell r="E324">
            <v>16.5</v>
          </cell>
        </row>
        <row r="325">
          <cell r="A325" t="str">
            <v>7082 СЛИВОЧНЫЕ ПМ сос п/о мгс 1,5*4_50с  Останкино</v>
          </cell>
          <cell r="E325">
            <v>4.5</v>
          </cell>
        </row>
        <row r="326">
          <cell r="A326" t="str">
            <v>7083 СЛИВОЧНЫЕ ПМ сос п/о мгс 1.5*4_А_50с  ОСТАНКИНО</v>
          </cell>
          <cell r="E326">
            <v>54.1</v>
          </cell>
        </row>
        <row r="327">
          <cell r="A327" t="str">
            <v>7131 БАЛЫКОВАЯ в/к в/у 0,84кг  Останкино</v>
          </cell>
          <cell r="E327">
            <v>35.299999999999997</v>
          </cell>
        </row>
        <row r="328">
          <cell r="A328" t="str">
            <v>7157 СЕРВЕЛАТ ЗЕРНИСТЫЙ ПМ в/к в/у_50с  Останкино</v>
          </cell>
          <cell r="E328">
            <v>119.5</v>
          </cell>
        </row>
        <row r="329">
          <cell r="A329" t="str">
            <v>7166 СЕРВЕЛАТ ОХОТНИЧИЙ ПМ в/к в/у_50с  Останкино</v>
          </cell>
          <cell r="E329">
            <v>191.3</v>
          </cell>
        </row>
        <row r="330">
          <cell r="A330" t="str">
            <v>7564 Балыковая в/к в/у Останкино Вес  ОСТАНКИНО</v>
          </cell>
          <cell r="E330">
            <v>3.7</v>
          </cell>
        </row>
        <row r="331">
          <cell r="A331" t="str">
            <v>А_5452 ВЕТЧ.МЯСНАЯ Папа может п/о    ОСТАНКИНО</v>
          </cell>
          <cell r="E331">
            <v>26.6</v>
          </cell>
        </row>
        <row r="332">
          <cell r="A332" t="str">
            <v>БОНУС_6954 СОЧНЫЕ Папа может сос п/о мгс 1.5*4_Х5  ОСТАНКИНО</v>
          </cell>
          <cell r="E332">
            <v>4.5</v>
          </cell>
        </row>
        <row r="333">
          <cell r="A333" t="str">
            <v>ООО Останкино-Краснодар (ШТ)</v>
          </cell>
          <cell r="E333">
            <v>11197</v>
          </cell>
        </row>
        <row r="334">
          <cell r="A334" t="str">
            <v>3215 ВЕТЧ.МЯСНАЯ Папа может п/о 0.4кг 8шт.    ОСТАНКИНО</v>
          </cell>
          <cell r="E334">
            <v>249</v>
          </cell>
        </row>
        <row r="335">
          <cell r="A335" t="str">
            <v>3986 Ароматная с/к в/у 1/250 ОСТАНКИНО</v>
          </cell>
          <cell r="E335">
            <v>169</v>
          </cell>
        </row>
        <row r="336">
          <cell r="A336" t="str">
            <v>4993 САЛЯМИ ИТАЛЬЯНСКАЯ с/к в/у 1/250*8_120c ОСТАНКИНО</v>
          </cell>
          <cell r="E336">
            <v>236</v>
          </cell>
        </row>
        <row r="337">
          <cell r="A337" t="str">
            <v>5483 ЭКСТРА Папа может с/к в/у 1/250 8шт.   ОСТАНКИНО</v>
          </cell>
          <cell r="E337">
            <v>167</v>
          </cell>
        </row>
        <row r="338">
          <cell r="A338" t="str">
            <v>5495 ВЕТЧ.С ИНДЕЙКОЙ Папа может п/о 400*6  Останкино</v>
          </cell>
          <cell r="E338">
            <v>123</v>
          </cell>
        </row>
        <row r="339">
          <cell r="A339" t="str">
            <v>5706 АРОМАТНАЯ Папа может с/к в/у 1/250 8шт.  ОСТАНКИНО</v>
          </cell>
          <cell r="E339">
            <v>36</v>
          </cell>
        </row>
        <row r="340">
          <cell r="A340" t="str">
            <v>5819 Сосиски Папа может 400г Мясные  ОСТАНКИНО</v>
          </cell>
          <cell r="E340">
            <v>130</v>
          </cell>
        </row>
        <row r="341">
          <cell r="A341" t="str">
            <v>5931 ОХОТНИЧЬЯ Папа может с/к в/у 1/220 8шт.   ОСТАНКИНО</v>
          </cell>
          <cell r="E341">
            <v>209</v>
          </cell>
        </row>
        <row r="342">
          <cell r="A342" t="str">
            <v>6208 ДЫМОВИЦА ИЗ ЛОПАТКИ ПМ к/в с/н в/у 1/150  Останкино</v>
          </cell>
          <cell r="E342">
            <v>7</v>
          </cell>
        </row>
        <row r="343">
          <cell r="A343" t="str">
            <v>6221 НЕОПОЛИТАНСКИЙ ДУЭТ с/к с/н мгс 1/90  Останкино</v>
          </cell>
          <cell r="E343">
            <v>219</v>
          </cell>
        </row>
        <row r="344">
          <cell r="A344" t="str">
            <v>6228 МЯСНОЕ АССОРТИ к/з с/н мгс 1/90 10шт  Останкино</v>
          </cell>
          <cell r="E344">
            <v>154</v>
          </cell>
        </row>
        <row r="345">
          <cell r="A345" t="str">
            <v>6279 КОРЕЙКА ПО-ОСТ.к/в в/с с/н в/у 1/150_45с  Останкино</v>
          </cell>
          <cell r="E345">
            <v>90</v>
          </cell>
        </row>
        <row r="346">
          <cell r="A346" t="str">
            <v>6324 ДОКТОРСКАЯ ГОСТ вар п/о 0,4кг 8шт  Останкино</v>
          </cell>
          <cell r="E346">
            <v>92</v>
          </cell>
        </row>
        <row r="347">
          <cell r="A347" t="str">
            <v>6325 ДОКТОРСКАЯ ПРЕМИУМ вар п/о 0.4кг 8шт.  ОСТАНКИНО</v>
          </cell>
          <cell r="E347">
            <v>127</v>
          </cell>
        </row>
        <row r="348">
          <cell r="A348" t="str">
            <v>6333 МЯСНАЯ Папа может вар п/о 0.4кг 8шт.  ОСТАНКИНО</v>
          </cell>
          <cell r="E348">
            <v>425</v>
          </cell>
        </row>
        <row r="349">
          <cell r="A349" t="str">
            <v>6353 ЭКСТРА Папа может вар п/о 0.4кг 8шт.  ОСТАНКИНО</v>
          </cell>
          <cell r="E349">
            <v>351</v>
          </cell>
        </row>
        <row r="350">
          <cell r="A350" t="str">
            <v>6392 ФИЛЕЙНАЯ Папа может вар п/о 0,4кг  ОСТАНКИНО</v>
          </cell>
          <cell r="E350">
            <v>451</v>
          </cell>
        </row>
        <row r="351">
          <cell r="A351" t="str">
            <v>6453 ЭКСТРА Папа может с/к с/н в/у 1/100 14шт.   ОСТАНКИНО</v>
          </cell>
          <cell r="E351">
            <v>307</v>
          </cell>
        </row>
        <row r="352">
          <cell r="A352" t="str">
            <v>6454 АРОМАТНАЯ с/к с/н в/у 1/100 10шт.  ОСТАНКИНО</v>
          </cell>
          <cell r="E352">
            <v>192</v>
          </cell>
        </row>
        <row r="353">
          <cell r="A353" t="str">
            <v>6459 СЕРВЕЛАТ ШВЕЙЦАРСК. в/к с/н в/у 1/100*10  Останкино</v>
          </cell>
          <cell r="E353">
            <v>23</v>
          </cell>
        </row>
        <row r="354">
          <cell r="A354" t="str">
            <v>6475 Сосиски Папа может 400г С сыром  ОСТАНКИНО</v>
          </cell>
          <cell r="E354">
            <v>120</v>
          </cell>
        </row>
        <row r="355">
          <cell r="A355" t="str">
            <v>6495 ВЕТЧ.МРАМОРНАЯ в/у срез 0,3кг 6шт_45с  Останкино</v>
          </cell>
          <cell r="E355">
            <v>39</v>
          </cell>
        </row>
        <row r="356">
          <cell r="A356" t="str">
            <v>6602 БАВАРСКИЕ ПМ сос ц/о мгс 0,35кг 8шт  Останкино</v>
          </cell>
          <cell r="E356">
            <v>1</v>
          </cell>
        </row>
        <row r="357">
          <cell r="A357" t="str">
            <v>6616 МОЛОЧНЫЕ КЛАССИЧЕСКИЕ сос п/о в/у 0,3 кг  Останкино</v>
          </cell>
          <cell r="E357">
            <v>304</v>
          </cell>
        </row>
        <row r="358">
          <cell r="A358" t="str">
            <v>6697 СЕРВЕЛАТ ФИНСКИЙ ПМ в/к в/у 0,35кг 8шт  ОСТАНКИНО</v>
          </cell>
          <cell r="E358">
            <v>602</v>
          </cell>
        </row>
        <row r="359">
          <cell r="A359" t="str">
            <v>6701 СЕРВЕЛАТ ШВАРЦЕР ПМ в/к в/у 0.28кг 8шт.  ОСТАНКИНО</v>
          </cell>
          <cell r="E359">
            <v>5</v>
          </cell>
        </row>
        <row r="360">
          <cell r="A360" t="str">
            <v>6713 СОЧНЫЙ ГРИЛЬ ПМ сос п/о мгс 0,41кг 8 шт.  ОСТАНКИНО</v>
          </cell>
          <cell r="E360">
            <v>312</v>
          </cell>
        </row>
        <row r="361">
          <cell r="A361" t="str">
            <v>6724 МОЛОЧНЫЕ ПМ сос п/о мгс 0,41кг 10шт  Останкино</v>
          </cell>
          <cell r="E361">
            <v>124</v>
          </cell>
        </row>
        <row r="362">
          <cell r="A362" t="str">
            <v>6765 РУБЛЕНЫЕ сос ц/о мгс 0,36кг 6шт  Останкино</v>
          </cell>
          <cell r="E362">
            <v>99</v>
          </cell>
        </row>
        <row r="363">
          <cell r="A363" t="str">
            <v>6787 СЕРВЕЛАТ КРЕМЛЕВСКИЙ в/к в/у 0,33кг 8шт  Останкино</v>
          </cell>
          <cell r="E363">
            <v>78</v>
          </cell>
        </row>
        <row r="364">
          <cell r="A364" t="str">
            <v>6793 БАЛЫКОВАЯ в/к в/у 0,33кг 8шт  Останкино</v>
          </cell>
          <cell r="E364">
            <v>141</v>
          </cell>
        </row>
        <row r="365">
          <cell r="A365" t="str">
            <v>6797 С ИНДЕЙКОЙ Папа может вар п/о 0,4кг 8шт. ОСТАНКИНО</v>
          </cell>
          <cell r="E365">
            <v>80</v>
          </cell>
        </row>
        <row r="366">
          <cell r="A366" t="str">
            <v>6807 СЕРВЕЛАТ ЕВРОПЕЙСКИЙ в/к в/у 0,33кг 8шт  Останкино</v>
          </cell>
          <cell r="E366">
            <v>20</v>
          </cell>
        </row>
        <row r="367">
          <cell r="A367" t="str">
            <v>6834 ПОСОЛЬСКАЯ с/к с/н в/у 1/100 10шт  Останкино</v>
          </cell>
          <cell r="E367">
            <v>12</v>
          </cell>
        </row>
        <row r="368">
          <cell r="A368" t="str">
            <v>6837 ФИЛЕЙНЫЕ Папа Может сос ц/о мгс 0,4кг  Останкино</v>
          </cell>
          <cell r="E368">
            <v>95</v>
          </cell>
        </row>
        <row r="369">
          <cell r="A369" t="str">
            <v>6925 ВЕТЧ.КЛАССИЧЕСКАЯ в/у 0,6кг 8шт. ОСТАНКИНО</v>
          </cell>
          <cell r="E369">
            <v>39</v>
          </cell>
        </row>
        <row r="370">
          <cell r="A370" t="str">
            <v>6967 БУРГУНДИЯ Папа может с/к в/у 1/250 8шт  Останкино</v>
          </cell>
          <cell r="E370">
            <v>73</v>
          </cell>
        </row>
        <row r="371">
          <cell r="A371" t="str">
            <v>7059 ШПИКАЧКИ СОЧНЫЕ С БЕК. п/о мгс 0,3кг 60с ОСТАНКИНО</v>
          </cell>
          <cell r="E371">
            <v>139</v>
          </cell>
        </row>
        <row r="372">
          <cell r="A372" t="str">
            <v>7066 СОЧНЫЕ ПМ сос п/о мгс 0,41кг 10шт 50с  Останкино</v>
          </cell>
          <cell r="E372">
            <v>802</v>
          </cell>
        </row>
        <row r="373">
          <cell r="A373" t="str">
            <v>7067 СОЧНЫЕ ПМ сос. п/о мгс 0,41кг СНГ 50с ОСТАНКИНО</v>
          </cell>
          <cell r="E373">
            <v>1</v>
          </cell>
        </row>
        <row r="374">
          <cell r="A374" t="str">
            <v>7073 МОЛОЧ.ПРЕМИУМ ПМ сос п/о в/у 1/350_50с  Останкино</v>
          </cell>
          <cell r="E374">
            <v>176</v>
          </cell>
        </row>
        <row r="375">
          <cell r="A375" t="str">
            <v>7080 СЛИВОЧНЫЕ ПМ сос п/о мгс 0,41кг 10шт 50с  Останкино</v>
          </cell>
          <cell r="E375">
            <v>569</v>
          </cell>
        </row>
        <row r="376">
          <cell r="A376" t="str">
            <v>7090 СВИНИНА ПО-ДОМ.к/в мл/к в/у 0,3кг_50с  Останкино</v>
          </cell>
          <cell r="E376">
            <v>149</v>
          </cell>
        </row>
        <row r="377">
          <cell r="A377" t="str">
            <v>7103 БЕКОН Останкино с/к с/н в/у 1/180_50с  Останкино</v>
          </cell>
          <cell r="E377">
            <v>114</v>
          </cell>
        </row>
        <row r="378">
          <cell r="A378" t="str">
            <v>7147 САЛЬЧИЧОН Останкино с/к в/у 1/220 8 шт  Останкино</v>
          </cell>
          <cell r="E378">
            <v>13</v>
          </cell>
        </row>
        <row r="379">
          <cell r="A379" t="str">
            <v>7154 СЕРВЕЛАТ ЗЕРНИСТЫЙ ПМ в/к в/у 0,35кг_50с  Останкино</v>
          </cell>
          <cell r="E379">
            <v>455</v>
          </cell>
        </row>
        <row r="380">
          <cell r="A380" t="str">
            <v>7169 СЕРВЕЛАТ ОХОТНИЧИЙ ПМ в/к в/у 0,35кг_50с  Останкино</v>
          </cell>
          <cell r="E380">
            <v>490</v>
          </cell>
        </row>
        <row r="381">
          <cell r="A381" t="str">
            <v>7187 ГРУДИНКА ПРЕМИУМ к/в мл/к в/у 0,3кг_50с  Останкино</v>
          </cell>
          <cell r="E381">
            <v>127</v>
          </cell>
        </row>
        <row r="382">
          <cell r="A382" t="str">
            <v>7231 КЛАССИЧЕСКАЯ ПМ вар п/о 0,3кг 8 шт_209к  Останкино</v>
          </cell>
          <cell r="E382">
            <v>45</v>
          </cell>
        </row>
        <row r="383">
          <cell r="A383" t="str">
            <v>7232 БОЯNСКАЯ ПМ п/к в/у 0,28кг 8шт_209к  Останкино</v>
          </cell>
          <cell r="E383">
            <v>301</v>
          </cell>
        </row>
        <row r="384">
          <cell r="A384" t="str">
            <v>7236 СЕРВЕЛАТ КАРЕЛЬСКИЙ в/к в/у 0,28кг_209к  Останкино</v>
          </cell>
          <cell r="E384">
            <v>319</v>
          </cell>
        </row>
        <row r="385">
          <cell r="A385" t="str">
            <v>7237 СЕРВЕЛАТ ШВАРЦЕР ПМ в/к в/у 0,28кг_209к  Останкино</v>
          </cell>
          <cell r="E385">
            <v>72</v>
          </cell>
        </row>
        <row r="386">
          <cell r="A386" t="str">
            <v>7241 САЛЯМИ Папа может п/к в/у 0,28кг ОСТАНКИНО</v>
          </cell>
          <cell r="E386">
            <v>284</v>
          </cell>
        </row>
        <row r="387">
          <cell r="A387" t="str">
            <v>7255 МЯСНЫЕ С ГОВЯД.ПМ сос п/о мгс 0.4кг 6шт.  ОСТАНКИНО</v>
          </cell>
          <cell r="E387">
            <v>501</v>
          </cell>
        </row>
        <row r="388">
          <cell r="A388" t="str">
            <v>7284 ДЛЯ ДЕТЕЙ сос п/о мгс 0,33кг 6шт  Останкино</v>
          </cell>
          <cell r="E388">
            <v>8</v>
          </cell>
        </row>
        <row r="389">
          <cell r="A389" t="str">
            <v>7288 БАЛЫК с/к с/н в/у 1/100 10шт ОСТАНКИНО</v>
          </cell>
          <cell r="E389">
            <v>16</v>
          </cell>
        </row>
        <row r="390">
          <cell r="A390" t="str">
            <v>7332 БОЯРСКАЯ ПМ п/к в/у 0,28кг ОСТАНКИНО</v>
          </cell>
          <cell r="E390">
            <v>41</v>
          </cell>
        </row>
        <row r="391">
          <cell r="A391" t="str">
            <v>7333 СЕРВЕЛАТ ОХОТНИЧИЙ ПМ в/к в/у 0,28кг ОСТАНКИНО</v>
          </cell>
          <cell r="E391">
            <v>3</v>
          </cell>
        </row>
        <row r="392">
          <cell r="A392" t="str">
            <v>7371 БРЕСТСКИЕ сос п/о в/у 0,3кг 8шт. ОСТАНКИНО</v>
          </cell>
          <cell r="E392">
            <v>82</v>
          </cell>
        </row>
        <row r="393">
          <cell r="A393" t="str">
            <v>7382  САЛЯМИ МЕЛКОЗЕРНЕНАЯ с/к в/у1/120 8шт.  ОСТАНКИНО</v>
          </cell>
          <cell r="E393">
            <v>178</v>
          </cell>
        </row>
        <row r="394">
          <cell r="A394" t="str">
            <v>7461 ДЛЯ ДЕТЕЙ Папа Может сос п/о мгс 0,33кг ОСТАНКИНО</v>
          </cell>
          <cell r="E394">
            <v>187</v>
          </cell>
        </row>
        <row r="395">
          <cell r="A395" t="str">
            <v>7477 ДОКТОРСКАЯ ГОСТ ПМ вар п/о 0,35кг 8шт ОСТАНКИНО</v>
          </cell>
          <cell r="E395">
            <v>3</v>
          </cell>
        </row>
        <row r="396">
          <cell r="A396" t="str">
            <v>7489 СЫРРРВЕЛАТ Папа Может в/к в/у 0,28кг 8шт. ОСТАНКИНО</v>
          </cell>
          <cell r="E396">
            <v>83</v>
          </cell>
        </row>
        <row r="397">
          <cell r="A397" t="str">
            <v>7523 ГОВЯЖЬЯ Папа Может вар п/о 0,4кг 6шт. ОСТАНКИНО</v>
          </cell>
          <cell r="E397">
            <v>123</v>
          </cell>
        </row>
        <row r="398">
          <cell r="A398" t="str">
            <v>7539 ДОКТОРСКАЯ ГОСТ вар п/о 0,35кг ОСТАНКИНО</v>
          </cell>
          <cell r="E398">
            <v>2</v>
          </cell>
        </row>
        <row r="399">
          <cell r="A399" t="str">
            <v>7603 БАЛЫКОВАЯ в/к в/у 0.33кг 8шт. ОСТАНКИНО</v>
          </cell>
          <cell r="E399">
            <v>10</v>
          </cell>
        </row>
        <row r="400">
          <cell r="A400" t="str">
            <v>БОНУС_6087 СОЧНЫЕ ПМ сос п/о мгс 0,41кг 10шт.  ОСТАНКИНО</v>
          </cell>
          <cell r="E400">
            <v>3</v>
          </cell>
        </row>
        <row r="401">
          <cell r="A401" t="str">
            <v>Останкино Заморозка</v>
          </cell>
          <cell r="E401">
            <v>2</v>
          </cell>
        </row>
        <row r="402">
          <cell r="A402" t="str">
            <v>6168 Блинчики с мясом пл. 1/350 зам. ОСТАНКИНО</v>
          </cell>
          <cell r="E402">
            <v>2</v>
          </cell>
        </row>
        <row r="403">
          <cell r="A403" t="str">
            <v>Останкино КОРОВИНО (ВЕС)</v>
          </cell>
          <cell r="E403">
            <v>28.5</v>
          </cell>
        </row>
        <row r="404">
          <cell r="A404" t="str">
            <v>6861 ДОМАШНИЙ РЕЦЕПТ Коровино вар п/о  Останкино</v>
          </cell>
          <cell r="E404">
            <v>14</v>
          </cell>
        </row>
        <row r="405">
          <cell r="A405" t="str">
            <v>6862 ДОМАШНИЙ РЕЦЕПТ СО ШПИК. Коровино вар п/о  Останкино</v>
          </cell>
          <cell r="E405">
            <v>2</v>
          </cell>
        </row>
        <row r="406">
          <cell r="A406" t="str">
            <v>6866 ВЕТЧ.НЕЖНАЯ Коровино п/о_Маяк  Останкино</v>
          </cell>
          <cell r="E406">
            <v>12.5</v>
          </cell>
        </row>
        <row r="407">
          <cell r="A407" t="str">
            <v>Останкино КОРОВИНО (ШТ)</v>
          </cell>
          <cell r="E407">
            <v>1</v>
          </cell>
        </row>
        <row r="408">
          <cell r="A408" t="str">
            <v>7149 БАЛЫКОВАЯ Коровино п/к в/у 0,84кг_50с  Останкино</v>
          </cell>
          <cell r="E408">
            <v>1</v>
          </cell>
        </row>
        <row r="409">
          <cell r="A409" t="str">
            <v>АСП Бердянск ПОКОМ</v>
          </cell>
          <cell r="E409">
            <v>25514</v>
          </cell>
        </row>
        <row r="410">
          <cell r="A410" t="str">
            <v>ПОКОМ Логистический Партнер</v>
          </cell>
          <cell r="E410">
            <v>25514</v>
          </cell>
        </row>
        <row r="411">
          <cell r="A411" t="str">
            <v>Вязанка Логистический Партнер(Кг)</v>
          </cell>
          <cell r="E411">
            <v>2252.442</v>
          </cell>
        </row>
        <row r="412">
          <cell r="A412" t="str">
            <v xml:space="preserve"> 005  Колбаса Докторская ГОСТ, Вязанка вектор,ВЕС. ПОКОМ</v>
          </cell>
          <cell r="E412">
            <v>312.37400000000002</v>
          </cell>
        </row>
        <row r="413">
          <cell r="A413" t="str">
            <v xml:space="preserve"> 016  Сосиски Вязанка Молочные, Вязанка вискофан  ВЕС.ПОКОМ</v>
          </cell>
          <cell r="E413">
            <v>302</v>
          </cell>
        </row>
        <row r="414">
          <cell r="A414" t="str">
            <v xml:space="preserve"> 017  Сосиски Вязанка Сливочные, Вязанка амицел ВЕС.ПОКОМ</v>
          </cell>
          <cell r="E414">
            <v>211.17599999999999</v>
          </cell>
        </row>
        <row r="415">
          <cell r="A415" t="str">
            <v xml:space="preserve"> 312  Ветчина Филейская ВЕС ТМ  Вязанка ТС Столичная  ПОКОМ</v>
          </cell>
          <cell r="E415">
            <v>106.2</v>
          </cell>
        </row>
        <row r="416">
          <cell r="A416" t="str">
            <v xml:space="preserve"> 315  Колбаса вареная Молокуша ТМ Вязанка ВЕС, ПОКОМ</v>
          </cell>
          <cell r="E416">
            <v>157.19999999999999</v>
          </cell>
        </row>
        <row r="417">
          <cell r="A417" t="str">
            <v xml:space="preserve"> 330  Колбаса вареная Филейская ТМ Вязанка ТС Классическая ВЕС  ПОКОМ</v>
          </cell>
          <cell r="E417">
            <v>65.599999999999994</v>
          </cell>
        </row>
        <row r="418">
          <cell r="A418" t="str">
            <v xml:space="preserve"> 335  Колбаса Сливушка ТМ Вязанка. ВЕС.  ПОКОМ </v>
          </cell>
          <cell r="E418">
            <v>155</v>
          </cell>
        </row>
        <row r="419">
          <cell r="A419" t="str">
            <v xml:space="preserve"> 336  Ветчина Сливушка с индейкой ТМ Вязанка. ВЕС  ПОКОМ</v>
          </cell>
          <cell r="E419">
            <v>26.3</v>
          </cell>
        </row>
        <row r="420">
          <cell r="A420" t="str">
            <v xml:space="preserve"> 364  Сардельки Филейские Вязанка ВЕС NDX ТМ Вязанка  ПОКОМ</v>
          </cell>
          <cell r="E420">
            <v>281.97399999999999</v>
          </cell>
        </row>
        <row r="421">
          <cell r="A421" t="str">
            <v xml:space="preserve"> 547  Колбаса Мясная Классическая ТМ Вязанка в оболочке полиамид. ВЕС  ПОКОМ</v>
          </cell>
          <cell r="E421">
            <v>438.77800000000002</v>
          </cell>
        </row>
        <row r="422">
          <cell r="A422" t="str">
            <v xml:space="preserve"> 556  Колбаса Сервелат Ореховый ТМ Вязанка в оболочке фиброуз в вакуумной упаковке, ВЕС  ПОКОМ</v>
          </cell>
          <cell r="E422">
            <v>194.44</v>
          </cell>
        </row>
        <row r="423">
          <cell r="A423" t="str">
            <v xml:space="preserve"> 558  Колбаса Балыковая НОВАЯ ВЕС Вязанка фиброуз в/у ПОКОМ</v>
          </cell>
          <cell r="E423">
            <v>1.4</v>
          </cell>
        </row>
        <row r="424">
          <cell r="A424" t="str">
            <v>Вязанка Логистический Партнер(Шт)</v>
          </cell>
          <cell r="E424">
            <v>3033</v>
          </cell>
        </row>
        <row r="425">
          <cell r="A425" t="str">
            <v xml:space="preserve"> 030  Сосиски Вязанка Молочные, Вязанка вискофан МГС, 0.45кг, ПОКОМ</v>
          </cell>
          <cell r="E425">
            <v>594</v>
          </cell>
        </row>
        <row r="426">
          <cell r="A426" t="str">
            <v xml:space="preserve"> 032  Сосиски Вязанка Сливочные, Вязанка амицел МГС, 0.45кг, ПОКОМ</v>
          </cell>
          <cell r="E426">
            <v>658</v>
          </cell>
        </row>
        <row r="427">
          <cell r="A427" t="str">
            <v xml:space="preserve"> 276  Колбаса Сливушка ТМ Вязанка в оболочке полиамид 0,45 кг  ПОКОМ</v>
          </cell>
          <cell r="E427">
            <v>301</v>
          </cell>
        </row>
        <row r="428">
          <cell r="A428" t="str">
            <v xml:space="preserve"> 298  Колбаса Сливушка ТМ Вязанка, 0,375кг,  ПОКОМ</v>
          </cell>
          <cell r="E428">
            <v>53</v>
          </cell>
        </row>
        <row r="429">
          <cell r="A429" t="str">
            <v xml:space="preserve"> 319  Колбаса вареная Филейская ТМ Вязанка ТС Классическая, 0,45 кг. ПОКОМ</v>
          </cell>
          <cell r="E429">
            <v>95</v>
          </cell>
        </row>
        <row r="430">
          <cell r="A430" t="str">
            <v xml:space="preserve"> 322  Колбаса вареная Молокуша 0,45кг ТМ Вязанка  ПОКОМ</v>
          </cell>
          <cell r="E430">
            <v>306</v>
          </cell>
        </row>
        <row r="431">
          <cell r="A431" t="str">
            <v xml:space="preserve"> 339  Колбаса вареная Филейская ТМ Вязанка ТС Классическая, 0,40 кг.  ПОКОМ</v>
          </cell>
          <cell r="E431">
            <v>27</v>
          </cell>
        </row>
        <row r="432">
          <cell r="A432" t="str">
            <v xml:space="preserve"> 387  Колбаса вареная Мусульманская Халяль ТМ Вязанка, 0,4 кг ПОКОМ</v>
          </cell>
          <cell r="E432">
            <v>118</v>
          </cell>
        </row>
        <row r="433">
          <cell r="A433" t="str">
            <v xml:space="preserve"> 388  Сосиски Восточные Халяль ТМ Вязанка 0,33 кг АК. ПОКОМ</v>
          </cell>
          <cell r="E433">
            <v>130</v>
          </cell>
        </row>
        <row r="434">
          <cell r="A434" t="str">
            <v xml:space="preserve"> 395  Колбаса Докторская ГОСТ ТМ Вязанка в оболочке полиамид 0,37 кг. ПОКОМ</v>
          </cell>
          <cell r="E434">
            <v>20</v>
          </cell>
        </row>
        <row r="435">
          <cell r="A435" t="str">
            <v xml:space="preserve"> 405  Сардельки Сливушки ТМ Вязанка в оболочке айпил 0,33 кг. ПОКОМ</v>
          </cell>
          <cell r="E435">
            <v>46</v>
          </cell>
        </row>
        <row r="436">
          <cell r="A436" t="str">
            <v xml:space="preserve"> 408  Ветчина Сливушка с индейкой ТМ Вязанка, 0,4кг  ПОКОМ</v>
          </cell>
          <cell r="E436">
            <v>14</v>
          </cell>
        </row>
        <row r="437">
          <cell r="A437" t="str">
            <v xml:space="preserve"> 551  Колбаса Сливушка ТМ Вязанка в модифицированной газовой среде 0,11 кг нарезка  ПОКОМ</v>
          </cell>
          <cell r="E437">
            <v>2</v>
          </cell>
        </row>
        <row r="438">
          <cell r="A438" t="str">
            <v xml:space="preserve"> 555  Колбаса Молокуша ТМ Вязанка в модифицированной газовой среде 0,17 кг нарезка  ПОКОМ</v>
          </cell>
          <cell r="E438">
            <v>12</v>
          </cell>
        </row>
        <row r="439">
          <cell r="A439" t="str">
            <v xml:space="preserve"> 569  Колбаса Балыковая ТМ Вязанка в оболочке фиброуз в вакуумной упаковке 0,28 кг срез.  ПОКОМ</v>
          </cell>
          <cell r="E439">
            <v>333</v>
          </cell>
        </row>
        <row r="440">
          <cell r="A440" t="str">
            <v xml:space="preserve"> 570  Колбаса Сервелат Финский ТМ Вязанка в оболочке фиброуз в вак. упаковке 0,28 кг срез  ПОКОМ</v>
          </cell>
          <cell r="E440">
            <v>20</v>
          </cell>
        </row>
        <row r="441">
          <cell r="A441" t="str">
            <v xml:space="preserve"> 571  Колбаса Сервелат Ореховый ТМ Вязанка в оболочке фиброуз в вак. упаковке 0,28 кг срез  ПОКОМ</v>
          </cell>
          <cell r="E441">
            <v>304</v>
          </cell>
        </row>
        <row r="442">
          <cell r="A442" t="str">
            <v>Заморозка Зареченские Логистический партнер (кг)</v>
          </cell>
          <cell r="E442">
            <v>2.1</v>
          </cell>
        </row>
        <row r="443">
          <cell r="A443" t="str">
            <v>Чебуреки Мясные вес 2,7 кг ТМ Зареченские ТС Зареченские продукты   Поком</v>
          </cell>
          <cell r="E443">
            <v>2.1</v>
          </cell>
        </row>
        <row r="444">
          <cell r="A444" t="str">
            <v>Зареченские Логистический Партнер (кг)</v>
          </cell>
          <cell r="E444">
            <v>117.05</v>
          </cell>
        </row>
        <row r="445">
          <cell r="A445" t="str">
            <v xml:space="preserve"> 318  Сосиски Датские ТМ Зареченские, ВЕС  ПОКОМ</v>
          </cell>
          <cell r="E445">
            <v>117.05</v>
          </cell>
        </row>
        <row r="446">
          <cell r="A446" t="str">
            <v>Логистический Партнер Кг</v>
          </cell>
          <cell r="E446">
            <v>13605.407999999999</v>
          </cell>
        </row>
        <row r="447">
          <cell r="A447" t="str">
            <v xml:space="preserve"> 200  Ветчина Дугушка ТМ Стародворье, вектор в/у    ПОКОМ</v>
          </cell>
          <cell r="E447">
            <v>478.36799999999999</v>
          </cell>
        </row>
        <row r="448">
          <cell r="A448" t="str">
            <v xml:space="preserve"> 201  Ветчина Нежная ТМ Особый рецепт, (2,5кг), ПОКОМ</v>
          </cell>
          <cell r="E448">
            <v>2527.9490000000001</v>
          </cell>
        </row>
        <row r="449">
          <cell r="A449" t="str">
            <v xml:space="preserve"> 215  Колбаса Докторская ГОСТ Дугушка, ВЕС, ТМ Стародворье ПОКОМ</v>
          </cell>
          <cell r="E449">
            <v>74.5</v>
          </cell>
        </row>
        <row r="450">
          <cell r="A450" t="str">
            <v xml:space="preserve"> 219  Колбаса Докторская Особая ТМ Особый рецепт, ВЕС  ПОКОМ</v>
          </cell>
          <cell r="E450">
            <v>941.90800000000002</v>
          </cell>
        </row>
        <row r="451">
          <cell r="A451" t="str">
            <v xml:space="preserve"> 225  Колбаса Дугушка со шпиком, ВЕС, ТМ Стародворье   ПОКОМ</v>
          </cell>
          <cell r="E451">
            <v>51.5</v>
          </cell>
        </row>
        <row r="452">
          <cell r="A452" t="str">
            <v xml:space="preserve"> 226  Колбаса Княжеская, с/к белков.обол в термоусад. пакете, ВЕС, ТМ Стародворье ПОКОМ</v>
          </cell>
          <cell r="E452">
            <v>7.64</v>
          </cell>
        </row>
        <row r="453">
          <cell r="A453" t="str">
            <v xml:space="preserve"> 229  Колбаса Молочная Дугушка, в/у, ВЕС, ТМ Стародворье   ПОКОМ</v>
          </cell>
          <cell r="E453">
            <v>437.2</v>
          </cell>
        </row>
        <row r="454">
          <cell r="A454" t="str">
            <v xml:space="preserve"> 236  Колбаса Рубленая ЗАПЕЧ. Дугушка ТМ Стародворье, вектор, в/к    ПОКОМ</v>
          </cell>
          <cell r="E454">
            <v>101.9</v>
          </cell>
        </row>
        <row r="455">
          <cell r="A455" t="str">
            <v xml:space="preserve"> 239  Колбаса Салями запеч Дугушка, оболочка вектор, ВЕС, ТМ Стародворье  ПОКОМ</v>
          </cell>
          <cell r="E455">
            <v>128.12799999999999</v>
          </cell>
        </row>
        <row r="456">
          <cell r="A456" t="str">
            <v xml:space="preserve"> 240  Колбаса Салями охотничья, ВЕС. ПОКОМ</v>
          </cell>
          <cell r="E456">
            <v>12.49</v>
          </cell>
        </row>
        <row r="457">
          <cell r="A457" t="str">
            <v xml:space="preserve"> 242  Колбаса Сервелат ЗАПЕЧ.Дугушка ТМ Стародворье, вектор, в/к     ПОКОМ</v>
          </cell>
          <cell r="E457">
            <v>232.39599999999999</v>
          </cell>
        </row>
        <row r="458">
          <cell r="A458" t="str">
            <v xml:space="preserve"> 248  Сардельки Сочные ТМ Особый рецепт,   ПОКОМ</v>
          </cell>
          <cell r="E458">
            <v>190.1</v>
          </cell>
        </row>
        <row r="459">
          <cell r="A459" t="str">
            <v xml:space="preserve"> 250  Сардельки стародворские с говядиной в обол. NDX, ВЕС. ПОКОМ</v>
          </cell>
          <cell r="E459">
            <v>238.4</v>
          </cell>
        </row>
        <row r="460">
          <cell r="A460" t="str">
            <v xml:space="preserve"> 255  Сосиски Молочные для завтрака ТМ Особый рецепт, п/а МГС, ВЕС, ТМ Стародворье  ПОКОМ</v>
          </cell>
          <cell r="E460">
            <v>901</v>
          </cell>
        </row>
        <row r="461">
          <cell r="A461" t="str">
            <v xml:space="preserve"> 257  Сосиски Молочные оригинальные ТМ Особый рецепт, ВЕС.   ПОКОМ</v>
          </cell>
          <cell r="E461">
            <v>12.7</v>
          </cell>
        </row>
        <row r="462">
          <cell r="A462" t="str">
            <v xml:space="preserve"> 263  Шпикачки Стародворские, ВЕС.  ПОКОМ</v>
          </cell>
          <cell r="E462">
            <v>112.09</v>
          </cell>
        </row>
        <row r="463">
          <cell r="A463" t="str">
            <v xml:space="preserve"> 265  Колбаса Балыкбургская, ВЕС, ТМ Баварушка  ПОКОМ</v>
          </cell>
          <cell r="E463">
            <v>139.369</v>
          </cell>
        </row>
        <row r="464">
          <cell r="A464" t="str">
            <v xml:space="preserve"> 267  Колбаса Салями Филейбургская зернистая, оболочка фиброуз, ВЕС, ТМ Баварушка  ПОКОМ</v>
          </cell>
          <cell r="E464">
            <v>68.774000000000001</v>
          </cell>
        </row>
        <row r="465">
          <cell r="A465" t="str">
            <v xml:space="preserve"> 283  Сосиски Сочинки, ВЕС, ТМ Стародворье ПОКОМ</v>
          </cell>
          <cell r="E465">
            <v>25.1</v>
          </cell>
        </row>
        <row r="466">
          <cell r="A466" t="str">
            <v xml:space="preserve"> 297  Колбаса Мясорубская с рубленой грудинкой ВЕС ТМ Стародворье  ПОКОМ</v>
          </cell>
          <cell r="E466">
            <v>97.2</v>
          </cell>
        </row>
        <row r="467">
          <cell r="A467" t="str">
            <v xml:space="preserve"> 305  Колбаса Сервелат Мясорубский с мелкорубленным окороком в/у  ТМ Стародворье ВЕС   ПОКОМ</v>
          </cell>
          <cell r="E467">
            <v>36.5</v>
          </cell>
        </row>
        <row r="468">
          <cell r="A468" t="str">
            <v xml:space="preserve"> 325  Сосиски Сочинки по-баварски с сыром Стародворье, ВЕС ПОКОМ</v>
          </cell>
          <cell r="E468">
            <v>2</v>
          </cell>
        </row>
        <row r="469">
          <cell r="A469" t="str">
            <v xml:space="preserve"> 340  Сосиски Сочинки Молочные ТМ Стародворье, ВЕС ПОКОМ</v>
          </cell>
          <cell r="E469">
            <v>89</v>
          </cell>
        </row>
        <row r="470">
          <cell r="A470" t="str">
            <v xml:space="preserve"> 341 Сосиски Сочинки Сливочные ТМ Стародворье ВЕС ПОКОМ</v>
          </cell>
          <cell r="E470">
            <v>23.8</v>
          </cell>
        </row>
        <row r="471">
          <cell r="A471" t="str">
            <v xml:space="preserve"> 344  Колбаса Сочинка по-европейски с сочной грудинкой ТМ Стародворье, ВЕС ПОКОМ</v>
          </cell>
          <cell r="E471">
            <v>150</v>
          </cell>
        </row>
        <row r="472">
          <cell r="A472" t="str">
            <v xml:space="preserve"> 345  Колбаса Сочинка по-фински с сочным окроком ТМ Стародворье ВЕС ПОКОМ</v>
          </cell>
          <cell r="E472">
            <v>176.89400000000001</v>
          </cell>
        </row>
        <row r="473">
          <cell r="A473" t="str">
            <v xml:space="preserve"> 346  Колбаса Сочинка зернистая с сочной грудинкой ТМ Стародворье.ВЕС ПОКОМ</v>
          </cell>
          <cell r="E473">
            <v>299.02699999999999</v>
          </cell>
        </row>
        <row r="474">
          <cell r="A474" t="str">
            <v xml:space="preserve"> 347  Колбаса Сочинка рубленая с сочным окороком ТМ Стародворье ВЕС ПОКОМ</v>
          </cell>
          <cell r="E474">
            <v>192.524</v>
          </cell>
        </row>
        <row r="475">
          <cell r="A475" t="str">
            <v xml:space="preserve"> 449  Колбаса Дугушка Стародворская ВЕС ТС Дугушка ПОКОМ</v>
          </cell>
          <cell r="E475">
            <v>171.8</v>
          </cell>
        </row>
        <row r="476">
          <cell r="A476" t="str">
            <v xml:space="preserve"> 452  Колбаса Со шпиком ВЕС большой батон ТМ Особый рецепт  ПОКОМ</v>
          </cell>
          <cell r="E476">
            <v>1713.7860000000001</v>
          </cell>
        </row>
        <row r="477">
          <cell r="A477" t="str">
            <v xml:space="preserve"> 456  Колбаса Филейная ТМ Особый рецепт ВЕС большой батон  ПОКОМ</v>
          </cell>
          <cell r="E477">
            <v>1290</v>
          </cell>
        </row>
        <row r="478">
          <cell r="A478" t="str">
            <v xml:space="preserve"> 457  Колбаса Молочная ТМ Особый рецепт ВЕС большой батон  ПОКОМ</v>
          </cell>
          <cell r="E478">
            <v>2226.8649999999998</v>
          </cell>
        </row>
        <row r="479">
          <cell r="A479" t="str">
            <v xml:space="preserve"> 557  Колбаса Сервелат Финский ТМ Вязанка в оболочке фиброуз в вакуумной упаковке, ВЕС  ПОКОМ</v>
          </cell>
          <cell r="E479">
            <v>118.8</v>
          </cell>
        </row>
        <row r="480">
          <cell r="A480" t="str">
            <v xml:space="preserve"> 579  Колбаса Ветчинно-рубленая ТМ Особый рецепт в оболочке полиамид.ВЕС  ПОКОМ</v>
          </cell>
          <cell r="E480">
            <v>25</v>
          </cell>
        </row>
        <row r="481">
          <cell r="A481" t="str">
            <v xml:space="preserve"> 580  Ветчина Нежная с индейкой ТМ Особый рецепт в оболочке полиамид.ВЕС  ПОКОМ</v>
          </cell>
          <cell r="E481">
            <v>100</v>
          </cell>
        </row>
        <row r="482">
          <cell r="A482" t="str">
            <v xml:space="preserve"> 585  Колбаса Молочная ТМ Стародворье в оболочке вектор НД ВЕС.  ПОКОМ</v>
          </cell>
          <cell r="E482">
            <v>79</v>
          </cell>
        </row>
        <row r="483">
          <cell r="A483" t="str">
            <v xml:space="preserve"> 586  Колбаса Мясная ТМ Стародворье в оболочке вектор НД ВЕС.  ПОКОМ</v>
          </cell>
          <cell r="E483">
            <v>115.8</v>
          </cell>
        </row>
        <row r="484">
          <cell r="A484" t="str">
            <v xml:space="preserve"> 588 Колбаса Со шпиком ТМ Стародворье в оболочке вектор ВЕС  ПОКОМ</v>
          </cell>
          <cell r="E484">
            <v>13.4</v>
          </cell>
        </row>
        <row r="485">
          <cell r="A485" t="str">
            <v xml:space="preserve"> 597  Колбаса Классическая ТМ Особый рецепт в оболочке полиамид ВЕС. ПОКОМ</v>
          </cell>
          <cell r="E485">
            <v>2.5</v>
          </cell>
        </row>
        <row r="486">
          <cell r="A486" t="str">
            <v>Логистический Партнер Шт</v>
          </cell>
          <cell r="E486">
            <v>6504</v>
          </cell>
        </row>
        <row r="487">
          <cell r="A487" t="str">
            <v xml:space="preserve"> 047  Кол Баварская, белков.обол. в термоусад. пакете 0.17 кг, ТМ Стародворье  ПОКОМ</v>
          </cell>
          <cell r="E487">
            <v>69</v>
          </cell>
        </row>
        <row r="488">
          <cell r="A488" t="str">
            <v xml:space="preserve"> 062  Колбаса Кракушка пряная с сальцем, 0.3кг в/у п/к, БАВАРУШКА ПОКОМ</v>
          </cell>
          <cell r="E488">
            <v>129</v>
          </cell>
        </row>
        <row r="489">
          <cell r="A489" t="str">
            <v xml:space="preserve"> 083  Колбаса Швейцарская 0,17 кг., ШТ., сырокопченая   ПОКОМ</v>
          </cell>
          <cell r="E489">
            <v>68</v>
          </cell>
        </row>
        <row r="490">
          <cell r="A490" t="str">
            <v xml:space="preserve"> 273  Сосиски Сочинки с сочной грудинкой, МГС 0.4кг,   ПОКОМ</v>
          </cell>
          <cell r="E490">
            <v>1705</v>
          </cell>
        </row>
        <row r="491">
          <cell r="A491" t="str">
            <v xml:space="preserve"> 278  Сосиски Сочинки с сочным окороком, МГС 0.4кг,   ПОКОМ</v>
          </cell>
          <cell r="E491">
            <v>761</v>
          </cell>
        </row>
        <row r="492">
          <cell r="A492" t="str">
            <v xml:space="preserve"> 281  Сосиски Молочные для завтрака ТМ Особый рецепт, 0,4кг  ПОКОМ</v>
          </cell>
          <cell r="E492">
            <v>55</v>
          </cell>
        </row>
        <row r="493">
          <cell r="A493" t="str">
            <v xml:space="preserve"> 285  Паштет печеночный со слив.маслом ТМ Стародворье ламистер 0,1 кг  ПОКОМ</v>
          </cell>
          <cell r="E493">
            <v>66</v>
          </cell>
        </row>
        <row r="494">
          <cell r="A494" t="str">
            <v xml:space="preserve"> 296  Колбаса Мясорубская с рубленой грудинкой 0,35кг срез ТМ Стародворье  ПОКОМ</v>
          </cell>
          <cell r="E494">
            <v>47</v>
          </cell>
        </row>
        <row r="495">
          <cell r="A495" t="str">
            <v xml:space="preserve"> 301  Сосиски Сочинки по-баварски с сыром,  0.4кг, ТМ Стародворье  ПОКОМ</v>
          </cell>
          <cell r="E495">
            <v>174</v>
          </cell>
        </row>
        <row r="496">
          <cell r="A496" t="str">
            <v xml:space="preserve"> 302  Сосиски Сочинки по-баварски,  0.4кг, ТМ Стародворье  ПОКОМ</v>
          </cell>
          <cell r="E496">
            <v>216</v>
          </cell>
        </row>
        <row r="497">
          <cell r="A497" t="str">
            <v xml:space="preserve"> 307  Колбаса Сервелат Мясорубский с мелкорубленным окороком 0,35 кг срез ТМ Стародворье   Поком</v>
          </cell>
          <cell r="E497">
            <v>180</v>
          </cell>
        </row>
        <row r="498">
          <cell r="A498" t="str">
            <v xml:space="preserve"> 309  Сосиски Сочинки с сыром 0,4 кг ТМ Стародворье  ПОКОМ</v>
          </cell>
          <cell r="E498">
            <v>373</v>
          </cell>
        </row>
        <row r="499">
          <cell r="A499" t="str">
            <v xml:space="preserve"> 328  Сардельки Сочинки Стародворье ТМ  0,4 кг ПОКОМ</v>
          </cell>
          <cell r="E499">
            <v>8</v>
          </cell>
        </row>
        <row r="500">
          <cell r="A500" t="str">
            <v xml:space="preserve"> 329  Сардельки Сочинки с сыром Стародворье ТМ, 0,4 кг. ПОКОМ</v>
          </cell>
          <cell r="E500">
            <v>86</v>
          </cell>
        </row>
        <row r="501">
          <cell r="A501" t="str">
            <v xml:space="preserve"> 334  Паштет Любительский ТМ Стародворье ламистер 0,1 кг  ПОКОМ</v>
          </cell>
          <cell r="E501">
            <v>65</v>
          </cell>
        </row>
        <row r="502">
          <cell r="A502" t="str">
            <v xml:space="preserve"> 338  Паштет печеночный с морковью ТМ Стародворье ламистер 0,1 кг.  ПОКОМ</v>
          </cell>
          <cell r="E502">
            <v>45</v>
          </cell>
        </row>
        <row r="503">
          <cell r="A503" t="str">
            <v xml:space="preserve"> 342 Сосиски Сочинки Молочные ТМ Стародворье 0,4 кг ПОКОМ</v>
          </cell>
          <cell r="E503">
            <v>273</v>
          </cell>
        </row>
        <row r="504">
          <cell r="A504" t="str">
            <v xml:space="preserve"> 343 Сосиски Сочинки Сливочные ТМ Стародворье  0,4 кг ПОКОМ</v>
          </cell>
          <cell r="E504">
            <v>371</v>
          </cell>
        </row>
        <row r="505">
          <cell r="A505" t="str">
            <v xml:space="preserve"> 376  Колбаса Докторская Дугушка 0,6кг ГОСТ ТМ Стародворье  ПОКОМ </v>
          </cell>
          <cell r="E505">
            <v>87</v>
          </cell>
        </row>
        <row r="506">
          <cell r="A506" t="str">
            <v xml:space="preserve"> 377  Колбаса Молочная Дугушка 0,6кг ТМ Стародворье  ПОКОМ</v>
          </cell>
          <cell r="E506">
            <v>118</v>
          </cell>
        </row>
        <row r="507">
          <cell r="A507" t="str">
            <v xml:space="preserve"> 394 Колбаса полукопченая Аль-Ислами халяль ТМ Вязанка оболочка фиброуз в в/у 0,35 кг  ПОКОМ</v>
          </cell>
          <cell r="E507">
            <v>141</v>
          </cell>
        </row>
        <row r="508">
          <cell r="A508" t="str">
            <v xml:space="preserve"> 397  Ветчина Дугушка ТМ Стародворье ТС Дугушка в полиамидной оболочке 0,6 кг. ПОКОМ</v>
          </cell>
          <cell r="E508">
            <v>76</v>
          </cell>
        </row>
        <row r="509">
          <cell r="A509" t="str">
            <v xml:space="preserve"> 410  Сосиски Баварские с сыром ТМ Стародворье 0,35 кг. ПОКОМ</v>
          </cell>
          <cell r="E509">
            <v>36</v>
          </cell>
        </row>
        <row r="510">
          <cell r="A510" t="str">
            <v xml:space="preserve"> 412  Сосиски Баварские ТМ Стародворье 0,35 кг ПОКОМ</v>
          </cell>
          <cell r="E510">
            <v>198</v>
          </cell>
        </row>
        <row r="511">
          <cell r="A511" t="str">
            <v xml:space="preserve"> 435  Колбаса Молочная Стародворская  с молоком в оболочке полиамид 0,4 кг.ТМ Стародворье ПОКОМ</v>
          </cell>
          <cell r="E511">
            <v>10</v>
          </cell>
        </row>
        <row r="512">
          <cell r="A512" t="str">
            <v xml:space="preserve"> 498  Колбаса Сочинка рубленая с сочным окороком 0,3кг ТМ Стародворье  ПОКОМ</v>
          </cell>
          <cell r="E512">
            <v>98</v>
          </cell>
        </row>
        <row r="513">
          <cell r="A513" t="str">
            <v xml:space="preserve"> 523  Колбаса Сальчичон нарезка 0,07кг ТМ Стародворье  ПОКОМ </v>
          </cell>
          <cell r="E513">
            <v>44</v>
          </cell>
        </row>
        <row r="514">
          <cell r="A514" t="str">
            <v xml:space="preserve"> 524  Колбаса Сервелат Ореховый нарезка 0,07кг ТМ Стародворье  ПОКОМ</v>
          </cell>
          <cell r="E514">
            <v>68</v>
          </cell>
        </row>
        <row r="515">
          <cell r="A515" t="str">
            <v xml:space="preserve"> 525  Колбаса Фуэт нарезка 0,07кг ТМ Стародворье  ПОКОМ</v>
          </cell>
          <cell r="E515">
            <v>40</v>
          </cell>
        </row>
        <row r="516">
          <cell r="A516" t="str">
            <v xml:space="preserve"> 526  Корейка вяленая выдержанная нарезка 0,05кг ТМ Стародворье  ПОКОМ</v>
          </cell>
          <cell r="E516">
            <v>65</v>
          </cell>
        </row>
        <row r="517">
          <cell r="A517" t="str">
            <v xml:space="preserve"> 527  Окорок Прошутто выдержанный нарезка 0,055кг ТМ Стародворье  ПОКОМ</v>
          </cell>
          <cell r="E517">
            <v>55</v>
          </cell>
        </row>
        <row r="518">
          <cell r="A518" t="str">
            <v xml:space="preserve"> 530  Окорок Хамон выдержанный нарезка 0,055кг ТМ Стародворье  ПОКОМ</v>
          </cell>
          <cell r="E518">
            <v>63</v>
          </cell>
        </row>
        <row r="519">
          <cell r="A519" t="str">
            <v xml:space="preserve"> 553  Ассорти колбас Мясорубская коллекция: Сервелат Делюкс, С балыком 0,08 кг нарезка  ПОКОМ</v>
          </cell>
          <cell r="E519">
            <v>130</v>
          </cell>
        </row>
        <row r="520">
          <cell r="A520" t="str">
            <v xml:space="preserve"> 554  Колбаса Сервелат Мясорубский ТМ Стародворье в упаковке скин 0,08 кг нарезка  ПОКОМ</v>
          </cell>
          <cell r="E520">
            <v>97</v>
          </cell>
        </row>
        <row r="521">
          <cell r="A521" t="str">
            <v>495  Колбаса Сочинка по-европейски с сочной грудинкой 0,3кг ТМ Стародворье  ПОКОМ</v>
          </cell>
          <cell r="E521">
            <v>157</v>
          </cell>
        </row>
        <row r="522">
          <cell r="A522" t="str">
            <v>496  Колбаса Сочинка по-фински с сочным окроком 0,3кг ТМ Стародворье  ПОКОМ</v>
          </cell>
          <cell r="E522">
            <v>169</v>
          </cell>
        </row>
        <row r="523">
          <cell r="A523" t="str">
            <v>515  Колбаса Сервелат Мясорубский Делюкс 0,3кг ТМ Стародворье  ПОКОМ</v>
          </cell>
          <cell r="E523">
            <v>104</v>
          </cell>
        </row>
        <row r="524">
          <cell r="A524" t="str">
            <v>519  Грудинка 0,12 кг нарезка ТМ Стародворье  ПОКОМ</v>
          </cell>
          <cell r="E524">
            <v>57</v>
          </cell>
        </row>
        <row r="525">
          <cell r="A525" t="str">
            <v>АСП Донецк Заморозка</v>
          </cell>
          <cell r="E525">
            <v>24113.599999999999</v>
          </cell>
        </row>
        <row r="526">
          <cell r="A526" t="str">
            <v>ПОКОМ Логистический Партнер</v>
          </cell>
          <cell r="E526">
            <v>24113.599999999999</v>
          </cell>
        </row>
        <row r="527">
          <cell r="A527" t="str">
            <v>Заморозка Зареченские Логистический партнер (кг)</v>
          </cell>
          <cell r="E527">
            <v>1158.0999999999999</v>
          </cell>
        </row>
        <row r="528">
          <cell r="A528" t="str">
            <v>Мини-сосиски в тесте 5кг ВЕС ТМ Зареченские  ПОКОМ</v>
          </cell>
          <cell r="E528">
            <v>225</v>
          </cell>
        </row>
        <row r="529">
          <cell r="A529" t="str">
            <v>Мини-шарики с курочкой и сыром ТМ Зареченские ВЕС ПОКОМ</v>
          </cell>
          <cell r="E529">
            <v>180</v>
          </cell>
        </row>
        <row r="530">
          <cell r="A530" t="str">
            <v>Наггетсы Хрустящие ТМ Зареченские ТС Зареченские продукты. Поком</v>
          </cell>
          <cell r="E530">
            <v>323.39999999999998</v>
          </cell>
        </row>
        <row r="531">
          <cell r="A531" t="str">
            <v>Пирожки с мясом 3,7кг ВЕС ТМ Зареченские  ПОКОМ</v>
          </cell>
          <cell r="E531">
            <v>114.7</v>
          </cell>
        </row>
        <row r="532">
          <cell r="A532" t="str">
            <v>Чебуреки Мясные вес 2,7 кг ТМ Зареченские ТС Зареченские продукты   Поком</v>
          </cell>
          <cell r="E532">
            <v>42</v>
          </cell>
        </row>
        <row r="533">
          <cell r="A533" t="str">
            <v>Чебуреки сочные ТМ Зареченские ТС Зареченские продукты.  Поком</v>
          </cell>
          <cell r="E533">
            <v>273</v>
          </cell>
        </row>
        <row r="534">
          <cell r="A534" t="str">
            <v>Новая точка линейная розница</v>
          </cell>
          <cell r="E534">
            <v>4</v>
          </cell>
        </row>
        <row r="535">
          <cell r="A535" t="str">
            <v>ПОКОМ Логистический Партнер Заморозка</v>
          </cell>
          <cell r="E535">
            <v>22951.5</v>
          </cell>
        </row>
        <row r="536">
          <cell r="A536" t="str">
            <v>БОНУС_Готовые чебупели сочные с мясом ТМ Горячая штучка флоу-пак 0,24 кг  ПОКОМ</v>
          </cell>
          <cell r="E536">
            <v>164</v>
          </cell>
        </row>
        <row r="537">
          <cell r="A537" t="str">
            <v>БОНУС_Пельмени Бульмени со сливочным маслом ТМ Горячая штучка флоу-пак сфера 0,7 кг .  Поком</v>
          </cell>
          <cell r="E537">
            <v>157</v>
          </cell>
        </row>
        <row r="538">
          <cell r="A538" t="str">
            <v>БОНУС_Чебупицца курочка по-итальянски Горячая штучка 0,25 кг зам  ПОКОМ</v>
          </cell>
          <cell r="E538">
            <v>39</v>
          </cell>
        </row>
        <row r="539">
          <cell r="A539" t="str">
            <v>Бульмени хрустящие с мясом ТМ Горячая штучка ТС Бульмени ГШ сфера 0,22 кг  Поком</v>
          </cell>
          <cell r="E539">
            <v>1</v>
          </cell>
        </row>
        <row r="540">
          <cell r="A540" t="str">
            <v>Готовые бельмеши сочные с мясом ТМ Горячая штучка 0,3кг зам  ПОКОМ</v>
          </cell>
          <cell r="E540">
            <v>327</v>
          </cell>
        </row>
        <row r="541">
          <cell r="A541" t="str">
            <v>Готовые чебуманы с говядиной ТМ горячая штучка 0,28 кг.  Поком</v>
          </cell>
          <cell r="E541">
            <v>337</v>
          </cell>
        </row>
        <row r="542">
          <cell r="A542" t="str">
            <v>Готовые чебупели острые с мясом ТМ Горячая штучка флоу-пак 0,24 кг  Поком</v>
          </cell>
          <cell r="E542">
            <v>392</v>
          </cell>
        </row>
        <row r="543">
          <cell r="A543" t="str">
            <v>Готовые чебупели с ветчиной и сыром ТМ Горячая штучка флоу-пак 0,24 кг.  ПОКОМ</v>
          </cell>
          <cell r="E543">
            <v>721</v>
          </cell>
        </row>
        <row r="544">
          <cell r="A544" t="str">
            <v>Готовые чебупели с мясом ТМ Горячая штучка 0,24 кг  ПОКОМ</v>
          </cell>
          <cell r="E544">
            <v>645</v>
          </cell>
        </row>
        <row r="545">
          <cell r="A545" t="str">
            <v>Готовые чебупели сочные с мясом ТМ Горячая штучка флоу-пак 0,24 кг  ПОКОМ</v>
          </cell>
          <cell r="E545">
            <v>554</v>
          </cell>
        </row>
        <row r="546">
          <cell r="A546" t="str">
            <v>Готовые чебупели сочные с мясом ТМ Горячая штучка флоу-пак 0,48 кг XXL  Поком</v>
          </cell>
          <cell r="E546">
            <v>412</v>
          </cell>
        </row>
        <row r="547">
          <cell r="A547" t="str">
            <v>Готовые чебуреки с мясом ТМ Горячая штучка 0,09 кг флоу-пак ПОКОМ</v>
          </cell>
          <cell r="E547">
            <v>1049</v>
          </cell>
        </row>
        <row r="548">
          <cell r="A548" t="str">
            <v>Готовые чебуреки со свининой и говядиной ТМ Горячая штучка ТС Базовый ассортимент 0,36 кг  ПОКОМ</v>
          </cell>
          <cell r="E548">
            <v>104</v>
          </cell>
        </row>
        <row r="549">
          <cell r="A549" t="str">
            <v>ЖАР-ладушки с клубникой и вишней ТМ Стародворье 0,2 кг.  Поком</v>
          </cell>
          <cell r="E549">
            <v>107</v>
          </cell>
        </row>
        <row r="550">
          <cell r="A550" t="str">
            <v>Жареные вареники с картофелем и беконом Добросельские 0,2 кг. ТМ Стародворье  ПОКОМ</v>
          </cell>
          <cell r="E550">
            <v>28</v>
          </cell>
        </row>
        <row r="551">
          <cell r="A551" t="str">
            <v>Жареные вареники с картофелем и беконом ТМ Стародворье 0,2 кг  ПОКОМ</v>
          </cell>
          <cell r="E551">
            <v>357</v>
          </cell>
        </row>
        <row r="552">
          <cell r="A552" t="str">
            <v>Круггетсы с сырным соусом ТМ Горячая штучка ТС Круггетсы флоу-пак 0,2 кг  ПОКОМ</v>
          </cell>
          <cell r="E552">
            <v>692</v>
          </cell>
        </row>
        <row r="553">
          <cell r="A553" t="str">
            <v>Круггетсы сочные ТМ Горячая штучка ТС Круггетсы флоу-пак  0,2 кг.  ПОКОМ</v>
          </cell>
          <cell r="E553">
            <v>355</v>
          </cell>
        </row>
        <row r="554">
          <cell r="A554" t="str">
            <v>Мини-чебуреки с мясом ТМ Зареченские ТС Зареченские продукты ПОКОМ</v>
          </cell>
          <cell r="E554">
            <v>175.5</v>
          </cell>
        </row>
        <row r="555">
          <cell r="A555" t="str">
            <v>Наггетсы из печи 0,25кг ТМ Вязанка замор.  ПОКОМ</v>
          </cell>
          <cell r="E555">
            <v>827</v>
          </cell>
        </row>
        <row r="556">
          <cell r="A556" t="str">
            <v>Наггетсы Нагетосы Сочная курочка со сметаной и зеленью ТМ Горячая штучка флоу-пак 0,25 кг  Поком</v>
          </cell>
          <cell r="E556">
            <v>300</v>
          </cell>
        </row>
        <row r="557">
          <cell r="A557" t="str">
            <v>Наггетсы Нагетосы Сочная курочка ТМ Горячая штучка 0,25 кг зам  ПОКОМ</v>
          </cell>
          <cell r="E557">
            <v>370</v>
          </cell>
        </row>
        <row r="558">
          <cell r="A558" t="str">
            <v>Наггетсы с индейкой 0,25кг ТМ Вязанка ТС Из печи Сливушки ПОКОМ</v>
          </cell>
          <cell r="E558">
            <v>566</v>
          </cell>
        </row>
        <row r="559">
          <cell r="A559" t="str">
            <v>Наггетсы с куриным филе и сыром ТМ Вязанка ТС Из печи Сливушки 0,25 кг.  Поком</v>
          </cell>
          <cell r="E559">
            <v>502</v>
          </cell>
        </row>
        <row r="560">
          <cell r="A560" t="str">
            <v>Наггетсы Хрустящие ТМ Стародворье с сочной курочкой 0,23 кг  ПОКОМ</v>
          </cell>
          <cell r="E560">
            <v>604</v>
          </cell>
        </row>
        <row r="561">
          <cell r="A561" t="str">
            <v>Пекерсы с индейкой в сливочном соусе ТМ Горячая штучка 0,25 кг зам  ПОКОМ</v>
          </cell>
          <cell r="E561">
            <v>177</v>
          </cell>
        </row>
        <row r="562">
          <cell r="A562" t="str">
            <v>Пельмени Grandmeni с говядиной и свининой ТМ Горячаяштучка флоу-па классическая форма 0,7 кг.  Поком</v>
          </cell>
          <cell r="E562">
            <v>192</v>
          </cell>
        </row>
        <row r="563">
          <cell r="A563" t="str">
            <v>Пельмени Grandmeni с говядиной ТМ Горячаяштучка флоу-пак сфера 0,7 кг.  Поком</v>
          </cell>
          <cell r="E563">
            <v>249</v>
          </cell>
        </row>
        <row r="564">
          <cell r="A564" t="str">
            <v>Пельмени Grandmeni со сливочным маслом  ТМ Горячая штучка флоу-пак сфера 0,7 кг.  Поком</v>
          </cell>
          <cell r="E564">
            <v>343</v>
          </cell>
        </row>
        <row r="565">
          <cell r="A565" t="str">
            <v>Пельмени Бигбули #МЕГАВКУСИЩЕ с сочной грудинкой  ТМ Горячая штучка  флоу-пак сфера 0,7 кг.  Поком</v>
          </cell>
          <cell r="E565">
            <v>201</v>
          </cell>
        </row>
        <row r="566">
          <cell r="A566" t="str">
            <v>Пельмени Бигбули с мясом ТМ Горячая штучка БУЛЬМЕНИ ТС Бигбули ГШ  флоу-пак сфера 0,7.   Поком</v>
          </cell>
          <cell r="E566">
            <v>427</v>
          </cell>
        </row>
        <row r="567">
          <cell r="A567" t="str">
            <v>Пельмени Бигбули с мясом ТМ Горячая штучка. флоу-пак сфера 0,4 кг. ПОКОМ</v>
          </cell>
          <cell r="E567">
            <v>357</v>
          </cell>
        </row>
        <row r="568">
          <cell r="A568" t="str">
            <v>Пельмени Бигбули с мясом, Горячая штучка сфера 0,43 кг  ПОКОМ</v>
          </cell>
          <cell r="E568">
            <v>2</v>
          </cell>
        </row>
        <row r="569">
          <cell r="A569" t="str">
            <v>Пельмени Бигбули со сливочным маслом  ТС Бигбули ГШ#МЕГАМАСЛИЩЕ флоу-пак сфера 0,7.  Поком</v>
          </cell>
          <cell r="E569">
            <v>259</v>
          </cell>
        </row>
        <row r="570">
          <cell r="A570" t="str">
            <v>Пельмени Бульмени мини с мясом и оливковым маслом  ТС Бульмени ГШ флоу-пак сфера 0,7кг  Поком</v>
          </cell>
          <cell r="E570">
            <v>484</v>
          </cell>
        </row>
        <row r="571">
          <cell r="A571" t="str">
            <v>Пельмени Бульмени Нейробуст с мясом ТМ Горячая штучка ТС Бульмени ГШ сфера флоу-пак 0,6 кг.  ПОКОМ</v>
          </cell>
          <cell r="E571">
            <v>2</v>
          </cell>
        </row>
        <row r="572">
          <cell r="A572" t="str">
            <v>Пельмени Бульмени с говядиной и свининой Наваристые Горячая штучка ВЕС  ПОКОМ</v>
          </cell>
          <cell r="E572">
            <v>452</v>
          </cell>
        </row>
        <row r="573">
          <cell r="A573" t="str">
            <v>Пельмени Бульмени с говядиной и свининой ТМ Горячая штучка  флоу-пак сфера 0,4 кг  Поком</v>
          </cell>
          <cell r="E573">
            <v>168</v>
          </cell>
        </row>
        <row r="574">
          <cell r="A574" t="str">
            <v>Пельмени Бульмени с говядиной и свининой ТМ Горячая штучка БУЛЬМЕНИ  флоу-пак сфера 0,7 кг.  Поком</v>
          </cell>
          <cell r="E574">
            <v>543</v>
          </cell>
        </row>
        <row r="575">
          <cell r="A575" t="str">
            <v>Пельмени Бульмени со сливочным маслом ТМ Горячая штучка  флоу-пак сфера 0,4 кг .  Поком</v>
          </cell>
          <cell r="E575">
            <v>142</v>
          </cell>
        </row>
        <row r="576">
          <cell r="A576" t="str">
            <v>Пельмени Бульмени со сливочным маслом ТМ Горячая штучка флоу-пак сфера 0,7 кг .  Поком</v>
          </cell>
          <cell r="E576">
            <v>797</v>
          </cell>
        </row>
        <row r="577">
          <cell r="A577" t="str">
            <v>Пельмени Мясные с говядиной ТМ Стародворье сфера флоу-пак 1 кг  ПОКОМ</v>
          </cell>
          <cell r="E577">
            <v>694</v>
          </cell>
        </row>
        <row r="578">
          <cell r="A578" t="str">
            <v>Пельмени Отборные из свинины и говядины 0,9 кг ТМ Стародворье ТС Медвежье ушко  ПОКОМ</v>
          </cell>
          <cell r="E578">
            <v>40</v>
          </cell>
        </row>
        <row r="579">
          <cell r="A579" t="str">
            <v>Пельмени Отборные с говядиной и свининой 0,43 кг ТМ Стародворье ТС Медвежье ушко  ПОКОМ</v>
          </cell>
          <cell r="E579">
            <v>66</v>
          </cell>
        </row>
        <row r="580">
          <cell r="A580" t="str">
            <v>Пельмени С говядиной и свининой, ВЕС, ТМ Славница сфера пуговки  ПОКОМ</v>
          </cell>
          <cell r="E580">
            <v>290</v>
          </cell>
        </row>
        <row r="581">
          <cell r="A581" t="str">
            <v>Пельмени Со свининой и говядиной ТМ Особый рецепт Любимая ложка 1,0 кг  ПОКОМ</v>
          </cell>
          <cell r="E581">
            <v>24</v>
          </cell>
        </row>
        <row r="582">
          <cell r="A582" t="str">
            <v>Хотстеры Васаби-чили ТМ Горячая штучка ТС Хотстеры 0,23кг жареные ПОКОМ</v>
          </cell>
          <cell r="E582">
            <v>535</v>
          </cell>
        </row>
        <row r="583">
          <cell r="A583" t="str">
            <v>Хотстеры с сыром ТМ Горячая штучка ТС Хотстеры 0,25кг.  Поком</v>
          </cell>
          <cell r="E583">
            <v>634</v>
          </cell>
        </row>
        <row r="584">
          <cell r="A584" t="str">
            <v>Хотстеры ТМ Горячая штучка ТС Хотстеры 0,25 кг зам  ПОКОМ</v>
          </cell>
          <cell r="E584">
            <v>703</v>
          </cell>
        </row>
        <row r="585">
          <cell r="A585" t="str">
            <v>Хрустипай апельсин имбирь ТМ Горячая штучка 0,18 кг  ПОКОМ</v>
          </cell>
          <cell r="E585">
            <v>105</v>
          </cell>
        </row>
        <row r="586">
          <cell r="A586" t="str">
            <v>Хрустипай манго маракуйя ТМ Горячая штучка 0,18 кг  ПОКОМ</v>
          </cell>
          <cell r="E586">
            <v>224</v>
          </cell>
        </row>
        <row r="587">
          <cell r="A587" t="str">
            <v>Хрустипай манго чили ТМ Горячая штучка 0,18кг с начинкой ПОКОМ</v>
          </cell>
          <cell r="E587">
            <v>6</v>
          </cell>
        </row>
        <row r="588">
          <cell r="A588" t="str">
            <v>Хрустящие крылышки острые к пиву ТМ Горячая штучка 0,3кг зам  ПОКОМ</v>
          </cell>
          <cell r="E588">
            <v>501</v>
          </cell>
        </row>
        <row r="589">
          <cell r="A589" t="str">
            <v>Хрустящие крылышки ТМ Горячая штучка 0,3 кг зам  ПОКОМ</v>
          </cell>
          <cell r="E589">
            <v>693</v>
          </cell>
        </row>
        <row r="590">
          <cell r="A590" t="str">
            <v>Чебупели Курочка гриль Базовый ассортимент Фикс.вес 0,3 Пакет Горячая штучка  Поком</v>
          </cell>
          <cell r="E590">
            <v>486</v>
          </cell>
        </row>
        <row r="591">
          <cell r="A591" t="str">
            <v>Чебупицца курочка по-итальянски Горячая штучка 0,25 кг зам  ПОКОМ</v>
          </cell>
          <cell r="E591">
            <v>963</v>
          </cell>
        </row>
        <row r="592">
          <cell r="A592" t="str">
            <v>Чебупицца Маргарита 0,2кг ТМ Горячая штучка ТС Foodgital  ПОКОМ</v>
          </cell>
          <cell r="E592">
            <v>1</v>
          </cell>
        </row>
        <row r="593">
          <cell r="A593" t="str">
            <v>Чебупицца Пепперони ТМ Горячая штучка ТС Чебупицца 0.25кг зам  ПОКОМ</v>
          </cell>
          <cell r="E593">
            <v>1170</v>
          </cell>
        </row>
        <row r="594">
          <cell r="A594" t="str">
            <v>Чебупицца со вкусом 4 сыра 0,2кг ТМ Горячая штучка ТС Foodgital  ПОКОМ</v>
          </cell>
          <cell r="E594">
            <v>383</v>
          </cell>
        </row>
        <row r="595">
          <cell r="A595" t="str">
            <v>Чебупицца со вкусом Том ям ТМ Горячая штучка ТС Чебупицца 0,23кг жареные ПОКОМ</v>
          </cell>
          <cell r="E595">
            <v>721</v>
          </cell>
        </row>
        <row r="596">
          <cell r="A596" t="str">
            <v>Чебуреки сочные, ВЕС, куриные жарен. зам  ПОКОМ</v>
          </cell>
          <cell r="E596">
            <v>110</v>
          </cell>
        </row>
        <row r="597">
          <cell r="A597" t="str">
            <v>Чебуречище горячая штучка 0,14кг Поком</v>
          </cell>
          <cell r="E597">
            <v>22</v>
          </cell>
        </row>
        <row r="598">
          <cell r="A598" t="str">
            <v>АСП Донецк Останкино</v>
          </cell>
          <cell r="E598">
            <v>23368.646000000001</v>
          </cell>
        </row>
        <row r="599">
          <cell r="A599" t="str">
            <v>Останкино ООО</v>
          </cell>
          <cell r="E599">
            <v>23368.646000000001</v>
          </cell>
        </row>
        <row r="600">
          <cell r="A600" t="str">
            <v>ООО Останкино-Краснодар</v>
          </cell>
          <cell r="E600">
            <v>4940.0460000000003</v>
          </cell>
        </row>
        <row r="601">
          <cell r="A601" t="str">
            <v>3287 САЛЯМИ ИТАЛЬЯНСКАЯ с/к в/у ОСТАНКИНО</v>
          </cell>
          <cell r="E601">
            <v>6.5010000000000003</v>
          </cell>
        </row>
        <row r="602">
          <cell r="A602" t="str">
            <v>4063 МЯСНАЯ Папа может вар п/о_Л   ОСТАНКИНО</v>
          </cell>
          <cell r="E602">
            <v>1071.8</v>
          </cell>
        </row>
        <row r="603">
          <cell r="A603" t="str">
            <v>4117 ЭКСТРА Папа может с/к в/у_Л   ОСТАНКИНО</v>
          </cell>
          <cell r="E603">
            <v>7.7</v>
          </cell>
        </row>
        <row r="604">
          <cell r="A604" t="str">
            <v>4574 Мясная со шпиком Папа может вар п/о ОСТАНКИНО</v>
          </cell>
          <cell r="E604">
            <v>190.1</v>
          </cell>
        </row>
        <row r="605">
          <cell r="A605" t="str">
            <v>4813 ФИЛЕЙНАЯ Папа может вар п/о_Л   ОСТАНКИНО</v>
          </cell>
          <cell r="E605">
            <v>508.91</v>
          </cell>
        </row>
        <row r="606">
          <cell r="A606" t="str">
            <v>5452 ВЕТЧ.МЯСНАЯ Папа может п/о    ОСТАНКИНО</v>
          </cell>
          <cell r="E606">
            <v>76.7</v>
          </cell>
        </row>
        <row r="607">
          <cell r="A607" t="str">
            <v>5544 Сервелат Финский в/к в/у_45с НОВАЯ ОСТАНКИНО</v>
          </cell>
          <cell r="E607">
            <v>308</v>
          </cell>
        </row>
        <row r="608">
          <cell r="A608" t="str">
            <v>5708 ПОСОЛЬСКАЯ Папа может с/к в/у ОСТАНКИНО</v>
          </cell>
          <cell r="E608">
            <v>21.4</v>
          </cell>
        </row>
        <row r="609">
          <cell r="A609" t="str">
            <v>5851 ЭКСТРА Папа может вар п/о   ОСТАНКИНО</v>
          </cell>
          <cell r="E609">
            <v>229.6</v>
          </cell>
        </row>
        <row r="610">
          <cell r="A610" t="str">
            <v>6008 САЛО СОЛЕНОЕ С ЧЕРНЫМ ПЕРЦЕМ мл/к в/у ОСТАНКИНО</v>
          </cell>
          <cell r="E610">
            <v>41.095999999999997</v>
          </cell>
        </row>
        <row r="611">
          <cell r="A611" t="str">
            <v>6123 МОЛОЧНЫЕ КЛАССИЧЕСКИЕ ПМ сос п/о мгс 2*4   ОСТАНКИНО</v>
          </cell>
          <cell r="E611">
            <v>2</v>
          </cell>
        </row>
        <row r="612">
          <cell r="A612" t="str">
            <v>6220 ГОВЯЖЬЯ папа может вар п/о  Останкино</v>
          </cell>
          <cell r="E612">
            <v>297.10000000000002</v>
          </cell>
        </row>
        <row r="613">
          <cell r="A613" t="str">
            <v>6303 Мясные Папа может сос п/о мгс 1,5*3  Останкино</v>
          </cell>
          <cell r="E613">
            <v>214.9</v>
          </cell>
        </row>
        <row r="614">
          <cell r="A614" t="str">
            <v>6470 ВЕТЧ.МРАМОРНАЯ в/у_45с  Останкино</v>
          </cell>
          <cell r="E614">
            <v>16.399999999999999</v>
          </cell>
        </row>
        <row r="615">
          <cell r="A615" t="str">
            <v>6472 ВЕТЧ.МРАМОРНАЯ в/у_С_45с  Останкино</v>
          </cell>
          <cell r="E615">
            <v>1.3</v>
          </cell>
        </row>
        <row r="616">
          <cell r="A616" t="str">
            <v>6498 МОЛОЧНАЯ Папа может вар п/о  ОСТАНКИНО</v>
          </cell>
          <cell r="E616">
            <v>109.8</v>
          </cell>
        </row>
        <row r="617">
          <cell r="A617" t="str">
            <v>6527 ШПИКАЧКИ СОЧНЫЕ ПМ сар б/о мгс 1*3 45с ОСТАНКИНО</v>
          </cell>
          <cell r="E617">
            <v>63.850999999999999</v>
          </cell>
        </row>
        <row r="618">
          <cell r="A618" t="str">
            <v>6550 МЯСНЫЕ Папа может сар б/о мгс 1*3 О 45с  Останкино</v>
          </cell>
          <cell r="E618">
            <v>116.22</v>
          </cell>
        </row>
        <row r="619">
          <cell r="A619" t="str">
            <v>6608 С ГОВЯДИНОЙ ОРИГИН. сар б/о мгс 1*3_45с  ОСТАНКИНО</v>
          </cell>
          <cell r="E619">
            <v>198.1</v>
          </cell>
        </row>
        <row r="620">
          <cell r="A620" t="str">
            <v>6661 СОЧНЫЙ ГРИЛЬ ПМ сос п/о мгс 1,5*4_Маяк Останкино</v>
          </cell>
          <cell r="E620">
            <v>10.6</v>
          </cell>
        </row>
        <row r="621">
          <cell r="A621" t="str">
            <v>6829  МОЛОЧНЫЕ КЛАССИЧЕСКИЕ сос п/о мгс 2*4 С  Останккино</v>
          </cell>
          <cell r="E621">
            <v>494.3</v>
          </cell>
        </row>
        <row r="622">
          <cell r="A622" t="str">
            <v>6946 СЕРВЕЛАТ КРЕМЛЕВСКИЙ в/к в/у ВЕС  0,84кг ОСТАНКИНО</v>
          </cell>
          <cell r="E622">
            <v>25.7</v>
          </cell>
        </row>
        <row r="623">
          <cell r="A623" t="str">
            <v>7001 КЛАССИЧЕСКИЕ Папа может сар б/о мгс 1*3  Останкино</v>
          </cell>
          <cell r="E623">
            <v>18.22</v>
          </cell>
        </row>
        <row r="624">
          <cell r="A624" t="str">
            <v>7070 СОЧНЫЕ ПМ сос п/о 1,5*4_А_50с  Останкино</v>
          </cell>
          <cell r="E624">
            <v>295.7</v>
          </cell>
        </row>
        <row r="625">
          <cell r="A625" t="str">
            <v>7075 МОЛОЧ.ПРЕМИУМ ПМ сос п/о мгс 1,5*4_О_50с  Останкино</v>
          </cell>
          <cell r="E625">
            <v>1.5</v>
          </cell>
        </row>
        <row r="626">
          <cell r="A626" t="str">
            <v>7082 СЛИВОЧНЫЕ ПМ сос п/о мгс 1,5*4_50с  Останкино</v>
          </cell>
          <cell r="E626">
            <v>1.5</v>
          </cell>
        </row>
        <row r="627">
          <cell r="A627" t="str">
            <v>7083 СЛИВОЧНЫЕ ПМ сос п/о мгс 1.5*4_А_50с  ОСТАНКИНО</v>
          </cell>
          <cell r="E627">
            <v>129.80000000000001</v>
          </cell>
        </row>
        <row r="628">
          <cell r="A628" t="str">
            <v>7157 СЕРВЕЛАТ ЗЕРНИСТЫЙ ПМ в/к в/у_50с  Останкино</v>
          </cell>
          <cell r="E628">
            <v>107.8</v>
          </cell>
        </row>
        <row r="629">
          <cell r="A629" t="str">
            <v>7166 СЕРВЕЛАТ ОХОТНИЧИЙ ПМ в/к в/у_50с  Останкино</v>
          </cell>
          <cell r="E629">
            <v>262.3</v>
          </cell>
        </row>
        <row r="630">
          <cell r="A630" t="str">
            <v>7564 Балыковая в/к в/у Останкино Вес  ОСТАНКИНО</v>
          </cell>
          <cell r="E630">
            <v>14.5</v>
          </cell>
        </row>
        <row r="631">
          <cell r="A631" t="str">
            <v>А_4574 Мясная со шпиком Папа может вар п/о ОСТАНКИНО</v>
          </cell>
          <cell r="E631">
            <v>3.9</v>
          </cell>
        </row>
        <row r="632">
          <cell r="A632" t="str">
            <v>А_5452 ВЕТЧ.МЯСНАЯ Папа может п/о    ОСТАНКИНО</v>
          </cell>
          <cell r="E632">
            <v>3.3</v>
          </cell>
        </row>
        <row r="633">
          <cell r="A633" t="str">
            <v>БОНУС_6954 СОЧНЫЕ Папа может сос п/о мгс 1.5*4_Х5  ОСТАНКИНО</v>
          </cell>
          <cell r="E633">
            <v>89.447999999999993</v>
          </cell>
        </row>
        <row r="634">
          <cell r="A634" t="str">
            <v>ООО Останкино-Краснодар (ШТ)</v>
          </cell>
          <cell r="E634">
            <v>17826.099999999999</v>
          </cell>
        </row>
        <row r="635">
          <cell r="A635" t="str">
            <v>3215 ВЕТЧ.МЯСНАЯ Папа может п/о 0.4кг 8шт.    ОСТАНКИНО</v>
          </cell>
          <cell r="E635">
            <v>260</v>
          </cell>
        </row>
        <row r="636">
          <cell r="A636" t="str">
            <v>3986 Ароматная с/к в/у 1/250 ОСТАНКИНО</v>
          </cell>
          <cell r="E636">
            <v>160</v>
          </cell>
        </row>
        <row r="637">
          <cell r="A637" t="str">
            <v>4993 САЛЯМИ ИТАЛЬЯНСКАЯ с/к в/у 1/250*8_120c ОСТАНКИНО</v>
          </cell>
          <cell r="E637">
            <v>90</v>
          </cell>
        </row>
        <row r="638">
          <cell r="A638" t="str">
            <v>5483 ЭКСТРА Папа может с/к в/у 1/250 8шт.   ОСТАНКИНО</v>
          </cell>
          <cell r="E638">
            <v>74</v>
          </cell>
        </row>
        <row r="639">
          <cell r="A639" t="str">
            <v>5495 ВЕТЧ.С ИНДЕЙКОЙ Папа может п/о 400*6  Останкино</v>
          </cell>
          <cell r="E639">
            <v>439</v>
          </cell>
        </row>
        <row r="640">
          <cell r="A640" t="str">
            <v>5819 Сосиски Папа может 400г Мясные  ОСТАНКИНО</v>
          </cell>
          <cell r="E640">
            <v>283</v>
          </cell>
        </row>
        <row r="641">
          <cell r="A641" t="str">
            <v>5931 ОХОТНИЧЬЯ Папа может с/к в/у 1/220 8шт.   ОСТАНКИНО</v>
          </cell>
          <cell r="E641">
            <v>195.6</v>
          </cell>
        </row>
        <row r="642">
          <cell r="A642" t="str">
            <v>6069 ФИЛЕЙНЫЕ Папа может сос ц/о мгс 0,33кг  Останкино</v>
          </cell>
          <cell r="E642">
            <v>2</v>
          </cell>
        </row>
        <row r="643">
          <cell r="A643" t="str">
            <v>6206 СВИНИНА ПО-ДОМАШНЕМУ к/в мл/к в/у 0,3кг  Останкино</v>
          </cell>
          <cell r="E643">
            <v>1</v>
          </cell>
        </row>
        <row r="644">
          <cell r="A644" t="str">
            <v>6208 ДЫМОВИЦА ИЗ ЛОПАТКИ ПМ к/в с/н в/у 1/150  Останкино</v>
          </cell>
          <cell r="E644">
            <v>22</v>
          </cell>
        </row>
        <row r="645">
          <cell r="A645" t="str">
            <v>6221 НЕОПОЛИТАНСКИЙ ДУЭТ с/к с/н мгс 1/90  Останкино</v>
          </cell>
          <cell r="E645">
            <v>445</v>
          </cell>
        </row>
        <row r="646">
          <cell r="A646" t="str">
            <v>6228 МЯСНОЕ АССОРТИ к/з с/н мгс 1/90 10шт  Останкино</v>
          </cell>
          <cell r="E646">
            <v>138</v>
          </cell>
        </row>
        <row r="647">
          <cell r="A647" t="str">
            <v>6268 Колбаса Папа может 400г Говяжья вар п/о  ОСТАНКИНО</v>
          </cell>
          <cell r="E647">
            <v>50</v>
          </cell>
        </row>
        <row r="648">
          <cell r="A648" t="str">
            <v>6279 КОРЕЙКА ПО-ОСТ.к/в в/с с/н в/у 1/150_45с  Останкино</v>
          </cell>
          <cell r="E648">
            <v>73</v>
          </cell>
        </row>
        <row r="649">
          <cell r="A649" t="str">
            <v>6324 ДОКТОРСКАЯ ГОСТ вар п/о 0,4кг 8шт  Останкино</v>
          </cell>
          <cell r="E649">
            <v>437.3</v>
          </cell>
        </row>
        <row r="650">
          <cell r="A650" t="str">
            <v>6325 ДОКТОРСКАЯ ПРЕМИУМ вар п/о 0.4кг 8шт.  ОСТАНКИНО</v>
          </cell>
          <cell r="E650">
            <v>68</v>
          </cell>
        </row>
        <row r="651">
          <cell r="A651" t="str">
            <v>6333 МЯСНАЯ Папа может вар п/о 0.4кг 8шт.  ОСТАНКИНО</v>
          </cell>
          <cell r="E651">
            <v>709</v>
          </cell>
        </row>
        <row r="652">
          <cell r="A652" t="str">
            <v>6337 МЯСНАЯ СО ШПИКОМ вар п/о 0,5кг 8шт ОСТАНКИНО</v>
          </cell>
          <cell r="E652">
            <v>2</v>
          </cell>
        </row>
        <row r="653">
          <cell r="A653" t="str">
            <v>6353 ЭКСТРА Папа может вар п/о 0.4кг 8шт.  ОСТАНКИНО</v>
          </cell>
          <cell r="E653">
            <v>463.2</v>
          </cell>
        </row>
        <row r="654">
          <cell r="A654" t="str">
            <v>6392 ФИЛЕЙНАЯ Папа может вар п/о 0,4кг  ОСТАНКИНО</v>
          </cell>
          <cell r="E654">
            <v>727.6</v>
          </cell>
        </row>
        <row r="655">
          <cell r="A655" t="str">
            <v>6453 ЭКСТРА Папа может с/к с/н в/у 1/100 14шт.   ОСТАНКИНО</v>
          </cell>
          <cell r="E655">
            <v>317</v>
          </cell>
        </row>
        <row r="656">
          <cell r="A656" t="str">
            <v>6454 АРОМАТНАЯ с/к с/н в/у 1/100 10шт.  ОСТАНКИНО</v>
          </cell>
          <cell r="E656">
            <v>217</v>
          </cell>
        </row>
        <row r="657">
          <cell r="A657" t="str">
            <v>6459 СЕРВЕЛАТ ШВЕЙЦАРСК. в/к с/н в/у 1/100*10  Останкино</v>
          </cell>
          <cell r="E657">
            <v>112</v>
          </cell>
        </row>
        <row r="658">
          <cell r="A658" t="str">
            <v>6475 Сосиски Папа может 400г С сыром  ОСТАНКИНО</v>
          </cell>
          <cell r="E658">
            <v>72</v>
          </cell>
        </row>
        <row r="659">
          <cell r="A659" t="str">
            <v>6495 ВЕТЧ.МРАМОРНАЯ в/у срез 0,3кг 6шт_45с  Останкино</v>
          </cell>
          <cell r="E659">
            <v>282</v>
          </cell>
        </row>
        <row r="660">
          <cell r="A660" t="str">
            <v>6602 БАВАРСКИЕ ПМ сос ц/о мгс 0,35кг 8шт  Останкино</v>
          </cell>
          <cell r="E660">
            <v>19</v>
          </cell>
        </row>
        <row r="661">
          <cell r="A661" t="str">
            <v>6609 С ГОВЯДИНОЙ ПМ сар б/о мгс 0,4 кг_45с</v>
          </cell>
          <cell r="E661">
            <v>15</v>
          </cell>
        </row>
        <row r="662">
          <cell r="A662" t="str">
            <v>6616 МОЛОЧНЫЕ КЛАССИЧЕСКИЕ сос п/о в/у 0,3 кг  Останкино</v>
          </cell>
          <cell r="E662">
            <v>2401</v>
          </cell>
        </row>
        <row r="663">
          <cell r="A663" t="str">
            <v>6684 СЕРВЕЛАТ КАРЕЛЬСКИЙ ПМ в/к в/у 0,28кг  ОСТАНКИНО</v>
          </cell>
          <cell r="E663">
            <v>2</v>
          </cell>
        </row>
        <row r="664">
          <cell r="A664" t="str">
            <v>6697 СЕРВЕЛАТ ФИНСКИЙ ПМ в/к в/у 0,35кг 8шт  ОСТАНКИНО</v>
          </cell>
          <cell r="E664">
            <v>1225</v>
          </cell>
        </row>
        <row r="665">
          <cell r="A665" t="str">
            <v>6713 СОЧНЫЙ ГРИЛЬ ПМ сос п/о мгс 0,41кг 8 шт.  ОСТАНКИНО</v>
          </cell>
          <cell r="E665">
            <v>470</v>
          </cell>
        </row>
        <row r="666">
          <cell r="A666" t="str">
            <v>6724 МОЛОЧНЫЕ ПМ сос п/о мгс 0,41кг 10шт  Останкино</v>
          </cell>
          <cell r="E666">
            <v>67</v>
          </cell>
        </row>
        <row r="667">
          <cell r="A667" t="str">
            <v>6765 РУБЛЕНЫЕ сос ц/о мгс 0,36кг 6шт  Останкино</v>
          </cell>
          <cell r="E667">
            <v>225</v>
          </cell>
        </row>
        <row r="668">
          <cell r="A668" t="str">
            <v>6787 СЕРВЕЛАТ КРЕМЛЕВСКИЙ в/к в/у 0,33кг 8шт  Останкино</v>
          </cell>
          <cell r="E668">
            <v>327</v>
          </cell>
        </row>
        <row r="669">
          <cell r="A669" t="str">
            <v>6793 БАЛЫКОВАЯ в/к в/у 0,33кг 8шт  Останкино</v>
          </cell>
          <cell r="E669">
            <v>220</v>
          </cell>
        </row>
        <row r="670">
          <cell r="A670" t="str">
            <v>6797 С ИНДЕЙКОЙ Папа может вар п/о 0,4кг 8шт. ОСТАНКИНО</v>
          </cell>
          <cell r="E670">
            <v>215</v>
          </cell>
        </row>
        <row r="671">
          <cell r="A671" t="str">
            <v>6807 СЕРВЕЛАТ ЕВРОПЕЙСКИЙ в/к в/у 0,33кг 8шт  Останкино</v>
          </cell>
          <cell r="E671">
            <v>29</v>
          </cell>
        </row>
        <row r="672">
          <cell r="A672" t="str">
            <v>6834 ПОСОЛЬСКАЯ с/к с/н в/у 1/100 10шт  Останкино</v>
          </cell>
          <cell r="E672">
            <v>27</v>
          </cell>
        </row>
        <row r="673">
          <cell r="A673" t="str">
            <v>6837 ФИЛЕЙНЫЕ Папа Может сос ц/о мгс 0,4кг  Останкино</v>
          </cell>
          <cell r="E673">
            <v>33</v>
          </cell>
        </row>
        <row r="674">
          <cell r="A674" t="str">
            <v>6925 ВЕТЧ.КЛАССИЧЕСКАЯ в/у 0,6кг 8шт. ОСТАНКИНО</v>
          </cell>
          <cell r="E674">
            <v>11</v>
          </cell>
        </row>
        <row r="675">
          <cell r="A675" t="str">
            <v>6967 БУРГУНДИЯ Папа может с/к в/у 1/250 8шт  Останкино</v>
          </cell>
          <cell r="E675">
            <v>58</v>
          </cell>
        </row>
        <row r="676">
          <cell r="A676" t="str">
            <v>7059 ШПИКАЧКИ СОЧНЫЕ С БЕК. п/о мгс 0,3кг 60с ОСТАНКИНО</v>
          </cell>
          <cell r="E676">
            <v>100</v>
          </cell>
        </row>
        <row r="677">
          <cell r="A677" t="str">
            <v>7066 СОЧНЫЕ ПМ сос п/о мгс 0,41кг 10шт 50с  Останкино</v>
          </cell>
          <cell r="E677">
            <v>1093</v>
          </cell>
        </row>
        <row r="678">
          <cell r="A678" t="str">
            <v>7067 СОЧНЫЕ ПМ сос. п/о мгс 0,41кг СНГ 50с ОСТАНКИНО</v>
          </cell>
          <cell r="E678">
            <v>109</v>
          </cell>
        </row>
        <row r="679">
          <cell r="A679" t="str">
            <v>7073 МОЛОЧ.ПРЕМИУМ ПМ сос п/о в/у 1/350_50с  Останкино</v>
          </cell>
          <cell r="E679">
            <v>56</v>
          </cell>
        </row>
        <row r="680">
          <cell r="A680" t="str">
            <v>7077 МЯСНЫЕ С ГОВЯД. ПМ сос п/о мгс 0,4кг_50с  Останкино</v>
          </cell>
          <cell r="E680">
            <v>9</v>
          </cell>
        </row>
        <row r="681">
          <cell r="A681" t="str">
            <v>7080 СЛИВОЧНЫЕ ПМ сос п/о мгс 0,41кг 10шт 50с  Останкино</v>
          </cell>
          <cell r="E681">
            <v>763</v>
          </cell>
        </row>
        <row r="682">
          <cell r="A682" t="str">
            <v>7090 СВИНИНА ПО-ДОМ.к/в мл/к в/у 0,3кг_50с  Останкино</v>
          </cell>
          <cell r="E682">
            <v>173</v>
          </cell>
        </row>
        <row r="683">
          <cell r="A683" t="str">
            <v>7103 БЕКОН Останкино с/к с/н в/у 1/180_50с  Останкино</v>
          </cell>
          <cell r="E683">
            <v>215</v>
          </cell>
        </row>
        <row r="684">
          <cell r="A684" t="str">
            <v>7147 САЛЬЧИЧОН Останкино с/к в/у 1/220 8 шт  Останкино</v>
          </cell>
          <cell r="E684">
            <v>10</v>
          </cell>
        </row>
        <row r="685">
          <cell r="A685" t="str">
            <v>7154 СЕРВЕЛАТ ЗЕРНИСТЫЙ ПМ в/к в/у 0,35кг_50с  Останкино</v>
          </cell>
          <cell r="E685">
            <v>820.8</v>
          </cell>
        </row>
        <row r="686">
          <cell r="A686" t="str">
            <v>7163 СЕРВЕЛАТ КЛАССИЧ.ПМ в/к в/у 0,62кг_50с  Останкино</v>
          </cell>
          <cell r="E686">
            <v>3.2</v>
          </cell>
        </row>
        <row r="687">
          <cell r="A687" t="str">
            <v>7169 СЕРВЕЛАТ ОХОТНИЧИЙ ПМ в/к в/у 0,35кг_50с  Останкино</v>
          </cell>
          <cell r="E687">
            <v>876.4</v>
          </cell>
        </row>
        <row r="688">
          <cell r="A688" t="str">
            <v>7187 ГРУДИНКА ПРЕМИУМ к/в мл/к в/у 0,3кг_50с  Останкино</v>
          </cell>
          <cell r="E688">
            <v>116</v>
          </cell>
        </row>
        <row r="689">
          <cell r="A689" t="str">
            <v>7231 КЛАССИЧЕСКАЯ ПМ вар п/о 0,3кг 8 шт_209к  Останкино</v>
          </cell>
          <cell r="E689">
            <v>85</v>
          </cell>
        </row>
        <row r="690">
          <cell r="A690" t="str">
            <v>7232 БОЯNСКАЯ ПМ п/к в/у 0,28кг 8шт_209к  Останкино</v>
          </cell>
          <cell r="E690">
            <v>134</v>
          </cell>
        </row>
        <row r="691">
          <cell r="A691" t="str">
            <v>7236 СЕРВЕЛАТ КАРЕЛЬСКИЙ в/к в/у 0,28кг_209к  Останкино</v>
          </cell>
          <cell r="E691">
            <v>400</v>
          </cell>
        </row>
        <row r="692">
          <cell r="A692" t="str">
            <v>7237 СЕРВЕЛАТ ШВАРЦЕР ПМ в/к в/у 0,28кг_209к  Останкино</v>
          </cell>
          <cell r="E692">
            <v>54</v>
          </cell>
        </row>
        <row r="693">
          <cell r="A693" t="str">
            <v>7241 САЛЯМИ Папа может п/к в/у 0,28кг ОСТАНКИНО</v>
          </cell>
          <cell r="E693">
            <v>205</v>
          </cell>
        </row>
        <row r="694">
          <cell r="A694" t="str">
            <v>7255 МЯСНЫЕ С ГОВЯД.ПМ сос п/о мгс 0.4кг 6шт.  ОСТАНКИНО</v>
          </cell>
          <cell r="E694">
            <v>421</v>
          </cell>
        </row>
        <row r="695">
          <cell r="A695" t="str">
            <v>7276 СЛИВОЧНЫЕ ПМ сос п/о мгс 0,3кг 7шт  Останкино</v>
          </cell>
          <cell r="E695">
            <v>13</v>
          </cell>
        </row>
        <row r="696">
          <cell r="A696" t="str">
            <v>7284 ДЛЯ ДЕТЕЙ сос п/о мгс 0,33кг 6шт  Останкино</v>
          </cell>
          <cell r="E696">
            <v>29</v>
          </cell>
        </row>
        <row r="697">
          <cell r="A697" t="str">
            <v>7288 БАЛЫК с/к с/н в/у 1/100 10шт ОСТАНКИНО</v>
          </cell>
          <cell r="E697">
            <v>79</v>
          </cell>
        </row>
        <row r="698">
          <cell r="A698" t="str">
            <v>7332 БОЯРСКАЯ ПМ п/к в/у 0,28кг ОСТАНКИНО</v>
          </cell>
          <cell r="E698">
            <v>18</v>
          </cell>
        </row>
        <row r="699">
          <cell r="A699" t="str">
            <v>7333 СЕРВЕЛАТ ОХОТНИЧИЙ ПМ в/к в/у 0,28кг ОСТАНКИНО</v>
          </cell>
          <cell r="E699">
            <v>20</v>
          </cell>
        </row>
        <row r="700">
          <cell r="A700" t="str">
            <v>7371 БРЕСТСКИЕ сос п/о в/у 0,3кг 8шт. ОСТАНКИНО</v>
          </cell>
          <cell r="E700">
            <v>179</v>
          </cell>
        </row>
        <row r="701">
          <cell r="A701" t="str">
            <v>7382  САЛЯМИ МЕЛКОЗЕРНЕНАЯ с/к в/у1/120 8шт.  ОСТАНКИНО</v>
          </cell>
          <cell r="E701">
            <v>164</v>
          </cell>
        </row>
        <row r="702">
          <cell r="A702" t="str">
            <v>7461 ДЛЯ ДЕТЕЙ Папа Может сос п/о мгс 0,33кг ОСТАНКИНО</v>
          </cell>
          <cell r="E702">
            <v>218</v>
          </cell>
        </row>
        <row r="703">
          <cell r="A703" t="str">
            <v>7477 ДОКТОРСКАЯ ГОСТ ПМ вар п/о 0,35кг 8шт ОСТАНКИНО</v>
          </cell>
          <cell r="E703">
            <v>1</v>
          </cell>
        </row>
        <row r="704">
          <cell r="A704" t="str">
            <v>7489 СЫРРРВЕЛАТ Папа Может в/к в/у 0,28кг 8шт. ОСТАНКИНО</v>
          </cell>
          <cell r="E704">
            <v>193</v>
          </cell>
        </row>
        <row r="705">
          <cell r="A705" t="str">
            <v>7523 ГОВЯЖЬЯ Папа Может вар п/о 0,4кг 6шт. ОСТАНКИНО</v>
          </cell>
          <cell r="E705">
            <v>181</v>
          </cell>
        </row>
        <row r="706">
          <cell r="A706" t="str">
            <v>7539 ДОКТОРСКАЯ ГОСТ вар п/о 0,35кг ОСТАНКИНО</v>
          </cell>
          <cell r="E706">
            <v>1</v>
          </cell>
        </row>
        <row r="707">
          <cell r="A707" t="str">
            <v>7603 БАЛЫКОВАЯ в/к в/у 0.33кг 8шт. ОСТАНКИНО</v>
          </cell>
          <cell r="E707">
            <v>18</v>
          </cell>
        </row>
        <row r="708">
          <cell r="A708" t="str">
            <v>БОНУС_6087 СОЧНЫЕ ПМ сос п/о мгс 0,41кг 10шт.  ОСТАНКИНО</v>
          </cell>
          <cell r="E708">
            <v>85</v>
          </cell>
        </row>
        <row r="709">
          <cell r="A709" t="str">
            <v>Останкино Заморозка</v>
          </cell>
          <cell r="E709">
            <v>519</v>
          </cell>
        </row>
        <row r="710">
          <cell r="A710" t="str">
            <v>5579 БЛИНЧ.КРУГЛЫЕ С САД.ЯБЛОК.пл.1/420 зам. ОСТАНКИНО</v>
          </cell>
          <cell r="E710">
            <v>22</v>
          </cell>
        </row>
        <row r="711">
          <cell r="A711" t="str">
            <v>5754 БЛИНЧ.КРУГЛЫЕ С МЯСОМ 4,5кг зам. ПМ ОСТАНКИНО</v>
          </cell>
          <cell r="E711">
            <v>4.5</v>
          </cell>
        </row>
        <row r="712">
          <cell r="A712" t="str">
            <v>5755 БЛИНЧ.КРУГЛЫЕ С ТВОРОГОМ 4,5кг зам. ПМ ОСТАНКИНО</v>
          </cell>
          <cell r="E712">
            <v>4.5</v>
          </cell>
        </row>
        <row r="713">
          <cell r="A713" t="str">
            <v>5897 БЛИНЧ.КРУГЛЫЕ С ГРУШЕЙ пл.1/420 зам.   ОСТАНКИНО</v>
          </cell>
          <cell r="E713">
            <v>13</v>
          </cell>
        </row>
        <row r="714">
          <cell r="A714" t="str">
            <v>6148 БЛИНЧ.КРУГЛЫЕ С ВЕТЧ.И СЫР. ПМ 1/300 зам. ОСТАНКИНО</v>
          </cell>
          <cell r="E714">
            <v>56</v>
          </cell>
        </row>
        <row r="715">
          <cell r="A715" t="str">
            <v>6149 БЛИНЧ.КРУГЛЫЕ С ПЕЧЕНЬЮ ПМ 1/300 зам. ОСТАНКИНО</v>
          </cell>
          <cell r="E715">
            <v>117</v>
          </cell>
        </row>
        <row r="716">
          <cell r="A716" t="str">
            <v>6168 Блинчики с мясом пл. 1/350 зам. ОСТАНКИНО</v>
          </cell>
          <cell r="E716">
            <v>93</v>
          </cell>
        </row>
        <row r="717">
          <cell r="A717" t="str">
            <v>6202 БЛИНЧ.КРУГЛЫЕ С ТВОРОГОМ ПМ 1/300 зам. ОСТАНКИНО</v>
          </cell>
          <cell r="E717">
            <v>72</v>
          </cell>
        </row>
        <row r="718">
          <cell r="A718" t="str">
            <v>6209 Блинчики с куриным мясом пл. 1/350 зам. ОСТАНКИНО</v>
          </cell>
          <cell r="E718">
            <v>77</v>
          </cell>
        </row>
        <row r="719">
          <cell r="A719" t="str">
            <v>6819 БЛИНЧ.КРУГЛЫЕ С САД.ЯБЛОК. пл. 1/300 зам. ОСТАНКИНО</v>
          </cell>
          <cell r="E719">
            <v>10</v>
          </cell>
        </row>
        <row r="720">
          <cell r="A720" t="str">
            <v>7216 СОЧНЫЕ СО СЛ.МАСЛ.ПМ пельм пл.0.7кг зам. ОСТАНКИНО</v>
          </cell>
          <cell r="E720">
            <v>50</v>
          </cell>
        </row>
        <row r="721">
          <cell r="A721" t="str">
            <v>Останкино КОРОВИНО (ВЕС)</v>
          </cell>
          <cell r="E721">
            <v>83.5</v>
          </cell>
        </row>
        <row r="722">
          <cell r="A722" t="str">
            <v>6832 АССОРТИ СЫРОКОПЧЕНЫХ КОЛБАС Коровино в/у  ОСТАНКИНО</v>
          </cell>
          <cell r="E722">
            <v>28.1</v>
          </cell>
        </row>
        <row r="723">
          <cell r="A723" t="str">
            <v>6861 ДОМАШНИЙ РЕЦЕПТ Коровино вар п/о  Останкино</v>
          </cell>
          <cell r="E723">
            <v>37.5</v>
          </cell>
        </row>
        <row r="724">
          <cell r="A724" t="str">
            <v>6862 ДОМАШНИЙ РЕЦЕПТ СО ШПИК. Коровино вар п/о  Останкино</v>
          </cell>
          <cell r="E724">
            <v>2</v>
          </cell>
        </row>
        <row r="725">
          <cell r="A725" t="str">
            <v>6866 ВЕТЧ.НЕЖНАЯ Коровино п/о_Маяк  Останкино</v>
          </cell>
          <cell r="E725">
            <v>15.9</v>
          </cell>
        </row>
        <row r="726">
          <cell r="A726" t="str">
            <v>АСП Донецк Останкино молоко</v>
          </cell>
          <cell r="E726">
            <v>3477.078</v>
          </cell>
        </row>
        <row r="727">
          <cell r="A727" t="str">
            <v>Останкино ООО</v>
          </cell>
          <cell r="E727">
            <v>3477.078</v>
          </cell>
        </row>
        <row r="728">
          <cell r="A728" t="str">
            <v>Останкино (соусы, майонезы)</v>
          </cell>
          <cell r="E728">
            <v>545</v>
          </cell>
        </row>
        <row r="729">
          <cell r="A729" t="str">
            <v>6948249 Майонезный соус провансаль 824,5гр деликатес.с массовой долей жирн.25% Коровино Останкино</v>
          </cell>
          <cell r="E729">
            <v>2</v>
          </cell>
        </row>
        <row r="730">
          <cell r="A730" t="str">
            <v>6948256 Майонез провансаль классич.оливковый Папа может 372гр с массовой долей жирн. 67% Останкино</v>
          </cell>
          <cell r="E730">
            <v>158</v>
          </cell>
        </row>
        <row r="731">
          <cell r="A731" t="str">
            <v>6948263 Майонез провансаль классич.оливковый Папа может 744гр с массовой долей жирн. 67% Останкино</v>
          </cell>
          <cell r="E731">
            <v>50</v>
          </cell>
        </row>
        <row r="732">
          <cell r="A732" t="str">
            <v>6948270 Майонез провансаль классич.Папа может 372гр с массовой долей жирн. 67% Останкино</v>
          </cell>
          <cell r="E732">
            <v>238</v>
          </cell>
        </row>
        <row r="733">
          <cell r="A733" t="str">
            <v>6948287 Майонез провансаль классич.Папа может 744гр с массовой долей жирн. 67% Останкино</v>
          </cell>
          <cell r="E733">
            <v>97</v>
          </cell>
        </row>
        <row r="734">
          <cell r="A734" t="str">
            <v>Останкино СЫР</v>
          </cell>
          <cell r="E734">
            <v>2932.078</v>
          </cell>
        </row>
        <row r="735">
          <cell r="A735" t="str">
            <v>3323 Сыр Российский цилиндр 1/4 пленка ЮКМП м.д.ж. 50%  ОСТАНКИНО</v>
          </cell>
          <cell r="E735">
            <v>69.900000000000006</v>
          </cell>
        </row>
        <row r="736">
          <cell r="A736" t="str">
            <v>3534796 Масло сливочное ж.82,5% 180г фольга ТМ Папа может(вл 12)  Останкино</v>
          </cell>
          <cell r="E736">
            <v>2</v>
          </cell>
        </row>
        <row r="737">
          <cell r="A737" t="str">
            <v>4421577 Спред растительно-сливочный "Сливочный вкус" 82,5% 180гр  Останкино</v>
          </cell>
          <cell r="E737">
            <v>13</v>
          </cell>
        </row>
        <row r="738">
          <cell r="A738" t="str">
            <v>4421584 Спред растительно-сливочный "Сливочный вкус" 72,5% 180гр  Останкино</v>
          </cell>
          <cell r="E738">
            <v>14</v>
          </cell>
        </row>
        <row r="739">
          <cell r="A739" t="str">
            <v>4931  Сыр полутвердый "Купеческий" с ароматом топленого молока, с м.д.ж. 50% ОСТАНКИНО</v>
          </cell>
          <cell r="E739">
            <v>27.616</v>
          </cell>
        </row>
        <row r="740">
          <cell r="A740" t="str">
            <v>9988438 Плавленый Сыр 45% "С ветчиной" СТМ"ПапаМожет" 180гр  Останкино</v>
          </cell>
          <cell r="E740">
            <v>51</v>
          </cell>
        </row>
        <row r="741">
          <cell r="A741" t="str">
            <v>9988445 Плавленый Сыр 45%"С грибами" СТМ"ПапаМожет" 180 гр  Останкино</v>
          </cell>
          <cell r="E741">
            <v>51</v>
          </cell>
        </row>
        <row r="742">
          <cell r="A742" t="str">
            <v>Масло "Папа может" 82,5% 180гр  Останкино</v>
          </cell>
          <cell r="E742">
            <v>301</v>
          </cell>
        </row>
        <row r="743">
          <cell r="A743" t="str">
            <v>Масло сливочное 72,5 % 180 гр.(10 шт) СЛАВЯНА  Останкино</v>
          </cell>
          <cell r="E743">
            <v>104</v>
          </cell>
        </row>
        <row r="744">
          <cell r="A744" t="str">
            <v>Плавленый продукт с Сыром колбасный копченый 40% СТМ "Коровино" 400гр  Останкино</v>
          </cell>
          <cell r="E744">
            <v>12</v>
          </cell>
        </row>
        <row r="745">
          <cell r="A745" t="str">
            <v>Плавленый Сыр колбасный копченый 40% СТМ"ПапаМожет"400гр  Останкино</v>
          </cell>
          <cell r="E745">
            <v>8</v>
          </cell>
        </row>
        <row r="746">
          <cell r="A746" t="str">
            <v>Сыр "Пармезан" 40% кусок 180 гр  ОСТАНКИНО</v>
          </cell>
          <cell r="E746">
            <v>93</v>
          </cell>
        </row>
        <row r="747">
          <cell r="A747" t="str">
            <v>Сыр Боккончини копченый 40% 100 гр.  ОСТАНКИНО</v>
          </cell>
          <cell r="E747">
            <v>118</v>
          </cell>
        </row>
        <row r="748">
          <cell r="A748" t="str">
            <v>Сыр Косичка сырная 45% 100г/8шт Папа Может Останкино</v>
          </cell>
          <cell r="E748">
            <v>110</v>
          </cell>
        </row>
        <row r="749">
          <cell r="A749" t="str">
            <v>Сыр Косичка сырная копченая 43% 100г/8шт Папа Может Останкино</v>
          </cell>
          <cell r="E749">
            <v>93</v>
          </cell>
        </row>
        <row r="750">
          <cell r="A750" t="str">
            <v>Сыр ПАПА МОЖЕТ "Гауда Голд" 45 % 180 гр (10шт) Останкино</v>
          </cell>
          <cell r="E750">
            <v>76</v>
          </cell>
        </row>
        <row r="751">
          <cell r="A751" t="str">
            <v>Сыр ПАПА МОЖЕТ "Голландский традиционный" 45% 180 гр (10шт)  Останкино</v>
          </cell>
          <cell r="E751">
            <v>296</v>
          </cell>
        </row>
        <row r="752">
          <cell r="A752" t="str">
            <v>Сыр ПАПА МОЖЕТ "Министерский" 180 г фасованный массовая  Останкино</v>
          </cell>
          <cell r="E752">
            <v>32</v>
          </cell>
        </row>
        <row r="753">
          <cell r="A753" t="str">
            <v>Сыр ПАПА МОЖЕТ "Папин завтрак"  45% 180 г  Останкино</v>
          </cell>
          <cell r="E753">
            <v>19</v>
          </cell>
        </row>
        <row r="754">
          <cell r="A754" t="str">
            <v>Сыр ПАПА МОЖЕТ "Российский традиционный"45 % 180 г Останкино</v>
          </cell>
          <cell r="E754">
            <v>341</v>
          </cell>
        </row>
        <row r="755">
          <cell r="A755" t="str">
            <v>Сыр ПАПА МОЖЕТ "Тильзитер" фасованный массовая доля жира в сухом веществе 45%, 180г  Останкино</v>
          </cell>
          <cell r="E755">
            <v>153</v>
          </cell>
        </row>
        <row r="756">
          <cell r="A756" t="str">
            <v>Сыр Папа Может Российский  50% 200гр    Останкино</v>
          </cell>
          <cell r="E756">
            <v>1</v>
          </cell>
        </row>
        <row r="757">
          <cell r="A757" t="str">
            <v>Сыр Папа Может Тильзитер   45% 200гр     Останкино</v>
          </cell>
          <cell r="E757">
            <v>1</v>
          </cell>
        </row>
        <row r="758">
          <cell r="A758" t="str">
            <v>Сыр плавленный Сливочный ж.45% 180г ТМ Папа может (16шт)  Останкино</v>
          </cell>
          <cell r="E758">
            <v>49</v>
          </cell>
        </row>
        <row r="759">
          <cell r="A759" t="str">
            <v>Сыр полутвердый "Гауда" с массовой долей жира в пересчете на сухое вещество 45%,   Останкино</v>
          </cell>
          <cell r="E759">
            <v>2.5</v>
          </cell>
        </row>
        <row r="760">
          <cell r="A760" t="str">
            <v>Сыр полутвердый "Голландский" с массовой долей жира в пересчете на сухое  Останкино</v>
          </cell>
          <cell r="E760">
            <v>17.5</v>
          </cell>
        </row>
        <row r="761">
          <cell r="A761" t="str">
            <v>Сыр полутвердый "Сметанковый", с масс долей жира в пересчете на сухое вещес50%, брус  Останкино</v>
          </cell>
          <cell r="E761">
            <v>48.362000000000002</v>
          </cell>
        </row>
        <row r="762">
          <cell r="A762" t="str">
            <v>Сыр полутвердый "Тильзитер" с массовой долей жира в пересчете на сухое вещество 45%. 1/5  Останкино</v>
          </cell>
          <cell r="E762">
            <v>24.2</v>
          </cell>
        </row>
        <row r="763">
          <cell r="A763" t="str">
            <v>Сыр рассольный жирный Чечил 45% 100 гр  ОСТАНКИНО</v>
          </cell>
          <cell r="E763">
            <v>255</v>
          </cell>
        </row>
        <row r="764">
          <cell r="A764" t="str">
            <v>Сыр рассольный жирный Чечил копченый 43% 100 гр  Останкино</v>
          </cell>
          <cell r="E764">
            <v>220</v>
          </cell>
        </row>
        <row r="765">
          <cell r="A765" t="str">
            <v>Сыр твердый "Пармезан", с масовой долей жира 35% Останкино</v>
          </cell>
          <cell r="E765">
            <v>11.8</v>
          </cell>
        </row>
        <row r="766">
          <cell r="A766" t="str">
            <v>Сыр Творожный с зеленью 60% Папа может 140 гр.  Останкино</v>
          </cell>
          <cell r="E766">
            <v>48</v>
          </cell>
        </row>
        <row r="767">
          <cell r="A767" t="str">
            <v>Сыр творожный Сливочный 140 гр.  Останкино</v>
          </cell>
          <cell r="E767">
            <v>83</v>
          </cell>
        </row>
        <row r="768">
          <cell r="A768" t="str">
            <v>Сыч/Прод Коровино Российский 50% 200г НОВАЯ СЗМЖ  ОСТАНКИНО</v>
          </cell>
          <cell r="E768">
            <v>76</v>
          </cell>
        </row>
        <row r="769">
          <cell r="A769" t="str">
            <v>Сыч/Прод Коровино Российский Оригин 50% ВЕС НОВАЯ (3,5 кг)  ОСТАНКИНО</v>
          </cell>
          <cell r="E769">
            <v>24.7</v>
          </cell>
        </row>
        <row r="770">
          <cell r="A770" t="str">
            <v>Сыч/Прод Коровино Тильзитер 50% 200г НОВАЯ СЗМЖ  ОСТАНКИНО</v>
          </cell>
          <cell r="E770">
            <v>75</v>
          </cell>
        </row>
        <row r="771">
          <cell r="A771" t="str">
            <v>Сыч/Прод Коровино Тильзитер Оригин 50% ВЕС НОВАЯ (5 кг брус) СЗМЖ  ОСТАНКИНО</v>
          </cell>
          <cell r="E771">
            <v>10.5</v>
          </cell>
        </row>
        <row r="772">
          <cell r="A772" t="str">
            <v>АСП Донецк ПОКОМ</v>
          </cell>
          <cell r="E772">
            <v>81573.260999999999</v>
          </cell>
        </row>
        <row r="773">
          <cell r="A773" t="str">
            <v>ПОКОМ Логистический Партнер</v>
          </cell>
          <cell r="E773">
            <v>81573.260999999999</v>
          </cell>
        </row>
        <row r="774">
          <cell r="A774" t="str">
            <v>Вязанка Логистический Партнер(Кг)</v>
          </cell>
          <cell r="E774">
            <v>10304.674000000001</v>
          </cell>
        </row>
        <row r="775">
          <cell r="A775" t="str">
            <v xml:space="preserve"> 005  Колбаса Докторская ГОСТ, Вязанка вектор,ВЕС. ПОКОМ</v>
          </cell>
          <cell r="E775">
            <v>2841.7080000000001</v>
          </cell>
        </row>
        <row r="776">
          <cell r="A776" t="str">
            <v xml:space="preserve"> 016  Сосиски Вязанка Молочные, Вязанка вискофан  ВЕС.ПОКОМ</v>
          </cell>
          <cell r="E776">
            <v>982.4</v>
          </cell>
        </row>
        <row r="777">
          <cell r="A777" t="str">
            <v xml:space="preserve"> 017  Сосиски Вязанка Сливочные, Вязанка амицел ВЕС.ПОКОМ</v>
          </cell>
          <cell r="E777">
            <v>3301.2660000000001</v>
          </cell>
        </row>
        <row r="778">
          <cell r="A778" t="str">
            <v xml:space="preserve"> 312  Ветчина Филейская ВЕС ТМ  Вязанка ТС Столичная  ПОКОМ</v>
          </cell>
          <cell r="E778">
            <v>110.75</v>
          </cell>
        </row>
        <row r="779">
          <cell r="A779" t="str">
            <v xml:space="preserve"> 315  Колбаса вареная Молокуша ТМ Вязанка ВЕС, ПОКОМ</v>
          </cell>
          <cell r="E779">
            <v>738.98099999999999</v>
          </cell>
        </row>
        <row r="780">
          <cell r="A780" t="str">
            <v xml:space="preserve"> 330  Колбаса вареная Филейская ТМ Вязанка ТС Классическая ВЕС  ПОКОМ</v>
          </cell>
          <cell r="E780">
            <v>729.00199999999995</v>
          </cell>
        </row>
        <row r="781">
          <cell r="A781" t="str">
            <v xml:space="preserve"> 335  Колбаса Сливушка ТМ Вязанка. ВЕС.  ПОКОМ </v>
          </cell>
          <cell r="E781">
            <v>585.84199999999998</v>
          </cell>
        </row>
        <row r="782">
          <cell r="A782" t="str">
            <v xml:space="preserve"> 336  Ветчина Сливушка с индейкой ТМ Вязанка. ВЕС  ПОКОМ</v>
          </cell>
          <cell r="E782">
            <v>22.175000000000001</v>
          </cell>
        </row>
        <row r="783">
          <cell r="A783" t="str">
            <v xml:space="preserve"> 364  Сардельки Филейские Вязанка ВЕС NDX ТМ Вязанка  ПОКОМ</v>
          </cell>
          <cell r="E783">
            <v>362.9</v>
          </cell>
        </row>
        <row r="784">
          <cell r="A784" t="str">
            <v xml:space="preserve"> 425 Сосиски Сливочные Вязанка Сливушки Весовые П/а мгс Вязанка  Поком</v>
          </cell>
          <cell r="E784">
            <v>8</v>
          </cell>
        </row>
        <row r="785">
          <cell r="A785" t="str">
            <v xml:space="preserve"> 485  Колбаса Молочная по-стародворски ТМ Стародворье в оболочке полиамид. ВЕС ПОКОМ </v>
          </cell>
          <cell r="E785">
            <v>6.55</v>
          </cell>
        </row>
        <row r="786">
          <cell r="A786" t="str">
            <v xml:space="preserve"> 547  Колбаса Мясная Классическая ТМ Вязанка в оболочке полиамид. ВЕС  ПОКОМ</v>
          </cell>
          <cell r="E786">
            <v>15.6</v>
          </cell>
        </row>
        <row r="787">
          <cell r="A787" t="str">
            <v xml:space="preserve"> 556  Колбаса Сервелат Ореховый ТМ Вязанка в оболочке фиброуз в вакуумной упаковке, ВЕС  ПОКОМ</v>
          </cell>
          <cell r="E787">
            <v>294.89999999999998</v>
          </cell>
        </row>
        <row r="788">
          <cell r="A788" t="str">
            <v xml:space="preserve"> 558  Колбаса Балыковая НОВАЯ ВЕС Вязанка фиброуз в/у ПОКОМ</v>
          </cell>
          <cell r="E788">
            <v>230.9</v>
          </cell>
        </row>
        <row r="789">
          <cell r="A789" t="str">
            <v>503 Колбаса Филейская со шпиком ТМ Вязанка в оболочке полиамид.ПОКОМ</v>
          </cell>
          <cell r="E789">
            <v>73.7</v>
          </cell>
        </row>
        <row r="790">
          <cell r="A790" t="str">
            <v>Вязанка Логистический Партнер(Шт)</v>
          </cell>
          <cell r="E790">
            <v>8451</v>
          </cell>
        </row>
        <row r="791">
          <cell r="A791" t="str">
            <v xml:space="preserve"> 023  Колбаса Докторская ГОСТ, Вязанка вектор, 0,4 кг, ПОКОМ</v>
          </cell>
          <cell r="E791">
            <v>16</v>
          </cell>
        </row>
        <row r="792">
          <cell r="A792" t="str">
            <v xml:space="preserve"> 030  Сосиски Вязанка Молочные, Вязанка вискофан МГС, 0.45кг, ПОКОМ</v>
          </cell>
          <cell r="E792">
            <v>1905</v>
          </cell>
        </row>
        <row r="793">
          <cell r="A793" t="str">
            <v xml:space="preserve"> 032  Сосиски Вязанка Сливочные, Вязанка амицел МГС, 0.45кг, ПОКОМ</v>
          </cell>
          <cell r="E793">
            <v>3156</v>
          </cell>
        </row>
        <row r="794">
          <cell r="A794" t="str">
            <v xml:space="preserve"> 276  Колбаса Сливушка ТМ Вязанка в оболочке полиамид 0,45 кг  ПОКОМ</v>
          </cell>
          <cell r="E794">
            <v>540</v>
          </cell>
        </row>
        <row r="795">
          <cell r="A795" t="str">
            <v xml:space="preserve"> 319  Колбаса вареная Филейская ТМ Вязанка ТС Классическая, 0,45 кг. ПОКОМ</v>
          </cell>
          <cell r="E795">
            <v>455</v>
          </cell>
        </row>
        <row r="796">
          <cell r="A796" t="str">
            <v xml:space="preserve"> 322  Колбаса вареная Молокуша 0,45кг ТМ Вязанка  ПОКОМ</v>
          </cell>
          <cell r="E796">
            <v>412</v>
          </cell>
        </row>
        <row r="797">
          <cell r="A797" t="str">
            <v xml:space="preserve"> 339  Колбаса вареная Филейская ТМ Вязанка ТС Классическая, 0,40 кг.  ПОКОМ</v>
          </cell>
          <cell r="E797">
            <v>7</v>
          </cell>
        </row>
        <row r="798">
          <cell r="A798" t="str">
            <v xml:space="preserve"> 395  Колбаса Докторская ГОСТ ТМ Вязанка в оболочке полиамид 0,37 кг. ПОКОМ</v>
          </cell>
          <cell r="E798">
            <v>122</v>
          </cell>
        </row>
        <row r="799">
          <cell r="A799" t="str">
            <v xml:space="preserve"> 396  Сардельки Филейские Вязанка ТМ Вязанка в оболочке NDX  0,4 кг. ПОКОМ</v>
          </cell>
          <cell r="E799">
            <v>24</v>
          </cell>
        </row>
        <row r="800">
          <cell r="A800" t="str">
            <v xml:space="preserve"> 405  Сардельки Сливушки ТМ Вязанка в оболочке айпил 0,33 кг. ПОКОМ</v>
          </cell>
          <cell r="E800">
            <v>109</v>
          </cell>
        </row>
        <row r="801">
          <cell r="A801" t="str">
            <v xml:space="preserve"> 408  Ветчина Сливушка с индейкой ТМ Вязанка, 0,4кг  ПОКОМ</v>
          </cell>
          <cell r="E801">
            <v>96</v>
          </cell>
        </row>
        <row r="802">
          <cell r="A802" t="str">
            <v xml:space="preserve"> 451 Сосиски Филейские ТМ Вязанка в оболочке целлофан 0,3 кг. ПОКОМ</v>
          </cell>
          <cell r="E802">
            <v>189</v>
          </cell>
        </row>
        <row r="803">
          <cell r="A803" t="str">
            <v xml:space="preserve"> 489  Сосиски Филейские Рубленые 0,3кг ТМ Вязанка  ПОКОМ</v>
          </cell>
          <cell r="E803">
            <v>24</v>
          </cell>
        </row>
        <row r="804">
          <cell r="A804" t="str">
            <v xml:space="preserve"> 551  Колбаса Сливушка ТМ Вязанка в модифицированной газовой среде 0,11 кг нарезка  ПОКОМ</v>
          </cell>
          <cell r="E804">
            <v>14</v>
          </cell>
        </row>
        <row r="805">
          <cell r="A805" t="str">
            <v xml:space="preserve"> 555  Колбаса Молокуша ТМ Вязанка в модифицированной газовой среде 0,17 кг нарезка  ПОКОМ</v>
          </cell>
          <cell r="E805">
            <v>14</v>
          </cell>
        </row>
        <row r="806">
          <cell r="A806" t="str">
            <v xml:space="preserve"> 564  Сосиски Сочные 0,3 кг ТМ Вязанка  ПОКОМ</v>
          </cell>
          <cell r="E806">
            <v>67</v>
          </cell>
        </row>
        <row r="807">
          <cell r="A807" t="str">
            <v xml:space="preserve"> 569  Колбаса Балыковая ТМ Вязанка в оболочке фиброуз в вакуумной упаковке 0,28 кг срез.  ПОКОМ</v>
          </cell>
          <cell r="E807">
            <v>402</v>
          </cell>
        </row>
        <row r="808">
          <cell r="A808" t="str">
            <v xml:space="preserve"> 570  Колбаса Сервелат Финский ТМ Вязанка в оболочке фиброуз в вак. упаковке 0,28 кг срез  ПОКОМ</v>
          </cell>
          <cell r="E808">
            <v>290</v>
          </cell>
        </row>
        <row r="809">
          <cell r="A809" t="str">
            <v xml:space="preserve"> 571  Колбаса Сервелат Ореховый ТМ Вязанка в оболочке фиброуз в вак. упаковке 0,28 кг срез  ПОКОМ</v>
          </cell>
          <cell r="E809">
            <v>579</v>
          </cell>
        </row>
        <row r="810">
          <cell r="A810" t="str">
            <v xml:space="preserve"> 574  Колбаса Сервелат Финский ТМ Вязанка в упаковке скин 0,09 кг нарезка  ПОКОМ</v>
          </cell>
          <cell r="E810">
            <v>10</v>
          </cell>
        </row>
        <row r="811">
          <cell r="A811" t="str">
            <v xml:space="preserve"> 583  Колбаса Балыковая ТМ Вязанка в упаковке скин 0,09 кг нарезка  ПОКОМ</v>
          </cell>
          <cell r="E811">
            <v>10</v>
          </cell>
        </row>
        <row r="812">
          <cell r="A812" t="str">
            <v xml:space="preserve"> 584  Колбаса Сервелат Ореховый ТМ Вязанка в упаковке скин 0,09 кг нарезка  ПОКОМ</v>
          </cell>
          <cell r="E812">
            <v>10</v>
          </cell>
        </row>
        <row r="813">
          <cell r="A813" t="str">
            <v>Заморозка Зареченские Логистический партнер (кг)</v>
          </cell>
          <cell r="E813">
            <v>6</v>
          </cell>
        </row>
        <row r="814">
          <cell r="A814" t="str">
            <v>Наггетсы Хрустящие ТМ Зареченские ТС Зареченские продукты. Поком</v>
          </cell>
          <cell r="E814">
            <v>6</v>
          </cell>
        </row>
        <row r="815">
          <cell r="A815" t="str">
            <v>Логистический Партнер Кг</v>
          </cell>
          <cell r="E815">
            <v>49126.587</v>
          </cell>
        </row>
        <row r="816">
          <cell r="A816" t="str">
            <v xml:space="preserve"> 200  Ветчина Дугушка ТМ Стародворье, вектор в/у    ПОКОМ</v>
          </cell>
          <cell r="E816">
            <v>4137.0330000000004</v>
          </cell>
        </row>
        <row r="817">
          <cell r="A817" t="str">
            <v xml:space="preserve"> 201  Ветчина Нежная ТМ Особый рецепт, (2,5кг), ПОКОМ</v>
          </cell>
          <cell r="E817">
            <v>4880.549</v>
          </cell>
        </row>
        <row r="818">
          <cell r="A818" t="str">
            <v xml:space="preserve"> 215  Колбаса Докторская ГОСТ Дугушка, ВЕС, ТМ Стародворье ПОКОМ</v>
          </cell>
          <cell r="E818">
            <v>341.8</v>
          </cell>
        </row>
        <row r="819">
          <cell r="A819" t="str">
            <v xml:space="preserve"> 219  Колбаса Докторская Особая ТМ Особый рецепт, ВЕС  ПОКОМ</v>
          </cell>
          <cell r="E819">
            <v>993.7</v>
          </cell>
        </row>
        <row r="820">
          <cell r="A820" t="str">
            <v xml:space="preserve"> 226  Колбаса Княжеская, с/к белков.обол в термоусад. пакете, ВЕС, ТМ Стародворье ПОКОМ</v>
          </cell>
          <cell r="E820">
            <v>4.25</v>
          </cell>
        </row>
        <row r="821">
          <cell r="A821" t="str">
            <v xml:space="preserve"> 229  Колбаса Молочная Дугушка, в/у, ВЕС, ТМ Стародворье   ПОКОМ</v>
          </cell>
          <cell r="E821">
            <v>4697.0550000000003</v>
          </cell>
        </row>
        <row r="822">
          <cell r="A822" t="str">
            <v xml:space="preserve"> 236  Колбаса Рубленая ЗАПЕЧ. Дугушка ТМ Стародворье, вектор, в/к    ПОКОМ</v>
          </cell>
          <cell r="E822">
            <v>549.27</v>
          </cell>
        </row>
        <row r="823">
          <cell r="A823" t="str">
            <v xml:space="preserve"> 239  Колбаса Салями запеч Дугушка, оболочка вектор, ВЕС, ТМ Стародворье  ПОКОМ</v>
          </cell>
          <cell r="E823">
            <v>1567.2760000000001</v>
          </cell>
        </row>
        <row r="824">
          <cell r="A824" t="str">
            <v xml:space="preserve"> 242  Колбаса Сервелат ЗАПЕЧ.Дугушка ТМ Стародворье, вектор, в/к     ПОКОМ</v>
          </cell>
          <cell r="E824">
            <v>2329.5070000000001</v>
          </cell>
        </row>
        <row r="825">
          <cell r="A825" t="str">
            <v xml:space="preserve"> 244  Колбаса Сервелат Кремлевский, ВЕС. ПОКОМ</v>
          </cell>
          <cell r="E825">
            <v>29.3</v>
          </cell>
        </row>
        <row r="826">
          <cell r="A826" t="str">
            <v xml:space="preserve"> 250  Сардельки стародворские с говядиной в обол. NDX, ВЕС. ПОКОМ</v>
          </cell>
          <cell r="E826">
            <v>2645.4409999999998</v>
          </cell>
        </row>
        <row r="827">
          <cell r="A827" t="str">
            <v xml:space="preserve"> 251  Сосиски Баварские, ВЕС.  ПОКОМ</v>
          </cell>
          <cell r="E827">
            <v>2.6</v>
          </cell>
        </row>
        <row r="828">
          <cell r="A828" t="str">
            <v xml:space="preserve"> 253  Сосиски Ганноверские   ПОКОМ</v>
          </cell>
          <cell r="E828">
            <v>50.5</v>
          </cell>
        </row>
        <row r="829">
          <cell r="A829" t="str">
            <v xml:space="preserve"> 255  Сосиски Молочные для завтрака ТМ Особый рецепт, п/а МГС, ВЕС, ТМ Стародворье  ПОКОМ</v>
          </cell>
          <cell r="E829">
            <v>9911.6039999999994</v>
          </cell>
        </row>
        <row r="830">
          <cell r="A830" t="str">
            <v xml:space="preserve"> 297  Колбаса Мясорубская с рубленой грудинкой ВЕС ТМ Стародворье  ПОКОМ</v>
          </cell>
          <cell r="E830">
            <v>30.3</v>
          </cell>
        </row>
        <row r="831">
          <cell r="A831" t="str">
            <v xml:space="preserve"> 305  Колбаса Сервелат Мясорубский с мелкорубленным окороком в/у  ТМ Стародворье ВЕС   ПОКОМ</v>
          </cell>
          <cell r="E831">
            <v>42.2</v>
          </cell>
        </row>
        <row r="832">
          <cell r="A832" t="str">
            <v xml:space="preserve"> 340  Сосиски Сочинки Молочные ТМ Стародворье, ВЕС ПОКОМ</v>
          </cell>
          <cell r="E832">
            <v>45.7</v>
          </cell>
        </row>
        <row r="833">
          <cell r="A833" t="str">
            <v xml:space="preserve"> 341 Сосиски Сочинки Сливочные ТМ Стародворье ВЕС ПОКОМ</v>
          </cell>
          <cell r="E833">
            <v>23</v>
          </cell>
        </row>
        <row r="834">
          <cell r="A834" t="str">
            <v xml:space="preserve"> 344  Колбаса Сочинка по-европейски с сочной грудинкой ТМ Стародворье, ВЕС ПОКОМ</v>
          </cell>
          <cell r="E834">
            <v>22.8</v>
          </cell>
        </row>
        <row r="835">
          <cell r="A835" t="str">
            <v xml:space="preserve"> 345  Колбаса Сочинка по-фински с сочным окроком ТМ Стародворье ВЕС ПОКОМ</v>
          </cell>
          <cell r="E835">
            <v>43.7</v>
          </cell>
        </row>
        <row r="836">
          <cell r="A836" t="str">
            <v xml:space="preserve"> 346  Колбаса Сочинка зернистая с сочной грудинкой ТМ Стародворье.ВЕС ПОКОМ</v>
          </cell>
          <cell r="E836">
            <v>648.79999999999995</v>
          </cell>
        </row>
        <row r="837">
          <cell r="A837" t="str">
            <v xml:space="preserve"> 347  Колбаса Сочинка рубленая с сочным окороком ТМ Стародворье ВЕС ПОКОМ</v>
          </cell>
          <cell r="E837">
            <v>66.8</v>
          </cell>
        </row>
        <row r="838">
          <cell r="A838" t="str">
            <v xml:space="preserve"> 433 Колбаса Стародворская со шпиком  в оболочке полиамид. ТМ Стародворье ВЕС ПОКОМ</v>
          </cell>
          <cell r="E838">
            <v>21.1</v>
          </cell>
        </row>
        <row r="839">
          <cell r="A839" t="str">
            <v xml:space="preserve"> 449  Колбаса Дугушка Стародворская ВЕС ТС Дугушка ПОКОМ</v>
          </cell>
          <cell r="E839">
            <v>3913.84</v>
          </cell>
        </row>
        <row r="840">
          <cell r="A840" t="str">
            <v xml:space="preserve"> 452  Колбаса Со шпиком ВЕС большой батон ТМ Особый рецепт  ПОКОМ</v>
          </cell>
          <cell r="E840">
            <v>1892.97</v>
          </cell>
        </row>
        <row r="841">
          <cell r="A841" t="str">
            <v xml:space="preserve"> 456  Колбаса Филейная ТМ Особый рецепт ВЕС большой батон  ПОКОМ</v>
          </cell>
          <cell r="E841">
            <v>5055.607</v>
          </cell>
        </row>
        <row r="842">
          <cell r="A842" t="str">
            <v xml:space="preserve"> 457  Колбаса Молочная ТМ Особый рецепт ВЕС большой батон  ПОКОМ</v>
          </cell>
          <cell r="E842">
            <v>4588.9579999999996</v>
          </cell>
        </row>
        <row r="843">
          <cell r="A843" t="str">
            <v xml:space="preserve"> 460  Колбаса Стародворская Традиционная ВЕС ТМ Стародворье в оболочке полиамид. ПОКОМ</v>
          </cell>
          <cell r="E843">
            <v>36.299999999999997</v>
          </cell>
        </row>
        <row r="844">
          <cell r="A844" t="str">
            <v xml:space="preserve"> 463  Колбаса Молочная Традиционнаяв оболочке полиамид.ТМ Стародворье. ВЕС ПОКОМ</v>
          </cell>
          <cell r="E844">
            <v>1</v>
          </cell>
        </row>
        <row r="845">
          <cell r="A845" t="str">
            <v xml:space="preserve"> 557  Колбаса Сервелат Финский ТМ Вязанка в оболочке фиброуз в вакуумной упаковке, ВЕС  ПОКОМ</v>
          </cell>
          <cell r="E845">
            <v>61.628999999999998</v>
          </cell>
        </row>
        <row r="846">
          <cell r="A846" t="str">
            <v xml:space="preserve"> 579  Колбаса Ветчинно-рубленая ТМ Особый рецепт в оболочке полиамид.ВЕС  ПОКОМ</v>
          </cell>
          <cell r="E846">
            <v>57.5</v>
          </cell>
        </row>
        <row r="847">
          <cell r="A847" t="str">
            <v xml:space="preserve"> 580  Ветчина Нежная с индейкой ТМ Особый рецепт в оболочке полиамид.ВЕС  ПОКОМ</v>
          </cell>
          <cell r="E847">
            <v>126.3</v>
          </cell>
        </row>
        <row r="848">
          <cell r="A848" t="str">
            <v xml:space="preserve"> 585  Колбаса Молочная ТМ Стародворье в оболочке вектор НД ВЕС.  ПОКОМ</v>
          </cell>
          <cell r="E848">
            <v>6.8710000000000004</v>
          </cell>
        </row>
        <row r="849">
          <cell r="A849" t="str">
            <v xml:space="preserve"> 586  Колбаса Мясная ТМ Стародворье в оболочке вектор НД ВЕС.  ПОКОМ</v>
          </cell>
          <cell r="E849">
            <v>301.327</v>
          </cell>
        </row>
        <row r="850">
          <cell r="A850" t="str">
            <v>Логистический Партнер Шт</v>
          </cell>
          <cell r="E850">
            <v>13665</v>
          </cell>
        </row>
        <row r="851">
          <cell r="A851" t="str">
            <v xml:space="preserve"> 047  Кол Баварская, белков.обол. в термоусад. пакете 0.17 кг, ТМ Стародворье  ПОКОМ</v>
          </cell>
          <cell r="E851">
            <v>83</v>
          </cell>
        </row>
        <row r="852">
          <cell r="A852" t="str">
            <v xml:space="preserve"> 062  Колбаса Кракушка пряная с сальцем, 0.3кг в/у п/к, БАВАРУШКА ПОКОМ</v>
          </cell>
          <cell r="E852">
            <v>55</v>
          </cell>
        </row>
        <row r="853">
          <cell r="A853" t="str">
            <v xml:space="preserve"> 083  Колбаса Швейцарская 0,17 кг., ШТ., сырокопченая   ПОКОМ</v>
          </cell>
          <cell r="E853">
            <v>242</v>
          </cell>
        </row>
        <row r="854">
          <cell r="A854" t="str">
            <v xml:space="preserve"> 273  Сосиски Сочинки с сочной грудинкой, МГС 0.4кг,   ПОКОМ</v>
          </cell>
          <cell r="E854">
            <v>4342</v>
          </cell>
        </row>
        <row r="855">
          <cell r="A855" t="str">
            <v xml:space="preserve"> 278  Сосиски Сочинки с сочным окороком, МГС 0.4кг,   ПОКОМ</v>
          </cell>
          <cell r="E855">
            <v>1187</v>
          </cell>
        </row>
        <row r="856">
          <cell r="A856" t="str">
            <v xml:space="preserve"> 281  Сосиски Молочные для завтрака ТМ Особый рецепт, 0,4кг  ПОКОМ</v>
          </cell>
          <cell r="E856">
            <v>340</v>
          </cell>
        </row>
        <row r="857">
          <cell r="A857" t="str">
            <v xml:space="preserve"> 285  Паштет печеночный со слив.маслом ТМ Стародворье ламистер 0,1 кг  ПОКОМ</v>
          </cell>
          <cell r="E857">
            <v>196</v>
          </cell>
        </row>
        <row r="858">
          <cell r="A858" t="str">
            <v xml:space="preserve"> 296  Колбаса Мясорубская с рубленой грудинкой 0,35кг срез ТМ Стародворье  ПОКОМ</v>
          </cell>
          <cell r="E858">
            <v>131</v>
          </cell>
        </row>
        <row r="859">
          <cell r="A859" t="str">
            <v xml:space="preserve"> 301  Сосиски Сочинки по-баварски с сыром,  0.4кг, ТМ Стародворье  ПОКОМ</v>
          </cell>
          <cell r="E859">
            <v>348</v>
          </cell>
        </row>
        <row r="860">
          <cell r="A860" t="str">
            <v xml:space="preserve"> 302  Сосиски Сочинки по-баварски,  0.4кг, ТМ Стародворье  ПОКОМ</v>
          </cell>
          <cell r="E860">
            <v>258</v>
          </cell>
        </row>
        <row r="861">
          <cell r="A861" t="str">
            <v xml:space="preserve"> 307  Колбаса Сервелат Мясорубский с мелкорубленным окороком 0,35 кг срез ТМ Стародворье   Поком</v>
          </cell>
          <cell r="E861">
            <v>583</v>
          </cell>
        </row>
        <row r="862">
          <cell r="A862" t="str">
            <v xml:space="preserve"> 309  Сосиски Сочинки с сыром 0,4 кг ТМ Стародворье  ПОКОМ</v>
          </cell>
          <cell r="E862">
            <v>489</v>
          </cell>
        </row>
        <row r="863">
          <cell r="A863" t="str">
            <v xml:space="preserve"> 329  Сардельки Сочинки с сыром Стародворье ТМ, 0,4 кг. ПОКОМ</v>
          </cell>
          <cell r="E863">
            <v>27</v>
          </cell>
        </row>
        <row r="864">
          <cell r="A864" t="str">
            <v xml:space="preserve"> 334  Паштет Любительский ТМ Стародворье ламистер 0,1 кг  ПОКОМ</v>
          </cell>
          <cell r="E864">
            <v>189</v>
          </cell>
        </row>
        <row r="865">
          <cell r="A865" t="str">
            <v xml:space="preserve"> 338  Паштет печеночный с морковью ТМ Стародворье ламистер 0,1 кг.  ПОКОМ</v>
          </cell>
          <cell r="E865">
            <v>167</v>
          </cell>
        </row>
        <row r="866">
          <cell r="A866" t="str">
            <v xml:space="preserve"> 342 Сосиски Сочинки Молочные ТМ Стародворье 0,4 кг ПОКОМ</v>
          </cell>
          <cell r="E866">
            <v>611</v>
          </cell>
        </row>
        <row r="867">
          <cell r="A867" t="str">
            <v xml:space="preserve"> 343 Сосиски Сочинки Сливочные ТМ Стародворье  0,4 кг ПОКОМ</v>
          </cell>
          <cell r="E867">
            <v>494</v>
          </cell>
        </row>
        <row r="868">
          <cell r="A868" t="str">
            <v xml:space="preserve"> 376  Колбаса Докторская Дугушка 0,6кг ГОСТ ТМ Стародворье  ПОКОМ </v>
          </cell>
          <cell r="E868">
            <v>768</v>
          </cell>
        </row>
        <row r="869">
          <cell r="A869" t="str">
            <v xml:space="preserve"> 377  Колбаса Молочная Дугушка 0,6кг ТМ Стародворье  ПОКОМ</v>
          </cell>
          <cell r="E869">
            <v>633</v>
          </cell>
        </row>
        <row r="870">
          <cell r="A870" t="str">
            <v xml:space="preserve"> 394 Колбаса полукопченая Аль-Ислами халяль ТМ Вязанка оболочка фиброуз в в/у 0,35 кг  ПОКОМ</v>
          </cell>
          <cell r="E870">
            <v>68</v>
          </cell>
        </row>
        <row r="871">
          <cell r="A871" t="str">
            <v xml:space="preserve"> 397  Ветчина Дугушка ТМ Стародворье ТС Дугушка в полиамидной оболочке 0,6 кг. ПОКОМ</v>
          </cell>
          <cell r="E871">
            <v>272</v>
          </cell>
        </row>
        <row r="872">
          <cell r="A872" t="str">
            <v xml:space="preserve"> 410  Сосиски Баварские с сыром ТМ Стародворье 0,35 кг. ПОКОМ</v>
          </cell>
          <cell r="E872">
            <v>261</v>
          </cell>
        </row>
        <row r="873">
          <cell r="A873" t="str">
            <v xml:space="preserve"> 412  Сосиски Баварские ТМ Стародворье 0,35 кг ПОКОМ</v>
          </cell>
          <cell r="E873">
            <v>680</v>
          </cell>
        </row>
        <row r="874">
          <cell r="A874" t="str">
            <v xml:space="preserve"> 430  Колбаса Стародворская с окороком 0,4 кг. ТМ Стародворье в оболочке полиамид  ПОКОМ</v>
          </cell>
          <cell r="E874">
            <v>40</v>
          </cell>
        </row>
        <row r="875">
          <cell r="A875" t="str">
            <v xml:space="preserve"> 498  Колбаса Сочинка рубленая с сочным окороком 0,3кг ТМ Стародворье  ПОКОМ</v>
          </cell>
          <cell r="E875">
            <v>123</v>
          </cell>
        </row>
        <row r="876">
          <cell r="A876" t="str">
            <v xml:space="preserve"> 517  Сосиски С сыром ТМ Ядрена копоть 0,3кг  ПОКОМ</v>
          </cell>
          <cell r="E876">
            <v>18</v>
          </cell>
        </row>
        <row r="877">
          <cell r="A877" t="str">
            <v xml:space="preserve"> 523  Колбаса Сальчичон нарезка 0,07кг ТМ Стародворье  ПОКОМ </v>
          </cell>
          <cell r="E877">
            <v>91</v>
          </cell>
        </row>
        <row r="878">
          <cell r="A878" t="str">
            <v xml:space="preserve"> 524  Колбаса Сервелат Ореховый нарезка 0,07кг ТМ Стародворье  ПОКОМ</v>
          </cell>
          <cell r="E878">
            <v>104</v>
          </cell>
        </row>
        <row r="879">
          <cell r="A879" t="str">
            <v xml:space="preserve"> 525  Колбаса Фуэт нарезка 0,07кг ТМ Стародворье  ПОКОМ</v>
          </cell>
          <cell r="E879">
            <v>88</v>
          </cell>
        </row>
        <row r="880">
          <cell r="A880" t="str">
            <v xml:space="preserve"> 526  Корейка вяленая выдержанная нарезка 0,05кг ТМ Стародворье  ПОКОМ</v>
          </cell>
          <cell r="E880">
            <v>35</v>
          </cell>
        </row>
        <row r="881">
          <cell r="A881" t="str">
            <v xml:space="preserve"> 527  Окорок Прошутто выдержанный нарезка 0,055кг ТМ Стародворье  ПОКОМ</v>
          </cell>
          <cell r="E881">
            <v>65</v>
          </cell>
        </row>
        <row r="882">
          <cell r="A882" t="str">
            <v xml:space="preserve"> 530  Окорок Хамон выдержанный нарезка 0,055кг ТМ Стародворье  ПОКОМ</v>
          </cell>
          <cell r="E882">
            <v>64</v>
          </cell>
        </row>
        <row r="883">
          <cell r="A883" t="str">
            <v xml:space="preserve"> 544  Сосиски Мясные для гриля ТС Ядрена копоть 0,3 кг  ПОКОМ</v>
          </cell>
          <cell r="E883">
            <v>24</v>
          </cell>
        </row>
        <row r="884">
          <cell r="A884" t="str">
            <v xml:space="preserve"> 553  Ассорти колбас Мясорубская коллекция: Сервелат Делюкс, С балыком 0,08 кг нарезка  ПОКОМ</v>
          </cell>
          <cell r="E884">
            <v>155</v>
          </cell>
        </row>
        <row r="885">
          <cell r="A885" t="str">
            <v xml:space="preserve"> 554  Колбаса Сервелат Мясорубский ТМ Стародворье в упаковке скин 0,08 кг нарезка  ПОКОМ</v>
          </cell>
          <cell r="E885">
            <v>102</v>
          </cell>
        </row>
        <row r="886">
          <cell r="A886" t="str">
            <v>495  Колбаса Сочинка по-европейски с сочной грудинкой 0,3кг ТМ Стародворье  ПОКОМ</v>
          </cell>
          <cell r="E886">
            <v>193</v>
          </cell>
        </row>
        <row r="887">
          <cell r="A887" t="str">
            <v>496  Колбаса Сочинка по-фински с сочным окроком 0,3кг ТМ Стародворье  ПОКОМ</v>
          </cell>
          <cell r="E887">
            <v>73</v>
          </cell>
        </row>
        <row r="888">
          <cell r="A888" t="str">
            <v>515  Колбаса Сервелат Мясорубский Делюкс 0,3кг ТМ Стародворье  ПОКОМ</v>
          </cell>
          <cell r="E888">
            <v>47</v>
          </cell>
        </row>
        <row r="889">
          <cell r="A889" t="str">
            <v>519  Грудинка 0,12 кг нарезка ТМ Стародворье  ПОКОМ</v>
          </cell>
          <cell r="E889">
            <v>19</v>
          </cell>
        </row>
        <row r="890">
          <cell r="A890" t="str">
            <v>Новая точка замена ИП</v>
          </cell>
          <cell r="E890">
            <v>2</v>
          </cell>
        </row>
        <row r="891">
          <cell r="A891" t="str">
            <v>Новая точка линейная розница</v>
          </cell>
          <cell r="E891">
            <v>18</v>
          </cell>
        </row>
        <row r="892">
          <cell r="A892" t="str">
            <v>АСП Луганск Заморозка</v>
          </cell>
          <cell r="E892">
            <v>21119.8</v>
          </cell>
        </row>
        <row r="893">
          <cell r="A893" t="str">
            <v>Останкино ООО</v>
          </cell>
          <cell r="E893">
            <v>30.5</v>
          </cell>
        </row>
        <row r="894">
          <cell r="A894" t="str">
            <v>Останкино Заморозка</v>
          </cell>
          <cell r="E894">
            <v>30.5</v>
          </cell>
        </row>
        <row r="895">
          <cell r="A895" t="str">
            <v>5754 БЛИНЧ.КРУГЛЫЕ С МЯСОМ 4,5кг зам. ПМ ОСТАНКИНО</v>
          </cell>
          <cell r="E895">
            <v>4.5</v>
          </cell>
        </row>
        <row r="896">
          <cell r="A896" t="str">
            <v>5897 БЛИНЧ.КРУГЛЫЕ С ГРУШЕЙ пл.1/420 зам.   ОСТАНКИНО</v>
          </cell>
          <cell r="E896">
            <v>2</v>
          </cell>
        </row>
        <row r="897">
          <cell r="A897" t="str">
            <v>6148 БЛИНЧ.КРУГЛЫЕ С ВЕТЧ.И СЫР. ПМ 1/300 зам. ОСТАНКИНО</v>
          </cell>
          <cell r="E897">
            <v>2</v>
          </cell>
        </row>
        <row r="898">
          <cell r="A898" t="str">
            <v>6149 БЛИНЧ.КРУГЛЫЕ С ПЕЧЕНЬЮ ПМ 1/300 зам. ОСТАНКИНО</v>
          </cell>
          <cell r="E898">
            <v>3</v>
          </cell>
        </row>
        <row r="899">
          <cell r="A899" t="str">
            <v>6168 Блинчики с мясом пл. 1/350 зам. ОСТАНКИНО</v>
          </cell>
          <cell r="E899">
            <v>2</v>
          </cell>
        </row>
        <row r="900">
          <cell r="A900" t="str">
            <v>6202 БЛИНЧ.КРУГЛЫЕ С ТВОРОГОМ ПМ 1/300 зам. ОСТАНКИНО</v>
          </cell>
          <cell r="E900">
            <v>2</v>
          </cell>
        </row>
        <row r="901">
          <cell r="A901" t="str">
            <v>7216 СОЧНЫЕ СО СЛ.МАСЛ.ПМ пельм пл.0.7кг зам. ОСТАНКИНО</v>
          </cell>
          <cell r="E901">
            <v>15</v>
          </cell>
        </row>
        <row r="902">
          <cell r="A902" t="str">
            <v>ПОКОМ Логистический Партнер</v>
          </cell>
          <cell r="E902">
            <v>21089.3</v>
          </cell>
        </row>
        <row r="903">
          <cell r="A903" t="str">
            <v>Заморозка Зареченские Логистический партнер (кг)</v>
          </cell>
          <cell r="E903">
            <v>2281.9</v>
          </cell>
        </row>
        <row r="904">
          <cell r="A904" t="str">
            <v>Мини-сосиски в тесте 5кг ВЕС ТМ Зареченские  ПОКОМ</v>
          </cell>
          <cell r="E904">
            <v>181.8</v>
          </cell>
        </row>
        <row r="905">
          <cell r="A905" t="str">
            <v>Мини-шарики с курочкой и сыром ТМ Зареченские ВЕС ПОКОМ</v>
          </cell>
          <cell r="E905">
            <v>188</v>
          </cell>
        </row>
        <row r="906">
          <cell r="A906" t="str">
            <v>Наггетсы Хрустящие ТМ Зареченские ТС Зареченские продукты. Поком</v>
          </cell>
          <cell r="E906">
            <v>419</v>
          </cell>
        </row>
        <row r="907">
          <cell r="A907" t="str">
            <v>Пирожки с мясом 3,7кг ВЕС ТМ Зареченские  ПОКОМ</v>
          </cell>
          <cell r="E907">
            <v>458.4</v>
          </cell>
        </row>
        <row r="908">
          <cell r="A908" t="str">
            <v>Чебуреки Мясные вес 2,7 кг ТМ Зареченские ТС Зареченские продукты   Поком</v>
          </cell>
          <cell r="E908">
            <v>209.7</v>
          </cell>
        </row>
        <row r="909">
          <cell r="A909" t="str">
            <v>Чебуреки сочные ТМ Зареченские ТС Зареченские продукты.  Поком</v>
          </cell>
          <cell r="E909">
            <v>825</v>
          </cell>
        </row>
        <row r="910">
          <cell r="A910" t="str">
            <v>Заморозка Зареченские Логистический партнер (шт)</v>
          </cell>
          <cell r="E910">
            <v>154</v>
          </cell>
        </row>
        <row r="911">
          <cell r="A911" t="str">
            <v>Пельмени Домашние со сливочным маслом ТМ Зареченские  продукты флоу-пак сфера 0,7 кг.  Поком</v>
          </cell>
          <cell r="E911">
            <v>154</v>
          </cell>
        </row>
        <row r="912">
          <cell r="A912" t="str">
            <v>Новая точка линейная розница</v>
          </cell>
          <cell r="E912">
            <v>4</v>
          </cell>
        </row>
        <row r="913">
          <cell r="A913" t="str">
            <v>ПОКОМ Логистический Партнер Заморозка</v>
          </cell>
          <cell r="E913">
            <v>18649.400000000001</v>
          </cell>
        </row>
        <row r="914">
          <cell r="A914" t="str">
            <v>БОНУС_Готовые чебупели сочные с мясом ТМ Горячая штучка флоу-пак 0,24 кг  ПОКОМ</v>
          </cell>
          <cell r="E914">
            <v>308</v>
          </cell>
        </row>
        <row r="915">
          <cell r="A915" t="str">
            <v>БОНУС_Пельмени Бульмени со сливочным маслом ТМ Горячая штучка флоу-пак сфера 0,7 кг .  Поком</v>
          </cell>
          <cell r="E915">
            <v>72</v>
          </cell>
        </row>
        <row r="916">
          <cell r="A916" t="str">
            <v>БОНУС_Чебупицца курочка по-итальянски Горячая штучка 0,25 кг зам  ПОКОМ</v>
          </cell>
          <cell r="E916">
            <v>98</v>
          </cell>
        </row>
        <row r="917">
          <cell r="A917" t="str">
            <v>Бульмени хрустящие с мясом ТМ Горячая штучка ТС Бульмени ГШ сфера 0,22 кг  Поком</v>
          </cell>
          <cell r="E917">
            <v>25</v>
          </cell>
        </row>
        <row r="918">
          <cell r="A918" t="str">
            <v>Готовые бельмеши сочные с мясом ТМ Горячая штучка 0,3кг зам  ПОКОМ</v>
          </cell>
          <cell r="E918">
            <v>70</v>
          </cell>
        </row>
        <row r="919">
          <cell r="A919" t="str">
            <v>Готовые чебуманы с говядиной ТМ горячая штучка 0,28 кг.  Поком</v>
          </cell>
          <cell r="E919">
            <v>688</v>
          </cell>
        </row>
        <row r="920">
          <cell r="A920" t="str">
            <v>Готовые чебупели острые с мясом ТМ Горячая штучка флоу-пак 0,24 кг  Поком</v>
          </cell>
          <cell r="E920">
            <v>375</v>
          </cell>
        </row>
        <row r="921">
          <cell r="A921" t="str">
            <v>Готовые чебупели с ветчиной и сыром ТМ Горячая штучка флоу-пак 0,24 кг.  ПОКОМ</v>
          </cell>
          <cell r="E921">
            <v>887</v>
          </cell>
        </row>
        <row r="922">
          <cell r="A922" t="str">
            <v>Готовые чебупели с мясом ТМ Горячая штучка 0,24 кг  ПОКОМ</v>
          </cell>
          <cell r="E922">
            <v>562</v>
          </cell>
        </row>
        <row r="923">
          <cell r="A923" t="str">
            <v>Готовые чебупели сочные с мясом ТМ Горячая штучка флоу-пак 0,24 кг  ПОКОМ</v>
          </cell>
          <cell r="E923">
            <v>858</v>
          </cell>
        </row>
        <row r="924">
          <cell r="A924" t="str">
            <v>Готовые чебупели сочные с мясом ТМ Горячая штучка флоу-пак 0,48 кг XXL  Поком</v>
          </cell>
          <cell r="E924">
            <v>137</v>
          </cell>
        </row>
        <row r="925">
          <cell r="A925" t="str">
            <v>Готовые чебуреки с мясом ТМ Горячая штучка 0,09 кг флоу-пак ПОКОМ</v>
          </cell>
          <cell r="E925">
            <v>412</v>
          </cell>
        </row>
        <row r="926">
          <cell r="A926" t="str">
            <v>Готовые чебуреки со свининой и говядиной ТМ Горячая штучка ТС Базовый ассортимент 0,36 кг  ПОКОМ</v>
          </cell>
          <cell r="E926">
            <v>583</v>
          </cell>
        </row>
        <row r="927">
          <cell r="A927" t="str">
            <v>Жареные вареники с картофелем и беконом Добросельские 0,2 кг. ТМ Стародворье  ПОКОМ</v>
          </cell>
          <cell r="E927">
            <v>5</v>
          </cell>
        </row>
        <row r="928">
          <cell r="A928" t="str">
            <v>Круггетсы с сырным соусом ТМ Горячая штучка 0,25 кг зам  ПОКОМ</v>
          </cell>
          <cell r="E928">
            <v>1</v>
          </cell>
        </row>
        <row r="929">
          <cell r="A929" t="str">
            <v>Круггетсы с сырным соусом ТМ Горячая штучка ТС Круггетсы флоу-пак 0,2 кг  ПОКОМ</v>
          </cell>
          <cell r="E929">
            <v>208</v>
          </cell>
        </row>
        <row r="930">
          <cell r="A930" t="str">
            <v>Круггетсы сочные ТМ Горячая штучка ТС Круггетсы флоу-пак  0,2 кг.  ПОКОМ</v>
          </cell>
          <cell r="E930">
            <v>401</v>
          </cell>
        </row>
        <row r="931">
          <cell r="A931" t="str">
            <v>Мини-чебуреки с мясом ТМ Зареченские ТС Зареченские продукты ПОКОМ</v>
          </cell>
          <cell r="E931">
            <v>180</v>
          </cell>
        </row>
        <row r="932">
          <cell r="A932" t="str">
            <v>Наггетсы из печи 0,25кг ТМ Вязанка замор.  ПОКОМ</v>
          </cell>
          <cell r="E932">
            <v>511</v>
          </cell>
        </row>
        <row r="933">
          <cell r="A933" t="str">
            <v>Наггетсы Нагетосы Сочная курочка со сметаной и зеленью ТМ Горячая штучка флоу-пак 0,25 кг  Поком</v>
          </cell>
          <cell r="E933">
            <v>253</v>
          </cell>
        </row>
        <row r="934">
          <cell r="A934" t="str">
            <v>Наггетсы Нагетосы Сочная курочка ТМ Горячая штучка 0,25 кг зам  ПОКОМ</v>
          </cell>
          <cell r="E934">
            <v>337</v>
          </cell>
        </row>
        <row r="935">
          <cell r="A935" t="str">
            <v>Наггетсы с индейкой 0,25кг ТМ Вязанка ТС Из печи Сливушки ПОКОМ</v>
          </cell>
          <cell r="E935">
            <v>477</v>
          </cell>
        </row>
        <row r="936">
          <cell r="A936" t="str">
            <v>Наггетсы с куриным филе и сыром ТМ Вязанка ТС Из печи Сливушки 0,25 кг.  Поком</v>
          </cell>
          <cell r="E936">
            <v>319</v>
          </cell>
        </row>
        <row r="937">
          <cell r="A937" t="str">
            <v>Наггетсы Хрустящие ТМ Стародворье с сочной курочкой 0,23 кг  ПОКОМ</v>
          </cell>
          <cell r="E937">
            <v>209</v>
          </cell>
        </row>
        <row r="938">
          <cell r="A938" t="str">
            <v>Пекерсы с индейкой в сливочном соусе ТМ Горячая штучка 0,25 кг зам  ПОКОМ</v>
          </cell>
          <cell r="E938">
            <v>54</v>
          </cell>
        </row>
        <row r="939">
          <cell r="A939" t="str">
            <v>Пельмени Grandmeni с говядиной и свининой ТМ Горячаяштучка флоу-па классическая форма 0,7 кг.  Поком</v>
          </cell>
          <cell r="E939">
            <v>112</v>
          </cell>
        </row>
        <row r="940">
          <cell r="A940" t="str">
            <v>Пельмени Grandmeni с говядиной ТМ Горячаяштучка флоу-пак сфера 0,7 кг.  Поком</v>
          </cell>
          <cell r="E940">
            <v>142</v>
          </cell>
        </row>
        <row r="941">
          <cell r="A941" t="str">
            <v>Пельмени Grandmeni со сливочным маслом  ТМ Горячая штучка флоу-пак сфера 0,7 кг.  Поком</v>
          </cell>
          <cell r="E941">
            <v>139</v>
          </cell>
        </row>
        <row r="942">
          <cell r="A942" t="str">
            <v>Пельмени Бигбули #МЕГАВКУСИЩЕ с сочной грудинкой  ТМ Горячая штучка  флоу-пак сфера 0,7 кг.  Поком</v>
          </cell>
          <cell r="E942">
            <v>124</v>
          </cell>
        </row>
        <row r="943">
          <cell r="A943" t="str">
            <v>Пельмени Бигбули с мясом ТМ Горячая штучка БУЛЬМЕНИ ТС Бигбули ГШ  флоу-пак сфера 0,7.   Поком</v>
          </cell>
          <cell r="E943">
            <v>126</v>
          </cell>
        </row>
        <row r="944">
          <cell r="A944" t="str">
            <v>Пельмени Бигбули со сливочным маслом  ТС Бигбули ГШ#МЕГАМАСЛИЩЕ флоу-пак сфера 0,7.  Поком</v>
          </cell>
          <cell r="E944">
            <v>240</v>
          </cell>
        </row>
        <row r="945">
          <cell r="A945" t="str">
            <v>Пельмени Бульмени мини с мясом и оливковым маслом  ТС Бульмени ГШ флоу-пак сфера 0,7кг  Поком</v>
          </cell>
          <cell r="E945">
            <v>102</v>
          </cell>
        </row>
        <row r="946">
          <cell r="A946" t="str">
            <v>Пельмени Бульмени с говядиной и свининой Наваристые Горячая штучка ВЕС  ПОКОМ</v>
          </cell>
          <cell r="E946">
            <v>506.4</v>
          </cell>
        </row>
        <row r="947">
          <cell r="A947" t="str">
            <v>Пельмени Бульмени с говядиной и свининой ТМ Горячая штучка  флоу-пак сфера 0,4 кг  Поком</v>
          </cell>
          <cell r="E947">
            <v>238</v>
          </cell>
        </row>
        <row r="948">
          <cell r="A948" t="str">
            <v>Пельмени Бульмени с говядиной и свининой ТМ Горячая штучка БУЛЬМЕНИ  флоу-пак сфера 0,7 кг.  Поком</v>
          </cell>
          <cell r="E948">
            <v>268</v>
          </cell>
        </row>
        <row r="949">
          <cell r="A949" t="str">
            <v>Пельмени Бульмени со сливочным маслом ТМ Горячая шт. 0,43 кг  ПОКОМ</v>
          </cell>
          <cell r="E949">
            <v>1</v>
          </cell>
        </row>
        <row r="950">
          <cell r="A950" t="str">
            <v>Пельмени Бульмени со сливочным маслом ТМ Горячая штучка  флоу-пак сфера 0,4 кг .  Поком</v>
          </cell>
          <cell r="E950">
            <v>197</v>
          </cell>
        </row>
        <row r="951">
          <cell r="A951" t="str">
            <v>Пельмени Бульмени со сливочным маслом ТМ Горячая штучка флоу-пак сфера 0,7 кг .  Поком</v>
          </cell>
          <cell r="E951">
            <v>308</v>
          </cell>
        </row>
        <row r="952">
          <cell r="A952" t="str">
            <v>Пельмени Мясные с говядиной ТМ Стародворье сфера флоу-пак 1 кг  ПОКОМ</v>
          </cell>
          <cell r="E952">
            <v>724</v>
          </cell>
        </row>
        <row r="953">
          <cell r="A953" t="str">
            <v>Пельмени Отборные из свинины и говядины 0,9 кг ТМ Стародворье ТС Медвежье ушко  ПОКОМ</v>
          </cell>
          <cell r="E953">
            <v>225</v>
          </cell>
        </row>
        <row r="954">
          <cell r="A954" t="str">
            <v>Пельмени Отборные с говядиной 0,9 кг НОВА ТМ Стародворье ТС Медвежье ушко  ПОКОМ</v>
          </cell>
          <cell r="E954">
            <v>98</v>
          </cell>
        </row>
        <row r="955">
          <cell r="A955" t="str">
            <v>Пельмени С говядиной и свининой, ВЕС, ТМ Славница сфера пуговки  ПОКОМ</v>
          </cell>
          <cell r="E955">
            <v>345</v>
          </cell>
        </row>
        <row r="956">
          <cell r="A956" t="str">
            <v>Хот-догстер ТМ Горячая штучка ТС Хот-Догстер флоу-пак 0,09 кг.  Поком</v>
          </cell>
          <cell r="E956">
            <v>312</v>
          </cell>
        </row>
        <row r="957">
          <cell r="A957" t="str">
            <v>Хотстеры Васаби-чили ТМ Горячая штучка ТС Хотстеры 0,23кг жареные ПОКОМ</v>
          </cell>
          <cell r="E957">
            <v>146</v>
          </cell>
        </row>
        <row r="958">
          <cell r="A958" t="str">
            <v>Хотстеры с сыром ТМ Горячая штучка ТС Хотстеры 0,25кг.  Поком</v>
          </cell>
          <cell r="E958">
            <v>426</v>
          </cell>
        </row>
        <row r="959">
          <cell r="A959" t="str">
            <v>Хотстеры ТМ Горячая штучка ТС Хотстеры 0,25 кг зам  ПОКОМ</v>
          </cell>
          <cell r="E959">
            <v>664</v>
          </cell>
        </row>
        <row r="960">
          <cell r="A960" t="str">
            <v>Хрустипай апельсин имбирь ТМ Горячая штучка 0,18 кг  ПОКОМ</v>
          </cell>
          <cell r="E960">
            <v>40</v>
          </cell>
        </row>
        <row r="961">
          <cell r="A961" t="str">
            <v>Хрустипай манго маракуйя ТМ Горячая штучка 0,18 кг  ПОКОМ</v>
          </cell>
          <cell r="E961">
            <v>44</v>
          </cell>
        </row>
        <row r="962">
          <cell r="A962" t="str">
            <v>Хрустящие крылышки острые к пиву ТМ Горячая штучка 0,3кг зам  ПОКОМ</v>
          </cell>
          <cell r="E962">
            <v>513</v>
          </cell>
        </row>
        <row r="963">
          <cell r="A963" t="str">
            <v>Хрустящие крылышки ТМ Горячая штучка 0,3 кг зам  ПОКОМ</v>
          </cell>
          <cell r="E963">
            <v>631</v>
          </cell>
        </row>
        <row r="964">
          <cell r="A964" t="str">
            <v>Чебупели Курочка гриль Базовый ассортимент Фикс.вес 0,3 Пакет Горячая штучка  Поком</v>
          </cell>
          <cell r="E964">
            <v>132</v>
          </cell>
        </row>
        <row r="965">
          <cell r="A965" t="str">
            <v>Чебупицца курочка по-итальянски Горячая штучка 0,25 кг зам  ПОКОМ</v>
          </cell>
          <cell r="E965">
            <v>1603</v>
          </cell>
        </row>
        <row r="966">
          <cell r="A966" t="str">
            <v>Чебупицца Пепперони ТМ Горячая штучка ТС Чебупицца 0.25кг зам  ПОКОМ</v>
          </cell>
          <cell r="E966">
            <v>1883</v>
          </cell>
        </row>
        <row r="967">
          <cell r="A967" t="str">
            <v>Чебупицца со вкусом Том ям ТМ Горячая штучка ТС Чебупицца 0,23кг жареные ПОКОМ</v>
          </cell>
          <cell r="E967">
            <v>325</v>
          </cell>
        </row>
        <row r="968">
          <cell r="A968" t="str">
            <v>Чебуреки сочные, ВЕС, куриные жарен. зам  ПОКОМ</v>
          </cell>
          <cell r="E968">
            <v>5</v>
          </cell>
        </row>
        <row r="969">
          <cell r="A969" t="str">
            <v>АСП Луганск Останкино</v>
          </cell>
          <cell r="E969">
            <v>16031.955</v>
          </cell>
        </row>
        <row r="970">
          <cell r="A970" t="str">
            <v>Останкино ООО</v>
          </cell>
          <cell r="E970">
            <v>16031.955</v>
          </cell>
        </row>
        <row r="971">
          <cell r="A971" t="str">
            <v>ООО Останкино-Краснодар</v>
          </cell>
          <cell r="E971">
            <v>5647.7550000000001</v>
          </cell>
        </row>
        <row r="972">
          <cell r="A972" t="str">
            <v>3287 САЛЯМИ ИТАЛЬЯНСКАЯ с/к в/у ОСТАНКИНО</v>
          </cell>
          <cell r="E972">
            <v>4.9000000000000004</v>
          </cell>
        </row>
        <row r="973">
          <cell r="A973" t="str">
            <v>4063 МЯСНАЯ Папа может вар п/о_Л   ОСТАНКИНО</v>
          </cell>
          <cell r="E973">
            <v>774.5</v>
          </cell>
        </row>
        <row r="974">
          <cell r="A974" t="str">
            <v>4117 ЭКСТРА Папа может с/к в/у_Л   ОСТАНКИНО</v>
          </cell>
          <cell r="E974">
            <v>27.2</v>
          </cell>
        </row>
        <row r="975">
          <cell r="A975" t="str">
            <v>4574 Мясная со шпиком Папа может вар п/о ОСТАНКИНО</v>
          </cell>
          <cell r="E975">
            <v>279.5</v>
          </cell>
        </row>
        <row r="976">
          <cell r="A976" t="str">
            <v>4813 ФИЛЕЙНАЯ Папа может вар п/о_Л   ОСТАНКИНО</v>
          </cell>
          <cell r="E976">
            <v>340.6</v>
          </cell>
        </row>
        <row r="977">
          <cell r="A977" t="str">
            <v>5452 ВЕТЧ.МЯСНАЯ Папа может п/о    ОСТАНКИНО</v>
          </cell>
          <cell r="E977">
            <v>83.75</v>
          </cell>
        </row>
        <row r="978">
          <cell r="A978" t="str">
            <v>5544 Сервелат Финский в/к в/у_45с НОВАЯ ОСТАНКИНО</v>
          </cell>
          <cell r="E978">
            <v>355.5</v>
          </cell>
        </row>
        <row r="979">
          <cell r="A979" t="str">
            <v>5708 ПОСОЛЬСКАЯ Папа может с/к в/у ОСТАНКИНО</v>
          </cell>
          <cell r="E979">
            <v>31.1</v>
          </cell>
        </row>
        <row r="980">
          <cell r="A980" t="str">
            <v>5851 ЭКСТРА Папа может вар п/о   ОСТАНКИНО</v>
          </cell>
          <cell r="E980">
            <v>391.85500000000002</v>
          </cell>
        </row>
        <row r="981">
          <cell r="A981" t="str">
            <v>6008 САЛО СОЛЕНОЕ С ЧЕРНЫМ ПЕРЦЕМ мл/к в/у ОСТАНКИНО</v>
          </cell>
          <cell r="E981">
            <v>11.6</v>
          </cell>
        </row>
        <row r="982">
          <cell r="A982" t="str">
            <v>6220 ГОВЯЖЬЯ папа может вар п/о  Останкино</v>
          </cell>
          <cell r="E982">
            <v>233.95</v>
          </cell>
        </row>
        <row r="983">
          <cell r="A983" t="str">
            <v>6303 Мясные Папа может сос п/о мгс 1,5*3  Останкино</v>
          </cell>
          <cell r="E983">
            <v>360.9</v>
          </cell>
        </row>
        <row r="984">
          <cell r="A984" t="str">
            <v>6498 МОЛОЧНАЯ Папа может вар п/о  ОСТАНКИНО</v>
          </cell>
          <cell r="E984">
            <v>133.9</v>
          </cell>
        </row>
        <row r="985">
          <cell r="A985" t="str">
            <v>6527 ШПИКАЧКИ СОЧНЫЕ ПМ сар б/о мгс 1*3 45с ОСТАНКИНО</v>
          </cell>
          <cell r="E985">
            <v>114.8</v>
          </cell>
        </row>
        <row r="986">
          <cell r="A986" t="str">
            <v>6550 МЯСНЫЕ Папа может сар б/о мгс 1*3 О 45с  Останкино</v>
          </cell>
          <cell r="E986">
            <v>173.2</v>
          </cell>
        </row>
        <row r="987">
          <cell r="A987" t="str">
            <v>6608 С ГОВЯДИНОЙ ОРИГИН. сар б/о мгс 1*3_45с  ОСТАНКИНО</v>
          </cell>
          <cell r="E987">
            <v>238.1</v>
          </cell>
        </row>
        <row r="988">
          <cell r="A988" t="str">
            <v>6620 РЕБРЫШКИ к/в в/у_30с  Останкино</v>
          </cell>
          <cell r="E988">
            <v>64.3</v>
          </cell>
        </row>
        <row r="989">
          <cell r="A989" t="str">
            <v>6661 СОЧНЫЙ ГРИЛЬ ПМ сос п/о мгс 1,5*4_Маяк Останкино</v>
          </cell>
          <cell r="E989">
            <v>269.7</v>
          </cell>
        </row>
        <row r="990">
          <cell r="A990" t="str">
            <v>6829  МОЛОЧНЫЕ КЛАССИЧЕСКИЕ сос п/о мгс 2*4 С  Останккино</v>
          </cell>
          <cell r="E990">
            <v>365.9</v>
          </cell>
        </row>
        <row r="991">
          <cell r="A991" t="str">
            <v>6955 СОЧНЫЕ Папа может сос п/о мгс 1,5*4 А  Останкино</v>
          </cell>
          <cell r="E991">
            <v>36</v>
          </cell>
        </row>
        <row r="992">
          <cell r="A992" t="str">
            <v>7001 КЛАССИЧЕСКИЕ Папа может сар б/о мгс 1*3  Останкино</v>
          </cell>
          <cell r="E992">
            <v>59</v>
          </cell>
        </row>
        <row r="993">
          <cell r="A993" t="str">
            <v>7070 СОЧНЫЕ ПМ сос п/о 1,5*4_А_50с  Останкино</v>
          </cell>
          <cell r="E993">
            <v>456.1</v>
          </cell>
        </row>
        <row r="994">
          <cell r="A994" t="str">
            <v>7075 МОЛОЧ.ПРЕМИУМ ПМ сос п/о мгс 1,5*4_О_50с  Останкино</v>
          </cell>
          <cell r="E994">
            <v>72.5</v>
          </cell>
        </row>
        <row r="995">
          <cell r="A995" t="str">
            <v>7082 СЛИВОЧНЫЕ ПМ сос п/о мгс 1,5*4_50с  Останкино</v>
          </cell>
          <cell r="E995">
            <v>26</v>
          </cell>
        </row>
        <row r="996">
          <cell r="A996" t="str">
            <v>7083 СЛИВОЧНЫЕ ПМ сос п/о мгс 1.5*4_А_50с  ОСТАНКИНО</v>
          </cell>
          <cell r="E996">
            <v>190.3</v>
          </cell>
        </row>
        <row r="997">
          <cell r="A997" t="str">
            <v>7131 БАЛЫКОВАЯ в/к в/у 0,84кг  Останкино</v>
          </cell>
          <cell r="E997">
            <v>2</v>
          </cell>
        </row>
        <row r="998">
          <cell r="A998" t="str">
            <v>7157 СЕРВЕЛАТ ЗЕРНИСТЫЙ ПМ в/к в/у_50с  Останкино</v>
          </cell>
          <cell r="E998">
            <v>240.6</v>
          </cell>
        </row>
        <row r="999">
          <cell r="A999" t="str">
            <v>7166 СЕРВЕЛАТ ОХОТНИЧИЙ ПМ в/к в/у_50с  Останкино</v>
          </cell>
          <cell r="E999">
            <v>302.2</v>
          </cell>
        </row>
        <row r="1000">
          <cell r="A1000" t="str">
            <v>БОНУС_6954 СОЧНЫЕ Папа может сос п/о мгс 1.5*4_Х5  ОСТАНКИНО</v>
          </cell>
          <cell r="E1000">
            <v>7.8</v>
          </cell>
        </row>
        <row r="1001">
          <cell r="A1001" t="str">
            <v>ООО Останкино-Краснодар (ШТ)</v>
          </cell>
          <cell r="E1001">
            <v>9492</v>
          </cell>
        </row>
        <row r="1002">
          <cell r="A1002" t="str">
            <v>3215 ВЕТЧ.МЯСНАЯ Папа может п/о 0.4кг 8шт.    ОСТАНКИНО</v>
          </cell>
          <cell r="E1002">
            <v>127</v>
          </cell>
        </row>
        <row r="1003">
          <cell r="A1003" t="str">
            <v>3986 Ароматная с/к в/у 1/250 ОСТАНКИНО</v>
          </cell>
          <cell r="E1003">
            <v>59</v>
          </cell>
        </row>
        <row r="1004">
          <cell r="A1004" t="str">
            <v>4993 САЛЯМИ ИТАЛЬЯНСКАЯ с/к в/у 1/250*8_120c ОСТАНКИНО</v>
          </cell>
          <cell r="E1004">
            <v>82</v>
          </cell>
        </row>
        <row r="1005">
          <cell r="A1005" t="str">
            <v>5483 ЭКСТРА Папа может с/к в/у 1/250 8шт.   ОСТАНКИНО</v>
          </cell>
          <cell r="E1005">
            <v>77</v>
          </cell>
        </row>
        <row r="1006">
          <cell r="A1006" t="str">
            <v>5495 ВЕТЧ.С ИНДЕЙКОЙ Папа может п/о 400*6  Останкино</v>
          </cell>
          <cell r="E1006">
            <v>143</v>
          </cell>
        </row>
        <row r="1007">
          <cell r="A1007" t="str">
            <v>5706 АРОМАТНАЯ Папа может с/к в/у 1/250 8шт.  ОСТАНКИНО</v>
          </cell>
          <cell r="E1007">
            <v>8</v>
          </cell>
        </row>
        <row r="1008">
          <cell r="A1008" t="str">
            <v>5819 Сосиски Папа может 400г Мясные  ОСТАНКИНО</v>
          </cell>
          <cell r="E1008">
            <v>93</v>
          </cell>
        </row>
        <row r="1009">
          <cell r="A1009" t="str">
            <v>5931 ОХОТНИЧЬЯ Папа может с/к в/у 1/220 8шт.   ОСТАНКИНО</v>
          </cell>
          <cell r="E1009">
            <v>543</v>
          </cell>
        </row>
        <row r="1010">
          <cell r="A1010" t="str">
            <v>6208 ДЫМОВИЦА ИЗ ЛОПАТКИ ПМ к/в с/н в/у 1/150  Останкино</v>
          </cell>
          <cell r="E1010">
            <v>33</v>
          </cell>
        </row>
        <row r="1011">
          <cell r="A1011" t="str">
            <v>6221 НЕОПОЛИТАНСКИЙ ДУЭТ с/к с/н мгс 1/90  Останкино</v>
          </cell>
          <cell r="E1011">
            <v>218</v>
          </cell>
        </row>
        <row r="1012">
          <cell r="A1012" t="str">
            <v>6228 МЯСНОЕ АССОРТИ к/з с/н мгс 1/90 10шт  Останкино</v>
          </cell>
          <cell r="E1012">
            <v>145</v>
          </cell>
        </row>
        <row r="1013">
          <cell r="A1013" t="str">
            <v>6279 КОРЕЙКА ПО-ОСТ.к/в в/с с/н в/у 1/150_45с  Останкино</v>
          </cell>
          <cell r="E1013">
            <v>169</v>
          </cell>
        </row>
        <row r="1014">
          <cell r="A1014" t="str">
            <v>6324 ДОКТОРСКАЯ ГОСТ вар п/о 0,4кг 8шт  Останкино</v>
          </cell>
          <cell r="E1014">
            <v>50</v>
          </cell>
        </row>
        <row r="1015">
          <cell r="A1015" t="str">
            <v>6325 ДОКТОРСКАЯ ПРЕМИУМ вар п/о 0.4кг 8шт.  ОСТАНКИНО</v>
          </cell>
          <cell r="E1015">
            <v>89</v>
          </cell>
        </row>
        <row r="1016">
          <cell r="A1016" t="str">
            <v>6333 МЯСНАЯ Папа может вар п/о 0.4кг 8шт.  ОСТАНКИНО</v>
          </cell>
          <cell r="E1016">
            <v>253</v>
          </cell>
        </row>
        <row r="1017">
          <cell r="A1017" t="str">
            <v>6353 ЭКСТРА Папа может вар п/о 0.4кг 8шт.  ОСТАНКИНО</v>
          </cell>
          <cell r="E1017">
            <v>192</v>
          </cell>
        </row>
        <row r="1018">
          <cell r="A1018" t="str">
            <v>6392 ФИЛЕЙНАЯ Папа может вар п/о 0,4кг  ОСТАНКИНО</v>
          </cell>
          <cell r="E1018">
            <v>180</v>
          </cell>
        </row>
        <row r="1019">
          <cell r="A1019" t="str">
            <v>6448 Свинина Останкино 100г Мадера с/к в/у нарезка  ОСТАНКИНО</v>
          </cell>
          <cell r="E1019">
            <v>7</v>
          </cell>
        </row>
        <row r="1020">
          <cell r="A1020" t="str">
            <v>6453 ЭКСТРА Папа может с/к с/н в/у 1/100 14шт.   ОСТАНКИНО</v>
          </cell>
          <cell r="E1020">
            <v>322</v>
          </cell>
        </row>
        <row r="1021">
          <cell r="A1021" t="str">
            <v>6454 АРОМАТНАЯ с/к с/н в/у 1/100 10шт.  ОСТАНКИНО</v>
          </cell>
          <cell r="E1021">
            <v>355</v>
          </cell>
        </row>
        <row r="1022">
          <cell r="A1022" t="str">
            <v>6459 СЕРВЕЛАТ ШВЕЙЦАРСК. в/к с/н в/у 1/100*10  Останкино</v>
          </cell>
          <cell r="E1022">
            <v>42</v>
          </cell>
        </row>
        <row r="1023">
          <cell r="A1023" t="str">
            <v>6475 Сосиски Папа может 400г С сыром  ОСТАНКИНО</v>
          </cell>
          <cell r="E1023">
            <v>122</v>
          </cell>
        </row>
        <row r="1024">
          <cell r="A1024" t="str">
            <v>6495 ВЕТЧ.МРАМОРНАЯ в/у срез 0,3кг 6шт_45с  Останкино</v>
          </cell>
          <cell r="E1024">
            <v>86</v>
          </cell>
        </row>
        <row r="1025">
          <cell r="A1025" t="str">
            <v>6602 БАВАРСКИЕ ПМ сос ц/о мгс 0,35кг 8шт  Останкино</v>
          </cell>
          <cell r="E1025">
            <v>137</v>
          </cell>
        </row>
        <row r="1026">
          <cell r="A1026" t="str">
            <v>6609 С ГОВЯДИНОЙ ПМ сар б/о мгс 0,4 кг_45с</v>
          </cell>
          <cell r="E1026">
            <v>6</v>
          </cell>
        </row>
        <row r="1027">
          <cell r="A1027" t="str">
            <v>6616 МОЛОЧНЫЕ КЛАССИЧЕСКИЕ сос п/о в/у 0,3 кг  Останкино</v>
          </cell>
          <cell r="E1027">
            <v>203</v>
          </cell>
        </row>
        <row r="1028">
          <cell r="A1028" t="str">
            <v>6697 СЕРВЕЛАТ ФИНСКИЙ ПМ в/к в/у 0,35кг 8шт  ОСТАНКИНО</v>
          </cell>
          <cell r="E1028">
            <v>354</v>
          </cell>
        </row>
        <row r="1029">
          <cell r="A1029" t="str">
            <v>6701 СЕРВЕЛАТ ШВАРЦЕР ПМ в/к в/у 0.28кг 8шт.  ОСТАНКИНО</v>
          </cell>
          <cell r="E1029">
            <v>6</v>
          </cell>
        </row>
        <row r="1030">
          <cell r="A1030" t="str">
            <v>6713 СОЧНЫЙ ГРИЛЬ ПМ сос п/о мгс 0,41кг 8 шт.  ОСТАНКИНО</v>
          </cell>
          <cell r="E1030">
            <v>233</v>
          </cell>
        </row>
        <row r="1031">
          <cell r="A1031" t="str">
            <v>6724 МОЛОЧНЫЕ ПМ сос п/о мгс 0,41кг 10шт  Останкино</v>
          </cell>
          <cell r="E1031">
            <v>197</v>
          </cell>
        </row>
        <row r="1032">
          <cell r="A1032" t="str">
            <v>6765 РУБЛЕНЫЕ сос ц/о мгс 0,36кг 6шт  Останкино</v>
          </cell>
          <cell r="E1032">
            <v>212</v>
          </cell>
        </row>
        <row r="1033">
          <cell r="A1033" t="str">
            <v>6787 СЕРВЕЛАТ КРЕМЛЕВСКИЙ в/к в/у 0,33кг 8шт  Останкино</v>
          </cell>
          <cell r="E1033">
            <v>87</v>
          </cell>
        </row>
        <row r="1034">
          <cell r="A1034" t="str">
            <v>6793 БАЛЫКОВАЯ в/к в/у 0,33кг 8шт  Останкино</v>
          </cell>
          <cell r="E1034">
            <v>98</v>
          </cell>
        </row>
        <row r="1035">
          <cell r="A1035" t="str">
            <v>6797 С ИНДЕЙКОЙ Папа может вар п/о 0,4кг 8шт. ОСТАНКИНО</v>
          </cell>
          <cell r="E1035">
            <v>78</v>
          </cell>
        </row>
        <row r="1036">
          <cell r="A1036" t="str">
            <v>6804 СЕРВЕЛАТ КРЕМЛЕВСКИЙ в/к в/у 0,66кг 8шт  Останкино</v>
          </cell>
          <cell r="E1036">
            <v>48</v>
          </cell>
        </row>
        <row r="1037">
          <cell r="A1037" t="str">
            <v>6807 СЕРВЕЛАТ ЕВРОПЕЙСКИЙ в/к в/у 0,33кг 8шт  Останкино</v>
          </cell>
          <cell r="E1037">
            <v>29</v>
          </cell>
        </row>
        <row r="1038">
          <cell r="A1038" t="str">
            <v>6834 ПОСОЛЬСКАЯ с/к с/н в/у 1/100 10шт  Останкино</v>
          </cell>
          <cell r="E1038">
            <v>27</v>
          </cell>
        </row>
        <row r="1039">
          <cell r="A1039" t="str">
            <v>6837 ФИЛЕЙНЫЕ Папа Может сос ц/о мгс 0,4кг  Останкино</v>
          </cell>
          <cell r="E1039">
            <v>111</v>
          </cell>
        </row>
        <row r="1040">
          <cell r="A1040" t="str">
            <v>6925 ВЕТЧ.КЛАССИЧЕСКАЯ в/у 0,6кг 8шт. ОСТАНКИНО</v>
          </cell>
          <cell r="E1040">
            <v>11</v>
          </cell>
        </row>
        <row r="1041">
          <cell r="A1041" t="str">
            <v>6967 БУРГУНДИЯ Папа может с/к в/у 1/250 8шт  Останкино</v>
          </cell>
          <cell r="E1041">
            <v>31</v>
          </cell>
        </row>
        <row r="1042">
          <cell r="A1042" t="str">
            <v>7059 ШПИКАЧКИ СОЧНЫЕ С БЕК. п/о мгс 0,3кг 60с ОСТАНКИНО</v>
          </cell>
          <cell r="E1042">
            <v>189</v>
          </cell>
        </row>
        <row r="1043">
          <cell r="A1043" t="str">
            <v>7066 СОЧНЫЕ ПМ сос п/о мгс 0,41кг 10шт 50с  Останкино</v>
          </cell>
          <cell r="E1043">
            <v>433</v>
          </cell>
        </row>
        <row r="1044">
          <cell r="A1044" t="str">
            <v>7073 МОЛОЧ.ПРЕМИУМ ПМ сос п/о в/у 1/350_50с  Останкино</v>
          </cell>
          <cell r="E1044">
            <v>69</v>
          </cell>
        </row>
        <row r="1045">
          <cell r="A1045" t="str">
            <v>7080 СЛИВОЧНЫЕ ПМ сос п/о мгс 0,41кг 10шт 50с  Останкино</v>
          </cell>
          <cell r="E1045">
            <v>291</v>
          </cell>
        </row>
        <row r="1046">
          <cell r="A1046" t="str">
            <v>7090 СВИНИНА ПО-ДОМ.к/в мл/к в/у 0,3кг_50с  Останкино</v>
          </cell>
          <cell r="E1046">
            <v>102</v>
          </cell>
        </row>
        <row r="1047">
          <cell r="A1047" t="str">
            <v>7103 БЕКОН Останкино с/к с/н в/у 1/180_50с  Останкино</v>
          </cell>
          <cell r="E1047">
            <v>314</v>
          </cell>
        </row>
        <row r="1048">
          <cell r="A1048" t="str">
            <v>7147 САЛЬЧИЧОН Останкино с/к в/у 1/220 8 шт  Останкино</v>
          </cell>
          <cell r="E1048">
            <v>2</v>
          </cell>
        </row>
        <row r="1049">
          <cell r="A1049" t="str">
            <v>7154 СЕРВЕЛАТ ЗЕРНИСТЫЙ ПМ в/к в/у 0,35кг_50с  Останкино</v>
          </cell>
          <cell r="E1049">
            <v>525</v>
          </cell>
        </row>
        <row r="1050">
          <cell r="A1050" t="str">
            <v>7169 СЕРВЕЛАТ ОХОТНИЧИЙ ПМ в/к в/у 0,35кг_50с  Останкино</v>
          </cell>
          <cell r="E1050">
            <v>294</v>
          </cell>
        </row>
        <row r="1051">
          <cell r="A1051" t="str">
            <v>7187 ГРУДИНКА ПРЕМИУМ к/в мл/к в/у 0,3кг_50с  Останкино</v>
          </cell>
          <cell r="E1051">
            <v>68</v>
          </cell>
        </row>
        <row r="1052">
          <cell r="A1052" t="str">
            <v>7231 КЛАССИЧЕСКАЯ ПМ вар п/о 0,3кг 8 шт_209к  Останкино</v>
          </cell>
          <cell r="E1052">
            <v>56</v>
          </cell>
        </row>
        <row r="1053">
          <cell r="A1053" t="str">
            <v>7232 БОЯNСКАЯ ПМ п/к в/у 0,28кг 8шт_209к  Останкино</v>
          </cell>
          <cell r="E1053">
            <v>219</v>
          </cell>
        </row>
        <row r="1054">
          <cell r="A1054" t="str">
            <v>7236 СЕРВЕЛАТ КАРЕЛЬСКИЙ в/к в/у 0,28кг_209к  Останкино</v>
          </cell>
          <cell r="E1054">
            <v>232</v>
          </cell>
        </row>
        <row r="1055">
          <cell r="A1055" t="str">
            <v>7237 СЕРВЕЛАТ ШВАРЦЕР ПМ в/к в/у 0,28кг_209к  Останкино</v>
          </cell>
          <cell r="E1055">
            <v>77</v>
          </cell>
        </row>
        <row r="1056">
          <cell r="A1056" t="str">
            <v>7241 САЛЯМИ Папа может п/к в/у 0,28кг ОСТАНКИНО</v>
          </cell>
          <cell r="E1056">
            <v>441</v>
          </cell>
        </row>
        <row r="1057">
          <cell r="A1057" t="str">
            <v>7255 МЯСНЫЕ С ГОВЯД.ПМ сос п/о мгс 0.4кг 6шт.  ОСТАНКИНО</v>
          </cell>
          <cell r="E1057">
            <v>271</v>
          </cell>
        </row>
        <row r="1058">
          <cell r="A1058" t="str">
            <v>7271 МЯСНЫЕ С ГОВЯДИНОЙ ПМ сос п/о мгс 1.5*4  ОСТАНКИНО</v>
          </cell>
          <cell r="E1058">
            <v>21</v>
          </cell>
        </row>
        <row r="1059">
          <cell r="A1059" t="str">
            <v>7276 СЛИВОЧНЫЕ ПМ сос п/о мгс 0,3кг 7шт  Останкино</v>
          </cell>
          <cell r="E1059">
            <v>43</v>
          </cell>
        </row>
        <row r="1060">
          <cell r="A1060" t="str">
            <v>7284 ДЛЯ ДЕТЕЙ сос п/о мгс 0,33кг 6шт  Останкино</v>
          </cell>
          <cell r="E1060">
            <v>43</v>
          </cell>
        </row>
        <row r="1061">
          <cell r="A1061" t="str">
            <v>7288 БАЛЫК с/к с/н в/у 1/100 10шт ОСТАНКИНО</v>
          </cell>
          <cell r="E1061">
            <v>58</v>
          </cell>
        </row>
        <row r="1062">
          <cell r="A1062" t="str">
            <v>7332 БОЯРСКАЯ ПМ п/к в/у 0,28кг ОСТАНКИНО</v>
          </cell>
          <cell r="E1062">
            <v>13</v>
          </cell>
        </row>
        <row r="1063">
          <cell r="A1063" t="str">
            <v>7333 СЕРВЕЛАТ ОХОТНИЧИЙ ПМ в/к в/у 0,28кг ОСТАНКИНО</v>
          </cell>
          <cell r="E1063">
            <v>11</v>
          </cell>
        </row>
        <row r="1064">
          <cell r="A1064" t="str">
            <v>7343 СЕЙЧАС СЕЗОН ПМ вар п/о 0,4кг ОСТАНКИНО</v>
          </cell>
          <cell r="E1064">
            <v>43</v>
          </cell>
        </row>
        <row r="1065">
          <cell r="A1065" t="str">
            <v>7371 БРЕСТСКИЕ сос п/о в/у 0,3кг 8шт. ОСТАНКИНО</v>
          </cell>
          <cell r="E1065">
            <v>49</v>
          </cell>
        </row>
        <row r="1066">
          <cell r="A1066" t="str">
            <v>7382  САЛЯМИ МЕЛКОЗЕРНЕНАЯ с/к в/у1/120 8шт.  ОСТАНКИНО</v>
          </cell>
          <cell r="E1066">
            <v>129</v>
          </cell>
        </row>
        <row r="1067">
          <cell r="A1067" t="str">
            <v>7461 ДЛЯ ДЕТЕЙ Папа Может сос п/о мгс 0,33кг ОСТАНКИНО</v>
          </cell>
          <cell r="E1067">
            <v>68</v>
          </cell>
        </row>
        <row r="1068">
          <cell r="A1068" t="str">
            <v>7489 СЫРРРВЕЛАТ Папа Может в/к в/у 0,28кг 8шт. ОСТАНКИНО</v>
          </cell>
          <cell r="E1068">
            <v>38</v>
          </cell>
        </row>
        <row r="1069">
          <cell r="A1069" t="str">
            <v>7523 ГОВЯЖЬЯ Папа Может вар п/о 0,4кг 6шт. ОСТАНКИНО</v>
          </cell>
          <cell r="E1069">
            <v>72</v>
          </cell>
        </row>
        <row r="1070">
          <cell r="A1070" t="str">
            <v>7539 ДОКТОРСКАЯ ГОСТ вар п/о 0,35кг ОСТАНКИНО</v>
          </cell>
          <cell r="E1070">
            <v>20</v>
          </cell>
        </row>
        <row r="1071">
          <cell r="A1071" t="str">
            <v>7603 БАЛЫКОВАЯ в/к в/у 0.33кг 8шт. ОСТАНКИНО</v>
          </cell>
          <cell r="E1071">
            <v>20</v>
          </cell>
        </row>
        <row r="1072">
          <cell r="A1072" t="str">
            <v>БОНУС_6087 СОЧНЫЕ ПМ сос п/о мгс 0,41кг 10шт.  ОСТАНКИНО</v>
          </cell>
          <cell r="E1072">
            <v>18</v>
          </cell>
        </row>
        <row r="1073">
          <cell r="A1073" t="str">
            <v>Останкино Заморозка</v>
          </cell>
          <cell r="E1073">
            <v>730</v>
          </cell>
        </row>
        <row r="1074">
          <cell r="A1074" t="str">
            <v>5579 БЛИНЧ.КРУГЛЫЕ С САД.ЯБЛОК.пл.1/420 зам. ОСТАНКИНО</v>
          </cell>
          <cell r="E1074">
            <v>13</v>
          </cell>
        </row>
        <row r="1075">
          <cell r="A1075" t="str">
            <v>5754 БЛИНЧ.КРУГЛЫЕ С МЯСОМ 4,5кг зам. ПМ ОСТАНКИНО</v>
          </cell>
          <cell r="E1075">
            <v>40.5</v>
          </cell>
        </row>
        <row r="1076">
          <cell r="A1076" t="str">
            <v>5755 БЛИНЧ.КРУГЛЫЕ С ТВОРОГОМ 4,5кг зам. ПМ ОСТАНКИНО</v>
          </cell>
          <cell r="E1076">
            <v>4.5</v>
          </cell>
        </row>
        <row r="1077">
          <cell r="A1077" t="str">
            <v>5897 БЛИНЧ.КРУГЛЫЕ С ГРУШЕЙ пл.1/420 зам.   ОСТАНКИНО</v>
          </cell>
          <cell r="E1077">
            <v>43</v>
          </cell>
        </row>
        <row r="1078">
          <cell r="A1078" t="str">
            <v>6148 БЛИНЧ.КРУГЛЫЕ С ВЕТЧ.И СЫР. ПМ 1/300 зам. ОСТАНКИНО</v>
          </cell>
          <cell r="E1078">
            <v>85</v>
          </cell>
        </row>
        <row r="1079">
          <cell r="A1079" t="str">
            <v>6149 БЛИНЧ.КРУГЛЫЕ С ПЕЧЕНЬЮ ПМ 1/300 зам. ОСТАНКИНО</v>
          </cell>
          <cell r="E1079">
            <v>75</v>
          </cell>
        </row>
        <row r="1080">
          <cell r="A1080" t="str">
            <v>6168 Блинчики с мясом пл. 1/350 зам. ОСТАНКИНО</v>
          </cell>
          <cell r="E1080">
            <v>96</v>
          </cell>
        </row>
        <row r="1081">
          <cell r="A1081" t="str">
            <v>6202 БЛИНЧ.КРУГЛЫЕ С ТВОРОГОМ ПМ 1/300 зам. ОСТАНКИНО</v>
          </cell>
          <cell r="E1081">
            <v>48</v>
          </cell>
        </row>
        <row r="1082">
          <cell r="A1082" t="str">
            <v>6209 Блинчики с куриным мясом пл. 1/350 зам. ОСТАНКИНО</v>
          </cell>
          <cell r="E1082">
            <v>102</v>
          </cell>
        </row>
        <row r="1083">
          <cell r="A1083" t="str">
            <v>6819 БЛИНЧ.КРУГЛЫЕ С САД.ЯБЛОК. пл. 1/300 зам. ОСТАНКИНО</v>
          </cell>
          <cell r="E1083">
            <v>34</v>
          </cell>
        </row>
        <row r="1084">
          <cell r="A1084" t="str">
            <v>7216 СОЧНЫЕ СО СЛ.МАСЛ.ПМ пельм пл.0.7кг зам. ОСТАНКИНО</v>
          </cell>
          <cell r="E1084">
            <v>189</v>
          </cell>
        </row>
        <row r="1085">
          <cell r="A1085" t="str">
            <v>Останкино КОРОВИНО (ВЕС)</v>
          </cell>
          <cell r="E1085">
            <v>85.2</v>
          </cell>
        </row>
        <row r="1086">
          <cell r="A1086" t="str">
            <v>6861 ДОМАШНИЙ РЕЦЕПТ Коровино вар п/о  Останкино</v>
          </cell>
          <cell r="E1086">
            <v>28.9</v>
          </cell>
        </row>
        <row r="1087">
          <cell r="A1087" t="str">
            <v>6862 ДОМАШНИЙ РЕЦЕПТ СО ШПИК. Коровино вар п/о  Останкино</v>
          </cell>
          <cell r="E1087">
            <v>3.9</v>
          </cell>
        </row>
        <row r="1088">
          <cell r="A1088" t="str">
            <v>6866 ВЕТЧ.НЕЖНАЯ Коровино п/о_Маяк  Останкино</v>
          </cell>
          <cell r="E1088">
            <v>52.4</v>
          </cell>
        </row>
        <row r="1089">
          <cell r="A1089" t="str">
            <v>Останкино КОРОВИНО (ШТ)</v>
          </cell>
          <cell r="E1089">
            <v>73</v>
          </cell>
        </row>
        <row r="1090">
          <cell r="A1090" t="str">
            <v>7149 БАЛЫКОВАЯ Коровино п/к в/у 0,84кг_50с  Останкино</v>
          </cell>
          <cell r="E1090">
            <v>73</v>
          </cell>
        </row>
        <row r="1091">
          <cell r="A1091" t="str">
            <v>Останкино СЫР</v>
          </cell>
          <cell r="E1091">
            <v>4</v>
          </cell>
        </row>
        <row r="1092">
          <cell r="A1092" t="str">
            <v>Сыр Боккончини копченый 40% 100 гр.  ОСТАНКИНО</v>
          </cell>
          <cell r="E1092">
            <v>2</v>
          </cell>
        </row>
        <row r="1093">
          <cell r="A1093" t="str">
            <v>Сыр Косичка сырная 45% 100г/8шт Папа Может Останкино</v>
          </cell>
          <cell r="E1093">
            <v>1</v>
          </cell>
        </row>
        <row r="1094">
          <cell r="A1094" t="str">
            <v>Сыр рассольный жирный Чечил копченый 43% 100 гр  Останкино</v>
          </cell>
          <cell r="E1094">
            <v>1</v>
          </cell>
        </row>
        <row r="1095">
          <cell r="A1095" t="str">
            <v>АСП Луганск Останкино молоко</v>
          </cell>
          <cell r="E1095">
            <v>1684.1</v>
          </cell>
        </row>
        <row r="1096">
          <cell r="A1096" t="str">
            <v>Останкино ООО</v>
          </cell>
          <cell r="E1096">
            <v>1684.1</v>
          </cell>
        </row>
        <row r="1097">
          <cell r="A1097" t="str">
            <v>Останкино (соусы, майонезы)</v>
          </cell>
          <cell r="E1097">
            <v>524</v>
          </cell>
        </row>
        <row r="1098">
          <cell r="A1098" t="str">
            <v>6948249 Майонезный соус провансаль 824,5гр деликатес.с массовой долей жирн.25% Коровино Останкино</v>
          </cell>
          <cell r="E1098">
            <v>5</v>
          </cell>
        </row>
        <row r="1099">
          <cell r="A1099" t="str">
            <v>6948256 Майонез провансаль классич.оливковый Папа может 372гр с массовой долей жирн. 67% Останкино</v>
          </cell>
          <cell r="E1099">
            <v>60</v>
          </cell>
        </row>
        <row r="1100">
          <cell r="A1100" t="str">
            <v>6948263 Майонез провансаль классич.оливковый Папа может 744гр с массовой долей жирн. 67% Останкино</v>
          </cell>
          <cell r="E1100">
            <v>54</v>
          </cell>
        </row>
        <row r="1101">
          <cell r="A1101" t="str">
            <v>6948270 Майонез провансаль классич.Папа может 372гр с массовой долей жирн. 67% Останкино</v>
          </cell>
          <cell r="E1101">
            <v>174</v>
          </cell>
        </row>
        <row r="1102">
          <cell r="A1102" t="str">
            <v>6948287 Майонез провансаль классич.Папа может 744гр с массовой долей жирн. 67% Останкино</v>
          </cell>
          <cell r="E1102">
            <v>231</v>
          </cell>
        </row>
        <row r="1103">
          <cell r="A1103" t="str">
            <v>Останкино СЫР</v>
          </cell>
          <cell r="E1103">
            <v>1160.0999999999999</v>
          </cell>
        </row>
        <row r="1104">
          <cell r="A1104" t="str">
            <v>3323 Сыр Российский цилиндр 1/4 пленка ЮКМП м.д.ж. 50%  ОСТАНКИНО</v>
          </cell>
          <cell r="E1104">
            <v>47.6</v>
          </cell>
        </row>
        <row r="1105">
          <cell r="A1105" t="str">
            <v>3534796 Масло сливочное ж.82,5% 180г фольга ТМ Папа может(вл 12)  Останкино</v>
          </cell>
        </row>
        <row r="1106">
          <cell r="A1106" t="str">
            <v>9988438 Плавленый Сыр 45% "С ветчиной" СТМ"ПапаМожет" 180гр  Останкино</v>
          </cell>
          <cell r="E1106">
            <v>10</v>
          </cell>
        </row>
        <row r="1107">
          <cell r="A1107" t="str">
            <v>9988445 Плавленый Сыр 45%"С грибами" СТМ"ПапаМожет" 180 гр  Останкино</v>
          </cell>
          <cell r="E1107">
            <v>8</v>
          </cell>
        </row>
        <row r="1108">
          <cell r="A1108" t="str">
            <v>Cыр Перлини 40% 100гр (8шт)  Останкино</v>
          </cell>
          <cell r="E1108">
            <v>2</v>
          </cell>
        </row>
        <row r="1109">
          <cell r="A1109" t="str">
            <v>Cыр Перлини копченый 40% 100гр (8шт)  Останкино</v>
          </cell>
          <cell r="E1109">
            <v>2</v>
          </cell>
        </row>
        <row r="1110">
          <cell r="A1110" t="str">
            <v>Cыр Перлини со вкусом Васаби 40% 100гр (8шт)  Останкино</v>
          </cell>
          <cell r="E1110">
            <v>2</v>
          </cell>
        </row>
        <row r="1111">
          <cell r="A1111" t="str">
            <v>Масло "Папа может" 82,5% 180гр  Останкино</v>
          </cell>
          <cell r="E1111">
            <v>78</v>
          </cell>
        </row>
        <row r="1112">
          <cell r="A1112" t="str">
            <v>Масло сливочное 72,5 % 180 гр.(10 шт) СЛАВЯНА  Останкино</v>
          </cell>
          <cell r="E1112">
            <v>114</v>
          </cell>
        </row>
        <row r="1113">
          <cell r="A1113" t="str">
            <v>Плавленый продукт с Сыром колбасный копченый 40% СТМ "Коровино" 400гр  Останкино</v>
          </cell>
          <cell r="E1113">
            <v>6</v>
          </cell>
        </row>
        <row r="1114">
          <cell r="A1114" t="str">
            <v>Плавленый сыр "Шоколадный" 30% 180гр Папа Может Останкино</v>
          </cell>
          <cell r="E1114">
            <v>3</v>
          </cell>
        </row>
        <row r="1115">
          <cell r="A1115" t="str">
            <v>Плавленый Сыр колбасный копченый 40% СТМ"ПапаМожет"400гр  Останкино</v>
          </cell>
          <cell r="E1115">
            <v>3</v>
          </cell>
        </row>
        <row r="1116">
          <cell r="A1116" t="str">
            <v>Продукт По-Росийски Классический с ЗМЖ 50% 200г Коровино Останкино</v>
          </cell>
          <cell r="E1116">
            <v>10</v>
          </cell>
        </row>
        <row r="1117">
          <cell r="A1117" t="str">
            <v>Сыр "Пармезан" 40% кусок 180 гр  ОСТАНКИНО</v>
          </cell>
          <cell r="E1117">
            <v>8</v>
          </cell>
        </row>
        <row r="1118">
          <cell r="A1118" t="str">
            <v>Сыр Боккончини копченый 40% 100 гр.  ОСТАНКИНО</v>
          </cell>
          <cell r="E1118">
            <v>6</v>
          </cell>
        </row>
        <row r="1119">
          <cell r="A1119" t="str">
            <v>Сыр Косичка сырная 45% 100г/8шт Папа Может Останкино</v>
          </cell>
          <cell r="E1119">
            <v>22</v>
          </cell>
        </row>
        <row r="1120">
          <cell r="A1120" t="str">
            <v>Сыр Косичка сырная копченая 43% 100г/8шт Папа Может Останкино</v>
          </cell>
          <cell r="E1120">
            <v>26</v>
          </cell>
        </row>
        <row r="1121">
          <cell r="A1121" t="str">
            <v>Сыр ПАПА МОЖЕТ "Гауда Голд" 45 % 180 гр (10шт) Останкино</v>
          </cell>
          <cell r="E1121">
            <v>98</v>
          </cell>
        </row>
        <row r="1122">
          <cell r="A1122" t="str">
            <v>Сыр ПАПА МОЖЕТ "Голландский традиционный" 45% 180 гр (10шт)  Останкино</v>
          </cell>
          <cell r="E1122">
            <v>114</v>
          </cell>
        </row>
        <row r="1123">
          <cell r="A1123" t="str">
            <v>Сыр ПАПА МОЖЕТ "Министерский" 180 г фасованный массовая  Останкино</v>
          </cell>
          <cell r="E1123">
            <v>54</v>
          </cell>
        </row>
        <row r="1124">
          <cell r="A1124" t="str">
            <v>Сыр ПАПА МОЖЕТ "Папин завтрак"  45% 180 г  Останкино</v>
          </cell>
          <cell r="E1124">
            <v>53</v>
          </cell>
        </row>
        <row r="1125">
          <cell r="A1125" t="str">
            <v>Сыр ПАПА МОЖЕТ "Российский традиционный"45 % 180 г Останкино</v>
          </cell>
          <cell r="E1125">
            <v>139</v>
          </cell>
        </row>
        <row r="1126">
          <cell r="A1126" t="str">
            <v>Сыр ПАПА МОЖЕТ "Тильзитер" фасованный массовая доля жира в сухом веществе 45%, 180г  Останкино</v>
          </cell>
          <cell r="E1126">
            <v>58</v>
          </cell>
        </row>
        <row r="1127">
          <cell r="A1127" t="str">
            <v>Сыр плавленный Сливочный ж.45% 180г ТМ Папа может (16шт)  Останкино</v>
          </cell>
          <cell r="E1127">
            <v>12</v>
          </cell>
        </row>
        <row r="1128">
          <cell r="A1128" t="str">
            <v>Сыр полутвердый "Гауда" с массовой долей жира в пересчете на сухое вещество 45%,   Останкино</v>
          </cell>
          <cell r="E1128">
            <v>3.5</v>
          </cell>
        </row>
        <row r="1129">
          <cell r="A1129" t="str">
            <v>Сыр полутвердый "Сметанковый", с масс долей жира в пересчете на сухое вещес50%, брус  Останкино</v>
          </cell>
          <cell r="E1129">
            <v>14</v>
          </cell>
        </row>
        <row r="1130">
          <cell r="A1130" t="str">
            <v>Сыр рассольный жирный Чечил 45% 100 гр  ОСТАНКИНО</v>
          </cell>
          <cell r="E1130">
            <v>46</v>
          </cell>
        </row>
        <row r="1131">
          <cell r="A1131" t="str">
            <v>Сыр рассольный жирный Чечил копченый 43% 100 гр  Останкино</v>
          </cell>
          <cell r="E1131">
            <v>37</v>
          </cell>
        </row>
        <row r="1132">
          <cell r="A1132" t="str">
            <v>Сыр Творожный с зеленью 60% Папа может 140 гр.  Останкино</v>
          </cell>
          <cell r="E1132">
            <v>15</v>
          </cell>
        </row>
        <row r="1133">
          <cell r="A1133" t="str">
            <v>Сыр творожный Сливочный 140 гр.  Останкино</v>
          </cell>
          <cell r="E1133">
            <v>23</v>
          </cell>
        </row>
        <row r="1134">
          <cell r="A1134" t="str">
            <v>Сыч/Прод Коровино Российский 50% 200г НОВАЯ СЗМЖ  ОСТАНКИНО</v>
          </cell>
          <cell r="E1134">
            <v>66</v>
          </cell>
        </row>
        <row r="1135">
          <cell r="A1135" t="str">
            <v>Сыч/Прод Коровино Российский Оригин 50% ВЕС НОВАЯ (3,5 кг)  ОСТАНКИНО</v>
          </cell>
          <cell r="E1135">
            <v>21</v>
          </cell>
        </row>
        <row r="1136">
          <cell r="A1136" t="str">
            <v>Сыч/Прод Коровино Тильзитер 50% 200г НОВАЯ СЗМЖ  ОСТАНКИНО</v>
          </cell>
          <cell r="E1136">
            <v>59</v>
          </cell>
        </row>
        <row r="1137">
          <cell r="A1137" t="str">
            <v>АСП Луганск ПОКОМ</v>
          </cell>
          <cell r="E1137">
            <v>58674.822999999997</v>
          </cell>
        </row>
        <row r="1138">
          <cell r="A1138" t="str">
            <v>ПОКОМ Логистический Партнер</v>
          </cell>
          <cell r="E1138">
            <v>58674.822999999997</v>
          </cell>
        </row>
        <row r="1139">
          <cell r="A1139" t="str">
            <v>Вязанка Логистический Партнер(Кг)</v>
          </cell>
          <cell r="E1139">
            <v>10080.35</v>
          </cell>
        </row>
        <row r="1140">
          <cell r="A1140" t="str">
            <v xml:space="preserve"> 005  Колбаса Докторская ГОСТ, Вязанка вектор,ВЕС. ПОКОМ</v>
          </cell>
          <cell r="E1140">
            <v>3312.4</v>
          </cell>
        </row>
        <row r="1141">
          <cell r="A1141" t="str">
            <v xml:space="preserve"> 016  Сосиски Вязанка Молочные, Вязанка вискофан  ВЕС.ПОКОМ</v>
          </cell>
          <cell r="E1141">
            <v>1250.3</v>
          </cell>
        </row>
        <row r="1142">
          <cell r="A1142" t="str">
            <v xml:space="preserve"> 017  Сосиски Вязанка Сливочные, Вязанка амицел ВЕС.ПОКОМ</v>
          </cell>
          <cell r="E1142">
            <v>999.65</v>
          </cell>
        </row>
        <row r="1143">
          <cell r="A1143" t="str">
            <v xml:space="preserve"> 312  Ветчина Филейская ВЕС ТМ  Вязанка ТС Столичная  ПОКОМ</v>
          </cell>
          <cell r="E1143">
            <v>468.3</v>
          </cell>
        </row>
        <row r="1144">
          <cell r="A1144" t="str">
            <v xml:space="preserve"> 315  Колбаса вареная Молокуша ТМ Вязанка ВЕС, ПОКОМ</v>
          </cell>
          <cell r="E1144">
            <v>589.79999999999995</v>
          </cell>
        </row>
        <row r="1145">
          <cell r="A1145" t="str">
            <v xml:space="preserve"> 330  Колбаса вареная Филейская ТМ Вязанка ТС Классическая ВЕС  ПОКОМ</v>
          </cell>
          <cell r="E1145">
            <v>798.3</v>
          </cell>
        </row>
        <row r="1146">
          <cell r="A1146" t="str">
            <v xml:space="preserve"> 335  Колбаса Сливушка ТМ Вязанка. ВЕС.  ПОКОМ </v>
          </cell>
          <cell r="E1146">
            <v>825.7</v>
          </cell>
        </row>
        <row r="1147">
          <cell r="A1147" t="str">
            <v xml:space="preserve"> 336  Ветчина Сливушка с индейкой ТМ Вязанка. ВЕС  ПОКОМ</v>
          </cell>
          <cell r="E1147">
            <v>93.15</v>
          </cell>
        </row>
        <row r="1148">
          <cell r="A1148" t="str">
            <v xml:space="preserve"> 364  Сардельки Филейские Вязанка ВЕС NDX ТМ Вязанка  ПОКОМ</v>
          </cell>
          <cell r="E1148">
            <v>452.15</v>
          </cell>
        </row>
        <row r="1149">
          <cell r="A1149" t="str">
            <v xml:space="preserve"> 425 Сосиски Сливочные Вязанка Сливушки Весовые П/а мгс Вязанка  Поком</v>
          </cell>
          <cell r="E1149">
            <v>38.6</v>
          </cell>
        </row>
        <row r="1150">
          <cell r="A1150" t="str">
            <v xml:space="preserve"> 547  Колбаса Мясная Классическая ТМ Вязанка в оболочке полиамид. ВЕС  ПОКОМ</v>
          </cell>
          <cell r="E1150">
            <v>74.900000000000006</v>
          </cell>
        </row>
        <row r="1151">
          <cell r="A1151" t="str">
            <v xml:space="preserve"> 556  Колбаса Сервелат Ореховый ТМ Вязанка в оболочке фиброуз в вакуумной упаковке, ВЕС  ПОКОМ</v>
          </cell>
          <cell r="E1151">
            <v>366.5</v>
          </cell>
        </row>
        <row r="1152">
          <cell r="A1152" t="str">
            <v xml:space="preserve"> 558  Колбаса Балыковая НОВАЯ ВЕС Вязанка фиброуз в/у ПОКОМ</v>
          </cell>
          <cell r="E1152">
            <v>501.55</v>
          </cell>
        </row>
        <row r="1153">
          <cell r="A1153" t="str">
            <v>503 Колбаса Филейская со шпиком ТМ Вязанка в оболочке полиамид.ПОКОМ</v>
          </cell>
          <cell r="E1153">
            <v>309.05</v>
          </cell>
        </row>
        <row r="1154">
          <cell r="A1154" t="str">
            <v>Вязанка Логистический Партнер(Шт)</v>
          </cell>
          <cell r="E1154">
            <v>5320</v>
          </cell>
        </row>
        <row r="1155">
          <cell r="A1155" t="str">
            <v xml:space="preserve"> 030  Сосиски Вязанка Молочные, Вязанка вискофан МГС, 0.45кг, ПОКОМ</v>
          </cell>
          <cell r="E1155">
            <v>615</v>
          </cell>
        </row>
        <row r="1156">
          <cell r="A1156" t="str">
            <v xml:space="preserve"> 032  Сосиски Вязанка Сливочные, Вязанка амицел МГС, 0.45кг, ПОКОМ</v>
          </cell>
          <cell r="E1156">
            <v>1115</v>
          </cell>
        </row>
        <row r="1157">
          <cell r="A1157" t="str">
            <v xml:space="preserve"> 276  Колбаса Сливушка ТМ Вязанка в оболочке полиамид 0,45 кг  ПОКОМ</v>
          </cell>
          <cell r="E1157">
            <v>536</v>
          </cell>
        </row>
        <row r="1158">
          <cell r="A1158" t="str">
            <v xml:space="preserve"> 319  Колбаса вареная Филейская ТМ Вязанка ТС Классическая, 0,45 кг. ПОКОМ</v>
          </cell>
          <cell r="E1158">
            <v>246</v>
          </cell>
        </row>
        <row r="1159">
          <cell r="A1159" t="str">
            <v xml:space="preserve"> 322  Колбаса вареная Молокуша 0,45кг ТМ Вязанка  ПОКОМ</v>
          </cell>
          <cell r="E1159">
            <v>529</v>
          </cell>
        </row>
        <row r="1160">
          <cell r="A1160" t="str">
            <v xml:space="preserve"> 339  Колбаса вареная Филейская ТМ Вязанка ТС Классическая, 0,40 кг.  ПОКОМ</v>
          </cell>
          <cell r="E1160">
            <v>268</v>
          </cell>
        </row>
        <row r="1161">
          <cell r="A1161" t="str">
            <v xml:space="preserve"> 355  Колбаса Сервелат запеченный ТМ Стародворье ТС Дугушка. 0,6 кг. ПОКОМ</v>
          </cell>
          <cell r="E1161">
            <v>10</v>
          </cell>
        </row>
        <row r="1162">
          <cell r="A1162" t="str">
            <v xml:space="preserve"> 387  Колбаса вареная Мусульманская Халяль ТМ Вязанка, 0,4 кг ПОКОМ</v>
          </cell>
          <cell r="E1162">
            <v>81</v>
          </cell>
        </row>
        <row r="1163">
          <cell r="A1163" t="str">
            <v xml:space="preserve"> 388  Сосиски Восточные Халяль ТМ Вязанка 0,33 кг АК. ПОКОМ</v>
          </cell>
          <cell r="E1163">
            <v>113</v>
          </cell>
        </row>
        <row r="1164">
          <cell r="A1164" t="str">
            <v xml:space="preserve"> 395  Колбаса Докторская ГОСТ ТМ Вязанка в оболочке полиамид 0,37 кг. ПОКОМ</v>
          </cell>
          <cell r="E1164">
            <v>712</v>
          </cell>
        </row>
        <row r="1165">
          <cell r="A1165" t="str">
            <v xml:space="preserve"> 405  Сардельки Сливушки ТМ Вязанка в оболочке айпил 0,33 кг. ПОКОМ</v>
          </cell>
          <cell r="E1165">
            <v>44</v>
          </cell>
        </row>
        <row r="1166">
          <cell r="A1166" t="str">
            <v xml:space="preserve"> 408  Ветчина Сливушка с индейкой ТМ Вязанка, 0,4кг  ПОКОМ</v>
          </cell>
          <cell r="E1166">
            <v>263</v>
          </cell>
        </row>
        <row r="1167">
          <cell r="A1167" t="str">
            <v xml:space="preserve"> 552  Ветчина Сливушка с индейкой ТМ Вязанка в модифицированной газовой среде 0,1 кг нарезка  ПОКОМ</v>
          </cell>
          <cell r="E1167">
            <v>10</v>
          </cell>
        </row>
        <row r="1168">
          <cell r="A1168" t="str">
            <v xml:space="preserve"> 555  Колбаса Молокуша ТМ Вязанка в модифицированной газовой среде 0,17 кг нарезка  ПОКОМ</v>
          </cell>
          <cell r="E1168">
            <v>11</v>
          </cell>
        </row>
        <row r="1169">
          <cell r="A1169" t="str">
            <v xml:space="preserve"> 569  Колбаса Балыковая ТМ Вязанка в оболочке фиброуз в вакуумной упаковке 0,28 кг срез.  ПОКОМ</v>
          </cell>
          <cell r="E1169">
            <v>376</v>
          </cell>
        </row>
        <row r="1170">
          <cell r="A1170" t="str">
            <v xml:space="preserve"> 571  Колбаса Сервелат Ореховый ТМ Вязанка в оболочке фиброуз в вак. упаковке 0,28 кг срез  ПОКОМ</v>
          </cell>
          <cell r="E1170">
            <v>391</v>
          </cell>
        </row>
        <row r="1171">
          <cell r="A1171" t="str">
            <v>Заморозка Зареченские Логистический партнер (кг)</v>
          </cell>
          <cell r="E1171">
            <v>5</v>
          </cell>
        </row>
        <row r="1172">
          <cell r="A1172" t="str">
            <v>Чебуреки сочные ТМ Зареченские ТС Зареченские продукты.  Поком</v>
          </cell>
          <cell r="E1172">
            <v>5</v>
          </cell>
        </row>
        <row r="1173">
          <cell r="A1173" t="str">
            <v>Зареченские Логистический Партнер (кг)</v>
          </cell>
          <cell r="E1173">
            <v>37.799999999999997</v>
          </cell>
        </row>
        <row r="1174">
          <cell r="A1174" t="str">
            <v xml:space="preserve"> 318  Сосиски Датские ТМ Зареченские, ВЕС  ПОКОМ</v>
          </cell>
          <cell r="E1174">
            <v>37.799999999999997</v>
          </cell>
        </row>
        <row r="1175">
          <cell r="A1175" t="str">
            <v>Логистический Партнер Кг</v>
          </cell>
          <cell r="E1175">
            <v>27889.672999999999</v>
          </cell>
        </row>
        <row r="1176">
          <cell r="A1176" t="str">
            <v xml:space="preserve"> 200  Ветчина Дугушка ТМ Стародворье, вектор в/у    ПОКОМ</v>
          </cell>
          <cell r="E1176">
            <v>1151.3800000000001</v>
          </cell>
        </row>
        <row r="1177">
          <cell r="A1177" t="str">
            <v xml:space="preserve"> 201  Ветчина Нежная ТМ Особый рецепт, (2,5кг), ПОКОМ</v>
          </cell>
          <cell r="E1177">
            <v>3885.7</v>
          </cell>
        </row>
        <row r="1178">
          <cell r="A1178" t="str">
            <v xml:space="preserve"> 215  Колбаса Докторская ГОСТ Дугушка, ВЕС, ТМ Стародворье ПОКОМ</v>
          </cell>
          <cell r="E1178">
            <v>93.03</v>
          </cell>
        </row>
        <row r="1179">
          <cell r="A1179" t="str">
            <v xml:space="preserve"> 219  Колбаса Докторская Особая ТМ Особый рецепт, ВЕС  ПОКОМ</v>
          </cell>
          <cell r="E1179">
            <v>895.6</v>
          </cell>
        </row>
        <row r="1180">
          <cell r="A1180" t="str">
            <v xml:space="preserve"> 225  Колбаса Дугушка со шпиком, ВЕС, ТМ Стародворье   ПОКОМ</v>
          </cell>
          <cell r="E1180">
            <v>83.75</v>
          </cell>
        </row>
        <row r="1181">
          <cell r="A1181" t="str">
            <v xml:space="preserve"> 226  Колбаса Княжеская, с/к белков.обол в термоусад. пакете, ВЕС, ТМ Стародворье ПОКОМ</v>
          </cell>
          <cell r="E1181">
            <v>10.29</v>
          </cell>
        </row>
        <row r="1182">
          <cell r="A1182" t="str">
            <v xml:space="preserve"> 229  Колбаса Молочная Дугушка, в/у, ВЕС, ТМ Стародворье   ПОКОМ</v>
          </cell>
          <cell r="E1182">
            <v>1450.328</v>
          </cell>
        </row>
        <row r="1183">
          <cell r="A1183" t="str">
            <v xml:space="preserve"> 236  Колбаса Рубленая ЗАПЕЧ. Дугушка ТМ Стародворье, вектор, в/к    ПОКОМ</v>
          </cell>
          <cell r="E1183">
            <v>170.75</v>
          </cell>
        </row>
        <row r="1184">
          <cell r="A1184" t="str">
            <v xml:space="preserve"> 239  Колбаса Салями запеч Дугушка, оболочка вектор, ВЕС, ТМ Стародворье  ПОКОМ</v>
          </cell>
          <cell r="E1184">
            <v>502.41</v>
          </cell>
        </row>
        <row r="1185">
          <cell r="A1185" t="str">
            <v xml:space="preserve"> 242  Колбаса Сервелат ЗАПЕЧ.Дугушка ТМ Стародворье, вектор, в/к     ПОКОМ</v>
          </cell>
          <cell r="E1185">
            <v>688.14</v>
          </cell>
        </row>
        <row r="1186">
          <cell r="A1186" t="str">
            <v xml:space="preserve"> 244  Колбаса Сервелат Кремлевский, ВЕС. ПОКОМ</v>
          </cell>
          <cell r="E1186">
            <v>70.7</v>
          </cell>
        </row>
        <row r="1187">
          <cell r="A1187" t="str">
            <v xml:space="preserve"> 247  Сардельки Нежные, ВЕС.  ПОКОМ</v>
          </cell>
          <cell r="E1187">
            <v>242.5</v>
          </cell>
        </row>
        <row r="1188">
          <cell r="A1188" t="str">
            <v xml:space="preserve"> 248  Сардельки Сочные ТМ Особый рецепт,   ПОКОМ</v>
          </cell>
          <cell r="E1188">
            <v>179.7</v>
          </cell>
        </row>
        <row r="1189">
          <cell r="A1189" t="str">
            <v xml:space="preserve"> 250  Сардельки стародворские с говядиной в обол. NDX, ВЕС. ПОКОМ</v>
          </cell>
          <cell r="E1189">
            <v>2167.09</v>
          </cell>
        </row>
        <row r="1190">
          <cell r="A1190" t="str">
            <v xml:space="preserve"> 251  Сосиски Баварские, ВЕС.  ПОКОМ</v>
          </cell>
          <cell r="E1190">
            <v>20.9</v>
          </cell>
        </row>
        <row r="1191">
          <cell r="A1191" t="str">
            <v xml:space="preserve"> 253  Сосиски Ганноверские   ПОКОМ</v>
          </cell>
          <cell r="E1191">
            <v>139.4</v>
          </cell>
        </row>
        <row r="1192">
          <cell r="A1192" t="str">
            <v xml:space="preserve"> 255  Сосиски Молочные для завтрака ТМ Особый рецепт, п/а МГС, ВЕС, ТМ Стародворье  ПОКОМ</v>
          </cell>
          <cell r="E1192">
            <v>3011.3</v>
          </cell>
        </row>
        <row r="1193">
          <cell r="A1193" t="str">
            <v xml:space="preserve"> 257  Сосиски Молочные оригинальные ТМ Особый рецепт, ВЕС.   ПОКОМ</v>
          </cell>
          <cell r="E1193">
            <v>1.3</v>
          </cell>
        </row>
        <row r="1194">
          <cell r="A1194" t="str">
            <v xml:space="preserve"> 263  Шпикачки Стародворские, ВЕС.  ПОКОМ</v>
          </cell>
          <cell r="E1194">
            <v>227</v>
          </cell>
        </row>
        <row r="1195">
          <cell r="A1195" t="str">
            <v xml:space="preserve"> 283  Сосиски Сочинки, ВЕС, ТМ Стародворье ПОКОМ</v>
          </cell>
          <cell r="E1195">
            <v>290.5</v>
          </cell>
        </row>
        <row r="1196">
          <cell r="A1196" t="str">
            <v xml:space="preserve"> 297  Колбаса Мясорубская с рубленой грудинкой ВЕС ТМ Стародворье  ПОКОМ</v>
          </cell>
          <cell r="E1196">
            <v>52.65</v>
          </cell>
        </row>
        <row r="1197">
          <cell r="A1197" t="str">
            <v xml:space="preserve"> 305  Колбаса Сервелат Мясорубский с мелкорубленным окороком в/у  ТМ Стародворье ВЕС   ПОКОМ</v>
          </cell>
          <cell r="E1197">
            <v>132.55000000000001</v>
          </cell>
        </row>
        <row r="1198">
          <cell r="A1198" t="str">
            <v xml:space="preserve"> 340  Сосиски Сочинки Молочные ТМ Стародворье, ВЕС ПОКОМ</v>
          </cell>
          <cell r="E1198">
            <v>56.5</v>
          </cell>
        </row>
        <row r="1199">
          <cell r="A1199" t="str">
            <v xml:space="preserve"> 341 Сосиски Сочинки Сливочные ТМ Стародворье ВЕС ПОКОМ</v>
          </cell>
          <cell r="E1199">
            <v>28.8</v>
          </cell>
        </row>
        <row r="1200">
          <cell r="A1200" t="str">
            <v xml:space="preserve"> 344  Колбаса Сочинка по-европейски с сочной грудинкой ТМ Стародворье, ВЕС ПОКОМ</v>
          </cell>
          <cell r="E1200">
            <v>281.95</v>
          </cell>
        </row>
        <row r="1201">
          <cell r="A1201" t="str">
            <v xml:space="preserve"> 345  Колбаса Сочинка по-фински с сочным окроком ТМ Стародворье ВЕС ПОКОМ</v>
          </cell>
          <cell r="E1201">
            <v>341.95</v>
          </cell>
        </row>
        <row r="1202">
          <cell r="A1202" t="str">
            <v xml:space="preserve"> 346  Колбаса Сочинка зернистая с сочной грудинкой ТМ Стародворье.ВЕС ПОКОМ</v>
          </cell>
          <cell r="E1202">
            <v>843.85</v>
          </cell>
        </row>
        <row r="1203">
          <cell r="A1203" t="str">
            <v xml:space="preserve"> 347  Колбаса Сочинка рубленая с сочным окороком ТМ Стародворье ВЕС ПОКОМ</v>
          </cell>
          <cell r="E1203">
            <v>244.5</v>
          </cell>
        </row>
        <row r="1204">
          <cell r="A1204" t="str">
            <v xml:space="preserve"> 433 Колбаса Стародворская со шпиком  в оболочке полиамид. ТМ Стародворье ВЕС ПОКОМ</v>
          </cell>
          <cell r="E1204">
            <v>15.8</v>
          </cell>
        </row>
        <row r="1205">
          <cell r="A1205" t="str">
            <v xml:space="preserve"> 436  Колбаса Молочная стародворская с молоком, ВЕС, ТМ Стародворье  ПОКОМ</v>
          </cell>
          <cell r="E1205">
            <v>219.8</v>
          </cell>
        </row>
        <row r="1206">
          <cell r="A1206" t="str">
            <v xml:space="preserve"> 449  Колбаса Дугушка Стародворская ВЕС ТС Дугушка ПОКОМ</v>
          </cell>
          <cell r="E1206">
            <v>1014.205</v>
          </cell>
        </row>
        <row r="1207">
          <cell r="A1207" t="str">
            <v xml:space="preserve"> 452  Колбаса Со шпиком ВЕС большой батон ТМ Особый рецепт  ПОКОМ</v>
          </cell>
          <cell r="E1207">
            <v>2084.4</v>
          </cell>
        </row>
        <row r="1208">
          <cell r="A1208" t="str">
            <v xml:space="preserve"> 456  Колбаса Филейная ТМ Особый рецепт ВЕС большой батон  ПОКОМ</v>
          </cell>
          <cell r="E1208">
            <v>2662.8</v>
          </cell>
        </row>
        <row r="1209">
          <cell r="A1209" t="str">
            <v xml:space="preserve"> 457  Колбаса Молочная ТМ Особый рецепт ВЕС большой батон  ПОКОМ</v>
          </cell>
          <cell r="E1209">
            <v>3139.2</v>
          </cell>
        </row>
        <row r="1210">
          <cell r="A1210" t="str">
            <v xml:space="preserve"> 460  Колбаса Стародворская Традиционная ВЕС ТМ Стародворье в оболочке полиамид. ПОКОМ</v>
          </cell>
          <cell r="E1210">
            <v>21.4</v>
          </cell>
        </row>
        <row r="1211">
          <cell r="A1211" t="str">
            <v xml:space="preserve"> 469  Колбаса Филедворская по-стародворски ТМ Стародворье в оболочке полиамид.ВЕС  ПОКОМ </v>
          </cell>
          <cell r="E1211">
            <v>23.5</v>
          </cell>
        </row>
        <row r="1212">
          <cell r="A1212" t="str">
            <v xml:space="preserve"> 557  Колбаса Сервелат Финский ТМ Вязанка в оболочке фиброуз в вакуумной упаковке, ВЕС  ПОКОМ</v>
          </cell>
          <cell r="E1212">
            <v>204.5</v>
          </cell>
        </row>
        <row r="1213">
          <cell r="A1213" t="str">
            <v xml:space="preserve"> 567 Колбаса Со шпиком Стародворская ТМ Стародворье в оболочке полиамид ВЕС  ПОКОМ</v>
          </cell>
          <cell r="E1213">
            <v>3.3</v>
          </cell>
        </row>
        <row r="1214">
          <cell r="A1214" t="str">
            <v xml:space="preserve"> 579  Колбаса Ветчинно-рубленая ТМ Особый рецепт в оболочке полиамид.ВЕС  ПОКОМ</v>
          </cell>
          <cell r="E1214">
            <v>227.2</v>
          </cell>
        </row>
        <row r="1215">
          <cell r="A1215" t="str">
            <v xml:space="preserve"> 580  Ветчина Нежная с индейкой ТМ Особый рецепт в оболочке полиамид.ВЕС  ПОКОМ</v>
          </cell>
          <cell r="E1215">
            <v>97.5</v>
          </cell>
        </row>
        <row r="1216">
          <cell r="A1216" t="str">
            <v xml:space="preserve"> 585  Колбаса Молочная ТМ Стародворье в оболочке вектор НД ВЕС.  ПОКОМ</v>
          </cell>
          <cell r="E1216">
            <v>309.3</v>
          </cell>
        </row>
        <row r="1217">
          <cell r="A1217" t="str">
            <v xml:space="preserve"> 586  Колбаса Мясная ТМ Стародворье в оболочке вектор НД ВЕС.  ПОКОМ</v>
          </cell>
          <cell r="E1217">
            <v>406.85</v>
          </cell>
        </row>
        <row r="1218">
          <cell r="A1218" t="str">
            <v xml:space="preserve"> 588 Колбаса Со шпиком ТМ Стародворье в оболочке вектор ВЕС  ПОКОМ</v>
          </cell>
          <cell r="E1218">
            <v>154.1</v>
          </cell>
        </row>
        <row r="1219">
          <cell r="A1219" t="str">
            <v xml:space="preserve"> 597  Колбаса Классическая ТМ Особый рецепт в оболочке полиамид ВЕС. ПОКОМ</v>
          </cell>
          <cell r="E1219">
            <v>41.3</v>
          </cell>
        </row>
        <row r="1220">
          <cell r="A1220" t="str">
            <v>Логистический Партнер Шт</v>
          </cell>
          <cell r="E1220">
            <v>15315</v>
          </cell>
        </row>
        <row r="1221">
          <cell r="A1221" t="str">
            <v xml:space="preserve"> 047  Кол Баварская, белков.обол. в термоусад. пакете 0.17 кг, ТМ Стародворье  ПОКОМ</v>
          </cell>
          <cell r="E1221">
            <v>97</v>
          </cell>
        </row>
        <row r="1222">
          <cell r="A1222" t="str">
            <v xml:space="preserve"> 062  Колбаса Кракушка пряная с сальцем, 0.3кг в/у п/к, БАВАРУШКА ПОКОМ</v>
          </cell>
          <cell r="E1222">
            <v>48</v>
          </cell>
        </row>
        <row r="1223">
          <cell r="A1223" t="str">
            <v xml:space="preserve"> 083  Колбаса Швейцарская 0,17 кг., ШТ., сырокопченая   ПОКОМ</v>
          </cell>
          <cell r="E1223">
            <v>239</v>
          </cell>
        </row>
        <row r="1224">
          <cell r="A1224" t="str">
            <v xml:space="preserve"> 273  Сосиски Сочинки с сочной грудинкой, МГС 0.4кг,   ПОКОМ</v>
          </cell>
          <cell r="E1224">
            <v>4638</v>
          </cell>
        </row>
        <row r="1225">
          <cell r="A1225" t="str">
            <v xml:space="preserve"> 278  Сосиски Сочинки с сочным окороком, МГС 0.4кг,   ПОКОМ</v>
          </cell>
          <cell r="E1225">
            <v>1258</v>
          </cell>
        </row>
        <row r="1226">
          <cell r="A1226" t="str">
            <v xml:space="preserve"> 281  Сосиски Молочные для завтрака ТМ Особый рецепт, 0,4кг  ПОКОМ</v>
          </cell>
          <cell r="E1226">
            <v>20</v>
          </cell>
        </row>
        <row r="1227">
          <cell r="A1227" t="str">
            <v xml:space="preserve"> 285  Паштет печеночный со слив.маслом ТМ Стародворье ламистер 0,1 кг  ПОКОМ</v>
          </cell>
          <cell r="E1227">
            <v>333</v>
          </cell>
        </row>
        <row r="1228">
          <cell r="A1228" t="str">
            <v xml:space="preserve"> 296  Колбаса Мясорубская с рубленой грудинкой 0,35кг срез ТМ Стародворье  ПОКОМ</v>
          </cell>
          <cell r="E1228">
            <v>351</v>
          </cell>
        </row>
        <row r="1229">
          <cell r="A1229" t="str">
            <v xml:space="preserve"> 301  Сосиски Сочинки по-баварски с сыром,  0.4кг, ТМ Стародворье  ПОКОМ</v>
          </cell>
          <cell r="E1229">
            <v>298</v>
          </cell>
        </row>
        <row r="1230">
          <cell r="A1230" t="str">
            <v xml:space="preserve"> 302  Сосиски Сочинки по-баварски,  0.4кг, ТМ Стародворье  ПОКОМ</v>
          </cell>
          <cell r="E1230">
            <v>225</v>
          </cell>
        </row>
        <row r="1231">
          <cell r="A1231" t="str">
            <v xml:space="preserve"> 307  Колбаса Сервелат Мясорубский с мелкорубленным окороком 0,35 кг срез ТМ Стародворье   Поком</v>
          </cell>
          <cell r="E1231">
            <v>1721</v>
          </cell>
        </row>
        <row r="1232">
          <cell r="A1232" t="str">
            <v xml:space="preserve"> 309  Сосиски Сочинки с сыром 0,4 кг ТМ Стародворье  ПОКОМ</v>
          </cell>
          <cell r="E1232">
            <v>678</v>
          </cell>
        </row>
        <row r="1233">
          <cell r="A1233" t="str">
            <v xml:space="preserve"> 328  Сардельки Сочинки Стародворье ТМ  0,4 кг ПОКОМ</v>
          </cell>
          <cell r="E1233">
            <v>193</v>
          </cell>
        </row>
        <row r="1234">
          <cell r="A1234" t="str">
            <v xml:space="preserve"> 329  Сардельки Сочинки с сыром Стародворье ТМ, 0,4 кг. ПОКОМ</v>
          </cell>
          <cell r="E1234">
            <v>65</v>
          </cell>
        </row>
        <row r="1235">
          <cell r="A1235" t="str">
            <v xml:space="preserve"> 334  Паштет Любительский ТМ Стародворье ламистер 0,1 кг  ПОКОМ</v>
          </cell>
          <cell r="E1235">
            <v>189</v>
          </cell>
        </row>
        <row r="1236">
          <cell r="A1236" t="str">
            <v xml:space="preserve"> 338  Паштет печеночный с морковью ТМ Стародворье ламистер 0,1 кг.  ПОКОМ</v>
          </cell>
          <cell r="E1236">
            <v>186</v>
          </cell>
        </row>
        <row r="1237">
          <cell r="A1237" t="str">
            <v xml:space="preserve"> 342 Сосиски Сочинки Молочные ТМ Стародворье 0,4 кг ПОКОМ</v>
          </cell>
          <cell r="E1237">
            <v>699</v>
          </cell>
        </row>
        <row r="1238">
          <cell r="A1238" t="str">
            <v xml:space="preserve"> 343 Сосиски Сочинки Сливочные ТМ Стародворье  0,4 кг ПОКОМ</v>
          </cell>
          <cell r="E1238">
            <v>647</v>
          </cell>
        </row>
        <row r="1239">
          <cell r="A1239" t="str">
            <v xml:space="preserve"> 376  Колбаса Докторская Дугушка 0,6кг ГОСТ ТМ Стародворье  ПОКОМ </v>
          </cell>
          <cell r="E1239">
            <v>131</v>
          </cell>
        </row>
        <row r="1240">
          <cell r="A1240" t="str">
            <v xml:space="preserve"> 377  Колбаса Молочная Дугушка 0,6кг ТМ Стародворье  ПОКОМ</v>
          </cell>
          <cell r="E1240">
            <v>36</v>
          </cell>
        </row>
        <row r="1241">
          <cell r="A1241" t="str">
            <v xml:space="preserve"> 394 Колбаса полукопченая Аль-Ислами халяль ТМ Вязанка оболочка фиброуз в в/у 0,35 кг  ПОКОМ</v>
          </cell>
          <cell r="E1241">
            <v>89</v>
          </cell>
        </row>
        <row r="1242">
          <cell r="A1242" t="str">
            <v xml:space="preserve"> 397  Ветчина Дугушка ТМ Стародворье ТС Дугушка в полиамидной оболочке 0,6 кг. ПОКОМ</v>
          </cell>
          <cell r="E1242">
            <v>135</v>
          </cell>
        </row>
        <row r="1243">
          <cell r="A1243" t="str">
            <v xml:space="preserve"> 410  Сосиски Баварские с сыром ТМ Стародворье 0,35 кг. ПОКОМ</v>
          </cell>
          <cell r="E1243">
            <v>168</v>
          </cell>
        </row>
        <row r="1244">
          <cell r="A1244" t="str">
            <v xml:space="preserve"> 412  Сосиски Баварские ТМ Стародворье 0,35 кг ПОКОМ</v>
          </cell>
          <cell r="E1244">
            <v>263</v>
          </cell>
        </row>
        <row r="1245">
          <cell r="A1245" t="str">
            <v xml:space="preserve"> 430  Колбаса Стародворская с окороком 0,4 кг. ТМ Стародворье в оболочке полиамид  ПОКОМ</v>
          </cell>
          <cell r="E1245">
            <v>133</v>
          </cell>
        </row>
        <row r="1246">
          <cell r="A1246" t="str">
            <v xml:space="preserve"> 435  Колбаса Молочная Стародворская  с молоком в оболочке полиамид 0,4 кг.ТМ Стародворье ПОКОМ</v>
          </cell>
          <cell r="E1246">
            <v>22</v>
          </cell>
        </row>
        <row r="1247">
          <cell r="A1247" t="str">
            <v xml:space="preserve"> 498  Колбаса Сочинка рубленая с сочным окороком 0,3кг ТМ Стародворье  ПОКОМ</v>
          </cell>
          <cell r="E1247">
            <v>272</v>
          </cell>
        </row>
        <row r="1248">
          <cell r="A1248" t="str">
            <v xml:space="preserve"> 517  Сосиски С сыром ТМ Ядрена копоть 0,3кг  ПОКОМ</v>
          </cell>
          <cell r="E1248">
            <v>124</v>
          </cell>
        </row>
        <row r="1249">
          <cell r="A1249" t="str">
            <v xml:space="preserve"> 520  Колбаса Мраморная ТМ Стародворье в вакуумной упаковке 0,07 кг нарезка  ПОКОМ</v>
          </cell>
          <cell r="E1249">
            <v>22</v>
          </cell>
        </row>
        <row r="1250">
          <cell r="A1250" t="str">
            <v xml:space="preserve"> 523  Колбаса Сальчичон нарезка 0,07кг ТМ Стародворье  ПОКОМ </v>
          </cell>
          <cell r="E1250">
            <v>3</v>
          </cell>
        </row>
        <row r="1251">
          <cell r="A1251" t="str">
            <v xml:space="preserve"> 524  Колбаса Сервелат Ореховый нарезка 0,07кг ТМ Стародворье  ПОКОМ</v>
          </cell>
          <cell r="E1251">
            <v>163</v>
          </cell>
        </row>
        <row r="1252">
          <cell r="A1252" t="str">
            <v xml:space="preserve"> 525  Колбаса Фуэт нарезка 0,07кг ТМ Стародворье  ПОКОМ</v>
          </cell>
          <cell r="E1252">
            <v>131</v>
          </cell>
        </row>
        <row r="1253">
          <cell r="A1253" t="str">
            <v xml:space="preserve"> 526  Корейка вяленая выдержанная нарезка 0,05кг ТМ Стародворье  ПОКОМ</v>
          </cell>
          <cell r="E1253">
            <v>105</v>
          </cell>
        </row>
        <row r="1254">
          <cell r="A1254" t="str">
            <v xml:space="preserve"> 527  Окорок Прошутто выдержанный нарезка 0,055кг ТМ Стародворье  ПОКОМ</v>
          </cell>
          <cell r="E1254">
            <v>61</v>
          </cell>
        </row>
        <row r="1255">
          <cell r="A1255" t="str">
            <v xml:space="preserve"> 530  Окорок Хамон выдержанный нарезка 0,055кг ТМ Стародворье  ПОКОМ</v>
          </cell>
          <cell r="E1255">
            <v>46</v>
          </cell>
        </row>
        <row r="1256">
          <cell r="A1256" t="str">
            <v xml:space="preserve"> 537  Колбаса Докторская ТМ Стародворье ТС Дугушка в оболочке полиамид 0,4 кг  ПОКОМ</v>
          </cell>
          <cell r="E1256">
            <v>9</v>
          </cell>
        </row>
        <row r="1257">
          <cell r="A1257" t="str">
            <v xml:space="preserve"> 544  Сосиски Мясные для гриля ТС Ядрена копоть 0,3 кг  ПОКОМ</v>
          </cell>
          <cell r="E1257">
            <v>92</v>
          </cell>
        </row>
        <row r="1258">
          <cell r="A1258" t="str">
            <v xml:space="preserve"> 553  Ассорти колбас Мясорубская коллекция: Сервелат Делюкс, С балыком 0,08 кг нарезка  ПОКОМ</v>
          </cell>
          <cell r="E1258">
            <v>225</v>
          </cell>
        </row>
        <row r="1259">
          <cell r="A1259" t="str">
            <v xml:space="preserve"> 554  Колбаса Сервелат Мясорубский ТМ Стародворье в упаковке скин 0,08 кг нарезка  ПОКОМ</v>
          </cell>
          <cell r="E1259">
            <v>80</v>
          </cell>
        </row>
        <row r="1260">
          <cell r="A1260" t="str">
            <v>495  Колбаса Сочинка по-европейски с сочной грудинкой 0,3кг ТМ Стародворье  ПОКОМ</v>
          </cell>
          <cell r="E1260">
            <v>401</v>
          </cell>
        </row>
        <row r="1261">
          <cell r="A1261" t="str">
            <v>496  Колбаса Сочинка по-фински с сочным окроком 0,3кг ТМ Стародворье  ПОКОМ</v>
          </cell>
          <cell r="E1261">
            <v>350</v>
          </cell>
        </row>
        <row r="1262">
          <cell r="A1262" t="str">
            <v>515  Колбаса Сервелат Мясорубский Делюкс 0,3кг ТМ Стародворье  ПОКОМ</v>
          </cell>
          <cell r="E1262">
            <v>321</v>
          </cell>
        </row>
        <row r="1263">
          <cell r="A1263" t="str">
            <v>519  Грудинка 0,12 кг нарезка ТМ Стародворье  ПОКОМ</v>
          </cell>
          <cell r="E1263">
            <v>43</v>
          </cell>
        </row>
        <row r="1264">
          <cell r="A1264" t="str">
            <v>А_301  Сосиски Сочинки по-баварски с сыром,  0.4кг, ТМ Стародворье  ПОКОМ</v>
          </cell>
          <cell r="E1264">
            <v>5</v>
          </cell>
        </row>
        <row r="1265">
          <cell r="A1265" t="str">
            <v>Новая точка линейная розница</v>
          </cell>
          <cell r="E1265">
            <v>21</v>
          </cell>
        </row>
        <row r="1266">
          <cell r="A1266" t="str">
            <v>ПОКОМ Логистический Партнер Заморозка</v>
          </cell>
          <cell r="E1266">
            <v>6</v>
          </cell>
        </row>
        <row r="1267">
          <cell r="A1267" t="str">
            <v>БОНУС_Готовые чебупели сочные с мясом ТМ Горячая штучка флоу-пак 0,24 кг  ПОКОМ</v>
          </cell>
          <cell r="E1267">
            <v>3</v>
          </cell>
        </row>
        <row r="1268">
          <cell r="A1268" t="str">
            <v>БОНУС_Пельмени Бульмени со сливочным маслом ТМ Горячая штучка флоу-пак сфера 0,7 кг .  Поком</v>
          </cell>
          <cell r="E1268">
            <v>3</v>
          </cell>
        </row>
        <row r="1269">
          <cell r="A1269" t="str">
            <v>АСП Мелитополь Останкино молоко</v>
          </cell>
          <cell r="E1269">
            <v>3797.8</v>
          </cell>
        </row>
        <row r="1270">
          <cell r="A1270" t="str">
            <v>Останкино ООО</v>
          </cell>
          <cell r="E1270">
            <v>3797.8</v>
          </cell>
        </row>
        <row r="1271">
          <cell r="A1271" t="str">
            <v>Останкино (соусы, майонезы)</v>
          </cell>
          <cell r="E1271">
            <v>1174</v>
          </cell>
        </row>
        <row r="1272">
          <cell r="A1272" t="str">
            <v>6948249 Майонезный соус провансаль 824,5гр деликатес.с массовой долей жирн.25% Коровино Останкино</v>
          </cell>
          <cell r="E1272">
            <v>22</v>
          </cell>
        </row>
        <row r="1273">
          <cell r="A1273" t="str">
            <v>6948256 Майонез провансаль классич.оливковый Папа может 372гр с массовой долей жирн. 67% Останкино</v>
          </cell>
          <cell r="E1273">
            <v>245</v>
          </cell>
        </row>
        <row r="1274">
          <cell r="A1274" t="str">
            <v>6948263 Майонез провансаль классич.оливковый Папа может 744гр с массовой долей жирн. 67% Останкино</v>
          </cell>
          <cell r="E1274">
            <v>202</v>
          </cell>
        </row>
        <row r="1275">
          <cell r="A1275" t="str">
            <v>6948270 Майонез провансаль классич.Папа может 372гр с массовой долей жирн. 67% Останкино</v>
          </cell>
          <cell r="E1275">
            <v>347</v>
          </cell>
        </row>
        <row r="1276">
          <cell r="A1276" t="str">
            <v>6948287 Майонез провансаль классич.Папа может 744гр с массовой долей жирн. 67% Останкино</v>
          </cell>
          <cell r="E1276">
            <v>358</v>
          </cell>
        </row>
        <row r="1277">
          <cell r="A1277" t="str">
            <v>Останкино СЫР</v>
          </cell>
          <cell r="E1277">
            <v>2623.8</v>
          </cell>
        </row>
        <row r="1278">
          <cell r="A1278" t="str">
            <v>3323 Сыр Российский цилиндр 1/4 пленка ЮКМП м.д.ж. 50%  ОСТАНКИНО</v>
          </cell>
          <cell r="E1278">
            <v>46.8</v>
          </cell>
        </row>
        <row r="1279">
          <cell r="A1279" t="str">
            <v>4931  Сыр полутвердый "Купеческий" с ароматом топленого молока, с м.д.ж. 50% ОСТАНКИНО</v>
          </cell>
          <cell r="E1279">
            <v>19.5</v>
          </cell>
        </row>
        <row r="1280">
          <cell r="A1280" t="str">
            <v>9988421 Творожный Сыр 60 % С маринованными огурчиками и укропом  Останкино</v>
          </cell>
          <cell r="E1280">
            <v>62</v>
          </cell>
        </row>
        <row r="1281">
          <cell r="A1281" t="str">
            <v>9988438 Плавленый Сыр 45% "С ветчиной" СТМ"ПапаМожет" 180гр  Останкино</v>
          </cell>
          <cell r="E1281">
            <v>101</v>
          </cell>
        </row>
        <row r="1282">
          <cell r="A1282" t="str">
            <v>9988445 Плавленый Сыр 45%"С грибами" СТМ"ПапаМожет" 180 гр  Останкино</v>
          </cell>
          <cell r="E1282">
            <v>75</v>
          </cell>
        </row>
        <row r="1283">
          <cell r="A1283" t="str">
            <v>Cыр Перлини 40% 100гр (8шт)  Останкино</v>
          </cell>
          <cell r="E1283">
            <v>3</v>
          </cell>
        </row>
        <row r="1284">
          <cell r="A1284" t="str">
            <v>Cыр Перлини копченый 40% 100гр (8шт)  Останкино</v>
          </cell>
          <cell r="E1284">
            <v>30</v>
          </cell>
        </row>
        <row r="1285">
          <cell r="A1285" t="str">
            <v>Cыр Перлини со вкусом Васаби 40% 100гр (8шт)  Останкино</v>
          </cell>
          <cell r="E1285">
            <v>5</v>
          </cell>
        </row>
        <row r="1286">
          <cell r="A1286" t="str">
            <v>Плавленый продукт с Сыром колбасный копченый 40% СТМ "Коровино" 400гр  Останкино</v>
          </cell>
          <cell r="E1286">
            <v>8</v>
          </cell>
        </row>
        <row r="1287">
          <cell r="A1287" t="str">
            <v>Плавленый сыр "Шоколадный" 30% 180гр Папа Может Останкино</v>
          </cell>
          <cell r="E1287">
            <v>27</v>
          </cell>
        </row>
        <row r="1288">
          <cell r="A1288" t="str">
            <v>Плавленый Сыр колбасный копченый 40% СТМ"ПапаМожет"400гр  Останкино</v>
          </cell>
          <cell r="E1288">
            <v>1</v>
          </cell>
        </row>
        <row r="1289">
          <cell r="A1289" t="str">
            <v>Продукт По-Росийски Классический с ЗМЖ 50% 200г Коровино Останкино</v>
          </cell>
          <cell r="E1289">
            <v>3</v>
          </cell>
        </row>
        <row r="1290">
          <cell r="A1290" t="str">
            <v>Сыр "Пармезан" 40% кусок 180 гр  ОСТАНКИНО</v>
          </cell>
          <cell r="E1290">
            <v>13</v>
          </cell>
        </row>
        <row r="1291">
          <cell r="A1291" t="str">
            <v>Сыр Боккончини копченый 40% 100 гр.  ОСТАНКИНО</v>
          </cell>
          <cell r="E1291">
            <v>17</v>
          </cell>
        </row>
        <row r="1292">
          <cell r="A1292" t="str">
            <v>Сыр Косичка сырная 45% 100г/8шт Папа Может Останкино</v>
          </cell>
          <cell r="E1292">
            <v>8</v>
          </cell>
        </row>
        <row r="1293">
          <cell r="A1293" t="str">
            <v>Сыр Косичка сырная копченая 43% 100г/8шт Папа Может Останкино</v>
          </cell>
          <cell r="E1293">
            <v>48</v>
          </cell>
        </row>
        <row r="1294">
          <cell r="A1294" t="str">
            <v>Сыр ПАПА МОЖЕТ "Гауда Голд" 45 % 180 гр (10шт) Останкино</v>
          </cell>
          <cell r="E1294">
            <v>268</v>
          </cell>
        </row>
        <row r="1295">
          <cell r="A1295" t="str">
            <v>Сыр ПАПА МОЖЕТ "Голландский традиционный" 45% 180 гр (10шт)  Останкино</v>
          </cell>
          <cell r="E1295">
            <v>303</v>
          </cell>
        </row>
        <row r="1296">
          <cell r="A1296" t="str">
            <v>Сыр ПАПА МОЖЕТ "Министерский" 180 г фасованный массовая  Останкино</v>
          </cell>
          <cell r="E1296">
            <v>132</v>
          </cell>
        </row>
        <row r="1297">
          <cell r="A1297" t="str">
            <v>Сыр ПАПА МОЖЕТ "Папин завтрак"  45% 180 г  Останкино</v>
          </cell>
          <cell r="E1297">
            <v>175</v>
          </cell>
        </row>
        <row r="1298">
          <cell r="A1298" t="str">
            <v>Сыр ПАПА МОЖЕТ "Российский традиционный"45 % 180 г Останкино</v>
          </cell>
          <cell r="E1298">
            <v>347</v>
          </cell>
        </row>
        <row r="1299">
          <cell r="A1299" t="str">
            <v>Сыр ПАПА МОЖЕТ "Тильзитер" фасованный массовая доля жира в сухом веществе 45%, 180г  Останкино</v>
          </cell>
          <cell r="E1299">
            <v>148</v>
          </cell>
        </row>
        <row r="1300">
          <cell r="A1300" t="str">
            <v>Сыр плавленный Сливочный ж.45% 180г ТМ Папа может (16шт)  Останкино</v>
          </cell>
          <cell r="E1300">
            <v>144</v>
          </cell>
        </row>
        <row r="1301">
          <cell r="A1301" t="str">
            <v>Сыр полутвердый "Гауда" с массовой долей жира в пересчете на сухое вещество 45%,   Останкино</v>
          </cell>
          <cell r="E1301">
            <v>22.5</v>
          </cell>
        </row>
        <row r="1302">
          <cell r="A1302" t="str">
            <v>Сыр полутвердый "Голландский" с массовой долей жира в пересчете на сухое  Останкино</v>
          </cell>
          <cell r="E1302">
            <v>22</v>
          </cell>
        </row>
        <row r="1303">
          <cell r="A1303" t="str">
            <v>Сыр полутвердый "Сметанковый", с масс долей жира в пересчете на сухое вещес50%, брус  Останкино</v>
          </cell>
          <cell r="E1303">
            <v>46.5</v>
          </cell>
        </row>
        <row r="1304">
          <cell r="A1304" t="str">
            <v>Сыр полутвердый "Тильзитер" с массовой долей жира в пересчете на сухое вещество 45%. 1/5  Останкино</v>
          </cell>
          <cell r="E1304">
            <v>9.5</v>
          </cell>
        </row>
        <row r="1305">
          <cell r="A1305" t="str">
            <v>Сыр рассольный жирный Чечил 45% 100 гр  ОСТАНКИНО</v>
          </cell>
          <cell r="E1305">
            <v>56</v>
          </cell>
        </row>
        <row r="1306">
          <cell r="A1306" t="str">
            <v>Сыр рассольный жирный Чечил копченый 43% 100 гр  Останкино</v>
          </cell>
          <cell r="E1306">
            <v>73</v>
          </cell>
        </row>
        <row r="1307">
          <cell r="A1307" t="str">
            <v>Сыр Творожный с зеленью 60% Папа может 140 гр.  Останкино</v>
          </cell>
          <cell r="E1307">
            <v>63</v>
          </cell>
        </row>
        <row r="1308">
          <cell r="A1308" t="str">
            <v>Сыр творожный Сливочный 140 гр.  Останкино</v>
          </cell>
          <cell r="E1308">
            <v>38</v>
          </cell>
        </row>
        <row r="1309">
          <cell r="A1309" t="str">
            <v>Сыч/Прод Коровино Российский 50% 200г СЗМЖ  Останкино</v>
          </cell>
          <cell r="E1309">
            <v>83</v>
          </cell>
        </row>
        <row r="1310">
          <cell r="A1310" t="str">
            <v>Сыч/Прод Коровино Тильзитер 50% 200г СЗМЖ  ОСТАНКИНО</v>
          </cell>
          <cell r="E1310">
            <v>75</v>
          </cell>
        </row>
        <row r="1311">
          <cell r="A1311" t="str">
            <v>Сыч/Прод Коровино Тильзитер Оригин 50% ВЕС (3,5 кг брус) СЗМЖ  Останкино</v>
          </cell>
          <cell r="E1311">
            <v>133</v>
          </cell>
        </row>
        <row r="1312">
          <cell r="A1312" t="str">
            <v>АСП1 ЗПФ Мелитополь</v>
          </cell>
          <cell r="E1312">
            <v>14948.4</v>
          </cell>
        </row>
        <row r="1313">
          <cell r="A1313" t="str">
            <v>Останкино ООО</v>
          </cell>
          <cell r="E1313">
            <v>476</v>
          </cell>
        </row>
        <row r="1314">
          <cell r="A1314" t="str">
            <v>Останкино СЫР</v>
          </cell>
          <cell r="E1314">
            <v>476</v>
          </cell>
        </row>
        <row r="1315">
          <cell r="A1315" t="str">
            <v>Масло "Папа может" 82,5% 180гр  Останкино</v>
          </cell>
          <cell r="E1315">
            <v>243</v>
          </cell>
        </row>
        <row r="1316">
          <cell r="A1316" t="str">
            <v>Масло сливочное 72,5 % 180 гр.(10 шт) СЛАВЯНА  Останкино</v>
          </cell>
          <cell r="E1316">
            <v>233</v>
          </cell>
        </row>
        <row r="1317">
          <cell r="A1317" t="str">
            <v>ПОКОМ Логистический Партнер</v>
          </cell>
          <cell r="E1317">
            <v>14472.4</v>
          </cell>
        </row>
        <row r="1318">
          <cell r="A1318" t="str">
            <v>Заморозка Зареченские Логистический партнер (кг)</v>
          </cell>
          <cell r="E1318">
            <v>851.4</v>
          </cell>
        </row>
        <row r="1319">
          <cell r="A1319" t="str">
            <v>Мини-сосиски в тесте 5кг ВЕС ТМ Зареченские  ПОКОМ</v>
          </cell>
          <cell r="E1319">
            <v>15</v>
          </cell>
        </row>
        <row r="1320">
          <cell r="A1320" t="str">
            <v>Мини-сосиски в тесте ТМ Зареченские . ВЕС  Поком</v>
          </cell>
          <cell r="E1320">
            <v>114.8</v>
          </cell>
        </row>
        <row r="1321">
          <cell r="A1321" t="str">
            <v>Мини-шарики с курочкой и сыром ТМ Зареченские ВЕС ПОКОМ</v>
          </cell>
          <cell r="E1321">
            <v>77</v>
          </cell>
        </row>
        <row r="1322">
          <cell r="A1322" t="str">
            <v>Наггетсы Хрустящие ТМ Зареченские ТС Зареченские продукты. Поком</v>
          </cell>
          <cell r="E1322">
            <v>410</v>
          </cell>
        </row>
        <row r="1323">
          <cell r="A1323" t="str">
            <v>Пирожки с мясом 3,7кг ВЕС ТМ Зареченские  ПОКОМ</v>
          </cell>
          <cell r="E1323">
            <v>7.4</v>
          </cell>
        </row>
        <row r="1324">
          <cell r="A1324" t="str">
            <v>Чебуреки Мясные вес 2,7 кг ТМ Зареченские ТС Зареченские продукты   Поком</v>
          </cell>
          <cell r="E1324">
            <v>97.2</v>
          </cell>
        </row>
        <row r="1325">
          <cell r="A1325" t="str">
            <v>Чебуреки сочные ТМ Зареченские ТС Зареченские продукты.  Поком</v>
          </cell>
          <cell r="E1325">
            <v>130</v>
          </cell>
        </row>
        <row r="1326">
          <cell r="A1326" t="str">
            <v>Заморозка Зареченские Логистический партнер (шт)</v>
          </cell>
          <cell r="E1326">
            <v>376</v>
          </cell>
        </row>
        <row r="1327">
          <cell r="A1327" t="str">
            <v>Пельмени Домашние со сливочным маслом ТМ Зареченские  продукты флоу-пак сфера 0,7 кг.  Поком</v>
          </cell>
          <cell r="E1327">
            <v>376</v>
          </cell>
        </row>
        <row r="1328">
          <cell r="A1328" t="str">
            <v>ПОКОМ Логистический Партнер Заморозка</v>
          </cell>
          <cell r="E1328">
            <v>13245</v>
          </cell>
        </row>
        <row r="1329">
          <cell r="A1329" t="str">
            <v>БОНУС_Готовые чебупели сочные с мясом ТМ Горячая штучка флоу-пак 0,24 кг  ПОКОМ</v>
          </cell>
          <cell r="E1329">
            <v>41</v>
          </cell>
        </row>
        <row r="1330">
          <cell r="A1330" t="str">
            <v>БОНУС_Пельмени Бульмени со сливочным маслом ТМ Горячая штучка флоу-пак сфера 0,7 кг .  Поком</v>
          </cell>
          <cell r="E1330">
            <v>29</v>
          </cell>
        </row>
        <row r="1331">
          <cell r="A1331" t="str">
            <v>БОНУС_Чебупицца курочка по-итальянски Горячая штучка 0,25 кг зам  ПОКОМ</v>
          </cell>
          <cell r="E1331">
            <v>14</v>
          </cell>
        </row>
        <row r="1332">
          <cell r="A1332" t="str">
            <v>Бульмени хрустящие с мясом ТМ Горячая штучка ТС Бульмени ГШ сфера 0,22 кг  Поком</v>
          </cell>
          <cell r="E1332">
            <v>28</v>
          </cell>
        </row>
        <row r="1333">
          <cell r="A1333" t="str">
            <v>Готовые бельмеши сочные с мясом ТМ Горячая штучка 0,3кг зам  ПОКОМ</v>
          </cell>
          <cell r="E1333">
            <v>292</v>
          </cell>
        </row>
        <row r="1334">
          <cell r="A1334" t="str">
            <v>Готовые чебуманы с говядиной ТМ горячая штучка 0,28 кг.  Поком</v>
          </cell>
          <cell r="E1334">
            <v>231</v>
          </cell>
        </row>
        <row r="1335">
          <cell r="A1335" t="str">
            <v>Готовые чебупели острые с мясом ТМ Горячая штучка флоу-пак 0,24 кг  Поком</v>
          </cell>
          <cell r="E1335">
            <v>336</v>
          </cell>
        </row>
        <row r="1336">
          <cell r="A1336" t="str">
            <v>Готовые чебупели с ветчиной и сыром ТМ Горячая штучка флоу-пак 0,24 кг.  ПОКОМ</v>
          </cell>
          <cell r="E1336">
            <v>358</v>
          </cell>
        </row>
        <row r="1337">
          <cell r="A1337" t="str">
            <v>Готовые чебупели с мясом ТМ Горячая штучка 0,24 кг  ПОКОМ</v>
          </cell>
          <cell r="E1337">
            <v>219</v>
          </cell>
        </row>
        <row r="1338">
          <cell r="A1338" t="str">
            <v>Готовые чебупели сочные с мясом ТМ Горячая штучка флоу-пак 0,24 кг  ПОКОМ</v>
          </cell>
          <cell r="E1338">
            <v>557</v>
          </cell>
        </row>
        <row r="1339">
          <cell r="A1339" t="str">
            <v>Готовые чебупели сочные с мясом ТМ Горячая штучка флоу-пак 0,48 кг XXL  Поком</v>
          </cell>
          <cell r="E1339">
            <v>83</v>
          </cell>
        </row>
        <row r="1340">
          <cell r="A1340" t="str">
            <v>Готовые чебуреки со свининой и говядиной ТМ Горячая штучка ТС Базовый ассортимент 0,36 кг  ПОКОМ</v>
          </cell>
          <cell r="E1340">
            <v>349</v>
          </cell>
        </row>
        <row r="1341">
          <cell r="A1341" t="str">
            <v>Жареные вареники с картофелем и беконом ТМ Стародворье 0,2 кг  ПОКОМ</v>
          </cell>
          <cell r="E1341">
            <v>27</v>
          </cell>
        </row>
        <row r="1342">
          <cell r="A1342" t="str">
            <v>Круггетсы с сырным соусом ТМ Горячая штучка ТС Круггетсы флоу-пак 0,2 кг  ПОКОМ</v>
          </cell>
          <cell r="E1342">
            <v>316</v>
          </cell>
        </row>
        <row r="1343">
          <cell r="A1343" t="str">
            <v>Круггетсы сочные ТМ Горячая штучка ТС Круггетсы флоу-пак  0,2 кг.  ПОКОМ</v>
          </cell>
          <cell r="E1343">
            <v>127</v>
          </cell>
        </row>
        <row r="1344">
          <cell r="A1344" t="str">
            <v>Мини-чебуреки с мясом ТМ Зареченские ТС Зареченские продукты ПОКОМ</v>
          </cell>
          <cell r="E1344">
            <v>49</v>
          </cell>
        </row>
        <row r="1345">
          <cell r="A1345" t="str">
            <v>Наггетсы из печи 0,25кг ТМ Вязанка замор.  ПОКОМ</v>
          </cell>
          <cell r="E1345">
            <v>521</v>
          </cell>
        </row>
        <row r="1346">
          <cell r="A1346" t="str">
            <v>Наггетсы Нагетосы Сочная курочка со сметаной и зеленью ТМ Горячая штучка флоу-пак 0,25 кг  Поком</v>
          </cell>
          <cell r="E1346">
            <v>82</v>
          </cell>
        </row>
        <row r="1347">
          <cell r="A1347" t="str">
            <v>Наггетсы Нагетосы Сочная курочка ТМ Горячая штучка 0,25 кг зам  ПОКОМ</v>
          </cell>
          <cell r="E1347">
            <v>415</v>
          </cell>
        </row>
        <row r="1348">
          <cell r="A1348" t="str">
            <v>Наггетсы с индейкой 0,25кг ТМ Вязанка ТС Из печи Сливушки ПОКОМ</v>
          </cell>
          <cell r="E1348">
            <v>448</v>
          </cell>
        </row>
        <row r="1349">
          <cell r="A1349" t="str">
            <v>Наггетсы с куриным филе и сыром ТМ Вязанка ТС Из печи Сливушки 0,25 кг.  Поком</v>
          </cell>
          <cell r="E1349">
            <v>470</v>
          </cell>
        </row>
        <row r="1350">
          <cell r="A1350" t="str">
            <v>Наггетсы хрустящие п/ф ВЕС ПОКОМ</v>
          </cell>
          <cell r="E1350">
            <v>12</v>
          </cell>
        </row>
        <row r="1351">
          <cell r="A1351" t="str">
            <v>Наггетсы Хрустящие ТМ Стародворье с сочной курочкой 0,23 кг  ПОКОМ</v>
          </cell>
          <cell r="E1351">
            <v>69</v>
          </cell>
        </row>
        <row r="1352">
          <cell r="A1352" t="str">
            <v>Пекерсы с индейкой в сливочном соусе ТМ Горячая штучка 0,25 кг зам  ПОКОМ</v>
          </cell>
          <cell r="E1352">
            <v>68</v>
          </cell>
        </row>
        <row r="1353">
          <cell r="A1353" t="str">
            <v>Пельмени Grandmeni с говядиной и свининой ТМ Горячаяштучка флоу-па классическая форма 0,7 кг.  Поком</v>
          </cell>
          <cell r="E1353">
            <v>106</v>
          </cell>
        </row>
        <row r="1354">
          <cell r="A1354" t="str">
            <v>Пельмени Grandmeni с говядиной ТМ Горячаяштучка флоу-пак сфера 0,7 кг.  Поком</v>
          </cell>
          <cell r="E1354">
            <v>88</v>
          </cell>
        </row>
        <row r="1355">
          <cell r="A1355" t="str">
            <v>Пельмени Grandmeni со сливочным маслом  ТМ Горячая штучка флоу-пак сфера 0,7 кг.  Поком</v>
          </cell>
          <cell r="E1355">
            <v>101</v>
          </cell>
        </row>
        <row r="1356">
          <cell r="A1356" t="str">
            <v>Пельмени Бигбули #МЕГАВКУСИЩЕ с сочной грудинкой  ТМ Горячая штучка  флоу-пак сфера 0,7 кг.  Поком</v>
          </cell>
          <cell r="E1356">
            <v>351</v>
          </cell>
        </row>
        <row r="1357">
          <cell r="A1357" t="str">
            <v>Пельмени Бигбули с мясом ТМ Горячая штучка БУЛЬМЕНИ ТС Бигбули ГШ  флоу-пак сфера 0,7.   Поком</v>
          </cell>
          <cell r="E1357">
            <v>69</v>
          </cell>
        </row>
        <row r="1358">
          <cell r="A1358" t="str">
            <v>Пельмени Бигбули со сливочным маслом  ТС Бигбули ГШ#МЕГАМАСЛИЩЕ флоу-пак сфера 0,7.  Поком</v>
          </cell>
          <cell r="E1358">
            <v>318</v>
          </cell>
        </row>
        <row r="1359">
          <cell r="A1359" t="str">
            <v>Пельмени Бульмени мини с мясом и оливковым маслом  ТС Бульмени ГШ флоу-пак сфера 0,7кг  Поком</v>
          </cell>
          <cell r="E1359">
            <v>273</v>
          </cell>
        </row>
        <row r="1360">
          <cell r="A1360" t="str">
            <v>Пельмени Бульмени с говядиной и свининой Наваристые Горячая штучка ВЕС  ПОКОМ</v>
          </cell>
          <cell r="E1360">
            <v>370</v>
          </cell>
        </row>
        <row r="1361">
          <cell r="A1361" t="str">
            <v>Пельмени Бульмени с говядиной и свининой ТМ Горячая штучка  флоу-пак сфера 0,4 кг  Поком</v>
          </cell>
          <cell r="E1361">
            <v>325</v>
          </cell>
        </row>
        <row r="1362">
          <cell r="A1362" t="str">
            <v>Пельмени Бульмени с говядиной и свининой ТМ Горячая штучка БУЛЬМЕНИ  флоу-пак сфера 0,7 кг.  Поком</v>
          </cell>
          <cell r="E1362">
            <v>539</v>
          </cell>
        </row>
        <row r="1363">
          <cell r="A1363" t="str">
            <v>Пельмени Бульмени со сливочным маслом ТМ Горячая штучка  флоу-пак сфера 0,4 кг .  Поком</v>
          </cell>
          <cell r="E1363">
            <v>415</v>
          </cell>
        </row>
        <row r="1364">
          <cell r="A1364" t="str">
            <v>Пельмени Бульмени со сливочным маслом ТМ Горячая штучка флоу-пак сфера 0,7 кг .  Поком</v>
          </cell>
          <cell r="E1364">
            <v>848</v>
          </cell>
        </row>
        <row r="1365">
          <cell r="A1365" t="str">
            <v>Пельмени Мясные с говядиной ТМ Стародворье сфера флоу-пак 1 кг  ПОКОМ</v>
          </cell>
          <cell r="E1365">
            <v>220</v>
          </cell>
        </row>
        <row r="1366">
          <cell r="A1366" t="str">
            <v>Пельмени Отборные из свинины и говядины 0,9 кг ТМ Стародворье ТС Медвежье ушко  ПОКОМ</v>
          </cell>
          <cell r="E1366">
            <v>326</v>
          </cell>
        </row>
        <row r="1367">
          <cell r="A1367" t="str">
            <v>Пельмени Отборные с говядиной 0,9 кг НОВА ТМ Стародворье ТС Медвежье ушко  ПОКОМ</v>
          </cell>
          <cell r="E1367">
            <v>246</v>
          </cell>
        </row>
        <row r="1368">
          <cell r="A1368" t="str">
            <v>Пельмени Со свининой и говядиной ТМ Особый рецепт Любимая ложка 1,0 кг  ПОКОМ</v>
          </cell>
          <cell r="E1368">
            <v>392</v>
          </cell>
        </row>
        <row r="1369">
          <cell r="A1369" t="str">
            <v>Хотстеры Васаби-чили ТМ Горячая штучка ТС Хотстеры 0,23кг жареные ПОКОМ</v>
          </cell>
          <cell r="E1369">
            <v>198</v>
          </cell>
        </row>
        <row r="1370">
          <cell r="A1370" t="str">
            <v>Хотстеры с сыром ТМ Горячая штучка ТС Хотстеры 0,25кг.  Поком</v>
          </cell>
          <cell r="E1370">
            <v>134</v>
          </cell>
        </row>
        <row r="1371">
          <cell r="A1371" t="str">
            <v>Хотстеры ТМ Горячая штучка ТС Хотстеры 0,25 кг зам  ПОКОМ</v>
          </cell>
          <cell r="E1371">
            <v>452</v>
          </cell>
        </row>
        <row r="1372">
          <cell r="A1372" t="str">
            <v>Хрустипай апельсин имбирь ТМ Горячая штучка 0,18 кг  ПОКОМ</v>
          </cell>
          <cell r="E1372">
            <v>2</v>
          </cell>
        </row>
        <row r="1373">
          <cell r="A1373" t="str">
            <v>Хрустипай манго маракуйя ТМ Горячая штучка 0,18 кг  ПОКОМ</v>
          </cell>
          <cell r="E1373">
            <v>2</v>
          </cell>
        </row>
        <row r="1374">
          <cell r="A1374" t="str">
            <v>Хрустипай манго чили ТМ Горячая штучка 0,18кг с начинкой ПОКОМ</v>
          </cell>
          <cell r="E1374">
            <v>3</v>
          </cell>
        </row>
        <row r="1375">
          <cell r="A1375" t="str">
            <v>Хрустящие крылышки острые к пиву ТМ Горячая штучка 0,3кг зам  ПОКОМ</v>
          </cell>
          <cell r="E1375">
            <v>392</v>
          </cell>
        </row>
        <row r="1376">
          <cell r="A1376" t="str">
            <v>Хрустящие крылышки ТМ Горячая штучка 0,3 кг зам  ПОКОМ</v>
          </cell>
          <cell r="E1376">
            <v>91</v>
          </cell>
        </row>
        <row r="1377">
          <cell r="A1377" t="str">
            <v>Чебупели Курочка гриль Базовый ассортимент Фикс.вес 0,3 Пакет Горячая штучка  Поком</v>
          </cell>
          <cell r="E1377">
            <v>31</v>
          </cell>
        </row>
        <row r="1378">
          <cell r="A1378" t="str">
            <v>Чебупицца курочка по-итальянски Горячая штучка 0,25 кг зам  ПОКОМ</v>
          </cell>
          <cell r="E1378">
            <v>654</v>
          </cell>
        </row>
        <row r="1379">
          <cell r="A1379" t="str">
            <v>Чебупицца Пепперони ТМ Горячая штучка ТС Чебупицца 0.25кг зам  ПОКОМ</v>
          </cell>
          <cell r="E1379">
            <v>539</v>
          </cell>
        </row>
        <row r="1380">
          <cell r="A1380" t="str">
            <v>Чебупицца со вкусом 4 сыра 0,2кг ТМ Горячая штучка ТС Foodgital  ПОКОМ</v>
          </cell>
          <cell r="E1380">
            <v>100</v>
          </cell>
        </row>
        <row r="1381">
          <cell r="A1381" t="str">
            <v>Чебупицца со вкусом Том ям ТМ Горячая штучка ТС Чебупицца 0,23кг жареные ПОКОМ</v>
          </cell>
          <cell r="E1381">
            <v>264</v>
          </cell>
        </row>
        <row r="1382">
          <cell r="A1382" t="str">
            <v>Чебуреки сочные, ВЕС, куриные жарен. зам  ПОКОМ</v>
          </cell>
          <cell r="E1382">
            <v>255</v>
          </cell>
        </row>
        <row r="1383">
          <cell r="A1383" t="str">
            <v>АСП1 Мелитополь Останкино</v>
          </cell>
          <cell r="E1383">
            <v>14627.815000000001</v>
          </cell>
        </row>
        <row r="1384">
          <cell r="A1384" t="str">
            <v>Останкино ООО</v>
          </cell>
          <cell r="E1384">
            <v>14627.815000000001</v>
          </cell>
        </row>
        <row r="1385">
          <cell r="A1385" t="str">
            <v>ООО Останкино-Краснодар</v>
          </cell>
          <cell r="E1385">
            <v>3170.7150000000001</v>
          </cell>
        </row>
        <row r="1386">
          <cell r="A1386" t="str">
            <v>3287 САЛЯМИ ИТАЛЬЯНСКАЯ с/к в/у ОСТАНКИНО</v>
          </cell>
          <cell r="E1386">
            <v>49.6</v>
          </cell>
        </row>
        <row r="1387">
          <cell r="A1387" t="str">
            <v>4063 МЯСНАЯ Папа может вар п/о_Л   ОСТАНКИНО</v>
          </cell>
          <cell r="E1387">
            <v>196.67</v>
          </cell>
        </row>
        <row r="1388">
          <cell r="A1388" t="str">
            <v>4117 ЭКСТРА Папа может с/к в/у_Л   ОСТАНКИНО</v>
          </cell>
          <cell r="E1388">
            <v>29.7</v>
          </cell>
        </row>
        <row r="1389">
          <cell r="A1389" t="str">
            <v>4574 Мясная со шпиком Папа может вар п/о ОСТАНКИНО</v>
          </cell>
          <cell r="E1389">
            <v>41.9</v>
          </cell>
        </row>
        <row r="1390">
          <cell r="A1390" t="str">
            <v>4813 ФИЛЕЙНАЯ Папа может вар п/о_Л   ОСТАНКИНО</v>
          </cell>
          <cell r="E1390">
            <v>147.5</v>
          </cell>
        </row>
        <row r="1391">
          <cell r="A1391" t="str">
            <v>5452 ВЕТЧ.МЯСНАЯ Папа может п/о    ОСТАНКИНО</v>
          </cell>
          <cell r="E1391">
            <v>18.2</v>
          </cell>
        </row>
        <row r="1392">
          <cell r="A1392" t="str">
            <v>5544 Сервелат Финский в/к в/у_45с НОВАЯ ОСТАНКИНО</v>
          </cell>
          <cell r="E1392">
            <v>192</v>
          </cell>
        </row>
        <row r="1393">
          <cell r="A1393" t="str">
            <v>5708 ПОСОЛЬСКАЯ Папа может с/к в/у ОСТАНКИНО</v>
          </cell>
          <cell r="E1393">
            <v>15.5</v>
          </cell>
        </row>
        <row r="1394">
          <cell r="A1394" t="str">
            <v>5851 ЭКСТРА Папа может вар п/о   ОСТАНКИНО</v>
          </cell>
          <cell r="E1394">
            <v>102.084</v>
          </cell>
        </row>
        <row r="1395">
          <cell r="A1395" t="str">
            <v>6008 САЛО СОЛЕНОЕ С ЧЕРНЫМ ПЕРЦЕМ мл/к в/у ОСТАНКИНО</v>
          </cell>
          <cell r="E1395">
            <v>57</v>
          </cell>
        </row>
        <row r="1396">
          <cell r="A1396" t="str">
            <v>6220 ГОВЯЖЬЯ папа может вар п/о  Останкино</v>
          </cell>
          <cell r="E1396">
            <v>24.9</v>
          </cell>
        </row>
        <row r="1397">
          <cell r="A1397" t="str">
            <v>6303 Мясные Папа может сос п/о мгс 1,5*3  Останкино</v>
          </cell>
          <cell r="E1397">
            <v>340.64</v>
          </cell>
        </row>
        <row r="1398">
          <cell r="A1398" t="str">
            <v>6470 ВЕТЧ.МРАМОРНАЯ в/у_45с  Останкино</v>
          </cell>
          <cell r="E1398">
            <v>7.2</v>
          </cell>
        </row>
        <row r="1399">
          <cell r="A1399" t="str">
            <v>6498 МОЛОЧНАЯ Папа может вар п/о  ОСТАНКИНО</v>
          </cell>
          <cell r="E1399">
            <v>105.6</v>
          </cell>
        </row>
        <row r="1400">
          <cell r="A1400" t="str">
            <v>6527 ШПИКАЧКИ СОЧНЫЕ ПМ сар б/о мгс 1*3 45с ОСТАНКИНО</v>
          </cell>
          <cell r="E1400">
            <v>121.3</v>
          </cell>
        </row>
        <row r="1401">
          <cell r="A1401" t="str">
            <v>6550 МЯСНЫЕ Папа может сар б/о мгс 1*3 О 45с  Останкино</v>
          </cell>
          <cell r="E1401">
            <v>165.012</v>
          </cell>
        </row>
        <row r="1402">
          <cell r="A1402" t="str">
            <v>6608 С ГОВЯДИНОЙ ОРИГИН. сар б/о мгс 1*3_45с  ОСТАНКИНО</v>
          </cell>
          <cell r="E1402">
            <v>62.5</v>
          </cell>
        </row>
        <row r="1403">
          <cell r="A1403" t="str">
            <v>6661 СОЧНЫЙ ГРИЛЬ ПМ сос п/о мгс 1,5*4_Маяк Останкино</v>
          </cell>
          <cell r="E1403">
            <v>88.5</v>
          </cell>
        </row>
        <row r="1404">
          <cell r="A1404" t="str">
            <v>6761 МОЛОЧНЫЕ ГОСТ сос ц/о мгс 1*4  Останкино</v>
          </cell>
          <cell r="E1404">
            <v>6</v>
          </cell>
        </row>
        <row r="1405">
          <cell r="A1405" t="str">
            <v>6829  МОЛОЧНЫЕ КЛАССИЧЕСКИЕ сос п/о мгс 2*4 С  Останккино</v>
          </cell>
          <cell r="E1405">
            <v>474.834</v>
          </cell>
        </row>
        <row r="1406">
          <cell r="A1406" t="str">
            <v>7001 КЛАССИЧЕСКИЕ Папа может сар б/о мгс 1*3  Останкино</v>
          </cell>
          <cell r="E1406">
            <v>35</v>
          </cell>
        </row>
        <row r="1407">
          <cell r="A1407" t="str">
            <v>7070 СОЧНЫЕ ПМ сос п/о 1,5*4_А_50с  Останкино</v>
          </cell>
          <cell r="E1407">
            <v>265.87099999999998</v>
          </cell>
        </row>
        <row r="1408">
          <cell r="A1408" t="str">
            <v>7075 МОЛОЧ.ПРЕМИУМ ПМ сос п/о мгс 1,5*4_О_50с  Останкино</v>
          </cell>
          <cell r="E1408">
            <v>16</v>
          </cell>
        </row>
        <row r="1409">
          <cell r="A1409" t="str">
            <v>7082 СЛИВОЧНЫЕ ПМ сос п/о мгс 1,5*4_50с  Останкино</v>
          </cell>
          <cell r="E1409">
            <v>12</v>
          </cell>
        </row>
        <row r="1410">
          <cell r="A1410" t="str">
            <v>7083 СЛИВОЧНЫЕ ПМ сос п/о мгс 1.5*4_А_50с  ОСТАНКИНО</v>
          </cell>
          <cell r="E1410">
            <v>192.5</v>
          </cell>
        </row>
        <row r="1411">
          <cell r="A1411" t="str">
            <v>7131 БАЛЫКОВАЯ в/к в/у 0,84кг  Останкино</v>
          </cell>
          <cell r="E1411">
            <v>6.6</v>
          </cell>
        </row>
        <row r="1412">
          <cell r="A1412" t="str">
            <v>7157 СЕРВЕЛАТ ЗЕРНИСТЫЙ ПМ в/к в/у_50с  Останкино</v>
          </cell>
          <cell r="E1412">
            <v>173.8</v>
          </cell>
        </row>
        <row r="1413">
          <cell r="A1413" t="str">
            <v>7166 СЕРВЕЛАТ ОХОТНИЧИЙ ПМ в/к в/у_50с  Останкино</v>
          </cell>
          <cell r="E1413">
            <v>216.304</v>
          </cell>
        </row>
        <row r="1414">
          <cell r="A1414" t="str">
            <v>БОНУС_6954 СОЧНЫЕ Папа может сос п/о мгс 1.5*4_Х5  ОСТАНКИНО</v>
          </cell>
          <cell r="E1414">
            <v>6</v>
          </cell>
        </row>
        <row r="1415">
          <cell r="A1415" t="str">
            <v>ООО Останкино-Краснодар (ШТ)</v>
          </cell>
          <cell r="E1415">
            <v>11385.8</v>
          </cell>
        </row>
        <row r="1416">
          <cell r="A1416" t="str">
            <v>3215 ВЕТЧ.МЯСНАЯ Папа может п/о 0.4кг 8шт.    ОСТАНКИНО</v>
          </cell>
          <cell r="E1416">
            <v>274</v>
          </cell>
        </row>
        <row r="1417">
          <cell r="A1417" t="str">
            <v>3986 Ароматная с/к в/у 1/250 ОСТАНКИНО</v>
          </cell>
          <cell r="E1417">
            <v>261</v>
          </cell>
        </row>
        <row r="1418">
          <cell r="A1418" t="str">
            <v>4993 САЛЯМИ ИТАЛЬЯНСКАЯ с/к в/у 1/250*8_120c ОСТАНКИНО</v>
          </cell>
          <cell r="E1418">
            <v>191</v>
          </cell>
        </row>
        <row r="1419">
          <cell r="A1419" t="str">
            <v>5483 ЭКСТРА Папа может с/к в/у 1/250 8шт.   ОСТАНКИНО</v>
          </cell>
          <cell r="E1419">
            <v>249</v>
          </cell>
        </row>
        <row r="1420">
          <cell r="A1420" t="str">
            <v>5495 ВЕТЧ.С ИНДЕЙКОЙ Папа может п/о 400*6  Останкино</v>
          </cell>
          <cell r="E1420">
            <v>166</v>
          </cell>
        </row>
        <row r="1421">
          <cell r="A1421" t="str">
            <v>5819 Сосиски Папа может 400г Мясные  ОСТАНКИНО</v>
          </cell>
          <cell r="E1421">
            <v>186</v>
          </cell>
        </row>
        <row r="1422">
          <cell r="A1422" t="str">
            <v>5931 ОХОТНИЧЬЯ Папа может с/к в/у 1/220 8шт.   ОСТАНКИНО</v>
          </cell>
          <cell r="E1422">
            <v>225</v>
          </cell>
        </row>
        <row r="1423">
          <cell r="A1423" t="str">
            <v>6208 ДЫМОВИЦА ИЗ ЛОПАТКИ ПМ к/в с/н в/у 1/150  Останкино</v>
          </cell>
          <cell r="E1423">
            <v>37</v>
          </cell>
        </row>
        <row r="1424">
          <cell r="A1424" t="str">
            <v>6221 НЕОПОЛИТАНСКИЙ ДУЭТ с/к с/н мгс 1/90  Останкино</v>
          </cell>
          <cell r="E1424">
            <v>52</v>
          </cell>
        </row>
        <row r="1425">
          <cell r="A1425" t="str">
            <v>6228 МЯСНОЕ АССОРТИ к/з с/н мгс 1/90 10шт  Останкино</v>
          </cell>
          <cell r="E1425">
            <v>129</v>
          </cell>
        </row>
        <row r="1426">
          <cell r="A1426" t="str">
            <v>6268 Колбаса Папа может 400г Говяжья вар п/о  ОСТАНКИНО</v>
          </cell>
          <cell r="E1426">
            <v>20</v>
          </cell>
        </row>
        <row r="1427">
          <cell r="A1427" t="str">
            <v>6279 КОРЕЙКА ПО-ОСТ.к/в в/с с/н в/у 1/150_45с  Останкино</v>
          </cell>
          <cell r="E1427">
            <v>177</v>
          </cell>
        </row>
        <row r="1428">
          <cell r="A1428" t="str">
            <v>6324 ДОКТОРСКАЯ ГОСТ вар п/о 0,4кг 8шт  Останкино</v>
          </cell>
          <cell r="E1428">
            <v>21</v>
          </cell>
        </row>
        <row r="1429">
          <cell r="A1429" t="str">
            <v>6325 ДОКТОРСКАЯ ПРЕМИУМ вар п/о 0.4кг 8шт.  ОСТАНКИНО</v>
          </cell>
          <cell r="E1429">
            <v>51</v>
          </cell>
        </row>
        <row r="1430">
          <cell r="A1430" t="str">
            <v>6333 МЯСНАЯ Папа может вар п/о 0.4кг 8шт.  ОСТАНКИНО</v>
          </cell>
          <cell r="E1430">
            <v>362</v>
          </cell>
        </row>
        <row r="1431">
          <cell r="A1431" t="str">
            <v>6353 ЭКСТРА Папа может вар п/о 0.4кг 8шт.  ОСТАНКИНО</v>
          </cell>
          <cell r="E1431">
            <v>287</v>
          </cell>
        </row>
        <row r="1432">
          <cell r="A1432" t="str">
            <v>6392 ФИЛЕЙНАЯ Папа может вар п/о 0,4кг  ОСТАНКИНО</v>
          </cell>
          <cell r="E1432">
            <v>346</v>
          </cell>
        </row>
        <row r="1433">
          <cell r="A1433" t="str">
            <v>6448 Свинина Останкино 100г Мадера с/к в/у нарезка  ОСТАНКИНО</v>
          </cell>
          <cell r="E1433">
            <v>26</v>
          </cell>
        </row>
        <row r="1434">
          <cell r="A1434" t="str">
            <v>6453 ЭКСТРА Папа может с/к с/н в/у 1/100 14шт.   ОСТАНКИНО</v>
          </cell>
          <cell r="E1434">
            <v>161</v>
          </cell>
        </row>
        <row r="1435">
          <cell r="A1435" t="str">
            <v>6454 АРОМАТНАЯ с/к с/н в/у 1/100 10шт.  ОСТАНКИНО</v>
          </cell>
          <cell r="E1435">
            <v>277</v>
          </cell>
        </row>
        <row r="1436">
          <cell r="A1436" t="str">
            <v>6459 СЕРВЕЛАТ ШВЕЙЦАРСК. в/к с/н в/у 1/100*10  Останкино</v>
          </cell>
          <cell r="E1436">
            <v>18</v>
          </cell>
        </row>
        <row r="1437">
          <cell r="A1437" t="str">
            <v>6475 Сосиски Папа может 400г С сыром  ОСТАНКИНО</v>
          </cell>
          <cell r="E1437">
            <v>293</v>
          </cell>
        </row>
        <row r="1438">
          <cell r="A1438" t="str">
            <v>6495 ВЕТЧ.МРАМОРНАЯ в/у срез 0,3кг 6шт_45с  Останкино</v>
          </cell>
          <cell r="E1438">
            <v>45</v>
          </cell>
        </row>
        <row r="1439">
          <cell r="A1439" t="str">
            <v>6602 БАВАРСКИЕ ПМ сос ц/о мгс 0,35кг 8шт  Останкино</v>
          </cell>
          <cell r="E1439">
            <v>36</v>
          </cell>
        </row>
        <row r="1440">
          <cell r="A1440" t="str">
            <v>6609 С ГОВЯДИНОЙ ПМ сар б/о мгс 0,4 кг_45с</v>
          </cell>
          <cell r="E1440">
            <v>2</v>
          </cell>
        </row>
        <row r="1441">
          <cell r="A1441" t="str">
            <v>6616 МОЛОЧНЫЕ КЛАССИЧЕСКИЕ сос п/о в/у 0,3 кг  Останкино</v>
          </cell>
          <cell r="E1441">
            <v>322</v>
          </cell>
        </row>
        <row r="1442">
          <cell r="A1442" t="str">
            <v>6697 СЕРВЕЛАТ ФИНСКИЙ ПМ в/к в/у 0,35кг 8шт  ОСТАНКИНО</v>
          </cell>
          <cell r="E1442">
            <v>474</v>
          </cell>
        </row>
        <row r="1443">
          <cell r="A1443" t="str">
            <v>6713 СОЧНЫЙ ГРИЛЬ ПМ сос п/о мгс 0,41кг 8 шт.  ОСТАНКИНО</v>
          </cell>
          <cell r="E1443">
            <v>290</v>
          </cell>
        </row>
        <row r="1444">
          <cell r="A1444" t="str">
            <v>6724 МОЛОЧНЫЕ ПМ сос п/о мгс 0,41кг 10шт  Останкино</v>
          </cell>
          <cell r="E1444">
            <v>263</v>
          </cell>
        </row>
        <row r="1445">
          <cell r="A1445" t="str">
            <v>6765 РУБЛЕНЫЕ сос ц/о мгс 0,36кг 6шт  Останкино</v>
          </cell>
          <cell r="E1445">
            <v>117</v>
          </cell>
        </row>
        <row r="1446">
          <cell r="A1446" t="str">
            <v>6768 С СЫРОМ сос ц/о мгс 0,41кг 6шт  Останкино</v>
          </cell>
          <cell r="E1446">
            <v>1</v>
          </cell>
        </row>
        <row r="1447">
          <cell r="A1447" t="str">
            <v>6787 СЕРВЕЛАТ КРЕМЛЕВСКИЙ в/к в/у 0,33кг 8шт  Останкино</v>
          </cell>
          <cell r="E1447">
            <v>65</v>
          </cell>
        </row>
        <row r="1448">
          <cell r="A1448" t="str">
            <v>6791 СЕРВЕЛАТ ПРЕМИУМ в/к в/у 0,33кг 8шт  Останкино</v>
          </cell>
          <cell r="E1448">
            <v>17</v>
          </cell>
        </row>
        <row r="1449">
          <cell r="A1449" t="str">
            <v>6793 БАЛЫКОВАЯ в/к в/у 0,33кг 8шт  Останкино</v>
          </cell>
          <cell r="E1449">
            <v>94</v>
          </cell>
        </row>
        <row r="1450">
          <cell r="A1450" t="str">
            <v>6797 С ИНДЕЙКОЙ Папа может вар п/о 0,4кг 8шт. ОСТАНКИНО</v>
          </cell>
          <cell r="E1450">
            <v>38</v>
          </cell>
        </row>
        <row r="1451">
          <cell r="A1451" t="str">
            <v>6807 СЕРВЕЛАТ ЕВРОПЕЙСКИЙ в/к в/у 0,33кг 8шт  Останкино</v>
          </cell>
          <cell r="E1451">
            <v>110</v>
          </cell>
        </row>
        <row r="1452">
          <cell r="A1452" t="str">
            <v>6834 ПОСОЛЬСКАЯ с/к с/н в/у 1/100 10шт  Останкино</v>
          </cell>
          <cell r="E1452">
            <v>47</v>
          </cell>
        </row>
        <row r="1453">
          <cell r="A1453" t="str">
            <v>6837 ФИЛЕЙНЫЕ Папа Может сос ц/о мгс 0,4кг  Останкино</v>
          </cell>
          <cell r="E1453">
            <v>105</v>
          </cell>
        </row>
        <row r="1454">
          <cell r="A1454" t="str">
            <v>6967 БУРГУНДИЯ Папа может с/к в/у 1/250 8шт  Останкино</v>
          </cell>
          <cell r="E1454">
            <v>16</v>
          </cell>
        </row>
        <row r="1455">
          <cell r="A1455" t="str">
            <v>7059 ШПИКАЧКИ СОЧНЫЕ С БЕК. п/о мгс 0,3кг 60с ОСТАНКИНО</v>
          </cell>
          <cell r="E1455">
            <v>118</v>
          </cell>
        </row>
        <row r="1456">
          <cell r="A1456" t="str">
            <v>7066 СОЧНЫЕ ПМ сос п/о мгс 0,41кг 10шт 50с  Останкино</v>
          </cell>
          <cell r="E1456">
            <v>525</v>
          </cell>
        </row>
        <row r="1457">
          <cell r="A1457" t="str">
            <v>7067 СОЧНЫЕ ПМ сос. п/о мгс 0,41кг СНГ 50с ОСТАНКИНО</v>
          </cell>
          <cell r="E1457">
            <v>23</v>
          </cell>
        </row>
        <row r="1458">
          <cell r="A1458" t="str">
            <v>7073 МОЛОЧ.ПРЕМИУМ ПМ сос п/о в/у 1/350_50с  Останкино</v>
          </cell>
          <cell r="E1458">
            <v>149</v>
          </cell>
        </row>
        <row r="1459">
          <cell r="A1459" t="str">
            <v>7077 МЯСНЫЕ С ГОВЯД. ПМ сос п/о мгс 0,4кг_50с  Останкино</v>
          </cell>
          <cell r="E1459">
            <v>78</v>
          </cell>
        </row>
        <row r="1460">
          <cell r="A1460" t="str">
            <v>7080 СЛИВОЧНЫЕ ПМ сос п/о мгс 0,41кг 10шт 50с  Останкино</v>
          </cell>
          <cell r="E1460">
            <v>526.5</v>
          </cell>
        </row>
        <row r="1461">
          <cell r="A1461" t="str">
            <v>7090 СВИНИНА ПО-ДОМ.к/в мл/к в/у 0,3кг_50с  Останкино</v>
          </cell>
          <cell r="E1461">
            <v>96</v>
          </cell>
        </row>
        <row r="1462">
          <cell r="A1462" t="str">
            <v>7092 БЕКОН Папа может с/к с/н в/у 1/140_50с  Останкино</v>
          </cell>
          <cell r="E1462">
            <v>36</v>
          </cell>
        </row>
        <row r="1463">
          <cell r="A1463" t="str">
            <v>7103 БЕКОН Останкино с/к с/н в/у 1/180_50с  Останкино</v>
          </cell>
          <cell r="E1463">
            <v>121</v>
          </cell>
        </row>
        <row r="1464">
          <cell r="A1464" t="str">
            <v>7147 САЛЬЧИЧОН Останкино с/к в/у 1/220 8 шт  Останкино</v>
          </cell>
          <cell r="E1464">
            <v>8</v>
          </cell>
        </row>
        <row r="1465">
          <cell r="A1465" t="str">
            <v>7154 СЕРВЕЛАТ ЗЕРНИСТЫЙ ПМ в/к в/у 0,35кг_50с  Останкино</v>
          </cell>
          <cell r="E1465">
            <v>503.8</v>
          </cell>
        </row>
        <row r="1466">
          <cell r="A1466" t="str">
            <v>7169 СЕРВЕЛАТ ОХОТНИЧИЙ ПМ в/к в/у 0,35кг_50с  Останкино</v>
          </cell>
          <cell r="E1466">
            <v>498</v>
          </cell>
        </row>
        <row r="1467">
          <cell r="A1467" t="str">
            <v>7187 ГРУДИНКА ПРЕМИУМ к/в мл/к в/у 0,3кг_50с  Останкино</v>
          </cell>
          <cell r="E1467">
            <v>77</v>
          </cell>
        </row>
        <row r="1468">
          <cell r="A1468" t="str">
            <v>7231 КЛАССИЧЕСКАЯ ПМ вар п/о 0,3кг 8 шт_209к  Останкино</v>
          </cell>
          <cell r="E1468">
            <v>134</v>
          </cell>
        </row>
        <row r="1469">
          <cell r="A1469" t="str">
            <v>7232 БОЯNСКАЯ ПМ п/к в/у 0,28кг 8шт_209к  Останкино</v>
          </cell>
          <cell r="E1469">
            <v>398</v>
          </cell>
        </row>
        <row r="1470">
          <cell r="A1470" t="str">
            <v>7236 СЕРВЕЛАТ КАРЕЛЬСКИЙ в/к в/у 0,28кг_209к  Останкино</v>
          </cell>
          <cell r="E1470">
            <v>445</v>
          </cell>
        </row>
        <row r="1471">
          <cell r="A1471" t="str">
            <v>7237 СЕРВЕЛАТ ШВАРЦЕР ПМ в/к в/у 0,28кг_209к  Останкино</v>
          </cell>
          <cell r="E1471">
            <v>146</v>
          </cell>
        </row>
        <row r="1472">
          <cell r="A1472" t="str">
            <v>7241 САЛЯМИ Папа может п/к в/у 0,28кг ОСТАНКИНО</v>
          </cell>
          <cell r="E1472">
            <v>288</v>
          </cell>
        </row>
        <row r="1473">
          <cell r="A1473" t="str">
            <v>7255 МЯСНЫЕ С ГОВЯД.ПМ сос п/о мгс 0.4кг 6шт.  ОСТАНКИНО</v>
          </cell>
          <cell r="E1473">
            <v>293</v>
          </cell>
        </row>
        <row r="1474">
          <cell r="A1474" t="str">
            <v>7271 МЯСНЫЕ С ГОВЯДИНОЙ ПМ сос п/о мгс 1.5*4  ОСТАНКИНО</v>
          </cell>
          <cell r="E1474">
            <v>46.5</v>
          </cell>
        </row>
        <row r="1475">
          <cell r="A1475" t="str">
            <v>7276 СЛИВОЧНЫЕ ПМ сос п/о мгс 0,3кг 7шт  Останкино</v>
          </cell>
          <cell r="E1475">
            <v>30</v>
          </cell>
        </row>
        <row r="1476">
          <cell r="A1476" t="str">
            <v>7284 ДЛЯ ДЕТЕЙ сос п/о мгс 0,33кг 6шт  Останкино</v>
          </cell>
          <cell r="E1476">
            <v>45</v>
          </cell>
        </row>
        <row r="1477">
          <cell r="A1477" t="str">
            <v>7288 БАЛЫК с/к с/н в/у 1/100 10шт ОСТАНКИНО</v>
          </cell>
          <cell r="E1477">
            <v>21</v>
          </cell>
        </row>
        <row r="1478">
          <cell r="A1478" t="str">
            <v>7332 БОЯРСКАЯ ПМ п/к в/у 0,28кг ОСТАНКИНО</v>
          </cell>
          <cell r="E1478">
            <v>159</v>
          </cell>
        </row>
        <row r="1479">
          <cell r="A1479" t="str">
            <v>7333 СЕРВЕЛАТ ОХОТНИЧИЙ ПМ в/к в/у 0,28кг ОСТАНКИНО</v>
          </cell>
          <cell r="E1479">
            <v>6</v>
          </cell>
        </row>
        <row r="1480">
          <cell r="A1480" t="str">
            <v>7343 СЕЙЧАС СЕЗОН ПМ вар п/о 0,4кг ОСТАНКИНО</v>
          </cell>
          <cell r="E1480">
            <v>7</v>
          </cell>
        </row>
        <row r="1481">
          <cell r="A1481" t="str">
            <v>7371 БРЕСТСКИЕ сос п/о в/у 0,3кг 8шт. ОСТАНКИНО</v>
          </cell>
          <cell r="E1481">
            <v>66</v>
          </cell>
        </row>
        <row r="1482">
          <cell r="A1482" t="str">
            <v>7382  САЛЯМИ МЕЛКОЗЕРНЕНАЯ с/к в/у1/120 8шт.  ОСТАНКИНО</v>
          </cell>
          <cell r="E1482">
            <v>234</v>
          </cell>
        </row>
        <row r="1483">
          <cell r="A1483" t="str">
            <v>7461 ДЛЯ ДЕТЕЙ Папа Может сос п/о мгс 0,33кг ОСТАНКИНО</v>
          </cell>
          <cell r="E1483">
            <v>147</v>
          </cell>
        </row>
        <row r="1484">
          <cell r="A1484" t="str">
            <v>7489 СЫРРРВЕЛАТ Папа Может в/к в/у 0,28кг 8шт. ОСТАНКИНО</v>
          </cell>
          <cell r="E1484">
            <v>171</v>
          </cell>
        </row>
        <row r="1485">
          <cell r="A1485" t="str">
            <v>7523 ГОВЯЖЬЯ Папа Может вар п/о 0,4кг 6шт. ОСТАНКИНО</v>
          </cell>
          <cell r="E1485">
            <v>1</v>
          </cell>
        </row>
        <row r="1486">
          <cell r="A1486" t="str">
            <v>7539 ДОКТОРСКАЯ ГОСТ вар п/о 0,35кг ОСТАНКИНО</v>
          </cell>
          <cell r="E1486">
            <v>53</v>
          </cell>
        </row>
        <row r="1487">
          <cell r="A1487" t="str">
            <v>7603 БАЛЫКОВАЯ в/к в/у 0.33кг 8шт. ОСТАНКИНО</v>
          </cell>
          <cell r="E1487">
            <v>74</v>
          </cell>
        </row>
        <row r="1488">
          <cell r="A1488" t="str">
            <v>БОНУС_6087 СОЧНЫЕ ПМ сос п/о мгс 0,41кг 10шт.  ОСТАНКИНО</v>
          </cell>
          <cell r="E1488">
            <v>11</v>
          </cell>
        </row>
        <row r="1489">
          <cell r="A1489" t="str">
            <v>Останкино КОРОВИНО (ВЕС)</v>
          </cell>
          <cell r="E1489">
            <v>58.6</v>
          </cell>
        </row>
        <row r="1490">
          <cell r="A1490" t="str">
            <v>6861 ДОМАШНИЙ РЕЦЕПТ Коровино вар п/о  Останкино</v>
          </cell>
          <cell r="E1490">
            <v>4</v>
          </cell>
        </row>
        <row r="1491">
          <cell r="A1491" t="str">
            <v>6866 ВЕТЧ.НЕЖНАЯ Коровино п/о_Маяк  Останкино</v>
          </cell>
          <cell r="E1491">
            <v>54.6</v>
          </cell>
        </row>
        <row r="1492">
          <cell r="A1492" t="str">
            <v>Останкино КОРОВИНО (ШТ)</v>
          </cell>
          <cell r="E1492">
            <v>12.7</v>
          </cell>
        </row>
        <row r="1493">
          <cell r="A1493" t="str">
            <v>7149 БАЛЫКОВАЯ Коровино п/к в/у 0,84кг_50с  Останкино</v>
          </cell>
          <cell r="E1493">
            <v>12.7</v>
          </cell>
        </row>
        <row r="1494">
          <cell r="A1494" t="str">
            <v>АСП1 Мелитополь ПОКОМ</v>
          </cell>
          <cell r="E1494">
            <v>28403.734</v>
          </cell>
        </row>
        <row r="1495">
          <cell r="A1495" t="str">
            <v>ПОКОМ Логистический Партнер</v>
          </cell>
          <cell r="E1495">
            <v>28403.734</v>
          </cell>
        </row>
        <row r="1496">
          <cell r="A1496" t="str">
            <v>Вязанка Логистический Партнер(Кг)</v>
          </cell>
          <cell r="E1496">
            <v>2912.4</v>
          </cell>
        </row>
        <row r="1497">
          <cell r="A1497" t="str">
            <v xml:space="preserve"> 005  Колбаса Докторская ГОСТ, Вязанка вектор,ВЕС. ПОКОМ</v>
          </cell>
          <cell r="E1497">
            <v>339.6</v>
          </cell>
        </row>
        <row r="1498">
          <cell r="A1498" t="str">
            <v xml:space="preserve"> 016  Сосиски Вязанка Молочные, Вязанка вискофан  ВЕС.ПОКОМ</v>
          </cell>
          <cell r="E1498">
            <v>883.55</v>
          </cell>
        </row>
        <row r="1499">
          <cell r="A1499" t="str">
            <v xml:space="preserve"> 017  Сосиски Вязанка Сливочные, Вязанка амицел ВЕС.ПОКОМ</v>
          </cell>
          <cell r="E1499">
            <v>657.4</v>
          </cell>
        </row>
        <row r="1500">
          <cell r="A1500" t="str">
            <v xml:space="preserve"> 312  Ветчина Филейская ВЕС ТМ  Вязанка ТС Столичная  ПОКОМ</v>
          </cell>
          <cell r="E1500">
            <v>24.2</v>
          </cell>
        </row>
        <row r="1501">
          <cell r="A1501" t="str">
            <v xml:space="preserve"> 315  Колбаса вареная Молокуша ТМ Вязанка ВЕС, ПОКОМ</v>
          </cell>
          <cell r="E1501">
            <v>83.2</v>
          </cell>
        </row>
        <row r="1502">
          <cell r="A1502" t="str">
            <v xml:space="preserve"> 330  Колбаса вареная Филейская ТМ Вязанка ТС Классическая ВЕС  ПОКОМ</v>
          </cell>
          <cell r="E1502">
            <v>143.75</v>
          </cell>
        </row>
        <row r="1503">
          <cell r="A1503" t="str">
            <v xml:space="preserve"> 335  Колбаса Сливушка ТМ Вязанка. ВЕС.  ПОКОМ </v>
          </cell>
          <cell r="E1503">
            <v>86.9</v>
          </cell>
        </row>
        <row r="1504">
          <cell r="A1504" t="str">
            <v xml:space="preserve"> 336  Ветчина Сливушка с индейкой ТМ Вязанка. ВЕС  ПОКОМ</v>
          </cell>
          <cell r="E1504">
            <v>26.7</v>
          </cell>
        </row>
        <row r="1505">
          <cell r="A1505" t="str">
            <v xml:space="preserve"> 364  Сардельки Филейские Вязанка ВЕС NDX ТМ Вязанка  ПОКОМ</v>
          </cell>
          <cell r="E1505">
            <v>110.7</v>
          </cell>
        </row>
        <row r="1506">
          <cell r="A1506" t="str">
            <v xml:space="preserve"> 547  Колбаса Мясная Классическая ТМ Вязанка в оболочке полиамид. ВЕС  ПОКОМ</v>
          </cell>
          <cell r="E1506">
            <v>18.8</v>
          </cell>
        </row>
        <row r="1507">
          <cell r="A1507" t="str">
            <v xml:space="preserve"> 556  Колбаса Сервелат Ореховый ТМ Вязанка в оболочке фиброуз в вакуумной упаковке, ВЕС  ПОКОМ</v>
          </cell>
          <cell r="E1507">
            <v>216.5</v>
          </cell>
        </row>
        <row r="1508">
          <cell r="A1508" t="str">
            <v xml:space="preserve"> 558  Колбаса Балыковая НОВАЯ ВЕС Вязанка фиброуз в/у ПОКОМ</v>
          </cell>
          <cell r="E1508">
            <v>315.8</v>
          </cell>
        </row>
        <row r="1509">
          <cell r="A1509" t="str">
            <v>503 Колбаса Филейская со шпиком ТМ Вязанка в оболочке полиамид.ПОКОМ</v>
          </cell>
          <cell r="E1509">
            <v>5.3</v>
          </cell>
        </row>
        <row r="1510">
          <cell r="A1510" t="str">
            <v>Вязанка Логистический Партнер(Шт)</v>
          </cell>
          <cell r="E1510">
            <v>2783</v>
          </cell>
        </row>
        <row r="1511">
          <cell r="A1511" t="str">
            <v xml:space="preserve"> 023  Колбаса Докторская ГОСТ, Вязанка вектор, 0,4 кг, ПОКОМ</v>
          </cell>
          <cell r="E1511">
            <v>15</v>
          </cell>
        </row>
        <row r="1512">
          <cell r="A1512" t="str">
            <v xml:space="preserve"> 030  Сосиски Вязанка Молочные, Вязанка вискофан МГС, 0.45кг, ПОКОМ</v>
          </cell>
          <cell r="E1512">
            <v>361</v>
          </cell>
        </row>
        <row r="1513">
          <cell r="A1513" t="str">
            <v xml:space="preserve"> 032  Сосиски Вязанка Сливочные, Вязанка амицел МГС, 0.45кг, ПОКОМ</v>
          </cell>
          <cell r="E1513">
            <v>429</v>
          </cell>
        </row>
        <row r="1514">
          <cell r="A1514" t="str">
            <v xml:space="preserve"> 276  Колбаса Сливушка ТМ Вязанка в оболочке полиамид 0,45 кг  ПОКОМ</v>
          </cell>
          <cell r="E1514">
            <v>301</v>
          </cell>
        </row>
        <row r="1515">
          <cell r="A1515" t="str">
            <v xml:space="preserve"> 319  Колбаса вареная Филейская ТМ Вязанка ТС Классическая, 0,45 кг. ПОКОМ</v>
          </cell>
          <cell r="E1515">
            <v>185</v>
          </cell>
        </row>
        <row r="1516">
          <cell r="A1516" t="str">
            <v xml:space="preserve"> 322  Колбаса вареная Молокуша 0,45кг ТМ Вязанка  ПОКОМ</v>
          </cell>
          <cell r="E1516">
            <v>248</v>
          </cell>
        </row>
        <row r="1517">
          <cell r="A1517" t="str">
            <v xml:space="preserve"> 339  Колбаса вареная Филейская ТМ Вязанка ТС Классическая, 0,40 кг.  ПОКОМ</v>
          </cell>
          <cell r="E1517">
            <v>24</v>
          </cell>
        </row>
        <row r="1518">
          <cell r="A1518" t="str">
            <v xml:space="preserve"> 355  Колбаса Сервелат запеченный ТМ Стародворье ТС Дугушка. 0,6 кг. ПОКОМ</v>
          </cell>
          <cell r="E1518">
            <v>11</v>
          </cell>
        </row>
        <row r="1519">
          <cell r="A1519" t="str">
            <v xml:space="preserve"> 387  Колбаса вареная Мусульманская Халяль ТМ Вязанка, 0,4 кг ПОКОМ</v>
          </cell>
          <cell r="E1519">
            <v>74</v>
          </cell>
        </row>
        <row r="1520">
          <cell r="A1520" t="str">
            <v xml:space="preserve"> 388  Сосиски Восточные Халяль ТМ Вязанка 0,33 кг АК. ПОКОМ</v>
          </cell>
          <cell r="E1520">
            <v>157</v>
          </cell>
        </row>
        <row r="1521">
          <cell r="A1521" t="str">
            <v xml:space="preserve"> 395  Колбаса Докторская ГОСТ ТМ Вязанка в оболочке полиамид 0,37 кг. ПОКОМ</v>
          </cell>
          <cell r="E1521">
            <v>227</v>
          </cell>
        </row>
        <row r="1522">
          <cell r="A1522" t="str">
            <v xml:space="preserve"> 403  Сосиски Сливушки с сыром ТМ Вязанка в оболочке амицел  0,3 кг. ПОКОМ</v>
          </cell>
          <cell r="E1522">
            <v>3</v>
          </cell>
        </row>
        <row r="1523">
          <cell r="A1523" t="str">
            <v xml:space="preserve"> 405  Сардельки Сливушки ТМ Вязанка в оболочке айпил 0,33 кг. ПОКОМ</v>
          </cell>
          <cell r="E1523">
            <v>78</v>
          </cell>
        </row>
        <row r="1524">
          <cell r="A1524" t="str">
            <v xml:space="preserve"> 408  Ветчина Сливушка с индейкой ТМ Вязанка, 0,4кг  ПОКОМ</v>
          </cell>
          <cell r="E1524">
            <v>101</v>
          </cell>
        </row>
        <row r="1525">
          <cell r="A1525" t="str">
            <v xml:space="preserve"> 490  Колбаса Сервелат Филейский ТМ Вязанка  0,3 кг. срез  ПОКОМ</v>
          </cell>
          <cell r="E1525">
            <v>2</v>
          </cell>
        </row>
        <row r="1526">
          <cell r="A1526" t="str">
            <v xml:space="preserve"> 569  Колбаса Балыковая ТМ Вязанка в оболочке фиброуз в вакуумной упаковке 0,28 кг срез.  ПОКОМ</v>
          </cell>
          <cell r="E1526">
            <v>227</v>
          </cell>
        </row>
        <row r="1527">
          <cell r="A1527" t="str">
            <v xml:space="preserve"> 570  Колбаса Сервелат Финский ТМ Вязанка в оболочке фиброуз в вак. упаковке 0,28 кг срез  ПОКОМ</v>
          </cell>
          <cell r="E1527">
            <v>112</v>
          </cell>
        </row>
        <row r="1528">
          <cell r="A1528" t="str">
            <v xml:space="preserve"> 571  Колбаса Сервелат Ореховый ТМ Вязанка в оболочке фиброуз в вак. упаковке 0,28 кг срез  ПОКОМ</v>
          </cell>
          <cell r="E1528">
            <v>228</v>
          </cell>
        </row>
        <row r="1529">
          <cell r="A1529" t="str">
            <v>Зареченские Логистический Партнер (кг)</v>
          </cell>
          <cell r="E1529">
            <v>39.4</v>
          </cell>
        </row>
        <row r="1530">
          <cell r="A1530" t="str">
            <v xml:space="preserve"> 317 Колбаса Сервелат Рижский ТМ Зареченские, ВЕС  ПОКОМ</v>
          </cell>
          <cell r="E1530">
            <v>1.6</v>
          </cell>
        </row>
        <row r="1531">
          <cell r="A1531" t="str">
            <v xml:space="preserve"> 318  Сосиски Датские ТМ Зареченские, ВЕС  ПОКОМ</v>
          </cell>
          <cell r="E1531">
            <v>37.799999999999997</v>
          </cell>
        </row>
        <row r="1532">
          <cell r="A1532" t="str">
            <v>Логистический Партнер Кг</v>
          </cell>
          <cell r="E1532">
            <v>16258.933999999999</v>
          </cell>
        </row>
        <row r="1533">
          <cell r="A1533" t="str">
            <v xml:space="preserve"> 200  Ветчина Дугушка ТМ Стародворье, вектор в/у    ПОКОМ</v>
          </cell>
          <cell r="E1533">
            <v>290.82</v>
          </cell>
        </row>
        <row r="1534">
          <cell r="A1534" t="str">
            <v xml:space="preserve"> 201  Ветчина Нежная ТМ Особый рецепт, (2,5кг), ПОКОМ</v>
          </cell>
          <cell r="E1534">
            <v>1762.8</v>
          </cell>
        </row>
        <row r="1535">
          <cell r="A1535" t="str">
            <v xml:space="preserve"> 215  Колбаса Докторская ГОСТ Дугушка, ВЕС, ТМ Стародворье ПОКОМ</v>
          </cell>
          <cell r="E1535">
            <v>95.38</v>
          </cell>
        </row>
        <row r="1536">
          <cell r="A1536" t="str">
            <v xml:space="preserve"> 219  Колбаса Докторская Особая ТМ Особый рецепт, ВЕС  ПОКОМ</v>
          </cell>
          <cell r="E1536">
            <v>1055</v>
          </cell>
        </row>
        <row r="1537">
          <cell r="A1537" t="str">
            <v xml:space="preserve"> 225  Колбаса Дугушка со шпиком, ВЕС, ТМ Стародворье   ПОКОМ</v>
          </cell>
          <cell r="E1537">
            <v>49.5</v>
          </cell>
        </row>
        <row r="1538">
          <cell r="A1538" t="str">
            <v xml:space="preserve"> 226  Колбаса Княжеская, с/к белков.обол в термоусад. пакете, ВЕС, ТМ Стародворье ПОКОМ</v>
          </cell>
          <cell r="E1538">
            <v>26.46</v>
          </cell>
        </row>
        <row r="1539">
          <cell r="A1539" t="str">
            <v xml:space="preserve"> 229  Колбаса Молочная Дугушка, в/у, ВЕС, ТМ Стародворье   ПОКОМ</v>
          </cell>
          <cell r="E1539">
            <v>527.38800000000003</v>
          </cell>
        </row>
        <row r="1540">
          <cell r="A1540" t="str">
            <v xml:space="preserve"> 236  Колбаса Рубленая ЗАПЕЧ. Дугушка ТМ Стародворье, вектор, в/к    ПОКОМ</v>
          </cell>
          <cell r="E1540">
            <v>124</v>
          </cell>
        </row>
        <row r="1541">
          <cell r="A1541" t="str">
            <v xml:space="preserve"> 239  Колбаса Салями запеч Дугушка, оболочка вектор, ВЕС, ТМ Стародворье  ПОКОМ</v>
          </cell>
          <cell r="E1541">
            <v>283.82</v>
          </cell>
        </row>
        <row r="1542">
          <cell r="A1542" t="str">
            <v xml:space="preserve"> 240  Колбаса Салями охотничья, ВЕС. ПОКОМ</v>
          </cell>
          <cell r="E1542">
            <v>28.95</v>
          </cell>
        </row>
        <row r="1543">
          <cell r="A1543" t="str">
            <v xml:space="preserve"> 242  Колбаса Сервелат ЗАПЕЧ.Дугушка ТМ Стародворье, вектор, в/к     ПОКОМ</v>
          </cell>
          <cell r="E1543">
            <v>305.82</v>
          </cell>
        </row>
        <row r="1544">
          <cell r="A1544" t="str">
            <v xml:space="preserve"> 243  Колбаса Сервелат Зернистый, ВЕС.  ПОКОМ</v>
          </cell>
          <cell r="E1544">
            <v>21.5</v>
          </cell>
        </row>
        <row r="1545">
          <cell r="A1545" t="str">
            <v xml:space="preserve"> 247  Сардельки Нежные, ВЕС.  ПОКОМ</v>
          </cell>
          <cell r="E1545">
            <v>195.22</v>
          </cell>
        </row>
        <row r="1546">
          <cell r="A1546" t="str">
            <v xml:space="preserve"> 248  Сардельки Сочные ТМ Особый рецепт,   ПОКОМ</v>
          </cell>
          <cell r="E1546">
            <v>335.2</v>
          </cell>
        </row>
        <row r="1547">
          <cell r="A1547" t="str">
            <v xml:space="preserve"> 250  Сардельки стародворские с говядиной в обол. NDX, ВЕС. ПОКОМ</v>
          </cell>
          <cell r="E1547">
            <v>268.25</v>
          </cell>
        </row>
        <row r="1548">
          <cell r="A1548" t="str">
            <v xml:space="preserve"> 255  Сосиски Молочные для завтрака ТМ Особый рецепт, п/а МГС, ВЕС, ТМ Стародворье  ПОКОМ</v>
          </cell>
          <cell r="E1548">
            <v>1158.1759999999999</v>
          </cell>
        </row>
        <row r="1549">
          <cell r="A1549" t="str">
            <v xml:space="preserve"> 257  Сосиски Молочные оригинальные ТМ Особый рецепт, ВЕС.   ПОКОМ</v>
          </cell>
          <cell r="E1549">
            <v>12.5</v>
          </cell>
        </row>
        <row r="1550">
          <cell r="A1550" t="str">
            <v xml:space="preserve"> 263  Шпикачки Стародворские, ВЕС.  ПОКОМ</v>
          </cell>
          <cell r="E1550">
            <v>40.6</v>
          </cell>
        </row>
        <row r="1551">
          <cell r="A1551" t="str">
            <v xml:space="preserve"> 265  Колбаса Балыкбургская, ВЕС, ТМ Баварушка  ПОКОМ</v>
          </cell>
          <cell r="E1551">
            <v>75.7</v>
          </cell>
        </row>
        <row r="1552">
          <cell r="A1552" t="str">
            <v xml:space="preserve"> 266  Колбаса Филейбургская с сочным окороком, ВЕС, ТМ Баварушка  ПОКОМ</v>
          </cell>
          <cell r="E1552">
            <v>47.3</v>
          </cell>
        </row>
        <row r="1553">
          <cell r="A1553" t="str">
            <v xml:space="preserve"> 267  Колбаса Салями Филейбургская зернистая, оболочка фиброуз, ВЕС, ТМ Баварушка  ПОКОМ</v>
          </cell>
          <cell r="E1553">
            <v>27.4</v>
          </cell>
        </row>
        <row r="1554">
          <cell r="A1554" t="str">
            <v xml:space="preserve"> 283  Сосиски Сочинки, ВЕС, ТМ Стародворье ПОКОМ</v>
          </cell>
          <cell r="E1554">
            <v>33.700000000000003</v>
          </cell>
        </row>
        <row r="1555">
          <cell r="A1555" t="str">
            <v xml:space="preserve"> 297  Колбаса Мясорубская с рубленой грудинкой ВЕС ТМ Стародворье  ПОКОМ</v>
          </cell>
          <cell r="E1555">
            <v>108.1</v>
          </cell>
        </row>
        <row r="1556">
          <cell r="A1556" t="str">
            <v xml:space="preserve"> 304  Колбаса Салями Мясорубская с рубленным шпиком ВЕС ТМ Стародворье  ПОКОМ</v>
          </cell>
          <cell r="E1556">
            <v>62</v>
          </cell>
        </row>
        <row r="1557">
          <cell r="A1557" t="str">
            <v xml:space="preserve"> 305  Колбаса Сервелат Мясорубский с мелкорубленным окороком в/у  ТМ Стародворье ВЕС   ПОКОМ</v>
          </cell>
          <cell r="E1557">
            <v>68</v>
          </cell>
        </row>
        <row r="1558">
          <cell r="A1558" t="str">
            <v xml:space="preserve"> 340  Сосиски Сочинки Молочные ТМ Стародворье, ВЕС ПОКОМ</v>
          </cell>
          <cell r="E1558">
            <v>12.7</v>
          </cell>
        </row>
        <row r="1559">
          <cell r="A1559" t="str">
            <v xml:space="preserve"> 341 Сосиски Сочинки Сливочные ТМ Стародворье ВЕС ПОКОМ</v>
          </cell>
          <cell r="E1559">
            <v>38.1</v>
          </cell>
        </row>
        <row r="1560">
          <cell r="A1560" t="str">
            <v xml:space="preserve"> 344  Колбаса Сочинка по-европейски с сочной грудинкой ТМ Стародворье, ВЕС ПОКОМ</v>
          </cell>
          <cell r="E1560">
            <v>173.6</v>
          </cell>
        </row>
        <row r="1561">
          <cell r="A1561" t="str">
            <v xml:space="preserve"> 345  Колбаса Сочинка по-фински с сочным окроком ТМ Стародворье ВЕС ПОКОМ</v>
          </cell>
          <cell r="E1561">
            <v>167.8</v>
          </cell>
        </row>
        <row r="1562">
          <cell r="A1562" t="str">
            <v xml:space="preserve"> 346  Колбаса Сочинка зернистая с сочной грудинкой ТМ Стародворье.ВЕС ПОКОМ</v>
          </cell>
          <cell r="E1562">
            <v>428.4</v>
          </cell>
        </row>
        <row r="1563">
          <cell r="A1563" t="str">
            <v xml:space="preserve"> 347  Колбаса Сочинка рубленая с сочным окороком ТМ Стародворье ВЕС ПОКОМ</v>
          </cell>
          <cell r="E1563">
            <v>188.8</v>
          </cell>
        </row>
        <row r="1564">
          <cell r="A1564" t="str">
            <v xml:space="preserve"> 436  Колбаса Молочная стародворская с молоком, ВЕС, ТМ Стародворье  ПОКОМ</v>
          </cell>
          <cell r="E1564">
            <v>15.2</v>
          </cell>
        </row>
        <row r="1565">
          <cell r="A1565" t="str">
            <v xml:space="preserve"> 449  Колбаса Дугушка Стародворская ВЕС ТС Дугушка ПОКОМ</v>
          </cell>
          <cell r="E1565">
            <v>319</v>
          </cell>
        </row>
        <row r="1566">
          <cell r="A1566" t="str">
            <v xml:space="preserve"> 452  Колбаса Со шпиком ВЕС большой батон ТМ Особый рецепт  ПОКОМ</v>
          </cell>
          <cell r="E1566">
            <v>1687.5</v>
          </cell>
        </row>
        <row r="1567">
          <cell r="A1567" t="str">
            <v xml:space="preserve"> 456  Колбаса Филейная ТМ Особый рецепт ВЕС большой батон  ПОКОМ</v>
          </cell>
          <cell r="E1567">
            <v>1838.5</v>
          </cell>
        </row>
        <row r="1568">
          <cell r="A1568" t="str">
            <v xml:space="preserve"> 457  Колбаса Молочная ТМ Особый рецепт ВЕС большой батон  ПОКОМ</v>
          </cell>
          <cell r="E1568">
            <v>3640</v>
          </cell>
        </row>
        <row r="1569">
          <cell r="A1569" t="str">
            <v xml:space="preserve"> 557  Колбаса Сервелат Финский ТМ Вязанка в оболочке фиброуз в вакуумной упаковке, ВЕС  ПОКОМ</v>
          </cell>
          <cell r="E1569">
            <v>318.89999999999998</v>
          </cell>
        </row>
        <row r="1570">
          <cell r="A1570" t="str">
            <v xml:space="preserve"> 579  Колбаса Ветчинно-рубленая ТМ Особый рецепт в оболочке полиамид.ВЕС  ПОКОМ</v>
          </cell>
          <cell r="E1570">
            <v>178.2</v>
          </cell>
        </row>
        <row r="1571">
          <cell r="A1571" t="str">
            <v xml:space="preserve"> 580  Ветчина Нежная с индейкой ТМ Особый рецепт в оболочке полиамид.ВЕС  ПОКОМ</v>
          </cell>
          <cell r="E1571">
            <v>70</v>
          </cell>
        </row>
        <row r="1572">
          <cell r="A1572" t="str">
            <v xml:space="preserve"> 585  Колбаса Молочная ТМ Стародворье в оболочке вектор НД ВЕС.  ПОКОМ</v>
          </cell>
          <cell r="E1572">
            <v>19.100000000000001</v>
          </cell>
        </row>
        <row r="1573">
          <cell r="A1573" t="str">
            <v xml:space="preserve"> 586  Колбаса Мясная ТМ Стародворье в оболочке вектор НД ВЕС.  ПОКОМ</v>
          </cell>
          <cell r="E1573">
            <v>84.45</v>
          </cell>
        </row>
        <row r="1574">
          <cell r="A1574" t="str">
            <v xml:space="preserve"> 588 Колбаса Со шпиком ТМ Стародворье в оболочке вектор ВЕС  ПОКОМ</v>
          </cell>
          <cell r="E1574">
            <v>75.099999999999994</v>
          </cell>
        </row>
        <row r="1575">
          <cell r="A1575" t="str">
            <v>Логистический Партнер Шт</v>
          </cell>
          <cell r="E1575">
            <v>6409</v>
          </cell>
        </row>
        <row r="1576">
          <cell r="A1576" t="str">
            <v xml:space="preserve"> 062  Колбаса Кракушка пряная с сальцем, 0.3кг в/у п/к, БАВАРУШКА ПОКОМ</v>
          </cell>
          <cell r="E1576">
            <v>68</v>
          </cell>
        </row>
        <row r="1577">
          <cell r="A1577" t="str">
            <v xml:space="preserve"> 083  Колбаса Швейцарская 0,17 кг., ШТ., сырокопченая   ПОКОМ</v>
          </cell>
          <cell r="E1577">
            <v>177</v>
          </cell>
        </row>
        <row r="1578">
          <cell r="A1578" t="str">
            <v xml:space="preserve"> 273  Сосиски Сочинки с сочной грудинкой, МГС 0.4кг,   ПОКОМ</v>
          </cell>
          <cell r="E1578">
            <v>1062</v>
          </cell>
        </row>
        <row r="1579">
          <cell r="A1579" t="str">
            <v xml:space="preserve"> 278  Сосиски Сочинки с сочным окороком, МГС 0.4кг,   ПОКОМ</v>
          </cell>
          <cell r="E1579">
            <v>455</v>
          </cell>
        </row>
        <row r="1580">
          <cell r="A1580" t="str">
            <v xml:space="preserve"> 281  Сосиски Молочные для завтрака ТМ Особый рецепт, 0,4кг  ПОКОМ</v>
          </cell>
          <cell r="E1580">
            <v>74</v>
          </cell>
        </row>
        <row r="1581">
          <cell r="A1581" t="str">
            <v xml:space="preserve"> 285  Паштет печеночный со слив.маслом ТМ Стародворье ламистер 0,1 кг  ПОКОМ</v>
          </cell>
          <cell r="E1581">
            <v>251</v>
          </cell>
        </row>
        <row r="1582">
          <cell r="A1582" t="str">
            <v xml:space="preserve"> 296  Колбаса Мясорубская с рубленой грудинкой 0,35кг срез ТМ Стародворье  ПОКОМ</v>
          </cell>
          <cell r="E1582">
            <v>174</v>
          </cell>
        </row>
        <row r="1583">
          <cell r="A1583" t="str">
            <v xml:space="preserve"> 301  Сосиски Сочинки по-баварски с сыром,  0.4кг, ТМ Стародворье  ПОКОМ</v>
          </cell>
          <cell r="E1583">
            <v>174</v>
          </cell>
        </row>
        <row r="1584">
          <cell r="A1584" t="str">
            <v xml:space="preserve"> 302  Сосиски Сочинки по-баварски,  0.4кг, ТМ Стародворье  ПОКОМ</v>
          </cell>
          <cell r="E1584">
            <v>182</v>
          </cell>
        </row>
        <row r="1585">
          <cell r="A1585" t="str">
            <v xml:space="preserve"> 307  Колбаса Сервелат Мясорубский с мелкорубленным окороком 0,35 кг срез ТМ Стародворье   Поком</v>
          </cell>
          <cell r="E1585">
            <v>301</v>
          </cell>
        </row>
        <row r="1586">
          <cell r="A1586" t="str">
            <v xml:space="preserve"> 309  Сосиски Сочинки с сыром 0,4 кг ТМ Стародворье  ПОКОМ</v>
          </cell>
          <cell r="E1586">
            <v>290</v>
          </cell>
        </row>
        <row r="1587">
          <cell r="A1587" t="str">
            <v xml:space="preserve"> 328  Сардельки Сочинки Стародворье ТМ  0,4 кг ПОКОМ</v>
          </cell>
          <cell r="E1587">
            <v>90</v>
          </cell>
        </row>
        <row r="1588">
          <cell r="A1588" t="str">
            <v xml:space="preserve"> 329  Сардельки Сочинки с сыром Стародворье ТМ, 0,4 кг. ПОКОМ</v>
          </cell>
          <cell r="E1588">
            <v>169</v>
          </cell>
        </row>
        <row r="1589">
          <cell r="A1589" t="str">
            <v xml:space="preserve"> 334  Паштет Любительский ТМ Стародворье ламистер 0,1 кг  ПОКОМ</v>
          </cell>
          <cell r="E1589">
            <v>228</v>
          </cell>
        </row>
        <row r="1590">
          <cell r="A1590" t="str">
            <v xml:space="preserve"> 338  Паштет печеночный с морковью ТМ Стародворье ламистер 0,1 кг.  ПОКОМ</v>
          </cell>
          <cell r="E1590">
            <v>204</v>
          </cell>
        </row>
        <row r="1591">
          <cell r="A1591" t="str">
            <v xml:space="preserve"> 342 Сосиски Сочинки Молочные ТМ Стародворье 0,4 кг ПОКОМ</v>
          </cell>
          <cell r="E1591">
            <v>535</v>
          </cell>
        </row>
        <row r="1592">
          <cell r="A1592" t="str">
            <v xml:space="preserve"> 343 Сосиски Сочинки Сливочные ТМ Стародворье  0,4 кг ПОКОМ</v>
          </cell>
          <cell r="E1592">
            <v>448</v>
          </cell>
        </row>
        <row r="1593">
          <cell r="A1593" t="str">
            <v xml:space="preserve"> 377  Колбаса Молочная Дугушка 0,6кг ТМ Стародворье  ПОКОМ</v>
          </cell>
          <cell r="E1593">
            <v>68</v>
          </cell>
        </row>
        <row r="1594">
          <cell r="A1594" t="str">
            <v xml:space="preserve"> 394 Колбаса полукопченая Аль-Ислами халяль ТМ Вязанка оболочка фиброуз в в/у 0,35 кг  ПОКОМ</v>
          </cell>
          <cell r="E1594">
            <v>45</v>
          </cell>
        </row>
        <row r="1595">
          <cell r="A1595" t="str">
            <v xml:space="preserve"> 410  Сосиски Баварские с сыром ТМ Стародворье 0,35 кг. ПОКОМ</v>
          </cell>
          <cell r="E1595">
            <v>57</v>
          </cell>
        </row>
        <row r="1596">
          <cell r="A1596" t="str">
            <v xml:space="preserve"> 412  Сосиски Баварские ТМ Стародворье 0,35 кг ПОКОМ</v>
          </cell>
          <cell r="E1596">
            <v>48</v>
          </cell>
        </row>
        <row r="1597">
          <cell r="A1597" t="str">
            <v xml:space="preserve"> 435  Колбаса Молочная Стародворская  с молоком в оболочке полиамид 0,4 кг.ТМ Стародворье ПОКОМ</v>
          </cell>
          <cell r="E1597">
            <v>73</v>
          </cell>
        </row>
        <row r="1598">
          <cell r="A1598" t="str">
            <v xml:space="preserve"> 498  Колбаса Сочинка рубленая с сочным окороком 0,3кг ТМ Стародворье  ПОКОМ</v>
          </cell>
          <cell r="E1598">
            <v>177</v>
          </cell>
        </row>
        <row r="1599">
          <cell r="A1599" t="str">
            <v xml:space="preserve"> 523  Колбаса Сальчичон нарезка 0,07кг ТМ Стародворье  ПОКОМ </v>
          </cell>
          <cell r="E1599">
            <v>44</v>
          </cell>
        </row>
        <row r="1600">
          <cell r="A1600" t="str">
            <v xml:space="preserve"> 524  Колбаса Сервелат Ореховый нарезка 0,07кг ТМ Стародворье  ПОКОМ</v>
          </cell>
          <cell r="E1600">
            <v>30</v>
          </cell>
        </row>
        <row r="1601">
          <cell r="A1601" t="str">
            <v xml:space="preserve"> 525  Колбаса Фуэт нарезка 0,07кг ТМ Стародворье  ПОКОМ</v>
          </cell>
          <cell r="E1601">
            <v>56</v>
          </cell>
        </row>
        <row r="1602">
          <cell r="A1602" t="str">
            <v xml:space="preserve"> 526  Корейка вяленая выдержанная нарезка 0,05кг ТМ Стародворье  ПОКОМ</v>
          </cell>
          <cell r="E1602">
            <v>44</v>
          </cell>
        </row>
        <row r="1603">
          <cell r="A1603" t="str">
            <v xml:space="preserve"> 527  Окорок Прошутто выдержанный нарезка 0,055кг ТМ Стародворье  ПОКОМ</v>
          </cell>
          <cell r="E1603">
            <v>61</v>
          </cell>
        </row>
        <row r="1604">
          <cell r="A1604" t="str">
            <v xml:space="preserve"> 530  Окорок Хамон выдержанный нарезка 0,055кг ТМ Стародворье  ПОКОМ</v>
          </cell>
          <cell r="E1604">
            <v>56</v>
          </cell>
        </row>
        <row r="1605">
          <cell r="A1605" t="str">
            <v xml:space="preserve"> 553  Ассорти колбас Мясорубская коллекция: Сервелат Делюкс, С балыком 0,08 кг нарезка  ПОКОМ</v>
          </cell>
          <cell r="E1605">
            <v>69</v>
          </cell>
        </row>
        <row r="1606">
          <cell r="A1606" t="str">
            <v xml:space="preserve"> 554  Колбаса Сервелат Мясорубский ТМ Стародворье в упаковке скин 0,08 кг нарезка  ПОКОМ</v>
          </cell>
          <cell r="E1606">
            <v>88</v>
          </cell>
        </row>
        <row r="1607">
          <cell r="A1607" t="str">
            <v>495  Колбаса Сочинка по-европейски с сочной грудинкой 0,3кг ТМ Стародворье  ПОКОМ</v>
          </cell>
          <cell r="E1607">
            <v>258</v>
          </cell>
        </row>
        <row r="1608">
          <cell r="A1608" t="str">
            <v>496  Колбаса Сочинка по-фински с сочным окроком 0,3кг ТМ Стародворье  ПОКОМ</v>
          </cell>
          <cell r="E1608">
            <v>211</v>
          </cell>
        </row>
        <row r="1609">
          <cell r="A1609" t="str">
            <v>515  Колбаса Сервелат Мясорубский Делюкс 0,3кг ТМ Стародворье  ПОКОМ</v>
          </cell>
          <cell r="E1609">
            <v>108</v>
          </cell>
        </row>
        <row r="1610">
          <cell r="A1610" t="str">
            <v>519  Грудинка 0,12 кг нарезка ТМ Стародворье  ПОКОМ</v>
          </cell>
          <cell r="E1610">
            <v>34</v>
          </cell>
        </row>
        <row r="1611">
          <cell r="A1611" t="str">
            <v>Новая точка линейная розница</v>
          </cell>
          <cell r="E1611">
            <v>1</v>
          </cell>
        </row>
        <row r="1612">
          <cell r="A1612" t="str">
            <v>Склад БЕРДЯНСК</v>
          </cell>
          <cell r="E1612">
            <v>30</v>
          </cell>
        </row>
        <row r="1613">
          <cell r="A1613" t="str">
            <v>Около</v>
          </cell>
          <cell r="E1613">
            <v>30</v>
          </cell>
        </row>
        <row r="1614">
          <cell r="A1614" t="str">
            <v>Липтон Чай Хол Зеленый 0.5л ПЭТ 12ХНР  ММПТ</v>
          </cell>
          <cell r="E1614">
            <v>24</v>
          </cell>
        </row>
        <row r="1615">
          <cell r="A1615" t="str">
            <v>Липтон Чай хол Персик 1,5 л ПЭТ  ММПТ</v>
          </cell>
          <cell r="E1615">
            <v>6</v>
          </cell>
        </row>
        <row r="1616">
          <cell r="A1616" t="str">
            <v>Итого</v>
          </cell>
          <cell r="E1616">
            <v>349214.18199999997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15.06.2026 - 22.06.2026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Количество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крат</v>
          </cell>
          <cell r="I8" t="str">
            <v>сроки</v>
          </cell>
        </row>
        <row r="9">
          <cell r="A9" t="str">
            <v>-</v>
          </cell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</row>
        <row r="10">
          <cell r="A10" t="str">
            <v>-</v>
          </cell>
          <cell r="C10">
            <v>5350.9359999999997</v>
          </cell>
          <cell r="D10">
            <v>8040.063000000001</v>
          </cell>
          <cell r="E10">
            <v>2568.7939999999999</v>
          </cell>
          <cell r="F10">
            <v>3774.192</v>
          </cell>
          <cell r="G10">
            <v>6803.3629999999985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3323</v>
          </cell>
          <cell r="D11">
            <v>296.91800000000001</v>
          </cell>
          <cell r="E11">
            <v>52.054000000000002</v>
          </cell>
          <cell r="F11">
            <v>102.17400000000001</v>
          </cell>
          <cell r="G11">
            <v>242.49600000000001</v>
          </cell>
          <cell r="H11">
            <v>1</v>
          </cell>
          <cell r="I11">
            <v>8783323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1577</v>
          </cell>
          <cell r="D12">
            <v>258</v>
          </cell>
          <cell r="E12">
            <v>81.941999999999993</v>
          </cell>
          <cell r="F12">
            <v>33</v>
          </cell>
          <cell r="G12">
            <v>225</v>
          </cell>
          <cell r="H12">
            <v>0.18</v>
          </cell>
          <cell r="I12" t="e">
            <v>#N/A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1584</v>
          </cell>
          <cell r="D13">
            <v>285</v>
          </cell>
          <cell r="E13">
            <v>10</v>
          </cell>
          <cell r="F13">
            <v>22</v>
          </cell>
          <cell r="G13">
            <v>272</v>
          </cell>
          <cell r="H13">
            <v>0.18</v>
          </cell>
          <cell r="I13">
            <v>6948249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4931</v>
          </cell>
          <cell r="D14">
            <v>67.554000000000002</v>
          </cell>
          <cell r="E14">
            <v>48.042000000000002</v>
          </cell>
          <cell r="F14">
            <v>29.603999999999999</v>
          </cell>
          <cell r="G14">
            <v>85.992000000000004</v>
          </cell>
          <cell r="H14">
            <v>1</v>
          </cell>
          <cell r="I14">
            <v>6948256</v>
          </cell>
        </row>
        <row r="15">
          <cell r="A15" t="str">
            <v>5579 БЛИНЧ.КРУГЛЫЕ С САД.ЯБЛОК.пл.1/420 зам. ОСТАНКИНО</v>
          </cell>
          <cell r="B15" t="str">
            <v>шт</v>
          </cell>
          <cell r="C15">
            <v>5579</v>
          </cell>
          <cell r="D15">
            <v>233</v>
          </cell>
          <cell r="E15">
            <v>7</v>
          </cell>
          <cell r="F15">
            <v>10</v>
          </cell>
          <cell r="G15">
            <v>224</v>
          </cell>
          <cell r="H15">
            <v>0.42</v>
          </cell>
          <cell r="I15">
            <v>6948263</v>
          </cell>
        </row>
        <row r="16">
          <cell r="A16" t="str">
            <v>5754 БЛИНЧ.КРУГЛЫЕ С МЯСОМ 4,5кг зам. ПМ ОСТАНКИНО</v>
          </cell>
          <cell r="B16" t="str">
            <v>кг</v>
          </cell>
          <cell r="C16">
            <v>5754</v>
          </cell>
          <cell r="D16">
            <v>122.68600000000001</v>
          </cell>
          <cell r="E16">
            <v>217</v>
          </cell>
          <cell r="F16">
            <v>18.146000000000001</v>
          </cell>
          <cell r="G16">
            <v>104.54</v>
          </cell>
          <cell r="H16">
            <v>1</v>
          </cell>
          <cell r="I16">
            <v>6948270</v>
          </cell>
        </row>
        <row r="17">
          <cell r="A17" t="str">
            <v>5755 БЛИНЧ.КРУГЛЫЕ С ТВОРОГОМ 4,5кг зам. ПМ ОСТАНКИНО</v>
          </cell>
          <cell r="B17" t="str">
            <v>кг</v>
          </cell>
          <cell r="C17">
            <v>5755</v>
          </cell>
          <cell r="D17">
            <v>272.82600000000002</v>
          </cell>
          <cell r="E17">
            <v>121</v>
          </cell>
          <cell r="F17">
            <v>6.5</v>
          </cell>
          <cell r="G17">
            <v>266.32600000000002</v>
          </cell>
          <cell r="H17">
            <v>1</v>
          </cell>
          <cell r="I17">
            <v>6948287</v>
          </cell>
        </row>
        <row r="18">
          <cell r="A18" t="str">
            <v>5897 БЛИНЧ.КРУГЛЫЕ С ГРУШЕЙ пл.1/420 зам.   ОСТАНКИНО</v>
          </cell>
          <cell r="B18" t="str">
            <v>шт</v>
          </cell>
          <cell r="C18">
            <v>5897</v>
          </cell>
          <cell r="D18">
            <v>161</v>
          </cell>
          <cell r="E18">
            <v>7</v>
          </cell>
          <cell r="F18">
            <v>17</v>
          </cell>
          <cell r="G18">
            <v>146</v>
          </cell>
          <cell r="H18">
            <v>0.42</v>
          </cell>
          <cell r="I18">
            <v>9988421</v>
          </cell>
        </row>
        <row r="19">
          <cell r="A19" t="str">
            <v>6148 БЛИНЧ.КРУГЛЫЕ С ВЕТЧ.И СЫР. ПМ 1/300 зам. ОСТАНКИНО</v>
          </cell>
          <cell r="B19" t="str">
            <v>шт</v>
          </cell>
          <cell r="C19">
            <v>6148</v>
          </cell>
          <cell r="D19">
            <v>86</v>
          </cell>
          <cell r="E19">
            <v>7</v>
          </cell>
          <cell r="F19">
            <v>62</v>
          </cell>
          <cell r="G19">
            <v>26</v>
          </cell>
          <cell r="H19">
            <v>0.3</v>
          </cell>
          <cell r="I19">
            <v>9988438</v>
          </cell>
        </row>
        <row r="20">
          <cell r="A20" t="str">
            <v>6149 БЛИНЧ.КРУГЛЫЕ С ПЕЧЕНЬЮ ПМ 1/300 зам. ОСТАНКИНО</v>
          </cell>
          <cell r="B20" t="str">
            <v>шт</v>
          </cell>
          <cell r="C20">
            <v>6149</v>
          </cell>
          <cell r="D20">
            <v>128</v>
          </cell>
          <cell r="E20">
            <v>3</v>
          </cell>
          <cell r="F20">
            <v>77</v>
          </cell>
          <cell r="G20">
            <v>56</v>
          </cell>
          <cell r="H20">
            <v>0.3</v>
          </cell>
          <cell r="I20">
            <v>9988445</v>
          </cell>
        </row>
        <row r="21">
          <cell r="A21" t="str">
            <v>6168 Блинчики с мясом пл. 1/350 зам. ОСТАНКИНО</v>
          </cell>
          <cell r="B21" t="str">
            <v>шт</v>
          </cell>
          <cell r="C21">
            <v>6168</v>
          </cell>
          <cell r="D21">
            <v>161</v>
          </cell>
          <cell r="E21">
            <v>5</v>
          </cell>
          <cell r="F21">
            <v>55</v>
          </cell>
          <cell r="G21">
            <v>106</v>
          </cell>
          <cell r="H21">
            <v>0.35</v>
          </cell>
          <cell r="I21">
            <v>8444910</v>
          </cell>
        </row>
        <row r="22">
          <cell r="A22" t="str">
            <v>6202 БЛИНЧ.КРУГЛЫЕ С ТВОРОГОМ ПМ 1/300 зам. ОСТАНКИНО</v>
          </cell>
          <cell r="B22" t="str">
            <v>шт</v>
          </cell>
          <cell r="C22">
            <v>6202</v>
          </cell>
          <cell r="D22">
            <v>176</v>
          </cell>
          <cell r="E22">
            <v>5</v>
          </cell>
          <cell r="F22">
            <v>54</v>
          </cell>
          <cell r="G22">
            <v>124</v>
          </cell>
          <cell r="H22">
            <v>0.3</v>
          </cell>
          <cell r="I22">
            <v>8444927</v>
          </cell>
        </row>
        <row r="23">
          <cell r="A23" t="str">
            <v>6209 Блинчики с куриным мясом пл. 1/350 зам. ОСТАНКИНО</v>
          </cell>
          <cell r="B23" t="str">
            <v>шт</v>
          </cell>
          <cell r="C23">
            <v>6209</v>
          </cell>
          <cell r="D23">
            <v>45</v>
          </cell>
          <cell r="E23">
            <v>5</v>
          </cell>
          <cell r="F23">
            <v>39</v>
          </cell>
          <cell r="G23">
            <v>6</v>
          </cell>
          <cell r="H23">
            <v>0.35</v>
          </cell>
          <cell r="I23">
            <v>0</v>
          </cell>
        </row>
        <row r="24">
          <cell r="A24" t="str">
            <v>6819 БЛИНЧ.КРУГЛЫЕ С САД.ЯБЛОК. пл. 1/300 зам. ОСТАНКИНО</v>
          </cell>
          <cell r="B24" t="str">
            <v>шт</v>
          </cell>
          <cell r="C24">
            <v>6819</v>
          </cell>
          <cell r="D24">
            <v>140</v>
          </cell>
          <cell r="E24">
            <v>7</v>
          </cell>
          <cell r="F24">
            <v>13</v>
          </cell>
          <cell r="G24">
            <v>129</v>
          </cell>
          <cell r="H24">
            <v>0.3</v>
          </cell>
          <cell r="I24">
            <v>0</v>
          </cell>
        </row>
        <row r="25">
          <cell r="A25" t="str">
            <v>6948249 Майонезный соус провансаль 824,5гр деликатес.с массовой долей жирн.25% Коровино Останкино</v>
          </cell>
          <cell r="B25" t="str">
            <v>шт</v>
          </cell>
          <cell r="C25">
            <v>8249</v>
          </cell>
          <cell r="D25">
            <v>187</v>
          </cell>
          <cell r="E25">
            <v>19</v>
          </cell>
          <cell r="F25">
            <v>8</v>
          </cell>
          <cell r="G25">
            <v>179</v>
          </cell>
          <cell r="H25">
            <v>0.82450000000000001</v>
          </cell>
          <cell r="I25">
            <v>180</v>
          </cell>
        </row>
        <row r="26">
          <cell r="A26" t="str">
            <v>6948256 Майонез провансаль классич.оливковый Папа может 372гр с массовой долей жирн. 67% Останкино</v>
          </cell>
          <cell r="B26" t="str">
            <v>шт</v>
          </cell>
          <cell r="C26">
            <v>8256</v>
          </cell>
          <cell r="D26">
            <v>379</v>
          </cell>
          <cell r="E26">
            <v>8</v>
          </cell>
          <cell r="F26">
            <v>105</v>
          </cell>
          <cell r="G26">
            <v>274</v>
          </cell>
          <cell r="H26">
            <v>0.372</v>
          </cell>
          <cell r="I26">
            <v>180</v>
          </cell>
        </row>
        <row r="27">
          <cell r="A27" t="str">
            <v>6948263 Майонез провансаль классич.оливковый Папа может 744гр с массовой долей жирн. 67% Останкино</v>
          </cell>
          <cell r="B27" t="str">
            <v>шт</v>
          </cell>
          <cell r="C27">
            <v>8263</v>
          </cell>
          <cell r="D27">
            <v>405</v>
          </cell>
          <cell r="E27">
            <v>20</v>
          </cell>
          <cell r="F27">
            <v>100</v>
          </cell>
          <cell r="G27">
            <v>305</v>
          </cell>
          <cell r="H27">
            <v>0.74399999999999999</v>
          </cell>
          <cell r="I27">
            <v>180</v>
          </cell>
        </row>
        <row r="28">
          <cell r="A28" t="str">
            <v>6948270 Майонез провансаль классич.Папа может 372гр с массовой долей жирн. 67% Останкино</v>
          </cell>
          <cell r="B28" t="str">
            <v>шт</v>
          </cell>
          <cell r="C28">
            <v>8270</v>
          </cell>
          <cell r="D28">
            <v>270</v>
          </cell>
          <cell r="E28">
            <v>64</v>
          </cell>
          <cell r="F28">
            <v>250</v>
          </cell>
          <cell r="G28">
            <v>80</v>
          </cell>
          <cell r="H28">
            <v>0.372</v>
          </cell>
          <cell r="I28">
            <v>180</v>
          </cell>
        </row>
        <row r="29">
          <cell r="A29" t="str">
            <v>6948287 Майонез провансаль классич.Папа может 744гр с массовой долей жирн. 67% Останкино</v>
          </cell>
          <cell r="B29" t="str">
            <v>шт</v>
          </cell>
          <cell r="C29">
            <v>8287</v>
          </cell>
          <cell r="D29">
            <v>74</v>
          </cell>
          <cell r="E29">
            <v>216</v>
          </cell>
          <cell r="F29">
            <v>182</v>
          </cell>
          <cell r="G29">
            <v>108</v>
          </cell>
          <cell r="H29">
            <v>0.74399999999999999</v>
          </cell>
          <cell r="I29">
            <v>180</v>
          </cell>
        </row>
        <row r="30">
          <cell r="A30" t="str">
            <v>9988421 Творожный Сыр 60 % С маринованными огурчиками и укропом  Останкино</v>
          </cell>
          <cell r="B30" t="str">
            <v>шт</v>
          </cell>
          <cell r="C30">
            <v>8421</v>
          </cell>
          <cell r="D30">
            <v>146</v>
          </cell>
          <cell r="E30">
            <v>11.45</v>
          </cell>
          <cell r="F30">
            <v>19</v>
          </cell>
          <cell r="G30">
            <v>127</v>
          </cell>
          <cell r="H30">
            <v>0</v>
          </cell>
          <cell r="I30">
            <v>7100139</v>
          </cell>
        </row>
        <row r="31">
          <cell r="A31" t="str">
            <v>9988445 Плавленый Сыр 45%"С грибами" СТМ"ПапаМожет" 180 гр  Останкино</v>
          </cell>
          <cell r="B31" t="str">
            <v>шт</v>
          </cell>
          <cell r="C31">
            <v>8445</v>
          </cell>
          <cell r="D31">
            <v>100</v>
          </cell>
          <cell r="E31">
            <v>112</v>
          </cell>
          <cell r="F31">
            <v>42</v>
          </cell>
          <cell r="G31">
            <v>169</v>
          </cell>
          <cell r="H31">
            <v>0.18</v>
          </cell>
          <cell r="I31">
            <v>270</v>
          </cell>
        </row>
        <row r="32">
          <cell r="A32" t="str">
            <v>Cыр Перлини со вкусом Васаби 40% 100гр (8шт)  Останкино</v>
          </cell>
          <cell r="B32" t="str">
            <v>шт</v>
          </cell>
          <cell r="C32">
            <v>8444927</v>
          </cell>
          <cell r="D32">
            <v>131</v>
          </cell>
          <cell r="E32">
            <v>0</v>
          </cell>
          <cell r="F32">
            <v>27</v>
          </cell>
          <cell r="G32">
            <v>99</v>
          </cell>
          <cell r="H32">
            <v>0.1</v>
          </cell>
          <cell r="I32">
            <v>8445160</v>
          </cell>
        </row>
        <row r="33">
          <cell r="A33" t="str">
            <v>А_Сыр Боккончини копченый 40% 100 гр.  ОСТАНКИНО</v>
          </cell>
          <cell r="B33" t="str">
            <v>шт</v>
          </cell>
          <cell r="C33">
            <v>50</v>
          </cell>
          <cell r="D33">
            <v>20</v>
          </cell>
          <cell r="E33">
            <v>40</v>
          </cell>
          <cell r="F33">
            <v>10</v>
          </cell>
          <cell r="G33">
            <v>10</v>
          </cell>
          <cell r="H33">
            <v>0.1</v>
          </cell>
          <cell r="I33">
            <v>8445177</v>
          </cell>
        </row>
        <row r="34">
          <cell r="A34" t="str">
            <v>Масло "Папа может" 82,5% 180гр  Останкино</v>
          </cell>
          <cell r="B34" t="str">
            <v>шт</v>
          </cell>
          <cell r="C34">
            <v>1018967</v>
          </cell>
          <cell r="D34">
            <v>-2</v>
          </cell>
          <cell r="E34">
            <v>530</v>
          </cell>
          <cell r="F34">
            <v>404</v>
          </cell>
          <cell r="G34">
            <v>97</v>
          </cell>
          <cell r="H34">
            <v>0.18</v>
          </cell>
          <cell r="I34">
            <v>120</v>
          </cell>
        </row>
        <row r="35">
          <cell r="A35" t="str">
            <v>Масло сливочное 72,5 % 180 гр.(10 шт) СЛАВЯНА  Останкино</v>
          </cell>
          <cell r="B35" t="str">
            <v>шт</v>
          </cell>
          <cell r="C35">
            <v>1018950</v>
          </cell>
          <cell r="D35">
            <v>1500</v>
          </cell>
          <cell r="E35">
            <v>230</v>
          </cell>
          <cell r="F35">
            <v>210</v>
          </cell>
          <cell r="G35">
            <v>10</v>
          </cell>
          <cell r="H35">
            <v>0.18</v>
          </cell>
          <cell r="I35">
            <v>120</v>
          </cell>
        </row>
        <row r="36">
          <cell r="A36" t="str">
            <v>Плавленый продукт с Сыром колбасный копченый 40% СТМ "Коровино" 400гр  Останкино</v>
          </cell>
          <cell r="B36" t="str">
            <v>шт</v>
          </cell>
          <cell r="C36">
            <v>9988476</v>
          </cell>
          <cell r="D36">
            <v>92</v>
          </cell>
          <cell r="E36">
            <v>16</v>
          </cell>
          <cell r="F36">
            <v>1</v>
          </cell>
          <cell r="G36">
            <v>91</v>
          </cell>
          <cell r="H36">
            <v>0.4</v>
          </cell>
          <cell r="I36">
            <v>270</v>
          </cell>
        </row>
        <row r="37">
          <cell r="A37" t="str">
            <v>Плавленый сыр "Шоколадный" 30% 180гр Папа Может Останкино</v>
          </cell>
          <cell r="B37" t="str">
            <v>шт</v>
          </cell>
          <cell r="C37">
            <v>9988674</v>
          </cell>
          <cell r="D37">
            <v>226</v>
          </cell>
          <cell r="E37">
            <v>148</v>
          </cell>
          <cell r="F37">
            <v>5</v>
          </cell>
          <cell r="G37">
            <v>221</v>
          </cell>
          <cell r="H37">
            <v>0.18</v>
          </cell>
          <cell r="I37">
            <v>5038855</v>
          </cell>
        </row>
        <row r="38">
          <cell r="A38" t="str">
            <v>Плавленый Сыр колбасный копченый 40% СТМ"ПапаМожет"400гр  Останкино</v>
          </cell>
          <cell r="B38" t="str">
            <v>шт</v>
          </cell>
          <cell r="C38">
            <v>9988452</v>
          </cell>
          <cell r="D38">
            <v>20</v>
          </cell>
          <cell r="E38">
            <v>269</v>
          </cell>
          <cell r="F38">
            <v>4</v>
          </cell>
          <cell r="G38">
            <v>16</v>
          </cell>
          <cell r="H38">
            <v>0.4</v>
          </cell>
          <cell r="I38">
            <v>270</v>
          </cell>
        </row>
        <row r="39">
          <cell r="A39" t="str">
            <v>Продукт белково-жировой Сметанковый 50% ВЕС Коровино Останкино</v>
          </cell>
          <cell r="B39" t="str">
            <v>кг</v>
          </cell>
          <cell r="C39">
            <v>7100726</v>
          </cell>
          <cell r="D39">
            <v>54.895000000000003</v>
          </cell>
          <cell r="E39">
            <v>159</v>
          </cell>
          <cell r="F39">
            <v>0</v>
          </cell>
          <cell r="G39">
            <v>54.895000000000003</v>
          </cell>
          <cell r="H39">
            <v>1</v>
          </cell>
          <cell r="I39">
            <v>5038398</v>
          </cell>
        </row>
        <row r="40">
          <cell r="A40" t="str">
            <v>Продукт По-Росийски Классический с ЗМЖ 50% 200г Коровино Останкино</v>
          </cell>
          <cell r="B40" t="str">
            <v>шт</v>
          </cell>
          <cell r="C40">
            <v>7100108</v>
          </cell>
          <cell r="D40">
            <v>27</v>
          </cell>
          <cell r="E40">
            <v>46</v>
          </cell>
          <cell r="F40">
            <v>0</v>
          </cell>
          <cell r="G40">
            <v>27</v>
          </cell>
          <cell r="H40">
            <v>0.2</v>
          </cell>
          <cell r="I40">
            <v>9988681</v>
          </cell>
        </row>
        <row r="41">
          <cell r="A41" t="str">
            <v>Продукт По-Росийски Классический с ЗМЖ 50% ВЕС Коровино Останкино</v>
          </cell>
          <cell r="B41" t="str">
            <v>кг</v>
          </cell>
          <cell r="C41">
            <v>7100139</v>
          </cell>
          <cell r="D41">
            <v>67.125</v>
          </cell>
          <cell r="E41">
            <v>62.911999999999999</v>
          </cell>
          <cell r="F41">
            <v>0</v>
          </cell>
          <cell r="G41">
            <v>67.125</v>
          </cell>
          <cell r="H41">
            <v>1</v>
          </cell>
          <cell r="I41">
            <v>8785242</v>
          </cell>
        </row>
        <row r="42">
          <cell r="A42" t="str">
            <v>Сыр "Пармезан" 40% кусок 180 гр  ОСТАНКИНО</v>
          </cell>
          <cell r="B42" t="str">
            <v>шт</v>
          </cell>
          <cell r="C42">
            <v>5034819</v>
          </cell>
          <cell r="D42">
            <v>117</v>
          </cell>
          <cell r="E42">
            <v>38.543999999999997</v>
          </cell>
          <cell r="F42">
            <v>0</v>
          </cell>
          <cell r="G42">
            <v>117</v>
          </cell>
          <cell r="H42">
            <v>0.18</v>
          </cell>
          <cell r="I42">
            <v>150</v>
          </cell>
        </row>
        <row r="43">
          <cell r="A43" t="str">
            <v>Сыр Боккончини копченый 40% 100 гр.  ОСТАНКИНО</v>
          </cell>
          <cell r="B43" t="str">
            <v>шт</v>
          </cell>
          <cell r="C43">
            <v>8444163</v>
          </cell>
          <cell r="D43">
            <v>447.774</v>
          </cell>
          <cell r="E43">
            <v>120</v>
          </cell>
          <cell r="F43">
            <v>61</v>
          </cell>
          <cell r="G43">
            <v>55</v>
          </cell>
          <cell r="H43">
            <v>0.1</v>
          </cell>
          <cell r="I43">
            <v>90</v>
          </cell>
        </row>
        <row r="44">
          <cell r="A44" t="str">
            <v>Сыр Косичка сырная 45% 100г/8шт Папа Может Останкино</v>
          </cell>
          <cell r="B44" t="str">
            <v>шт</v>
          </cell>
          <cell r="C44">
            <v>8445160</v>
          </cell>
          <cell r="D44">
            <v>14</v>
          </cell>
          <cell r="E44">
            <v>42.978000000000002</v>
          </cell>
          <cell r="F44">
            <v>10</v>
          </cell>
          <cell r="G44">
            <v>-3</v>
          </cell>
          <cell r="H44">
            <v>0.1</v>
          </cell>
          <cell r="I44">
            <v>8785259</v>
          </cell>
        </row>
        <row r="45">
          <cell r="A45" t="str">
            <v>Сыр Косичка сырная копченая 43% 100г/8шт Папа Может Останкино</v>
          </cell>
          <cell r="B45" t="str">
            <v>шт</v>
          </cell>
          <cell r="C45">
            <v>8445177</v>
          </cell>
          <cell r="D45">
            <v>111</v>
          </cell>
          <cell r="E45">
            <v>2</v>
          </cell>
          <cell r="F45">
            <v>103</v>
          </cell>
          <cell r="G45">
            <v>1</v>
          </cell>
          <cell r="H45">
            <v>0.1</v>
          </cell>
          <cell r="I45">
            <v>8444187</v>
          </cell>
        </row>
        <row r="46">
          <cell r="A46" t="str">
            <v>Сыр ПАПА МОЖЕТ "Гауда Голд" 45 % 180 гр (10шт) Останкино</v>
          </cell>
          <cell r="B46" t="str">
            <v>шт</v>
          </cell>
          <cell r="C46">
            <v>5038411</v>
          </cell>
          <cell r="D46">
            <v>92</v>
          </cell>
          <cell r="E46">
            <v>120</v>
          </cell>
          <cell r="F46">
            <v>116</v>
          </cell>
          <cell r="G46">
            <v>93</v>
          </cell>
          <cell r="H46">
            <v>0.18</v>
          </cell>
          <cell r="I46">
            <v>150</v>
          </cell>
        </row>
        <row r="47">
          <cell r="A47" t="str">
            <v>Сыр ПАПА МОЖЕТ "Голландский традиционный" 45% 180 гр (10шт)  Останкино</v>
          </cell>
          <cell r="B47" t="str">
            <v>шт</v>
          </cell>
          <cell r="C47">
            <v>5038459</v>
          </cell>
          <cell r="D47">
            <v>82</v>
          </cell>
          <cell r="E47">
            <v>35</v>
          </cell>
          <cell r="F47">
            <v>99</v>
          </cell>
          <cell r="G47">
            <v>-19</v>
          </cell>
          <cell r="H47">
            <v>0.18</v>
          </cell>
          <cell r="I47">
            <v>150</v>
          </cell>
        </row>
        <row r="48">
          <cell r="A48" t="str">
            <v>Сыр ПАПА МОЖЕТ "Министерский" 180 г фасованный массовая  Останкино</v>
          </cell>
          <cell r="B48" t="str">
            <v>шт</v>
          </cell>
          <cell r="C48">
            <v>5038831</v>
          </cell>
          <cell r="D48">
            <v>126</v>
          </cell>
          <cell r="E48">
            <v>64</v>
          </cell>
          <cell r="F48">
            <v>0</v>
          </cell>
          <cell r="G48">
            <v>126</v>
          </cell>
          <cell r="H48">
            <v>0.18</v>
          </cell>
          <cell r="I48">
            <v>150</v>
          </cell>
        </row>
        <row r="49">
          <cell r="A49" t="str">
            <v>Сыр ПАПА МОЖЕТ "Папин завтрак"  45% 180 г  Останкино</v>
          </cell>
          <cell r="B49" t="str">
            <v>шт</v>
          </cell>
          <cell r="C49">
            <v>5038855</v>
          </cell>
          <cell r="D49">
            <v>115</v>
          </cell>
          <cell r="E49">
            <v>120</v>
          </cell>
          <cell r="F49">
            <v>135</v>
          </cell>
          <cell r="G49">
            <v>97</v>
          </cell>
          <cell r="H49">
            <v>0.18</v>
          </cell>
          <cell r="I49">
            <v>120</v>
          </cell>
        </row>
        <row r="50">
          <cell r="A50" t="str">
            <v>Сыр ПАПА МОЖЕТ "Российский традиционный"45 % 180 г Останкино</v>
          </cell>
          <cell r="B50" t="str">
            <v>шт</v>
          </cell>
          <cell r="C50">
            <v>5038435</v>
          </cell>
          <cell r="D50">
            <v>240</v>
          </cell>
          <cell r="E50">
            <v>8</v>
          </cell>
          <cell r="F50">
            <v>122</v>
          </cell>
          <cell r="G50">
            <v>117</v>
          </cell>
          <cell r="H50">
            <v>0.18</v>
          </cell>
          <cell r="I50">
            <v>150</v>
          </cell>
        </row>
        <row r="51">
          <cell r="A51" t="str">
            <v>Сыр ПАПА МОЖЕТ "Тильзитер" фасованный массовая доля жира в сухом веществе 45%, 180г  Останкино</v>
          </cell>
          <cell r="B51" t="str">
            <v>шт</v>
          </cell>
          <cell r="C51">
            <v>5038398</v>
          </cell>
          <cell r="D51">
            <v>317</v>
          </cell>
          <cell r="E51">
            <v>80</v>
          </cell>
          <cell r="F51">
            <v>184</v>
          </cell>
          <cell r="G51">
            <v>203</v>
          </cell>
          <cell r="H51">
            <v>0.18</v>
          </cell>
          <cell r="I51">
            <v>120</v>
          </cell>
        </row>
        <row r="52">
          <cell r="A52" t="str">
            <v>Сыр Папа Может Папин Завтрак 50% 200г  Останкино</v>
          </cell>
          <cell r="B52" t="str">
            <v>шт</v>
          </cell>
          <cell r="C52">
            <v>28.706</v>
          </cell>
          <cell r="D52">
            <v>217.904</v>
          </cell>
          <cell r="E52">
            <v>9.3580000000000005</v>
          </cell>
          <cell r="F52">
            <v>2</v>
          </cell>
          <cell r="G52">
            <v>-2</v>
          </cell>
          <cell r="H52">
            <v>0.2</v>
          </cell>
          <cell r="I52" t="str">
            <v>дубль798</v>
          </cell>
        </row>
        <row r="53">
          <cell r="A53" t="str">
            <v>Сыр Папа Может Российский  50% 200гр    Останкино</v>
          </cell>
          <cell r="B53" t="str">
            <v>шт</v>
          </cell>
          <cell r="C53">
            <v>35</v>
          </cell>
          <cell r="E53">
            <v>0</v>
          </cell>
          <cell r="F53">
            <v>2</v>
          </cell>
          <cell r="G53">
            <v>-2</v>
          </cell>
          <cell r="H53">
            <v>0.2</v>
          </cell>
          <cell r="I53" t="str">
            <v>783К801</v>
          </cell>
        </row>
        <row r="54">
          <cell r="A54" t="str">
            <v>Сыр плавленный Сливочный ж.45% 180г ТМ Папа может (16шт)  Останкино</v>
          </cell>
          <cell r="B54" t="str">
            <v>шт</v>
          </cell>
          <cell r="C54">
            <v>9988681</v>
          </cell>
          <cell r="D54">
            <v>280</v>
          </cell>
          <cell r="E54">
            <v>2</v>
          </cell>
          <cell r="F54">
            <v>93</v>
          </cell>
          <cell r="G54">
            <v>187</v>
          </cell>
          <cell r="H54">
            <v>0.18</v>
          </cell>
          <cell r="I54">
            <v>270</v>
          </cell>
        </row>
        <row r="55">
          <cell r="A55" t="str">
            <v>Сыр полутвердый "Гауда" с массовой долей жира в пересчете на сухое вещество 45%,   Останкино</v>
          </cell>
          <cell r="B55" t="str">
            <v>кг</v>
          </cell>
          <cell r="C55" t="str">
            <v>дубль</v>
          </cell>
          <cell r="D55">
            <v>208.49799999999999</v>
          </cell>
          <cell r="E55">
            <v>44.866</v>
          </cell>
          <cell r="F55">
            <v>23.207999999999998</v>
          </cell>
          <cell r="G55">
            <v>185.29</v>
          </cell>
          <cell r="H55">
            <v>1</v>
          </cell>
          <cell r="I55" t="str">
            <v>783К825</v>
          </cell>
        </row>
        <row r="56">
          <cell r="A56" t="str">
            <v>Сыр полутвердый "Голландский" с массовой долей жира в пересчете на сухое  Останкино</v>
          </cell>
          <cell r="B56" t="str">
            <v>кг</v>
          </cell>
          <cell r="D56">
            <v>169.86199999999999</v>
          </cell>
          <cell r="F56">
            <v>9.8239999999999998</v>
          </cell>
          <cell r="G56">
            <v>160.03800000000001</v>
          </cell>
          <cell r="H56">
            <v>1</v>
          </cell>
        </row>
        <row r="57">
          <cell r="A57" t="str">
            <v>Сыр полутвердый "Сметанковый", с масс долей жира в пересчете на сухое вещес50%, брус  Останкино</v>
          </cell>
          <cell r="B57" t="str">
            <v>кг</v>
          </cell>
          <cell r="C57">
            <v>8785198</v>
          </cell>
          <cell r="D57">
            <v>3.274</v>
          </cell>
          <cell r="E57">
            <v>255.69800000000001</v>
          </cell>
          <cell r="F57">
            <v>26.218</v>
          </cell>
          <cell r="G57">
            <v>232.75399999999999</v>
          </cell>
          <cell r="H57">
            <v>1</v>
          </cell>
          <cell r="I57">
            <v>120</v>
          </cell>
        </row>
        <row r="58">
          <cell r="A58" t="str">
            <v>Сыр полутвердый "Тильзитер" с массовой долей жира в пересчете на сухое вещество 45%. 1/5  Останкино</v>
          </cell>
          <cell r="B58" t="str">
            <v>кг</v>
          </cell>
          <cell r="D58">
            <v>170.55799999999999</v>
          </cell>
          <cell r="F58">
            <v>12.071999999999999</v>
          </cell>
          <cell r="G58">
            <v>158.48599999999999</v>
          </cell>
          <cell r="H58">
            <v>1</v>
          </cell>
        </row>
        <row r="59">
          <cell r="A59" t="str">
            <v>Сыр рассольный жирный Чечил 45% 100 гр  ОСТАНКИНО</v>
          </cell>
          <cell r="B59" t="str">
            <v>шт</v>
          </cell>
          <cell r="C59">
            <v>8444187</v>
          </cell>
          <cell r="D59">
            <v>184</v>
          </cell>
          <cell r="E59">
            <v>2</v>
          </cell>
          <cell r="F59">
            <v>170</v>
          </cell>
          <cell r="G59">
            <v>-8</v>
          </cell>
          <cell r="H59">
            <v>0.1</v>
          </cell>
          <cell r="I59">
            <v>60</v>
          </cell>
        </row>
        <row r="60">
          <cell r="A60" t="str">
            <v>Сыр рассольный жирный Чечил копченый 43% 100 гр  Останкино</v>
          </cell>
          <cell r="B60" t="str">
            <v>шт</v>
          </cell>
          <cell r="C60">
            <v>8444194</v>
          </cell>
          <cell r="D60">
            <v>-18</v>
          </cell>
          <cell r="E60">
            <v>443</v>
          </cell>
          <cell r="F60">
            <v>166</v>
          </cell>
          <cell r="G60">
            <v>252</v>
          </cell>
          <cell r="H60">
            <v>0.1</v>
          </cell>
          <cell r="I60">
            <v>90</v>
          </cell>
        </row>
        <row r="61">
          <cell r="A61" t="str">
            <v>Сыр Скаморца свежий 100 гр.  ОСТАНКИНО</v>
          </cell>
          <cell r="B61" t="str">
            <v>шт</v>
          </cell>
          <cell r="C61">
            <v>8444170</v>
          </cell>
          <cell r="D61">
            <v>65</v>
          </cell>
          <cell r="E61">
            <v>1</v>
          </cell>
          <cell r="F61">
            <v>37</v>
          </cell>
          <cell r="G61">
            <v>24</v>
          </cell>
          <cell r="H61">
            <v>0.1</v>
          </cell>
        </row>
        <row r="62">
          <cell r="A62" t="str">
            <v>Сыр Творожный с зеленью 60% Папа может 140 гр.  Останкино</v>
          </cell>
          <cell r="B62" t="str">
            <v>шт</v>
          </cell>
          <cell r="C62">
            <v>9988391</v>
          </cell>
          <cell r="D62">
            <v>114</v>
          </cell>
          <cell r="F62">
            <v>28</v>
          </cell>
          <cell r="G62">
            <v>86</v>
          </cell>
          <cell r="H62">
            <v>0.14000000000000001</v>
          </cell>
          <cell r="I62">
            <v>180</v>
          </cell>
        </row>
        <row r="63">
          <cell r="A63" t="str">
            <v>Сыр творожный Сливочный 140 гр.  Останкино</v>
          </cell>
          <cell r="B63" t="str">
            <v>шт</v>
          </cell>
          <cell r="C63">
            <v>9988377</v>
          </cell>
          <cell r="D63">
            <v>160</v>
          </cell>
          <cell r="E63">
            <v>64</v>
          </cell>
          <cell r="F63">
            <v>53</v>
          </cell>
          <cell r="G63">
            <v>167</v>
          </cell>
          <cell r="H63">
            <v>0.14000000000000001</v>
          </cell>
          <cell r="I63">
            <v>180</v>
          </cell>
        </row>
        <row r="64">
          <cell r="A64" t="str">
            <v>Сыч/Прод Коровино Российский 50% 200г НОВАЯ СЗМЖ  ОСТАНКИНО</v>
          </cell>
          <cell r="B64" t="str">
            <v>шт</v>
          </cell>
          <cell r="C64" t="str">
            <v>783К798</v>
          </cell>
          <cell r="D64">
            <v>153</v>
          </cell>
          <cell r="E64">
            <v>40</v>
          </cell>
          <cell r="F64">
            <v>39</v>
          </cell>
          <cell r="G64">
            <v>154</v>
          </cell>
          <cell r="H64">
            <v>0.2</v>
          </cell>
        </row>
        <row r="65">
          <cell r="A65" t="str">
            <v>Сыч/Прод Коровино Российский Оригин 50% ВЕС НОВАЯ (3,5 кг)  ОСТАНКИНО</v>
          </cell>
          <cell r="B65" t="str">
            <v>кг</v>
          </cell>
          <cell r="C65" t="str">
            <v>дубль798</v>
          </cell>
          <cell r="D65">
            <v>624.22500000000002</v>
          </cell>
          <cell r="E65">
            <v>3</v>
          </cell>
          <cell r="F65">
            <v>171.87</v>
          </cell>
          <cell r="G65">
            <v>452.35500000000002</v>
          </cell>
          <cell r="H65">
            <v>1</v>
          </cell>
        </row>
        <row r="66">
          <cell r="A66" t="str">
            <v>Сыч/Прод Коровино Тильзитер 50% 200г НОВАЯ СЗМЖ  ОСТАНКИНО</v>
          </cell>
          <cell r="B66" t="str">
            <v>шт</v>
          </cell>
          <cell r="C66" t="str">
            <v>783К801</v>
          </cell>
          <cell r="D66">
            <v>33</v>
          </cell>
          <cell r="F66">
            <v>27</v>
          </cell>
          <cell r="G66">
            <v>6</v>
          </cell>
          <cell r="H66">
            <v>0.2</v>
          </cell>
        </row>
        <row r="67">
          <cell r="A67" t="str">
            <v>Сыч/Прод Коровино Тильзитер Оригин 50% ВЕС НОВАЯ (5 кг брус) СЗМЖ  ОСТАНКИНО</v>
          </cell>
          <cell r="B67" t="str">
            <v>кг</v>
          </cell>
          <cell r="D67">
            <v>48.642000000000003</v>
          </cell>
          <cell r="F67">
            <v>33.576000000000001</v>
          </cell>
          <cell r="G67">
            <v>15.066000000000001</v>
          </cell>
          <cell r="H67">
            <v>1</v>
          </cell>
        </row>
        <row r="68">
          <cell r="A68" t="str">
            <v>7216 СОЧНЫЕ СО СЛ.МАСЛ.ПМ пельм пл.0.7кг зам. ОСТАНКИНО</v>
          </cell>
          <cell r="F68">
            <v>145</v>
          </cell>
          <cell r="H68">
            <v>0.7</v>
          </cell>
          <cell r="I68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83"/>
  <sheetViews>
    <sheetView tabSelected="1" zoomScale="85" workbookViewId="0">
      <pane xSplit="2" ySplit="5" topLeftCell="C29" activePane="bottomRight" state="frozen"/>
      <selection pane="topRight"/>
      <selection pane="bottomLeft"/>
      <selection pane="bottomRight" activeCell="S44" sqref="S44"/>
    </sheetView>
  </sheetViews>
  <sheetFormatPr defaultRowHeight="14.5" x14ac:dyDescent="0.35"/>
  <cols>
    <col min="1" max="1" width="79.453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53125" customWidth="1"/>
    <col min="15" max="15" width="7" customWidth="1"/>
    <col min="16" max="16" width="7" style="10" customWidth="1"/>
    <col min="17" max="19" width="7" customWidth="1"/>
    <col min="20" max="20" width="21" customWidth="1"/>
    <col min="21" max="22" width="5" customWidth="1"/>
    <col min="23" max="27" width="6" customWidth="1"/>
    <col min="28" max="28" width="31.453125" customWidth="1"/>
    <col min="29" max="29" width="7" customWidth="1"/>
    <col min="30" max="48" width="3" customWidth="1"/>
  </cols>
  <sheetData>
    <row r="1" spans="1:48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22</v>
      </c>
      <c r="AC3" s="2" t="s">
        <v>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35">
      <c r="A5" s="1"/>
      <c r="B5" s="1"/>
      <c r="C5" s="1"/>
      <c r="D5" s="1"/>
      <c r="E5" s="4">
        <f>SUM(E6:E330)</f>
        <v>4089.415</v>
      </c>
      <c r="F5" s="4">
        <f>SUM(F6:F330)</f>
        <v>14507.609</v>
      </c>
      <c r="G5" s="7"/>
      <c r="H5" s="1"/>
      <c r="I5" s="1"/>
      <c r="J5" s="1"/>
      <c r="K5" s="4">
        <f t="shared" ref="K5:S5" si="0">SUM(K6:K330)</f>
        <v>4568.5</v>
      </c>
      <c r="L5" s="4">
        <f t="shared" si="0"/>
        <v>-479.08499999999992</v>
      </c>
      <c r="M5" s="4">
        <f t="shared" si="0"/>
        <v>0</v>
      </c>
      <c r="N5" s="4">
        <f t="shared" si="0"/>
        <v>0</v>
      </c>
      <c r="O5" s="4">
        <f t="shared" si="0"/>
        <v>1280.3899999999999</v>
      </c>
      <c r="P5" s="4">
        <f t="shared" si="0"/>
        <v>1070</v>
      </c>
      <c r="Q5" s="4">
        <f t="shared" si="0"/>
        <v>817.88300000000004</v>
      </c>
      <c r="R5" s="4">
        <f t="shared" si="0"/>
        <v>3617.2439999999997</v>
      </c>
      <c r="S5" s="4">
        <f t="shared" si="0"/>
        <v>2500</v>
      </c>
      <c r="T5" s="1"/>
      <c r="U5" s="1"/>
      <c r="V5" s="1"/>
      <c r="W5" s="4">
        <f>SUM(W6:W330)</f>
        <v>423.77440000000007</v>
      </c>
      <c r="X5" s="4">
        <f>SUM(X6:X330)</f>
        <v>732.92660000000001</v>
      </c>
      <c r="Y5" s="4">
        <f>SUM(Y6:Y330)</f>
        <v>822.29420000000027</v>
      </c>
      <c r="Z5" s="4">
        <f>SUM(Z6:Z330)</f>
        <v>790.17920000000004</v>
      </c>
      <c r="AA5" s="4">
        <f>SUM(AA6:AA330)</f>
        <v>544.43459999999993</v>
      </c>
      <c r="AB5" s="1"/>
      <c r="AC5" s="4">
        <f>SUM(AC6:AC330)</f>
        <v>1082.5119999999997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35">
      <c r="A6" s="1" t="s">
        <v>32</v>
      </c>
      <c r="B6" s="1" t="s">
        <v>33</v>
      </c>
      <c r="C6" s="1">
        <v>210.54400000000001</v>
      </c>
      <c r="D6" s="1"/>
      <c r="E6" s="1">
        <f>VLOOKUP(A6,[1]TDSheet!$A:$G,7,0)</f>
        <v>53.094000000000001</v>
      </c>
      <c r="F6" s="1">
        <v>125.114</v>
      </c>
      <c r="G6" s="7">
        <v>1</v>
      </c>
      <c r="H6" s="1"/>
      <c r="I6" s="1"/>
      <c r="J6" s="1"/>
      <c r="K6" s="1">
        <f>VLOOKUP(A6,[2]TDSheet!$A:$E,5,0)</f>
        <v>49.3</v>
      </c>
      <c r="L6" s="1">
        <f t="shared" ref="L6:L50" si="1">E6-K6</f>
        <v>3.794000000000004</v>
      </c>
      <c r="M6" s="1"/>
      <c r="N6" s="1"/>
      <c r="O6" s="1">
        <v>37.256</v>
      </c>
      <c r="P6" s="1"/>
      <c r="Q6" s="1">
        <f t="shared" ref="Q6:Q53" si="2">E6/5</f>
        <v>10.6188</v>
      </c>
      <c r="R6" s="9">
        <f>20*Q6-P6-O6-F6</f>
        <v>50.006</v>
      </c>
      <c r="S6" s="9"/>
      <c r="T6" s="1"/>
      <c r="U6" s="1">
        <f t="shared" ref="U6:U53" si="3">(F6+O6+P6+R6)/Q6</f>
        <v>20</v>
      </c>
      <c r="V6" s="1">
        <f t="shared" ref="V6:V53" si="4">(F6+O6+P6)/Q6</f>
        <v>15.290804987380872</v>
      </c>
      <c r="W6" s="1">
        <v>12.39</v>
      </c>
      <c r="X6" s="1">
        <v>10.9512</v>
      </c>
      <c r="Y6" s="1">
        <v>10.07</v>
      </c>
      <c r="Z6" s="1">
        <v>17.243600000000001</v>
      </c>
      <c r="AA6" s="1">
        <v>11.8668</v>
      </c>
      <c r="AB6" s="1"/>
      <c r="AC6" s="1">
        <f t="shared" ref="AC6:AC43" si="5">R6*G6</f>
        <v>50.006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35">
      <c r="A7" s="1" t="s">
        <v>34</v>
      </c>
      <c r="B7" s="1" t="s">
        <v>33</v>
      </c>
      <c r="C7" s="1">
        <v>57.463999999999999</v>
      </c>
      <c r="D7" s="1"/>
      <c r="E7" s="1">
        <f>VLOOKUP(A7,[1]TDSheet!$A:$G,7,0)</f>
        <v>19.260000000000002</v>
      </c>
      <c r="F7" s="1">
        <v>25.504000000000001</v>
      </c>
      <c r="G7" s="7">
        <v>1</v>
      </c>
      <c r="H7" s="1"/>
      <c r="I7" s="1"/>
      <c r="J7" s="1"/>
      <c r="K7" s="1">
        <f>VLOOKUP(A7,[2]TDSheet!$A:$E,5,0)</f>
        <v>30.2</v>
      </c>
      <c r="L7" s="1">
        <f t="shared" si="1"/>
        <v>-10.939999999999998</v>
      </c>
      <c r="M7" s="1"/>
      <c r="N7" s="1"/>
      <c r="O7" s="1">
        <v>350</v>
      </c>
      <c r="P7" s="1"/>
      <c r="Q7" s="1">
        <f t="shared" si="2"/>
        <v>3.8520000000000003</v>
      </c>
      <c r="R7" s="9"/>
      <c r="S7" s="9"/>
      <c r="T7" s="1"/>
      <c r="U7" s="1">
        <f t="shared" si="3"/>
        <v>97.482866043613697</v>
      </c>
      <c r="V7" s="1">
        <f t="shared" si="4"/>
        <v>97.482866043613697</v>
      </c>
      <c r="W7" s="1">
        <v>16.388399999999997</v>
      </c>
      <c r="X7" s="1">
        <v>3.7936000000000001</v>
      </c>
      <c r="Y7" s="1">
        <v>0.63880000000000003</v>
      </c>
      <c r="Z7" s="1">
        <v>0</v>
      </c>
      <c r="AA7" s="1">
        <v>0</v>
      </c>
      <c r="AB7" s="1"/>
      <c r="AC7" s="1">
        <f t="shared" si="5"/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35">
      <c r="A8" s="1" t="s">
        <v>35</v>
      </c>
      <c r="B8" s="1" t="s">
        <v>36</v>
      </c>
      <c r="C8" s="1">
        <v>154</v>
      </c>
      <c r="D8" s="1">
        <v>73</v>
      </c>
      <c r="E8" s="1">
        <f>VLOOKUP(A8,[1]TDSheet!$A:$G,7,0)</f>
        <v>24</v>
      </c>
      <c r="F8" s="1">
        <v>196</v>
      </c>
      <c r="G8" s="7">
        <v>0.82450000000000001</v>
      </c>
      <c r="H8" s="1">
        <v>180</v>
      </c>
      <c r="I8" s="1"/>
      <c r="J8" s="1"/>
      <c r="K8" s="1">
        <f>VLOOKUP(A8,[2]TDSheet!$A:$E,5,0)</f>
        <v>22</v>
      </c>
      <c r="L8" s="1">
        <f t="shared" si="1"/>
        <v>2</v>
      </c>
      <c r="M8" s="1"/>
      <c r="N8" s="1"/>
      <c r="O8" s="1"/>
      <c r="P8" s="1"/>
      <c r="Q8" s="1">
        <f t="shared" si="2"/>
        <v>4.8</v>
      </c>
      <c r="R8" s="9"/>
      <c r="S8" s="9"/>
      <c r="T8" s="1"/>
      <c r="U8" s="1">
        <f t="shared" si="3"/>
        <v>40.833333333333336</v>
      </c>
      <c r="V8" s="1">
        <f t="shared" si="4"/>
        <v>40.833333333333336</v>
      </c>
      <c r="W8" s="1">
        <v>3</v>
      </c>
      <c r="X8" s="1">
        <v>4.4000000000000004</v>
      </c>
      <c r="Y8" s="1">
        <v>10</v>
      </c>
      <c r="Z8" s="1">
        <v>2.8</v>
      </c>
      <c r="AA8" s="1">
        <v>1</v>
      </c>
      <c r="AB8" s="15" t="s">
        <v>83</v>
      </c>
      <c r="AC8" s="1">
        <f t="shared" si="5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35">
      <c r="A9" s="1" t="s">
        <v>37</v>
      </c>
      <c r="B9" s="1" t="s">
        <v>36</v>
      </c>
      <c r="C9" s="1">
        <v>481</v>
      </c>
      <c r="D9" s="1">
        <v>600</v>
      </c>
      <c r="E9" s="1">
        <f>VLOOKUP(A9,[1]TDSheet!$A:$G,7,0)</f>
        <v>245</v>
      </c>
      <c r="F9" s="1">
        <v>795</v>
      </c>
      <c r="G9" s="7">
        <v>0.372</v>
      </c>
      <c r="H9" s="1">
        <v>180</v>
      </c>
      <c r="I9" s="1"/>
      <c r="J9" s="1"/>
      <c r="K9" s="1">
        <f>VLOOKUP(A9,[2]TDSheet!$A:$E,5,0)</f>
        <v>159</v>
      </c>
      <c r="L9" s="1">
        <f t="shared" si="1"/>
        <v>86</v>
      </c>
      <c r="M9" s="1"/>
      <c r="N9" s="1"/>
      <c r="O9" s="1"/>
      <c r="P9" s="1"/>
      <c r="Q9" s="1">
        <f t="shared" si="2"/>
        <v>49</v>
      </c>
      <c r="R9" s="9">
        <f t="shared" ref="R9:R42" si="6">20*Q9-P9-O9-F9</f>
        <v>185</v>
      </c>
      <c r="S9" s="9"/>
      <c r="T9" s="1"/>
      <c r="U9" s="1">
        <f t="shared" si="3"/>
        <v>20</v>
      </c>
      <c r="V9" s="1">
        <f t="shared" si="4"/>
        <v>16.224489795918366</v>
      </c>
      <c r="W9" s="1">
        <v>8.6</v>
      </c>
      <c r="X9" s="1">
        <v>37.799999999999997</v>
      </c>
      <c r="Y9" s="1">
        <v>58.2</v>
      </c>
      <c r="Z9" s="1">
        <v>47.6</v>
      </c>
      <c r="AA9" s="1">
        <v>29.8</v>
      </c>
      <c r="AB9" s="1"/>
      <c r="AC9" s="1">
        <f t="shared" si="5"/>
        <v>68.819999999999993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35">
      <c r="A10" s="1" t="s">
        <v>38</v>
      </c>
      <c r="B10" s="1" t="s">
        <v>36</v>
      </c>
      <c r="C10" s="1">
        <v>244</v>
      </c>
      <c r="D10" s="1">
        <v>600</v>
      </c>
      <c r="E10" s="1">
        <f>VLOOKUP(A10,[1]TDSheet!$A:$G,7,0)</f>
        <v>203</v>
      </c>
      <c r="F10" s="1">
        <v>599</v>
      </c>
      <c r="G10" s="7">
        <v>0.74399999999999999</v>
      </c>
      <c r="H10" s="1">
        <v>180</v>
      </c>
      <c r="I10" s="1"/>
      <c r="J10" s="1"/>
      <c r="K10" s="1">
        <f>VLOOKUP(A10,[2]TDSheet!$A:$E,5,0)</f>
        <v>133</v>
      </c>
      <c r="L10" s="1">
        <f t="shared" si="1"/>
        <v>70</v>
      </c>
      <c r="M10" s="1"/>
      <c r="N10" s="1"/>
      <c r="O10" s="1"/>
      <c r="P10" s="1"/>
      <c r="Q10" s="1">
        <f t="shared" si="2"/>
        <v>40.6</v>
      </c>
      <c r="R10" s="9">
        <f t="shared" si="6"/>
        <v>213</v>
      </c>
      <c r="S10" s="9"/>
      <c r="T10" s="1"/>
      <c r="U10" s="1">
        <f t="shared" si="3"/>
        <v>20</v>
      </c>
      <c r="V10" s="1">
        <f t="shared" si="4"/>
        <v>14.753694581280788</v>
      </c>
      <c r="W10" s="1">
        <v>19.600000000000001</v>
      </c>
      <c r="X10" s="1">
        <v>32.4</v>
      </c>
      <c r="Y10" s="1">
        <v>48</v>
      </c>
      <c r="Z10" s="1">
        <v>33.6</v>
      </c>
      <c r="AA10" s="1">
        <v>7.2</v>
      </c>
      <c r="AB10" s="1"/>
      <c r="AC10" s="1">
        <f t="shared" si="5"/>
        <v>158.47200000000001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35">
      <c r="A11" s="1" t="s">
        <v>39</v>
      </c>
      <c r="B11" s="1" t="s">
        <v>36</v>
      </c>
      <c r="C11" s="1">
        <v>233</v>
      </c>
      <c r="D11" s="1">
        <v>1620</v>
      </c>
      <c r="E11" s="1">
        <f>VLOOKUP(A11,[1]TDSheet!$A:$G,7,0)</f>
        <v>347</v>
      </c>
      <c r="F11" s="1">
        <v>1444</v>
      </c>
      <c r="G11" s="7">
        <v>0.372</v>
      </c>
      <c r="H11" s="1">
        <v>180</v>
      </c>
      <c r="I11" s="1"/>
      <c r="J11" s="1"/>
      <c r="K11" s="1">
        <f>VLOOKUP(A11,[2]TDSheet!$A:$E,5,0)</f>
        <v>2</v>
      </c>
      <c r="L11" s="1">
        <f t="shared" si="1"/>
        <v>345</v>
      </c>
      <c r="M11" s="1"/>
      <c r="N11" s="1"/>
      <c r="O11" s="1"/>
      <c r="P11" s="1"/>
      <c r="Q11" s="1">
        <f t="shared" si="2"/>
        <v>69.400000000000006</v>
      </c>
      <c r="R11" s="9"/>
      <c r="S11" s="9"/>
      <c r="T11" s="1"/>
      <c r="U11" s="1">
        <f t="shared" si="3"/>
        <v>20.806916426512966</v>
      </c>
      <c r="V11" s="1">
        <f t="shared" si="4"/>
        <v>20.806916426512966</v>
      </c>
      <c r="W11" s="1">
        <v>43.4</v>
      </c>
      <c r="X11" s="1">
        <v>43.6</v>
      </c>
      <c r="Y11" s="1">
        <v>97.8</v>
      </c>
      <c r="Z11" s="1">
        <v>52.6</v>
      </c>
      <c r="AA11" s="1">
        <v>1.8</v>
      </c>
      <c r="AB11" s="1"/>
      <c r="AC11" s="1">
        <f t="shared" si="5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35">
      <c r="A12" s="1" t="s">
        <v>40</v>
      </c>
      <c r="B12" s="1" t="s">
        <v>36</v>
      </c>
      <c r="C12" s="1">
        <v>185</v>
      </c>
      <c r="D12" s="1">
        <v>1320</v>
      </c>
      <c r="E12" s="1">
        <f>VLOOKUP(A12,[1]TDSheet!$A:$G,7,0)</f>
        <v>359</v>
      </c>
      <c r="F12" s="1">
        <v>1072</v>
      </c>
      <c r="G12" s="7">
        <v>0.74399999999999999</v>
      </c>
      <c r="H12" s="1">
        <v>180</v>
      </c>
      <c r="I12" s="1"/>
      <c r="J12" s="1"/>
      <c r="K12" s="1">
        <f>VLOOKUP(A12,[2]TDSheet!$A:$E,5,0)</f>
        <v>297</v>
      </c>
      <c r="L12" s="1">
        <f t="shared" si="1"/>
        <v>62</v>
      </c>
      <c r="M12" s="1"/>
      <c r="N12" s="1"/>
      <c r="O12" s="1"/>
      <c r="P12" s="1"/>
      <c r="Q12" s="1">
        <f t="shared" si="2"/>
        <v>71.8</v>
      </c>
      <c r="R12" s="9">
        <f t="shared" si="6"/>
        <v>364</v>
      </c>
      <c r="S12" s="9"/>
      <c r="T12" s="1"/>
      <c r="U12" s="1">
        <f t="shared" si="3"/>
        <v>20</v>
      </c>
      <c r="V12" s="1">
        <f t="shared" si="4"/>
        <v>14.930362116991644</v>
      </c>
      <c r="W12" s="1">
        <v>24.2</v>
      </c>
      <c r="X12" s="1">
        <v>41.4</v>
      </c>
      <c r="Y12" s="1">
        <v>82.6</v>
      </c>
      <c r="Z12" s="1">
        <v>43.8</v>
      </c>
      <c r="AA12" s="1">
        <v>31</v>
      </c>
      <c r="AB12" s="1"/>
      <c r="AC12" s="1">
        <f t="shared" si="5"/>
        <v>270.81599999999997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35">
      <c r="A13" s="1" t="s">
        <v>41</v>
      </c>
      <c r="B13" s="1" t="s">
        <v>36</v>
      </c>
      <c r="C13" s="1">
        <v>366</v>
      </c>
      <c r="D13" s="1"/>
      <c r="E13" s="1">
        <f>VLOOKUP(A13,[1]TDSheet!$A:$G,7,0)</f>
        <v>76</v>
      </c>
      <c r="F13" s="1">
        <v>242</v>
      </c>
      <c r="G13" s="7">
        <v>0.14000000000000001</v>
      </c>
      <c r="H13" s="1"/>
      <c r="I13" s="1"/>
      <c r="J13" s="1"/>
      <c r="K13" s="1">
        <f>VLOOKUP(A13,[2]TDSheet!$A:$E,5,0)</f>
        <v>8</v>
      </c>
      <c r="L13" s="1">
        <f t="shared" si="1"/>
        <v>68</v>
      </c>
      <c r="M13" s="1"/>
      <c r="N13" s="1"/>
      <c r="O13" s="1"/>
      <c r="P13" s="1"/>
      <c r="Q13" s="1">
        <f t="shared" si="2"/>
        <v>15.2</v>
      </c>
      <c r="R13" s="9">
        <f t="shared" si="6"/>
        <v>62</v>
      </c>
      <c r="S13" s="9"/>
      <c r="T13" s="1"/>
      <c r="U13" s="1">
        <f t="shared" si="3"/>
        <v>20</v>
      </c>
      <c r="V13" s="1">
        <f t="shared" si="4"/>
        <v>15.921052631578949</v>
      </c>
      <c r="W13" s="1">
        <v>5.8</v>
      </c>
      <c r="X13" s="1">
        <v>3.2</v>
      </c>
      <c r="Y13" s="1">
        <v>9.4</v>
      </c>
      <c r="Z13" s="1">
        <v>2.4</v>
      </c>
      <c r="AA13" s="1">
        <v>4.4000000000000004</v>
      </c>
      <c r="AB13" s="1"/>
      <c r="AC13" s="1">
        <f t="shared" si="5"/>
        <v>8.6800000000000015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35">
      <c r="A14" s="1" t="s">
        <v>42</v>
      </c>
      <c r="B14" s="1" t="s">
        <v>36</v>
      </c>
      <c r="C14" s="1">
        <v>390</v>
      </c>
      <c r="D14" s="1"/>
      <c r="E14" s="1">
        <f>VLOOKUP(A14,[1]TDSheet!$A:$G,7,0)</f>
        <v>85</v>
      </c>
      <c r="F14" s="1">
        <v>232</v>
      </c>
      <c r="G14" s="7">
        <v>0.18</v>
      </c>
      <c r="H14" s="1">
        <v>270</v>
      </c>
      <c r="I14" s="1"/>
      <c r="J14" s="1"/>
      <c r="K14" s="1">
        <f>VLOOKUP(A14,[2]TDSheet!$A:$E,5,0)</f>
        <v>21</v>
      </c>
      <c r="L14" s="1">
        <f t="shared" si="1"/>
        <v>64</v>
      </c>
      <c r="M14" s="1"/>
      <c r="N14" s="1"/>
      <c r="O14" s="1"/>
      <c r="P14" s="1"/>
      <c r="Q14" s="1">
        <f t="shared" si="2"/>
        <v>17</v>
      </c>
      <c r="R14" s="9">
        <f t="shared" si="6"/>
        <v>108</v>
      </c>
      <c r="S14" s="9">
        <v>200</v>
      </c>
      <c r="T14" s="1"/>
      <c r="U14" s="1">
        <f t="shared" si="3"/>
        <v>20</v>
      </c>
      <c r="V14" s="1">
        <f t="shared" si="4"/>
        <v>13.647058823529411</v>
      </c>
      <c r="W14" s="1">
        <v>6.4</v>
      </c>
      <c r="X14" s="1">
        <v>8</v>
      </c>
      <c r="Y14" s="1">
        <v>12.6</v>
      </c>
      <c r="Z14" s="1">
        <v>6.6</v>
      </c>
      <c r="AA14" s="1">
        <v>0.8</v>
      </c>
      <c r="AB14" s="1"/>
      <c r="AC14" s="1">
        <f t="shared" si="5"/>
        <v>19.439999999999998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35">
      <c r="A15" s="1" t="s">
        <v>43</v>
      </c>
      <c r="B15" s="1" t="s">
        <v>36</v>
      </c>
      <c r="C15" s="1">
        <v>256</v>
      </c>
      <c r="D15" s="1"/>
      <c r="E15" s="1">
        <f>VLOOKUP(A15,[1]TDSheet!$A:$G,7,0)</f>
        <v>89</v>
      </c>
      <c r="F15" s="1">
        <v>140</v>
      </c>
      <c r="G15" s="7">
        <v>0.18</v>
      </c>
      <c r="H15" s="1">
        <v>270</v>
      </c>
      <c r="I15" s="1"/>
      <c r="J15" s="1"/>
      <c r="K15" s="1">
        <f>VLOOKUP(A15,[2]TDSheet!$A:$E,5,0)</f>
        <v>40</v>
      </c>
      <c r="L15" s="1">
        <f t="shared" si="1"/>
        <v>49</v>
      </c>
      <c r="M15" s="1"/>
      <c r="N15" s="1"/>
      <c r="O15" s="1"/>
      <c r="P15" s="1"/>
      <c r="Q15" s="1">
        <f t="shared" si="2"/>
        <v>17.8</v>
      </c>
      <c r="R15" s="9">
        <f t="shared" si="6"/>
        <v>216</v>
      </c>
      <c r="S15" s="9">
        <v>300</v>
      </c>
      <c r="T15" s="1"/>
      <c r="U15" s="1">
        <f t="shared" si="3"/>
        <v>20</v>
      </c>
      <c r="V15" s="1">
        <f t="shared" si="4"/>
        <v>7.8651685393258424</v>
      </c>
      <c r="W15" s="1">
        <v>6.4</v>
      </c>
      <c r="X15" s="1">
        <v>7.4</v>
      </c>
      <c r="Y15" s="1">
        <v>12.6</v>
      </c>
      <c r="Z15" s="1">
        <v>8.4</v>
      </c>
      <c r="AA15" s="1">
        <v>10.4</v>
      </c>
      <c r="AB15" s="1"/>
      <c r="AC15" s="1">
        <f t="shared" si="5"/>
        <v>38.879999999999995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35">
      <c r="A16" s="1" t="s">
        <v>44</v>
      </c>
      <c r="B16" s="1" t="s">
        <v>36</v>
      </c>
      <c r="C16" s="1">
        <v>154</v>
      </c>
      <c r="D16" s="1"/>
      <c r="E16" s="1">
        <f>VLOOKUP(A16,[1]TDSheet!$A:$G,7,0)</f>
        <v>30</v>
      </c>
      <c r="F16" s="1">
        <v>108</v>
      </c>
      <c r="G16" s="7">
        <v>0.1</v>
      </c>
      <c r="H16" s="1"/>
      <c r="I16" s="1"/>
      <c r="J16" s="1"/>
      <c r="K16" s="1">
        <f>VLOOKUP(A16,[2]TDSheet!$A:$E,5,0)</f>
        <v>2</v>
      </c>
      <c r="L16" s="1">
        <f t="shared" si="1"/>
        <v>28</v>
      </c>
      <c r="M16" s="1"/>
      <c r="N16" s="1"/>
      <c r="O16" s="1"/>
      <c r="P16" s="1"/>
      <c r="Q16" s="1">
        <f t="shared" si="2"/>
        <v>6</v>
      </c>
      <c r="R16" s="9">
        <f t="shared" si="6"/>
        <v>12</v>
      </c>
      <c r="S16" s="9"/>
      <c r="T16" s="1"/>
      <c r="U16" s="1">
        <f t="shared" si="3"/>
        <v>20</v>
      </c>
      <c r="V16" s="1">
        <f t="shared" si="4"/>
        <v>18</v>
      </c>
      <c r="W16" s="1">
        <v>0</v>
      </c>
      <c r="X16" s="1">
        <v>-0.2</v>
      </c>
      <c r="Y16" s="1">
        <v>5.2</v>
      </c>
      <c r="Z16" s="1">
        <v>6.6</v>
      </c>
      <c r="AA16" s="1">
        <v>0.2</v>
      </c>
      <c r="AB16" s="1"/>
      <c r="AC16" s="1">
        <f t="shared" si="5"/>
        <v>1.2000000000000002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35">
      <c r="A17" s="1" t="s">
        <v>45</v>
      </c>
      <c r="B17" s="1" t="s">
        <v>36</v>
      </c>
      <c r="C17" s="1">
        <v>-2</v>
      </c>
      <c r="D17" s="1"/>
      <c r="E17" s="1"/>
      <c r="F17" s="1">
        <v>-2</v>
      </c>
      <c r="G17" s="7">
        <v>0.1</v>
      </c>
      <c r="H17" s="1"/>
      <c r="I17" s="1"/>
      <c r="J17" s="1"/>
      <c r="K17" s="1">
        <f>VLOOKUP(A17,[2]TDSheet!$A:$E,5,0)</f>
        <v>25</v>
      </c>
      <c r="L17" s="1">
        <f t="shared" si="1"/>
        <v>-25</v>
      </c>
      <c r="M17" s="1"/>
      <c r="N17" s="1"/>
      <c r="O17" s="1"/>
      <c r="P17" s="1"/>
      <c r="Q17" s="1">
        <f t="shared" si="2"/>
        <v>0</v>
      </c>
      <c r="R17" s="9"/>
      <c r="S17" s="9"/>
      <c r="T17" s="1"/>
      <c r="U17" s="1" t="e">
        <f t="shared" si="3"/>
        <v>#DIV/0!</v>
      </c>
      <c r="V17" s="1" t="e">
        <f t="shared" si="4"/>
        <v>#DIV/0!</v>
      </c>
      <c r="W17" s="1">
        <v>0</v>
      </c>
      <c r="X17" s="1">
        <v>0</v>
      </c>
      <c r="Y17" s="1">
        <v>3.2</v>
      </c>
      <c r="Z17" s="1">
        <v>2.4</v>
      </c>
      <c r="AA17" s="1">
        <v>-0.8</v>
      </c>
      <c r="AB17" s="1"/>
      <c r="AC17" s="1">
        <f t="shared" si="5"/>
        <v>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35">
      <c r="A18" s="1" t="s">
        <v>46</v>
      </c>
      <c r="B18" s="1" t="s">
        <v>36</v>
      </c>
      <c r="C18" s="1">
        <v>180</v>
      </c>
      <c r="D18" s="1">
        <v>10</v>
      </c>
      <c r="E18" s="1">
        <f>VLOOKUP(A18,[1]TDSheet!$A:$G,7,0)</f>
        <v>190</v>
      </c>
      <c r="F18" s="1"/>
      <c r="G18" s="7">
        <v>0.18</v>
      </c>
      <c r="H18" s="1"/>
      <c r="I18" s="1"/>
      <c r="J18" s="1"/>
      <c r="K18" s="1">
        <f>VLOOKUP(A18,[2]TDSheet!$A:$E,5,0)</f>
        <v>337</v>
      </c>
      <c r="L18" s="1">
        <f t="shared" si="1"/>
        <v>-147</v>
      </c>
      <c r="M18" s="1"/>
      <c r="N18" s="1"/>
      <c r="O18" s="1"/>
      <c r="P18" s="1"/>
      <c r="Q18" s="1">
        <f t="shared" si="2"/>
        <v>38</v>
      </c>
      <c r="R18" s="9">
        <f t="shared" si="6"/>
        <v>760</v>
      </c>
      <c r="S18" s="9">
        <v>1000</v>
      </c>
      <c r="T18" s="1"/>
      <c r="U18" s="1">
        <f t="shared" si="3"/>
        <v>20</v>
      </c>
      <c r="V18" s="1">
        <f t="shared" si="4"/>
        <v>0</v>
      </c>
      <c r="W18" s="1">
        <v>0</v>
      </c>
      <c r="X18" s="1">
        <v>0</v>
      </c>
      <c r="Y18" s="1">
        <v>0</v>
      </c>
      <c r="Z18" s="1">
        <v>0</v>
      </c>
      <c r="AA18" s="1">
        <v>3</v>
      </c>
      <c r="AB18" s="1"/>
      <c r="AC18" s="1">
        <f t="shared" si="5"/>
        <v>136.79999999999998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35">
      <c r="A19" s="1" t="s">
        <v>47</v>
      </c>
      <c r="B19" s="1" t="s">
        <v>36</v>
      </c>
      <c r="C19" s="1">
        <v>155</v>
      </c>
      <c r="D19" s="1">
        <v>10</v>
      </c>
      <c r="E19" s="1">
        <f>VLOOKUP(A19,[1]TDSheet!$A:$G,7,0)</f>
        <v>161</v>
      </c>
      <c r="F19" s="1">
        <v>-20</v>
      </c>
      <c r="G19" s="7">
        <v>0.18</v>
      </c>
      <c r="H19" s="1"/>
      <c r="I19" s="1"/>
      <c r="J19" s="1"/>
      <c r="K19" s="1">
        <f>VLOOKUP(A19,[2]TDSheet!$A:$E,5,0)</f>
        <v>733</v>
      </c>
      <c r="L19" s="1">
        <f t="shared" si="1"/>
        <v>-572</v>
      </c>
      <c r="M19" s="1"/>
      <c r="N19" s="1"/>
      <c r="O19" s="1"/>
      <c r="P19" s="1"/>
      <c r="Q19" s="1">
        <f t="shared" si="2"/>
        <v>32.200000000000003</v>
      </c>
      <c r="R19" s="9">
        <f t="shared" si="6"/>
        <v>664</v>
      </c>
      <c r="S19" s="9">
        <v>1000</v>
      </c>
      <c r="T19" s="1"/>
      <c r="U19" s="1">
        <f t="shared" si="3"/>
        <v>20</v>
      </c>
      <c r="V19" s="1">
        <f t="shared" si="4"/>
        <v>-0.6211180124223602</v>
      </c>
      <c r="W19" s="1">
        <v>0</v>
      </c>
      <c r="X19" s="1">
        <v>0</v>
      </c>
      <c r="Y19" s="1">
        <v>0</v>
      </c>
      <c r="Z19" s="1">
        <v>0</v>
      </c>
      <c r="AA19" s="1">
        <v>1.8</v>
      </c>
      <c r="AB19" s="1"/>
      <c r="AC19" s="1">
        <f t="shared" si="5"/>
        <v>119.52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35">
      <c r="A20" s="1" t="s">
        <v>48</v>
      </c>
      <c r="B20" s="1" t="s">
        <v>36</v>
      </c>
      <c r="C20" s="1">
        <v>37</v>
      </c>
      <c r="D20" s="1">
        <v>4</v>
      </c>
      <c r="E20" s="1">
        <f>VLOOKUP(A20,[1]TDSheet!$A:$G,7,0)</f>
        <v>8</v>
      </c>
      <c r="F20" s="1">
        <v>33</v>
      </c>
      <c r="G20" s="7">
        <v>0.4</v>
      </c>
      <c r="H20" s="1">
        <v>270</v>
      </c>
      <c r="I20" s="1"/>
      <c r="J20" s="1"/>
      <c r="K20" s="1">
        <f>VLOOKUP(A20,[2]TDSheet!$A:$E,5,0)</f>
        <v>12</v>
      </c>
      <c r="L20" s="1">
        <f t="shared" si="1"/>
        <v>-4</v>
      </c>
      <c r="M20" s="1"/>
      <c r="N20" s="1"/>
      <c r="O20" s="1"/>
      <c r="P20" s="1"/>
      <c r="Q20" s="1">
        <f t="shared" si="2"/>
        <v>1.6</v>
      </c>
      <c r="R20" s="9"/>
      <c r="S20" s="9"/>
      <c r="T20" s="1"/>
      <c r="U20" s="1">
        <f t="shared" si="3"/>
        <v>20.625</v>
      </c>
      <c r="V20" s="1">
        <f t="shared" si="4"/>
        <v>20.625</v>
      </c>
      <c r="W20" s="1">
        <v>3.8</v>
      </c>
      <c r="X20" s="1">
        <v>0.6</v>
      </c>
      <c r="Y20" s="1">
        <v>3.4</v>
      </c>
      <c r="Z20" s="1">
        <v>4</v>
      </c>
      <c r="AA20" s="1">
        <v>1.4</v>
      </c>
      <c r="AB20" s="1"/>
      <c r="AC20" s="1">
        <f t="shared" si="5"/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35">
      <c r="A21" s="1" t="s">
        <v>49</v>
      </c>
      <c r="B21" s="1" t="s">
        <v>36</v>
      </c>
      <c r="C21" s="1">
        <v>165</v>
      </c>
      <c r="D21" s="1"/>
      <c r="E21" s="1">
        <f>VLOOKUP(A21,[1]TDSheet!$A:$G,7,0)</f>
        <v>33</v>
      </c>
      <c r="F21" s="1">
        <v>129</v>
      </c>
      <c r="G21" s="7">
        <v>0.18</v>
      </c>
      <c r="H21" s="1"/>
      <c r="I21" s="1"/>
      <c r="J21" s="1"/>
      <c r="K21" s="1">
        <f>VLOOKUP(A21,[2]TDSheet!$A:$E,5,0)</f>
        <v>5</v>
      </c>
      <c r="L21" s="1">
        <f t="shared" si="1"/>
        <v>28</v>
      </c>
      <c r="M21" s="1"/>
      <c r="N21" s="1"/>
      <c r="O21" s="1"/>
      <c r="P21" s="1"/>
      <c r="Q21" s="1">
        <f t="shared" si="2"/>
        <v>6.6</v>
      </c>
      <c r="R21" s="9"/>
      <c r="S21" s="9"/>
      <c r="T21" s="1"/>
      <c r="U21" s="1">
        <f t="shared" si="3"/>
        <v>19.545454545454547</v>
      </c>
      <c r="V21" s="1">
        <f t="shared" si="4"/>
        <v>19.545454545454547</v>
      </c>
      <c r="W21" s="1">
        <v>1.6</v>
      </c>
      <c r="X21" s="1">
        <v>2</v>
      </c>
      <c r="Y21" s="1">
        <v>7.6</v>
      </c>
      <c r="Z21" s="1">
        <v>4.5999999999999996</v>
      </c>
      <c r="AA21" s="1">
        <v>11.4</v>
      </c>
      <c r="AB21" s="1"/>
      <c r="AC21" s="1">
        <f t="shared" si="5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35">
      <c r="A22" s="1" t="s">
        <v>50</v>
      </c>
      <c r="B22" s="1" t="s">
        <v>36</v>
      </c>
      <c r="C22" s="1">
        <v>3</v>
      </c>
      <c r="D22" s="1">
        <v>4</v>
      </c>
      <c r="E22" s="1">
        <f>VLOOKUP(A22,[1]TDSheet!$A:$G,7,0)</f>
        <v>1</v>
      </c>
      <c r="F22" s="1">
        <v>6</v>
      </c>
      <c r="G22" s="7">
        <v>0.4</v>
      </c>
      <c r="H22" s="1">
        <v>270</v>
      </c>
      <c r="I22" s="1"/>
      <c r="J22" s="1"/>
      <c r="K22" s="1">
        <f>VLOOKUP(A22,[2]TDSheet!$A:$E,5,0)</f>
        <v>11</v>
      </c>
      <c r="L22" s="1">
        <f t="shared" si="1"/>
        <v>-10</v>
      </c>
      <c r="M22" s="1"/>
      <c r="N22" s="1"/>
      <c r="O22" s="1">
        <v>73</v>
      </c>
      <c r="P22" s="1"/>
      <c r="Q22" s="1">
        <f t="shared" si="2"/>
        <v>0.2</v>
      </c>
      <c r="R22" s="9"/>
      <c r="S22" s="9"/>
      <c r="T22" s="1"/>
      <c r="U22" s="1">
        <f t="shared" si="3"/>
        <v>395</v>
      </c>
      <c r="V22" s="1">
        <f t="shared" si="4"/>
        <v>395</v>
      </c>
      <c r="W22" s="1">
        <v>4</v>
      </c>
      <c r="X22" s="1">
        <v>0.2</v>
      </c>
      <c r="Y22" s="1">
        <v>2</v>
      </c>
      <c r="Z22" s="1">
        <v>3.4</v>
      </c>
      <c r="AA22" s="1">
        <v>2.2000000000000002</v>
      </c>
      <c r="AB22" s="1"/>
      <c r="AC22" s="1">
        <f t="shared" si="5"/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35">
      <c r="A23" s="1" t="s">
        <v>51</v>
      </c>
      <c r="B23" s="1" t="s">
        <v>33</v>
      </c>
      <c r="C23" s="1">
        <v>51.715000000000003</v>
      </c>
      <c r="D23" s="1"/>
      <c r="E23" s="1"/>
      <c r="F23" s="1">
        <v>51.715000000000003</v>
      </c>
      <c r="G23" s="7">
        <v>1</v>
      </c>
      <c r="H23" s="1"/>
      <c r="I23" s="1"/>
      <c r="J23" s="1"/>
      <c r="K23" s="1">
        <f>VLOOKUP(A23,[2]TDSheet!$A:$E,5,0)</f>
        <v>3.5</v>
      </c>
      <c r="L23" s="1">
        <f t="shared" si="1"/>
        <v>-3.5</v>
      </c>
      <c r="M23" s="1"/>
      <c r="N23" s="1"/>
      <c r="O23" s="1"/>
      <c r="P23" s="1"/>
      <c r="Q23" s="1">
        <f t="shared" si="2"/>
        <v>0</v>
      </c>
      <c r="R23" s="9"/>
      <c r="S23" s="9"/>
      <c r="T23" s="1"/>
      <c r="U23" s="1" t="e">
        <f t="shared" si="3"/>
        <v>#DIV/0!</v>
      </c>
      <c r="V23" s="1" t="e">
        <f t="shared" si="4"/>
        <v>#DIV/0!</v>
      </c>
      <c r="W23" s="1">
        <v>1.3220000000000001</v>
      </c>
      <c r="X23" s="1">
        <v>1.302</v>
      </c>
      <c r="Y23" s="1">
        <v>0.872</v>
      </c>
      <c r="Z23" s="1">
        <v>0.65959999999999996</v>
      </c>
      <c r="AA23" s="1">
        <v>1.302</v>
      </c>
      <c r="AB23" s="15" t="s">
        <v>83</v>
      </c>
      <c r="AC23" s="1">
        <f t="shared" si="5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35">
      <c r="A24" s="1" t="s">
        <v>52</v>
      </c>
      <c r="B24" s="1" t="s">
        <v>36</v>
      </c>
      <c r="C24" s="1">
        <v>11</v>
      </c>
      <c r="D24" s="1">
        <v>156</v>
      </c>
      <c r="E24" s="1">
        <f>VLOOKUP(A24,[1]TDSheet!$A:$G,7,0)</f>
        <v>3</v>
      </c>
      <c r="F24" s="1">
        <v>164</v>
      </c>
      <c r="G24" s="7">
        <v>0.2</v>
      </c>
      <c r="H24" s="1"/>
      <c r="I24" s="1"/>
      <c r="J24" s="1"/>
      <c r="K24" s="1">
        <f>VLOOKUP(A24,[2]TDSheet!$A:$E,5,0)</f>
        <v>10</v>
      </c>
      <c r="L24" s="1">
        <f t="shared" si="1"/>
        <v>-7</v>
      </c>
      <c r="M24" s="1"/>
      <c r="N24" s="1"/>
      <c r="O24" s="1"/>
      <c r="P24" s="1"/>
      <c r="Q24" s="1">
        <f t="shared" si="2"/>
        <v>0.6</v>
      </c>
      <c r="R24" s="9"/>
      <c r="S24" s="9"/>
      <c r="T24" s="1"/>
      <c r="U24" s="1">
        <f t="shared" si="3"/>
        <v>273.33333333333337</v>
      </c>
      <c r="V24" s="1">
        <f t="shared" si="4"/>
        <v>273.33333333333337</v>
      </c>
      <c r="W24" s="1">
        <v>0</v>
      </c>
      <c r="X24" s="1">
        <v>0.4</v>
      </c>
      <c r="Y24" s="1">
        <v>5.8</v>
      </c>
      <c r="Z24" s="1">
        <v>3.8</v>
      </c>
      <c r="AA24" s="1">
        <v>1.6</v>
      </c>
      <c r="AB24" s="1"/>
      <c r="AC24" s="1">
        <f t="shared" si="5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35">
      <c r="A25" s="1" t="s">
        <v>53</v>
      </c>
      <c r="B25" s="1" t="s">
        <v>33</v>
      </c>
      <c r="C25" s="1">
        <v>215.64</v>
      </c>
      <c r="D25" s="1"/>
      <c r="E25" s="1"/>
      <c r="F25" s="1">
        <v>191.173</v>
      </c>
      <c r="G25" s="7">
        <v>1</v>
      </c>
      <c r="H25" s="1"/>
      <c r="I25" s="1"/>
      <c r="J25" s="1"/>
      <c r="K25" s="1"/>
      <c r="L25" s="1">
        <f t="shared" si="1"/>
        <v>0</v>
      </c>
      <c r="M25" s="1"/>
      <c r="N25" s="1"/>
      <c r="O25" s="1"/>
      <c r="P25" s="1"/>
      <c r="Q25" s="1">
        <f t="shared" si="2"/>
        <v>0</v>
      </c>
      <c r="R25" s="9"/>
      <c r="S25" s="9"/>
      <c r="T25" s="1"/>
      <c r="U25" s="1" t="e">
        <f t="shared" si="3"/>
        <v>#DIV/0!</v>
      </c>
      <c r="V25" s="1" t="e">
        <f t="shared" si="4"/>
        <v>#DIV/0!</v>
      </c>
      <c r="W25" s="1">
        <v>2.29</v>
      </c>
      <c r="X25" s="1">
        <v>0</v>
      </c>
      <c r="Y25" s="1">
        <v>0</v>
      </c>
      <c r="Z25" s="1">
        <v>1.3140000000000001</v>
      </c>
      <c r="AA25" s="1">
        <v>3.5859999999999999</v>
      </c>
      <c r="AB25" s="15" t="s">
        <v>83</v>
      </c>
      <c r="AC25" s="1">
        <f t="shared" si="5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35">
      <c r="A26" s="1" t="s">
        <v>54</v>
      </c>
      <c r="B26" s="1" t="s">
        <v>36</v>
      </c>
      <c r="C26" s="1">
        <v>72</v>
      </c>
      <c r="D26" s="1"/>
      <c r="E26" s="1">
        <f>VLOOKUP(A26,[1]TDSheet!$A:$G,7,0)</f>
        <v>19</v>
      </c>
      <c r="F26" s="1">
        <v>53</v>
      </c>
      <c r="G26" s="7">
        <v>0.1</v>
      </c>
      <c r="H26" s="1"/>
      <c r="I26" s="1"/>
      <c r="J26" s="1"/>
      <c r="K26" s="1">
        <f>VLOOKUP(A26,[2]TDSheet!$A:$E,5,0)</f>
        <v>76</v>
      </c>
      <c r="L26" s="1">
        <f t="shared" si="1"/>
        <v>-57</v>
      </c>
      <c r="M26" s="1"/>
      <c r="N26" s="1"/>
      <c r="O26" s="1"/>
      <c r="P26" s="1"/>
      <c r="Q26" s="1">
        <f t="shared" si="2"/>
        <v>3.8</v>
      </c>
      <c r="R26" s="9">
        <f t="shared" si="6"/>
        <v>23</v>
      </c>
      <c r="S26" s="9"/>
      <c r="T26" s="1"/>
      <c r="U26" s="1">
        <f t="shared" si="3"/>
        <v>20</v>
      </c>
      <c r="V26" s="1">
        <f t="shared" si="4"/>
        <v>13.947368421052632</v>
      </c>
      <c r="W26" s="1">
        <v>2.2000000000000002</v>
      </c>
      <c r="X26" s="1">
        <v>4.2</v>
      </c>
      <c r="Y26" s="1">
        <v>0</v>
      </c>
      <c r="Z26" s="1">
        <v>-0.2</v>
      </c>
      <c r="AA26" s="1">
        <v>5.2</v>
      </c>
      <c r="AB26" s="1"/>
      <c r="AC26" s="1">
        <f t="shared" si="5"/>
        <v>2.3000000000000003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35">
      <c r="A27" s="1" t="s">
        <v>55</v>
      </c>
      <c r="B27" s="1" t="s">
        <v>36</v>
      </c>
      <c r="C27" s="1">
        <v>-16</v>
      </c>
      <c r="D27" s="1"/>
      <c r="E27" s="1">
        <f>VLOOKUP(A27,[1]TDSheet!$A:$G,7,0)</f>
        <v>-3</v>
      </c>
      <c r="F27" s="1">
        <v>-16</v>
      </c>
      <c r="G27" s="7">
        <v>0.1</v>
      </c>
      <c r="H27" s="1"/>
      <c r="I27" s="1"/>
      <c r="J27" s="1"/>
      <c r="K27" s="1">
        <f>VLOOKUP(A27,[2]TDSheet!$A:$E,5,0)</f>
        <v>195</v>
      </c>
      <c r="L27" s="1">
        <f t="shared" si="1"/>
        <v>-198</v>
      </c>
      <c r="M27" s="1"/>
      <c r="N27" s="1"/>
      <c r="O27" s="1"/>
      <c r="P27" s="1"/>
      <c r="Q27" s="1">
        <f t="shared" si="2"/>
        <v>-0.6</v>
      </c>
      <c r="R27" s="9"/>
      <c r="S27" s="9"/>
      <c r="T27" s="1"/>
      <c r="U27" s="1">
        <f t="shared" si="3"/>
        <v>26.666666666666668</v>
      </c>
      <c r="V27" s="1">
        <f t="shared" si="4"/>
        <v>26.666666666666668</v>
      </c>
      <c r="W27" s="1">
        <v>0</v>
      </c>
      <c r="X27" s="1">
        <v>3</v>
      </c>
      <c r="Y27" s="1">
        <v>0.2</v>
      </c>
      <c r="Z27" s="1">
        <v>-0.6</v>
      </c>
      <c r="AA27" s="1">
        <v>3.2</v>
      </c>
      <c r="AB27" s="1"/>
      <c r="AC27" s="1">
        <f t="shared" si="5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35">
      <c r="A28" s="1" t="s">
        <v>56</v>
      </c>
      <c r="B28" s="1" t="s">
        <v>36</v>
      </c>
      <c r="C28" s="1">
        <v>10</v>
      </c>
      <c r="D28" s="1">
        <v>156</v>
      </c>
      <c r="E28" s="1">
        <f>VLOOKUP(A28,[1]TDSheet!$A:$G,7,0)</f>
        <v>23</v>
      </c>
      <c r="F28" s="1">
        <v>143</v>
      </c>
      <c r="G28" s="7">
        <v>0.1</v>
      </c>
      <c r="H28" s="1"/>
      <c r="I28" s="1"/>
      <c r="J28" s="1"/>
      <c r="K28" s="1">
        <f>VLOOKUP(A28,[2]TDSheet!$A:$E,5,0)</f>
        <v>134</v>
      </c>
      <c r="L28" s="1">
        <f t="shared" si="1"/>
        <v>-111</v>
      </c>
      <c r="M28" s="1"/>
      <c r="N28" s="1"/>
      <c r="O28" s="1"/>
      <c r="P28" s="1"/>
      <c r="Q28" s="1">
        <f t="shared" si="2"/>
        <v>4.5999999999999996</v>
      </c>
      <c r="R28" s="9"/>
      <c r="S28" s="9"/>
      <c r="T28" s="1"/>
      <c r="U28" s="1">
        <f t="shared" si="3"/>
        <v>31.086956521739133</v>
      </c>
      <c r="V28" s="1">
        <f t="shared" si="4"/>
        <v>31.086956521739133</v>
      </c>
      <c r="W28" s="1">
        <v>8</v>
      </c>
      <c r="X28" s="1">
        <v>9.4</v>
      </c>
      <c r="Y28" s="1">
        <v>8.1999999999999993</v>
      </c>
      <c r="Z28" s="1">
        <v>7.8</v>
      </c>
      <c r="AA28" s="1">
        <v>0</v>
      </c>
      <c r="AB28" s="1"/>
      <c r="AC28" s="1">
        <f t="shared" si="5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35">
      <c r="A29" s="1" t="s">
        <v>57</v>
      </c>
      <c r="B29" s="1" t="s">
        <v>36</v>
      </c>
      <c r="C29" s="1">
        <v>811</v>
      </c>
      <c r="D29" s="1">
        <v>254</v>
      </c>
      <c r="E29" s="1">
        <f>VLOOKUP(A29,[1]TDSheet!$A:$G,7,0)</f>
        <v>264</v>
      </c>
      <c r="F29" s="1">
        <v>733</v>
      </c>
      <c r="G29" s="7">
        <v>0.18</v>
      </c>
      <c r="H29" s="1"/>
      <c r="I29" s="1"/>
      <c r="J29" s="1"/>
      <c r="K29" s="1">
        <f>VLOOKUP(A29,[2]TDSheet!$A:$E,5,0)</f>
        <v>163</v>
      </c>
      <c r="L29" s="1">
        <f t="shared" si="1"/>
        <v>101</v>
      </c>
      <c r="M29" s="1"/>
      <c r="N29" s="1"/>
      <c r="O29" s="1"/>
      <c r="P29" s="1">
        <v>100</v>
      </c>
      <c r="Q29" s="1">
        <f t="shared" si="2"/>
        <v>52.8</v>
      </c>
      <c r="R29" s="9">
        <f t="shared" si="6"/>
        <v>223</v>
      </c>
      <c r="S29" s="9"/>
      <c r="T29" s="1"/>
      <c r="U29" s="1">
        <f t="shared" si="3"/>
        <v>20</v>
      </c>
      <c r="V29" s="1">
        <f t="shared" si="4"/>
        <v>15.776515151515152</v>
      </c>
      <c r="W29" s="1">
        <v>3.6</v>
      </c>
      <c r="X29" s="1">
        <v>50.4</v>
      </c>
      <c r="Y29" s="1">
        <v>63.8</v>
      </c>
      <c r="Z29" s="1">
        <v>63.8</v>
      </c>
      <c r="AA29" s="1">
        <v>62.6</v>
      </c>
      <c r="AB29" s="1"/>
      <c r="AC29" s="1">
        <f t="shared" si="5"/>
        <v>40.14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35">
      <c r="A30" s="1" t="s">
        <v>58</v>
      </c>
      <c r="B30" s="1" t="s">
        <v>36</v>
      </c>
      <c r="C30" s="1">
        <v>1380</v>
      </c>
      <c r="D30" s="1">
        <v>2</v>
      </c>
      <c r="E30" s="1">
        <f>VLOOKUP(A30,[1]TDSheet!$A:$G,7,0)</f>
        <v>301</v>
      </c>
      <c r="F30" s="1">
        <v>1007</v>
      </c>
      <c r="G30" s="7">
        <v>0.18</v>
      </c>
      <c r="H30" s="1">
        <v>150</v>
      </c>
      <c r="I30" s="1"/>
      <c r="J30" s="1"/>
      <c r="K30" s="1">
        <f>VLOOKUP(A30,[2]TDSheet!$A:$E,5,0)</f>
        <v>438</v>
      </c>
      <c r="L30" s="1">
        <f t="shared" si="1"/>
        <v>-137</v>
      </c>
      <c r="M30" s="1"/>
      <c r="N30" s="1"/>
      <c r="O30" s="1"/>
      <c r="P30" s="1">
        <v>250</v>
      </c>
      <c r="Q30" s="1">
        <f t="shared" si="2"/>
        <v>60.2</v>
      </c>
      <c r="R30" s="9"/>
      <c r="S30" s="9"/>
      <c r="T30" s="1"/>
      <c r="U30" s="1">
        <f t="shared" si="3"/>
        <v>20.880398671096344</v>
      </c>
      <c r="V30" s="1">
        <f t="shared" si="4"/>
        <v>20.880398671096344</v>
      </c>
      <c r="W30" s="1">
        <v>6.2</v>
      </c>
      <c r="X30" s="1">
        <v>63.4</v>
      </c>
      <c r="Y30" s="1">
        <v>32.799999999999997</v>
      </c>
      <c r="Z30" s="1">
        <v>83.4</v>
      </c>
      <c r="AA30" s="1">
        <v>59.8</v>
      </c>
      <c r="AB30" s="1"/>
      <c r="AC30" s="1">
        <f t="shared" si="5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35">
      <c r="A31" s="1" t="s">
        <v>59</v>
      </c>
      <c r="B31" s="1" t="s">
        <v>36</v>
      </c>
      <c r="C31" s="1">
        <v>133</v>
      </c>
      <c r="D31" s="1">
        <v>652</v>
      </c>
      <c r="E31" s="1">
        <f>VLOOKUP(A31,[1]TDSheet!$A:$G,7,0)</f>
        <v>130</v>
      </c>
      <c r="F31" s="1">
        <v>646</v>
      </c>
      <c r="G31" s="7">
        <v>0.18</v>
      </c>
      <c r="H31" s="1">
        <v>150</v>
      </c>
      <c r="I31" s="1"/>
      <c r="J31" s="1"/>
      <c r="K31" s="1">
        <f>VLOOKUP(A31,[2]TDSheet!$A:$E,5,0)</f>
        <v>99</v>
      </c>
      <c r="L31" s="1">
        <f t="shared" si="1"/>
        <v>31</v>
      </c>
      <c r="M31" s="1"/>
      <c r="N31" s="1"/>
      <c r="O31" s="1"/>
      <c r="P31" s="1"/>
      <c r="Q31" s="1">
        <f t="shared" si="2"/>
        <v>26</v>
      </c>
      <c r="R31" s="9"/>
      <c r="S31" s="9"/>
      <c r="T31" s="1"/>
      <c r="U31" s="1">
        <f t="shared" si="3"/>
        <v>24.846153846153847</v>
      </c>
      <c r="V31" s="1">
        <f t="shared" si="4"/>
        <v>24.846153846153847</v>
      </c>
      <c r="W31" s="1">
        <v>3.2</v>
      </c>
      <c r="X31" s="1">
        <v>40</v>
      </c>
      <c r="Y31" s="1">
        <v>-0.2</v>
      </c>
      <c r="Z31" s="1">
        <v>3.4</v>
      </c>
      <c r="AA31" s="1">
        <v>35</v>
      </c>
      <c r="AB31" s="1"/>
      <c r="AC31" s="1">
        <f t="shared" si="5"/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35">
      <c r="A32" s="1" t="s">
        <v>60</v>
      </c>
      <c r="B32" s="1" t="s">
        <v>36</v>
      </c>
      <c r="C32" s="1">
        <v>987</v>
      </c>
      <c r="D32" s="1">
        <v>4</v>
      </c>
      <c r="E32" s="1">
        <f>VLOOKUP(A32,[1]TDSheet!$A:$G,7,0)</f>
        <v>169</v>
      </c>
      <c r="F32" s="1">
        <v>776</v>
      </c>
      <c r="G32" s="7">
        <v>0.18</v>
      </c>
      <c r="H32" s="1">
        <v>120</v>
      </c>
      <c r="I32" s="1"/>
      <c r="J32" s="1"/>
      <c r="K32" s="1">
        <f>VLOOKUP(A32,[2]TDSheet!$A:$E,5,0)</f>
        <v>71</v>
      </c>
      <c r="L32" s="1">
        <f t="shared" si="1"/>
        <v>98</v>
      </c>
      <c r="M32" s="1"/>
      <c r="N32" s="1"/>
      <c r="O32" s="1"/>
      <c r="P32" s="1"/>
      <c r="Q32" s="1">
        <f t="shared" si="2"/>
        <v>33.799999999999997</v>
      </c>
      <c r="R32" s="9"/>
      <c r="S32" s="9"/>
      <c r="T32" s="1"/>
      <c r="U32" s="1">
        <f t="shared" si="3"/>
        <v>22.958579881656807</v>
      </c>
      <c r="V32" s="1">
        <f t="shared" si="4"/>
        <v>22.958579881656807</v>
      </c>
      <c r="W32" s="1">
        <v>29.6</v>
      </c>
      <c r="X32" s="1">
        <v>58.4</v>
      </c>
      <c r="Y32" s="1">
        <v>45.6</v>
      </c>
      <c r="Z32" s="1">
        <v>81.8</v>
      </c>
      <c r="AA32" s="1">
        <v>4.2</v>
      </c>
      <c r="AB32" s="1"/>
      <c r="AC32" s="1">
        <f t="shared" si="5"/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35">
      <c r="A33" s="1" t="s">
        <v>61</v>
      </c>
      <c r="B33" s="1" t="s">
        <v>36</v>
      </c>
      <c r="C33" s="1">
        <v>538</v>
      </c>
      <c r="D33" s="1">
        <v>1084</v>
      </c>
      <c r="E33" s="1">
        <f>VLOOKUP(A33,[1]TDSheet!$A:$G,7,0)</f>
        <v>343</v>
      </c>
      <c r="F33" s="1">
        <v>1205</v>
      </c>
      <c r="G33" s="7">
        <v>0.18</v>
      </c>
      <c r="H33" s="1">
        <v>150</v>
      </c>
      <c r="I33" s="1"/>
      <c r="J33" s="1"/>
      <c r="K33" s="1">
        <f>VLOOKUP(A33,[2]TDSheet!$A:$E,5,0)</f>
        <v>345</v>
      </c>
      <c r="L33" s="1">
        <f t="shared" si="1"/>
        <v>-2</v>
      </c>
      <c r="M33" s="1"/>
      <c r="N33" s="1"/>
      <c r="O33" s="1"/>
      <c r="P33" s="1"/>
      <c r="Q33" s="1">
        <f t="shared" si="2"/>
        <v>68.599999999999994</v>
      </c>
      <c r="R33" s="9">
        <f t="shared" si="6"/>
        <v>167</v>
      </c>
      <c r="S33" s="9"/>
      <c r="T33" s="1"/>
      <c r="U33" s="1">
        <f t="shared" si="3"/>
        <v>20</v>
      </c>
      <c r="V33" s="1">
        <f t="shared" si="4"/>
        <v>17.565597667638485</v>
      </c>
      <c r="W33" s="1">
        <v>53.8</v>
      </c>
      <c r="X33" s="1">
        <v>94.6</v>
      </c>
      <c r="Y33" s="1">
        <v>81.599999999999994</v>
      </c>
      <c r="Z33" s="1">
        <v>72.599999999999994</v>
      </c>
      <c r="AA33" s="1">
        <v>77.2</v>
      </c>
      <c r="AB33" s="1"/>
      <c r="AC33" s="1">
        <f t="shared" si="5"/>
        <v>30.06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35">
      <c r="A34" s="1" t="s">
        <v>62</v>
      </c>
      <c r="B34" s="1" t="s">
        <v>36</v>
      </c>
      <c r="C34" s="1">
        <v>512</v>
      </c>
      <c r="D34" s="1">
        <v>582</v>
      </c>
      <c r="E34" s="1">
        <f>VLOOKUP(A34,[1]TDSheet!$A:$G,7,0)</f>
        <v>145</v>
      </c>
      <c r="F34" s="1">
        <v>910</v>
      </c>
      <c r="G34" s="7">
        <v>0.18</v>
      </c>
      <c r="H34" s="1">
        <v>120</v>
      </c>
      <c r="I34" s="1"/>
      <c r="J34" s="1"/>
      <c r="K34" s="1">
        <f>VLOOKUP(A34,[2]TDSheet!$A:$E,5,0)</f>
        <v>122</v>
      </c>
      <c r="L34" s="1">
        <f t="shared" si="1"/>
        <v>23</v>
      </c>
      <c r="M34" s="1"/>
      <c r="N34" s="1"/>
      <c r="O34" s="1"/>
      <c r="P34" s="1">
        <v>320</v>
      </c>
      <c r="Q34" s="1">
        <f t="shared" si="2"/>
        <v>29</v>
      </c>
      <c r="R34" s="9"/>
      <c r="S34" s="9"/>
      <c r="T34" s="1"/>
      <c r="U34" s="1">
        <f t="shared" si="3"/>
        <v>42.413793103448278</v>
      </c>
      <c r="V34" s="1">
        <f t="shared" si="4"/>
        <v>42.413793103448278</v>
      </c>
      <c r="W34" s="1">
        <v>31.8</v>
      </c>
      <c r="X34" s="1">
        <v>62.4</v>
      </c>
      <c r="Y34" s="1">
        <v>39.6</v>
      </c>
      <c r="Z34" s="1">
        <v>56.6</v>
      </c>
      <c r="AA34" s="1">
        <v>22.8</v>
      </c>
      <c r="AB34" s="1"/>
      <c r="AC34" s="1">
        <f t="shared" si="5"/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35">
      <c r="A35" s="1" t="s">
        <v>63</v>
      </c>
      <c r="B35" s="1" t="s">
        <v>36</v>
      </c>
      <c r="C35" s="1">
        <v>793</v>
      </c>
      <c r="D35" s="1">
        <v>560</v>
      </c>
      <c r="E35" s="1">
        <f>VLOOKUP(A35,[1]TDSheet!$A:$G,7,0)</f>
        <v>158</v>
      </c>
      <c r="F35" s="1">
        <v>1186</v>
      </c>
      <c r="G35" s="7">
        <v>0.18</v>
      </c>
      <c r="H35" s="1">
        <v>270</v>
      </c>
      <c r="I35" s="1"/>
      <c r="J35" s="1"/>
      <c r="K35" s="1">
        <f>VLOOKUP(A35,[2]TDSheet!$A:$E,5,0)</f>
        <v>96</v>
      </c>
      <c r="L35" s="1">
        <f t="shared" si="1"/>
        <v>62</v>
      </c>
      <c r="M35" s="1"/>
      <c r="N35" s="1"/>
      <c r="O35" s="1"/>
      <c r="P35" s="1"/>
      <c r="Q35" s="1">
        <f t="shared" si="2"/>
        <v>31.6</v>
      </c>
      <c r="R35" s="9"/>
      <c r="S35" s="9"/>
      <c r="T35" s="1"/>
      <c r="U35" s="1">
        <f t="shared" si="3"/>
        <v>37.531645569620252</v>
      </c>
      <c r="V35" s="1">
        <f t="shared" si="4"/>
        <v>37.531645569620252</v>
      </c>
      <c r="W35" s="1">
        <v>9.1999999999999993</v>
      </c>
      <c r="X35" s="1">
        <v>55.6</v>
      </c>
      <c r="Y35" s="1">
        <v>34.6</v>
      </c>
      <c r="Z35" s="1">
        <v>64</v>
      </c>
      <c r="AA35" s="1">
        <v>31</v>
      </c>
      <c r="AB35" s="1"/>
      <c r="AC35" s="1">
        <f t="shared" si="5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35">
      <c r="A36" s="1" t="s">
        <v>64</v>
      </c>
      <c r="B36" s="1" t="s">
        <v>33</v>
      </c>
      <c r="C36" s="1">
        <v>142.35</v>
      </c>
      <c r="D36" s="1"/>
      <c r="E36" s="1">
        <f>VLOOKUP(A36,[1]TDSheet!$A:$G,7,0)</f>
        <v>27.192</v>
      </c>
      <c r="F36" s="1">
        <v>104.759</v>
      </c>
      <c r="G36" s="7">
        <v>1</v>
      </c>
      <c r="H36" s="1"/>
      <c r="I36" s="1"/>
      <c r="J36" s="1"/>
      <c r="K36" s="1">
        <f>VLOOKUP(A36,[2]TDSheet!$A:$E,5,0)</f>
        <v>6.5</v>
      </c>
      <c r="L36" s="1">
        <f t="shared" si="1"/>
        <v>20.692</v>
      </c>
      <c r="M36" s="1"/>
      <c r="N36" s="1"/>
      <c r="O36" s="1">
        <v>126.002</v>
      </c>
      <c r="P36" s="1"/>
      <c r="Q36" s="1">
        <f t="shared" si="2"/>
        <v>5.4383999999999997</v>
      </c>
      <c r="R36" s="9"/>
      <c r="S36" s="9"/>
      <c r="T36" s="1"/>
      <c r="U36" s="1">
        <f t="shared" si="3"/>
        <v>42.431781406295968</v>
      </c>
      <c r="V36" s="1">
        <f t="shared" si="4"/>
        <v>42.431781406295968</v>
      </c>
      <c r="W36" s="1">
        <v>12.5824</v>
      </c>
      <c r="X36" s="1">
        <v>6.2552000000000003</v>
      </c>
      <c r="Y36" s="1">
        <v>9.9288000000000007</v>
      </c>
      <c r="Z36" s="1">
        <v>6.5415999999999999</v>
      </c>
      <c r="AA36" s="1">
        <v>9.9700000000000006</v>
      </c>
      <c r="AB36" s="15" t="s">
        <v>83</v>
      </c>
      <c r="AC36" s="1">
        <f t="shared" si="5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35">
      <c r="A37" s="1" t="s">
        <v>65</v>
      </c>
      <c r="B37" s="1" t="s">
        <v>33</v>
      </c>
      <c r="C37" s="1">
        <v>100.81</v>
      </c>
      <c r="D37" s="1">
        <v>3.3420000000000001</v>
      </c>
      <c r="E37" s="1">
        <f>VLOOKUP(A37,[1]TDSheet!$A:$G,7,0)</f>
        <v>20.138999999999999</v>
      </c>
      <c r="F37" s="1">
        <v>73.870999999999995</v>
      </c>
      <c r="G37" s="7">
        <v>1</v>
      </c>
      <c r="H37" s="1"/>
      <c r="I37" s="1"/>
      <c r="J37" s="1"/>
      <c r="K37" s="1">
        <f>VLOOKUP(A37,[2]TDSheet!$A:$E,5,0)</f>
        <v>12.5</v>
      </c>
      <c r="L37" s="1">
        <f t="shared" si="1"/>
        <v>7.6389999999999993</v>
      </c>
      <c r="M37" s="1"/>
      <c r="N37" s="1"/>
      <c r="O37" s="1">
        <v>56.745999999999981</v>
      </c>
      <c r="P37" s="1"/>
      <c r="Q37" s="1">
        <f t="shared" si="2"/>
        <v>4.0278</v>
      </c>
      <c r="R37" s="9"/>
      <c r="S37" s="9"/>
      <c r="T37" s="1"/>
      <c r="U37" s="1">
        <f t="shared" si="3"/>
        <v>32.428869357962157</v>
      </c>
      <c r="V37" s="1">
        <f t="shared" si="4"/>
        <v>32.428869357962157</v>
      </c>
      <c r="W37" s="1">
        <v>7.7087999999999992</v>
      </c>
      <c r="X37" s="1">
        <v>9.3124000000000002</v>
      </c>
      <c r="Y37" s="1">
        <v>5.2211999999999996</v>
      </c>
      <c r="Z37" s="1">
        <v>0</v>
      </c>
      <c r="AA37" s="1">
        <v>0</v>
      </c>
      <c r="AB37" s="15" t="s">
        <v>83</v>
      </c>
      <c r="AC37" s="1">
        <f t="shared" si="5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35">
      <c r="A38" s="1" t="s">
        <v>66</v>
      </c>
      <c r="B38" s="1" t="s">
        <v>33</v>
      </c>
      <c r="C38" s="1">
        <v>434.923</v>
      </c>
      <c r="D38" s="1">
        <v>291.90600000000001</v>
      </c>
      <c r="E38" s="1">
        <f>VLOOKUP(A38,[1]TDSheet!$A:$G,7,0)</f>
        <v>48.932000000000002</v>
      </c>
      <c r="F38" s="1">
        <v>640.04499999999996</v>
      </c>
      <c r="G38" s="7">
        <v>1</v>
      </c>
      <c r="H38" s="1">
        <v>120</v>
      </c>
      <c r="I38" s="1"/>
      <c r="J38" s="1"/>
      <c r="K38" s="1">
        <f>VLOOKUP(A38,[2]TDSheet!$A:$E,5,0)</f>
        <v>43.5</v>
      </c>
      <c r="L38" s="1">
        <f t="shared" si="1"/>
        <v>5.4320000000000022</v>
      </c>
      <c r="M38" s="1"/>
      <c r="N38" s="1"/>
      <c r="O38" s="1"/>
      <c r="P38" s="1"/>
      <c r="Q38" s="1">
        <f t="shared" si="2"/>
        <v>9.7864000000000004</v>
      </c>
      <c r="R38" s="9"/>
      <c r="S38" s="9"/>
      <c r="T38" s="1"/>
      <c r="U38" s="1">
        <f t="shared" si="3"/>
        <v>65.401475517044048</v>
      </c>
      <c r="V38" s="1">
        <f t="shared" si="4"/>
        <v>65.401475517044048</v>
      </c>
      <c r="W38" s="1">
        <v>2.5036</v>
      </c>
      <c r="X38" s="1">
        <v>0</v>
      </c>
      <c r="Y38" s="1">
        <v>24.099</v>
      </c>
      <c r="Z38" s="1">
        <v>24.089600000000001</v>
      </c>
      <c r="AA38" s="1">
        <v>22.079799999999999</v>
      </c>
      <c r="AB38" s="15" t="s">
        <v>83</v>
      </c>
      <c r="AC38" s="1">
        <f t="shared" si="5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35">
      <c r="A39" s="1" t="s">
        <v>67</v>
      </c>
      <c r="B39" s="1" t="s">
        <v>33</v>
      </c>
      <c r="C39" s="1">
        <v>41.526000000000003</v>
      </c>
      <c r="D39" s="1"/>
      <c r="E39" s="1">
        <f>VLOOKUP(A39,[1]TDSheet!$A:$G,7,0)</f>
        <v>9.8539999999999992</v>
      </c>
      <c r="F39" s="1">
        <v>25.312000000000001</v>
      </c>
      <c r="G39" s="7">
        <v>1</v>
      </c>
      <c r="H39" s="1"/>
      <c r="I39" s="1"/>
      <c r="J39" s="1"/>
      <c r="K39" s="1">
        <f>VLOOKUP(A39,[2]TDSheet!$A:$E,5,0)</f>
        <v>3.5</v>
      </c>
      <c r="L39" s="1">
        <f t="shared" si="1"/>
        <v>6.3539999999999992</v>
      </c>
      <c r="M39" s="1"/>
      <c r="N39" s="1"/>
      <c r="O39" s="1">
        <v>130.38600000000002</v>
      </c>
      <c r="P39" s="1"/>
      <c r="Q39" s="1">
        <f t="shared" si="2"/>
        <v>1.9707999999999999</v>
      </c>
      <c r="R39" s="9"/>
      <c r="S39" s="9"/>
      <c r="T39" s="1"/>
      <c r="U39" s="1">
        <f t="shared" si="3"/>
        <v>79.002435559163814</v>
      </c>
      <c r="V39" s="1">
        <f t="shared" si="4"/>
        <v>79.002435559163814</v>
      </c>
      <c r="W39" s="1">
        <v>8.595600000000001</v>
      </c>
      <c r="X39" s="1">
        <v>1.8504</v>
      </c>
      <c r="Y39" s="1">
        <v>8.2704000000000004</v>
      </c>
      <c r="Z39" s="1">
        <v>4.3764000000000003</v>
      </c>
      <c r="AA39" s="1">
        <v>7.2476000000000003</v>
      </c>
      <c r="AB39" s="15" t="s">
        <v>83</v>
      </c>
      <c r="AC39" s="1">
        <f t="shared" si="5"/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35">
      <c r="A40" s="1" t="s">
        <v>68</v>
      </c>
      <c r="B40" s="1" t="s">
        <v>36</v>
      </c>
      <c r="C40" s="1">
        <v>34</v>
      </c>
      <c r="D40" s="1">
        <v>84</v>
      </c>
      <c r="E40" s="1">
        <f>VLOOKUP(A40,[1]TDSheet!$A:$G,7,0)</f>
        <v>34</v>
      </c>
      <c r="F40" s="1">
        <v>84</v>
      </c>
      <c r="G40" s="7">
        <v>0.1</v>
      </c>
      <c r="H40" s="1">
        <v>60</v>
      </c>
      <c r="I40" s="1"/>
      <c r="J40" s="1"/>
      <c r="K40" s="1">
        <f>VLOOKUP(A40,[2]TDSheet!$A:$E,5,0)</f>
        <v>204</v>
      </c>
      <c r="L40" s="1">
        <f t="shared" si="1"/>
        <v>-170</v>
      </c>
      <c r="M40" s="1"/>
      <c r="N40" s="1"/>
      <c r="O40" s="1">
        <v>250</v>
      </c>
      <c r="P40" s="1"/>
      <c r="Q40" s="1">
        <f t="shared" si="2"/>
        <v>6.8</v>
      </c>
      <c r="R40" s="9"/>
      <c r="S40" s="9"/>
      <c r="T40" s="1"/>
      <c r="U40" s="1">
        <f t="shared" si="3"/>
        <v>49.117647058823529</v>
      </c>
      <c r="V40" s="1">
        <f t="shared" si="4"/>
        <v>49.117647058823529</v>
      </c>
      <c r="W40" s="1">
        <v>13.8</v>
      </c>
      <c r="X40" s="1">
        <v>9.1999999999999993</v>
      </c>
      <c r="Y40" s="1">
        <v>-0.2</v>
      </c>
      <c r="Z40" s="1">
        <v>1.8</v>
      </c>
      <c r="AA40" s="1">
        <v>13</v>
      </c>
      <c r="AB40" s="15" t="s">
        <v>83</v>
      </c>
      <c r="AC40" s="1">
        <f t="shared" si="5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35">
      <c r="A41" s="1" t="s">
        <v>69</v>
      </c>
      <c r="B41" s="1" t="s">
        <v>36</v>
      </c>
      <c r="C41" s="1">
        <v>234</v>
      </c>
      <c r="D41" s="1"/>
      <c r="E41" s="1">
        <f>VLOOKUP(A41,[1]TDSheet!$A:$G,7,0)</f>
        <v>76</v>
      </c>
      <c r="F41" s="1">
        <v>125</v>
      </c>
      <c r="G41" s="7">
        <v>0.1</v>
      </c>
      <c r="H41" s="1">
        <v>90</v>
      </c>
      <c r="I41" s="1"/>
      <c r="J41" s="1"/>
      <c r="K41" s="1">
        <f>VLOOKUP(A41,[2]TDSheet!$A:$E,5,0)</f>
        <v>254</v>
      </c>
      <c r="L41" s="1">
        <f t="shared" si="1"/>
        <v>-178</v>
      </c>
      <c r="M41" s="1"/>
      <c r="N41" s="1"/>
      <c r="O41" s="1">
        <v>30</v>
      </c>
      <c r="P41" s="1"/>
      <c r="Q41" s="1">
        <f t="shared" si="2"/>
        <v>15.2</v>
      </c>
      <c r="R41" s="9">
        <f t="shared" si="6"/>
        <v>149</v>
      </c>
      <c r="S41" s="9"/>
      <c r="T41" s="1"/>
      <c r="U41" s="1">
        <f t="shared" si="3"/>
        <v>20</v>
      </c>
      <c r="V41" s="1">
        <f t="shared" si="4"/>
        <v>10.197368421052632</v>
      </c>
      <c r="W41" s="1">
        <v>12.6</v>
      </c>
      <c r="X41" s="1">
        <v>11.2</v>
      </c>
      <c r="Y41" s="1">
        <v>11</v>
      </c>
      <c r="Z41" s="1">
        <v>18.2</v>
      </c>
      <c r="AA41" s="1">
        <v>1.4</v>
      </c>
      <c r="AB41" s="1"/>
      <c r="AC41" s="1">
        <f t="shared" si="5"/>
        <v>14.9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35">
      <c r="A42" s="1" t="s">
        <v>70</v>
      </c>
      <c r="B42" s="1" t="s">
        <v>36</v>
      </c>
      <c r="C42" s="1">
        <v>259</v>
      </c>
      <c r="D42" s="1"/>
      <c r="E42" s="1">
        <f>VLOOKUP(A42,[1]TDSheet!$A:$G,7,0)</f>
        <v>77</v>
      </c>
      <c r="F42" s="1">
        <v>182</v>
      </c>
      <c r="G42" s="7">
        <v>0.14000000000000001</v>
      </c>
      <c r="H42" s="1">
        <v>180</v>
      </c>
      <c r="I42" s="1"/>
      <c r="J42" s="1"/>
      <c r="K42" s="1">
        <f>VLOOKUP(A42,[2]TDSheet!$A:$E,5,0)</f>
        <v>19</v>
      </c>
      <c r="L42" s="1">
        <f t="shared" si="1"/>
        <v>58</v>
      </c>
      <c r="M42" s="1"/>
      <c r="N42" s="1"/>
      <c r="O42" s="1"/>
      <c r="P42" s="1"/>
      <c r="Q42" s="1">
        <f t="shared" si="2"/>
        <v>15.4</v>
      </c>
      <c r="R42" s="9">
        <f t="shared" si="6"/>
        <v>126</v>
      </c>
      <c r="S42" s="9"/>
      <c r="T42" s="1"/>
      <c r="U42" s="1">
        <f t="shared" si="3"/>
        <v>20</v>
      </c>
      <c r="V42" s="1">
        <f t="shared" si="4"/>
        <v>11.818181818181818</v>
      </c>
      <c r="W42" s="1">
        <v>7</v>
      </c>
      <c r="X42" s="1">
        <v>5.8</v>
      </c>
      <c r="Y42" s="1">
        <v>11.2</v>
      </c>
      <c r="Z42" s="1">
        <v>3.6</v>
      </c>
      <c r="AA42" s="1">
        <v>0</v>
      </c>
      <c r="AB42" s="1"/>
      <c r="AC42" s="1">
        <f t="shared" si="5"/>
        <v>17.64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35">
      <c r="A43" s="1" t="s">
        <v>71</v>
      </c>
      <c r="B43" s="1" t="s">
        <v>36</v>
      </c>
      <c r="C43" s="1">
        <v>84</v>
      </c>
      <c r="D43" s="1">
        <v>192</v>
      </c>
      <c r="E43" s="1">
        <f>VLOOKUP(A43,[1]TDSheet!$A:$G,7,0)</f>
        <v>52</v>
      </c>
      <c r="F43" s="1">
        <v>205</v>
      </c>
      <c r="G43" s="7">
        <v>0.14000000000000001</v>
      </c>
      <c r="H43" s="1">
        <v>180</v>
      </c>
      <c r="I43" s="1"/>
      <c r="J43" s="1"/>
      <c r="K43" s="1">
        <f>VLOOKUP(A43,[2]TDSheet!$A:$E,5,0)</f>
        <v>32</v>
      </c>
      <c r="L43" s="1">
        <f t="shared" si="1"/>
        <v>20</v>
      </c>
      <c r="M43" s="1"/>
      <c r="N43" s="1"/>
      <c r="O43" s="1"/>
      <c r="P43" s="1"/>
      <c r="Q43" s="1">
        <f t="shared" si="2"/>
        <v>10.4</v>
      </c>
      <c r="R43" s="9"/>
      <c r="S43" s="9"/>
      <c r="T43" s="1"/>
      <c r="U43" s="1">
        <f t="shared" si="3"/>
        <v>19.71153846153846</v>
      </c>
      <c r="V43" s="1">
        <f t="shared" si="4"/>
        <v>19.71153846153846</v>
      </c>
      <c r="W43" s="1">
        <v>12.8</v>
      </c>
      <c r="X43" s="1">
        <v>7.4</v>
      </c>
      <c r="Y43" s="1">
        <v>15.2</v>
      </c>
      <c r="Z43" s="1">
        <v>7.2</v>
      </c>
      <c r="AA43" s="1">
        <v>6</v>
      </c>
      <c r="AB43" s="1"/>
      <c r="AC43" s="1">
        <f t="shared" si="5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35">
      <c r="A44" s="11" t="s">
        <v>72</v>
      </c>
      <c r="B44" s="11" t="s">
        <v>36</v>
      </c>
      <c r="C44" s="11">
        <v>21</v>
      </c>
      <c r="D44" s="11"/>
      <c r="E44" s="14">
        <f>VLOOKUP(A44,[1]TDSheet!$A:$G,7,0)</f>
        <v>-4</v>
      </c>
      <c r="F44" s="14">
        <v>21</v>
      </c>
      <c r="G44" s="12">
        <v>0</v>
      </c>
      <c r="H44" s="11"/>
      <c r="I44" s="11" t="s">
        <v>73</v>
      </c>
      <c r="J44" s="11" t="s">
        <v>74</v>
      </c>
      <c r="K44" s="11">
        <f>VLOOKUP(A44,[2]TDSheet!$A:$E,5,0)</f>
        <v>21</v>
      </c>
      <c r="L44" s="11">
        <f t="shared" si="1"/>
        <v>-25</v>
      </c>
      <c r="M44" s="11"/>
      <c r="N44" s="11"/>
      <c r="O44" s="11"/>
      <c r="P44" s="11"/>
      <c r="Q44" s="11">
        <f t="shared" si="2"/>
        <v>-0.8</v>
      </c>
      <c r="R44" s="13"/>
      <c r="S44" s="13"/>
      <c r="T44" s="11"/>
      <c r="U44" s="11">
        <f t="shared" si="3"/>
        <v>-26.25</v>
      </c>
      <c r="V44" s="11">
        <f t="shared" si="4"/>
        <v>-26.25</v>
      </c>
      <c r="W44" s="11">
        <v>0</v>
      </c>
      <c r="X44" s="11">
        <v>0</v>
      </c>
      <c r="Y44" s="11">
        <v>1</v>
      </c>
      <c r="Z44" s="11">
        <v>15</v>
      </c>
      <c r="AA44" s="11">
        <v>21</v>
      </c>
      <c r="AB44" s="11"/>
      <c r="AC44" s="1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35">
      <c r="A45" s="1" t="s">
        <v>74</v>
      </c>
      <c r="B45" s="1" t="s">
        <v>36</v>
      </c>
      <c r="C45" s="1">
        <v>120</v>
      </c>
      <c r="D45" s="1"/>
      <c r="E45" s="14">
        <f>VLOOKUP(A45,[1]TDSheet!$A:$G,7,0)+E44</f>
        <v>79</v>
      </c>
      <c r="F45" s="14">
        <f>27+F44</f>
        <v>48</v>
      </c>
      <c r="G45" s="7">
        <v>0.2</v>
      </c>
      <c r="H45" s="1"/>
      <c r="I45" s="1"/>
      <c r="J45" s="1"/>
      <c r="K45" s="1">
        <f>VLOOKUP(A45,[2]TDSheet!$A:$E,5,0)</f>
        <v>83</v>
      </c>
      <c r="L45" s="1">
        <f t="shared" si="1"/>
        <v>-4</v>
      </c>
      <c r="M45" s="1"/>
      <c r="N45" s="1"/>
      <c r="O45" s="1">
        <v>227</v>
      </c>
      <c r="P45" s="1"/>
      <c r="Q45" s="1">
        <f t="shared" si="2"/>
        <v>15.8</v>
      </c>
      <c r="R45" s="9">
        <f>20*Q45-P45-O45-F45</f>
        <v>41</v>
      </c>
      <c r="S45" s="9"/>
      <c r="T45" s="1"/>
      <c r="U45" s="1">
        <f t="shared" si="3"/>
        <v>20</v>
      </c>
      <c r="V45" s="1">
        <f t="shared" si="4"/>
        <v>17.405063291139239</v>
      </c>
      <c r="W45" s="1">
        <v>16.600000000000001</v>
      </c>
      <c r="X45" s="1">
        <v>12.6</v>
      </c>
      <c r="Y45" s="1">
        <v>16.2</v>
      </c>
      <c r="Z45" s="1">
        <v>0</v>
      </c>
      <c r="AA45" s="1">
        <v>0</v>
      </c>
      <c r="AB45" s="1"/>
      <c r="AC45" s="1">
        <f>R45*G45</f>
        <v>8.2000000000000011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35">
      <c r="A46" s="11" t="s">
        <v>75</v>
      </c>
      <c r="B46" s="11" t="s">
        <v>33</v>
      </c>
      <c r="C46" s="11">
        <v>21.687999999999999</v>
      </c>
      <c r="D46" s="11"/>
      <c r="E46" s="11"/>
      <c r="F46" s="14">
        <v>21.687999999999999</v>
      </c>
      <c r="G46" s="12">
        <v>0</v>
      </c>
      <c r="H46" s="11"/>
      <c r="I46" s="11" t="s">
        <v>73</v>
      </c>
      <c r="J46" s="11" t="s">
        <v>76</v>
      </c>
      <c r="K46" s="11"/>
      <c r="L46" s="11">
        <f t="shared" si="1"/>
        <v>0</v>
      </c>
      <c r="M46" s="11"/>
      <c r="N46" s="11"/>
      <c r="O46" s="11"/>
      <c r="P46" s="11"/>
      <c r="Q46" s="11">
        <f t="shared" si="2"/>
        <v>0</v>
      </c>
      <c r="R46" s="13"/>
      <c r="S46" s="13"/>
      <c r="T46" s="11"/>
      <c r="U46" s="11" t="e">
        <f t="shared" si="3"/>
        <v>#DIV/0!</v>
      </c>
      <c r="V46" s="11" t="e">
        <f t="shared" si="4"/>
        <v>#DIV/0!</v>
      </c>
      <c r="W46" s="11">
        <v>1.9487999999999999</v>
      </c>
      <c r="X46" s="11">
        <v>-0.2034</v>
      </c>
      <c r="Y46" s="11">
        <v>0</v>
      </c>
      <c r="Z46" s="11">
        <v>0</v>
      </c>
      <c r="AA46" s="11">
        <v>1.87</v>
      </c>
      <c r="AB46" s="11"/>
      <c r="AC46" s="1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35">
      <c r="A47" s="1" t="s">
        <v>76</v>
      </c>
      <c r="B47" s="1" t="s">
        <v>33</v>
      </c>
      <c r="C47" s="1">
        <v>230.702</v>
      </c>
      <c r="D47" s="1"/>
      <c r="E47" s="1"/>
      <c r="F47" s="14">
        <f>224.202+F46</f>
        <v>245.89</v>
      </c>
      <c r="G47" s="7">
        <v>1</v>
      </c>
      <c r="H47" s="1"/>
      <c r="I47" s="1"/>
      <c r="J47" s="1"/>
      <c r="K47" s="1">
        <f>VLOOKUP(A47,[2]TDSheet!$A:$E,5,0)</f>
        <v>31.5</v>
      </c>
      <c r="L47" s="1">
        <f t="shared" si="1"/>
        <v>-31.5</v>
      </c>
      <c r="M47" s="1"/>
      <c r="N47" s="1"/>
      <c r="O47" s="1"/>
      <c r="P47" s="1"/>
      <c r="Q47" s="1">
        <f t="shared" si="2"/>
        <v>0</v>
      </c>
      <c r="R47" s="9"/>
      <c r="S47" s="9"/>
      <c r="T47" s="1"/>
      <c r="U47" s="1" t="e">
        <f t="shared" si="3"/>
        <v>#DIV/0!</v>
      </c>
      <c r="V47" s="1" t="e">
        <f t="shared" si="4"/>
        <v>#DIV/0!</v>
      </c>
      <c r="W47" s="1">
        <v>1.8716000000000002</v>
      </c>
      <c r="X47" s="1">
        <v>3.1347999999999998</v>
      </c>
      <c r="Y47" s="1">
        <v>1.3140000000000001</v>
      </c>
      <c r="Z47" s="1">
        <v>8.7316000000000003</v>
      </c>
      <c r="AA47" s="1">
        <v>2.3915999999999999</v>
      </c>
      <c r="AB47" s="1"/>
      <c r="AC47" s="1">
        <f>R47*G47</f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35">
      <c r="A48" s="11" t="s">
        <v>77</v>
      </c>
      <c r="B48" s="11" t="s">
        <v>36</v>
      </c>
      <c r="C48" s="11">
        <v>35</v>
      </c>
      <c r="D48" s="11"/>
      <c r="E48" s="11"/>
      <c r="F48" s="14">
        <v>35</v>
      </c>
      <c r="G48" s="12">
        <v>0</v>
      </c>
      <c r="H48" s="11"/>
      <c r="I48" s="11" t="s">
        <v>73</v>
      </c>
      <c r="J48" s="11" t="s">
        <v>78</v>
      </c>
      <c r="K48" s="11">
        <f>VLOOKUP(A48,[2]TDSheet!$A:$E,5,0)</f>
        <v>11</v>
      </c>
      <c r="L48" s="11">
        <f t="shared" si="1"/>
        <v>-11</v>
      </c>
      <c r="M48" s="11"/>
      <c r="N48" s="11"/>
      <c r="O48" s="11"/>
      <c r="P48" s="11"/>
      <c r="Q48" s="11">
        <f t="shared" si="2"/>
        <v>0</v>
      </c>
      <c r="R48" s="13"/>
      <c r="S48" s="13"/>
      <c r="T48" s="11"/>
      <c r="U48" s="11" t="e">
        <f t="shared" si="3"/>
        <v>#DIV/0!</v>
      </c>
      <c r="V48" s="11" t="e">
        <f t="shared" si="4"/>
        <v>#DIV/0!</v>
      </c>
      <c r="W48" s="11">
        <v>0</v>
      </c>
      <c r="X48" s="11">
        <v>0</v>
      </c>
      <c r="Y48" s="11">
        <v>0.2</v>
      </c>
      <c r="Z48" s="11">
        <v>4.2</v>
      </c>
      <c r="AA48" s="11">
        <v>14</v>
      </c>
      <c r="AB48" s="11"/>
      <c r="AC48" s="1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35">
      <c r="A49" s="1" t="s">
        <v>78</v>
      </c>
      <c r="B49" s="1" t="s">
        <v>36</v>
      </c>
      <c r="C49" s="1">
        <v>137</v>
      </c>
      <c r="D49" s="1"/>
      <c r="E49" s="1">
        <f>VLOOKUP(A49,[1]TDSheet!$A:$G,7,0)</f>
        <v>71</v>
      </c>
      <c r="F49" s="14">
        <f>52+F48</f>
        <v>87</v>
      </c>
      <c r="G49" s="7">
        <v>0.2</v>
      </c>
      <c r="H49" s="1"/>
      <c r="I49" s="1"/>
      <c r="J49" s="1"/>
      <c r="K49" s="1">
        <f>VLOOKUP(A49,[2]TDSheet!$A:$E,5,0)</f>
        <v>75</v>
      </c>
      <c r="L49" s="1">
        <f t="shared" si="1"/>
        <v>-4</v>
      </c>
      <c r="M49" s="1"/>
      <c r="N49" s="1"/>
      <c r="O49" s="1"/>
      <c r="P49" s="1"/>
      <c r="Q49" s="1">
        <f t="shared" si="2"/>
        <v>14.2</v>
      </c>
      <c r="R49" s="9">
        <f t="shared" ref="R49:R50" si="7">20*Q49-P49-O49-F49</f>
        <v>197</v>
      </c>
      <c r="S49" s="9"/>
      <c r="T49" s="1"/>
      <c r="U49" s="1">
        <f t="shared" si="3"/>
        <v>20</v>
      </c>
      <c r="V49" s="1">
        <f t="shared" si="4"/>
        <v>6.126760563380282</v>
      </c>
      <c r="W49" s="1">
        <v>10</v>
      </c>
      <c r="X49" s="1">
        <v>2</v>
      </c>
      <c r="Y49" s="1">
        <v>10.6</v>
      </c>
      <c r="Z49" s="1">
        <v>0</v>
      </c>
      <c r="AA49" s="1">
        <v>0</v>
      </c>
      <c r="AB49" s="1"/>
      <c r="AC49" s="1">
        <f>R49*G49</f>
        <v>39.400000000000006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35">
      <c r="A50" s="1" t="s">
        <v>79</v>
      </c>
      <c r="B50" s="1" t="s">
        <v>33</v>
      </c>
      <c r="C50" s="1">
        <v>212.68199999999999</v>
      </c>
      <c r="D50" s="1">
        <v>374.29599999999999</v>
      </c>
      <c r="E50" s="1">
        <f>VLOOKUP(A50,[1]TDSheet!$A:$G,7,0)</f>
        <v>122.944</v>
      </c>
      <c r="F50" s="1">
        <v>434.53800000000001</v>
      </c>
      <c r="G50" s="7">
        <v>1</v>
      </c>
      <c r="H50" s="1"/>
      <c r="I50" s="1"/>
      <c r="J50" s="1"/>
      <c r="K50" s="1">
        <f>VLOOKUP(A50,[2]TDSheet!$A:$E,5,0)</f>
        <v>133</v>
      </c>
      <c r="L50" s="1">
        <f t="shared" si="1"/>
        <v>-10.055999999999997</v>
      </c>
      <c r="M50" s="1"/>
      <c r="N50" s="1"/>
      <c r="O50" s="1"/>
      <c r="P50" s="1"/>
      <c r="Q50" s="1">
        <f t="shared" si="2"/>
        <v>24.588799999999999</v>
      </c>
      <c r="R50" s="9">
        <f t="shared" si="7"/>
        <v>57.237999999999943</v>
      </c>
      <c r="S50" s="9"/>
      <c r="T50" s="1"/>
      <c r="U50" s="1">
        <f t="shared" si="3"/>
        <v>20</v>
      </c>
      <c r="V50" s="1">
        <f t="shared" si="4"/>
        <v>17.672192217595004</v>
      </c>
      <c r="W50" s="1">
        <v>8.9732000000000003</v>
      </c>
      <c r="X50" s="1">
        <v>25.730399999999999</v>
      </c>
      <c r="Y50" s="1">
        <v>32.08</v>
      </c>
      <c r="Z50" s="1">
        <v>22.0228</v>
      </c>
      <c r="AA50" s="1">
        <v>20.520800000000001</v>
      </c>
      <c r="AB50" s="1"/>
      <c r="AC50" s="1">
        <f>R50*G50</f>
        <v>57.237999999999943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35">
      <c r="A51" s="1" t="s">
        <v>80</v>
      </c>
      <c r="B51" s="1" t="s">
        <v>36</v>
      </c>
      <c r="C51" s="1"/>
      <c r="D51" s="1"/>
      <c r="E51" s="1"/>
      <c r="F51" s="1"/>
      <c r="G51" s="7">
        <v>0.18</v>
      </c>
      <c r="H51" s="1">
        <f>VLOOKUP(A51,[3]TDSheet!$A:$I,9,0)</f>
        <v>150</v>
      </c>
      <c r="I51" s="1"/>
      <c r="J51" s="1"/>
      <c r="K51" s="1"/>
      <c r="L51" s="1"/>
      <c r="M51" s="1"/>
      <c r="N51" s="1"/>
      <c r="O51" s="1"/>
      <c r="P51" s="1">
        <v>100</v>
      </c>
      <c r="Q51" s="1">
        <f t="shared" si="2"/>
        <v>0</v>
      </c>
      <c r="R51" s="9"/>
      <c r="S51" s="9"/>
      <c r="T51" s="1"/>
      <c r="U51" s="1" t="e">
        <f t="shared" si="3"/>
        <v>#DIV/0!</v>
      </c>
      <c r="V51" s="1" t="e">
        <f t="shared" si="4"/>
        <v>#DIV/0!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/>
      <c r="AC51" s="1">
        <f>R51*G51</f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35">
      <c r="A52" s="1" t="s">
        <v>81</v>
      </c>
      <c r="B52" s="1" t="s">
        <v>36</v>
      </c>
      <c r="C52" s="1"/>
      <c r="D52" s="1"/>
      <c r="E52" s="1"/>
      <c r="F52" s="1"/>
      <c r="G52" s="7">
        <v>0.18</v>
      </c>
      <c r="H52" s="1"/>
      <c r="I52" s="1"/>
      <c r="J52" s="1"/>
      <c r="K52" s="1"/>
      <c r="L52" s="1"/>
      <c r="M52" s="1"/>
      <c r="N52" s="1"/>
      <c r="O52" s="1"/>
      <c r="P52" s="1">
        <v>150</v>
      </c>
      <c r="Q52" s="1">
        <f t="shared" si="2"/>
        <v>0</v>
      </c>
      <c r="R52" s="9"/>
      <c r="S52" s="9"/>
      <c r="T52" s="1"/>
      <c r="U52" s="1" t="e">
        <f t="shared" si="3"/>
        <v>#DIV/0!</v>
      </c>
      <c r="V52" s="1" t="e">
        <f t="shared" si="4"/>
        <v>#DIV/0!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/>
      <c r="AC52" s="1">
        <f>R52*G52</f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35">
      <c r="A53" s="1" t="s">
        <v>82</v>
      </c>
      <c r="B53" s="1" t="s">
        <v>36</v>
      </c>
      <c r="C53" s="1"/>
      <c r="D53" s="1"/>
      <c r="E53" s="1"/>
      <c r="F53" s="1"/>
      <c r="G53" s="7">
        <v>0.18</v>
      </c>
      <c r="H53" s="1"/>
      <c r="I53" s="1"/>
      <c r="J53" s="1"/>
      <c r="K53" s="1"/>
      <c r="L53" s="1"/>
      <c r="M53" s="1"/>
      <c r="N53" s="1"/>
      <c r="O53" s="1"/>
      <c r="P53" s="1">
        <v>150</v>
      </c>
      <c r="Q53" s="1">
        <f t="shared" si="2"/>
        <v>0</v>
      </c>
      <c r="R53" s="9"/>
      <c r="S53" s="9"/>
      <c r="T53" s="1"/>
      <c r="U53" s="1" t="e">
        <f t="shared" si="3"/>
        <v>#DIV/0!</v>
      </c>
      <c r="V53" s="1" t="e">
        <f t="shared" si="4"/>
        <v>#DIV/0!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/>
      <c r="AC53" s="1">
        <f>R53*G53</f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3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3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3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3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3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3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3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3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3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3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3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3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3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3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3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3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3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3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3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3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3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3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3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3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3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3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3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3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3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3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3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3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3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3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3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3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3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3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3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3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3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3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3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3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3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3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3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3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3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3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3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3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3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3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3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3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3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3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3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3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3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3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3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3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3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3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3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3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3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3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3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3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3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3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3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3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</sheetData>
  <autoFilter ref="A3:AC53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2026-01-26T07:51:28Z</dcterms:created>
  <dcterms:modified xsi:type="dcterms:W3CDTF">2026-06-30T09:08:28Z</dcterms:modified>
</cp:coreProperties>
</file>