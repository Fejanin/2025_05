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0880B4E1-F820-4C29-9FE2-60CF6CDD147C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externalReferences>
    <externalReference r:id="rId3"/>
  </externalReferences>
  <definedNames>
    <definedName name="_xlnm._FilterDatabase" localSheetId="0" hidden="1">Sheet!$A$3:$Y$53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" i="1" l="1"/>
  <c r="S8" i="1"/>
  <c r="S9" i="1"/>
  <c r="S10" i="1"/>
  <c r="S11" i="1"/>
  <c r="S12" i="1"/>
  <c r="S14" i="1"/>
  <c r="S15" i="1"/>
  <c r="S16" i="1"/>
  <c r="S18" i="1"/>
  <c r="S19" i="1"/>
  <c r="S20" i="1"/>
  <c r="S21" i="1"/>
  <c r="S22" i="1"/>
  <c r="S23" i="1"/>
  <c r="S24" i="1"/>
  <c r="S27" i="1"/>
  <c r="S28" i="1"/>
  <c r="S29" i="1"/>
  <c r="S31" i="1"/>
  <c r="S32" i="1"/>
  <c r="S33" i="1"/>
  <c r="S34" i="1"/>
  <c r="S35" i="1"/>
  <c r="S36" i="1"/>
  <c r="S37" i="1"/>
  <c r="S38" i="1"/>
  <c r="S42" i="1"/>
  <c r="S43" i="1"/>
  <c r="S44" i="1"/>
  <c r="S45" i="1"/>
  <c r="S46" i="1"/>
  <c r="S47" i="1"/>
  <c r="S48" i="1"/>
  <c r="S49" i="1"/>
  <c r="S50" i="1"/>
  <c r="S51" i="1"/>
  <c r="S52" i="1"/>
  <c r="S53" i="1"/>
  <c r="S6" i="1"/>
  <c r="S5" i="1" l="1"/>
  <c r="R10" i="1"/>
  <c r="R5" i="1" s="1"/>
  <c r="R11" i="1"/>
  <c r="R17" i="1"/>
  <c r="Y17" i="1" s="1"/>
  <c r="R25" i="1"/>
  <c r="Y25" i="1" s="1"/>
  <c r="R26" i="1"/>
  <c r="Y26" i="1" s="1"/>
  <c r="R30" i="1"/>
  <c r="R39" i="1"/>
  <c r="R40" i="1"/>
  <c r="R41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4" i="1"/>
  <c r="Y23" i="1"/>
  <c r="Y22" i="1"/>
  <c r="Y21" i="1"/>
  <c r="Y20" i="1"/>
  <c r="Y19" i="1"/>
  <c r="Y18" i="1"/>
  <c r="Y16" i="1"/>
  <c r="Y15" i="1"/>
  <c r="Y14" i="1"/>
  <c r="Y13" i="1"/>
  <c r="Y12" i="1"/>
  <c r="Y11" i="1"/>
  <c r="Y10" i="1"/>
  <c r="Y9" i="1"/>
  <c r="Y8" i="1"/>
  <c r="Y7" i="1"/>
  <c r="Y6" i="1"/>
  <c r="T7" i="1"/>
  <c r="T8" i="1"/>
  <c r="T9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7" i="1"/>
  <c r="T28" i="1"/>
  <c r="T29" i="1"/>
  <c r="T31" i="1"/>
  <c r="T32" i="1"/>
  <c r="T33" i="1"/>
  <c r="T34" i="1"/>
  <c r="T35" i="1"/>
  <c r="T36" i="1"/>
  <c r="T37" i="1"/>
  <c r="T38" i="1"/>
  <c r="T42" i="1"/>
  <c r="T43" i="1"/>
  <c r="T44" i="1"/>
  <c r="T45" i="1"/>
  <c r="T46" i="1"/>
  <c r="T47" i="1"/>
  <c r="T48" i="1"/>
  <c r="T49" i="1"/>
  <c r="T50" i="1"/>
  <c r="T51" i="1"/>
  <c r="T52" i="1"/>
  <c r="T53" i="1"/>
  <c r="T6" i="1"/>
  <c r="T5" i="1" l="1"/>
  <c r="P7" i="1"/>
  <c r="P8" i="1"/>
  <c r="U8" i="1" s="1"/>
  <c r="P9" i="1"/>
  <c r="P10" i="1"/>
  <c r="U10" i="1" s="1"/>
  <c r="P11" i="1"/>
  <c r="P12" i="1"/>
  <c r="U12" i="1" s="1"/>
  <c r="P13" i="1"/>
  <c r="P14" i="1"/>
  <c r="U14" i="1" s="1"/>
  <c r="P15" i="1"/>
  <c r="P16" i="1"/>
  <c r="U16" i="1" s="1"/>
  <c r="P17" i="1"/>
  <c r="P18" i="1"/>
  <c r="U18" i="1" s="1"/>
  <c r="P19" i="1"/>
  <c r="P20" i="1"/>
  <c r="U20" i="1" s="1"/>
  <c r="P21" i="1"/>
  <c r="P22" i="1"/>
  <c r="U22" i="1" s="1"/>
  <c r="P23" i="1"/>
  <c r="P24" i="1"/>
  <c r="U24" i="1" s="1"/>
  <c r="P25" i="1"/>
  <c r="P26" i="1"/>
  <c r="U26" i="1" s="1"/>
  <c r="P27" i="1"/>
  <c r="P28" i="1"/>
  <c r="U28" i="1" s="1"/>
  <c r="P29" i="1"/>
  <c r="P30" i="1"/>
  <c r="U30" i="1" s="1"/>
  <c r="P31" i="1"/>
  <c r="P32" i="1"/>
  <c r="U32" i="1" s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6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W5" i="1"/>
  <c r="Q5" i="1"/>
  <c r="O5" i="1"/>
  <c r="N5" i="1"/>
  <c r="M5" i="1"/>
  <c r="K5" i="1"/>
  <c r="F5" i="1"/>
  <c r="E5" i="1"/>
  <c r="V6" i="1" l="1"/>
  <c r="U6" i="1"/>
  <c r="V52" i="1"/>
  <c r="U52" i="1"/>
  <c r="V50" i="1"/>
  <c r="U50" i="1"/>
  <c r="V48" i="1"/>
  <c r="U48" i="1"/>
  <c r="V46" i="1"/>
  <c r="U46" i="1"/>
  <c r="V44" i="1"/>
  <c r="U44" i="1"/>
  <c r="V42" i="1"/>
  <c r="U42" i="1"/>
  <c r="V40" i="1"/>
  <c r="U40" i="1"/>
  <c r="V38" i="1"/>
  <c r="U38" i="1"/>
  <c r="V36" i="1"/>
  <c r="U36" i="1"/>
  <c r="V34" i="1"/>
  <c r="U34" i="1"/>
  <c r="V53" i="1"/>
  <c r="U53" i="1"/>
  <c r="V51" i="1"/>
  <c r="U51" i="1"/>
  <c r="V49" i="1"/>
  <c r="U49" i="1"/>
  <c r="V47" i="1"/>
  <c r="U47" i="1"/>
  <c r="V45" i="1"/>
  <c r="U45" i="1"/>
  <c r="V43" i="1"/>
  <c r="U43" i="1"/>
  <c r="V41" i="1"/>
  <c r="U41" i="1"/>
  <c r="V39" i="1"/>
  <c r="U39" i="1"/>
  <c r="V37" i="1"/>
  <c r="U37" i="1"/>
  <c r="V35" i="1"/>
  <c r="U35" i="1"/>
  <c r="V33" i="1"/>
  <c r="U33" i="1"/>
  <c r="V31" i="1"/>
  <c r="U31" i="1"/>
  <c r="V29" i="1"/>
  <c r="U29" i="1"/>
  <c r="V27" i="1"/>
  <c r="U27" i="1"/>
  <c r="V25" i="1"/>
  <c r="U25" i="1"/>
  <c r="V23" i="1"/>
  <c r="U23" i="1"/>
  <c r="V21" i="1"/>
  <c r="U21" i="1"/>
  <c r="V19" i="1"/>
  <c r="U19" i="1"/>
  <c r="V17" i="1"/>
  <c r="U17" i="1"/>
  <c r="V15" i="1"/>
  <c r="U15" i="1"/>
  <c r="V13" i="1"/>
  <c r="U13" i="1"/>
  <c r="V11" i="1"/>
  <c r="U11" i="1"/>
  <c r="V9" i="1"/>
  <c r="U9" i="1"/>
  <c r="V7" i="1"/>
  <c r="U7" i="1"/>
  <c r="V32" i="1"/>
  <c r="V30" i="1"/>
  <c r="V28" i="1"/>
  <c r="V26" i="1"/>
  <c r="V24" i="1"/>
  <c r="V22" i="1"/>
  <c r="V20" i="1"/>
  <c r="V18" i="1"/>
  <c r="V16" i="1"/>
  <c r="V14" i="1"/>
  <c r="V12" i="1"/>
  <c r="V10" i="1"/>
  <c r="V8" i="1"/>
  <c r="P5" i="1"/>
  <c r="Y5" i="1"/>
  <c r="L5" i="1"/>
</calcChain>
</file>

<file path=xl/sharedStrings.xml><?xml version="1.0" encoding="utf-8"?>
<sst xmlns="http://schemas.openxmlformats.org/spreadsheetml/2006/main" count="170" uniqueCount="82">
  <si>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</si>
  <si>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</si>
  <si>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</si>
  <si>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</si>
  <si>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</si>
  <si>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</si>
  <si>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</si>
  <si>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</si>
  <si>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</si>
  <si>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</si>
  <si>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</si>
  <si>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</si>
  <si>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</si>
  <si>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</si>
  <si>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</si>
  <si>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</si>
  <si>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</si>
  <si>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</si>
  <si>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</si>
  <si>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</si>
  <si>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</si>
  <si>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</si>
  <si>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30,09,</t>
  </si>
  <si>
    <t>нет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</si>
  <si>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</si>
  <si>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</si>
  <si>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</si>
  <si>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</si>
  <si>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</si>
  <si>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</si>
  <si>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</si>
  <si>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24,09,26 - 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</si>
  <si>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</si>
  <si>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</si>
  <si>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</si>
  <si>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</si>
  <si>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</si>
  <si>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</si>
  <si>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</si>
  <si>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</si>
  <si>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</si>
  <si>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</si>
  <si>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</si>
  <si>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</si>
  <si>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</si>
  <si>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</si>
  <si>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</si>
  <si>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</si>
  <si>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</si>
  <si>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</si>
  <si>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</si>
  <si>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</si>
  <si>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</si>
  <si>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</si>
  <si>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</si>
  <si>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</si>
  <si>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</si>
  <si>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</si>
  <si>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</si>
  <si>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</si>
  <si>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</si>
  <si>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</si>
  <si>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</si>
  <si>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</si>
  <si>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</si>
  <si>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</si>
  <si>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</si>
  <si>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</si>
  <si>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</si>
  <si>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</si>
  <si>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</si>
  <si>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</si>
  <si>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</si>
  <si>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</si>
  <si>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</si>
  <si>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28,09,</t>
  </si>
  <si>
    <t>нужно увеличить продажи</t>
  </si>
  <si>
    <t>ТК</t>
  </si>
  <si>
    <t>Титенко</t>
  </si>
  <si>
    <t>итого</t>
  </si>
  <si>
    <t>заказ</t>
  </si>
  <si>
    <t>05,10,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</si>
</sst>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4" fillId="4" borderId="1" xfId="1" applyNumberFormat="1" applyFont="1" applyFill="1"/>
    <xf numFmtId="164" fontId="1" fillId="0" borderId="1" xfId="1" applyNumberForma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7;&#1067;&#1056;&#1067;/_&#1076;&#1074;%2030,09,26%20&#1084;&#1088;&#1088;&#1089;&#1095;%20&#1086;&#1089;&#1090;%20&#1089;&#1099;&#1088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28,09,</v>
          </cell>
          <cell r="P4" t="str">
            <v>30,09,</v>
          </cell>
        </row>
        <row r="5">
          <cell r="E5">
            <v>204.73000000000002</v>
          </cell>
          <cell r="F5">
            <v>181.27199999999999</v>
          </cell>
          <cell r="K5">
            <v>443</v>
          </cell>
          <cell r="L5">
            <v>-238.27</v>
          </cell>
          <cell r="M5">
            <v>0</v>
          </cell>
          <cell r="N5">
            <v>0</v>
          </cell>
          <cell r="O5">
            <v>3416</v>
          </cell>
          <cell r="P5">
            <v>40.945999999999998</v>
          </cell>
          <cell r="Q5">
            <v>179</v>
          </cell>
          <cell r="R5">
            <v>3070</v>
          </cell>
        </row>
        <row r="6">
          <cell r="A6" t="str">
            <v>1103201 Сыр копченый "Косичка" мини ПАПА МОЖЕТ 55г лоток  ОСТАНКИНО</v>
          </cell>
          <cell r="B6" t="str">
            <v>шт</v>
          </cell>
          <cell r="G6">
            <v>5.5E-2</v>
          </cell>
          <cell r="H6">
            <v>120</v>
          </cell>
          <cell r="L6">
            <v>0</v>
          </cell>
          <cell r="O6">
            <v>24</v>
          </cell>
          <cell r="P6">
            <v>0</v>
          </cell>
          <cell r="R6">
            <v>100</v>
          </cell>
        </row>
        <row r="7">
          <cell r="A7" t="str">
            <v>2103201 БЖП, произведенный по технологии сыра копченый "Косичка" мини Ассорти  ОСТАНКИНО</v>
          </cell>
          <cell r="B7" t="str">
            <v>шт</v>
          </cell>
          <cell r="G7">
            <v>0.1</v>
          </cell>
          <cell r="H7">
            <v>120</v>
          </cell>
          <cell r="L7">
            <v>0</v>
          </cell>
          <cell r="O7">
            <v>24</v>
          </cell>
          <cell r="P7">
            <v>0</v>
          </cell>
          <cell r="R7">
            <v>50</v>
          </cell>
        </row>
        <row r="8">
          <cell r="A8" t="str">
            <v>2105201 БЖП, произведенный по технологии сыра копченый "Балык" резаный 4 вкуса  ОСТАНКИНО</v>
          </cell>
          <cell r="B8" t="str">
            <v>шт</v>
          </cell>
          <cell r="G8">
            <v>0.1</v>
          </cell>
          <cell r="H8">
            <v>120</v>
          </cell>
          <cell r="L8">
            <v>0</v>
          </cell>
          <cell r="O8">
            <v>24</v>
          </cell>
          <cell r="P8">
            <v>0</v>
          </cell>
          <cell r="R8">
            <v>50</v>
          </cell>
        </row>
        <row r="9">
          <cell r="A9" t="str">
            <v>3323 Сыр Российский цилиндр 1/4 пленка ЮКМП м.д.ж. 50%  ОСТАНКИНО</v>
          </cell>
          <cell r="B9" t="str">
            <v>кг</v>
          </cell>
          <cell r="G9">
            <v>1</v>
          </cell>
          <cell r="H9">
            <v>120</v>
          </cell>
          <cell r="L9">
            <v>0</v>
          </cell>
          <cell r="O9">
            <v>80</v>
          </cell>
          <cell r="P9">
            <v>0</v>
          </cell>
          <cell r="R9">
            <v>100</v>
          </cell>
        </row>
        <row r="10">
          <cell r="A10" t="str">
            <v>4421577 Спред растительно-сливочный "Сливочный вкус" 82,5% 180гр  Останкино</v>
          </cell>
          <cell r="B10" t="str">
            <v>шт</v>
          </cell>
          <cell r="G10">
            <v>0.18</v>
          </cell>
          <cell r="H10">
            <v>180</v>
          </cell>
          <cell r="L10">
            <v>0</v>
          </cell>
          <cell r="O10">
            <v>0</v>
          </cell>
          <cell r="P10">
            <v>0</v>
          </cell>
          <cell r="Q10">
            <v>12</v>
          </cell>
        </row>
        <row r="11">
          <cell r="A11" t="str">
            <v>4421584 Спред растительно-сливочный "Сливочный вкус" 72,5% 180гр  Останкино</v>
          </cell>
          <cell r="B11" t="str">
            <v>шт</v>
          </cell>
          <cell r="G11">
            <v>0.18</v>
          </cell>
          <cell r="H11">
            <v>180</v>
          </cell>
          <cell r="L11">
            <v>0</v>
          </cell>
          <cell r="O11">
            <v>0</v>
          </cell>
          <cell r="P11">
            <v>0</v>
          </cell>
          <cell r="Q11">
            <v>12</v>
          </cell>
        </row>
        <row r="12">
          <cell r="A12" t="str">
            <v>4931  Сыр полутвердый "Купеческий" с ароматом топленого молока, с м.д.ж. 50% ОСТАНКИНО</v>
          </cell>
          <cell r="B12" t="str">
            <v>кг</v>
          </cell>
          <cell r="G12">
            <v>1</v>
          </cell>
          <cell r="H12">
            <v>180</v>
          </cell>
          <cell r="L12">
            <v>0</v>
          </cell>
          <cell r="O12">
            <v>33</v>
          </cell>
          <cell r="P12">
            <v>0</v>
          </cell>
          <cell r="R12">
            <v>100</v>
          </cell>
        </row>
        <row r="13">
          <cell r="A13" t="str">
            <v>6948249 Майонезный соус провансаль 824,5гр деликатес.с массовой долей жирн.25% Коровино Останкино</v>
          </cell>
          <cell r="B13" t="str">
            <v>шт</v>
          </cell>
          <cell r="C13">
            <v>54</v>
          </cell>
          <cell r="E13">
            <v>2</v>
          </cell>
          <cell r="F13">
            <v>46</v>
          </cell>
          <cell r="G13">
            <v>0.82450000000000001</v>
          </cell>
          <cell r="H13">
            <v>180</v>
          </cell>
          <cell r="K13">
            <v>2</v>
          </cell>
          <cell r="L13">
            <v>0</v>
          </cell>
          <cell r="O13">
            <v>24</v>
          </cell>
          <cell r="P13">
            <v>0.4</v>
          </cell>
          <cell r="R13">
            <v>50</v>
          </cell>
        </row>
        <row r="14">
          <cell r="A14" t="str">
            <v>6948256 Майонез провансаль классич.оливковый Папа может 372гр с массовой долей жирн. 67% Останкино</v>
          </cell>
          <cell r="B14" t="str">
            <v>шт</v>
          </cell>
          <cell r="C14">
            <v>46</v>
          </cell>
          <cell r="D14">
            <v>7</v>
          </cell>
          <cell r="E14">
            <v>30</v>
          </cell>
          <cell r="F14">
            <v>9</v>
          </cell>
          <cell r="G14">
            <v>0.372</v>
          </cell>
          <cell r="H14">
            <v>180</v>
          </cell>
          <cell r="K14">
            <v>37</v>
          </cell>
          <cell r="L14">
            <v>-7</v>
          </cell>
          <cell r="O14">
            <v>96</v>
          </cell>
          <cell r="P14">
            <v>6</v>
          </cell>
          <cell r="R14">
            <v>50</v>
          </cell>
        </row>
        <row r="15">
          <cell r="A15" t="str">
            <v>6948263 Майонез провансаль классич.оливковый Папа может 744гр с массовой долей жирн. 67% Останкино</v>
          </cell>
          <cell r="B15" t="str">
            <v>шт</v>
          </cell>
          <cell r="C15">
            <v>12</v>
          </cell>
          <cell r="D15">
            <v>8</v>
          </cell>
          <cell r="E15">
            <v>18</v>
          </cell>
          <cell r="G15">
            <v>0.74399999999999999</v>
          </cell>
          <cell r="H15">
            <v>180</v>
          </cell>
          <cell r="K15">
            <v>22</v>
          </cell>
          <cell r="L15">
            <v>-4</v>
          </cell>
          <cell r="O15">
            <v>96</v>
          </cell>
          <cell r="P15">
            <v>3.6</v>
          </cell>
          <cell r="R15">
            <v>50</v>
          </cell>
        </row>
        <row r="16">
          <cell r="A16" t="str">
            <v>6948270 Майонез провансаль классич.Папа может 372гр с массовой долей жирн. 67% Останкино</v>
          </cell>
          <cell r="B16" t="str">
            <v>шт</v>
          </cell>
          <cell r="C16">
            <v>9</v>
          </cell>
          <cell r="D16">
            <v>4</v>
          </cell>
          <cell r="E16">
            <v>10</v>
          </cell>
          <cell r="F16">
            <v>-2</v>
          </cell>
          <cell r="G16">
            <v>0.372</v>
          </cell>
          <cell r="H16">
            <v>180</v>
          </cell>
          <cell r="K16">
            <v>19</v>
          </cell>
          <cell r="L16">
            <v>-9</v>
          </cell>
          <cell r="O16">
            <v>180</v>
          </cell>
          <cell r="P16">
            <v>2</v>
          </cell>
          <cell r="R16">
            <v>50</v>
          </cell>
        </row>
        <row r="17">
          <cell r="A17" t="str">
            <v>6948287 Майонез провансаль классич.Папа может 744гр с массовой долей жирн. 67% Останкино</v>
          </cell>
          <cell r="B17" t="str">
            <v>шт</v>
          </cell>
          <cell r="G17">
            <v>0.74399999999999999</v>
          </cell>
          <cell r="H17">
            <v>180</v>
          </cell>
          <cell r="K17">
            <v>5</v>
          </cell>
          <cell r="L17">
            <v>-5</v>
          </cell>
          <cell r="O17">
            <v>144</v>
          </cell>
          <cell r="P17">
            <v>0</v>
          </cell>
          <cell r="R17">
            <v>50</v>
          </cell>
        </row>
        <row r="18">
          <cell r="A18" t="str">
            <v>9988421 Творожный Сыр 60 % С маринованными огурчиками и укропом  Останкино</v>
          </cell>
          <cell r="B18" t="str">
            <v>шт</v>
          </cell>
          <cell r="G18">
            <v>0.14000000000000001</v>
          </cell>
          <cell r="H18">
            <v>180</v>
          </cell>
          <cell r="K18">
            <v>3</v>
          </cell>
          <cell r="L18">
            <v>-3</v>
          </cell>
          <cell r="O18">
            <v>16</v>
          </cell>
          <cell r="P18">
            <v>0</v>
          </cell>
          <cell r="R18">
            <v>50</v>
          </cell>
        </row>
        <row r="19">
          <cell r="A19" t="str">
            <v>9988438 Плавленый Сыр 45% "С ветчиной" СТМ"ПапаМожет" 180гр  Останкино</v>
          </cell>
          <cell r="B19" t="str">
            <v>шт</v>
          </cell>
          <cell r="G19">
            <v>0.18</v>
          </cell>
          <cell r="H19">
            <v>270</v>
          </cell>
          <cell r="K19">
            <v>6</v>
          </cell>
          <cell r="L19">
            <v>-6</v>
          </cell>
          <cell r="O19">
            <v>16</v>
          </cell>
          <cell r="P19">
            <v>0</v>
          </cell>
          <cell r="R19">
            <v>50</v>
          </cell>
        </row>
        <row r="20">
          <cell r="A20" t="str">
            <v>9988445 Плавленый Сыр 45%"С грибами" СТМ"ПапаМожет" 180 гр  Останкино</v>
          </cell>
          <cell r="B20" t="str">
            <v>шт</v>
          </cell>
          <cell r="G20">
            <v>0.18</v>
          </cell>
          <cell r="H20">
            <v>270</v>
          </cell>
          <cell r="K20">
            <v>6</v>
          </cell>
          <cell r="L20">
            <v>-6</v>
          </cell>
          <cell r="O20">
            <v>16</v>
          </cell>
          <cell r="P20">
            <v>0</v>
          </cell>
          <cell r="R20">
            <v>50</v>
          </cell>
        </row>
        <row r="21">
          <cell r="A21" t="str">
            <v>Cыр Перлини со вкусом Васаби 40% 100гр (8шт)  Останкино</v>
          </cell>
          <cell r="B21" t="str">
            <v>шт</v>
          </cell>
          <cell r="G21">
            <v>0.1</v>
          </cell>
          <cell r="H21">
            <v>60</v>
          </cell>
          <cell r="K21">
            <v>10</v>
          </cell>
          <cell r="L21">
            <v>-10</v>
          </cell>
          <cell r="P21">
            <v>0</v>
          </cell>
          <cell r="Q21">
            <v>50</v>
          </cell>
          <cell r="R21">
            <v>100</v>
          </cell>
        </row>
        <row r="22">
          <cell r="A22" t="str">
            <v>Масло "Папа может" 82,5% 180гр  Останкино</v>
          </cell>
          <cell r="B22" t="str">
            <v>шт</v>
          </cell>
          <cell r="G22">
            <v>0.18</v>
          </cell>
          <cell r="H22">
            <v>180</v>
          </cell>
          <cell r="K22">
            <v>18</v>
          </cell>
          <cell r="L22">
            <v>-18</v>
          </cell>
          <cell r="O22">
            <v>500</v>
          </cell>
          <cell r="P22">
            <v>0</v>
          </cell>
          <cell r="R22">
            <v>300</v>
          </cell>
        </row>
        <row r="23">
          <cell r="A23" t="str">
            <v>Масло сливочное 72,5 % 180 гр.(10 шт) СЛАВЯНА  Останкино</v>
          </cell>
          <cell r="B23" t="str">
            <v>шт</v>
          </cell>
          <cell r="G23">
            <v>0.18</v>
          </cell>
          <cell r="H23">
            <v>180</v>
          </cell>
          <cell r="K23">
            <v>21</v>
          </cell>
          <cell r="L23">
            <v>-21</v>
          </cell>
          <cell r="O23">
            <v>500</v>
          </cell>
          <cell r="P23">
            <v>0</v>
          </cell>
          <cell r="R23">
            <v>300</v>
          </cell>
        </row>
        <row r="24">
          <cell r="A24" t="str">
            <v>Плавленый Сыр колбасный копченый 40% СТМ"ПапаМожет"400гр  Останкино</v>
          </cell>
          <cell r="B24" t="str">
            <v>шт</v>
          </cell>
          <cell r="C24">
            <v>16</v>
          </cell>
          <cell r="F24">
            <v>16</v>
          </cell>
          <cell r="G24">
            <v>0.4</v>
          </cell>
          <cell r="H24">
            <v>270</v>
          </cell>
          <cell r="L24">
            <v>0</v>
          </cell>
          <cell r="O24">
            <v>8</v>
          </cell>
          <cell r="P24">
            <v>0</v>
          </cell>
          <cell r="R24">
            <v>30</v>
          </cell>
        </row>
        <row r="25">
          <cell r="A25" t="str">
            <v>Плавленый продукт с Сыром колбасный копченый 40% СТМ "Коровино" 400гр  Останкино</v>
          </cell>
          <cell r="B25" t="str">
            <v>шт</v>
          </cell>
          <cell r="G25">
            <v>0.4</v>
          </cell>
          <cell r="H25">
            <v>270</v>
          </cell>
          <cell r="L25">
            <v>0</v>
          </cell>
          <cell r="O25">
            <v>28</v>
          </cell>
          <cell r="P25">
            <v>0</v>
          </cell>
        </row>
        <row r="26">
          <cell r="A26" t="str">
            <v>Плавленый сыр "Шоколадный" 30% 180гр Папа Может Останкино</v>
          </cell>
          <cell r="B26" t="str">
            <v>шт</v>
          </cell>
          <cell r="C26">
            <v>32</v>
          </cell>
          <cell r="F26">
            <v>32</v>
          </cell>
          <cell r="G26">
            <v>0.18</v>
          </cell>
          <cell r="H26">
            <v>270</v>
          </cell>
          <cell r="L26">
            <v>0</v>
          </cell>
          <cell r="P26">
            <v>0</v>
          </cell>
        </row>
        <row r="27">
          <cell r="A27" t="str">
            <v>Продукт По-Росийски Классический с ЗМЖ 50% 200г Коровино Останкино</v>
          </cell>
          <cell r="B27" t="str">
            <v>шт</v>
          </cell>
          <cell r="G27">
            <v>0.2</v>
          </cell>
          <cell r="H27">
            <v>120</v>
          </cell>
          <cell r="L27">
            <v>0</v>
          </cell>
          <cell r="O27">
            <v>24</v>
          </cell>
          <cell r="P27">
            <v>0</v>
          </cell>
          <cell r="R27">
            <v>100</v>
          </cell>
        </row>
        <row r="28">
          <cell r="A28" t="str">
            <v>Продукт По-Росийски Классический с ЗМЖ 50% ВЕС Коровино Останкино</v>
          </cell>
          <cell r="B28" t="str">
            <v>кг</v>
          </cell>
          <cell r="G28">
            <v>0</v>
          </cell>
          <cell r="H28">
            <v>180</v>
          </cell>
          <cell r="L28">
            <v>0</v>
          </cell>
          <cell r="P28">
            <v>0</v>
          </cell>
          <cell r="Q28">
            <v>10</v>
          </cell>
          <cell r="R28">
            <v>50</v>
          </cell>
        </row>
        <row r="29">
          <cell r="A29" t="str">
            <v>Продукт белково-жировой Сметанковый 50% ВЕС Коровино Останкино</v>
          </cell>
          <cell r="B29" t="str">
            <v>кг</v>
          </cell>
          <cell r="G29">
            <v>1</v>
          </cell>
          <cell r="H29">
            <v>180</v>
          </cell>
          <cell r="L29">
            <v>0</v>
          </cell>
          <cell r="O29">
            <v>20</v>
          </cell>
          <cell r="P29">
            <v>0</v>
          </cell>
          <cell r="R29">
            <v>50</v>
          </cell>
        </row>
        <row r="30">
          <cell r="A30" t="str">
            <v>Сыр "Пармезан" 40% кусок 180 гр  ОСТАНКИНО</v>
          </cell>
          <cell r="B30" t="str">
            <v>шт</v>
          </cell>
          <cell r="G30">
            <v>0.18</v>
          </cell>
          <cell r="H30">
            <v>150</v>
          </cell>
          <cell r="L30">
            <v>0</v>
          </cell>
          <cell r="O30">
            <v>102</v>
          </cell>
          <cell r="P30">
            <v>0</v>
          </cell>
        </row>
        <row r="31">
          <cell r="A31" t="str">
            <v>Сыр Боккончини копченый 40% 100 гр.  ОСТАНКИНО</v>
          </cell>
          <cell r="B31" t="str">
            <v>шт</v>
          </cell>
          <cell r="C31">
            <v>104</v>
          </cell>
          <cell r="E31">
            <v>18</v>
          </cell>
          <cell r="F31">
            <v>38</v>
          </cell>
          <cell r="G31">
            <v>0.1</v>
          </cell>
          <cell r="H31">
            <v>90</v>
          </cell>
          <cell r="K31">
            <v>18</v>
          </cell>
          <cell r="L31">
            <v>0</v>
          </cell>
          <cell r="P31">
            <v>3.6</v>
          </cell>
          <cell r="Q31">
            <v>30</v>
          </cell>
          <cell r="R31">
            <v>70</v>
          </cell>
        </row>
        <row r="32">
          <cell r="A32" t="str">
            <v>Сыр Косичка сырная 45% 100г/8шт Папа Может Останкино</v>
          </cell>
          <cell r="B32" t="str">
            <v>шт</v>
          </cell>
          <cell r="G32">
            <v>0.1</v>
          </cell>
          <cell r="H32">
            <v>60</v>
          </cell>
          <cell r="K32">
            <v>10</v>
          </cell>
          <cell r="L32">
            <v>-10</v>
          </cell>
          <cell r="O32">
            <v>128</v>
          </cell>
          <cell r="P32">
            <v>0</v>
          </cell>
          <cell r="R32">
            <v>50</v>
          </cell>
        </row>
        <row r="33">
          <cell r="A33" t="str">
            <v>Сыр Косичка сырная копченая 43% 100г/8шт Папа Может Останкино</v>
          </cell>
          <cell r="B33" t="str">
            <v>шт</v>
          </cell>
          <cell r="G33">
            <v>0.1</v>
          </cell>
          <cell r="H33">
            <v>90</v>
          </cell>
          <cell r="K33">
            <v>10</v>
          </cell>
          <cell r="L33">
            <v>-10</v>
          </cell>
          <cell r="O33">
            <v>128</v>
          </cell>
          <cell r="P33">
            <v>0</v>
          </cell>
          <cell r="R33">
            <v>50</v>
          </cell>
        </row>
        <row r="34">
          <cell r="A34" t="str">
            <v>Сыр ПАПА МОЖЕТ "Гауда Голд" 45 % 180 гр (10шт) Останкино</v>
          </cell>
          <cell r="B34" t="str">
            <v>шт</v>
          </cell>
          <cell r="G34">
            <v>0.18</v>
          </cell>
          <cell r="H34">
            <v>150</v>
          </cell>
          <cell r="K34">
            <v>4</v>
          </cell>
          <cell r="L34">
            <v>-4</v>
          </cell>
          <cell r="O34">
            <v>80</v>
          </cell>
          <cell r="P34">
            <v>0</v>
          </cell>
          <cell r="R34">
            <v>50</v>
          </cell>
        </row>
        <row r="35">
          <cell r="A35" t="str">
            <v>Сыр ПАПА МОЖЕТ "Голландский традиционный" 45% 180 гр (10шт)  Останкино</v>
          </cell>
          <cell r="B35" t="str">
            <v>шт</v>
          </cell>
          <cell r="G35">
            <v>0.18</v>
          </cell>
          <cell r="H35">
            <v>150</v>
          </cell>
          <cell r="K35">
            <v>25</v>
          </cell>
          <cell r="L35">
            <v>-25</v>
          </cell>
          <cell r="O35">
            <v>150</v>
          </cell>
          <cell r="P35">
            <v>0</v>
          </cell>
          <cell r="R35">
            <v>50</v>
          </cell>
        </row>
        <row r="36">
          <cell r="A36" t="str">
            <v>Сыр ПАПА МОЖЕТ "Министерский" 180 г фасованный массовая  Останкино</v>
          </cell>
          <cell r="B36" t="str">
            <v>шт</v>
          </cell>
          <cell r="G36">
            <v>0.18</v>
          </cell>
          <cell r="H36">
            <v>150</v>
          </cell>
          <cell r="K36">
            <v>1</v>
          </cell>
          <cell r="L36">
            <v>-1</v>
          </cell>
          <cell r="O36">
            <v>30</v>
          </cell>
          <cell r="P36">
            <v>0</v>
          </cell>
          <cell r="R36">
            <v>50</v>
          </cell>
        </row>
        <row r="37">
          <cell r="A37" t="str">
            <v>Сыр ПАПА МОЖЕТ "Папин завтрак"  45% 180 г  Останкино</v>
          </cell>
          <cell r="B37" t="str">
            <v>шт</v>
          </cell>
          <cell r="G37">
            <v>0.18</v>
          </cell>
          <cell r="H37">
            <v>150</v>
          </cell>
          <cell r="K37">
            <v>3</v>
          </cell>
          <cell r="L37">
            <v>-3</v>
          </cell>
          <cell r="O37">
            <v>10</v>
          </cell>
          <cell r="P37">
            <v>0</v>
          </cell>
          <cell r="Q37">
            <v>10</v>
          </cell>
          <cell r="R37">
            <v>50</v>
          </cell>
        </row>
        <row r="38">
          <cell r="A38" t="str">
            <v>Сыр ПАПА МОЖЕТ "Российский традиционный"45 % 180 г Останкино</v>
          </cell>
          <cell r="B38" t="str">
            <v>шт</v>
          </cell>
          <cell r="C38">
            <v>50</v>
          </cell>
          <cell r="D38">
            <v>16</v>
          </cell>
          <cell r="E38">
            <v>24</v>
          </cell>
          <cell r="F38">
            <v>1</v>
          </cell>
          <cell r="G38">
            <v>0.18</v>
          </cell>
          <cell r="H38">
            <v>150</v>
          </cell>
          <cell r="K38">
            <v>43</v>
          </cell>
          <cell r="L38">
            <v>-19</v>
          </cell>
          <cell r="O38">
            <v>150</v>
          </cell>
          <cell r="P38">
            <v>4.8</v>
          </cell>
          <cell r="R38">
            <v>100</v>
          </cell>
        </row>
        <row r="39">
          <cell r="A39" t="str">
            <v>Сыр ПАПА МОЖЕТ "Тильзитер" фасованный массовая доля жира в сухом веществе 45%, 180г  Останкино</v>
          </cell>
          <cell r="B39" t="str">
            <v>шт</v>
          </cell>
          <cell r="G39">
            <v>0.18</v>
          </cell>
          <cell r="H39">
            <v>150</v>
          </cell>
          <cell r="K39">
            <v>25</v>
          </cell>
          <cell r="L39">
            <v>-25</v>
          </cell>
          <cell r="O39">
            <v>50</v>
          </cell>
          <cell r="P39">
            <v>0</v>
          </cell>
        </row>
        <row r="40">
          <cell r="A40" t="str">
            <v>Сыр Скаморца свежий 100 гр.  ОСТАНКИНО</v>
          </cell>
          <cell r="B40" t="str">
            <v>шт</v>
          </cell>
          <cell r="G40">
            <v>0.1</v>
          </cell>
          <cell r="H40">
            <v>60</v>
          </cell>
          <cell r="K40">
            <v>2</v>
          </cell>
          <cell r="L40">
            <v>-2</v>
          </cell>
          <cell r="O40">
            <v>8</v>
          </cell>
          <cell r="P40">
            <v>0</v>
          </cell>
        </row>
        <row r="41">
          <cell r="A41" t="str">
            <v>Сыр Творожный с зеленью 60% Папа может 140 гр.  Останкино</v>
          </cell>
          <cell r="B41" t="str">
            <v>шт</v>
          </cell>
          <cell r="G41">
            <v>0.14000000000000001</v>
          </cell>
          <cell r="H41">
            <v>180</v>
          </cell>
          <cell r="K41">
            <v>5</v>
          </cell>
          <cell r="L41">
            <v>-5</v>
          </cell>
          <cell r="O41">
            <v>32</v>
          </cell>
          <cell r="P41">
            <v>0</v>
          </cell>
        </row>
        <row r="42">
          <cell r="A42" t="str">
            <v>Сыр плавленный Сливочный ж.45% 180г ТМ Папа может (16шт)  Останкино</v>
          </cell>
          <cell r="B42" t="str">
            <v>шт</v>
          </cell>
          <cell r="G42">
            <v>0.18</v>
          </cell>
          <cell r="H42">
            <v>270</v>
          </cell>
          <cell r="K42">
            <v>8</v>
          </cell>
          <cell r="L42">
            <v>-8</v>
          </cell>
          <cell r="O42">
            <v>48</v>
          </cell>
          <cell r="P42">
            <v>0</v>
          </cell>
          <cell r="R42">
            <v>150</v>
          </cell>
        </row>
        <row r="43">
          <cell r="A43" t="str">
            <v>Сыр полутвердый "Гауда" с массовой долей жира в пересчете на сухое вещество 45%,   Останкино</v>
          </cell>
          <cell r="B43" t="str">
            <v>кг</v>
          </cell>
          <cell r="C43">
            <v>44.332000000000001</v>
          </cell>
          <cell r="E43">
            <v>9.73</v>
          </cell>
          <cell r="F43">
            <v>31.271999999999998</v>
          </cell>
          <cell r="G43">
            <v>1</v>
          </cell>
          <cell r="H43">
            <v>180</v>
          </cell>
          <cell r="K43">
            <v>9</v>
          </cell>
          <cell r="L43">
            <v>0.73000000000000043</v>
          </cell>
          <cell r="P43">
            <v>1.9460000000000002</v>
          </cell>
          <cell r="Q43">
            <v>5</v>
          </cell>
          <cell r="R43">
            <v>50</v>
          </cell>
        </row>
        <row r="44">
          <cell r="A44" t="str">
            <v>Сыр полутвердый "Голландский" с массовой долей жира в пересчете на сухое  Останкино</v>
          </cell>
          <cell r="B44" t="str">
            <v>кг</v>
          </cell>
          <cell r="G44">
            <v>1</v>
          </cell>
          <cell r="H44">
            <v>180</v>
          </cell>
          <cell r="L44">
            <v>0</v>
          </cell>
          <cell r="O44">
            <v>16</v>
          </cell>
          <cell r="P44">
            <v>0</v>
          </cell>
          <cell r="R44">
            <v>50</v>
          </cell>
        </row>
        <row r="45">
          <cell r="A45" t="str">
            <v>Сыр полутвердый "Сметанковый", с масс долей жира в пересчете на сухое вещес50%, брус  Останкино</v>
          </cell>
          <cell r="B45" t="str">
            <v>кг</v>
          </cell>
          <cell r="G45">
            <v>1</v>
          </cell>
          <cell r="H45">
            <v>180</v>
          </cell>
          <cell r="K45">
            <v>3</v>
          </cell>
          <cell r="L45">
            <v>-3</v>
          </cell>
          <cell r="O45">
            <v>99</v>
          </cell>
          <cell r="P45">
            <v>0</v>
          </cell>
          <cell r="R45">
            <v>50</v>
          </cell>
        </row>
        <row r="46">
          <cell r="A46" t="str">
            <v>Сыр полутвердый "Тильзитер" с массовой долей жира в пересчете на сухое вещество 45%. 1/5  Останкино</v>
          </cell>
          <cell r="B46" t="str">
            <v>кг</v>
          </cell>
          <cell r="G46">
            <v>1</v>
          </cell>
          <cell r="H46">
            <v>180</v>
          </cell>
          <cell r="L46">
            <v>0</v>
          </cell>
          <cell r="O46">
            <v>16</v>
          </cell>
          <cell r="P46">
            <v>0</v>
          </cell>
          <cell r="R46">
            <v>50</v>
          </cell>
        </row>
        <row r="47">
          <cell r="A47" t="str">
            <v>Сыр рассольный жирный Чечил 45% 100 гр  ОСТАНКИНО</v>
          </cell>
          <cell r="B47" t="str">
            <v>шт</v>
          </cell>
          <cell r="C47">
            <v>162</v>
          </cell>
          <cell r="D47">
            <v>7</v>
          </cell>
          <cell r="E47">
            <v>36</v>
          </cell>
          <cell r="F47">
            <v>10</v>
          </cell>
          <cell r="G47">
            <v>0.1</v>
          </cell>
          <cell r="H47">
            <v>60</v>
          </cell>
          <cell r="K47">
            <v>51</v>
          </cell>
          <cell r="L47">
            <v>-15</v>
          </cell>
          <cell r="O47">
            <v>300</v>
          </cell>
          <cell r="P47">
            <v>7.2</v>
          </cell>
          <cell r="R47">
            <v>100</v>
          </cell>
        </row>
        <row r="48">
          <cell r="A48" t="str">
            <v>Сыр рассольный жирный Чечил копченый 43% 100 гр  Останкино</v>
          </cell>
          <cell r="B48" t="str">
            <v>шт</v>
          </cell>
          <cell r="C48">
            <v>150</v>
          </cell>
          <cell r="D48">
            <v>15</v>
          </cell>
          <cell r="E48">
            <v>57</v>
          </cell>
          <cell r="G48">
            <v>0.1</v>
          </cell>
          <cell r="H48">
            <v>90</v>
          </cell>
          <cell r="K48">
            <v>75</v>
          </cell>
          <cell r="L48">
            <v>-18</v>
          </cell>
          <cell r="O48">
            <v>150</v>
          </cell>
          <cell r="P48">
            <v>11.4</v>
          </cell>
          <cell r="Q48">
            <v>50</v>
          </cell>
          <cell r="R48">
            <v>120</v>
          </cell>
        </row>
        <row r="49">
          <cell r="A49" t="str">
            <v>Сыр творожный Сливочный 140 гр.  Останкино</v>
          </cell>
          <cell r="B49" t="str">
            <v>шт</v>
          </cell>
          <cell r="G49">
            <v>0.14000000000000001</v>
          </cell>
          <cell r="H49">
            <v>180</v>
          </cell>
          <cell r="K49">
            <v>2</v>
          </cell>
          <cell r="L49">
            <v>-2</v>
          </cell>
          <cell r="O49">
            <v>16</v>
          </cell>
          <cell r="P49">
            <v>0</v>
          </cell>
          <cell r="R49">
            <v>50</v>
          </cell>
        </row>
        <row r="50">
          <cell r="A50" t="str">
            <v>Сыч/Прод Коровино Российский 50% 200г НОВАЯ СЗМЖ  ОСТАНКИНО</v>
          </cell>
          <cell r="B50" t="str">
            <v>шт</v>
          </cell>
          <cell r="G50">
            <v>0.2</v>
          </cell>
          <cell r="H50">
            <v>120</v>
          </cell>
          <cell r="L50">
            <v>0</v>
          </cell>
          <cell r="O50">
            <v>10</v>
          </cell>
          <cell r="P50">
            <v>0</v>
          </cell>
          <cell r="R50">
            <v>70</v>
          </cell>
        </row>
        <row r="51">
          <cell r="A51" t="str">
            <v>Сыч/Прод Коровино Российский Оригин 50% ВЕС НОВАЯ (3,5 кг)  ОСТАНКИНО</v>
          </cell>
          <cell r="B51" t="str">
            <v>кг</v>
          </cell>
          <cell r="G51">
            <v>1</v>
          </cell>
          <cell r="H51">
            <v>120</v>
          </cell>
          <cell r="L51">
            <v>0</v>
          </cell>
          <cell r="O51">
            <v>15</v>
          </cell>
          <cell r="P51">
            <v>0</v>
          </cell>
          <cell r="R51">
            <v>60</v>
          </cell>
        </row>
        <row r="52">
          <cell r="A52" t="str">
            <v>Сыч/Прод Коровино Тильзитер 50% 200г НОВАЯ СЗМЖ  ОСТАНКИНО</v>
          </cell>
          <cell r="B52" t="str">
            <v>шт</v>
          </cell>
          <cell r="G52">
            <v>0.2</v>
          </cell>
          <cell r="H52">
            <v>120</v>
          </cell>
          <cell r="L52">
            <v>0</v>
          </cell>
          <cell r="O52">
            <v>10</v>
          </cell>
          <cell r="P52">
            <v>0</v>
          </cell>
          <cell r="R52">
            <v>70</v>
          </cell>
        </row>
        <row r="53">
          <cell r="A53" t="str">
            <v>Сыч/Прод Коровино Тильзитер Оригин 50% ВЕС НОВАЯ (5 кг брус) СЗМЖ  ОСТАНКИНО</v>
          </cell>
          <cell r="B53" t="str">
            <v>кг</v>
          </cell>
          <cell r="G53">
            <v>1</v>
          </cell>
          <cell r="H53">
            <v>120</v>
          </cell>
          <cell r="L53">
            <v>0</v>
          </cell>
          <cell r="O53">
            <v>15</v>
          </cell>
          <cell r="P53">
            <v>0</v>
          </cell>
          <cell r="R53">
            <v>50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5" sqref="X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140625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7" style="13" customWidth="1"/>
    <col min="21" max="22" width="5" customWidth="1"/>
    <col min="23" max="23" width="6" customWidth="1"/>
    <col min="24" max="24" width="62" customWidth="1"/>
    <col min="25" max="25" width="7" customWidth="1"/>
    <col min="26" max="41" width="3" customWidth="1"/>
  </cols>
  <sheetData>
    <row r="1" spans="1:4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79</v>
      </c>
      <c r="S3" s="3" t="s">
        <v>80</v>
      </c>
      <c r="T3" s="3" t="s">
        <v>77</v>
      </c>
      <c r="U3" s="2" t="s">
        <v>17</v>
      </c>
      <c r="V3" s="2" t="s">
        <v>18</v>
      </c>
      <c r="W3" s="2" t="s">
        <v>19</v>
      </c>
      <c r="X3" s="2" t="s">
        <v>20</v>
      </c>
      <c r="Y3" s="2" t="s">
        <v>21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9" t="s">
        <v>75</v>
      </c>
      <c r="P4" s="1" t="s">
        <v>22</v>
      </c>
      <c r="Q4" s="1"/>
      <c r="R4" s="1"/>
      <c r="S4" s="1" t="s">
        <v>81</v>
      </c>
      <c r="T4" s="1" t="s">
        <v>78</v>
      </c>
      <c r="U4" s="1"/>
      <c r="V4" s="1"/>
      <c r="W4" s="1" t="s">
        <v>23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x14ac:dyDescent="0.25">
      <c r="A5" s="1"/>
      <c r="B5" s="1"/>
      <c r="C5" s="1"/>
      <c r="D5" s="1"/>
      <c r="E5" s="4">
        <f>SUM(E6:E497)</f>
        <v>204.73000000000002</v>
      </c>
      <c r="F5" s="4">
        <f>SUM(F6:F497)</f>
        <v>181.27199999999999</v>
      </c>
      <c r="G5" s="7"/>
      <c r="H5" s="1"/>
      <c r="I5" s="1"/>
      <c r="J5" s="1"/>
      <c r="K5" s="4">
        <f t="shared" ref="K5:T5" si="0">SUM(K6:K497)</f>
        <v>443</v>
      </c>
      <c r="L5" s="4">
        <f t="shared" si="0"/>
        <v>-238.27</v>
      </c>
      <c r="M5" s="4">
        <f t="shared" si="0"/>
        <v>0</v>
      </c>
      <c r="N5" s="4">
        <f t="shared" si="0"/>
        <v>0</v>
      </c>
      <c r="O5" s="4">
        <f t="shared" si="0"/>
        <v>3416</v>
      </c>
      <c r="P5" s="4">
        <f t="shared" si="0"/>
        <v>40.945999999999998</v>
      </c>
      <c r="Q5" s="4">
        <f t="shared" si="0"/>
        <v>179</v>
      </c>
      <c r="R5" s="4">
        <f t="shared" si="0"/>
        <v>2018</v>
      </c>
      <c r="S5" s="4">
        <f t="shared" si="0"/>
        <v>2013</v>
      </c>
      <c r="T5" s="4">
        <f t="shared" si="0"/>
        <v>3070</v>
      </c>
      <c r="U5" s="1"/>
      <c r="V5" s="1"/>
      <c r="W5" s="4">
        <f>SUM(W6:W497)</f>
        <v>0</v>
      </c>
      <c r="X5" s="1"/>
      <c r="Y5" s="4">
        <f>SUM(Y6:Y497)</f>
        <v>626.30999999999995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x14ac:dyDescent="0.25">
      <c r="A6" s="11" t="s">
        <v>24</v>
      </c>
      <c r="B6" s="1" t="s">
        <v>25</v>
      </c>
      <c r="C6" s="1"/>
      <c r="D6" s="1"/>
      <c r="E6" s="1"/>
      <c r="F6" s="1"/>
      <c r="G6" s="7">
        <v>5.5E-2</v>
      </c>
      <c r="H6" s="1">
        <v>120</v>
      </c>
      <c r="I6" s="1"/>
      <c r="J6" s="1"/>
      <c r="K6" s="1"/>
      <c r="L6" s="1">
        <f t="shared" ref="L6:L53" si="1">E6-K6</f>
        <v>0</v>
      </c>
      <c r="M6" s="1"/>
      <c r="N6" s="1"/>
      <c r="O6" s="1">
        <v>24</v>
      </c>
      <c r="P6" s="1">
        <f>E6/5</f>
        <v>0</v>
      </c>
      <c r="Q6" s="5"/>
      <c r="R6" s="5">
        <v>50</v>
      </c>
      <c r="S6" s="5">
        <f>VLOOKUP(A6,заказ!A:B,2,0)</f>
        <v>48</v>
      </c>
      <c r="T6" s="12">
        <f>VLOOKUP(A6,[1]Sheet!$A:$R,18,0)</f>
        <v>100</v>
      </c>
      <c r="U6" s="1" t="e">
        <f>(F6+O6+R6)/P6</f>
        <v>#DIV/0!</v>
      </c>
      <c r="V6" s="1" t="e">
        <f>(F6+O6)/P6</f>
        <v>#DIV/0!</v>
      </c>
      <c r="W6" s="1">
        <v>0</v>
      </c>
      <c r="X6" s="1"/>
      <c r="Y6" s="1">
        <f>G6*R6</f>
        <v>2.75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x14ac:dyDescent="0.25">
      <c r="A7" s="11" t="s">
        <v>26</v>
      </c>
      <c r="B7" s="1" t="s">
        <v>25</v>
      </c>
      <c r="C7" s="1"/>
      <c r="D7" s="1"/>
      <c r="E7" s="1"/>
      <c r="F7" s="1"/>
      <c r="G7" s="7">
        <v>0.1</v>
      </c>
      <c r="H7" s="1">
        <v>120</v>
      </c>
      <c r="I7" s="1"/>
      <c r="J7" s="1"/>
      <c r="K7" s="1"/>
      <c r="L7" s="1">
        <f t="shared" si="1"/>
        <v>0</v>
      </c>
      <c r="M7" s="1"/>
      <c r="N7" s="1"/>
      <c r="O7" s="1">
        <v>24</v>
      </c>
      <c r="P7" s="1">
        <f t="shared" ref="P7:P53" si="2">E7/5</f>
        <v>0</v>
      </c>
      <c r="Q7" s="5"/>
      <c r="R7" s="5">
        <v>24</v>
      </c>
      <c r="S7" s="5">
        <f>VLOOKUP(A7,заказ!A:B,2,0)</f>
        <v>24</v>
      </c>
      <c r="T7" s="12">
        <f>VLOOKUP(A7,[1]Sheet!$A:$R,18,0)</f>
        <v>50</v>
      </c>
      <c r="U7" s="1" t="e">
        <f t="shared" ref="U7:U53" si="3">(F7+O7+R7)/P7</f>
        <v>#DIV/0!</v>
      </c>
      <c r="V7" s="1" t="e">
        <f t="shared" ref="V7:V53" si="4">(F7+O7)/P7</f>
        <v>#DIV/0!</v>
      </c>
      <c r="W7" s="1">
        <v>0</v>
      </c>
      <c r="X7" s="1"/>
      <c r="Y7" s="1">
        <f t="shared" ref="Y7:Y53" si="5">G7*R7</f>
        <v>2.4000000000000004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x14ac:dyDescent="0.25">
      <c r="A8" s="11" t="s">
        <v>27</v>
      </c>
      <c r="B8" s="1" t="s">
        <v>25</v>
      </c>
      <c r="C8" s="1"/>
      <c r="D8" s="1"/>
      <c r="E8" s="1"/>
      <c r="F8" s="1"/>
      <c r="G8" s="7">
        <v>0.1</v>
      </c>
      <c r="H8" s="1">
        <v>120</v>
      </c>
      <c r="I8" s="1"/>
      <c r="J8" s="1"/>
      <c r="K8" s="1"/>
      <c r="L8" s="1">
        <f t="shared" si="1"/>
        <v>0</v>
      </c>
      <c r="M8" s="1"/>
      <c r="N8" s="1"/>
      <c r="O8" s="1">
        <v>24</v>
      </c>
      <c r="P8" s="1">
        <f t="shared" si="2"/>
        <v>0</v>
      </c>
      <c r="Q8" s="5"/>
      <c r="R8" s="5">
        <v>24</v>
      </c>
      <c r="S8" s="5">
        <f>VLOOKUP(A8,заказ!A:B,2,0)</f>
        <v>24</v>
      </c>
      <c r="T8" s="12">
        <f>VLOOKUP(A8,[1]Sheet!$A:$R,18,0)</f>
        <v>50</v>
      </c>
      <c r="U8" s="1" t="e">
        <f t="shared" si="3"/>
        <v>#DIV/0!</v>
      </c>
      <c r="V8" s="1" t="e">
        <f t="shared" si="4"/>
        <v>#DIV/0!</v>
      </c>
      <c r="W8" s="1">
        <v>0</v>
      </c>
      <c r="X8" s="1"/>
      <c r="Y8" s="1">
        <f t="shared" si="5"/>
        <v>2.4000000000000004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x14ac:dyDescent="0.25">
      <c r="A9" s="11" t="s">
        <v>28</v>
      </c>
      <c r="B9" s="1" t="s">
        <v>29</v>
      </c>
      <c r="C9" s="1"/>
      <c r="D9" s="1"/>
      <c r="E9" s="1"/>
      <c r="F9" s="1"/>
      <c r="G9" s="7">
        <v>1</v>
      </c>
      <c r="H9" s="1">
        <v>120</v>
      </c>
      <c r="I9" s="1"/>
      <c r="J9" s="1"/>
      <c r="K9" s="1"/>
      <c r="L9" s="1">
        <f t="shared" si="1"/>
        <v>0</v>
      </c>
      <c r="M9" s="1"/>
      <c r="N9" s="1"/>
      <c r="O9" s="1">
        <v>80</v>
      </c>
      <c r="P9" s="1">
        <f t="shared" si="2"/>
        <v>0</v>
      </c>
      <c r="Q9" s="5"/>
      <c r="R9" s="5">
        <v>40</v>
      </c>
      <c r="S9" s="5">
        <f>VLOOKUP(A9,заказ!A:B,2,0)</f>
        <v>40</v>
      </c>
      <c r="T9" s="12">
        <f>VLOOKUP(A9,[1]Sheet!$A:$R,18,0)</f>
        <v>100</v>
      </c>
      <c r="U9" s="1" t="e">
        <f t="shared" si="3"/>
        <v>#DIV/0!</v>
      </c>
      <c r="V9" s="1" t="e">
        <f t="shared" si="4"/>
        <v>#DIV/0!</v>
      </c>
      <c r="W9" s="1">
        <v>0</v>
      </c>
      <c r="X9" s="1"/>
      <c r="Y9" s="1">
        <f t="shared" si="5"/>
        <v>40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x14ac:dyDescent="0.25">
      <c r="A10" s="11" t="s">
        <v>30</v>
      </c>
      <c r="B10" s="1" t="s">
        <v>25</v>
      </c>
      <c r="C10" s="1"/>
      <c r="D10" s="1"/>
      <c r="E10" s="1"/>
      <c r="F10" s="1"/>
      <c r="G10" s="7">
        <v>0.18</v>
      </c>
      <c r="H10" s="1">
        <v>180</v>
      </c>
      <c r="I10" s="1"/>
      <c r="J10" s="1"/>
      <c r="K10" s="1"/>
      <c r="L10" s="1">
        <f t="shared" si="1"/>
        <v>0</v>
      </c>
      <c r="M10" s="1"/>
      <c r="N10" s="1"/>
      <c r="O10" s="1">
        <v>0</v>
      </c>
      <c r="P10" s="1">
        <f t="shared" si="2"/>
        <v>0</v>
      </c>
      <c r="Q10" s="5">
        <v>12</v>
      </c>
      <c r="R10" s="5">
        <f t="shared" ref="R10:R41" si="6">Q10</f>
        <v>12</v>
      </c>
      <c r="S10" s="5">
        <f>VLOOKUP(A10,заказ!A:B,2,0)</f>
        <v>12</v>
      </c>
      <c r="T10" s="12"/>
      <c r="U10" s="1" t="e">
        <f t="shared" si="3"/>
        <v>#DIV/0!</v>
      </c>
      <c r="V10" s="1" t="e">
        <f t="shared" si="4"/>
        <v>#DIV/0!</v>
      </c>
      <c r="W10" s="1">
        <v>0</v>
      </c>
      <c r="X10" s="1" t="s">
        <v>31</v>
      </c>
      <c r="Y10" s="1">
        <f t="shared" si="5"/>
        <v>2.16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 x14ac:dyDescent="0.25">
      <c r="A11" s="11" t="s">
        <v>32</v>
      </c>
      <c r="B11" s="1" t="s">
        <v>25</v>
      </c>
      <c r="C11" s="1"/>
      <c r="D11" s="1"/>
      <c r="E11" s="1"/>
      <c r="F11" s="1"/>
      <c r="G11" s="7">
        <v>0.18</v>
      </c>
      <c r="H11" s="1">
        <v>180</v>
      </c>
      <c r="I11" s="1"/>
      <c r="J11" s="1"/>
      <c r="K11" s="1"/>
      <c r="L11" s="1">
        <f t="shared" si="1"/>
        <v>0</v>
      </c>
      <c r="M11" s="1"/>
      <c r="N11" s="1"/>
      <c r="O11" s="1">
        <v>0</v>
      </c>
      <c r="P11" s="1">
        <f t="shared" si="2"/>
        <v>0</v>
      </c>
      <c r="Q11" s="5">
        <v>12</v>
      </c>
      <c r="R11" s="5">
        <f t="shared" si="6"/>
        <v>12</v>
      </c>
      <c r="S11" s="5">
        <f>VLOOKUP(A11,заказ!A:B,2,0)</f>
        <v>12</v>
      </c>
      <c r="T11" s="12"/>
      <c r="U11" s="1" t="e">
        <f t="shared" si="3"/>
        <v>#DIV/0!</v>
      </c>
      <c r="V11" s="1" t="e">
        <f t="shared" si="4"/>
        <v>#DIV/0!</v>
      </c>
      <c r="W11" s="1">
        <v>0</v>
      </c>
      <c r="X11" s="1" t="s">
        <v>31</v>
      </c>
      <c r="Y11" s="1">
        <f t="shared" si="5"/>
        <v>2.16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 x14ac:dyDescent="0.25">
      <c r="A12" s="11" t="s">
        <v>33</v>
      </c>
      <c r="B12" s="1" t="s">
        <v>29</v>
      </c>
      <c r="C12" s="1"/>
      <c r="D12" s="1"/>
      <c r="E12" s="1"/>
      <c r="F12" s="1"/>
      <c r="G12" s="7">
        <v>1</v>
      </c>
      <c r="H12" s="1">
        <v>180</v>
      </c>
      <c r="I12" s="1"/>
      <c r="J12" s="1"/>
      <c r="K12" s="1"/>
      <c r="L12" s="1">
        <f t="shared" si="1"/>
        <v>0</v>
      </c>
      <c r="M12" s="1"/>
      <c r="N12" s="1"/>
      <c r="O12" s="1">
        <v>33</v>
      </c>
      <c r="P12" s="1">
        <f t="shared" si="2"/>
        <v>0</v>
      </c>
      <c r="Q12" s="5"/>
      <c r="R12" s="5">
        <v>30</v>
      </c>
      <c r="S12" s="5">
        <f>VLOOKUP(A12,заказ!A:B,2,0)</f>
        <v>33</v>
      </c>
      <c r="T12" s="12">
        <f>VLOOKUP(A12,[1]Sheet!$A:$R,18,0)</f>
        <v>100</v>
      </c>
      <c r="U12" s="1" t="e">
        <f t="shared" si="3"/>
        <v>#DIV/0!</v>
      </c>
      <c r="V12" s="1" t="e">
        <f t="shared" si="4"/>
        <v>#DIV/0!</v>
      </c>
      <c r="W12" s="1">
        <v>0</v>
      </c>
      <c r="X12" s="1"/>
      <c r="Y12" s="1">
        <f t="shared" si="5"/>
        <v>30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 x14ac:dyDescent="0.25">
      <c r="A13" s="11" t="s">
        <v>34</v>
      </c>
      <c r="B13" s="1" t="s">
        <v>25</v>
      </c>
      <c r="C13" s="1">
        <v>54</v>
      </c>
      <c r="D13" s="1"/>
      <c r="E13" s="1">
        <v>2</v>
      </c>
      <c r="F13" s="1">
        <v>46</v>
      </c>
      <c r="G13" s="7">
        <v>0.82450000000000001</v>
      </c>
      <c r="H13" s="1">
        <v>180</v>
      </c>
      <c r="I13" s="1"/>
      <c r="J13" s="1"/>
      <c r="K13" s="1">
        <v>2</v>
      </c>
      <c r="L13" s="1">
        <f t="shared" si="1"/>
        <v>0</v>
      </c>
      <c r="M13" s="1"/>
      <c r="N13" s="1"/>
      <c r="O13" s="1">
        <v>24</v>
      </c>
      <c r="P13" s="1">
        <f t="shared" si="2"/>
        <v>0.4</v>
      </c>
      <c r="Q13" s="5"/>
      <c r="R13" s="5">
        <v>0</v>
      </c>
      <c r="S13" s="5"/>
      <c r="T13" s="12">
        <f>VLOOKUP(A13,[1]Sheet!$A:$R,18,0)</f>
        <v>50</v>
      </c>
      <c r="U13" s="1">
        <f t="shared" si="3"/>
        <v>175</v>
      </c>
      <c r="V13" s="1">
        <f t="shared" si="4"/>
        <v>175</v>
      </c>
      <c r="W13" s="1">
        <v>0</v>
      </c>
      <c r="X13" s="1"/>
      <c r="Y13" s="1">
        <f t="shared" si="5"/>
        <v>0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 x14ac:dyDescent="0.25">
      <c r="A14" s="11" t="s">
        <v>35</v>
      </c>
      <c r="B14" s="1" t="s">
        <v>25</v>
      </c>
      <c r="C14" s="1">
        <v>46</v>
      </c>
      <c r="D14" s="1">
        <v>7</v>
      </c>
      <c r="E14" s="1">
        <v>30</v>
      </c>
      <c r="F14" s="1">
        <v>9</v>
      </c>
      <c r="G14" s="7">
        <v>0.372</v>
      </c>
      <c r="H14" s="1">
        <v>180</v>
      </c>
      <c r="I14" s="1"/>
      <c r="J14" s="1"/>
      <c r="K14" s="1">
        <v>37</v>
      </c>
      <c r="L14" s="1">
        <f t="shared" si="1"/>
        <v>-7</v>
      </c>
      <c r="M14" s="1"/>
      <c r="N14" s="1"/>
      <c r="O14" s="1">
        <v>96</v>
      </c>
      <c r="P14" s="1">
        <f t="shared" si="2"/>
        <v>6</v>
      </c>
      <c r="Q14" s="5"/>
      <c r="R14" s="5">
        <v>50</v>
      </c>
      <c r="S14" s="5">
        <f>VLOOKUP(A14,заказ!A:B,2,0)</f>
        <v>48</v>
      </c>
      <c r="T14" s="12">
        <f>VLOOKUP(A14,[1]Sheet!$A:$R,18,0)</f>
        <v>50</v>
      </c>
      <c r="U14" s="1">
        <f t="shared" si="3"/>
        <v>25.833333333333332</v>
      </c>
      <c r="V14" s="1">
        <f t="shared" si="4"/>
        <v>17.5</v>
      </c>
      <c r="W14" s="1">
        <v>0</v>
      </c>
      <c r="X14" s="1"/>
      <c r="Y14" s="1">
        <f t="shared" si="5"/>
        <v>18.600000000000001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 x14ac:dyDescent="0.25">
      <c r="A15" s="11" t="s">
        <v>36</v>
      </c>
      <c r="B15" s="1" t="s">
        <v>25</v>
      </c>
      <c r="C15" s="1">
        <v>12</v>
      </c>
      <c r="D15" s="1">
        <v>8</v>
      </c>
      <c r="E15" s="1">
        <v>18</v>
      </c>
      <c r="F15" s="1"/>
      <c r="G15" s="7">
        <v>0.74399999999999999</v>
      </c>
      <c r="H15" s="1">
        <v>180</v>
      </c>
      <c r="I15" s="1"/>
      <c r="J15" s="1"/>
      <c r="K15" s="1">
        <v>22</v>
      </c>
      <c r="L15" s="1">
        <f t="shared" si="1"/>
        <v>-4</v>
      </c>
      <c r="M15" s="1"/>
      <c r="N15" s="1"/>
      <c r="O15" s="1">
        <v>96</v>
      </c>
      <c r="P15" s="1">
        <f t="shared" si="2"/>
        <v>3.6</v>
      </c>
      <c r="Q15" s="5"/>
      <c r="R15" s="5">
        <v>50</v>
      </c>
      <c r="S15" s="5">
        <f>VLOOKUP(A15,заказ!A:B,2,0)</f>
        <v>48</v>
      </c>
      <c r="T15" s="12">
        <f>VLOOKUP(A15,[1]Sheet!$A:$R,18,0)</f>
        <v>50</v>
      </c>
      <c r="U15" s="1">
        <f t="shared" si="3"/>
        <v>40.555555555555557</v>
      </c>
      <c r="V15" s="1">
        <f t="shared" si="4"/>
        <v>26.666666666666664</v>
      </c>
      <c r="W15" s="1">
        <v>0</v>
      </c>
      <c r="X15" s="1"/>
      <c r="Y15" s="1">
        <f t="shared" si="5"/>
        <v>37.200000000000003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 x14ac:dyDescent="0.25">
      <c r="A16" s="11" t="s">
        <v>37</v>
      </c>
      <c r="B16" s="1" t="s">
        <v>25</v>
      </c>
      <c r="C16" s="1">
        <v>9</v>
      </c>
      <c r="D16" s="1">
        <v>4</v>
      </c>
      <c r="E16" s="1">
        <v>10</v>
      </c>
      <c r="F16" s="1">
        <v>-2</v>
      </c>
      <c r="G16" s="7">
        <v>0.372</v>
      </c>
      <c r="H16" s="1">
        <v>180</v>
      </c>
      <c r="I16" s="1"/>
      <c r="J16" s="1"/>
      <c r="K16" s="1">
        <v>19</v>
      </c>
      <c r="L16" s="1">
        <f t="shared" si="1"/>
        <v>-9</v>
      </c>
      <c r="M16" s="1"/>
      <c r="N16" s="1"/>
      <c r="O16" s="1">
        <v>180</v>
      </c>
      <c r="P16" s="1">
        <f t="shared" si="2"/>
        <v>2</v>
      </c>
      <c r="Q16" s="5"/>
      <c r="R16" s="5">
        <v>20</v>
      </c>
      <c r="S16" s="5">
        <f>VLOOKUP(A16,заказ!A:B,2,0)</f>
        <v>24</v>
      </c>
      <c r="T16" s="12">
        <f>VLOOKUP(A16,[1]Sheet!$A:$R,18,0)</f>
        <v>50</v>
      </c>
      <c r="U16" s="1">
        <f t="shared" si="3"/>
        <v>99</v>
      </c>
      <c r="V16" s="1">
        <f t="shared" si="4"/>
        <v>89</v>
      </c>
      <c r="W16" s="1">
        <v>0</v>
      </c>
      <c r="X16" s="1"/>
      <c r="Y16" s="1">
        <f t="shared" si="5"/>
        <v>7.4399999999999995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 x14ac:dyDescent="0.25">
      <c r="A17" s="11" t="s">
        <v>38</v>
      </c>
      <c r="B17" s="1" t="s">
        <v>25</v>
      </c>
      <c r="C17" s="1"/>
      <c r="D17" s="1"/>
      <c r="E17" s="1"/>
      <c r="F17" s="1"/>
      <c r="G17" s="7">
        <v>0.74399999999999999</v>
      </c>
      <c r="H17" s="1">
        <v>180</v>
      </c>
      <c r="I17" s="1"/>
      <c r="J17" s="1"/>
      <c r="K17" s="1">
        <v>5</v>
      </c>
      <c r="L17" s="1">
        <f t="shared" si="1"/>
        <v>-5</v>
      </c>
      <c r="M17" s="1"/>
      <c r="N17" s="1"/>
      <c r="O17" s="1">
        <v>144</v>
      </c>
      <c r="P17" s="1">
        <f t="shared" si="2"/>
        <v>0</v>
      </c>
      <c r="Q17" s="5"/>
      <c r="R17" s="5">
        <f t="shared" si="6"/>
        <v>0</v>
      </c>
      <c r="S17" s="5"/>
      <c r="T17" s="12">
        <f>VLOOKUP(A17,[1]Sheet!$A:$R,18,0)</f>
        <v>50</v>
      </c>
      <c r="U17" s="1" t="e">
        <f t="shared" si="3"/>
        <v>#DIV/0!</v>
      </c>
      <c r="V17" s="1" t="e">
        <f t="shared" si="4"/>
        <v>#DIV/0!</v>
      </c>
      <c r="W17" s="1">
        <v>0</v>
      </c>
      <c r="X17" s="1"/>
      <c r="Y17" s="1">
        <f t="shared" si="5"/>
        <v>0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 x14ac:dyDescent="0.25">
      <c r="A18" s="11" t="s">
        <v>39</v>
      </c>
      <c r="B18" s="1" t="s">
        <v>25</v>
      </c>
      <c r="C18" s="1"/>
      <c r="D18" s="1"/>
      <c r="E18" s="1"/>
      <c r="F18" s="1"/>
      <c r="G18" s="7">
        <v>0.14000000000000001</v>
      </c>
      <c r="H18" s="1">
        <v>180</v>
      </c>
      <c r="I18" s="1"/>
      <c r="J18" s="1"/>
      <c r="K18" s="1">
        <v>3</v>
      </c>
      <c r="L18" s="1">
        <f t="shared" si="1"/>
        <v>-3</v>
      </c>
      <c r="M18" s="1"/>
      <c r="N18" s="1"/>
      <c r="O18" s="1">
        <v>16</v>
      </c>
      <c r="P18" s="1">
        <f t="shared" si="2"/>
        <v>0</v>
      </c>
      <c r="Q18" s="5"/>
      <c r="R18" s="5">
        <v>16</v>
      </c>
      <c r="S18" s="5">
        <f>VLOOKUP(A18,заказ!A:B,2,0)</f>
        <v>16</v>
      </c>
      <c r="T18" s="12">
        <f>VLOOKUP(A18,[1]Sheet!$A:$R,18,0)</f>
        <v>50</v>
      </c>
      <c r="U18" s="1" t="e">
        <f t="shared" si="3"/>
        <v>#DIV/0!</v>
      </c>
      <c r="V18" s="1" t="e">
        <f t="shared" si="4"/>
        <v>#DIV/0!</v>
      </c>
      <c r="W18" s="1">
        <v>0</v>
      </c>
      <c r="X18" s="1"/>
      <c r="Y18" s="1">
        <f t="shared" si="5"/>
        <v>2.2400000000000002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 x14ac:dyDescent="0.25">
      <c r="A19" s="11" t="s">
        <v>40</v>
      </c>
      <c r="B19" s="1" t="s">
        <v>25</v>
      </c>
      <c r="C19" s="1"/>
      <c r="D19" s="1"/>
      <c r="E19" s="1"/>
      <c r="F19" s="1"/>
      <c r="G19" s="7">
        <v>0.18</v>
      </c>
      <c r="H19" s="1">
        <v>270</v>
      </c>
      <c r="I19" s="1"/>
      <c r="J19" s="1"/>
      <c r="K19" s="1">
        <v>6</v>
      </c>
      <c r="L19" s="1">
        <f t="shared" si="1"/>
        <v>-6</v>
      </c>
      <c r="M19" s="1"/>
      <c r="N19" s="1"/>
      <c r="O19" s="1">
        <v>16</v>
      </c>
      <c r="P19" s="1">
        <f t="shared" si="2"/>
        <v>0</v>
      </c>
      <c r="Q19" s="5"/>
      <c r="R19" s="5">
        <v>16</v>
      </c>
      <c r="S19" s="5">
        <f>VLOOKUP(A19,заказ!A:B,2,0)</f>
        <v>16</v>
      </c>
      <c r="T19" s="12">
        <f>VLOOKUP(A19,[1]Sheet!$A:$R,18,0)</f>
        <v>50</v>
      </c>
      <c r="U19" s="1" t="e">
        <f t="shared" si="3"/>
        <v>#DIV/0!</v>
      </c>
      <c r="V19" s="1" t="e">
        <f t="shared" si="4"/>
        <v>#DIV/0!</v>
      </c>
      <c r="W19" s="1">
        <v>0</v>
      </c>
      <c r="X19" s="1"/>
      <c r="Y19" s="1">
        <f t="shared" si="5"/>
        <v>2.88</v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 x14ac:dyDescent="0.25">
      <c r="A20" s="11" t="s">
        <v>41</v>
      </c>
      <c r="B20" s="1" t="s">
        <v>25</v>
      </c>
      <c r="C20" s="1"/>
      <c r="D20" s="1"/>
      <c r="E20" s="1"/>
      <c r="F20" s="1"/>
      <c r="G20" s="7">
        <v>0.18</v>
      </c>
      <c r="H20" s="1">
        <v>270</v>
      </c>
      <c r="I20" s="1"/>
      <c r="J20" s="1"/>
      <c r="K20" s="1">
        <v>6</v>
      </c>
      <c r="L20" s="1">
        <f t="shared" si="1"/>
        <v>-6</v>
      </c>
      <c r="M20" s="1"/>
      <c r="N20" s="1"/>
      <c r="O20" s="1">
        <v>16</v>
      </c>
      <c r="P20" s="1">
        <f t="shared" si="2"/>
        <v>0</v>
      </c>
      <c r="Q20" s="5"/>
      <c r="R20" s="5">
        <v>16</v>
      </c>
      <c r="S20" s="5">
        <f>VLOOKUP(A20,заказ!A:B,2,0)</f>
        <v>16</v>
      </c>
      <c r="T20" s="12">
        <f>VLOOKUP(A20,[1]Sheet!$A:$R,18,0)</f>
        <v>50</v>
      </c>
      <c r="U20" s="1" t="e">
        <f t="shared" si="3"/>
        <v>#DIV/0!</v>
      </c>
      <c r="V20" s="1" t="e">
        <f t="shared" si="4"/>
        <v>#DIV/0!</v>
      </c>
      <c r="W20" s="1">
        <v>0</v>
      </c>
      <c r="X20" s="1"/>
      <c r="Y20" s="1">
        <f t="shared" si="5"/>
        <v>2.88</v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 x14ac:dyDescent="0.25">
      <c r="A21" s="11" t="s">
        <v>42</v>
      </c>
      <c r="B21" s="1" t="s">
        <v>25</v>
      </c>
      <c r="C21" s="1"/>
      <c r="D21" s="1"/>
      <c r="E21" s="1"/>
      <c r="F21" s="1"/>
      <c r="G21" s="7">
        <v>0.1</v>
      </c>
      <c r="H21" s="1">
        <v>60</v>
      </c>
      <c r="I21" s="1"/>
      <c r="J21" s="1"/>
      <c r="K21" s="1">
        <v>10</v>
      </c>
      <c r="L21" s="1">
        <f t="shared" si="1"/>
        <v>-10</v>
      </c>
      <c r="M21" s="1"/>
      <c r="N21" s="1"/>
      <c r="O21" s="1"/>
      <c r="P21" s="1">
        <f t="shared" si="2"/>
        <v>0</v>
      </c>
      <c r="Q21" s="5">
        <v>50</v>
      </c>
      <c r="R21" s="5">
        <v>80</v>
      </c>
      <c r="S21" s="5">
        <f>VLOOKUP(A21,заказ!A:B,2,0)</f>
        <v>80</v>
      </c>
      <c r="T21" s="12">
        <f>VLOOKUP(A21,[1]Sheet!$A:$R,18,0)</f>
        <v>100</v>
      </c>
      <c r="U21" s="1" t="e">
        <f t="shared" si="3"/>
        <v>#DIV/0!</v>
      </c>
      <c r="V21" s="1" t="e">
        <f t="shared" si="4"/>
        <v>#DIV/0!</v>
      </c>
      <c r="W21" s="1">
        <v>0</v>
      </c>
      <c r="X21" s="1"/>
      <c r="Y21" s="1">
        <f t="shared" si="5"/>
        <v>8</v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 x14ac:dyDescent="0.25">
      <c r="A22" s="11" t="s">
        <v>43</v>
      </c>
      <c r="B22" s="1" t="s">
        <v>25</v>
      </c>
      <c r="C22" s="1"/>
      <c r="D22" s="1"/>
      <c r="E22" s="1"/>
      <c r="F22" s="1"/>
      <c r="G22" s="7">
        <v>0.18</v>
      </c>
      <c r="H22" s="1">
        <v>180</v>
      </c>
      <c r="I22" s="1"/>
      <c r="J22" s="1"/>
      <c r="K22" s="1">
        <v>18</v>
      </c>
      <c r="L22" s="1">
        <f t="shared" si="1"/>
        <v>-18</v>
      </c>
      <c r="M22" s="1"/>
      <c r="N22" s="1"/>
      <c r="O22" s="1">
        <v>500</v>
      </c>
      <c r="P22" s="1">
        <f t="shared" si="2"/>
        <v>0</v>
      </c>
      <c r="Q22" s="5"/>
      <c r="R22" s="5">
        <v>300</v>
      </c>
      <c r="S22" s="5">
        <f>VLOOKUP(A22,заказ!A:B,2,0)</f>
        <v>300</v>
      </c>
      <c r="T22" s="12">
        <f>VLOOKUP(A22,[1]Sheet!$A:$R,18,0)</f>
        <v>300</v>
      </c>
      <c r="U22" s="1" t="e">
        <f t="shared" si="3"/>
        <v>#DIV/0!</v>
      </c>
      <c r="V22" s="1" t="e">
        <f t="shared" si="4"/>
        <v>#DIV/0!</v>
      </c>
      <c r="W22" s="1">
        <v>0</v>
      </c>
      <c r="X22" s="1"/>
      <c r="Y22" s="1">
        <f t="shared" si="5"/>
        <v>54</v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 x14ac:dyDescent="0.25">
      <c r="A23" s="11" t="s">
        <v>44</v>
      </c>
      <c r="B23" s="1" t="s">
        <v>25</v>
      </c>
      <c r="C23" s="1"/>
      <c r="D23" s="1"/>
      <c r="E23" s="1"/>
      <c r="F23" s="1"/>
      <c r="G23" s="7">
        <v>0.18</v>
      </c>
      <c r="H23" s="1">
        <v>180</v>
      </c>
      <c r="I23" s="1"/>
      <c r="J23" s="1"/>
      <c r="K23" s="1">
        <v>21</v>
      </c>
      <c r="L23" s="1">
        <f t="shared" si="1"/>
        <v>-21</v>
      </c>
      <c r="M23" s="1"/>
      <c r="N23" s="1"/>
      <c r="O23" s="1">
        <v>500</v>
      </c>
      <c r="P23" s="1">
        <f t="shared" si="2"/>
        <v>0</v>
      </c>
      <c r="Q23" s="5"/>
      <c r="R23" s="5">
        <v>300</v>
      </c>
      <c r="S23" s="5">
        <f>VLOOKUP(A23,заказ!A:B,2,0)</f>
        <v>300</v>
      </c>
      <c r="T23" s="12">
        <f>VLOOKUP(A23,[1]Sheet!$A:$R,18,0)</f>
        <v>300</v>
      </c>
      <c r="U23" s="1" t="e">
        <f t="shared" si="3"/>
        <v>#DIV/0!</v>
      </c>
      <c r="V23" s="1" t="e">
        <f t="shared" si="4"/>
        <v>#DIV/0!</v>
      </c>
      <c r="W23" s="1">
        <v>0</v>
      </c>
      <c r="X23" s="1"/>
      <c r="Y23" s="1">
        <f t="shared" si="5"/>
        <v>54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 x14ac:dyDescent="0.25">
      <c r="A24" s="11" t="s">
        <v>45</v>
      </c>
      <c r="B24" s="1" t="s">
        <v>25</v>
      </c>
      <c r="C24" s="1">
        <v>16</v>
      </c>
      <c r="D24" s="1"/>
      <c r="E24" s="1"/>
      <c r="F24" s="1">
        <v>16</v>
      </c>
      <c r="G24" s="7">
        <v>0.4</v>
      </c>
      <c r="H24" s="1">
        <v>270</v>
      </c>
      <c r="I24" s="1"/>
      <c r="J24" s="1"/>
      <c r="K24" s="1"/>
      <c r="L24" s="1">
        <f t="shared" si="1"/>
        <v>0</v>
      </c>
      <c r="M24" s="1"/>
      <c r="N24" s="1"/>
      <c r="O24" s="1">
        <v>8</v>
      </c>
      <c r="P24" s="1">
        <f t="shared" si="2"/>
        <v>0</v>
      </c>
      <c r="Q24" s="5"/>
      <c r="R24" s="5">
        <v>8</v>
      </c>
      <c r="S24" s="5">
        <f>VLOOKUP(A24,заказ!A:B,2,0)</f>
        <v>8</v>
      </c>
      <c r="T24" s="12">
        <f>VLOOKUP(A24,[1]Sheet!$A:$R,18,0)</f>
        <v>30</v>
      </c>
      <c r="U24" s="1" t="e">
        <f t="shared" si="3"/>
        <v>#DIV/0!</v>
      </c>
      <c r="V24" s="1" t="e">
        <f t="shared" si="4"/>
        <v>#DIV/0!</v>
      </c>
      <c r="W24" s="1">
        <v>0</v>
      </c>
      <c r="X24" s="10" t="s">
        <v>76</v>
      </c>
      <c r="Y24" s="1">
        <f t="shared" si="5"/>
        <v>3.2</v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 x14ac:dyDescent="0.25">
      <c r="A25" s="11" t="s">
        <v>46</v>
      </c>
      <c r="B25" s="1" t="s">
        <v>25</v>
      </c>
      <c r="C25" s="1"/>
      <c r="D25" s="1"/>
      <c r="E25" s="1"/>
      <c r="F25" s="1"/>
      <c r="G25" s="7">
        <v>0.4</v>
      </c>
      <c r="H25" s="1">
        <v>270</v>
      </c>
      <c r="I25" s="1"/>
      <c r="J25" s="1"/>
      <c r="K25" s="1"/>
      <c r="L25" s="1">
        <f t="shared" si="1"/>
        <v>0</v>
      </c>
      <c r="M25" s="1"/>
      <c r="N25" s="1"/>
      <c r="O25" s="1">
        <v>28</v>
      </c>
      <c r="P25" s="1">
        <f t="shared" si="2"/>
        <v>0</v>
      </c>
      <c r="Q25" s="5"/>
      <c r="R25" s="5">
        <f t="shared" si="6"/>
        <v>0</v>
      </c>
      <c r="S25" s="5"/>
      <c r="T25" s="12"/>
      <c r="U25" s="1" t="e">
        <f t="shared" si="3"/>
        <v>#DIV/0!</v>
      </c>
      <c r="V25" s="1" t="e">
        <f t="shared" si="4"/>
        <v>#DIV/0!</v>
      </c>
      <c r="W25" s="1">
        <v>0</v>
      </c>
      <c r="X25" s="1"/>
      <c r="Y25" s="1">
        <f t="shared" si="5"/>
        <v>0</v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1:41" x14ac:dyDescent="0.25">
      <c r="A26" s="11" t="s">
        <v>47</v>
      </c>
      <c r="B26" s="1" t="s">
        <v>25</v>
      </c>
      <c r="C26" s="1">
        <v>32</v>
      </c>
      <c r="D26" s="1"/>
      <c r="E26" s="1"/>
      <c r="F26" s="1">
        <v>32</v>
      </c>
      <c r="G26" s="7">
        <v>0.18</v>
      </c>
      <c r="H26" s="1">
        <v>270</v>
      </c>
      <c r="I26" s="1"/>
      <c r="J26" s="1"/>
      <c r="K26" s="1"/>
      <c r="L26" s="1">
        <f t="shared" si="1"/>
        <v>0</v>
      </c>
      <c r="M26" s="1"/>
      <c r="N26" s="1"/>
      <c r="O26" s="1"/>
      <c r="P26" s="1">
        <f t="shared" si="2"/>
        <v>0</v>
      </c>
      <c r="Q26" s="5"/>
      <c r="R26" s="5">
        <f t="shared" si="6"/>
        <v>0</v>
      </c>
      <c r="S26" s="5"/>
      <c r="T26" s="12"/>
      <c r="U26" s="1" t="e">
        <f t="shared" si="3"/>
        <v>#DIV/0!</v>
      </c>
      <c r="V26" s="1" t="e">
        <f t="shared" si="4"/>
        <v>#DIV/0!</v>
      </c>
      <c r="W26" s="1">
        <v>0</v>
      </c>
      <c r="X26" s="10" t="s">
        <v>76</v>
      </c>
      <c r="Y26" s="1">
        <f t="shared" si="5"/>
        <v>0</v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1:41" x14ac:dyDescent="0.25">
      <c r="A27" s="11" t="s">
        <v>48</v>
      </c>
      <c r="B27" s="1" t="s">
        <v>25</v>
      </c>
      <c r="C27" s="1"/>
      <c r="D27" s="1"/>
      <c r="E27" s="1"/>
      <c r="F27" s="1"/>
      <c r="G27" s="7">
        <v>0.2</v>
      </c>
      <c r="H27" s="1">
        <v>120</v>
      </c>
      <c r="I27" s="1"/>
      <c r="J27" s="1"/>
      <c r="K27" s="1"/>
      <c r="L27" s="1">
        <f t="shared" si="1"/>
        <v>0</v>
      </c>
      <c r="M27" s="1"/>
      <c r="N27" s="1"/>
      <c r="O27" s="1">
        <v>24</v>
      </c>
      <c r="P27" s="1">
        <f t="shared" si="2"/>
        <v>0</v>
      </c>
      <c r="Q27" s="5"/>
      <c r="R27" s="5">
        <v>50</v>
      </c>
      <c r="S27" s="5">
        <f>VLOOKUP(A27,заказ!A:B,2,0)</f>
        <v>48</v>
      </c>
      <c r="T27" s="12">
        <f>VLOOKUP(A27,[1]Sheet!$A:$R,18,0)</f>
        <v>100</v>
      </c>
      <c r="U27" s="1" t="e">
        <f t="shared" si="3"/>
        <v>#DIV/0!</v>
      </c>
      <c r="V27" s="1" t="e">
        <f t="shared" si="4"/>
        <v>#DIV/0!</v>
      </c>
      <c r="W27" s="1">
        <v>0</v>
      </c>
      <c r="X27" s="1"/>
      <c r="Y27" s="1">
        <f t="shared" si="5"/>
        <v>10</v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41" x14ac:dyDescent="0.25">
      <c r="A28" s="11" t="s">
        <v>49</v>
      </c>
      <c r="B28" s="1" t="s">
        <v>29</v>
      </c>
      <c r="C28" s="1"/>
      <c r="D28" s="1"/>
      <c r="E28" s="1"/>
      <c r="F28" s="1"/>
      <c r="G28" s="7">
        <v>1</v>
      </c>
      <c r="H28" s="1">
        <v>180</v>
      </c>
      <c r="I28" s="1"/>
      <c r="J28" s="1"/>
      <c r="K28" s="1"/>
      <c r="L28" s="1">
        <f t="shared" si="1"/>
        <v>0</v>
      </c>
      <c r="M28" s="1"/>
      <c r="N28" s="1"/>
      <c r="O28" s="1"/>
      <c r="P28" s="1">
        <f t="shared" si="2"/>
        <v>0</v>
      </c>
      <c r="Q28" s="5">
        <v>10</v>
      </c>
      <c r="R28" s="5">
        <v>30</v>
      </c>
      <c r="S28" s="5">
        <f>VLOOKUP(A28,заказ!A:B,2,0)</f>
        <v>40</v>
      </c>
      <c r="T28" s="12">
        <f>VLOOKUP(A28,[1]Sheet!$A:$R,18,0)</f>
        <v>50</v>
      </c>
      <c r="U28" s="1" t="e">
        <f t="shared" si="3"/>
        <v>#DIV/0!</v>
      </c>
      <c r="V28" s="1" t="e">
        <f t="shared" si="4"/>
        <v>#DIV/0!</v>
      </c>
      <c r="W28" s="1">
        <v>0</v>
      </c>
      <c r="X28" s="1"/>
      <c r="Y28" s="1">
        <f t="shared" si="5"/>
        <v>30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41" x14ac:dyDescent="0.25">
      <c r="A29" s="11" t="s">
        <v>50</v>
      </c>
      <c r="B29" s="1" t="s">
        <v>29</v>
      </c>
      <c r="C29" s="1"/>
      <c r="D29" s="1"/>
      <c r="E29" s="1"/>
      <c r="F29" s="1"/>
      <c r="G29" s="7">
        <v>1</v>
      </c>
      <c r="H29" s="1">
        <v>180</v>
      </c>
      <c r="I29" s="1"/>
      <c r="J29" s="1"/>
      <c r="K29" s="1"/>
      <c r="L29" s="1">
        <f t="shared" si="1"/>
        <v>0</v>
      </c>
      <c r="M29" s="1"/>
      <c r="N29" s="1"/>
      <c r="O29" s="1">
        <v>20</v>
      </c>
      <c r="P29" s="1">
        <f t="shared" si="2"/>
        <v>0</v>
      </c>
      <c r="Q29" s="5"/>
      <c r="R29" s="5">
        <v>20</v>
      </c>
      <c r="S29" s="5">
        <f>VLOOKUP(A29,заказ!A:B,2,0)</f>
        <v>20</v>
      </c>
      <c r="T29" s="12">
        <f>VLOOKUP(A29,[1]Sheet!$A:$R,18,0)</f>
        <v>50</v>
      </c>
      <c r="U29" s="1" t="e">
        <f t="shared" si="3"/>
        <v>#DIV/0!</v>
      </c>
      <c r="V29" s="1" t="e">
        <f t="shared" si="4"/>
        <v>#DIV/0!</v>
      </c>
      <c r="W29" s="1">
        <v>0</v>
      </c>
      <c r="X29" s="1"/>
      <c r="Y29" s="1">
        <f t="shared" si="5"/>
        <v>20</v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1" x14ac:dyDescent="0.25">
      <c r="A30" s="11" t="s">
        <v>51</v>
      </c>
      <c r="B30" s="1" t="s">
        <v>25</v>
      </c>
      <c r="C30" s="1"/>
      <c r="D30" s="1"/>
      <c r="E30" s="1"/>
      <c r="F30" s="1"/>
      <c r="G30" s="7">
        <v>0.18</v>
      </c>
      <c r="H30" s="1">
        <v>150</v>
      </c>
      <c r="I30" s="1"/>
      <c r="J30" s="1"/>
      <c r="K30" s="1"/>
      <c r="L30" s="1">
        <f t="shared" si="1"/>
        <v>0</v>
      </c>
      <c r="M30" s="1"/>
      <c r="N30" s="1"/>
      <c r="O30" s="1">
        <v>102</v>
      </c>
      <c r="P30" s="1">
        <f t="shared" si="2"/>
        <v>0</v>
      </c>
      <c r="Q30" s="5"/>
      <c r="R30" s="5">
        <f t="shared" si="6"/>
        <v>0</v>
      </c>
      <c r="S30" s="5"/>
      <c r="T30" s="12"/>
      <c r="U30" s="1" t="e">
        <f t="shared" si="3"/>
        <v>#DIV/0!</v>
      </c>
      <c r="V30" s="1" t="e">
        <f t="shared" si="4"/>
        <v>#DIV/0!</v>
      </c>
      <c r="W30" s="1">
        <v>0</v>
      </c>
      <c r="X30" s="1"/>
      <c r="Y30" s="1">
        <f t="shared" si="5"/>
        <v>0</v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41" x14ac:dyDescent="0.25">
      <c r="A31" s="11" t="s">
        <v>52</v>
      </c>
      <c r="B31" s="1" t="s">
        <v>25</v>
      </c>
      <c r="C31" s="1">
        <v>104</v>
      </c>
      <c r="D31" s="1"/>
      <c r="E31" s="1">
        <v>18</v>
      </c>
      <c r="F31" s="1">
        <v>38</v>
      </c>
      <c r="G31" s="7">
        <v>0.1</v>
      </c>
      <c r="H31" s="1">
        <v>90</v>
      </c>
      <c r="I31" s="1"/>
      <c r="J31" s="1"/>
      <c r="K31" s="1">
        <v>18</v>
      </c>
      <c r="L31" s="1">
        <f t="shared" si="1"/>
        <v>0</v>
      </c>
      <c r="M31" s="1"/>
      <c r="N31" s="1"/>
      <c r="O31" s="1"/>
      <c r="P31" s="1">
        <f t="shared" si="2"/>
        <v>3.6</v>
      </c>
      <c r="Q31" s="5">
        <v>30</v>
      </c>
      <c r="R31" s="5">
        <v>50</v>
      </c>
      <c r="S31" s="5">
        <f>VLOOKUP(A31,заказ!A:B,2,0)</f>
        <v>48</v>
      </c>
      <c r="T31" s="12">
        <f>VLOOKUP(A31,[1]Sheet!$A:$R,18,0)</f>
        <v>70</v>
      </c>
      <c r="U31" s="1">
        <f t="shared" si="3"/>
        <v>24.444444444444443</v>
      </c>
      <c r="V31" s="1">
        <f t="shared" si="4"/>
        <v>10.555555555555555</v>
      </c>
      <c r="W31" s="1">
        <v>0</v>
      </c>
      <c r="X31" s="1"/>
      <c r="Y31" s="1">
        <f t="shared" si="5"/>
        <v>5</v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1:41" x14ac:dyDescent="0.25">
      <c r="A32" s="11" t="s">
        <v>53</v>
      </c>
      <c r="B32" s="1" t="s">
        <v>25</v>
      </c>
      <c r="C32" s="1"/>
      <c r="D32" s="1"/>
      <c r="E32" s="1"/>
      <c r="F32" s="1"/>
      <c r="G32" s="7">
        <v>0.1</v>
      </c>
      <c r="H32" s="1">
        <v>60</v>
      </c>
      <c r="I32" s="1"/>
      <c r="J32" s="1"/>
      <c r="K32" s="1">
        <v>10</v>
      </c>
      <c r="L32" s="1">
        <f t="shared" si="1"/>
        <v>-10</v>
      </c>
      <c r="M32" s="1"/>
      <c r="N32" s="1"/>
      <c r="O32" s="1">
        <v>128</v>
      </c>
      <c r="P32" s="1">
        <f t="shared" si="2"/>
        <v>0</v>
      </c>
      <c r="Q32" s="5"/>
      <c r="R32" s="5">
        <v>20</v>
      </c>
      <c r="S32" s="5">
        <f>VLOOKUP(A32,заказ!A:B,2,0)</f>
        <v>16</v>
      </c>
      <c r="T32" s="12">
        <f>VLOOKUP(A32,[1]Sheet!$A:$R,18,0)</f>
        <v>50</v>
      </c>
      <c r="U32" s="1" t="e">
        <f t="shared" si="3"/>
        <v>#DIV/0!</v>
      </c>
      <c r="V32" s="1" t="e">
        <f t="shared" si="4"/>
        <v>#DIV/0!</v>
      </c>
      <c r="W32" s="1">
        <v>0</v>
      </c>
      <c r="X32" s="1"/>
      <c r="Y32" s="1">
        <f t="shared" si="5"/>
        <v>2</v>
      </c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41" x14ac:dyDescent="0.25">
      <c r="A33" s="11" t="s">
        <v>54</v>
      </c>
      <c r="B33" s="1" t="s">
        <v>25</v>
      </c>
      <c r="C33" s="1"/>
      <c r="D33" s="1"/>
      <c r="E33" s="1"/>
      <c r="F33" s="1"/>
      <c r="G33" s="7">
        <v>0.1</v>
      </c>
      <c r="H33" s="1">
        <v>90</v>
      </c>
      <c r="I33" s="1"/>
      <c r="J33" s="1"/>
      <c r="K33" s="1">
        <v>10</v>
      </c>
      <c r="L33" s="1">
        <f t="shared" si="1"/>
        <v>-10</v>
      </c>
      <c r="M33" s="1"/>
      <c r="N33" s="1"/>
      <c r="O33" s="1">
        <v>128</v>
      </c>
      <c r="P33" s="1">
        <f t="shared" si="2"/>
        <v>0</v>
      </c>
      <c r="Q33" s="5"/>
      <c r="R33" s="5">
        <v>20</v>
      </c>
      <c r="S33" s="5">
        <f>VLOOKUP(A33,заказ!A:B,2,0)</f>
        <v>16</v>
      </c>
      <c r="T33" s="12">
        <f>VLOOKUP(A33,[1]Sheet!$A:$R,18,0)</f>
        <v>50</v>
      </c>
      <c r="U33" s="1" t="e">
        <f t="shared" si="3"/>
        <v>#DIV/0!</v>
      </c>
      <c r="V33" s="1" t="e">
        <f t="shared" si="4"/>
        <v>#DIV/0!</v>
      </c>
      <c r="W33" s="1">
        <v>0</v>
      </c>
      <c r="X33" s="1"/>
      <c r="Y33" s="1">
        <f t="shared" si="5"/>
        <v>2</v>
      </c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 x14ac:dyDescent="0.25">
      <c r="A34" s="11" t="s">
        <v>55</v>
      </c>
      <c r="B34" s="1" t="s">
        <v>25</v>
      </c>
      <c r="C34" s="1"/>
      <c r="D34" s="1"/>
      <c r="E34" s="1"/>
      <c r="F34" s="1"/>
      <c r="G34" s="7">
        <v>0.18</v>
      </c>
      <c r="H34" s="1">
        <v>150</v>
      </c>
      <c r="I34" s="1"/>
      <c r="J34" s="1"/>
      <c r="K34" s="1">
        <v>4</v>
      </c>
      <c r="L34" s="1">
        <f t="shared" si="1"/>
        <v>-4</v>
      </c>
      <c r="M34" s="1"/>
      <c r="N34" s="1"/>
      <c r="O34" s="1">
        <v>80</v>
      </c>
      <c r="P34" s="1">
        <f t="shared" si="2"/>
        <v>0</v>
      </c>
      <c r="Q34" s="5"/>
      <c r="R34" s="5">
        <v>20</v>
      </c>
      <c r="S34" s="5">
        <f>VLOOKUP(A34,заказ!A:B,2,0)</f>
        <v>20</v>
      </c>
      <c r="T34" s="12">
        <f>VLOOKUP(A34,[1]Sheet!$A:$R,18,0)</f>
        <v>50</v>
      </c>
      <c r="U34" s="1" t="e">
        <f t="shared" si="3"/>
        <v>#DIV/0!</v>
      </c>
      <c r="V34" s="1" t="e">
        <f t="shared" si="4"/>
        <v>#DIV/0!</v>
      </c>
      <c r="W34" s="1">
        <v>0</v>
      </c>
      <c r="X34" s="1"/>
      <c r="Y34" s="1">
        <f t="shared" si="5"/>
        <v>3.5999999999999996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 x14ac:dyDescent="0.25">
      <c r="A35" s="11" t="s">
        <v>56</v>
      </c>
      <c r="B35" s="1" t="s">
        <v>25</v>
      </c>
      <c r="C35" s="1"/>
      <c r="D35" s="1"/>
      <c r="E35" s="1"/>
      <c r="F35" s="1"/>
      <c r="G35" s="7">
        <v>0.18</v>
      </c>
      <c r="H35" s="1">
        <v>150</v>
      </c>
      <c r="I35" s="1"/>
      <c r="J35" s="1"/>
      <c r="K35" s="1">
        <v>25</v>
      </c>
      <c r="L35" s="1">
        <f t="shared" si="1"/>
        <v>-25</v>
      </c>
      <c r="M35" s="1"/>
      <c r="N35" s="1"/>
      <c r="O35" s="1">
        <v>150</v>
      </c>
      <c r="P35" s="1">
        <f t="shared" si="2"/>
        <v>0</v>
      </c>
      <c r="Q35" s="5"/>
      <c r="R35" s="5">
        <v>30</v>
      </c>
      <c r="S35" s="5">
        <f>VLOOKUP(A35,заказ!A:B,2,0)</f>
        <v>30</v>
      </c>
      <c r="T35" s="12">
        <f>VLOOKUP(A35,[1]Sheet!$A:$R,18,0)</f>
        <v>50</v>
      </c>
      <c r="U35" s="1" t="e">
        <f t="shared" si="3"/>
        <v>#DIV/0!</v>
      </c>
      <c r="V35" s="1" t="e">
        <f t="shared" si="4"/>
        <v>#DIV/0!</v>
      </c>
      <c r="W35" s="1">
        <v>0</v>
      </c>
      <c r="X35" s="1"/>
      <c r="Y35" s="1">
        <f t="shared" si="5"/>
        <v>5.3999999999999995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 x14ac:dyDescent="0.25">
      <c r="A36" s="11" t="s">
        <v>57</v>
      </c>
      <c r="B36" s="1" t="s">
        <v>25</v>
      </c>
      <c r="C36" s="1"/>
      <c r="D36" s="1"/>
      <c r="E36" s="1"/>
      <c r="F36" s="1"/>
      <c r="G36" s="7">
        <v>0.18</v>
      </c>
      <c r="H36" s="1">
        <v>150</v>
      </c>
      <c r="I36" s="1"/>
      <c r="J36" s="1"/>
      <c r="K36" s="1">
        <v>1</v>
      </c>
      <c r="L36" s="1">
        <f t="shared" si="1"/>
        <v>-1</v>
      </c>
      <c r="M36" s="1"/>
      <c r="N36" s="1"/>
      <c r="O36" s="1">
        <v>30</v>
      </c>
      <c r="P36" s="1">
        <f t="shared" si="2"/>
        <v>0</v>
      </c>
      <c r="Q36" s="5"/>
      <c r="R36" s="5">
        <v>10</v>
      </c>
      <c r="S36" s="5">
        <f>VLOOKUP(A36,заказ!A:B,2,0)</f>
        <v>10</v>
      </c>
      <c r="T36" s="12">
        <f>VLOOKUP(A36,[1]Sheet!$A:$R,18,0)</f>
        <v>50</v>
      </c>
      <c r="U36" s="1" t="e">
        <f t="shared" si="3"/>
        <v>#DIV/0!</v>
      </c>
      <c r="V36" s="1" t="e">
        <f t="shared" si="4"/>
        <v>#DIV/0!</v>
      </c>
      <c r="W36" s="1">
        <v>0</v>
      </c>
      <c r="X36" s="1"/>
      <c r="Y36" s="1">
        <f t="shared" si="5"/>
        <v>1.7999999999999998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1" x14ac:dyDescent="0.25">
      <c r="A37" s="11" t="s">
        <v>58</v>
      </c>
      <c r="B37" s="1" t="s">
        <v>25</v>
      </c>
      <c r="C37" s="1"/>
      <c r="D37" s="1"/>
      <c r="E37" s="1"/>
      <c r="F37" s="1"/>
      <c r="G37" s="7">
        <v>0.18</v>
      </c>
      <c r="H37" s="1">
        <v>150</v>
      </c>
      <c r="I37" s="1"/>
      <c r="J37" s="1"/>
      <c r="K37" s="1">
        <v>3</v>
      </c>
      <c r="L37" s="1">
        <f t="shared" si="1"/>
        <v>-3</v>
      </c>
      <c r="M37" s="1"/>
      <c r="N37" s="1"/>
      <c r="O37" s="1">
        <v>10</v>
      </c>
      <c r="P37" s="1">
        <f t="shared" si="2"/>
        <v>0</v>
      </c>
      <c r="Q37" s="5">
        <v>10</v>
      </c>
      <c r="R37" s="5">
        <v>30</v>
      </c>
      <c r="S37" s="5">
        <f>VLOOKUP(A37,заказ!A:B,2,0)</f>
        <v>30</v>
      </c>
      <c r="T37" s="12">
        <f>VLOOKUP(A37,[1]Sheet!$A:$R,18,0)</f>
        <v>50</v>
      </c>
      <c r="U37" s="1" t="e">
        <f t="shared" si="3"/>
        <v>#DIV/0!</v>
      </c>
      <c r="V37" s="1" t="e">
        <f t="shared" si="4"/>
        <v>#DIV/0!</v>
      </c>
      <c r="W37" s="1">
        <v>0</v>
      </c>
      <c r="X37" s="1"/>
      <c r="Y37" s="1">
        <f t="shared" si="5"/>
        <v>5.3999999999999995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1" x14ac:dyDescent="0.25">
      <c r="A38" s="11" t="s">
        <v>59</v>
      </c>
      <c r="B38" s="1" t="s">
        <v>25</v>
      </c>
      <c r="C38" s="1">
        <v>50</v>
      </c>
      <c r="D38" s="1">
        <v>16</v>
      </c>
      <c r="E38" s="1">
        <v>24</v>
      </c>
      <c r="F38" s="1">
        <v>1</v>
      </c>
      <c r="G38" s="7">
        <v>0.18</v>
      </c>
      <c r="H38" s="1">
        <v>150</v>
      </c>
      <c r="I38" s="1"/>
      <c r="J38" s="1"/>
      <c r="K38" s="1">
        <v>43</v>
      </c>
      <c r="L38" s="1">
        <f t="shared" si="1"/>
        <v>-19</v>
      </c>
      <c r="M38" s="1"/>
      <c r="N38" s="1"/>
      <c r="O38" s="1">
        <v>150</v>
      </c>
      <c r="P38" s="1">
        <f t="shared" si="2"/>
        <v>4.8</v>
      </c>
      <c r="Q38" s="5"/>
      <c r="R38" s="5">
        <v>80</v>
      </c>
      <c r="S38" s="5">
        <f>VLOOKUP(A38,заказ!A:B,2,0)</f>
        <v>80</v>
      </c>
      <c r="T38" s="12">
        <f>VLOOKUP(A38,[1]Sheet!$A:$R,18,0)</f>
        <v>100</v>
      </c>
      <c r="U38" s="1">
        <f t="shared" si="3"/>
        <v>48.125</v>
      </c>
      <c r="V38" s="1">
        <f t="shared" si="4"/>
        <v>31.458333333333336</v>
      </c>
      <c r="W38" s="1">
        <v>0</v>
      </c>
      <c r="X38" s="1"/>
      <c r="Y38" s="1">
        <f t="shared" si="5"/>
        <v>14.399999999999999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1" x14ac:dyDescent="0.25">
      <c r="A39" s="11" t="s">
        <v>60</v>
      </c>
      <c r="B39" s="1" t="s">
        <v>25</v>
      </c>
      <c r="C39" s="1"/>
      <c r="D39" s="1"/>
      <c r="E39" s="1"/>
      <c r="F39" s="1"/>
      <c r="G39" s="7">
        <v>0.18</v>
      </c>
      <c r="H39" s="1">
        <v>150</v>
      </c>
      <c r="I39" s="1"/>
      <c r="J39" s="1"/>
      <c r="K39" s="1">
        <v>25</v>
      </c>
      <c r="L39" s="1">
        <f t="shared" si="1"/>
        <v>-25</v>
      </c>
      <c r="M39" s="1"/>
      <c r="N39" s="1"/>
      <c r="O39" s="1">
        <v>50</v>
      </c>
      <c r="P39" s="1">
        <f t="shared" si="2"/>
        <v>0</v>
      </c>
      <c r="Q39" s="5"/>
      <c r="R39" s="5">
        <f t="shared" si="6"/>
        <v>0</v>
      </c>
      <c r="S39" s="5"/>
      <c r="T39" s="12"/>
      <c r="U39" s="1" t="e">
        <f t="shared" si="3"/>
        <v>#DIV/0!</v>
      </c>
      <c r="V39" s="1" t="e">
        <f t="shared" si="4"/>
        <v>#DIV/0!</v>
      </c>
      <c r="W39" s="1">
        <v>0</v>
      </c>
      <c r="X39" s="1"/>
      <c r="Y39" s="1">
        <f t="shared" si="5"/>
        <v>0</v>
      </c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 x14ac:dyDescent="0.25">
      <c r="A40" s="11" t="s">
        <v>61</v>
      </c>
      <c r="B40" s="1" t="s">
        <v>25</v>
      </c>
      <c r="C40" s="1"/>
      <c r="D40" s="1"/>
      <c r="E40" s="1"/>
      <c r="F40" s="1"/>
      <c r="G40" s="7">
        <v>0.1</v>
      </c>
      <c r="H40" s="1">
        <v>60</v>
      </c>
      <c r="I40" s="1"/>
      <c r="J40" s="1"/>
      <c r="K40" s="1">
        <v>2</v>
      </c>
      <c r="L40" s="1">
        <f t="shared" si="1"/>
        <v>-2</v>
      </c>
      <c r="M40" s="1"/>
      <c r="N40" s="1"/>
      <c r="O40" s="1">
        <v>8</v>
      </c>
      <c r="P40" s="1">
        <f t="shared" si="2"/>
        <v>0</v>
      </c>
      <c r="Q40" s="5"/>
      <c r="R40" s="5">
        <f t="shared" si="6"/>
        <v>0</v>
      </c>
      <c r="S40" s="5"/>
      <c r="T40" s="12"/>
      <c r="U40" s="1" t="e">
        <f t="shared" si="3"/>
        <v>#DIV/0!</v>
      </c>
      <c r="V40" s="1" t="e">
        <f t="shared" si="4"/>
        <v>#DIV/0!</v>
      </c>
      <c r="W40" s="1">
        <v>0</v>
      </c>
      <c r="X40" s="1"/>
      <c r="Y40" s="1">
        <f t="shared" si="5"/>
        <v>0</v>
      </c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 x14ac:dyDescent="0.25">
      <c r="A41" s="11" t="s">
        <v>62</v>
      </c>
      <c r="B41" s="1" t="s">
        <v>25</v>
      </c>
      <c r="C41" s="1"/>
      <c r="D41" s="1"/>
      <c r="E41" s="1"/>
      <c r="F41" s="1"/>
      <c r="G41" s="7">
        <v>0.14000000000000001</v>
      </c>
      <c r="H41" s="1">
        <v>180</v>
      </c>
      <c r="I41" s="1"/>
      <c r="J41" s="1"/>
      <c r="K41" s="1">
        <v>5</v>
      </c>
      <c r="L41" s="1">
        <f t="shared" si="1"/>
        <v>-5</v>
      </c>
      <c r="M41" s="1"/>
      <c r="N41" s="1"/>
      <c r="O41" s="1">
        <v>32</v>
      </c>
      <c r="P41" s="1">
        <f t="shared" si="2"/>
        <v>0</v>
      </c>
      <c r="Q41" s="5"/>
      <c r="R41" s="5">
        <f t="shared" si="6"/>
        <v>0</v>
      </c>
      <c r="S41" s="5"/>
      <c r="T41" s="12"/>
      <c r="U41" s="1" t="e">
        <f t="shared" si="3"/>
        <v>#DIV/0!</v>
      </c>
      <c r="V41" s="1" t="e">
        <f t="shared" si="4"/>
        <v>#DIV/0!</v>
      </c>
      <c r="W41" s="1">
        <v>0</v>
      </c>
      <c r="X41" s="1"/>
      <c r="Y41" s="1">
        <f t="shared" si="5"/>
        <v>0</v>
      </c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 x14ac:dyDescent="0.25">
      <c r="A42" s="11" t="s">
        <v>63</v>
      </c>
      <c r="B42" s="1" t="s">
        <v>25</v>
      </c>
      <c r="C42" s="1"/>
      <c r="D42" s="1"/>
      <c r="E42" s="1"/>
      <c r="F42" s="1"/>
      <c r="G42" s="7">
        <v>0.18</v>
      </c>
      <c r="H42" s="1">
        <v>270</v>
      </c>
      <c r="I42" s="1"/>
      <c r="J42" s="1"/>
      <c r="K42" s="1">
        <v>8</v>
      </c>
      <c r="L42" s="1">
        <f t="shared" si="1"/>
        <v>-8</v>
      </c>
      <c r="M42" s="1"/>
      <c r="N42" s="1"/>
      <c r="O42" s="1">
        <v>48</v>
      </c>
      <c r="P42" s="1">
        <f t="shared" si="2"/>
        <v>0</v>
      </c>
      <c r="Q42" s="5"/>
      <c r="R42" s="5">
        <v>80</v>
      </c>
      <c r="S42" s="5">
        <f>VLOOKUP(A42,заказ!A:B,2,0)</f>
        <v>80</v>
      </c>
      <c r="T42" s="12">
        <f>VLOOKUP(A42,[1]Sheet!$A:$R,18,0)</f>
        <v>150</v>
      </c>
      <c r="U42" s="1" t="e">
        <f t="shared" si="3"/>
        <v>#DIV/0!</v>
      </c>
      <c r="V42" s="1" t="e">
        <f t="shared" si="4"/>
        <v>#DIV/0!</v>
      </c>
      <c r="W42" s="1">
        <v>0</v>
      </c>
      <c r="X42" s="1"/>
      <c r="Y42" s="1">
        <f t="shared" si="5"/>
        <v>14.399999999999999</v>
      </c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 x14ac:dyDescent="0.25">
      <c r="A43" s="11" t="s">
        <v>64</v>
      </c>
      <c r="B43" s="1" t="s">
        <v>29</v>
      </c>
      <c r="C43" s="1">
        <v>44.332000000000001</v>
      </c>
      <c r="D43" s="1"/>
      <c r="E43" s="1">
        <v>9.73</v>
      </c>
      <c r="F43" s="1">
        <v>31.271999999999998</v>
      </c>
      <c r="G43" s="7">
        <v>1</v>
      </c>
      <c r="H43" s="1">
        <v>180</v>
      </c>
      <c r="I43" s="1"/>
      <c r="J43" s="1"/>
      <c r="K43" s="1">
        <v>9</v>
      </c>
      <c r="L43" s="1">
        <f t="shared" si="1"/>
        <v>0.73000000000000043</v>
      </c>
      <c r="M43" s="1"/>
      <c r="N43" s="1"/>
      <c r="O43" s="1"/>
      <c r="P43" s="1">
        <f t="shared" si="2"/>
        <v>1.9460000000000002</v>
      </c>
      <c r="Q43" s="5">
        <v>5</v>
      </c>
      <c r="R43" s="5">
        <v>20</v>
      </c>
      <c r="S43" s="5">
        <f>VLOOKUP(A43,заказ!A:B,2,0)</f>
        <v>16</v>
      </c>
      <c r="T43" s="12">
        <f>VLOOKUP(A43,[1]Sheet!$A:$R,18,0)</f>
        <v>50</v>
      </c>
      <c r="U43" s="1">
        <f t="shared" si="3"/>
        <v>26.347379239465567</v>
      </c>
      <c r="V43" s="1">
        <f t="shared" si="4"/>
        <v>16.069886947584788</v>
      </c>
      <c r="W43" s="1">
        <v>0</v>
      </c>
      <c r="X43" s="1"/>
      <c r="Y43" s="1">
        <f t="shared" si="5"/>
        <v>20</v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 x14ac:dyDescent="0.25">
      <c r="A44" s="11" t="s">
        <v>65</v>
      </c>
      <c r="B44" s="1" t="s">
        <v>29</v>
      </c>
      <c r="C44" s="1"/>
      <c r="D44" s="1"/>
      <c r="E44" s="1"/>
      <c r="F44" s="1"/>
      <c r="G44" s="7">
        <v>1</v>
      </c>
      <c r="H44" s="1">
        <v>180</v>
      </c>
      <c r="I44" s="1"/>
      <c r="J44" s="1"/>
      <c r="K44" s="1"/>
      <c r="L44" s="1">
        <f t="shared" si="1"/>
        <v>0</v>
      </c>
      <c r="M44" s="1"/>
      <c r="N44" s="1"/>
      <c r="O44" s="1">
        <v>16</v>
      </c>
      <c r="P44" s="1">
        <f t="shared" si="2"/>
        <v>0</v>
      </c>
      <c r="Q44" s="5"/>
      <c r="R44" s="5">
        <v>30</v>
      </c>
      <c r="S44" s="5">
        <f>VLOOKUP(A44,заказ!A:B,2,0)</f>
        <v>33</v>
      </c>
      <c r="T44" s="12">
        <f>VLOOKUP(A44,[1]Sheet!$A:$R,18,0)</f>
        <v>50</v>
      </c>
      <c r="U44" s="1" t="e">
        <f t="shared" si="3"/>
        <v>#DIV/0!</v>
      </c>
      <c r="V44" s="1" t="e">
        <f t="shared" si="4"/>
        <v>#DIV/0!</v>
      </c>
      <c r="W44" s="1">
        <v>0</v>
      </c>
      <c r="X44" s="1"/>
      <c r="Y44" s="1">
        <f t="shared" si="5"/>
        <v>30</v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 x14ac:dyDescent="0.25">
      <c r="A45" s="11" t="s">
        <v>66</v>
      </c>
      <c r="B45" s="1" t="s">
        <v>29</v>
      </c>
      <c r="C45" s="1"/>
      <c r="D45" s="1"/>
      <c r="E45" s="1"/>
      <c r="F45" s="1"/>
      <c r="G45" s="7">
        <v>1</v>
      </c>
      <c r="H45" s="1">
        <v>180</v>
      </c>
      <c r="I45" s="1"/>
      <c r="J45" s="1"/>
      <c r="K45" s="1">
        <v>3</v>
      </c>
      <c r="L45" s="1">
        <f t="shared" si="1"/>
        <v>-3</v>
      </c>
      <c r="M45" s="1"/>
      <c r="N45" s="1"/>
      <c r="O45" s="1">
        <v>99</v>
      </c>
      <c r="P45" s="1">
        <f t="shared" si="2"/>
        <v>0</v>
      </c>
      <c r="Q45" s="5"/>
      <c r="R45" s="5">
        <v>10</v>
      </c>
      <c r="S45" s="5">
        <f>VLOOKUP(A45,заказ!A:B,2,0)</f>
        <v>16</v>
      </c>
      <c r="T45" s="12">
        <f>VLOOKUP(A45,[1]Sheet!$A:$R,18,0)</f>
        <v>50</v>
      </c>
      <c r="U45" s="1" t="e">
        <f t="shared" si="3"/>
        <v>#DIV/0!</v>
      </c>
      <c r="V45" s="1" t="e">
        <f t="shared" si="4"/>
        <v>#DIV/0!</v>
      </c>
      <c r="W45" s="1">
        <v>0</v>
      </c>
      <c r="X45" s="1"/>
      <c r="Y45" s="1">
        <f t="shared" si="5"/>
        <v>10</v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 x14ac:dyDescent="0.25">
      <c r="A46" s="11" t="s">
        <v>67</v>
      </c>
      <c r="B46" s="1" t="s">
        <v>29</v>
      </c>
      <c r="C46" s="1"/>
      <c r="D46" s="1"/>
      <c r="E46" s="1"/>
      <c r="F46" s="1"/>
      <c r="G46" s="7">
        <v>1</v>
      </c>
      <c r="H46" s="1">
        <v>180</v>
      </c>
      <c r="I46" s="1"/>
      <c r="J46" s="1"/>
      <c r="K46" s="1"/>
      <c r="L46" s="1">
        <f t="shared" si="1"/>
        <v>0</v>
      </c>
      <c r="M46" s="1"/>
      <c r="N46" s="1"/>
      <c r="O46" s="1">
        <v>16</v>
      </c>
      <c r="P46" s="1">
        <f t="shared" si="2"/>
        <v>0</v>
      </c>
      <c r="Q46" s="5"/>
      <c r="R46" s="5">
        <v>30</v>
      </c>
      <c r="S46" s="5">
        <f>VLOOKUP(A46,заказ!A:B,2,0)</f>
        <v>33</v>
      </c>
      <c r="T46" s="12">
        <f>VLOOKUP(A46,[1]Sheet!$A:$R,18,0)</f>
        <v>50</v>
      </c>
      <c r="U46" s="1" t="e">
        <f t="shared" si="3"/>
        <v>#DIV/0!</v>
      </c>
      <c r="V46" s="1" t="e">
        <f t="shared" si="4"/>
        <v>#DIV/0!</v>
      </c>
      <c r="W46" s="1">
        <v>0</v>
      </c>
      <c r="X46" s="1"/>
      <c r="Y46" s="1">
        <f t="shared" si="5"/>
        <v>30</v>
      </c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 x14ac:dyDescent="0.25">
      <c r="A47" s="11" t="s">
        <v>68</v>
      </c>
      <c r="B47" s="1" t="s">
        <v>25</v>
      </c>
      <c r="C47" s="1">
        <v>162</v>
      </c>
      <c r="D47" s="1">
        <v>7</v>
      </c>
      <c r="E47" s="1">
        <v>36</v>
      </c>
      <c r="F47" s="1">
        <v>10</v>
      </c>
      <c r="G47" s="7">
        <v>0.1</v>
      </c>
      <c r="H47" s="1">
        <v>60</v>
      </c>
      <c r="I47" s="1"/>
      <c r="J47" s="1"/>
      <c r="K47" s="1">
        <v>51</v>
      </c>
      <c r="L47" s="1">
        <f t="shared" si="1"/>
        <v>-15</v>
      </c>
      <c r="M47" s="1"/>
      <c r="N47" s="1"/>
      <c r="O47" s="1">
        <v>300</v>
      </c>
      <c r="P47" s="1">
        <f t="shared" si="2"/>
        <v>7.2</v>
      </c>
      <c r="Q47" s="5"/>
      <c r="R47" s="5">
        <v>30</v>
      </c>
      <c r="S47" s="5">
        <f>VLOOKUP(A47,заказ!A:B,2,0)</f>
        <v>30</v>
      </c>
      <c r="T47" s="12">
        <f>VLOOKUP(A47,[1]Sheet!$A:$R,18,0)</f>
        <v>100</v>
      </c>
      <c r="U47" s="1">
        <f t="shared" si="3"/>
        <v>47.222222222222221</v>
      </c>
      <c r="V47" s="1">
        <f t="shared" si="4"/>
        <v>43.055555555555557</v>
      </c>
      <c r="W47" s="1">
        <v>0</v>
      </c>
      <c r="X47" s="1"/>
      <c r="Y47" s="1">
        <f t="shared" si="5"/>
        <v>3</v>
      </c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 x14ac:dyDescent="0.25">
      <c r="A48" s="11" t="s">
        <v>69</v>
      </c>
      <c r="B48" s="1" t="s">
        <v>25</v>
      </c>
      <c r="C48" s="1">
        <v>150</v>
      </c>
      <c r="D48" s="1">
        <v>15</v>
      </c>
      <c r="E48" s="1">
        <v>57</v>
      </c>
      <c r="F48" s="1"/>
      <c r="G48" s="7">
        <v>0.1</v>
      </c>
      <c r="H48" s="1">
        <v>90</v>
      </c>
      <c r="I48" s="1"/>
      <c r="J48" s="1"/>
      <c r="K48" s="1">
        <v>75</v>
      </c>
      <c r="L48" s="1">
        <f t="shared" si="1"/>
        <v>-18</v>
      </c>
      <c r="M48" s="1"/>
      <c r="N48" s="1"/>
      <c r="O48" s="1">
        <v>150</v>
      </c>
      <c r="P48" s="1">
        <f t="shared" si="2"/>
        <v>11.4</v>
      </c>
      <c r="Q48" s="5">
        <v>50</v>
      </c>
      <c r="R48" s="5">
        <v>120</v>
      </c>
      <c r="S48" s="5">
        <f>VLOOKUP(A48,заказ!A:B,2,0)</f>
        <v>120</v>
      </c>
      <c r="T48" s="12">
        <f>VLOOKUP(A48,[1]Sheet!$A:$R,18,0)</f>
        <v>120</v>
      </c>
      <c r="U48" s="1">
        <f t="shared" si="3"/>
        <v>23.684210526315788</v>
      </c>
      <c r="V48" s="1">
        <f t="shared" si="4"/>
        <v>13.157894736842104</v>
      </c>
      <c r="W48" s="1">
        <v>0</v>
      </c>
      <c r="X48" s="1"/>
      <c r="Y48" s="1">
        <f t="shared" si="5"/>
        <v>12</v>
      </c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 x14ac:dyDescent="0.25">
      <c r="A49" s="11" t="s">
        <v>70</v>
      </c>
      <c r="B49" s="1" t="s">
        <v>25</v>
      </c>
      <c r="C49" s="1"/>
      <c r="D49" s="1"/>
      <c r="E49" s="1"/>
      <c r="F49" s="1"/>
      <c r="G49" s="7">
        <v>0.14000000000000001</v>
      </c>
      <c r="H49" s="1">
        <v>180</v>
      </c>
      <c r="I49" s="1"/>
      <c r="J49" s="1"/>
      <c r="K49" s="1">
        <v>2</v>
      </c>
      <c r="L49" s="1">
        <f t="shared" si="1"/>
        <v>-2</v>
      </c>
      <c r="M49" s="1"/>
      <c r="N49" s="1"/>
      <c r="O49" s="1">
        <v>16</v>
      </c>
      <c r="P49" s="1">
        <f t="shared" si="2"/>
        <v>0</v>
      </c>
      <c r="Q49" s="5"/>
      <c r="R49" s="5">
        <v>50</v>
      </c>
      <c r="S49" s="5">
        <f>VLOOKUP(A49,заказ!A:B,2,0)</f>
        <v>48</v>
      </c>
      <c r="T49" s="12">
        <f>VLOOKUP(A49,[1]Sheet!$A:$R,18,0)</f>
        <v>50</v>
      </c>
      <c r="U49" s="1" t="e">
        <f t="shared" si="3"/>
        <v>#DIV/0!</v>
      </c>
      <c r="V49" s="1" t="e">
        <f t="shared" si="4"/>
        <v>#DIV/0!</v>
      </c>
      <c r="W49" s="1">
        <v>0</v>
      </c>
      <c r="X49" s="1"/>
      <c r="Y49" s="1">
        <f t="shared" si="5"/>
        <v>7.0000000000000009</v>
      </c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 x14ac:dyDescent="0.25">
      <c r="A50" s="11" t="s">
        <v>71</v>
      </c>
      <c r="B50" s="1" t="s">
        <v>25</v>
      </c>
      <c r="C50" s="1"/>
      <c r="D50" s="1"/>
      <c r="E50" s="1"/>
      <c r="F50" s="1"/>
      <c r="G50" s="7">
        <v>0.2</v>
      </c>
      <c r="H50" s="1">
        <v>120</v>
      </c>
      <c r="I50" s="1"/>
      <c r="J50" s="1"/>
      <c r="K50" s="1"/>
      <c r="L50" s="1">
        <f t="shared" si="1"/>
        <v>0</v>
      </c>
      <c r="M50" s="1"/>
      <c r="N50" s="1"/>
      <c r="O50" s="1">
        <v>10</v>
      </c>
      <c r="P50" s="1">
        <f t="shared" si="2"/>
        <v>0</v>
      </c>
      <c r="Q50" s="5"/>
      <c r="R50" s="5">
        <v>70</v>
      </c>
      <c r="S50" s="5">
        <f>VLOOKUP(A50,заказ!A:B,2,0)</f>
        <v>70</v>
      </c>
      <c r="T50" s="12">
        <f>VLOOKUP(A50,[1]Sheet!$A:$R,18,0)</f>
        <v>70</v>
      </c>
      <c r="U50" s="1" t="e">
        <f t="shared" si="3"/>
        <v>#DIV/0!</v>
      </c>
      <c r="V50" s="1" t="e">
        <f t="shared" si="4"/>
        <v>#DIV/0!</v>
      </c>
      <c r="W50" s="1">
        <v>0</v>
      </c>
      <c r="X50" s="1"/>
      <c r="Y50" s="1">
        <f t="shared" si="5"/>
        <v>14</v>
      </c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 x14ac:dyDescent="0.25">
      <c r="A51" s="11" t="s">
        <v>72</v>
      </c>
      <c r="B51" s="1" t="s">
        <v>29</v>
      </c>
      <c r="C51" s="1"/>
      <c r="D51" s="1"/>
      <c r="E51" s="1"/>
      <c r="F51" s="1"/>
      <c r="G51" s="7">
        <v>1</v>
      </c>
      <c r="H51" s="1">
        <v>120</v>
      </c>
      <c r="I51" s="1"/>
      <c r="J51" s="1"/>
      <c r="K51" s="1"/>
      <c r="L51" s="1">
        <f t="shared" si="1"/>
        <v>0</v>
      </c>
      <c r="M51" s="1"/>
      <c r="N51" s="1"/>
      <c r="O51" s="1">
        <v>15</v>
      </c>
      <c r="P51" s="1">
        <f t="shared" si="2"/>
        <v>0</v>
      </c>
      <c r="Q51" s="5"/>
      <c r="R51" s="5">
        <v>50</v>
      </c>
      <c r="S51" s="5">
        <f>VLOOKUP(A51,заказ!A:B,2,0)</f>
        <v>45</v>
      </c>
      <c r="T51" s="12">
        <f>VLOOKUP(A51,[1]Sheet!$A:$R,18,0)</f>
        <v>60</v>
      </c>
      <c r="U51" s="1" t="e">
        <f t="shared" si="3"/>
        <v>#DIV/0!</v>
      </c>
      <c r="V51" s="1" t="e">
        <f t="shared" si="4"/>
        <v>#DIV/0!</v>
      </c>
      <c r="W51" s="1">
        <v>0</v>
      </c>
      <c r="X51" s="1"/>
      <c r="Y51" s="1">
        <f t="shared" si="5"/>
        <v>50</v>
      </c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 x14ac:dyDescent="0.25">
      <c r="A52" s="11" t="s">
        <v>73</v>
      </c>
      <c r="B52" s="1" t="s">
        <v>25</v>
      </c>
      <c r="C52" s="1"/>
      <c r="D52" s="1"/>
      <c r="E52" s="1"/>
      <c r="F52" s="1"/>
      <c r="G52" s="7">
        <v>0.2</v>
      </c>
      <c r="H52" s="1">
        <v>120</v>
      </c>
      <c r="I52" s="1"/>
      <c r="J52" s="1"/>
      <c r="K52" s="1"/>
      <c r="L52" s="1">
        <f t="shared" si="1"/>
        <v>0</v>
      </c>
      <c r="M52" s="1"/>
      <c r="N52" s="1"/>
      <c r="O52" s="1">
        <v>10</v>
      </c>
      <c r="P52" s="1">
        <f t="shared" si="2"/>
        <v>0</v>
      </c>
      <c r="Q52" s="5"/>
      <c r="R52" s="5">
        <v>70</v>
      </c>
      <c r="S52" s="5">
        <f>VLOOKUP(A52,заказ!A:B,2,0)</f>
        <v>70</v>
      </c>
      <c r="T52" s="12">
        <f>VLOOKUP(A52,[1]Sheet!$A:$R,18,0)</f>
        <v>70</v>
      </c>
      <c r="U52" s="1" t="e">
        <f t="shared" si="3"/>
        <v>#DIV/0!</v>
      </c>
      <c r="V52" s="1" t="e">
        <f t="shared" si="4"/>
        <v>#DIV/0!</v>
      </c>
      <c r="W52" s="1">
        <v>0</v>
      </c>
      <c r="X52" s="1"/>
      <c r="Y52" s="1">
        <f t="shared" si="5"/>
        <v>14</v>
      </c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 x14ac:dyDescent="0.25">
      <c r="A53" s="11" t="s">
        <v>74</v>
      </c>
      <c r="B53" s="1" t="s">
        <v>29</v>
      </c>
      <c r="C53" s="1"/>
      <c r="D53" s="1"/>
      <c r="E53" s="1"/>
      <c r="F53" s="1"/>
      <c r="G53" s="7">
        <v>1</v>
      </c>
      <c r="H53" s="1">
        <v>120</v>
      </c>
      <c r="I53" s="1"/>
      <c r="J53" s="1"/>
      <c r="K53" s="1"/>
      <c r="L53" s="1">
        <f t="shared" si="1"/>
        <v>0</v>
      </c>
      <c r="M53" s="1"/>
      <c r="N53" s="1"/>
      <c r="O53" s="1">
        <v>15</v>
      </c>
      <c r="P53" s="1">
        <f t="shared" si="2"/>
        <v>0</v>
      </c>
      <c r="Q53" s="5"/>
      <c r="R53" s="5">
        <v>50</v>
      </c>
      <c r="S53" s="5">
        <f>VLOOKUP(A53,заказ!A:B,2,0)</f>
        <v>45</v>
      </c>
      <c r="T53" s="12">
        <f>VLOOKUP(A53,[1]Sheet!$A:$R,18,0)</f>
        <v>50</v>
      </c>
      <c r="U53" s="1" t="e">
        <f t="shared" si="3"/>
        <v>#DIV/0!</v>
      </c>
      <c r="V53" s="1" t="e">
        <f t="shared" si="4"/>
        <v>#DIV/0!</v>
      </c>
      <c r="W53" s="1">
        <v>0</v>
      </c>
      <c r="X53" s="1"/>
      <c r="Y53" s="1">
        <f t="shared" si="5"/>
        <v>50</v>
      </c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 x14ac:dyDescent="0.25">
      <c r="A54" s="1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 x14ac:dyDescent="0.25">
      <c r="A55" s="1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</sheetData>
  <autoFilter ref="A3:Y5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58925-DD12-43E4-B31D-AF169BCD9D23}">
  <dimension ref="A1:B40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24</v>
      </c>
      <c r="B1">
        <v>48</v>
      </c>
    </row>
    <row r="2" spans="1:2" x14ac:dyDescent="0.25">
      <c r="A2" t="s">
        <v>26</v>
      </c>
      <c r="B2">
        <v>24</v>
      </c>
    </row>
    <row r="3" spans="1:2" x14ac:dyDescent="0.25">
      <c r="A3" t="s">
        <v>27</v>
      </c>
      <c r="B3">
        <v>24</v>
      </c>
    </row>
    <row r="4" spans="1:2" x14ac:dyDescent="0.25">
      <c r="A4" t="s">
        <v>28</v>
      </c>
      <c r="B4">
        <v>40</v>
      </c>
    </row>
    <row r="5" spans="1:2" x14ac:dyDescent="0.25">
      <c r="A5" t="s">
        <v>30</v>
      </c>
      <c r="B5">
        <v>12</v>
      </c>
    </row>
    <row r="6" spans="1:2" x14ac:dyDescent="0.25">
      <c r="A6" t="s">
        <v>32</v>
      </c>
      <c r="B6">
        <v>12</v>
      </c>
    </row>
    <row r="7" spans="1:2" x14ac:dyDescent="0.25">
      <c r="A7" t="s">
        <v>33</v>
      </c>
      <c r="B7">
        <v>33</v>
      </c>
    </row>
    <row r="8" spans="1:2" x14ac:dyDescent="0.25">
      <c r="A8" t="s">
        <v>35</v>
      </c>
      <c r="B8">
        <v>48</v>
      </c>
    </row>
    <row r="9" spans="1:2" x14ac:dyDescent="0.25">
      <c r="A9" t="s">
        <v>36</v>
      </c>
      <c r="B9">
        <v>48</v>
      </c>
    </row>
    <row r="10" spans="1:2" x14ac:dyDescent="0.25">
      <c r="A10" t="s">
        <v>37</v>
      </c>
      <c r="B10">
        <v>24</v>
      </c>
    </row>
    <row r="11" spans="1:2" x14ac:dyDescent="0.25">
      <c r="A11" t="s">
        <v>39</v>
      </c>
      <c r="B11">
        <v>16</v>
      </c>
    </row>
    <row r="12" spans="1:2" x14ac:dyDescent="0.25">
      <c r="A12" t="s">
        <v>40</v>
      </c>
      <c r="B12">
        <v>16</v>
      </c>
    </row>
    <row r="13" spans="1:2" x14ac:dyDescent="0.25">
      <c r="A13" t="s">
        <v>41</v>
      </c>
      <c r="B13">
        <v>16</v>
      </c>
    </row>
    <row r="14" spans="1:2" x14ac:dyDescent="0.25">
      <c r="A14" t="s">
        <v>42</v>
      </c>
      <c r="B14">
        <v>80</v>
      </c>
    </row>
    <row r="15" spans="1:2" x14ac:dyDescent="0.25">
      <c r="A15" t="s">
        <v>43</v>
      </c>
      <c r="B15">
        <v>300</v>
      </c>
    </row>
    <row r="16" spans="1:2" x14ac:dyDescent="0.25">
      <c r="A16" t="s">
        <v>44</v>
      </c>
      <c r="B16">
        <v>300</v>
      </c>
    </row>
    <row r="17" spans="1:2" x14ac:dyDescent="0.25">
      <c r="A17" t="s">
        <v>45</v>
      </c>
      <c r="B17">
        <v>8</v>
      </c>
    </row>
    <row r="18" spans="1:2" x14ac:dyDescent="0.25">
      <c r="A18" t="s">
        <v>48</v>
      </c>
      <c r="B18">
        <v>48</v>
      </c>
    </row>
    <row r="19" spans="1:2" x14ac:dyDescent="0.25">
      <c r="A19" t="s">
        <v>49</v>
      </c>
      <c r="B19">
        <v>40</v>
      </c>
    </row>
    <row r="20" spans="1:2" x14ac:dyDescent="0.25">
      <c r="A20" t="s">
        <v>50</v>
      </c>
      <c r="B20">
        <v>20</v>
      </c>
    </row>
    <row r="21" spans="1:2" x14ac:dyDescent="0.25">
      <c r="A21" t="s">
        <v>52</v>
      </c>
      <c r="B21">
        <v>48</v>
      </c>
    </row>
    <row r="22" spans="1:2" x14ac:dyDescent="0.25">
      <c r="A22" t="s">
        <v>53</v>
      </c>
      <c r="B22">
        <v>16</v>
      </c>
    </row>
    <row r="23" spans="1:2" x14ac:dyDescent="0.25">
      <c r="A23" t="s">
        <v>54</v>
      </c>
      <c r="B23">
        <v>16</v>
      </c>
    </row>
    <row r="24" spans="1:2" x14ac:dyDescent="0.25">
      <c r="A24" t="s">
        <v>55</v>
      </c>
      <c r="B24">
        <v>20</v>
      </c>
    </row>
    <row r="25" spans="1:2" x14ac:dyDescent="0.25">
      <c r="A25" t="s">
        <v>56</v>
      </c>
      <c r="B25">
        <v>30</v>
      </c>
    </row>
    <row r="26" spans="1:2" x14ac:dyDescent="0.25">
      <c r="A26" t="s">
        <v>57</v>
      </c>
      <c r="B26">
        <v>10</v>
      </c>
    </row>
    <row r="27" spans="1:2" x14ac:dyDescent="0.25">
      <c r="A27" t="s">
        <v>58</v>
      </c>
      <c r="B27">
        <v>30</v>
      </c>
    </row>
    <row r="28" spans="1:2" x14ac:dyDescent="0.25">
      <c r="A28" t="s">
        <v>59</v>
      </c>
      <c r="B28">
        <v>80</v>
      </c>
    </row>
    <row r="29" spans="1:2" x14ac:dyDescent="0.25">
      <c r="A29" t="s">
        <v>63</v>
      </c>
      <c r="B29">
        <v>80</v>
      </c>
    </row>
    <row r="30" spans="1:2" x14ac:dyDescent="0.25">
      <c r="A30" t="s">
        <v>64</v>
      </c>
      <c r="B30">
        <v>16</v>
      </c>
    </row>
    <row r="31" spans="1:2" x14ac:dyDescent="0.25">
      <c r="A31" t="s">
        <v>65</v>
      </c>
      <c r="B31">
        <v>33</v>
      </c>
    </row>
    <row r="32" spans="1:2" x14ac:dyDescent="0.25">
      <c r="A32" t="s">
        <v>66</v>
      </c>
      <c r="B32">
        <v>16</v>
      </c>
    </row>
    <row r="33" spans="1:2" x14ac:dyDescent="0.25">
      <c r="A33" t="s">
        <v>67</v>
      </c>
      <c r="B33">
        <v>33</v>
      </c>
    </row>
    <row r="34" spans="1:2" x14ac:dyDescent="0.25">
      <c r="A34" t="s">
        <v>68</v>
      </c>
      <c r="B34">
        <v>30</v>
      </c>
    </row>
    <row r="35" spans="1:2" x14ac:dyDescent="0.25">
      <c r="A35" t="s">
        <v>69</v>
      </c>
      <c r="B35">
        <v>120</v>
      </c>
    </row>
    <row r="36" spans="1:2" x14ac:dyDescent="0.25">
      <c r="A36" t="s">
        <v>70</v>
      </c>
      <c r="B36">
        <v>48</v>
      </c>
    </row>
    <row r="37" spans="1:2" x14ac:dyDescent="0.25">
      <c r="A37" t="s">
        <v>71</v>
      </c>
      <c r="B37">
        <v>70</v>
      </c>
    </row>
    <row r="38" spans="1:2" x14ac:dyDescent="0.25">
      <c r="A38" t="s">
        <v>72</v>
      </c>
      <c r="B38">
        <v>45</v>
      </c>
    </row>
    <row r="39" spans="1:2" x14ac:dyDescent="0.25">
      <c r="A39" t="s">
        <v>73</v>
      </c>
      <c r="B39">
        <v>70</v>
      </c>
    </row>
    <row r="40" spans="1:2" x14ac:dyDescent="0.25">
      <c r="A40" t="s">
        <v>74</v>
      </c>
      <c r="B40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2026-09-30T17:17:14Z</dcterms:created>
  <dcterms:modified xsi:type="dcterms:W3CDTF">2026-10-01T10:14:34Z</dcterms:modified>
</cp:coreProperties>
</file>