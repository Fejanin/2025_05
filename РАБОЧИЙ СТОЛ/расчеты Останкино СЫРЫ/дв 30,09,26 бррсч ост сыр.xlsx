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"/>
    </mc:Choice>
  </mc:AlternateContent>
  <xr:revisionPtr revIDLastSave="0" documentId="13_ncr:1_{D5B3F5F7-D482-46CB-906B-0759387FA16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externalReferences>
    <externalReference r:id="rId3"/>
  </externalReferences>
  <definedNames>
    <definedName name="_xlnm._FilterDatabase" localSheetId="0" hidden="1">Sheet!$A$3:$AH$55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9" i="1" l="1"/>
  <c r="S10" i="1"/>
  <c r="S11" i="1"/>
  <c r="S12" i="1"/>
  <c r="S13" i="1"/>
  <c r="S14" i="1"/>
  <c r="S15" i="1"/>
  <c r="S16" i="1"/>
  <c r="S18" i="1"/>
  <c r="S19" i="1"/>
  <c r="S21" i="1"/>
  <c r="S22" i="1"/>
  <c r="S23" i="1"/>
  <c r="S27" i="1"/>
  <c r="S30" i="1"/>
  <c r="S31" i="1"/>
  <c r="S32" i="1"/>
  <c r="S33" i="1"/>
  <c r="S34" i="1"/>
  <c r="S36" i="1"/>
  <c r="S37" i="1"/>
  <c r="S38" i="1"/>
  <c r="S39" i="1"/>
  <c r="S41" i="1"/>
  <c r="S42" i="1"/>
  <c r="S44" i="1"/>
  <c r="S45" i="1"/>
  <c r="S46" i="1"/>
  <c r="S47" i="1"/>
  <c r="S48" i="1"/>
  <c r="S49" i="1"/>
  <c r="S50" i="1"/>
  <c r="S51" i="1"/>
  <c r="S52" i="1"/>
  <c r="S55" i="1"/>
  <c r="S5" i="1"/>
  <c r="P50" i="1" l="1"/>
  <c r="P42" i="1"/>
  <c r="P33" i="1"/>
  <c r="P21" i="1"/>
  <c r="P19" i="1"/>
  <c r="U19" i="1" s="1"/>
  <c r="P18" i="1"/>
  <c r="P16" i="1"/>
  <c r="P15" i="1"/>
  <c r="P9" i="1"/>
  <c r="U9" i="1" s="1"/>
  <c r="P10" i="1"/>
  <c r="P11" i="1"/>
  <c r="P12" i="1"/>
  <c r="P13" i="1"/>
  <c r="P14" i="1"/>
  <c r="U14" i="1" s="1"/>
  <c r="P17" i="1"/>
  <c r="R8" i="1"/>
  <c r="R7" i="1"/>
  <c r="AH7" i="1" s="1"/>
  <c r="R6" i="1"/>
  <c r="R11" i="1"/>
  <c r="U11" i="1" s="1"/>
  <c r="U12" i="1"/>
  <c r="R17" i="1"/>
  <c r="U18" i="1"/>
  <c r="R20" i="1"/>
  <c r="R24" i="1"/>
  <c r="R25" i="1"/>
  <c r="R26" i="1"/>
  <c r="R28" i="1"/>
  <c r="R29" i="1"/>
  <c r="R35" i="1"/>
  <c r="R40" i="1"/>
  <c r="U42" i="1"/>
  <c r="R43" i="1"/>
  <c r="U50" i="1"/>
  <c r="R53" i="1"/>
  <c r="R54" i="1"/>
  <c r="R10" i="1"/>
  <c r="AH10" i="1" s="1"/>
  <c r="AH8" i="1"/>
  <c r="AH9" i="1"/>
  <c r="AH11" i="1"/>
  <c r="AH12" i="1"/>
  <c r="AH13" i="1"/>
  <c r="AH14" i="1"/>
  <c r="AH15" i="1"/>
  <c r="AH16" i="1"/>
  <c r="AH17" i="1"/>
  <c r="AH18" i="1"/>
  <c r="AH19" i="1"/>
  <c r="AH21" i="1"/>
  <c r="AH22" i="1"/>
  <c r="AH23" i="1"/>
  <c r="AH25" i="1"/>
  <c r="AH27" i="1"/>
  <c r="AH28" i="1"/>
  <c r="AH29" i="1"/>
  <c r="AH30" i="1"/>
  <c r="AH32" i="1"/>
  <c r="AH33" i="1"/>
  <c r="AH34" i="1"/>
  <c r="AH35" i="1"/>
  <c r="AH36" i="1"/>
  <c r="AH37" i="1"/>
  <c r="AH38" i="1"/>
  <c r="AH39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6" i="1"/>
  <c r="U13" i="1"/>
  <c r="U15" i="1"/>
  <c r="U17" i="1"/>
  <c r="U21" i="1"/>
  <c r="U33" i="1"/>
  <c r="T7" i="1"/>
  <c r="T8" i="1"/>
  <c r="T9" i="1"/>
  <c r="T12" i="1"/>
  <c r="T13" i="1"/>
  <c r="T14" i="1"/>
  <c r="T15" i="1"/>
  <c r="T16" i="1"/>
  <c r="T18" i="1"/>
  <c r="T19" i="1"/>
  <c r="T21" i="1"/>
  <c r="T22" i="1"/>
  <c r="T23" i="1"/>
  <c r="T27" i="1"/>
  <c r="T29" i="1"/>
  <c r="T30" i="1"/>
  <c r="T32" i="1"/>
  <c r="T33" i="1"/>
  <c r="T34" i="1"/>
  <c r="T36" i="1"/>
  <c r="T37" i="1"/>
  <c r="T38" i="1"/>
  <c r="T39" i="1"/>
  <c r="T41" i="1"/>
  <c r="T42" i="1"/>
  <c r="T44" i="1"/>
  <c r="T45" i="1"/>
  <c r="T46" i="1"/>
  <c r="T47" i="1"/>
  <c r="T48" i="1"/>
  <c r="T49" i="1"/>
  <c r="T50" i="1"/>
  <c r="T51" i="1"/>
  <c r="T52" i="1"/>
  <c r="T55" i="1"/>
  <c r="T6" i="1"/>
  <c r="AH40" i="1" l="1"/>
  <c r="AH26" i="1"/>
  <c r="AH24" i="1"/>
  <c r="AH20" i="1"/>
  <c r="T5" i="1"/>
  <c r="U16" i="1"/>
  <c r="U10" i="1"/>
  <c r="E55" i="1"/>
  <c r="L55" i="1" s="1"/>
  <c r="P54" i="1"/>
  <c r="V54" i="1" s="1"/>
  <c r="L54" i="1"/>
  <c r="P53" i="1"/>
  <c r="L53" i="1"/>
  <c r="F52" i="1"/>
  <c r="U52" i="1" s="1"/>
  <c r="E52" i="1"/>
  <c r="P51" i="1"/>
  <c r="L51" i="1"/>
  <c r="L50" i="1"/>
  <c r="P49" i="1"/>
  <c r="L49" i="1"/>
  <c r="P48" i="1"/>
  <c r="L48" i="1"/>
  <c r="P47" i="1"/>
  <c r="L47" i="1"/>
  <c r="P46" i="1"/>
  <c r="L46" i="1"/>
  <c r="P45" i="1"/>
  <c r="L45" i="1"/>
  <c r="P44" i="1"/>
  <c r="L44" i="1"/>
  <c r="P43" i="1"/>
  <c r="V43" i="1" s="1"/>
  <c r="L43" i="1"/>
  <c r="V42" i="1"/>
  <c r="L42" i="1"/>
  <c r="P41" i="1"/>
  <c r="L41" i="1"/>
  <c r="P40" i="1"/>
  <c r="U40" i="1" s="1"/>
  <c r="L40" i="1"/>
  <c r="P39" i="1"/>
  <c r="L39" i="1"/>
  <c r="P38" i="1"/>
  <c r="L38" i="1"/>
  <c r="P37" i="1"/>
  <c r="L37" i="1"/>
  <c r="P36" i="1"/>
  <c r="L36" i="1"/>
  <c r="P35" i="1"/>
  <c r="L35" i="1"/>
  <c r="P34" i="1"/>
  <c r="L34" i="1"/>
  <c r="V33" i="1"/>
  <c r="L33" i="1"/>
  <c r="P32" i="1"/>
  <c r="L32" i="1"/>
  <c r="P31" i="1"/>
  <c r="V31" i="1" s="1"/>
  <c r="L31" i="1"/>
  <c r="P30" i="1"/>
  <c r="L30" i="1"/>
  <c r="P29" i="1"/>
  <c r="L29" i="1"/>
  <c r="P28" i="1"/>
  <c r="U28" i="1" s="1"/>
  <c r="L28" i="1"/>
  <c r="P27" i="1"/>
  <c r="L27" i="1"/>
  <c r="P26" i="1"/>
  <c r="V26" i="1" s="1"/>
  <c r="L26" i="1"/>
  <c r="P25" i="1"/>
  <c r="L25" i="1"/>
  <c r="P24" i="1"/>
  <c r="V24" i="1" s="1"/>
  <c r="L24" i="1"/>
  <c r="P23" i="1"/>
  <c r="L23" i="1"/>
  <c r="P22" i="1"/>
  <c r="L22" i="1"/>
  <c r="V21" i="1"/>
  <c r="L21" i="1"/>
  <c r="P20" i="1"/>
  <c r="U20" i="1" s="1"/>
  <c r="L20" i="1"/>
  <c r="V19" i="1"/>
  <c r="L19" i="1"/>
  <c r="V18" i="1"/>
  <c r="L18" i="1"/>
  <c r="L17" i="1"/>
  <c r="V16" i="1"/>
  <c r="L16" i="1"/>
  <c r="L15" i="1"/>
  <c r="V14" i="1"/>
  <c r="L14" i="1"/>
  <c r="V13" i="1"/>
  <c r="L13" i="1"/>
  <c r="V12" i="1"/>
  <c r="L12" i="1"/>
  <c r="L11" i="1"/>
  <c r="V10" i="1"/>
  <c r="L10" i="1"/>
  <c r="V9" i="1"/>
  <c r="L9" i="1"/>
  <c r="P8" i="1"/>
  <c r="L8" i="1"/>
  <c r="P7" i="1"/>
  <c r="L7" i="1"/>
  <c r="P6" i="1"/>
  <c r="V6" i="1" s="1"/>
  <c r="L6" i="1"/>
  <c r="AF5" i="1"/>
  <c r="AE5" i="1"/>
  <c r="AD5" i="1"/>
  <c r="AC5" i="1"/>
  <c r="AB5" i="1"/>
  <c r="AA5" i="1"/>
  <c r="Z5" i="1"/>
  <c r="Y5" i="1"/>
  <c r="X5" i="1"/>
  <c r="W5" i="1"/>
  <c r="O5" i="1"/>
  <c r="N5" i="1"/>
  <c r="M5" i="1"/>
  <c r="K5" i="1"/>
  <c r="F5" i="1"/>
  <c r="V22" i="1" l="1"/>
  <c r="U22" i="1"/>
  <c r="V23" i="1"/>
  <c r="U23" i="1"/>
  <c r="V25" i="1"/>
  <c r="U25" i="1"/>
  <c r="V27" i="1"/>
  <c r="U27" i="1"/>
  <c r="V29" i="1"/>
  <c r="U29" i="1"/>
  <c r="V30" i="1"/>
  <c r="U30" i="1"/>
  <c r="V32" i="1"/>
  <c r="U32" i="1"/>
  <c r="V34" i="1"/>
  <c r="U34" i="1"/>
  <c r="V35" i="1"/>
  <c r="U35" i="1"/>
  <c r="V36" i="1"/>
  <c r="U36" i="1"/>
  <c r="V37" i="1"/>
  <c r="U37" i="1"/>
  <c r="V38" i="1"/>
  <c r="U38" i="1"/>
  <c r="Q39" i="1"/>
  <c r="U39" i="1"/>
  <c r="V41" i="1"/>
  <c r="U41" i="1"/>
  <c r="V44" i="1"/>
  <c r="U44" i="1"/>
  <c r="V45" i="1"/>
  <c r="U45" i="1"/>
  <c r="V46" i="1"/>
  <c r="U46" i="1"/>
  <c r="V47" i="1"/>
  <c r="U47" i="1"/>
  <c r="V48" i="1"/>
  <c r="U48" i="1"/>
  <c r="V49" i="1"/>
  <c r="U49" i="1"/>
  <c r="U26" i="1"/>
  <c r="U43" i="1"/>
  <c r="V7" i="1"/>
  <c r="U7" i="1"/>
  <c r="V8" i="1"/>
  <c r="U8" i="1"/>
  <c r="V51" i="1"/>
  <c r="U51" i="1"/>
  <c r="V53" i="1"/>
  <c r="U53" i="1"/>
  <c r="U6" i="1"/>
  <c r="U54" i="1"/>
  <c r="U24" i="1"/>
  <c r="V17" i="1"/>
  <c r="Q38" i="1"/>
  <c r="Q36" i="1"/>
  <c r="Q22" i="1"/>
  <c r="Q44" i="1"/>
  <c r="P55" i="1"/>
  <c r="U55" i="1" s="1"/>
  <c r="Q46" i="1"/>
  <c r="Q47" i="1"/>
  <c r="Q48" i="1"/>
  <c r="Q49" i="1"/>
  <c r="Q31" i="1"/>
  <c r="R31" i="1" s="1"/>
  <c r="Q32" i="1"/>
  <c r="V40" i="1"/>
  <c r="V50" i="1"/>
  <c r="E5" i="1"/>
  <c r="L52" i="1"/>
  <c r="L5" i="1" s="1"/>
  <c r="V15" i="1"/>
  <c r="V39" i="1"/>
  <c r="V11" i="1"/>
  <c r="V20" i="1"/>
  <c r="V28" i="1"/>
  <c r="U31" i="1" l="1"/>
  <c r="AH31" i="1"/>
  <c r="R5" i="1"/>
  <c r="V55" i="1"/>
  <c r="Q55" i="1"/>
  <c r="V52" i="1"/>
  <c r="P5" i="1"/>
  <c r="Q5" i="1" l="1"/>
  <c r="AH5" i="1" l="1"/>
</calcChain>
</file>

<file path=xl/sharedStrings.xml><?xml version="1.0" encoding="utf-8"?>
<sst xmlns="http://schemas.openxmlformats.org/spreadsheetml/2006/main" count="209" uniqueCount="109">
  <si>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</si>
  <si>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</si>
  <si>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</si>
  <si>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</si>
  <si>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</si>
  <si>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</si>
  <si>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</si>
  <si>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</si>
  <si>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</si>
  <si>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</si>
  <si>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</si>
  <si>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</si>
  <si>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</si>
  <si>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</si>
  <si>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</si>
  <si>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</si>
  <si>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</si>
  <si>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</si>
  <si>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</si>
  <si>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</si>
  <si>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</si>
  <si>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</si>
  <si>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28,09,Бер</t>
  </si>
  <si>
    <t>30,09,</t>
  </si>
  <si>
    <t>23,09,</t>
  </si>
  <si>
    <t>16,09,</t>
  </si>
  <si>
    <t>08,09,</t>
  </si>
  <si>
    <t>01,09,</t>
  </si>
  <si>
    <t>25,08,</t>
  </si>
  <si>
    <t>18,08,</t>
  </si>
  <si>
    <t>11,08,</t>
  </si>
  <si>
    <t>04,08,</t>
  </si>
  <si>
    <t>28,07,</t>
  </si>
  <si>
    <t>21,07,</t>
  </si>
  <si>
    <t>1103201 Сыр копченый "Косичка" мини ПАПА МОЖЕТ 55г лоток  ОСТАНКИНО</t>
  </si>
  <si>
    <t>шт</t>
  </si>
  <si>
    <t>2103201 БЖП, произведенный по технологии сыра копченый "Косичка" мини Ассорти  ОСТАНКИНО</t>
  </si>
  <si>
    <t>2105201 БЖП, произведенный по технологии сыра копченый "Балык" резаный 4 вкуса  ОСТАНКИНО</t>
  </si>
  <si>
    <t>3323 Сыр Российский цилиндр 1/4 пленка ЮКМП м.д.ж. 50%  ОСТАНКИНО</t>
  </si>
  <si>
    <t>кг</t>
  </si>
  <si>
    <t>4421577 Спред растительно-сливочный "Сливочный вкус" 82,5% 180гр  Останкино</t>
  </si>
  <si>
    <t>24,09,26 - нет на заводе / 03,09,26 - нет на заводе / 27,08,26 - нет на заводе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</si>
  <si>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</si>
  <si>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</si>
  <si>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</si>
  <si>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72шт списано (19,09,26)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</si>
  <si>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</si>
  <si>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</si>
  <si>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</si>
  <si>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</si>
  <si>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</si>
  <si>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</si>
  <si>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</si>
  <si>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со вкусом Васаби 40% 100гр (8шт)  Останкино</t>
  </si>
  <si>
    <t>Масло "Папа может" 82,5% 180гр  Останкино</t>
  </si>
  <si>
    <t>Масло сливочное 72,5 % 180 гр.(10 шт) СЛАВЯНА  Останкино</t>
  </si>
  <si>
    <t>1345шт разовая продажа (11,08,26)</t>
  </si>
  <si>
    <t>Плавленый Сыр колбасный копченый 40% СТМ"ПапаМожет"400гр  Останкино</t>
  </si>
  <si>
    <t>нужно увеличить продажи!!!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</si>
  <si>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</si>
  <si>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</si>
  <si>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</si>
  <si>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5шт списано (19,09,26) / 19 списано (16,09,26)</t>
  </si>
  <si>
    <t>Продукт По-Росийски Классический с ЗМЖ 50% ВЕС Коровино Останкино</t>
  </si>
  <si>
    <t>нет потребности / 15кг списано (14,09,26)</t>
  </si>
  <si>
    <t>Продукт белково-жировой Сметанковый 50% ВЕС Коровино Останкино</t>
  </si>
  <si>
    <t>Сыр "Пармезан" 40% кусок 180 гр  ОСТАНКИНО</t>
  </si>
  <si>
    <t>60шт списано (22,09,26) / 56шт списано (19,09,26)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</si>
  <si>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</si>
  <si>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</si>
  <si>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</si>
  <si>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</si>
  <si>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77шт списано (22,09,26) / 18шт списано (19,09,26)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</si>
  <si>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</si>
  <si>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</si>
  <si>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121 шт списана (29,08,26 - пересорт)</t>
  </si>
  <si>
    <t>Сыр ПАПА МОЖЕТ "Папин завтрак"  45% 180 г  Останкино</t>
  </si>
  <si>
    <t>34шт списано (22,09,26) / 19шт списано (19,09,26)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</si>
  <si>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</si>
  <si>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</si>
  <si>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Скаморца свежий 100 гр.  ОСТАНКИНО</t>
  </si>
  <si>
    <t>14шт списано (16,09,26)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</si>
  <si>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</si>
  <si>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</si>
  <si>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</si>
  <si>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ВНИМАНИЕ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</si>
  <si>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</si>
  <si>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</si>
  <si>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</si>
  <si>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</si>
  <si>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</si>
  <si>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</si>
  <si>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</si>
  <si>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</si>
  <si>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не стабильные продажи</t>
  </si>
  <si>
    <t>Сыч/Прод Коровино Тильзитер 50% 200г НОВАЯ СЗМЖ  ОСТАНКИНО</t>
  </si>
  <si>
    <t>Сыч/Прод Коровино Тильзитер 50% 200г СЗМЖ  ОСТАНКИНО</t>
  </si>
  <si>
    <t>дубль</t>
  </si>
  <si>
    <t>Сыч/Прод Коровино Тильзитер Оригин 50% ВЕС (5 кг брус) СЗМЖ  ОСТАНКИНО</t>
  </si>
  <si>
    <t>Сыч/Прод Коровино Тильзитер Оригин 50% ВЕС НОВАЯ (5 кг брус) СЗМЖ  ОСТАНКИНО</t>
  </si>
  <si>
    <t>нужно увеличить продажи / 9шт списано (19,09,26)</t>
  </si>
  <si>
    <t>нужно увеличить продажи</t>
  </si>
  <si>
    <t>нужно увеличить продажи / не стабильные продажи</t>
  </si>
  <si>
    <t>24,09,26 - нет на заводе</t>
  </si>
  <si>
    <t>ТК</t>
  </si>
  <si>
    <t>Титенок</t>
  </si>
  <si>
    <t>итого</t>
  </si>
  <si>
    <t>заказ</t>
  </si>
  <si>
    <t>05,10,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</si>
</sst>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0" borderId="1" xfId="1" applyNumberForma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0" borderId="1" xfId="1" applyNumberFormat="1" applyFont="1"/>
    <xf numFmtId="164" fontId="6" fillId="7" borderId="1" xfId="1" applyNumberFormat="1" applyFont="1" applyFill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7;&#1067;&#1056;&#1067;/_&#1076;&#1074;%2030,09,26%20&#1073;&#1088;&#1088;&#1089;&#1095;%20&#1086;&#1089;&#1090;%20&#1089;&#1099;&#1088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</v>
          </cell>
        </row>
        <row r="4">
          <cell r="O4" t="str">
            <v>28,09,Бер</v>
          </cell>
          <cell r="P4" t="str">
            <v>30,09,</v>
          </cell>
        </row>
        <row r="5">
          <cell r="E5">
            <v>2384.1559999999999</v>
          </cell>
          <cell r="F5">
            <v>4901.7729999999992</v>
          </cell>
          <cell r="K5">
            <v>3133.4359999999997</v>
          </cell>
          <cell r="L5">
            <v>-749.28000000000009</v>
          </cell>
          <cell r="M5">
            <v>0</v>
          </cell>
          <cell r="N5">
            <v>0</v>
          </cell>
          <cell r="O5">
            <v>5608</v>
          </cell>
          <cell r="P5">
            <v>476.83120000000014</v>
          </cell>
          <cell r="Q5">
            <v>2328.5370000000003</v>
          </cell>
          <cell r="R5">
            <v>8210</v>
          </cell>
        </row>
        <row r="6">
          <cell r="A6" t="str">
            <v>1103201 Сыр копченый "Косичка" мини ПАПА МОЖЕТ 55г лоток  ОСТАНКИНО</v>
          </cell>
          <cell r="B6" t="str">
            <v>шт</v>
          </cell>
          <cell r="C6">
            <v>7</v>
          </cell>
          <cell r="E6">
            <v>2</v>
          </cell>
          <cell r="F6">
            <v>4</v>
          </cell>
          <cell r="G6">
            <v>5.5E-2</v>
          </cell>
          <cell r="H6">
            <v>120</v>
          </cell>
          <cell r="K6">
            <v>2</v>
          </cell>
          <cell r="L6">
            <v>0</v>
          </cell>
          <cell r="O6">
            <v>24</v>
          </cell>
          <cell r="P6">
            <v>0.4</v>
          </cell>
          <cell r="R6">
            <v>100</v>
          </cell>
        </row>
        <row r="7">
          <cell r="A7" t="str">
            <v>2103201 БЖП, произведенный по технологии сыра копченый "Косичка" мини Ассорти  ОСТАНКИНО</v>
          </cell>
          <cell r="B7" t="str">
            <v>шт</v>
          </cell>
          <cell r="C7">
            <v>17</v>
          </cell>
          <cell r="D7">
            <v>25</v>
          </cell>
          <cell r="E7">
            <v>5</v>
          </cell>
          <cell r="F7">
            <v>42</v>
          </cell>
          <cell r="G7">
            <v>0.1</v>
          </cell>
          <cell r="H7">
            <v>120</v>
          </cell>
          <cell r="L7">
            <v>5</v>
          </cell>
          <cell r="P7">
            <v>1</v>
          </cell>
          <cell r="R7">
            <v>50</v>
          </cell>
        </row>
        <row r="8">
          <cell r="A8" t="str">
            <v>2105201 БЖП, произведенный по технологии сыра копченый "Балык" резаный 4 вкуса  ОСТАНКИНО</v>
          </cell>
          <cell r="B8" t="str">
            <v>шт</v>
          </cell>
          <cell r="C8">
            <v>15</v>
          </cell>
          <cell r="E8">
            <v>5</v>
          </cell>
          <cell r="F8">
            <v>15</v>
          </cell>
          <cell r="G8">
            <v>0.1</v>
          </cell>
          <cell r="H8">
            <v>120</v>
          </cell>
          <cell r="L8">
            <v>5</v>
          </cell>
          <cell r="O8">
            <v>24</v>
          </cell>
          <cell r="P8">
            <v>1</v>
          </cell>
          <cell r="R8">
            <v>50</v>
          </cell>
        </row>
        <row r="9">
          <cell r="A9" t="str">
            <v>3323 Сыр Российский цилиндр 1/4 пленка ЮКМП м.д.ж. 50%  ОСТАНКИНО</v>
          </cell>
          <cell r="B9" t="str">
            <v>кг</v>
          </cell>
          <cell r="D9">
            <v>257.19799999999998</v>
          </cell>
          <cell r="E9">
            <v>31.265999999999998</v>
          </cell>
          <cell r="F9">
            <v>212.53</v>
          </cell>
          <cell r="G9">
            <v>1</v>
          </cell>
          <cell r="H9">
            <v>120</v>
          </cell>
          <cell r="K9">
            <v>47.636000000000003</v>
          </cell>
          <cell r="L9">
            <v>-16.370000000000005</v>
          </cell>
          <cell r="O9">
            <v>50</v>
          </cell>
          <cell r="P9">
            <v>6.2531999999999996</v>
          </cell>
          <cell r="R9">
            <v>100</v>
          </cell>
        </row>
        <row r="10">
          <cell r="A10" t="str">
            <v>4421577 Спред растительно-сливочный "Сливочный вкус" 82,5% 180гр  Останкино</v>
          </cell>
          <cell r="B10" t="str">
            <v>шт</v>
          </cell>
          <cell r="C10">
            <v>33</v>
          </cell>
          <cell r="G10">
            <v>0.18</v>
          </cell>
          <cell r="H10">
            <v>180</v>
          </cell>
          <cell r="K10">
            <v>3</v>
          </cell>
          <cell r="L10">
            <v>-3</v>
          </cell>
          <cell r="P10">
            <v>0</v>
          </cell>
          <cell r="Q10">
            <v>12</v>
          </cell>
        </row>
        <row r="11">
          <cell r="A11" t="str">
            <v>4421584 Спред растительно-сливочный "Сливочный вкус" 72,5% 180гр  Останкино</v>
          </cell>
          <cell r="B11" t="str">
            <v>шт</v>
          </cell>
          <cell r="C11">
            <v>123</v>
          </cell>
          <cell r="G11">
            <v>0.18</v>
          </cell>
          <cell r="H11">
            <v>180</v>
          </cell>
          <cell r="K11">
            <v>13</v>
          </cell>
          <cell r="L11">
            <v>-13</v>
          </cell>
          <cell r="P11">
            <v>0</v>
          </cell>
          <cell r="Q11">
            <v>12</v>
          </cell>
        </row>
        <row r="12">
          <cell r="A12" t="str">
            <v>4931  Сыр полутвердый "Купеческий" с ароматом топленого молока, с м.д.ж. 50% ОСТАНКИНО</v>
          </cell>
          <cell r="B12" t="str">
            <v>кг</v>
          </cell>
          <cell r="D12">
            <v>48.305999999999997</v>
          </cell>
          <cell r="E12">
            <v>9.5</v>
          </cell>
          <cell r="F12">
            <v>14.73</v>
          </cell>
          <cell r="G12">
            <v>1</v>
          </cell>
          <cell r="H12">
            <v>180</v>
          </cell>
          <cell r="K12">
            <v>27.8</v>
          </cell>
          <cell r="L12">
            <v>-18.3</v>
          </cell>
          <cell r="O12">
            <v>16</v>
          </cell>
          <cell r="P12">
            <v>1.9</v>
          </cell>
          <cell r="Q12">
            <v>10</v>
          </cell>
          <cell r="R12">
            <v>150</v>
          </cell>
        </row>
        <row r="13">
          <cell r="A13" t="str">
            <v>6948249 Майонезный соус провансаль 824,5гр деликатес.с массовой долей жирн.25% Коровино Останкино</v>
          </cell>
          <cell r="B13" t="str">
            <v>шт</v>
          </cell>
          <cell r="G13">
            <v>0.82450000000000001</v>
          </cell>
          <cell r="H13">
            <v>180</v>
          </cell>
          <cell r="L13">
            <v>0</v>
          </cell>
          <cell r="O13">
            <v>96</v>
          </cell>
          <cell r="P13">
            <v>0</v>
          </cell>
          <cell r="R13">
            <v>200</v>
          </cell>
        </row>
        <row r="14">
          <cell r="A14" t="str">
            <v>6948256 Майонез провансаль классич.оливковый Папа может 372гр с массовой долей жирн. 67% Останкино</v>
          </cell>
          <cell r="B14" t="str">
            <v>шт</v>
          </cell>
          <cell r="C14">
            <v>47</v>
          </cell>
          <cell r="D14">
            <v>352</v>
          </cell>
          <cell r="E14">
            <v>49</v>
          </cell>
          <cell r="F14">
            <v>333</v>
          </cell>
          <cell r="G14">
            <v>0.372</v>
          </cell>
          <cell r="H14">
            <v>180</v>
          </cell>
          <cell r="K14">
            <v>59</v>
          </cell>
          <cell r="L14">
            <v>-10</v>
          </cell>
          <cell r="O14">
            <v>144</v>
          </cell>
          <cell r="P14">
            <v>9.8000000000000007</v>
          </cell>
          <cell r="R14">
            <v>150</v>
          </cell>
        </row>
        <row r="15">
          <cell r="A15" t="str">
            <v>6948263 Майонез провансаль классич.оливковый Папа может 744гр с массовой долей жирн. 67% Останкино</v>
          </cell>
          <cell r="B15" t="str">
            <v>шт</v>
          </cell>
          <cell r="C15">
            <v>8</v>
          </cell>
          <cell r="D15">
            <v>181</v>
          </cell>
          <cell r="E15">
            <v>-29</v>
          </cell>
          <cell r="F15">
            <v>168</v>
          </cell>
          <cell r="G15">
            <v>0.74399999999999999</v>
          </cell>
          <cell r="H15">
            <v>180</v>
          </cell>
          <cell r="K15">
            <v>43</v>
          </cell>
          <cell r="L15">
            <v>-72</v>
          </cell>
          <cell r="O15">
            <v>216</v>
          </cell>
          <cell r="P15">
            <v>-5.8</v>
          </cell>
          <cell r="R15">
            <v>200</v>
          </cell>
        </row>
        <row r="16">
          <cell r="A16" t="str">
            <v>6948270 Майонез провансаль классич.Папа может 372гр с массовой долей жирн. 67% Останкино</v>
          </cell>
          <cell r="B16" t="str">
            <v>шт</v>
          </cell>
          <cell r="D16">
            <v>165</v>
          </cell>
          <cell r="E16">
            <v>24</v>
          </cell>
          <cell r="F16">
            <v>60</v>
          </cell>
          <cell r="G16">
            <v>0.372</v>
          </cell>
          <cell r="H16">
            <v>180</v>
          </cell>
          <cell r="K16">
            <v>83</v>
          </cell>
          <cell r="L16">
            <v>-59</v>
          </cell>
          <cell r="O16">
            <v>300</v>
          </cell>
          <cell r="P16">
            <v>4.8</v>
          </cell>
          <cell r="R16">
            <v>100</v>
          </cell>
        </row>
        <row r="17">
          <cell r="A17" t="str">
            <v>6948287 Майонез провансаль классич.Папа может 744гр с массовой долей жирн. 67% Останкино</v>
          </cell>
          <cell r="B17" t="str">
            <v>шт</v>
          </cell>
          <cell r="C17">
            <v>57</v>
          </cell>
          <cell r="D17">
            <v>716</v>
          </cell>
          <cell r="E17">
            <v>76</v>
          </cell>
          <cell r="F17">
            <v>621</v>
          </cell>
          <cell r="G17">
            <v>0.74399999999999999</v>
          </cell>
          <cell r="H17">
            <v>180</v>
          </cell>
          <cell r="K17">
            <v>158</v>
          </cell>
          <cell r="L17">
            <v>-82</v>
          </cell>
          <cell r="O17">
            <v>96</v>
          </cell>
          <cell r="P17">
            <v>15.2</v>
          </cell>
        </row>
        <row r="18">
          <cell r="A18" t="str">
            <v>9988421 Творожный Сыр 60 % С маринованными огурчиками и укропом  Останкино</v>
          </cell>
          <cell r="B18" t="str">
            <v>шт</v>
          </cell>
          <cell r="C18">
            <v>30</v>
          </cell>
          <cell r="D18">
            <v>9</v>
          </cell>
          <cell r="E18">
            <v>10</v>
          </cell>
          <cell r="F18">
            <v>19</v>
          </cell>
          <cell r="G18">
            <v>0.14000000000000001</v>
          </cell>
          <cell r="H18">
            <v>180</v>
          </cell>
          <cell r="K18">
            <v>10</v>
          </cell>
          <cell r="L18">
            <v>0</v>
          </cell>
          <cell r="O18">
            <v>16</v>
          </cell>
          <cell r="P18">
            <v>2</v>
          </cell>
          <cell r="R18">
            <v>50</v>
          </cell>
        </row>
        <row r="19">
          <cell r="A19" t="str">
            <v>9988438 Плавленый Сыр 45% "С ветчиной" СТМ"ПапаМожет" 180гр  Останкино</v>
          </cell>
          <cell r="B19" t="str">
            <v>шт</v>
          </cell>
          <cell r="C19">
            <v>-3</v>
          </cell>
          <cell r="D19">
            <v>51</v>
          </cell>
          <cell r="E19">
            <v>18</v>
          </cell>
          <cell r="F19">
            <v>11</v>
          </cell>
          <cell r="G19">
            <v>0.18</v>
          </cell>
          <cell r="H19">
            <v>270</v>
          </cell>
          <cell r="K19">
            <v>34</v>
          </cell>
          <cell r="L19">
            <v>-16</v>
          </cell>
          <cell r="O19">
            <v>144</v>
          </cell>
          <cell r="P19">
            <v>3.6</v>
          </cell>
          <cell r="R19">
            <v>50</v>
          </cell>
        </row>
        <row r="20">
          <cell r="A20" t="str">
            <v>9988445 Плавленый Сыр 45%"С грибами" СТМ"ПапаМожет" 180 гр  Останкино</v>
          </cell>
          <cell r="B20" t="str">
            <v>шт</v>
          </cell>
          <cell r="D20">
            <v>192</v>
          </cell>
          <cell r="E20">
            <v>29</v>
          </cell>
          <cell r="F20">
            <v>163</v>
          </cell>
          <cell r="G20">
            <v>0.18</v>
          </cell>
          <cell r="H20">
            <v>270</v>
          </cell>
          <cell r="K20">
            <v>33</v>
          </cell>
          <cell r="L20">
            <v>-4</v>
          </cell>
          <cell r="O20">
            <v>48</v>
          </cell>
          <cell r="P20">
            <v>5.8</v>
          </cell>
        </row>
        <row r="21">
          <cell r="A21" t="str">
            <v>Cыр Перлини со вкусом Васаби 40% 100гр (8шт)  Останкино</v>
          </cell>
          <cell r="B21" t="str">
            <v>шт</v>
          </cell>
          <cell r="C21">
            <v>39</v>
          </cell>
          <cell r="E21">
            <v>2</v>
          </cell>
          <cell r="G21">
            <v>0.1</v>
          </cell>
          <cell r="H21">
            <v>60</v>
          </cell>
          <cell r="K21">
            <v>6</v>
          </cell>
          <cell r="L21">
            <v>-4</v>
          </cell>
          <cell r="O21">
            <v>16</v>
          </cell>
          <cell r="P21">
            <v>0.4</v>
          </cell>
          <cell r="Q21">
            <v>8</v>
          </cell>
          <cell r="R21">
            <v>50</v>
          </cell>
        </row>
        <row r="22">
          <cell r="A22" t="str">
            <v>Масло "Папа может" 82,5% 180гр  Останкино</v>
          </cell>
          <cell r="B22" t="str">
            <v>шт</v>
          </cell>
          <cell r="C22">
            <v>476</v>
          </cell>
          <cell r="D22">
            <v>810</v>
          </cell>
          <cell r="E22">
            <v>585</v>
          </cell>
          <cell r="F22">
            <v>591</v>
          </cell>
          <cell r="G22">
            <v>0.18</v>
          </cell>
          <cell r="H22">
            <v>180</v>
          </cell>
          <cell r="K22">
            <v>608</v>
          </cell>
          <cell r="L22">
            <v>-23</v>
          </cell>
          <cell r="O22">
            <v>1000</v>
          </cell>
          <cell r="P22">
            <v>117</v>
          </cell>
          <cell r="Q22">
            <v>515</v>
          </cell>
          <cell r="R22">
            <v>1500</v>
          </cell>
        </row>
        <row r="23">
          <cell r="A23" t="str">
            <v>Масло сливочное 72,5 % 180 гр.(10 шт) СЛАВЯНА  Останкино</v>
          </cell>
          <cell r="B23" t="str">
            <v>шт</v>
          </cell>
          <cell r="C23">
            <v>-8</v>
          </cell>
          <cell r="D23">
            <v>844</v>
          </cell>
          <cell r="E23">
            <v>251</v>
          </cell>
          <cell r="F23">
            <v>466</v>
          </cell>
          <cell r="G23">
            <v>0.18</v>
          </cell>
          <cell r="H23">
            <v>180</v>
          </cell>
          <cell r="K23">
            <v>476</v>
          </cell>
          <cell r="L23">
            <v>-225</v>
          </cell>
          <cell r="O23">
            <v>1000</v>
          </cell>
          <cell r="P23">
            <v>50.2</v>
          </cell>
          <cell r="Q23">
            <v>200</v>
          </cell>
          <cell r="R23">
            <v>1500</v>
          </cell>
        </row>
        <row r="24">
          <cell r="A24" t="str">
            <v>Плавленый Сыр колбасный копченый 40% СТМ"ПапаМожет"400гр  Останкино</v>
          </cell>
          <cell r="B24" t="str">
            <v>шт</v>
          </cell>
          <cell r="C24">
            <v>20</v>
          </cell>
          <cell r="D24">
            <v>16</v>
          </cell>
          <cell r="E24">
            <v>5</v>
          </cell>
          <cell r="F24">
            <v>16</v>
          </cell>
          <cell r="G24">
            <v>0.4</v>
          </cell>
          <cell r="H24">
            <v>270</v>
          </cell>
          <cell r="K24">
            <v>5</v>
          </cell>
          <cell r="L24">
            <v>0</v>
          </cell>
          <cell r="P24">
            <v>1</v>
          </cell>
        </row>
        <row r="25">
          <cell r="A25" t="str">
            <v>Плавленый продукт с Сыром колбасный копченый 40% СТМ "Коровино" 400гр  Останкино</v>
          </cell>
          <cell r="B25" t="str">
            <v>шт</v>
          </cell>
          <cell r="C25">
            <v>82</v>
          </cell>
          <cell r="E25">
            <v>1</v>
          </cell>
          <cell r="F25">
            <v>79</v>
          </cell>
          <cell r="G25">
            <v>0.4</v>
          </cell>
          <cell r="H25">
            <v>270</v>
          </cell>
          <cell r="K25">
            <v>1</v>
          </cell>
          <cell r="L25">
            <v>0</v>
          </cell>
          <cell r="P25">
            <v>0.2</v>
          </cell>
        </row>
        <row r="26">
          <cell r="A26" t="str">
            <v>Плавленый сыр "Шоколадный" 30% 180гр Папа Может Останкино</v>
          </cell>
          <cell r="B26" t="str">
            <v>шт</v>
          </cell>
          <cell r="C26">
            <v>82</v>
          </cell>
          <cell r="D26">
            <v>48</v>
          </cell>
          <cell r="E26">
            <v>2</v>
          </cell>
          <cell r="F26">
            <v>114</v>
          </cell>
          <cell r="G26">
            <v>0.18</v>
          </cell>
          <cell r="H26">
            <v>270</v>
          </cell>
          <cell r="K26">
            <v>12</v>
          </cell>
          <cell r="L26">
            <v>-10</v>
          </cell>
          <cell r="P26">
            <v>0.4</v>
          </cell>
        </row>
        <row r="27">
          <cell r="A27" t="str">
            <v>Продукт По-Росийски Классический с ЗМЖ 50% 200г Коровино Останкино</v>
          </cell>
          <cell r="B27" t="str">
            <v>шт</v>
          </cell>
          <cell r="G27">
            <v>0.2</v>
          </cell>
          <cell r="H27">
            <v>120</v>
          </cell>
          <cell r="L27">
            <v>0</v>
          </cell>
          <cell r="P27">
            <v>0</v>
          </cell>
          <cell r="Q27">
            <v>10</v>
          </cell>
          <cell r="R27">
            <v>200</v>
          </cell>
        </row>
        <row r="28">
          <cell r="A28" t="str">
            <v>Продукт По-Росийски Классический с ЗМЖ 50% ВЕС Коровино Останкино</v>
          </cell>
          <cell r="B28" t="str">
            <v>кг</v>
          </cell>
          <cell r="G28">
            <v>0</v>
          </cell>
          <cell r="H28">
            <v>180</v>
          </cell>
          <cell r="L28">
            <v>0</v>
          </cell>
          <cell r="P28">
            <v>0</v>
          </cell>
        </row>
        <row r="29">
          <cell r="A29" t="str">
            <v>Продукт белково-жировой Сметанковый 50% ВЕС Коровино Останкино</v>
          </cell>
          <cell r="B29" t="str">
            <v>кг</v>
          </cell>
          <cell r="C29">
            <v>60.585000000000001</v>
          </cell>
          <cell r="F29">
            <v>48.97</v>
          </cell>
          <cell r="G29">
            <v>1</v>
          </cell>
          <cell r="H29">
            <v>180</v>
          </cell>
          <cell r="L29">
            <v>0</v>
          </cell>
          <cell r="P29">
            <v>0</v>
          </cell>
          <cell r="R29">
            <v>100</v>
          </cell>
        </row>
        <row r="30">
          <cell r="A30" t="str">
            <v>Сыр "Пармезан" 40% кусок 180 гр  ОСТАНКИНО</v>
          </cell>
          <cell r="B30" t="str">
            <v>шт</v>
          </cell>
          <cell r="G30">
            <v>0.18</v>
          </cell>
          <cell r="H30">
            <v>150</v>
          </cell>
          <cell r="K30">
            <v>11</v>
          </cell>
          <cell r="L30">
            <v>-11</v>
          </cell>
          <cell r="O30">
            <v>78</v>
          </cell>
          <cell r="P30">
            <v>0</v>
          </cell>
          <cell r="R30">
            <v>150</v>
          </cell>
        </row>
        <row r="31">
          <cell r="A31" t="str">
            <v>Сыр Боккончини копченый 40% 100 гр.  ОСТАНКИНО</v>
          </cell>
          <cell r="B31" t="str">
            <v>шт</v>
          </cell>
          <cell r="C31">
            <v>95</v>
          </cell>
          <cell r="D31">
            <v>121</v>
          </cell>
          <cell r="E31">
            <v>45</v>
          </cell>
          <cell r="F31">
            <v>50</v>
          </cell>
          <cell r="G31">
            <v>0.1</v>
          </cell>
          <cell r="H31">
            <v>90</v>
          </cell>
          <cell r="K31">
            <v>45</v>
          </cell>
          <cell r="L31">
            <v>0</v>
          </cell>
          <cell r="P31">
            <v>9</v>
          </cell>
          <cell r="Q31">
            <v>112</v>
          </cell>
        </row>
        <row r="32">
          <cell r="A32" t="str">
            <v>Сыр Косичка сырная 45% 100г/8шт Папа Может Останкино</v>
          </cell>
          <cell r="B32" t="str">
            <v>шт</v>
          </cell>
          <cell r="C32">
            <v>191</v>
          </cell>
          <cell r="D32">
            <v>248</v>
          </cell>
          <cell r="E32">
            <v>82</v>
          </cell>
          <cell r="F32">
            <v>268</v>
          </cell>
          <cell r="G32">
            <v>0.1</v>
          </cell>
          <cell r="H32">
            <v>60</v>
          </cell>
          <cell r="K32">
            <v>67</v>
          </cell>
          <cell r="L32">
            <v>15</v>
          </cell>
          <cell r="P32">
            <v>16.399999999999999</v>
          </cell>
          <cell r="Q32">
            <v>27.199999999999989</v>
          </cell>
          <cell r="R32">
            <v>100</v>
          </cell>
        </row>
        <row r="33">
          <cell r="A33" t="str">
            <v>Сыр Косичка сырная копченая 43% 100г/8шт Папа Может Останкино</v>
          </cell>
          <cell r="B33" t="str">
            <v>шт</v>
          </cell>
          <cell r="C33">
            <v>16</v>
          </cell>
          <cell r="D33">
            <v>363</v>
          </cell>
          <cell r="E33">
            <v>68</v>
          </cell>
          <cell r="F33">
            <v>291</v>
          </cell>
          <cell r="G33">
            <v>0.1</v>
          </cell>
          <cell r="H33">
            <v>90</v>
          </cell>
          <cell r="K33">
            <v>75</v>
          </cell>
          <cell r="L33">
            <v>-7</v>
          </cell>
          <cell r="O33">
            <v>48</v>
          </cell>
          <cell r="P33">
            <v>13.6</v>
          </cell>
          <cell r="R33">
            <v>100</v>
          </cell>
        </row>
        <row r="34">
          <cell r="A34" t="str">
            <v>Сыр ПАПА МОЖЕТ "Гауда Голд" 45 % 180 гр (10шт) Останкино</v>
          </cell>
          <cell r="B34" t="str">
            <v>шт</v>
          </cell>
          <cell r="E34">
            <v>-1</v>
          </cell>
          <cell r="G34">
            <v>0.18</v>
          </cell>
          <cell r="H34">
            <v>150</v>
          </cell>
          <cell r="K34">
            <v>23</v>
          </cell>
          <cell r="L34">
            <v>-24</v>
          </cell>
          <cell r="O34">
            <v>200</v>
          </cell>
          <cell r="P34">
            <v>-0.2</v>
          </cell>
          <cell r="R34">
            <v>150</v>
          </cell>
        </row>
        <row r="35">
          <cell r="A35" t="str">
            <v>Сыр ПАПА МОЖЕТ "Голландский традиционный" 45% 180 гр (10шт)  Останкино</v>
          </cell>
          <cell r="B35" t="str">
            <v>шт</v>
          </cell>
          <cell r="D35">
            <v>600</v>
          </cell>
          <cell r="E35">
            <v>108</v>
          </cell>
          <cell r="F35">
            <v>482</v>
          </cell>
          <cell r="G35">
            <v>0.18</v>
          </cell>
          <cell r="H35">
            <v>150</v>
          </cell>
          <cell r="K35">
            <v>145</v>
          </cell>
          <cell r="L35">
            <v>-37</v>
          </cell>
          <cell r="O35">
            <v>100</v>
          </cell>
          <cell r="P35">
            <v>21.6</v>
          </cell>
        </row>
        <row r="36">
          <cell r="A36" t="str">
            <v>Сыр ПАПА МОЖЕТ "Министерский" 180 г фасованный массовая  Останкино</v>
          </cell>
          <cell r="B36" t="str">
            <v>шт</v>
          </cell>
          <cell r="D36">
            <v>50</v>
          </cell>
          <cell r="E36">
            <v>29</v>
          </cell>
          <cell r="F36">
            <v>18</v>
          </cell>
          <cell r="G36">
            <v>0.18</v>
          </cell>
          <cell r="H36">
            <v>150</v>
          </cell>
          <cell r="K36">
            <v>37</v>
          </cell>
          <cell r="L36">
            <v>-8</v>
          </cell>
          <cell r="O36">
            <v>50</v>
          </cell>
          <cell r="P36">
            <v>5.8</v>
          </cell>
          <cell r="Q36">
            <v>36.399999999999991</v>
          </cell>
          <cell r="R36">
            <v>150</v>
          </cell>
        </row>
        <row r="37">
          <cell r="A37" t="str">
            <v>Сыр ПАПА МОЖЕТ "Папин завтрак"  45% 180 г  Останкино</v>
          </cell>
          <cell r="B37" t="str">
            <v>шт</v>
          </cell>
          <cell r="C37">
            <v>-12</v>
          </cell>
          <cell r="D37">
            <v>15</v>
          </cell>
          <cell r="E37">
            <v>10</v>
          </cell>
          <cell r="G37">
            <v>0.18</v>
          </cell>
          <cell r="H37">
            <v>150</v>
          </cell>
          <cell r="K37">
            <v>20</v>
          </cell>
          <cell r="L37">
            <v>-10</v>
          </cell>
          <cell r="O37">
            <v>120</v>
          </cell>
          <cell r="P37">
            <v>2</v>
          </cell>
          <cell r="Q37">
            <v>20</v>
          </cell>
          <cell r="R37">
            <v>120</v>
          </cell>
        </row>
        <row r="38">
          <cell r="A38" t="str">
            <v>Сыр ПАПА МОЖЕТ "Российский традиционный"45 % 180 г Останкино</v>
          </cell>
          <cell r="B38" t="str">
            <v>шт</v>
          </cell>
          <cell r="C38">
            <v>37</v>
          </cell>
          <cell r="D38">
            <v>471</v>
          </cell>
          <cell r="E38">
            <v>302</v>
          </cell>
          <cell r="F38">
            <v>106</v>
          </cell>
          <cell r="G38">
            <v>0.18</v>
          </cell>
          <cell r="H38">
            <v>150</v>
          </cell>
          <cell r="K38">
            <v>313</v>
          </cell>
          <cell r="L38">
            <v>-11</v>
          </cell>
          <cell r="O38">
            <v>500</v>
          </cell>
          <cell r="P38">
            <v>60.4</v>
          </cell>
          <cell r="Q38">
            <v>481.20000000000005</v>
          </cell>
          <cell r="R38">
            <v>600</v>
          </cell>
        </row>
        <row r="39">
          <cell r="A39" t="str">
            <v>Сыр ПАПА МОЖЕТ "Тильзитер" фасованный массовая доля жира в сухом веществе 45%, 180г  Останкино</v>
          </cell>
          <cell r="B39" t="str">
            <v>шт</v>
          </cell>
          <cell r="C39">
            <v>88</v>
          </cell>
          <cell r="D39">
            <v>34</v>
          </cell>
          <cell r="E39">
            <v>84</v>
          </cell>
          <cell r="F39">
            <v>1</v>
          </cell>
          <cell r="G39">
            <v>0.18</v>
          </cell>
          <cell r="H39">
            <v>150</v>
          </cell>
          <cell r="K39">
            <v>138</v>
          </cell>
          <cell r="L39">
            <v>-54</v>
          </cell>
          <cell r="O39">
            <v>200</v>
          </cell>
          <cell r="P39">
            <v>16.8</v>
          </cell>
          <cell r="Q39">
            <v>101.40000000000003</v>
          </cell>
          <cell r="R39">
            <v>250</v>
          </cell>
        </row>
        <row r="40">
          <cell r="A40" t="str">
            <v>Сыр Скаморца свежий 100 гр.  ОСТАНКИНО</v>
          </cell>
          <cell r="B40" t="str">
            <v>шт</v>
          </cell>
          <cell r="D40">
            <v>8</v>
          </cell>
          <cell r="E40">
            <v>-1</v>
          </cell>
          <cell r="F40">
            <v>8</v>
          </cell>
          <cell r="G40">
            <v>0.1</v>
          </cell>
          <cell r="H40">
            <v>60</v>
          </cell>
          <cell r="K40">
            <v>2</v>
          </cell>
          <cell r="L40">
            <v>-3</v>
          </cell>
          <cell r="O40">
            <v>8</v>
          </cell>
          <cell r="P40">
            <v>-0.2</v>
          </cell>
        </row>
        <row r="41">
          <cell r="A41" t="str">
            <v>Сыр Творожный с зеленью 60% Папа может 140 гр.  Останкино</v>
          </cell>
          <cell r="B41" t="str">
            <v>шт</v>
          </cell>
          <cell r="E41">
            <v>10</v>
          </cell>
          <cell r="G41">
            <v>0.14000000000000001</v>
          </cell>
          <cell r="H41">
            <v>180</v>
          </cell>
          <cell r="K41">
            <v>18</v>
          </cell>
          <cell r="L41">
            <v>-8</v>
          </cell>
          <cell r="O41">
            <v>96</v>
          </cell>
          <cell r="P41">
            <v>2</v>
          </cell>
          <cell r="R41">
            <v>150</v>
          </cell>
        </row>
        <row r="42">
          <cell r="A42" t="str">
            <v>Сыр плавленный Сливочный ж.45% 180г ТМ Папа может (16шт)  Останкино</v>
          </cell>
          <cell r="B42" t="str">
            <v>шт</v>
          </cell>
          <cell r="C42">
            <v>16</v>
          </cell>
          <cell r="D42">
            <v>256</v>
          </cell>
          <cell r="E42">
            <v>53</v>
          </cell>
          <cell r="F42">
            <v>217</v>
          </cell>
          <cell r="G42">
            <v>0.18</v>
          </cell>
          <cell r="H42">
            <v>270</v>
          </cell>
          <cell r="K42">
            <v>45</v>
          </cell>
          <cell r="L42">
            <v>8</v>
          </cell>
          <cell r="O42">
            <v>128</v>
          </cell>
          <cell r="P42">
            <v>10.6</v>
          </cell>
          <cell r="R42">
            <v>150</v>
          </cell>
        </row>
        <row r="43">
          <cell r="A43" t="str">
            <v>Сыр полутвердый "Гауда" с массовой долей жира в пересчете на сухое вещество 45%,   Останкино</v>
          </cell>
          <cell r="B43" t="str">
            <v>кг</v>
          </cell>
          <cell r="C43">
            <v>47.274000000000001</v>
          </cell>
          <cell r="D43">
            <v>54.207999999999998</v>
          </cell>
          <cell r="E43">
            <v>14.884</v>
          </cell>
          <cell r="F43">
            <v>72.013999999999996</v>
          </cell>
          <cell r="G43">
            <v>1</v>
          </cell>
          <cell r="H43">
            <v>180</v>
          </cell>
          <cell r="I43" t="str">
            <v>ВНИМАНИЕ</v>
          </cell>
          <cell r="K43">
            <v>16</v>
          </cell>
          <cell r="L43">
            <v>-1.1159999999999997</v>
          </cell>
          <cell r="P43">
            <v>2.9767999999999999</v>
          </cell>
        </row>
        <row r="44">
          <cell r="A44" t="str">
            <v>Сыр полутвердый "Голландский" с массовой долей жира в пересчете на сухое  Останкино</v>
          </cell>
          <cell r="B44" t="str">
            <v>кг</v>
          </cell>
          <cell r="C44">
            <v>35.613999999999997</v>
          </cell>
          <cell r="E44">
            <v>23.972000000000001</v>
          </cell>
          <cell r="F44">
            <v>8.9359999999999999</v>
          </cell>
          <cell r="G44">
            <v>1</v>
          </cell>
          <cell r="H44">
            <v>180</v>
          </cell>
          <cell r="K44">
            <v>27.6</v>
          </cell>
          <cell r="L44">
            <v>-3.6280000000000001</v>
          </cell>
          <cell r="O44">
            <v>16</v>
          </cell>
          <cell r="P44">
            <v>4.7944000000000004</v>
          </cell>
          <cell r="Q44">
            <v>61.363200000000013</v>
          </cell>
          <cell r="R44">
            <v>150</v>
          </cell>
        </row>
        <row r="45">
          <cell r="A45" t="str">
            <v>Сыр полутвердый "Сметанковый", с масс долей жира в пересчете на сухое вещес50%, брус  Останкино</v>
          </cell>
          <cell r="B45" t="str">
            <v>кг</v>
          </cell>
          <cell r="D45">
            <v>3.5</v>
          </cell>
          <cell r="E45">
            <v>3.5</v>
          </cell>
          <cell r="G45">
            <v>1</v>
          </cell>
          <cell r="H45">
            <v>180</v>
          </cell>
          <cell r="K45">
            <v>17.100000000000001</v>
          </cell>
          <cell r="L45">
            <v>-13.600000000000001</v>
          </cell>
          <cell r="O45">
            <v>50</v>
          </cell>
          <cell r="P45">
            <v>0.7</v>
          </cell>
          <cell r="Q45">
            <v>20</v>
          </cell>
          <cell r="R45">
            <v>100</v>
          </cell>
        </row>
        <row r="46">
          <cell r="A46" t="str">
            <v>Сыр полутвердый "Тильзитер" с массовой долей жира в пересчете на сухое вещество 45%. 1/5  Останкино</v>
          </cell>
          <cell r="B46" t="str">
            <v>кг</v>
          </cell>
          <cell r="C46">
            <v>53.59</v>
          </cell>
          <cell r="D46">
            <v>3.9540000000000002</v>
          </cell>
          <cell r="E46">
            <v>13.407999999999999</v>
          </cell>
          <cell r="F46">
            <v>40.552</v>
          </cell>
          <cell r="G46">
            <v>1</v>
          </cell>
          <cell r="H46">
            <v>180</v>
          </cell>
          <cell r="K46">
            <v>14</v>
          </cell>
          <cell r="L46">
            <v>-0.59200000000000053</v>
          </cell>
          <cell r="P46">
            <v>2.6816</v>
          </cell>
          <cell r="Q46">
            <v>7.7167999999999992</v>
          </cell>
          <cell r="R46">
            <v>50</v>
          </cell>
        </row>
        <row r="47">
          <cell r="A47" t="str">
            <v>Сыр рассольный жирный Чечил 45% 100 гр  ОСТАНКИНО</v>
          </cell>
          <cell r="B47" t="str">
            <v>шт</v>
          </cell>
          <cell r="C47">
            <v>199</v>
          </cell>
          <cell r="E47">
            <v>192</v>
          </cell>
          <cell r="G47">
            <v>0.1</v>
          </cell>
          <cell r="H47">
            <v>60</v>
          </cell>
          <cell r="K47">
            <v>216</v>
          </cell>
          <cell r="L47">
            <v>-24</v>
          </cell>
          <cell r="O47">
            <v>420</v>
          </cell>
          <cell r="P47">
            <v>38.4</v>
          </cell>
          <cell r="Q47">
            <v>271.19999999999993</v>
          </cell>
          <cell r="R47">
            <v>400</v>
          </cell>
        </row>
        <row r="48">
          <cell r="A48" t="str">
            <v>Сыр рассольный жирный Чечил копченый 43% 100 гр  Останкино</v>
          </cell>
          <cell r="B48" t="str">
            <v>шт</v>
          </cell>
          <cell r="C48">
            <v>142</v>
          </cell>
          <cell r="D48">
            <v>84</v>
          </cell>
          <cell r="E48">
            <v>148</v>
          </cell>
          <cell r="G48">
            <v>0.1</v>
          </cell>
          <cell r="H48">
            <v>90</v>
          </cell>
          <cell r="K48">
            <v>142</v>
          </cell>
          <cell r="L48">
            <v>6</v>
          </cell>
          <cell r="O48">
            <v>252</v>
          </cell>
          <cell r="P48">
            <v>29.6</v>
          </cell>
          <cell r="Q48">
            <v>280.80000000000007</v>
          </cell>
          <cell r="R48">
            <v>400</v>
          </cell>
        </row>
        <row r="49">
          <cell r="A49" t="str">
            <v>Сыр творожный Сливочный 140 гр.  Останкино</v>
          </cell>
          <cell r="B49" t="str">
            <v>шт</v>
          </cell>
          <cell r="C49">
            <v>36</v>
          </cell>
          <cell r="D49">
            <v>50</v>
          </cell>
          <cell r="E49">
            <v>38</v>
          </cell>
          <cell r="F49">
            <v>13</v>
          </cell>
          <cell r="G49">
            <v>0.14000000000000001</v>
          </cell>
          <cell r="H49">
            <v>180</v>
          </cell>
          <cell r="K49">
            <v>39</v>
          </cell>
          <cell r="L49">
            <v>-1</v>
          </cell>
          <cell r="O49">
            <v>112</v>
          </cell>
          <cell r="P49">
            <v>7.6</v>
          </cell>
          <cell r="Q49">
            <v>11.799999999999983</v>
          </cell>
          <cell r="R49">
            <v>70</v>
          </cell>
        </row>
        <row r="50">
          <cell r="A50" t="str">
            <v>Сыч/Прод Коровино Российский 50% 200г НОВАЯ СЗМЖ  ОСТАНКИНО</v>
          </cell>
          <cell r="B50" t="str">
            <v>шт</v>
          </cell>
          <cell r="D50">
            <v>40</v>
          </cell>
          <cell r="E50">
            <v>10</v>
          </cell>
          <cell r="F50">
            <v>28</v>
          </cell>
          <cell r="G50">
            <v>0.2</v>
          </cell>
          <cell r="H50">
            <v>120</v>
          </cell>
          <cell r="K50">
            <v>24</v>
          </cell>
          <cell r="L50">
            <v>-14</v>
          </cell>
          <cell r="O50">
            <v>30</v>
          </cell>
          <cell r="P50">
            <v>2</v>
          </cell>
          <cell r="Q50">
            <v>10</v>
          </cell>
          <cell r="R50">
            <v>150</v>
          </cell>
        </row>
        <row r="51">
          <cell r="A51" t="str">
            <v>Сыч/Прод Коровино Российский Оригин 50% ВЕС НОВАЯ (3,5 кг)  ОСТАНКИНО</v>
          </cell>
          <cell r="B51" t="str">
            <v>кг</v>
          </cell>
          <cell r="C51">
            <v>56.04</v>
          </cell>
          <cell r="D51">
            <v>163.97200000000001</v>
          </cell>
          <cell r="F51">
            <v>163.94200000000001</v>
          </cell>
          <cell r="G51">
            <v>1</v>
          </cell>
          <cell r="H51">
            <v>120</v>
          </cell>
          <cell r="I51" t="str">
            <v>ВНИМАНИЕ</v>
          </cell>
          <cell r="L51">
            <v>0</v>
          </cell>
          <cell r="P51">
            <v>0</v>
          </cell>
          <cell r="R51">
            <v>70</v>
          </cell>
        </row>
        <row r="52">
          <cell r="A52" t="str">
            <v>Сыч/Прод Коровино Тильзитер 50% 200г НОВАЯ СЗМЖ  ОСТАНКИНО</v>
          </cell>
          <cell r="B52" t="str">
            <v>шт</v>
          </cell>
          <cell r="C52">
            <v>-2</v>
          </cell>
          <cell r="D52">
            <v>52</v>
          </cell>
          <cell r="E52">
            <v>3</v>
          </cell>
          <cell r="F52">
            <v>45</v>
          </cell>
          <cell r="G52">
            <v>0.2</v>
          </cell>
          <cell r="H52">
            <v>120</v>
          </cell>
          <cell r="K52">
            <v>7</v>
          </cell>
          <cell r="L52">
            <v>-4</v>
          </cell>
          <cell r="O52">
            <v>10</v>
          </cell>
          <cell r="P52">
            <v>0.6</v>
          </cell>
          <cell r="R52">
            <v>150</v>
          </cell>
        </row>
        <row r="53">
          <cell r="A53" t="str">
            <v>Сыч/Прод Коровино Тильзитер 50% 200г СЗМЖ  ОСТАНКИНО</v>
          </cell>
          <cell r="B53" t="str">
            <v>шт</v>
          </cell>
          <cell r="C53">
            <v>2</v>
          </cell>
          <cell r="E53">
            <v>3</v>
          </cell>
          <cell r="F53">
            <v>-5</v>
          </cell>
          <cell r="G53">
            <v>0</v>
          </cell>
          <cell r="I53" t="str">
            <v>дубль</v>
          </cell>
          <cell r="J53" t="str">
            <v>Сыч/Прод Коровино Тильзитер 50% 200г НОВАЯ СЗМЖ  ОСТАНКИНО</v>
          </cell>
          <cell r="K53">
            <v>4</v>
          </cell>
          <cell r="L53">
            <v>-1</v>
          </cell>
          <cell r="P53">
            <v>0.6</v>
          </cell>
        </row>
        <row r="54">
          <cell r="A54" t="str">
            <v>Сыч/Прод Коровино Тильзитер Оригин 50% ВЕС (5 кг брус) СЗМЖ  ОСТАНКИНО</v>
          </cell>
          <cell r="B54" t="str">
            <v>кг</v>
          </cell>
          <cell r="D54">
            <v>3.9159999999999999</v>
          </cell>
          <cell r="E54">
            <v>3.9159999999999999</v>
          </cell>
          <cell r="G54">
            <v>0</v>
          </cell>
          <cell r="I54" t="str">
            <v>дубль</v>
          </cell>
          <cell r="J54" t="str">
            <v>Сыч/Прод Коровино Тильзитер Оригин 50% ВЕС НОВАЯ (5 кг брус) СЗМЖ  ОСТАНКИНО</v>
          </cell>
          <cell r="K54">
            <v>3.5</v>
          </cell>
          <cell r="L54">
            <v>0.41599999999999993</v>
          </cell>
          <cell r="P54">
            <v>0.78320000000000001</v>
          </cell>
        </row>
        <row r="55">
          <cell r="A55" t="str">
            <v>Сыч/Прод Коровино Тильзитер Оригин 50% ВЕС НОВАЯ (5 кг брус) СЗМЖ  ОСТАНКИНО</v>
          </cell>
          <cell r="B55" t="str">
            <v>кг</v>
          </cell>
          <cell r="C55">
            <v>115.517</v>
          </cell>
          <cell r="D55">
            <v>165.72300000000001</v>
          </cell>
          <cell r="E55">
            <v>65.709999999999994</v>
          </cell>
          <cell r="F55">
            <v>116.099</v>
          </cell>
          <cell r="G55">
            <v>1</v>
          </cell>
          <cell r="H55">
            <v>120</v>
          </cell>
          <cell r="K55">
            <v>62.8</v>
          </cell>
          <cell r="L55">
            <v>2.9099999999999966</v>
          </cell>
          <cell r="P55">
            <v>13.141999999999999</v>
          </cell>
          <cell r="Q55">
            <v>120.45699999999998</v>
          </cell>
          <cell r="R55">
            <v>200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7" sqref="AK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6.85546875" customWidth="1"/>
    <col min="10" max="10" width="1" customWidth="1"/>
    <col min="11" max="12" width="7" customWidth="1"/>
    <col min="13" max="14" width="0.5703125" customWidth="1"/>
    <col min="15" max="19" width="7" customWidth="1"/>
    <col min="20" max="20" width="7" style="20" customWidth="1"/>
    <col min="21" max="22" width="5" customWidth="1"/>
    <col min="23" max="32" width="6" customWidth="1"/>
    <col min="33" max="33" width="40.85546875" customWidth="1"/>
    <col min="34" max="34" width="7" customWidth="1"/>
    <col min="35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106</v>
      </c>
      <c r="S3" s="3" t="s">
        <v>107</v>
      </c>
      <c r="T3" s="3" t="s">
        <v>104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20</v>
      </c>
      <c r="AH3" s="2" t="s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/>
      <c r="R4" s="1"/>
      <c r="S4" s="1" t="s">
        <v>108</v>
      </c>
      <c r="T4" s="1" t="s">
        <v>105</v>
      </c>
      <c r="U4" s="1"/>
      <c r="V4" s="1"/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SUM(E6:E499)</f>
        <v>2384.1559999999999</v>
      </c>
      <c r="F5" s="4">
        <f>SUM(F6:F499)</f>
        <v>4901.7729999999992</v>
      </c>
      <c r="G5" s="7"/>
      <c r="H5" s="1"/>
      <c r="I5" s="1"/>
      <c r="J5" s="1"/>
      <c r="K5" s="4">
        <f t="shared" ref="K5:T5" si="0">SUM(K6:K499)</f>
        <v>3133.4359999999997</v>
      </c>
      <c r="L5" s="4">
        <f t="shared" si="0"/>
        <v>-749.28000000000009</v>
      </c>
      <c r="M5" s="4">
        <f t="shared" si="0"/>
        <v>0</v>
      </c>
      <c r="N5" s="4">
        <f t="shared" si="0"/>
        <v>0</v>
      </c>
      <c r="O5" s="4">
        <f t="shared" si="0"/>
        <v>5608</v>
      </c>
      <c r="P5" s="4">
        <f t="shared" si="0"/>
        <v>482.23120000000011</v>
      </c>
      <c r="Q5" s="4">
        <f t="shared" si="0"/>
        <v>2328.5370000000003</v>
      </c>
      <c r="R5" s="4">
        <f t="shared" si="0"/>
        <v>5886</v>
      </c>
      <c r="S5" s="4">
        <f t="shared" si="0"/>
        <v>5868</v>
      </c>
      <c r="T5" s="4">
        <f t="shared" si="0"/>
        <v>8210</v>
      </c>
      <c r="U5" s="1"/>
      <c r="V5" s="1"/>
      <c r="W5" s="4">
        <f t="shared" ref="W5:AF5" si="1">SUM(W6:W499)</f>
        <v>688.80179999999984</v>
      </c>
      <c r="X5" s="4">
        <f t="shared" si="1"/>
        <v>536.13300000000004</v>
      </c>
      <c r="Y5" s="4">
        <f t="shared" si="1"/>
        <v>485.86180000000007</v>
      </c>
      <c r="Z5" s="4">
        <f t="shared" si="1"/>
        <v>809.21119999999996</v>
      </c>
      <c r="AA5" s="4">
        <f t="shared" si="1"/>
        <v>613.03380000000004</v>
      </c>
      <c r="AB5" s="4">
        <f t="shared" si="1"/>
        <v>553.48760000000016</v>
      </c>
      <c r="AC5" s="4">
        <f t="shared" si="1"/>
        <v>802.63360000000011</v>
      </c>
      <c r="AD5" s="4">
        <f t="shared" si="1"/>
        <v>614.32119999999998</v>
      </c>
      <c r="AE5" s="4">
        <f t="shared" si="1"/>
        <v>721.4165999999999</v>
      </c>
      <c r="AF5" s="4">
        <f t="shared" si="1"/>
        <v>865.60019999999997</v>
      </c>
      <c r="AG5" s="1"/>
      <c r="AH5" s="4">
        <f>SUM(AH6:AH499)</f>
        <v>1600.345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34</v>
      </c>
      <c r="B6" s="1" t="s">
        <v>35</v>
      </c>
      <c r="C6" s="1">
        <v>7</v>
      </c>
      <c r="D6" s="1"/>
      <c r="E6" s="1">
        <v>2</v>
      </c>
      <c r="F6" s="1">
        <v>4</v>
      </c>
      <c r="G6" s="7">
        <v>5.5E-2</v>
      </c>
      <c r="H6" s="1">
        <v>120</v>
      </c>
      <c r="I6" s="1"/>
      <c r="J6" s="1"/>
      <c r="K6" s="1">
        <v>2</v>
      </c>
      <c r="L6" s="1">
        <f t="shared" ref="L6:L37" si="2">E6-K6</f>
        <v>0</v>
      </c>
      <c r="M6" s="1"/>
      <c r="N6" s="1"/>
      <c r="O6" s="1">
        <v>24</v>
      </c>
      <c r="P6" s="1">
        <f t="shared" ref="P6:P37" si="3">E6/5</f>
        <v>0.4</v>
      </c>
      <c r="Q6" s="5"/>
      <c r="R6" s="5">
        <f>Q6</f>
        <v>0</v>
      </c>
      <c r="S6" s="5"/>
      <c r="T6" s="19">
        <f>VLOOKUP(A6,[1]Sheet!$A:$R,18,0)</f>
        <v>100</v>
      </c>
      <c r="U6" s="1">
        <f>(F6+O6+R6)/P6</f>
        <v>70</v>
      </c>
      <c r="V6" s="1">
        <f t="shared" ref="V6:V37" si="4">(F6+O6)/P6</f>
        <v>70</v>
      </c>
      <c r="W6" s="1">
        <v>1.4</v>
      </c>
      <c r="X6" s="1">
        <v>0.2</v>
      </c>
      <c r="Y6" s="1">
        <v>0.6</v>
      </c>
      <c r="Z6" s="1">
        <v>0</v>
      </c>
      <c r="AA6" s="1">
        <v>0.4</v>
      </c>
      <c r="AB6" s="1">
        <v>1.2</v>
      </c>
      <c r="AC6" s="1">
        <v>1</v>
      </c>
      <c r="AD6" s="1">
        <v>1</v>
      </c>
      <c r="AE6" s="1">
        <v>0</v>
      </c>
      <c r="AF6" s="1">
        <v>0</v>
      </c>
      <c r="AG6" s="18" t="s">
        <v>100</v>
      </c>
      <c r="AH6" s="1">
        <f>G6*R6</f>
        <v>0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36</v>
      </c>
      <c r="B7" s="1" t="s">
        <v>35</v>
      </c>
      <c r="C7" s="1">
        <v>17</v>
      </c>
      <c r="D7" s="1">
        <v>25</v>
      </c>
      <c r="E7" s="1">
        <v>5</v>
      </c>
      <c r="F7" s="1">
        <v>42</v>
      </c>
      <c r="G7" s="7">
        <v>0.1</v>
      </c>
      <c r="H7" s="1">
        <v>120</v>
      </c>
      <c r="I7" s="1"/>
      <c r="J7" s="1"/>
      <c r="K7" s="1"/>
      <c r="L7" s="1">
        <f t="shared" si="2"/>
        <v>5</v>
      </c>
      <c r="M7" s="1"/>
      <c r="N7" s="1"/>
      <c r="O7" s="1"/>
      <c r="P7" s="1">
        <f t="shared" si="3"/>
        <v>1</v>
      </c>
      <c r="Q7" s="5"/>
      <c r="R7" s="5">
        <f>Q7</f>
        <v>0</v>
      </c>
      <c r="S7" s="5"/>
      <c r="T7" s="19">
        <f>VLOOKUP(A7,[1]Sheet!$A:$R,18,0)</f>
        <v>50</v>
      </c>
      <c r="U7" s="1">
        <f t="shared" ref="U7:U55" si="5">(F7+O7+R7)/P7</f>
        <v>42</v>
      </c>
      <c r="V7" s="1">
        <f t="shared" si="4"/>
        <v>42</v>
      </c>
      <c r="W7" s="1">
        <v>1.2</v>
      </c>
      <c r="X7" s="1">
        <v>1.4</v>
      </c>
      <c r="Y7" s="1">
        <v>0.2</v>
      </c>
      <c r="Z7" s="1">
        <v>0</v>
      </c>
      <c r="AA7" s="1">
        <v>0.4</v>
      </c>
      <c r="AB7" s="1">
        <v>1.6</v>
      </c>
      <c r="AC7" s="1">
        <v>1.2</v>
      </c>
      <c r="AD7" s="1">
        <v>1.2</v>
      </c>
      <c r="AE7" s="1">
        <v>0</v>
      </c>
      <c r="AF7" s="1">
        <v>0</v>
      </c>
      <c r="AG7" s="16" t="s">
        <v>58</v>
      </c>
      <c r="AH7" s="1">
        <f t="shared" ref="AH7:AH55" si="6">G7*R7</f>
        <v>0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37</v>
      </c>
      <c r="B8" s="1" t="s">
        <v>35</v>
      </c>
      <c r="C8" s="1">
        <v>15</v>
      </c>
      <c r="D8" s="1"/>
      <c r="E8" s="1">
        <v>5</v>
      </c>
      <c r="F8" s="1">
        <v>15</v>
      </c>
      <c r="G8" s="7">
        <v>0.1</v>
      </c>
      <c r="H8" s="1">
        <v>120</v>
      </c>
      <c r="I8" s="1"/>
      <c r="J8" s="1"/>
      <c r="K8" s="1"/>
      <c r="L8" s="1">
        <f t="shared" si="2"/>
        <v>5</v>
      </c>
      <c r="M8" s="1"/>
      <c r="N8" s="1"/>
      <c r="O8" s="1">
        <v>24</v>
      </c>
      <c r="P8" s="1">
        <f t="shared" si="3"/>
        <v>1</v>
      </c>
      <c r="Q8" s="5"/>
      <c r="R8" s="5">
        <f>Q8</f>
        <v>0</v>
      </c>
      <c r="S8" s="5"/>
      <c r="T8" s="19">
        <f>VLOOKUP(A8,[1]Sheet!$A:$R,18,0)</f>
        <v>50</v>
      </c>
      <c r="U8" s="1">
        <f t="shared" si="5"/>
        <v>39</v>
      </c>
      <c r="V8" s="1">
        <f t="shared" si="4"/>
        <v>39</v>
      </c>
      <c r="W8" s="1">
        <v>1</v>
      </c>
      <c r="X8" s="1">
        <v>0</v>
      </c>
      <c r="Y8" s="1">
        <v>0.8</v>
      </c>
      <c r="Z8" s="1">
        <v>0</v>
      </c>
      <c r="AA8" s="1">
        <v>0</v>
      </c>
      <c r="AB8" s="1">
        <v>0.8</v>
      </c>
      <c r="AC8" s="1">
        <v>1.2</v>
      </c>
      <c r="AD8" s="1">
        <v>1.6</v>
      </c>
      <c r="AE8" s="1">
        <v>0</v>
      </c>
      <c r="AF8" s="1">
        <v>0</v>
      </c>
      <c r="AG8" s="15" t="s">
        <v>101</v>
      </c>
      <c r="AH8" s="1">
        <f t="shared" si="6"/>
        <v>0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38</v>
      </c>
      <c r="B9" s="1" t="s">
        <v>39</v>
      </c>
      <c r="C9" s="1"/>
      <c r="D9" s="1">
        <v>257.19799999999998</v>
      </c>
      <c r="E9" s="1">
        <v>31.265999999999998</v>
      </c>
      <c r="F9" s="1">
        <v>212.53</v>
      </c>
      <c r="G9" s="7">
        <v>1</v>
      </c>
      <c r="H9" s="1">
        <v>120</v>
      </c>
      <c r="I9" s="1"/>
      <c r="J9" s="1"/>
      <c r="K9" s="1">
        <v>47.636000000000003</v>
      </c>
      <c r="L9" s="1">
        <f t="shared" si="2"/>
        <v>-16.370000000000005</v>
      </c>
      <c r="M9" s="1"/>
      <c r="N9" s="1"/>
      <c r="O9" s="1">
        <v>50</v>
      </c>
      <c r="P9" s="1">
        <f t="shared" si="3"/>
        <v>6.2531999999999996</v>
      </c>
      <c r="Q9" s="5"/>
      <c r="R9" s="5">
        <v>100</v>
      </c>
      <c r="S9" s="5">
        <f>VLOOKUP(A9,заказ!A:B,2,0)</f>
        <v>100</v>
      </c>
      <c r="T9" s="19">
        <f>VLOOKUP(A9,[1]Sheet!$A:$R,18,0)</f>
        <v>100</v>
      </c>
      <c r="U9" s="1">
        <f t="shared" si="5"/>
        <v>57.975116740229005</v>
      </c>
      <c r="V9" s="1">
        <f t="shared" si="4"/>
        <v>41.983304548071388</v>
      </c>
      <c r="W9" s="1">
        <v>9.1048000000000009</v>
      </c>
      <c r="X9" s="1">
        <v>18.5504</v>
      </c>
      <c r="Y9" s="1">
        <v>11.003</v>
      </c>
      <c r="Z9" s="1">
        <v>11.139200000000001</v>
      </c>
      <c r="AA9" s="1">
        <v>9.8320000000000007</v>
      </c>
      <c r="AB9" s="1">
        <v>7.8068</v>
      </c>
      <c r="AC9" s="1">
        <v>12.0304</v>
      </c>
      <c r="AD9" s="1">
        <v>13.2544</v>
      </c>
      <c r="AE9" s="1">
        <v>23.414999999999999</v>
      </c>
      <c r="AF9" s="1">
        <v>16.726800000000001</v>
      </c>
      <c r="AG9" s="1"/>
      <c r="AH9" s="1">
        <f t="shared" si="6"/>
        <v>100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40</v>
      </c>
      <c r="B10" s="1" t="s">
        <v>35</v>
      </c>
      <c r="C10" s="1">
        <v>33</v>
      </c>
      <c r="D10" s="1"/>
      <c r="E10" s="1"/>
      <c r="F10" s="1"/>
      <c r="G10" s="7">
        <v>0.18</v>
      </c>
      <c r="H10" s="1">
        <v>180</v>
      </c>
      <c r="I10" s="1"/>
      <c r="J10" s="1"/>
      <c r="K10" s="1">
        <v>3</v>
      </c>
      <c r="L10" s="1">
        <f t="shared" si="2"/>
        <v>-3</v>
      </c>
      <c r="M10" s="1"/>
      <c r="N10" s="1"/>
      <c r="O10" s="1"/>
      <c r="P10" s="1">
        <f t="shared" si="3"/>
        <v>0</v>
      </c>
      <c r="Q10" s="5">
        <v>12</v>
      </c>
      <c r="R10" s="5">
        <f>Q10</f>
        <v>12</v>
      </c>
      <c r="S10" s="5">
        <f>VLOOKUP(A10,заказ!A:B,2,0)</f>
        <v>12</v>
      </c>
      <c r="T10" s="19"/>
      <c r="U10" s="1" t="e">
        <f t="shared" si="5"/>
        <v>#DIV/0!</v>
      </c>
      <c r="V10" s="1" t="e">
        <f t="shared" si="4"/>
        <v>#DIV/0!</v>
      </c>
      <c r="W10" s="1">
        <v>0</v>
      </c>
      <c r="X10" s="1">
        <v>0</v>
      </c>
      <c r="Y10" s="1">
        <v>-9.6</v>
      </c>
      <c r="Z10" s="1">
        <v>-12.6</v>
      </c>
      <c r="AA10" s="1">
        <v>118.8</v>
      </c>
      <c r="AB10" s="1">
        <v>0.6</v>
      </c>
      <c r="AC10" s="1">
        <v>-0.4</v>
      </c>
      <c r="AD10" s="1">
        <v>0</v>
      </c>
      <c r="AE10" s="1">
        <v>2.4</v>
      </c>
      <c r="AF10" s="1">
        <v>6.4</v>
      </c>
      <c r="AG10" s="1" t="s">
        <v>41</v>
      </c>
      <c r="AH10" s="1">
        <f t="shared" si="6"/>
        <v>2.16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42</v>
      </c>
      <c r="B11" s="1" t="s">
        <v>35</v>
      </c>
      <c r="C11" s="1">
        <v>123</v>
      </c>
      <c r="D11" s="1"/>
      <c r="E11" s="1"/>
      <c r="F11" s="1"/>
      <c r="G11" s="7">
        <v>0.18</v>
      </c>
      <c r="H11" s="1">
        <v>180</v>
      </c>
      <c r="I11" s="1"/>
      <c r="J11" s="1"/>
      <c r="K11" s="1">
        <v>13</v>
      </c>
      <c r="L11" s="1">
        <f t="shared" si="2"/>
        <v>-13</v>
      </c>
      <c r="M11" s="1"/>
      <c r="N11" s="1"/>
      <c r="O11" s="1"/>
      <c r="P11" s="1">
        <f t="shared" si="3"/>
        <v>0</v>
      </c>
      <c r="Q11" s="5">
        <v>12</v>
      </c>
      <c r="R11" s="5">
        <f t="shared" ref="R11:R54" si="7">Q11</f>
        <v>12</v>
      </c>
      <c r="S11" s="5">
        <f>VLOOKUP(A11,заказ!A:B,2,0)</f>
        <v>12</v>
      </c>
      <c r="T11" s="19"/>
      <c r="U11" s="1" t="e">
        <f t="shared" si="5"/>
        <v>#DIV/0!</v>
      </c>
      <c r="V11" s="1" t="e">
        <f t="shared" si="4"/>
        <v>#DIV/0!</v>
      </c>
      <c r="W11" s="1">
        <v>0</v>
      </c>
      <c r="X11" s="1">
        <v>0</v>
      </c>
      <c r="Y11" s="1">
        <v>-0.2</v>
      </c>
      <c r="Z11" s="1">
        <v>2.8</v>
      </c>
      <c r="AA11" s="1">
        <v>-0.2</v>
      </c>
      <c r="AB11" s="1">
        <v>1.2</v>
      </c>
      <c r="AC11" s="1">
        <v>23.4</v>
      </c>
      <c r="AD11" s="1">
        <v>-0.4</v>
      </c>
      <c r="AE11" s="1">
        <v>-1.2</v>
      </c>
      <c r="AF11" s="1">
        <v>3.6</v>
      </c>
      <c r="AG11" s="17" t="s">
        <v>103</v>
      </c>
      <c r="AH11" s="1">
        <f t="shared" si="6"/>
        <v>2.16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43</v>
      </c>
      <c r="B12" s="1" t="s">
        <v>39</v>
      </c>
      <c r="C12" s="1"/>
      <c r="D12" s="1">
        <v>48.305999999999997</v>
      </c>
      <c r="E12" s="1">
        <v>9.5</v>
      </c>
      <c r="F12" s="1">
        <v>14.73</v>
      </c>
      <c r="G12" s="7">
        <v>1</v>
      </c>
      <c r="H12" s="1">
        <v>180</v>
      </c>
      <c r="I12" s="1"/>
      <c r="J12" s="1"/>
      <c r="K12" s="1">
        <v>27.8</v>
      </c>
      <c r="L12" s="1">
        <f t="shared" si="2"/>
        <v>-18.3</v>
      </c>
      <c r="M12" s="1"/>
      <c r="N12" s="1"/>
      <c r="O12" s="1">
        <v>16</v>
      </c>
      <c r="P12" s="1">
        <f t="shared" si="3"/>
        <v>1.9</v>
      </c>
      <c r="Q12" s="5">
        <v>10</v>
      </c>
      <c r="R12" s="5">
        <v>60</v>
      </c>
      <c r="S12" s="5">
        <f>VLOOKUP(A12,заказ!A:B,2,0)</f>
        <v>66</v>
      </c>
      <c r="T12" s="19">
        <f>VLOOKUP(A12,[1]Sheet!$A:$R,18,0)</f>
        <v>150</v>
      </c>
      <c r="U12" s="1">
        <f t="shared" si="5"/>
        <v>47.752631578947373</v>
      </c>
      <c r="V12" s="1">
        <f t="shared" si="4"/>
        <v>16.173684210526318</v>
      </c>
      <c r="W12" s="1">
        <v>1.3184</v>
      </c>
      <c r="X12" s="1">
        <v>3.1696</v>
      </c>
      <c r="Y12" s="1">
        <v>1.2887999999999999</v>
      </c>
      <c r="Z12" s="1">
        <v>0.63559999999999994</v>
      </c>
      <c r="AA12" s="1">
        <v>1.2452000000000001</v>
      </c>
      <c r="AB12" s="1">
        <v>0.61959999999999993</v>
      </c>
      <c r="AC12" s="1">
        <v>2.4516</v>
      </c>
      <c r="AD12" s="1">
        <v>3.2412000000000001</v>
      </c>
      <c r="AE12" s="1">
        <v>0</v>
      </c>
      <c r="AF12" s="1">
        <v>0.68120000000000003</v>
      </c>
      <c r="AG12" s="1"/>
      <c r="AH12" s="1">
        <f t="shared" si="6"/>
        <v>60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4" t="s">
        <v>44</v>
      </c>
      <c r="B13" s="1" t="s">
        <v>35</v>
      </c>
      <c r="C13" s="1"/>
      <c r="D13" s="1"/>
      <c r="E13" s="1"/>
      <c r="F13" s="1"/>
      <c r="G13" s="7">
        <v>0.82450000000000001</v>
      </c>
      <c r="H13" s="1">
        <v>180</v>
      </c>
      <c r="I13" s="1"/>
      <c r="J13" s="1"/>
      <c r="K13" s="1"/>
      <c r="L13" s="1">
        <f t="shared" si="2"/>
        <v>0</v>
      </c>
      <c r="M13" s="1"/>
      <c r="N13" s="1"/>
      <c r="O13" s="1">
        <v>96</v>
      </c>
      <c r="P13" s="1">
        <f t="shared" si="3"/>
        <v>0</v>
      </c>
      <c r="Q13" s="5"/>
      <c r="R13" s="5">
        <v>50</v>
      </c>
      <c r="S13" s="5">
        <f>VLOOKUP(A13,заказ!A:B,2,0)</f>
        <v>48</v>
      </c>
      <c r="T13" s="19">
        <f>VLOOKUP(A13,[1]Sheet!$A:$R,18,0)</f>
        <v>200</v>
      </c>
      <c r="U13" s="1" t="e">
        <f t="shared" si="5"/>
        <v>#DIV/0!</v>
      </c>
      <c r="V13" s="1" t="e">
        <f t="shared" si="4"/>
        <v>#DIV/0!</v>
      </c>
      <c r="W13" s="1">
        <v>0.4</v>
      </c>
      <c r="X13" s="1">
        <v>0.8</v>
      </c>
      <c r="Y13" s="1">
        <v>0.4</v>
      </c>
      <c r="Z13" s="1">
        <v>0</v>
      </c>
      <c r="AA13" s="1">
        <v>0.2</v>
      </c>
      <c r="AB13" s="1">
        <v>9.6</v>
      </c>
      <c r="AC13" s="1">
        <v>0.4</v>
      </c>
      <c r="AD13" s="1">
        <v>0.6</v>
      </c>
      <c r="AE13" s="1">
        <v>0</v>
      </c>
      <c r="AF13" s="1">
        <v>1.8</v>
      </c>
      <c r="AG13" s="1" t="s">
        <v>45</v>
      </c>
      <c r="AH13" s="1">
        <f t="shared" si="6"/>
        <v>41.225000000000001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4" t="s">
        <v>46</v>
      </c>
      <c r="B14" s="1" t="s">
        <v>35</v>
      </c>
      <c r="C14" s="1">
        <v>47</v>
      </c>
      <c r="D14" s="1">
        <v>352</v>
      </c>
      <c r="E14" s="1">
        <v>49</v>
      </c>
      <c r="F14" s="1">
        <v>333</v>
      </c>
      <c r="G14" s="7">
        <v>0.372</v>
      </c>
      <c r="H14" s="1">
        <v>180</v>
      </c>
      <c r="I14" s="1"/>
      <c r="J14" s="1"/>
      <c r="K14" s="1">
        <v>59</v>
      </c>
      <c r="L14" s="1">
        <f t="shared" si="2"/>
        <v>-10</v>
      </c>
      <c r="M14" s="1"/>
      <c r="N14" s="1"/>
      <c r="O14" s="1">
        <v>144</v>
      </c>
      <c r="P14" s="1">
        <f t="shared" si="3"/>
        <v>9.8000000000000007</v>
      </c>
      <c r="Q14" s="5"/>
      <c r="R14" s="5">
        <v>100</v>
      </c>
      <c r="S14" s="5">
        <f>VLOOKUP(A14,заказ!A:B,2,0)</f>
        <v>96</v>
      </c>
      <c r="T14" s="19">
        <f>VLOOKUP(A14,[1]Sheet!$A:$R,18,0)</f>
        <v>150</v>
      </c>
      <c r="U14" s="1">
        <f t="shared" si="5"/>
        <v>58.877551020408156</v>
      </c>
      <c r="V14" s="1">
        <f t="shared" si="4"/>
        <v>48.673469387755098</v>
      </c>
      <c r="W14" s="1">
        <v>18.600000000000001</v>
      </c>
      <c r="X14" s="1">
        <v>27.4</v>
      </c>
      <c r="Y14" s="1">
        <v>18</v>
      </c>
      <c r="Z14" s="1">
        <v>35.4</v>
      </c>
      <c r="AA14" s="1">
        <v>16.2</v>
      </c>
      <c r="AB14" s="1">
        <v>25.8</v>
      </c>
      <c r="AC14" s="1">
        <v>10</v>
      </c>
      <c r="AD14" s="1">
        <v>15.2</v>
      </c>
      <c r="AE14" s="1">
        <v>29</v>
      </c>
      <c r="AF14" s="1">
        <v>14.6</v>
      </c>
      <c r="AG14" s="1"/>
      <c r="AH14" s="1">
        <f t="shared" si="6"/>
        <v>37.200000000000003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4" t="s">
        <v>47</v>
      </c>
      <c r="B15" s="1" t="s">
        <v>35</v>
      </c>
      <c r="C15" s="1">
        <v>8</v>
      </c>
      <c r="D15" s="1">
        <v>181</v>
      </c>
      <c r="E15" s="1">
        <v>-29</v>
      </c>
      <c r="F15" s="1">
        <v>168</v>
      </c>
      <c r="G15" s="7">
        <v>0.74399999999999999</v>
      </c>
      <c r="H15" s="1">
        <v>180</v>
      </c>
      <c r="I15" s="1"/>
      <c r="J15" s="1"/>
      <c r="K15" s="1">
        <v>43</v>
      </c>
      <c r="L15" s="1">
        <f t="shared" si="2"/>
        <v>-72</v>
      </c>
      <c r="M15" s="1"/>
      <c r="N15" s="1"/>
      <c r="O15" s="1">
        <v>216</v>
      </c>
      <c r="P15" s="1">
        <f t="shared" si="3"/>
        <v>-5.8</v>
      </c>
      <c r="Q15" s="5"/>
      <c r="R15" s="5">
        <v>100</v>
      </c>
      <c r="S15" s="5">
        <f>VLOOKUP(A15,заказ!A:B,2,0)</f>
        <v>96</v>
      </c>
      <c r="T15" s="19">
        <f>VLOOKUP(A15,[1]Sheet!$A:$R,18,0)</f>
        <v>200</v>
      </c>
      <c r="U15" s="1">
        <f t="shared" si="5"/>
        <v>-83.448275862068968</v>
      </c>
      <c r="V15" s="1">
        <f t="shared" si="4"/>
        <v>-66.206896551724142</v>
      </c>
      <c r="W15" s="1">
        <v>29.4</v>
      </c>
      <c r="X15" s="1">
        <v>18.2</v>
      </c>
      <c r="Y15" s="1">
        <v>11.4</v>
      </c>
      <c r="Z15" s="1">
        <v>27.6</v>
      </c>
      <c r="AA15" s="1">
        <v>7.6</v>
      </c>
      <c r="AB15" s="1">
        <v>7.4</v>
      </c>
      <c r="AC15" s="1">
        <v>3.2</v>
      </c>
      <c r="AD15" s="1">
        <v>21.8</v>
      </c>
      <c r="AE15" s="1">
        <v>17.8</v>
      </c>
      <c r="AF15" s="1">
        <v>5.6</v>
      </c>
      <c r="AG15" s="1"/>
      <c r="AH15" s="1">
        <f t="shared" si="6"/>
        <v>74.400000000000006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4" t="s">
        <v>48</v>
      </c>
      <c r="B16" s="1" t="s">
        <v>35</v>
      </c>
      <c r="C16" s="1"/>
      <c r="D16" s="1">
        <v>165</v>
      </c>
      <c r="E16" s="1">
        <v>24</v>
      </c>
      <c r="F16" s="1">
        <v>60</v>
      </c>
      <c r="G16" s="7">
        <v>0.372</v>
      </c>
      <c r="H16" s="1">
        <v>180</v>
      </c>
      <c r="I16" s="1"/>
      <c r="J16" s="1"/>
      <c r="K16" s="1">
        <v>83</v>
      </c>
      <c r="L16" s="1">
        <f t="shared" si="2"/>
        <v>-59</v>
      </c>
      <c r="M16" s="1"/>
      <c r="N16" s="1"/>
      <c r="O16" s="1">
        <v>300</v>
      </c>
      <c r="P16" s="1">
        <f t="shared" si="3"/>
        <v>4.8</v>
      </c>
      <c r="Q16" s="5"/>
      <c r="R16" s="5">
        <v>100</v>
      </c>
      <c r="S16" s="5">
        <f>VLOOKUP(A16,заказ!A:B,2,0)</f>
        <v>96</v>
      </c>
      <c r="T16" s="19">
        <f>VLOOKUP(A16,[1]Sheet!$A:$R,18,0)</f>
        <v>100</v>
      </c>
      <c r="U16" s="1">
        <f t="shared" si="5"/>
        <v>95.833333333333343</v>
      </c>
      <c r="V16" s="1">
        <f t="shared" si="4"/>
        <v>75</v>
      </c>
      <c r="W16" s="1">
        <v>37.200000000000003</v>
      </c>
      <c r="X16" s="1">
        <v>22.2</v>
      </c>
      <c r="Y16" s="1">
        <v>25</v>
      </c>
      <c r="Z16" s="1">
        <v>53.2</v>
      </c>
      <c r="AA16" s="1">
        <v>26.4</v>
      </c>
      <c r="AB16" s="1">
        <v>39</v>
      </c>
      <c r="AC16" s="1">
        <v>23</v>
      </c>
      <c r="AD16" s="1">
        <v>32.6</v>
      </c>
      <c r="AE16" s="1">
        <v>49.6</v>
      </c>
      <c r="AF16" s="1">
        <v>62.6</v>
      </c>
      <c r="AG16" s="1"/>
      <c r="AH16" s="1">
        <f t="shared" si="6"/>
        <v>37.200000000000003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4" t="s">
        <v>49</v>
      </c>
      <c r="B17" s="1" t="s">
        <v>35</v>
      </c>
      <c r="C17" s="1">
        <v>57</v>
      </c>
      <c r="D17" s="1">
        <v>716</v>
      </c>
      <c r="E17" s="1">
        <v>76</v>
      </c>
      <c r="F17" s="1">
        <v>621</v>
      </c>
      <c r="G17" s="7">
        <v>0.74399999999999999</v>
      </c>
      <c r="H17" s="1">
        <v>180</v>
      </c>
      <c r="I17" s="1"/>
      <c r="J17" s="1"/>
      <c r="K17" s="1">
        <v>158</v>
      </c>
      <c r="L17" s="1">
        <f t="shared" si="2"/>
        <v>-82</v>
      </c>
      <c r="M17" s="1"/>
      <c r="N17" s="1"/>
      <c r="O17" s="1">
        <v>96</v>
      </c>
      <c r="P17" s="1">
        <f t="shared" si="3"/>
        <v>15.2</v>
      </c>
      <c r="Q17" s="5"/>
      <c r="R17" s="5">
        <f t="shared" si="7"/>
        <v>0</v>
      </c>
      <c r="S17" s="5"/>
      <c r="T17" s="19"/>
      <c r="U17" s="1">
        <f t="shared" si="5"/>
        <v>47.171052631578952</v>
      </c>
      <c r="V17" s="1">
        <f t="shared" si="4"/>
        <v>47.171052631578952</v>
      </c>
      <c r="W17" s="1">
        <v>37.200000000000003</v>
      </c>
      <c r="X17" s="1">
        <v>50.4</v>
      </c>
      <c r="Y17" s="1">
        <v>33.799999999999997</v>
      </c>
      <c r="Z17" s="1">
        <v>43</v>
      </c>
      <c r="AA17" s="1">
        <v>35.4</v>
      </c>
      <c r="AB17" s="1">
        <v>38.799999999999997</v>
      </c>
      <c r="AC17" s="1">
        <v>30.8</v>
      </c>
      <c r="AD17" s="1">
        <v>20.6</v>
      </c>
      <c r="AE17" s="1">
        <v>48</v>
      </c>
      <c r="AF17" s="1">
        <v>52.8</v>
      </c>
      <c r="AG17" s="1"/>
      <c r="AH17" s="1">
        <f t="shared" si="6"/>
        <v>0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4" t="s">
        <v>50</v>
      </c>
      <c r="B18" s="1" t="s">
        <v>35</v>
      </c>
      <c r="C18" s="1">
        <v>30</v>
      </c>
      <c r="D18" s="1">
        <v>9</v>
      </c>
      <c r="E18" s="1">
        <v>10</v>
      </c>
      <c r="F18" s="1">
        <v>19</v>
      </c>
      <c r="G18" s="7">
        <v>0.14000000000000001</v>
      </c>
      <c r="H18" s="1">
        <v>180</v>
      </c>
      <c r="I18" s="1"/>
      <c r="J18" s="1"/>
      <c r="K18" s="1">
        <v>10</v>
      </c>
      <c r="L18" s="1">
        <f t="shared" si="2"/>
        <v>0</v>
      </c>
      <c r="M18" s="1"/>
      <c r="N18" s="1"/>
      <c r="O18" s="1">
        <v>16</v>
      </c>
      <c r="P18" s="1">
        <f t="shared" si="3"/>
        <v>2</v>
      </c>
      <c r="Q18" s="5"/>
      <c r="R18" s="5">
        <v>30</v>
      </c>
      <c r="S18" s="5">
        <f>VLOOKUP(A18,заказ!A:B,2,0)</f>
        <v>32</v>
      </c>
      <c r="T18" s="19">
        <f>VLOOKUP(A18,[1]Sheet!$A:$R,18,0)</f>
        <v>50</v>
      </c>
      <c r="U18" s="1">
        <f t="shared" si="5"/>
        <v>32.5</v>
      </c>
      <c r="V18" s="1">
        <f t="shared" si="4"/>
        <v>17.5</v>
      </c>
      <c r="W18" s="1">
        <v>2.6</v>
      </c>
      <c r="X18" s="1">
        <v>0.4</v>
      </c>
      <c r="Y18" s="1">
        <v>3</v>
      </c>
      <c r="Z18" s="1">
        <v>5.8</v>
      </c>
      <c r="AA18" s="1">
        <v>2.8</v>
      </c>
      <c r="AB18" s="1">
        <v>3.6</v>
      </c>
      <c r="AC18" s="1">
        <v>0.8</v>
      </c>
      <c r="AD18" s="1">
        <v>3.8</v>
      </c>
      <c r="AE18" s="1">
        <v>3.8</v>
      </c>
      <c r="AF18" s="1">
        <v>2.2000000000000002</v>
      </c>
      <c r="AG18" s="1"/>
      <c r="AH18" s="1">
        <f t="shared" si="6"/>
        <v>4.2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4" t="s">
        <v>51</v>
      </c>
      <c r="B19" s="1" t="s">
        <v>35</v>
      </c>
      <c r="C19" s="1">
        <v>-3</v>
      </c>
      <c r="D19" s="1">
        <v>51</v>
      </c>
      <c r="E19" s="1">
        <v>18</v>
      </c>
      <c r="F19" s="1">
        <v>11</v>
      </c>
      <c r="G19" s="7">
        <v>0.18</v>
      </c>
      <c r="H19" s="1">
        <v>270</v>
      </c>
      <c r="I19" s="1"/>
      <c r="J19" s="1"/>
      <c r="K19" s="1">
        <v>34</v>
      </c>
      <c r="L19" s="1">
        <f t="shared" si="2"/>
        <v>-16</v>
      </c>
      <c r="M19" s="1"/>
      <c r="N19" s="1"/>
      <c r="O19" s="1">
        <v>144</v>
      </c>
      <c r="P19" s="1">
        <f t="shared" si="3"/>
        <v>3.6</v>
      </c>
      <c r="Q19" s="5"/>
      <c r="R19" s="5">
        <v>40</v>
      </c>
      <c r="S19" s="5">
        <f>VLOOKUP(A19,заказ!A:B,2,0)</f>
        <v>32</v>
      </c>
      <c r="T19" s="19">
        <f>VLOOKUP(A19,[1]Sheet!$A:$R,18,0)</f>
        <v>50</v>
      </c>
      <c r="U19" s="1">
        <f t="shared" si="5"/>
        <v>54.166666666666664</v>
      </c>
      <c r="V19" s="1">
        <f t="shared" si="4"/>
        <v>43.055555555555557</v>
      </c>
      <c r="W19" s="1">
        <v>10</v>
      </c>
      <c r="X19" s="1">
        <v>4.5999999999999996</v>
      </c>
      <c r="Y19" s="1">
        <v>0.4</v>
      </c>
      <c r="Z19" s="1">
        <v>14.8</v>
      </c>
      <c r="AA19" s="1">
        <v>1</v>
      </c>
      <c r="AB19" s="1">
        <v>3.2</v>
      </c>
      <c r="AC19" s="1">
        <v>11</v>
      </c>
      <c r="AD19" s="1">
        <v>2.6</v>
      </c>
      <c r="AE19" s="1">
        <v>0</v>
      </c>
      <c r="AF19" s="1">
        <v>5.2</v>
      </c>
      <c r="AG19" s="1"/>
      <c r="AH19" s="1">
        <f t="shared" si="6"/>
        <v>7.1999999999999993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4" t="s">
        <v>52</v>
      </c>
      <c r="B20" s="1" t="s">
        <v>35</v>
      </c>
      <c r="C20" s="1"/>
      <c r="D20" s="1">
        <v>192</v>
      </c>
      <c r="E20" s="1">
        <v>29</v>
      </c>
      <c r="F20" s="1">
        <v>163</v>
      </c>
      <c r="G20" s="7">
        <v>0.18</v>
      </c>
      <c r="H20" s="1">
        <v>270</v>
      </c>
      <c r="I20" s="1"/>
      <c r="J20" s="1"/>
      <c r="K20" s="1">
        <v>33</v>
      </c>
      <c r="L20" s="1">
        <f t="shared" si="2"/>
        <v>-4</v>
      </c>
      <c r="M20" s="1"/>
      <c r="N20" s="1"/>
      <c r="O20" s="1">
        <v>48</v>
      </c>
      <c r="P20" s="1">
        <f t="shared" si="3"/>
        <v>5.8</v>
      </c>
      <c r="Q20" s="5"/>
      <c r="R20" s="5">
        <f t="shared" si="7"/>
        <v>0</v>
      </c>
      <c r="S20" s="5"/>
      <c r="T20" s="19"/>
      <c r="U20" s="1">
        <f t="shared" si="5"/>
        <v>36.379310344827587</v>
      </c>
      <c r="V20" s="1">
        <f t="shared" si="4"/>
        <v>36.379310344827587</v>
      </c>
      <c r="W20" s="1">
        <v>14</v>
      </c>
      <c r="X20" s="1">
        <v>12.2</v>
      </c>
      <c r="Y20" s="1">
        <v>3.4</v>
      </c>
      <c r="Z20" s="1">
        <v>12.4</v>
      </c>
      <c r="AA20" s="1">
        <v>12.2</v>
      </c>
      <c r="AB20" s="1">
        <v>8</v>
      </c>
      <c r="AC20" s="1">
        <v>9.6</v>
      </c>
      <c r="AD20" s="1">
        <v>11</v>
      </c>
      <c r="AE20" s="1">
        <v>7.4</v>
      </c>
      <c r="AF20" s="1">
        <v>13</v>
      </c>
      <c r="AG20" s="1"/>
      <c r="AH20" s="1">
        <f t="shared" si="6"/>
        <v>0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4" t="s">
        <v>53</v>
      </c>
      <c r="B21" s="1" t="s">
        <v>35</v>
      </c>
      <c r="C21" s="1">
        <v>39</v>
      </c>
      <c r="D21" s="1"/>
      <c r="E21" s="1">
        <v>2</v>
      </c>
      <c r="F21" s="1"/>
      <c r="G21" s="7">
        <v>0.1</v>
      </c>
      <c r="H21" s="1">
        <v>60</v>
      </c>
      <c r="I21" s="1"/>
      <c r="J21" s="1"/>
      <c r="K21" s="1">
        <v>6</v>
      </c>
      <c r="L21" s="1">
        <f t="shared" si="2"/>
        <v>-4</v>
      </c>
      <c r="M21" s="1"/>
      <c r="N21" s="1"/>
      <c r="O21" s="1">
        <v>16</v>
      </c>
      <c r="P21" s="1">
        <f t="shared" si="3"/>
        <v>0.4</v>
      </c>
      <c r="Q21" s="5">
        <v>8</v>
      </c>
      <c r="R21" s="5">
        <v>40</v>
      </c>
      <c r="S21" s="5">
        <f>VLOOKUP(A21,заказ!A:B,2,0)</f>
        <v>40</v>
      </c>
      <c r="T21" s="19">
        <f>VLOOKUP(A21,[1]Sheet!$A:$R,18,0)</f>
        <v>50</v>
      </c>
      <c r="U21" s="1">
        <f t="shared" si="5"/>
        <v>140</v>
      </c>
      <c r="V21" s="1">
        <f t="shared" si="4"/>
        <v>40</v>
      </c>
      <c r="W21" s="1">
        <v>3.8</v>
      </c>
      <c r="X21" s="1">
        <v>-0.4</v>
      </c>
      <c r="Y21" s="1">
        <v>1.8</v>
      </c>
      <c r="Z21" s="1">
        <v>2</v>
      </c>
      <c r="AA21" s="1">
        <v>2.4</v>
      </c>
      <c r="AB21" s="1">
        <v>4</v>
      </c>
      <c r="AC21" s="1">
        <v>2.6</v>
      </c>
      <c r="AD21" s="1">
        <v>-0.6</v>
      </c>
      <c r="AE21" s="1">
        <v>4.5999999999999996</v>
      </c>
      <c r="AF21" s="1">
        <v>9.1999999999999993</v>
      </c>
      <c r="AG21" s="1"/>
      <c r="AH21" s="1">
        <f t="shared" si="6"/>
        <v>4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4" t="s">
        <v>54</v>
      </c>
      <c r="B22" s="1" t="s">
        <v>35</v>
      </c>
      <c r="C22" s="1">
        <v>476</v>
      </c>
      <c r="D22" s="1">
        <v>810</v>
      </c>
      <c r="E22" s="1">
        <v>585</v>
      </c>
      <c r="F22" s="1">
        <v>591</v>
      </c>
      <c r="G22" s="7">
        <v>0.18</v>
      </c>
      <c r="H22" s="1">
        <v>180</v>
      </c>
      <c r="I22" s="1"/>
      <c r="J22" s="1"/>
      <c r="K22" s="1">
        <v>608</v>
      </c>
      <c r="L22" s="1">
        <f t="shared" si="2"/>
        <v>-23</v>
      </c>
      <c r="M22" s="1"/>
      <c r="N22" s="1"/>
      <c r="O22" s="1">
        <v>1000</v>
      </c>
      <c r="P22" s="1">
        <f t="shared" si="3"/>
        <v>117</v>
      </c>
      <c r="Q22" s="5">
        <f t="shared" ref="Q22" si="8">18*P22-O22-F22</f>
        <v>515</v>
      </c>
      <c r="R22" s="5">
        <v>1200</v>
      </c>
      <c r="S22" s="5">
        <f>VLOOKUP(A22,заказ!A:B,2,0)</f>
        <v>1200</v>
      </c>
      <c r="T22" s="19">
        <f>VLOOKUP(A22,[1]Sheet!$A:$R,18,0)</f>
        <v>1500</v>
      </c>
      <c r="U22" s="1">
        <f t="shared" si="5"/>
        <v>23.854700854700855</v>
      </c>
      <c r="V22" s="1">
        <f t="shared" si="4"/>
        <v>13.598290598290598</v>
      </c>
      <c r="W22" s="1">
        <v>117.2</v>
      </c>
      <c r="X22" s="1">
        <v>40</v>
      </c>
      <c r="Y22" s="1">
        <v>85.8</v>
      </c>
      <c r="Z22" s="1">
        <v>89.8</v>
      </c>
      <c r="AA22" s="1">
        <v>60.2</v>
      </c>
      <c r="AB22" s="1">
        <v>74.599999999999994</v>
      </c>
      <c r="AC22" s="1">
        <v>55.2</v>
      </c>
      <c r="AD22" s="1">
        <v>65.8</v>
      </c>
      <c r="AE22" s="1">
        <v>79</v>
      </c>
      <c r="AF22" s="1">
        <v>93</v>
      </c>
      <c r="AG22" s="1"/>
      <c r="AH22" s="1">
        <f t="shared" si="6"/>
        <v>216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4" t="s">
        <v>55</v>
      </c>
      <c r="B23" s="1" t="s">
        <v>35</v>
      </c>
      <c r="C23" s="1">
        <v>-8</v>
      </c>
      <c r="D23" s="1">
        <v>844</v>
      </c>
      <c r="E23" s="1">
        <v>251</v>
      </c>
      <c r="F23" s="1">
        <v>466</v>
      </c>
      <c r="G23" s="7">
        <v>0.18</v>
      </c>
      <c r="H23" s="1">
        <v>180</v>
      </c>
      <c r="I23" s="1"/>
      <c r="J23" s="1"/>
      <c r="K23" s="1">
        <v>476</v>
      </c>
      <c r="L23" s="1">
        <f t="shared" si="2"/>
        <v>-225</v>
      </c>
      <c r="M23" s="1"/>
      <c r="N23" s="1"/>
      <c r="O23" s="1">
        <v>1000</v>
      </c>
      <c r="P23" s="1">
        <f t="shared" si="3"/>
        <v>50.2</v>
      </c>
      <c r="Q23" s="5">
        <v>200</v>
      </c>
      <c r="R23" s="5">
        <v>1000</v>
      </c>
      <c r="S23" s="5">
        <f>VLOOKUP(A23,заказ!A:B,2,0)</f>
        <v>1000</v>
      </c>
      <c r="T23" s="19">
        <f>VLOOKUP(A23,[1]Sheet!$A:$R,18,0)</f>
        <v>1500</v>
      </c>
      <c r="U23" s="1">
        <f t="shared" si="5"/>
        <v>49.123505976095615</v>
      </c>
      <c r="V23" s="1">
        <f t="shared" si="4"/>
        <v>29.203187250996013</v>
      </c>
      <c r="W23" s="1">
        <v>84.2</v>
      </c>
      <c r="X23" s="1">
        <v>38.4</v>
      </c>
      <c r="Y23" s="1">
        <v>42</v>
      </c>
      <c r="Z23" s="1">
        <v>110</v>
      </c>
      <c r="AA23" s="1">
        <v>7.4</v>
      </c>
      <c r="AB23" s="1">
        <v>1.6</v>
      </c>
      <c r="AC23" s="1">
        <v>330.4</v>
      </c>
      <c r="AD23" s="1">
        <v>83.4</v>
      </c>
      <c r="AE23" s="1">
        <v>102.2</v>
      </c>
      <c r="AF23" s="1">
        <v>110.8</v>
      </c>
      <c r="AG23" s="1" t="s">
        <v>56</v>
      </c>
      <c r="AH23" s="1">
        <f t="shared" si="6"/>
        <v>180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4" t="s">
        <v>57</v>
      </c>
      <c r="B24" s="1" t="s">
        <v>35</v>
      </c>
      <c r="C24" s="1">
        <v>20</v>
      </c>
      <c r="D24" s="1">
        <v>16</v>
      </c>
      <c r="E24" s="1">
        <v>5</v>
      </c>
      <c r="F24" s="1">
        <v>16</v>
      </c>
      <c r="G24" s="7">
        <v>0.4</v>
      </c>
      <c r="H24" s="1">
        <v>270</v>
      </c>
      <c r="I24" s="1"/>
      <c r="J24" s="1"/>
      <c r="K24" s="1">
        <v>5</v>
      </c>
      <c r="L24" s="1">
        <f t="shared" si="2"/>
        <v>0</v>
      </c>
      <c r="M24" s="1"/>
      <c r="N24" s="1"/>
      <c r="O24" s="1"/>
      <c r="P24" s="1">
        <f t="shared" si="3"/>
        <v>1</v>
      </c>
      <c r="Q24" s="5"/>
      <c r="R24" s="5">
        <f t="shared" si="7"/>
        <v>0</v>
      </c>
      <c r="S24" s="5"/>
      <c r="T24" s="19"/>
      <c r="U24" s="1">
        <f t="shared" si="5"/>
        <v>16</v>
      </c>
      <c r="V24" s="1">
        <f t="shared" si="4"/>
        <v>16</v>
      </c>
      <c r="W24" s="1">
        <v>1.4</v>
      </c>
      <c r="X24" s="1">
        <v>0.2</v>
      </c>
      <c r="Y24" s="1">
        <v>1.2</v>
      </c>
      <c r="Z24" s="1">
        <v>1.2</v>
      </c>
      <c r="AA24" s="1">
        <v>1</v>
      </c>
      <c r="AB24" s="1">
        <v>-0.2</v>
      </c>
      <c r="AC24" s="1">
        <v>1.2</v>
      </c>
      <c r="AD24" s="1">
        <v>0.6</v>
      </c>
      <c r="AE24" s="1">
        <v>1</v>
      </c>
      <c r="AF24" s="1">
        <v>3.2</v>
      </c>
      <c r="AG24" s="1"/>
      <c r="AH24" s="1">
        <f t="shared" si="6"/>
        <v>0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4" t="s">
        <v>59</v>
      </c>
      <c r="B25" s="1" t="s">
        <v>35</v>
      </c>
      <c r="C25" s="1">
        <v>82</v>
      </c>
      <c r="D25" s="1"/>
      <c r="E25" s="1">
        <v>1</v>
      </c>
      <c r="F25" s="1">
        <v>79</v>
      </c>
      <c r="G25" s="7">
        <v>0.4</v>
      </c>
      <c r="H25" s="1">
        <v>270</v>
      </c>
      <c r="I25" s="1"/>
      <c r="J25" s="1"/>
      <c r="K25" s="1">
        <v>1</v>
      </c>
      <c r="L25" s="1">
        <f t="shared" si="2"/>
        <v>0</v>
      </c>
      <c r="M25" s="1"/>
      <c r="N25" s="1"/>
      <c r="O25" s="1"/>
      <c r="P25" s="1">
        <f t="shared" si="3"/>
        <v>0.2</v>
      </c>
      <c r="Q25" s="5"/>
      <c r="R25" s="5">
        <f t="shared" si="7"/>
        <v>0</v>
      </c>
      <c r="S25" s="5"/>
      <c r="T25" s="19"/>
      <c r="U25" s="1">
        <f t="shared" si="5"/>
        <v>395</v>
      </c>
      <c r="V25" s="1">
        <f t="shared" si="4"/>
        <v>395</v>
      </c>
      <c r="W25" s="1">
        <v>0</v>
      </c>
      <c r="X25" s="1">
        <v>0.4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6" t="s">
        <v>58</v>
      </c>
      <c r="AH25" s="1">
        <f t="shared" si="6"/>
        <v>0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4" t="s">
        <v>60</v>
      </c>
      <c r="B26" s="1" t="s">
        <v>35</v>
      </c>
      <c r="C26" s="1">
        <v>82</v>
      </c>
      <c r="D26" s="1">
        <v>48</v>
      </c>
      <c r="E26" s="1">
        <v>2</v>
      </c>
      <c r="F26" s="1">
        <v>114</v>
      </c>
      <c r="G26" s="7">
        <v>0.18</v>
      </c>
      <c r="H26" s="1">
        <v>270</v>
      </c>
      <c r="I26" s="1"/>
      <c r="J26" s="1"/>
      <c r="K26" s="1">
        <v>12</v>
      </c>
      <c r="L26" s="1">
        <f t="shared" si="2"/>
        <v>-10</v>
      </c>
      <c r="M26" s="1"/>
      <c r="N26" s="1"/>
      <c r="O26" s="1"/>
      <c r="P26" s="1">
        <f t="shared" si="3"/>
        <v>0.4</v>
      </c>
      <c r="Q26" s="5"/>
      <c r="R26" s="5">
        <f t="shared" si="7"/>
        <v>0</v>
      </c>
      <c r="S26" s="5"/>
      <c r="T26" s="19"/>
      <c r="U26" s="1">
        <f t="shared" si="5"/>
        <v>285</v>
      </c>
      <c r="V26" s="1">
        <f t="shared" si="4"/>
        <v>285</v>
      </c>
      <c r="W26" s="1">
        <v>0.6</v>
      </c>
      <c r="X26" s="1">
        <v>1.8</v>
      </c>
      <c r="Y26" s="1">
        <v>0.4</v>
      </c>
      <c r="Z26" s="1">
        <v>3.2</v>
      </c>
      <c r="AA26" s="1">
        <v>0.2</v>
      </c>
      <c r="AB26" s="1">
        <v>19.600000000000001</v>
      </c>
      <c r="AC26" s="1">
        <v>1.4</v>
      </c>
      <c r="AD26" s="1">
        <v>1</v>
      </c>
      <c r="AE26" s="1">
        <v>0.2</v>
      </c>
      <c r="AF26" s="1">
        <v>2.8</v>
      </c>
      <c r="AG26" s="16" t="s">
        <v>58</v>
      </c>
      <c r="AH26" s="1">
        <f t="shared" si="6"/>
        <v>0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4" t="s">
        <v>61</v>
      </c>
      <c r="B27" s="1" t="s">
        <v>35</v>
      </c>
      <c r="C27" s="1"/>
      <c r="D27" s="1"/>
      <c r="E27" s="1"/>
      <c r="F27" s="1"/>
      <c r="G27" s="7">
        <v>0.2</v>
      </c>
      <c r="H27" s="1">
        <v>120</v>
      </c>
      <c r="I27" s="1"/>
      <c r="J27" s="1"/>
      <c r="K27" s="1"/>
      <c r="L27" s="1">
        <f t="shared" si="2"/>
        <v>0</v>
      </c>
      <c r="M27" s="1"/>
      <c r="N27" s="1"/>
      <c r="O27" s="1"/>
      <c r="P27" s="1">
        <f t="shared" si="3"/>
        <v>0</v>
      </c>
      <c r="Q27" s="5">
        <v>10</v>
      </c>
      <c r="R27" s="5">
        <v>50</v>
      </c>
      <c r="S27" s="5">
        <f>VLOOKUP(A27,заказ!A:B,2,0)</f>
        <v>48</v>
      </c>
      <c r="T27" s="19">
        <f>VLOOKUP(A27,[1]Sheet!$A:$R,18,0)</f>
        <v>200</v>
      </c>
      <c r="U27" s="1" t="e">
        <f t="shared" si="5"/>
        <v>#DIV/0!</v>
      </c>
      <c r="V27" s="1" t="e">
        <f t="shared" si="4"/>
        <v>#DIV/0!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 t="s">
        <v>62</v>
      </c>
      <c r="AH27" s="1">
        <f t="shared" si="6"/>
        <v>10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0" t="s">
        <v>63</v>
      </c>
      <c r="B28" s="10" t="s">
        <v>39</v>
      </c>
      <c r="C28" s="10"/>
      <c r="D28" s="10"/>
      <c r="E28" s="10"/>
      <c r="F28" s="10"/>
      <c r="G28" s="11">
        <v>0</v>
      </c>
      <c r="H28" s="10">
        <v>180</v>
      </c>
      <c r="I28" s="10"/>
      <c r="J28" s="10"/>
      <c r="K28" s="10"/>
      <c r="L28" s="10">
        <f t="shared" si="2"/>
        <v>0</v>
      </c>
      <c r="M28" s="10"/>
      <c r="N28" s="10"/>
      <c r="O28" s="10"/>
      <c r="P28" s="10">
        <f t="shared" si="3"/>
        <v>0</v>
      </c>
      <c r="Q28" s="12"/>
      <c r="R28" s="5">
        <f t="shared" si="7"/>
        <v>0</v>
      </c>
      <c r="S28" s="5"/>
      <c r="T28" s="19"/>
      <c r="U28" s="1" t="e">
        <f t="shared" si="5"/>
        <v>#DIV/0!</v>
      </c>
      <c r="V28" s="10" t="e">
        <f t="shared" si="4"/>
        <v>#DIV/0!</v>
      </c>
      <c r="W28" s="10">
        <v>0</v>
      </c>
      <c r="X28" s="10">
        <v>0</v>
      </c>
      <c r="Y28" s="10">
        <v>0</v>
      </c>
      <c r="Z28" s="10">
        <v>-0.36159999999999998</v>
      </c>
      <c r="AA28" s="10">
        <v>0</v>
      </c>
      <c r="AB28" s="10">
        <v>0</v>
      </c>
      <c r="AC28" s="10">
        <v>0</v>
      </c>
      <c r="AD28" s="10">
        <v>0</v>
      </c>
      <c r="AE28" s="10">
        <v>0.46300000000000002</v>
      </c>
      <c r="AF28" s="10">
        <v>0.88900000000000001</v>
      </c>
      <c r="AG28" s="10" t="s">
        <v>64</v>
      </c>
      <c r="AH28" s="1">
        <f t="shared" si="6"/>
        <v>0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4" t="s">
        <v>65</v>
      </c>
      <c r="B29" s="1" t="s">
        <v>39</v>
      </c>
      <c r="C29" s="1">
        <v>60.585000000000001</v>
      </c>
      <c r="D29" s="1"/>
      <c r="E29" s="1"/>
      <c r="F29" s="1">
        <v>48.97</v>
      </c>
      <c r="G29" s="7">
        <v>1</v>
      </c>
      <c r="H29" s="1">
        <v>180</v>
      </c>
      <c r="I29" s="1"/>
      <c r="J29" s="1"/>
      <c r="K29" s="1"/>
      <c r="L29" s="1">
        <f t="shared" si="2"/>
        <v>0</v>
      </c>
      <c r="M29" s="1"/>
      <c r="N29" s="1"/>
      <c r="O29" s="1"/>
      <c r="P29" s="1">
        <f t="shared" si="3"/>
        <v>0</v>
      </c>
      <c r="Q29" s="5"/>
      <c r="R29" s="5">
        <f t="shared" si="7"/>
        <v>0</v>
      </c>
      <c r="S29" s="5"/>
      <c r="T29" s="19">
        <f>VLOOKUP(A29,[1]Sheet!$A:$R,18,0)</f>
        <v>100</v>
      </c>
      <c r="U29" s="1" t="e">
        <f t="shared" si="5"/>
        <v>#DIV/0!</v>
      </c>
      <c r="V29" s="1" t="e">
        <f t="shared" si="4"/>
        <v>#DIV/0!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6" t="s">
        <v>58</v>
      </c>
      <c r="AH29" s="1">
        <f t="shared" si="6"/>
        <v>0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4" t="s">
        <v>66</v>
      </c>
      <c r="B30" s="1" t="s">
        <v>35</v>
      </c>
      <c r="C30" s="1"/>
      <c r="D30" s="1"/>
      <c r="E30" s="1"/>
      <c r="F30" s="1"/>
      <c r="G30" s="7">
        <v>0.18</v>
      </c>
      <c r="H30" s="1">
        <v>150</v>
      </c>
      <c r="I30" s="1"/>
      <c r="J30" s="1"/>
      <c r="K30" s="1">
        <v>11</v>
      </c>
      <c r="L30" s="1">
        <f t="shared" si="2"/>
        <v>-11</v>
      </c>
      <c r="M30" s="1"/>
      <c r="N30" s="1"/>
      <c r="O30" s="1">
        <v>78</v>
      </c>
      <c r="P30" s="1">
        <f t="shared" si="3"/>
        <v>0</v>
      </c>
      <c r="Q30" s="5"/>
      <c r="R30" s="5">
        <v>100</v>
      </c>
      <c r="S30" s="5">
        <f>VLOOKUP(A30,заказ!A:B,2,0)</f>
        <v>102</v>
      </c>
      <c r="T30" s="19">
        <f>VLOOKUP(A30,[1]Sheet!$A:$R,18,0)</f>
        <v>150</v>
      </c>
      <c r="U30" s="1" t="e">
        <f t="shared" si="5"/>
        <v>#DIV/0!</v>
      </c>
      <c r="V30" s="1" t="e">
        <f t="shared" si="4"/>
        <v>#DIV/0!</v>
      </c>
      <c r="W30" s="1">
        <v>0</v>
      </c>
      <c r="X30" s="1">
        <v>-0.4</v>
      </c>
      <c r="Y30" s="1">
        <v>-0.8</v>
      </c>
      <c r="Z30" s="1">
        <v>0</v>
      </c>
      <c r="AA30" s="1">
        <v>0</v>
      </c>
      <c r="AB30" s="1">
        <v>2.8</v>
      </c>
      <c r="AC30" s="1">
        <v>4.8</v>
      </c>
      <c r="AD30" s="1">
        <v>8.4</v>
      </c>
      <c r="AE30" s="1">
        <v>7.2</v>
      </c>
      <c r="AF30" s="1">
        <v>12</v>
      </c>
      <c r="AG30" s="1" t="s">
        <v>67</v>
      </c>
      <c r="AH30" s="1">
        <f t="shared" si="6"/>
        <v>18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4" t="s">
        <v>68</v>
      </c>
      <c r="B31" s="1" t="s">
        <v>35</v>
      </c>
      <c r="C31" s="1">
        <v>95</v>
      </c>
      <c r="D31" s="1">
        <v>121</v>
      </c>
      <c r="E31" s="1">
        <v>45</v>
      </c>
      <c r="F31" s="1">
        <v>50</v>
      </c>
      <c r="G31" s="7">
        <v>0.1</v>
      </c>
      <c r="H31" s="1">
        <v>90</v>
      </c>
      <c r="I31" s="1"/>
      <c r="J31" s="1"/>
      <c r="K31" s="1">
        <v>45</v>
      </c>
      <c r="L31" s="1">
        <f t="shared" si="2"/>
        <v>0</v>
      </c>
      <c r="M31" s="1"/>
      <c r="N31" s="1"/>
      <c r="O31" s="1"/>
      <c r="P31" s="1">
        <f t="shared" si="3"/>
        <v>9</v>
      </c>
      <c r="Q31" s="5">
        <f t="shared" ref="Q31:Q49" si="9">18*P31-O31-F31</f>
        <v>112</v>
      </c>
      <c r="R31" s="5">
        <f t="shared" si="7"/>
        <v>112</v>
      </c>
      <c r="S31" s="5">
        <f>VLOOKUP(A31,заказ!A:B,2,0)</f>
        <v>112</v>
      </c>
      <c r="T31" s="19"/>
      <c r="U31" s="1">
        <f t="shared" si="5"/>
        <v>18</v>
      </c>
      <c r="V31" s="1">
        <f t="shared" si="4"/>
        <v>5.5555555555555554</v>
      </c>
      <c r="W31" s="1">
        <v>7.8</v>
      </c>
      <c r="X31" s="1">
        <v>7.2</v>
      </c>
      <c r="Y31" s="1">
        <v>21.4</v>
      </c>
      <c r="Z31" s="1">
        <v>16.2</v>
      </c>
      <c r="AA31" s="1">
        <v>9</v>
      </c>
      <c r="AB31" s="1">
        <v>9.1999999999999993</v>
      </c>
      <c r="AC31" s="1">
        <v>12.4</v>
      </c>
      <c r="AD31" s="1">
        <v>18.600000000000001</v>
      </c>
      <c r="AE31" s="1">
        <v>6</v>
      </c>
      <c r="AF31" s="1">
        <v>16</v>
      </c>
      <c r="AG31" s="1"/>
      <c r="AH31" s="1">
        <f t="shared" si="6"/>
        <v>11.200000000000001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4" t="s">
        <v>69</v>
      </c>
      <c r="B32" s="1" t="s">
        <v>35</v>
      </c>
      <c r="C32" s="1">
        <v>191</v>
      </c>
      <c r="D32" s="1">
        <v>248</v>
      </c>
      <c r="E32" s="1">
        <v>82</v>
      </c>
      <c r="F32" s="1">
        <v>268</v>
      </c>
      <c r="G32" s="7">
        <v>0.1</v>
      </c>
      <c r="H32" s="1">
        <v>60</v>
      </c>
      <c r="I32" s="1"/>
      <c r="J32" s="1"/>
      <c r="K32" s="1">
        <v>67</v>
      </c>
      <c r="L32" s="1">
        <f t="shared" si="2"/>
        <v>15</v>
      </c>
      <c r="M32" s="1"/>
      <c r="N32" s="1"/>
      <c r="O32" s="1"/>
      <c r="P32" s="1">
        <f t="shared" si="3"/>
        <v>16.399999999999999</v>
      </c>
      <c r="Q32" s="5">
        <f t="shared" si="9"/>
        <v>27.199999999999989</v>
      </c>
      <c r="R32" s="5">
        <v>80</v>
      </c>
      <c r="S32" s="5">
        <f>VLOOKUP(A32,заказ!A:B,2,0)</f>
        <v>80</v>
      </c>
      <c r="T32" s="19">
        <f>VLOOKUP(A32,[1]Sheet!$A:$R,18,0)</f>
        <v>100</v>
      </c>
      <c r="U32" s="1">
        <f t="shared" si="5"/>
        <v>21.219512195121954</v>
      </c>
      <c r="V32" s="1">
        <f t="shared" si="4"/>
        <v>16.341463414634148</v>
      </c>
      <c r="W32" s="1">
        <v>17.399999999999999</v>
      </c>
      <c r="X32" s="1">
        <v>30.8</v>
      </c>
      <c r="Y32" s="1">
        <v>13.6</v>
      </c>
      <c r="Z32" s="1">
        <v>37.200000000000003</v>
      </c>
      <c r="AA32" s="1">
        <v>35.4</v>
      </c>
      <c r="AB32" s="1">
        <v>27</v>
      </c>
      <c r="AC32" s="1">
        <v>16.2</v>
      </c>
      <c r="AD32" s="1">
        <v>21.6</v>
      </c>
      <c r="AE32" s="1">
        <v>43.4</v>
      </c>
      <c r="AF32" s="1">
        <v>29.8</v>
      </c>
      <c r="AG32" s="1"/>
      <c r="AH32" s="1">
        <f t="shared" si="6"/>
        <v>8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4" t="s">
        <v>70</v>
      </c>
      <c r="B33" s="1" t="s">
        <v>35</v>
      </c>
      <c r="C33" s="1">
        <v>16</v>
      </c>
      <c r="D33" s="1">
        <v>363</v>
      </c>
      <c r="E33" s="1">
        <v>68</v>
      </c>
      <c r="F33" s="1">
        <v>291</v>
      </c>
      <c r="G33" s="7">
        <v>0.1</v>
      </c>
      <c r="H33" s="1">
        <v>90</v>
      </c>
      <c r="I33" s="1"/>
      <c r="J33" s="1"/>
      <c r="K33" s="1">
        <v>75</v>
      </c>
      <c r="L33" s="1">
        <f t="shared" si="2"/>
        <v>-7</v>
      </c>
      <c r="M33" s="1"/>
      <c r="N33" s="1"/>
      <c r="O33" s="1">
        <v>48</v>
      </c>
      <c r="P33" s="1">
        <f t="shared" si="3"/>
        <v>13.6</v>
      </c>
      <c r="Q33" s="5"/>
      <c r="R33" s="5">
        <v>50</v>
      </c>
      <c r="S33" s="5">
        <f>VLOOKUP(A33,заказ!A:B,2,0)</f>
        <v>48</v>
      </c>
      <c r="T33" s="19">
        <f>VLOOKUP(A33,[1]Sheet!$A:$R,18,0)</f>
        <v>100</v>
      </c>
      <c r="U33" s="1">
        <f t="shared" si="5"/>
        <v>28.602941176470591</v>
      </c>
      <c r="V33" s="1">
        <f t="shared" si="4"/>
        <v>24.926470588235293</v>
      </c>
      <c r="W33" s="1">
        <v>14.4</v>
      </c>
      <c r="X33" s="1">
        <v>26</v>
      </c>
      <c r="Y33" s="1">
        <v>15.8</v>
      </c>
      <c r="Z33" s="1">
        <v>20.8</v>
      </c>
      <c r="AA33" s="1">
        <v>22.6</v>
      </c>
      <c r="AB33" s="1">
        <v>23.8</v>
      </c>
      <c r="AC33" s="1">
        <v>16.600000000000001</v>
      </c>
      <c r="AD33" s="1">
        <v>13.8</v>
      </c>
      <c r="AE33" s="1">
        <v>35.6</v>
      </c>
      <c r="AF33" s="1">
        <v>30.6</v>
      </c>
      <c r="AG33" s="1"/>
      <c r="AH33" s="1">
        <f t="shared" si="6"/>
        <v>5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4" t="s">
        <v>71</v>
      </c>
      <c r="B34" s="1" t="s">
        <v>35</v>
      </c>
      <c r="C34" s="1"/>
      <c r="D34" s="1"/>
      <c r="E34" s="1">
        <v>-1</v>
      </c>
      <c r="F34" s="1"/>
      <c r="G34" s="7">
        <v>0.18</v>
      </c>
      <c r="H34" s="1">
        <v>150</v>
      </c>
      <c r="I34" s="1"/>
      <c r="J34" s="1"/>
      <c r="K34" s="1">
        <v>23</v>
      </c>
      <c r="L34" s="1">
        <f t="shared" si="2"/>
        <v>-24</v>
      </c>
      <c r="M34" s="1"/>
      <c r="N34" s="1"/>
      <c r="O34" s="1">
        <v>200</v>
      </c>
      <c r="P34" s="1">
        <f t="shared" si="3"/>
        <v>-0.2</v>
      </c>
      <c r="Q34" s="5"/>
      <c r="R34" s="5">
        <v>100</v>
      </c>
      <c r="S34" s="5">
        <f>VLOOKUP(A34,заказ!A:B,2,0)</f>
        <v>100</v>
      </c>
      <c r="T34" s="19">
        <f>VLOOKUP(A34,[1]Sheet!$A:$R,18,0)</f>
        <v>150</v>
      </c>
      <c r="U34" s="1">
        <f t="shared" si="5"/>
        <v>-1500</v>
      </c>
      <c r="V34" s="1">
        <f t="shared" si="4"/>
        <v>-1000</v>
      </c>
      <c r="W34" s="1">
        <v>0</v>
      </c>
      <c r="X34" s="1">
        <v>-0.2</v>
      </c>
      <c r="Y34" s="1">
        <v>-1</v>
      </c>
      <c r="Z34" s="1">
        <v>-0.6</v>
      </c>
      <c r="AA34" s="1">
        <v>-0.8</v>
      </c>
      <c r="AB34" s="1">
        <v>-2.8</v>
      </c>
      <c r="AC34" s="1">
        <v>6</v>
      </c>
      <c r="AD34" s="1">
        <v>34.799999999999997</v>
      </c>
      <c r="AE34" s="1">
        <v>21.2</v>
      </c>
      <c r="AF34" s="1">
        <v>39.6</v>
      </c>
      <c r="AG34" s="1" t="s">
        <v>72</v>
      </c>
      <c r="AH34" s="1">
        <f t="shared" si="6"/>
        <v>18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4" t="s">
        <v>73</v>
      </c>
      <c r="B35" s="1" t="s">
        <v>35</v>
      </c>
      <c r="C35" s="1"/>
      <c r="D35" s="1">
        <v>600</v>
      </c>
      <c r="E35" s="1">
        <v>108</v>
      </c>
      <c r="F35" s="1">
        <v>482</v>
      </c>
      <c r="G35" s="7">
        <v>0.18</v>
      </c>
      <c r="H35" s="1">
        <v>150</v>
      </c>
      <c r="I35" s="1"/>
      <c r="J35" s="1"/>
      <c r="K35" s="1">
        <v>145</v>
      </c>
      <c r="L35" s="1">
        <f t="shared" si="2"/>
        <v>-37</v>
      </c>
      <c r="M35" s="1"/>
      <c r="N35" s="1"/>
      <c r="O35" s="1">
        <v>100</v>
      </c>
      <c r="P35" s="1">
        <f t="shared" si="3"/>
        <v>21.6</v>
      </c>
      <c r="Q35" s="5"/>
      <c r="R35" s="5">
        <f t="shared" si="7"/>
        <v>0</v>
      </c>
      <c r="S35" s="5"/>
      <c r="T35" s="19"/>
      <c r="U35" s="1">
        <f t="shared" si="5"/>
        <v>26.944444444444443</v>
      </c>
      <c r="V35" s="1">
        <f t="shared" si="4"/>
        <v>26.944444444444443</v>
      </c>
      <c r="W35" s="1">
        <v>13.4</v>
      </c>
      <c r="X35" s="1">
        <v>50.6</v>
      </c>
      <c r="Y35" s="1">
        <v>14.8</v>
      </c>
      <c r="Z35" s="1">
        <v>37.799999999999997</v>
      </c>
      <c r="AA35" s="1">
        <v>36.799999999999997</v>
      </c>
      <c r="AB35" s="1">
        <v>32</v>
      </c>
      <c r="AC35" s="1">
        <v>29.2</v>
      </c>
      <c r="AD35" s="1">
        <v>29.2</v>
      </c>
      <c r="AE35" s="1">
        <v>55.6</v>
      </c>
      <c r="AF35" s="1">
        <v>68</v>
      </c>
      <c r="AG35" s="1"/>
      <c r="AH35" s="1">
        <f t="shared" si="6"/>
        <v>0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4" t="s">
        <v>74</v>
      </c>
      <c r="B36" s="1" t="s">
        <v>35</v>
      </c>
      <c r="C36" s="1"/>
      <c r="D36" s="1">
        <v>50</v>
      </c>
      <c r="E36" s="1">
        <v>29</v>
      </c>
      <c r="F36" s="1">
        <v>18</v>
      </c>
      <c r="G36" s="7">
        <v>0.18</v>
      </c>
      <c r="H36" s="1">
        <v>150</v>
      </c>
      <c r="I36" s="1"/>
      <c r="J36" s="1"/>
      <c r="K36" s="1">
        <v>37</v>
      </c>
      <c r="L36" s="1">
        <f t="shared" si="2"/>
        <v>-8</v>
      </c>
      <c r="M36" s="1"/>
      <c r="N36" s="1"/>
      <c r="O36" s="1">
        <v>50</v>
      </c>
      <c r="P36" s="1">
        <f t="shared" si="3"/>
        <v>5.8</v>
      </c>
      <c r="Q36" s="5">
        <f t="shared" si="9"/>
        <v>36.399999999999991</v>
      </c>
      <c r="R36" s="5">
        <v>100</v>
      </c>
      <c r="S36" s="5">
        <f>VLOOKUP(A36,заказ!A:B,2,0)</f>
        <v>100</v>
      </c>
      <c r="T36" s="19">
        <f>VLOOKUP(A36,[1]Sheet!$A:$R,18,0)</f>
        <v>150</v>
      </c>
      <c r="U36" s="1">
        <f t="shared" si="5"/>
        <v>28.96551724137931</v>
      </c>
      <c r="V36" s="1">
        <f t="shared" si="4"/>
        <v>11.724137931034484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-0.2</v>
      </c>
      <c r="AD36" s="1">
        <v>0</v>
      </c>
      <c r="AE36" s="1">
        <v>0</v>
      </c>
      <c r="AF36" s="1">
        <v>0</v>
      </c>
      <c r="AG36" s="1" t="s">
        <v>75</v>
      </c>
      <c r="AH36" s="1">
        <f t="shared" si="6"/>
        <v>18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4" t="s">
        <v>76</v>
      </c>
      <c r="B37" s="1" t="s">
        <v>35</v>
      </c>
      <c r="C37" s="1">
        <v>-12</v>
      </c>
      <c r="D37" s="1">
        <v>15</v>
      </c>
      <c r="E37" s="1">
        <v>10</v>
      </c>
      <c r="F37" s="1"/>
      <c r="G37" s="7">
        <v>0.18</v>
      </c>
      <c r="H37" s="1">
        <v>150</v>
      </c>
      <c r="I37" s="1"/>
      <c r="J37" s="1"/>
      <c r="K37" s="1">
        <v>20</v>
      </c>
      <c r="L37" s="1">
        <f t="shared" si="2"/>
        <v>-10</v>
      </c>
      <c r="M37" s="1"/>
      <c r="N37" s="1"/>
      <c r="O37" s="1">
        <v>120</v>
      </c>
      <c r="P37" s="1">
        <f t="shared" si="3"/>
        <v>2</v>
      </c>
      <c r="Q37" s="5">
        <v>20</v>
      </c>
      <c r="R37" s="5">
        <v>100</v>
      </c>
      <c r="S37" s="5">
        <f>VLOOKUP(A37,заказ!A:B,2,0)</f>
        <v>100</v>
      </c>
      <c r="T37" s="19">
        <f>VLOOKUP(A37,[1]Sheet!$A:$R,18,0)</f>
        <v>120</v>
      </c>
      <c r="U37" s="1">
        <f t="shared" si="5"/>
        <v>110</v>
      </c>
      <c r="V37" s="1">
        <f t="shared" si="4"/>
        <v>60</v>
      </c>
      <c r="W37" s="1">
        <v>9.1999999999999993</v>
      </c>
      <c r="X37" s="1">
        <v>1</v>
      </c>
      <c r="Y37" s="1">
        <v>6.6</v>
      </c>
      <c r="Z37" s="1">
        <v>11.8</v>
      </c>
      <c r="AA37" s="1">
        <v>8</v>
      </c>
      <c r="AB37" s="1">
        <v>3.8</v>
      </c>
      <c r="AC37" s="1">
        <v>5</v>
      </c>
      <c r="AD37" s="1">
        <v>7.2</v>
      </c>
      <c r="AE37" s="1">
        <v>9</v>
      </c>
      <c r="AF37" s="1">
        <v>10.6</v>
      </c>
      <c r="AG37" s="1" t="s">
        <v>77</v>
      </c>
      <c r="AH37" s="1">
        <f t="shared" si="6"/>
        <v>18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4" t="s">
        <v>78</v>
      </c>
      <c r="B38" s="1" t="s">
        <v>35</v>
      </c>
      <c r="C38" s="1">
        <v>37</v>
      </c>
      <c r="D38" s="1">
        <v>471</v>
      </c>
      <c r="E38" s="1">
        <v>302</v>
      </c>
      <c r="F38" s="1">
        <v>106</v>
      </c>
      <c r="G38" s="7">
        <v>0.18</v>
      </c>
      <c r="H38" s="1">
        <v>150</v>
      </c>
      <c r="I38" s="1"/>
      <c r="J38" s="1"/>
      <c r="K38" s="1">
        <v>313</v>
      </c>
      <c r="L38" s="1">
        <f t="shared" ref="L38:L55" si="10">E38-K38</f>
        <v>-11</v>
      </c>
      <c r="M38" s="1"/>
      <c r="N38" s="1"/>
      <c r="O38" s="1">
        <v>500</v>
      </c>
      <c r="P38" s="1">
        <f t="shared" ref="P38:P55" si="11">E38/5</f>
        <v>60.4</v>
      </c>
      <c r="Q38" s="5">
        <f t="shared" si="9"/>
        <v>481.20000000000005</v>
      </c>
      <c r="R38" s="5">
        <v>600</v>
      </c>
      <c r="S38" s="5">
        <f>VLOOKUP(A38,заказ!A:B,2,0)</f>
        <v>600</v>
      </c>
      <c r="T38" s="19">
        <f>VLOOKUP(A38,[1]Sheet!$A:$R,18,0)</f>
        <v>600</v>
      </c>
      <c r="U38" s="1">
        <f t="shared" si="5"/>
        <v>19.966887417218544</v>
      </c>
      <c r="V38" s="1">
        <f t="shared" ref="V38:V55" si="12">(F38+O38)/P38</f>
        <v>10.033112582781458</v>
      </c>
      <c r="W38" s="1">
        <v>60.4</v>
      </c>
      <c r="X38" s="1">
        <v>47</v>
      </c>
      <c r="Y38" s="1">
        <v>29.4</v>
      </c>
      <c r="Z38" s="1">
        <v>71.8</v>
      </c>
      <c r="AA38" s="1">
        <v>65.8</v>
      </c>
      <c r="AB38" s="1">
        <v>47.8</v>
      </c>
      <c r="AC38" s="1">
        <v>28.6</v>
      </c>
      <c r="AD38" s="1">
        <v>50.4</v>
      </c>
      <c r="AE38" s="1">
        <v>52.6</v>
      </c>
      <c r="AF38" s="1">
        <v>88</v>
      </c>
      <c r="AG38" s="1"/>
      <c r="AH38" s="1">
        <f t="shared" si="6"/>
        <v>108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4" t="s">
        <v>79</v>
      </c>
      <c r="B39" s="1" t="s">
        <v>35</v>
      </c>
      <c r="C39" s="1">
        <v>88</v>
      </c>
      <c r="D39" s="1">
        <v>34</v>
      </c>
      <c r="E39" s="1">
        <v>84</v>
      </c>
      <c r="F39" s="1">
        <v>1</v>
      </c>
      <c r="G39" s="7">
        <v>0.18</v>
      </c>
      <c r="H39" s="1">
        <v>150</v>
      </c>
      <c r="I39" s="1"/>
      <c r="J39" s="1"/>
      <c r="K39" s="1">
        <v>138</v>
      </c>
      <c r="L39" s="1">
        <f t="shared" si="10"/>
        <v>-54</v>
      </c>
      <c r="M39" s="1"/>
      <c r="N39" s="1"/>
      <c r="O39" s="1">
        <v>200</v>
      </c>
      <c r="P39" s="1">
        <f t="shared" si="11"/>
        <v>16.8</v>
      </c>
      <c r="Q39" s="5">
        <f t="shared" si="9"/>
        <v>101.40000000000003</v>
      </c>
      <c r="R39" s="5">
        <v>200</v>
      </c>
      <c r="S39" s="5">
        <f>VLOOKUP(A39,заказ!A:B,2,0)</f>
        <v>200</v>
      </c>
      <c r="T39" s="19">
        <f>VLOOKUP(A39,[1]Sheet!$A:$R,18,0)</f>
        <v>250</v>
      </c>
      <c r="U39" s="1">
        <f t="shared" si="5"/>
        <v>23.869047619047617</v>
      </c>
      <c r="V39" s="1">
        <f t="shared" si="12"/>
        <v>11.964285714285714</v>
      </c>
      <c r="W39" s="1">
        <v>16.600000000000001</v>
      </c>
      <c r="X39" s="1">
        <v>13</v>
      </c>
      <c r="Y39" s="1">
        <v>5.8</v>
      </c>
      <c r="Z39" s="1">
        <v>33.200000000000003</v>
      </c>
      <c r="AA39" s="1">
        <v>16.600000000000001</v>
      </c>
      <c r="AB39" s="1">
        <v>11.2</v>
      </c>
      <c r="AC39" s="1">
        <v>12.2</v>
      </c>
      <c r="AD39" s="1">
        <v>15.8</v>
      </c>
      <c r="AE39" s="1">
        <v>13</v>
      </c>
      <c r="AF39" s="1">
        <v>18.399999999999999</v>
      </c>
      <c r="AG39" s="1"/>
      <c r="AH39" s="1">
        <f t="shared" si="6"/>
        <v>36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4" t="s">
        <v>80</v>
      </c>
      <c r="B40" s="1" t="s">
        <v>35</v>
      </c>
      <c r="C40" s="1"/>
      <c r="D40" s="1">
        <v>8</v>
      </c>
      <c r="E40" s="1">
        <v>-1</v>
      </c>
      <c r="F40" s="1">
        <v>8</v>
      </c>
      <c r="G40" s="7">
        <v>0.1</v>
      </c>
      <c r="H40" s="1">
        <v>60</v>
      </c>
      <c r="I40" s="1"/>
      <c r="J40" s="1"/>
      <c r="K40" s="1">
        <v>2</v>
      </c>
      <c r="L40" s="1">
        <f t="shared" si="10"/>
        <v>-3</v>
      </c>
      <c r="M40" s="1"/>
      <c r="N40" s="1"/>
      <c r="O40" s="1">
        <v>8</v>
      </c>
      <c r="P40" s="1">
        <f t="shared" si="11"/>
        <v>-0.2</v>
      </c>
      <c r="Q40" s="5"/>
      <c r="R40" s="5">
        <f t="shared" si="7"/>
        <v>0</v>
      </c>
      <c r="S40" s="5"/>
      <c r="T40" s="19"/>
      <c r="U40" s="1">
        <f t="shared" si="5"/>
        <v>-80</v>
      </c>
      <c r="V40" s="1">
        <f t="shared" si="12"/>
        <v>-80</v>
      </c>
      <c r="W40" s="1">
        <v>0.8</v>
      </c>
      <c r="X40" s="1">
        <v>0.6</v>
      </c>
      <c r="Y40" s="1">
        <v>0.2</v>
      </c>
      <c r="Z40" s="1">
        <v>0.8</v>
      </c>
      <c r="AA40" s="1">
        <v>2.2000000000000002</v>
      </c>
      <c r="AB40" s="1">
        <v>0.2</v>
      </c>
      <c r="AC40" s="1">
        <v>2</v>
      </c>
      <c r="AD40" s="1">
        <v>-0.4</v>
      </c>
      <c r="AE40" s="1">
        <v>-0.2</v>
      </c>
      <c r="AF40" s="1">
        <v>0.2</v>
      </c>
      <c r="AG40" s="1" t="s">
        <v>81</v>
      </c>
      <c r="AH40" s="1">
        <f t="shared" si="6"/>
        <v>0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4" t="s">
        <v>82</v>
      </c>
      <c r="B41" s="1" t="s">
        <v>35</v>
      </c>
      <c r="C41" s="1"/>
      <c r="D41" s="1"/>
      <c r="E41" s="1">
        <v>10</v>
      </c>
      <c r="F41" s="1"/>
      <c r="G41" s="7">
        <v>0.14000000000000001</v>
      </c>
      <c r="H41" s="1">
        <v>180</v>
      </c>
      <c r="I41" s="1"/>
      <c r="J41" s="1"/>
      <c r="K41" s="1">
        <v>18</v>
      </c>
      <c r="L41" s="1">
        <f t="shared" si="10"/>
        <v>-8</v>
      </c>
      <c r="M41" s="1"/>
      <c r="N41" s="1"/>
      <c r="O41" s="1">
        <v>96</v>
      </c>
      <c r="P41" s="1">
        <f t="shared" si="11"/>
        <v>2</v>
      </c>
      <c r="Q41" s="5"/>
      <c r="R41" s="5">
        <v>80</v>
      </c>
      <c r="S41" s="5">
        <f>VLOOKUP(A41,заказ!A:B,2,0)</f>
        <v>80</v>
      </c>
      <c r="T41" s="19">
        <f>VLOOKUP(A41,[1]Sheet!$A:$R,18,0)</f>
        <v>150</v>
      </c>
      <c r="U41" s="1">
        <f t="shared" si="5"/>
        <v>88</v>
      </c>
      <c r="V41" s="1">
        <f t="shared" si="12"/>
        <v>48</v>
      </c>
      <c r="W41" s="1">
        <v>6.4</v>
      </c>
      <c r="X41" s="1">
        <v>1</v>
      </c>
      <c r="Y41" s="1">
        <v>2.4</v>
      </c>
      <c r="Z41" s="1">
        <v>7.8</v>
      </c>
      <c r="AA41" s="1">
        <v>4</v>
      </c>
      <c r="AB41" s="1">
        <v>4.5999999999999996</v>
      </c>
      <c r="AC41" s="1">
        <v>1.6</v>
      </c>
      <c r="AD41" s="1">
        <v>4.5999999999999996</v>
      </c>
      <c r="AE41" s="1">
        <v>5.8</v>
      </c>
      <c r="AF41" s="1">
        <v>3.4</v>
      </c>
      <c r="AG41" s="1"/>
      <c r="AH41" s="1">
        <f t="shared" si="6"/>
        <v>11.200000000000001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4" t="s">
        <v>83</v>
      </c>
      <c r="B42" s="1" t="s">
        <v>35</v>
      </c>
      <c r="C42" s="1">
        <v>16</v>
      </c>
      <c r="D42" s="1">
        <v>256</v>
      </c>
      <c r="E42" s="1">
        <v>53</v>
      </c>
      <c r="F42" s="1">
        <v>217</v>
      </c>
      <c r="G42" s="7">
        <v>0.18</v>
      </c>
      <c r="H42" s="1">
        <v>270</v>
      </c>
      <c r="I42" s="1"/>
      <c r="J42" s="1"/>
      <c r="K42" s="1">
        <v>45</v>
      </c>
      <c r="L42" s="1">
        <f t="shared" si="10"/>
        <v>8</v>
      </c>
      <c r="M42" s="1"/>
      <c r="N42" s="1"/>
      <c r="O42" s="1">
        <v>128</v>
      </c>
      <c r="P42" s="1">
        <f t="shared" si="11"/>
        <v>10.6</v>
      </c>
      <c r="Q42" s="5"/>
      <c r="R42" s="5">
        <v>80</v>
      </c>
      <c r="S42" s="5">
        <f>VLOOKUP(A42,заказ!A:B,2,0)</f>
        <v>80</v>
      </c>
      <c r="T42" s="19">
        <f>VLOOKUP(A42,[1]Sheet!$A:$R,18,0)</f>
        <v>150</v>
      </c>
      <c r="U42" s="1">
        <f t="shared" si="5"/>
        <v>40.094339622641513</v>
      </c>
      <c r="V42" s="1">
        <f t="shared" si="12"/>
        <v>32.547169811320757</v>
      </c>
      <c r="W42" s="1">
        <v>22</v>
      </c>
      <c r="X42" s="1">
        <v>23</v>
      </c>
      <c r="Y42" s="1">
        <v>6.8</v>
      </c>
      <c r="Z42" s="1">
        <v>23.6</v>
      </c>
      <c r="AA42" s="1">
        <v>19.2</v>
      </c>
      <c r="AB42" s="1">
        <v>10.8</v>
      </c>
      <c r="AC42" s="1">
        <v>12.8</v>
      </c>
      <c r="AD42" s="1">
        <v>18</v>
      </c>
      <c r="AE42" s="1">
        <v>20</v>
      </c>
      <c r="AF42" s="1">
        <v>16.8</v>
      </c>
      <c r="AG42" s="1"/>
      <c r="AH42" s="1">
        <f t="shared" si="6"/>
        <v>14.399999999999999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4" t="s">
        <v>84</v>
      </c>
      <c r="B43" s="1" t="s">
        <v>39</v>
      </c>
      <c r="C43" s="1">
        <v>47.274000000000001</v>
      </c>
      <c r="D43" s="1">
        <v>54.207999999999998</v>
      </c>
      <c r="E43" s="1">
        <v>14.884</v>
      </c>
      <c r="F43" s="1">
        <v>72.013999999999996</v>
      </c>
      <c r="G43" s="7">
        <v>1</v>
      </c>
      <c r="H43" s="1">
        <v>180</v>
      </c>
      <c r="I43" s="9" t="s">
        <v>85</v>
      </c>
      <c r="J43" s="1"/>
      <c r="K43" s="1">
        <v>16</v>
      </c>
      <c r="L43" s="1">
        <f t="shared" si="10"/>
        <v>-1.1159999999999997</v>
      </c>
      <c r="M43" s="1"/>
      <c r="N43" s="1"/>
      <c r="O43" s="1"/>
      <c r="P43" s="1">
        <f t="shared" si="11"/>
        <v>2.9767999999999999</v>
      </c>
      <c r="Q43" s="5"/>
      <c r="R43" s="5">
        <f t="shared" si="7"/>
        <v>0</v>
      </c>
      <c r="S43" s="5"/>
      <c r="T43" s="19"/>
      <c r="U43" s="1">
        <f t="shared" si="5"/>
        <v>24.191749529696317</v>
      </c>
      <c r="V43" s="1">
        <f t="shared" si="12"/>
        <v>24.191749529696317</v>
      </c>
      <c r="W43" s="1">
        <v>0</v>
      </c>
      <c r="X43" s="1">
        <v>2.524</v>
      </c>
      <c r="Y43" s="1">
        <v>1.3311999999999999</v>
      </c>
      <c r="Z43" s="1">
        <v>0</v>
      </c>
      <c r="AA43" s="1">
        <v>1.2927999999999999</v>
      </c>
      <c r="AB43" s="1">
        <v>17.328800000000001</v>
      </c>
      <c r="AC43" s="1">
        <v>2.5156000000000001</v>
      </c>
      <c r="AD43" s="1">
        <v>2.64</v>
      </c>
      <c r="AE43" s="1">
        <v>1.3726</v>
      </c>
      <c r="AF43" s="1">
        <v>0.75600000000000001</v>
      </c>
      <c r="AG43" s="18" t="s">
        <v>102</v>
      </c>
      <c r="AH43" s="1">
        <f t="shared" si="6"/>
        <v>0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4" t="s">
        <v>86</v>
      </c>
      <c r="B44" s="1" t="s">
        <v>39</v>
      </c>
      <c r="C44" s="1">
        <v>35.613999999999997</v>
      </c>
      <c r="D44" s="1"/>
      <c r="E44" s="1">
        <v>23.972000000000001</v>
      </c>
      <c r="F44" s="1">
        <v>8.9359999999999999</v>
      </c>
      <c r="G44" s="7">
        <v>1</v>
      </c>
      <c r="H44" s="1">
        <v>180</v>
      </c>
      <c r="I44" s="1"/>
      <c r="J44" s="1"/>
      <c r="K44" s="1">
        <v>27.6</v>
      </c>
      <c r="L44" s="1">
        <f t="shared" si="10"/>
        <v>-3.6280000000000001</v>
      </c>
      <c r="M44" s="1"/>
      <c r="N44" s="1"/>
      <c r="O44" s="1">
        <v>16</v>
      </c>
      <c r="P44" s="1">
        <f t="shared" si="11"/>
        <v>4.7944000000000004</v>
      </c>
      <c r="Q44" s="5">
        <f t="shared" si="9"/>
        <v>61.363200000000013</v>
      </c>
      <c r="R44" s="5">
        <v>100</v>
      </c>
      <c r="S44" s="5">
        <f>VLOOKUP(A44,заказ!A:B,2,0)</f>
        <v>99</v>
      </c>
      <c r="T44" s="19">
        <f>VLOOKUP(A44,[1]Sheet!$A:$R,18,0)</f>
        <v>150</v>
      </c>
      <c r="U44" s="1">
        <f t="shared" si="5"/>
        <v>26.058735191056233</v>
      </c>
      <c r="V44" s="1">
        <f t="shared" si="12"/>
        <v>5.2010679125646586</v>
      </c>
      <c r="W44" s="1">
        <v>2.5684</v>
      </c>
      <c r="X44" s="1">
        <v>1.9352</v>
      </c>
      <c r="Y44" s="1">
        <v>2.67</v>
      </c>
      <c r="Z44" s="1">
        <v>7.628400000000001</v>
      </c>
      <c r="AA44" s="1">
        <v>3.3647999999999998</v>
      </c>
      <c r="AB44" s="1">
        <v>1.3460000000000001</v>
      </c>
      <c r="AC44" s="1">
        <v>2.5680000000000001</v>
      </c>
      <c r="AD44" s="1">
        <v>5.9256000000000002</v>
      </c>
      <c r="AE44" s="1">
        <v>2.5728</v>
      </c>
      <c r="AF44" s="1">
        <v>2.0804</v>
      </c>
      <c r="AG44" s="1"/>
      <c r="AH44" s="1">
        <f t="shared" si="6"/>
        <v>100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4" t="s">
        <v>87</v>
      </c>
      <c r="B45" s="1" t="s">
        <v>39</v>
      </c>
      <c r="C45" s="1"/>
      <c r="D45" s="1">
        <v>3.5</v>
      </c>
      <c r="E45" s="1">
        <v>3.5</v>
      </c>
      <c r="F45" s="1"/>
      <c r="G45" s="7">
        <v>1</v>
      </c>
      <c r="H45" s="1">
        <v>180</v>
      </c>
      <c r="I45" s="1"/>
      <c r="J45" s="1"/>
      <c r="K45" s="1">
        <v>17.100000000000001</v>
      </c>
      <c r="L45" s="1">
        <f t="shared" si="10"/>
        <v>-13.600000000000001</v>
      </c>
      <c r="M45" s="1"/>
      <c r="N45" s="1"/>
      <c r="O45" s="1">
        <v>50</v>
      </c>
      <c r="P45" s="1">
        <f t="shared" si="11"/>
        <v>0.7</v>
      </c>
      <c r="Q45" s="5">
        <v>20</v>
      </c>
      <c r="R45" s="5">
        <v>80</v>
      </c>
      <c r="S45" s="5">
        <f>VLOOKUP(A45,заказ!A:B,2,0)</f>
        <v>82</v>
      </c>
      <c r="T45" s="19">
        <f>VLOOKUP(A45,[1]Sheet!$A:$R,18,0)</f>
        <v>100</v>
      </c>
      <c r="U45" s="1">
        <f t="shared" si="5"/>
        <v>185.71428571428572</v>
      </c>
      <c r="V45" s="1">
        <f t="shared" si="12"/>
        <v>71.428571428571431</v>
      </c>
      <c r="W45" s="1">
        <v>12.469799999999999</v>
      </c>
      <c r="X45" s="1">
        <v>16.026800000000001</v>
      </c>
      <c r="Y45" s="1">
        <v>8.2444000000000006</v>
      </c>
      <c r="Z45" s="1">
        <v>13.1412</v>
      </c>
      <c r="AA45" s="1">
        <v>13.5068</v>
      </c>
      <c r="AB45" s="1">
        <v>9.5599999999999987</v>
      </c>
      <c r="AC45" s="1">
        <v>6.8563999999999989</v>
      </c>
      <c r="AD45" s="1">
        <v>12.1096</v>
      </c>
      <c r="AE45" s="1">
        <v>9.7519999999999989</v>
      </c>
      <c r="AF45" s="1">
        <v>12.651199999999999</v>
      </c>
      <c r="AG45" s="1"/>
      <c r="AH45" s="1">
        <f t="shared" si="6"/>
        <v>80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4" t="s">
        <v>88</v>
      </c>
      <c r="B46" s="1" t="s">
        <v>39</v>
      </c>
      <c r="C46" s="1">
        <v>53.59</v>
      </c>
      <c r="D46" s="1">
        <v>3.9540000000000002</v>
      </c>
      <c r="E46" s="1">
        <v>13.407999999999999</v>
      </c>
      <c r="F46" s="1">
        <v>40.552</v>
      </c>
      <c r="G46" s="7">
        <v>1</v>
      </c>
      <c r="H46" s="1">
        <v>180</v>
      </c>
      <c r="I46" s="1"/>
      <c r="J46" s="1"/>
      <c r="K46" s="1">
        <v>14</v>
      </c>
      <c r="L46" s="1">
        <f t="shared" si="10"/>
        <v>-0.59200000000000053</v>
      </c>
      <c r="M46" s="1"/>
      <c r="N46" s="1"/>
      <c r="O46" s="1"/>
      <c r="P46" s="1">
        <f t="shared" si="11"/>
        <v>2.6816</v>
      </c>
      <c r="Q46" s="5">
        <f t="shared" si="9"/>
        <v>7.7167999999999992</v>
      </c>
      <c r="R46" s="5">
        <v>30</v>
      </c>
      <c r="S46" s="5">
        <f>VLOOKUP(A46,заказ!A:B,2,0)</f>
        <v>33</v>
      </c>
      <c r="T46" s="19">
        <f>VLOOKUP(A46,[1]Sheet!$A:$R,18,0)</f>
        <v>50</v>
      </c>
      <c r="U46" s="1">
        <f t="shared" si="5"/>
        <v>26.309665871121716</v>
      </c>
      <c r="V46" s="1">
        <f t="shared" si="12"/>
        <v>15.122315035799522</v>
      </c>
      <c r="W46" s="1">
        <v>0.60240000000000005</v>
      </c>
      <c r="X46" s="1">
        <v>0</v>
      </c>
      <c r="Y46" s="1">
        <v>1.3008</v>
      </c>
      <c r="Z46" s="1">
        <v>0</v>
      </c>
      <c r="AA46" s="1">
        <v>1.274</v>
      </c>
      <c r="AB46" s="1">
        <v>3.7267999999999999</v>
      </c>
      <c r="AC46" s="1">
        <v>3.8944000000000001</v>
      </c>
      <c r="AD46" s="1">
        <v>3.7183999999999999</v>
      </c>
      <c r="AE46" s="1">
        <v>2.5583999999999998</v>
      </c>
      <c r="AF46" s="1">
        <v>3.859599999999999</v>
      </c>
      <c r="AG46" s="1" t="s">
        <v>58</v>
      </c>
      <c r="AH46" s="1">
        <f t="shared" si="6"/>
        <v>30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4" t="s">
        <v>89</v>
      </c>
      <c r="B47" s="1" t="s">
        <v>35</v>
      </c>
      <c r="C47" s="1">
        <v>199</v>
      </c>
      <c r="D47" s="1"/>
      <c r="E47" s="1">
        <v>192</v>
      </c>
      <c r="F47" s="1"/>
      <c r="G47" s="7">
        <v>0.1</v>
      </c>
      <c r="H47" s="1">
        <v>60</v>
      </c>
      <c r="I47" s="1"/>
      <c r="J47" s="1"/>
      <c r="K47" s="1">
        <v>216</v>
      </c>
      <c r="L47" s="1">
        <f t="shared" si="10"/>
        <v>-24</v>
      </c>
      <c r="M47" s="1"/>
      <c r="N47" s="1"/>
      <c r="O47" s="1">
        <v>420</v>
      </c>
      <c r="P47" s="1">
        <f t="shared" si="11"/>
        <v>38.4</v>
      </c>
      <c r="Q47" s="5">
        <f t="shared" si="9"/>
        <v>271.19999999999993</v>
      </c>
      <c r="R47" s="5">
        <v>350</v>
      </c>
      <c r="S47" s="5">
        <f>VLOOKUP(A47,заказ!A:B,2,0)</f>
        <v>348</v>
      </c>
      <c r="T47" s="19">
        <f>VLOOKUP(A47,[1]Sheet!$A:$R,18,0)</f>
        <v>400</v>
      </c>
      <c r="U47" s="1">
        <f t="shared" si="5"/>
        <v>20.052083333333336</v>
      </c>
      <c r="V47" s="1">
        <f t="shared" si="12"/>
        <v>10.9375</v>
      </c>
      <c r="W47" s="1">
        <v>64.599999999999994</v>
      </c>
      <c r="X47" s="1">
        <v>21.8</v>
      </c>
      <c r="Y47" s="1">
        <v>57</v>
      </c>
      <c r="Z47" s="1">
        <v>62.8</v>
      </c>
      <c r="AA47" s="1">
        <v>4.8</v>
      </c>
      <c r="AB47" s="1">
        <v>45.8</v>
      </c>
      <c r="AC47" s="1">
        <v>54</v>
      </c>
      <c r="AD47" s="1">
        <v>18.8</v>
      </c>
      <c r="AE47" s="1">
        <v>3.8</v>
      </c>
      <c r="AF47" s="1">
        <v>41</v>
      </c>
      <c r="AG47" s="1"/>
      <c r="AH47" s="1">
        <f t="shared" si="6"/>
        <v>35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4" t="s">
        <v>90</v>
      </c>
      <c r="B48" s="1" t="s">
        <v>35</v>
      </c>
      <c r="C48" s="1">
        <v>142</v>
      </c>
      <c r="D48" s="1">
        <v>84</v>
      </c>
      <c r="E48" s="1">
        <v>148</v>
      </c>
      <c r="F48" s="1"/>
      <c r="G48" s="7">
        <v>0.1</v>
      </c>
      <c r="H48" s="1">
        <v>90</v>
      </c>
      <c r="I48" s="1"/>
      <c r="J48" s="1"/>
      <c r="K48" s="1">
        <v>142</v>
      </c>
      <c r="L48" s="1">
        <f t="shared" si="10"/>
        <v>6</v>
      </c>
      <c r="M48" s="1"/>
      <c r="N48" s="1"/>
      <c r="O48" s="1">
        <v>252</v>
      </c>
      <c r="P48" s="1">
        <f t="shared" si="11"/>
        <v>29.6</v>
      </c>
      <c r="Q48" s="5">
        <f t="shared" si="9"/>
        <v>280.80000000000007</v>
      </c>
      <c r="R48" s="5">
        <v>400</v>
      </c>
      <c r="S48" s="5">
        <f>VLOOKUP(A48,заказ!A:B,2,0)</f>
        <v>402</v>
      </c>
      <c r="T48" s="19">
        <f>VLOOKUP(A48,[1]Sheet!$A:$R,18,0)</f>
        <v>400</v>
      </c>
      <c r="U48" s="1">
        <f t="shared" si="5"/>
        <v>22.027027027027025</v>
      </c>
      <c r="V48" s="1">
        <f t="shared" si="12"/>
        <v>8.5135135135135123</v>
      </c>
      <c r="W48" s="1">
        <v>40.4</v>
      </c>
      <c r="X48" s="1">
        <v>24.6</v>
      </c>
      <c r="Y48" s="1">
        <v>41.8</v>
      </c>
      <c r="Z48" s="1">
        <v>47</v>
      </c>
      <c r="AA48" s="1">
        <v>33.4</v>
      </c>
      <c r="AB48" s="1">
        <v>34</v>
      </c>
      <c r="AC48" s="1">
        <v>30</v>
      </c>
      <c r="AD48" s="1">
        <v>49.2</v>
      </c>
      <c r="AE48" s="1">
        <v>36.4</v>
      </c>
      <c r="AF48" s="1">
        <v>40.6</v>
      </c>
      <c r="AG48" s="1"/>
      <c r="AH48" s="1">
        <f t="shared" si="6"/>
        <v>40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4" t="s">
        <v>91</v>
      </c>
      <c r="B49" s="1" t="s">
        <v>35</v>
      </c>
      <c r="C49" s="1">
        <v>36</v>
      </c>
      <c r="D49" s="1">
        <v>50</v>
      </c>
      <c r="E49" s="1">
        <v>38</v>
      </c>
      <c r="F49" s="1">
        <v>13</v>
      </c>
      <c r="G49" s="7">
        <v>0.14000000000000001</v>
      </c>
      <c r="H49" s="1">
        <v>180</v>
      </c>
      <c r="I49" s="1"/>
      <c r="J49" s="1"/>
      <c r="K49" s="1">
        <v>39</v>
      </c>
      <c r="L49" s="1">
        <f t="shared" si="10"/>
        <v>-1</v>
      </c>
      <c r="M49" s="1"/>
      <c r="N49" s="1"/>
      <c r="O49" s="1">
        <v>112</v>
      </c>
      <c r="P49" s="1">
        <f t="shared" si="11"/>
        <v>7.6</v>
      </c>
      <c r="Q49" s="5">
        <f t="shared" si="9"/>
        <v>11.799999999999983</v>
      </c>
      <c r="R49" s="5">
        <v>70</v>
      </c>
      <c r="S49" s="5">
        <f>VLOOKUP(A49,заказ!A:B,2,0)</f>
        <v>64</v>
      </c>
      <c r="T49" s="19">
        <f>VLOOKUP(A49,[1]Sheet!$A:$R,18,0)</f>
        <v>70</v>
      </c>
      <c r="U49" s="1">
        <f t="shared" si="5"/>
        <v>25.657894736842106</v>
      </c>
      <c r="V49" s="1">
        <f t="shared" si="12"/>
        <v>16.447368421052634</v>
      </c>
      <c r="W49" s="1">
        <v>11.8</v>
      </c>
      <c r="X49" s="1">
        <v>5.6</v>
      </c>
      <c r="Y49" s="1">
        <v>8</v>
      </c>
      <c r="Z49" s="1">
        <v>8.1999999999999993</v>
      </c>
      <c r="AA49" s="1">
        <v>6.6</v>
      </c>
      <c r="AB49" s="1">
        <v>6.2</v>
      </c>
      <c r="AC49" s="1">
        <v>3.2</v>
      </c>
      <c r="AD49" s="1">
        <v>8.4</v>
      </c>
      <c r="AE49" s="1">
        <v>8.1999999999999993</v>
      </c>
      <c r="AF49" s="1">
        <v>6.6</v>
      </c>
      <c r="AG49" s="1"/>
      <c r="AH49" s="1">
        <f t="shared" si="6"/>
        <v>9.8000000000000007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4" t="s">
        <v>92</v>
      </c>
      <c r="B50" s="1" t="s">
        <v>35</v>
      </c>
      <c r="C50" s="1"/>
      <c r="D50" s="1">
        <v>40</v>
      </c>
      <c r="E50" s="1">
        <v>10</v>
      </c>
      <c r="F50" s="1">
        <v>28</v>
      </c>
      <c r="G50" s="7">
        <v>0.2</v>
      </c>
      <c r="H50" s="1">
        <v>120</v>
      </c>
      <c r="I50" s="1"/>
      <c r="J50" s="1"/>
      <c r="K50" s="1">
        <v>24</v>
      </c>
      <c r="L50" s="1">
        <f t="shared" si="10"/>
        <v>-14</v>
      </c>
      <c r="M50" s="1"/>
      <c r="N50" s="1"/>
      <c r="O50" s="1">
        <v>30</v>
      </c>
      <c r="P50" s="1">
        <f t="shared" si="11"/>
        <v>2</v>
      </c>
      <c r="Q50" s="5">
        <v>10</v>
      </c>
      <c r="R50" s="5">
        <v>70</v>
      </c>
      <c r="S50" s="5">
        <f>VLOOKUP(A50,заказ!A:B,2,0)</f>
        <v>70</v>
      </c>
      <c r="T50" s="19">
        <f>VLOOKUP(A50,[1]Sheet!$A:$R,18,0)</f>
        <v>150</v>
      </c>
      <c r="U50" s="1">
        <f t="shared" si="5"/>
        <v>64</v>
      </c>
      <c r="V50" s="1">
        <f t="shared" si="12"/>
        <v>29</v>
      </c>
      <c r="W50" s="1">
        <v>5.4</v>
      </c>
      <c r="X50" s="1">
        <v>5.2</v>
      </c>
      <c r="Y50" s="1">
        <v>2.6</v>
      </c>
      <c r="Z50" s="1">
        <v>1</v>
      </c>
      <c r="AA50" s="1">
        <v>8.1999999999999993</v>
      </c>
      <c r="AB50" s="1">
        <v>3.6</v>
      </c>
      <c r="AC50" s="1">
        <v>4</v>
      </c>
      <c r="AD50" s="1">
        <v>1.6</v>
      </c>
      <c r="AE50" s="1">
        <v>3.4</v>
      </c>
      <c r="AF50" s="1">
        <v>4.8</v>
      </c>
      <c r="AG50" s="1"/>
      <c r="AH50" s="1">
        <f t="shared" si="6"/>
        <v>14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4" t="s">
        <v>93</v>
      </c>
      <c r="B51" s="1" t="s">
        <v>39</v>
      </c>
      <c r="C51" s="1">
        <v>56.04</v>
      </c>
      <c r="D51" s="1">
        <v>163.97200000000001</v>
      </c>
      <c r="E51" s="1"/>
      <c r="F51" s="1">
        <v>163.94200000000001</v>
      </c>
      <c r="G51" s="7">
        <v>1</v>
      </c>
      <c r="H51" s="1">
        <v>120</v>
      </c>
      <c r="I51" s="9" t="s">
        <v>85</v>
      </c>
      <c r="J51" s="1"/>
      <c r="K51" s="1"/>
      <c r="L51" s="1">
        <f t="shared" si="10"/>
        <v>0</v>
      </c>
      <c r="M51" s="1"/>
      <c r="N51" s="1"/>
      <c r="O51" s="1"/>
      <c r="P51" s="1">
        <f t="shared" si="11"/>
        <v>0</v>
      </c>
      <c r="Q51" s="5"/>
      <c r="R51" s="5">
        <v>40</v>
      </c>
      <c r="S51" s="5">
        <f>VLOOKUP(A51,заказ!A:B,2,0)</f>
        <v>45</v>
      </c>
      <c r="T51" s="19">
        <f>VLOOKUP(A51,[1]Sheet!$A:$R,18,0)</f>
        <v>70</v>
      </c>
      <c r="U51" s="1" t="e">
        <f t="shared" si="5"/>
        <v>#DIV/0!</v>
      </c>
      <c r="V51" s="1" t="e">
        <f t="shared" si="12"/>
        <v>#DIV/0!</v>
      </c>
      <c r="W51" s="1">
        <v>2.5788000000000002</v>
      </c>
      <c r="X51" s="1">
        <v>10.383800000000001</v>
      </c>
      <c r="Y51" s="1">
        <v>0</v>
      </c>
      <c r="Z51" s="1">
        <v>0</v>
      </c>
      <c r="AA51" s="1">
        <v>0.83499999999999996</v>
      </c>
      <c r="AB51" s="1">
        <v>0</v>
      </c>
      <c r="AC51" s="1">
        <v>15.537599999999999</v>
      </c>
      <c r="AD51" s="1">
        <v>0.63040000000000007</v>
      </c>
      <c r="AE51" s="1">
        <v>0</v>
      </c>
      <c r="AF51" s="1">
        <v>0</v>
      </c>
      <c r="AG51" s="1" t="s">
        <v>94</v>
      </c>
      <c r="AH51" s="1">
        <f t="shared" si="6"/>
        <v>40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4" t="s">
        <v>95</v>
      </c>
      <c r="B52" s="1" t="s">
        <v>35</v>
      </c>
      <c r="C52" s="1">
        <v>-2</v>
      </c>
      <c r="D52" s="1">
        <v>52</v>
      </c>
      <c r="E52" s="13">
        <f>0+E53</f>
        <v>3</v>
      </c>
      <c r="F52" s="13">
        <f>50+F53</f>
        <v>45</v>
      </c>
      <c r="G52" s="7">
        <v>0.2</v>
      </c>
      <c r="H52" s="1">
        <v>120</v>
      </c>
      <c r="I52" s="1"/>
      <c r="J52" s="1"/>
      <c r="K52" s="1">
        <v>7</v>
      </c>
      <c r="L52" s="1">
        <f t="shared" si="10"/>
        <v>-4</v>
      </c>
      <c r="M52" s="1"/>
      <c r="N52" s="1"/>
      <c r="O52" s="1">
        <v>10</v>
      </c>
      <c r="P52" s="1">
        <v>6</v>
      </c>
      <c r="Q52" s="5"/>
      <c r="R52" s="5">
        <v>50</v>
      </c>
      <c r="S52" s="5">
        <f>VLOOKUP(A52,заказ!A:B,2,0)</f>
        <v>50</v>
      </c>
      <c r="T52" s="19">
        <f>VLOOKUP(A52,[1]Sheet!$A:$R,18,0)</f>
        <v>150</v>
      </c>
      <c r="U52" s="1">
        <f t="shared" si="5"/>
        <v>17.5</v>
      </c>
      <c r="V52" s="1">
        <f t="shared" si="12"/>
        <v>9.1666666666666661</v>
      </c>
      <c r="W52" s="1">
        <v>4.8</v>
      </c>
      <c r="X52" s="1">
        <v>5.6</v>
      </c>
      <c r="Y52" s="1">
        <v>1.8</v>
      </c>
      <c r="Z52" s="1">
        <v>3.4</v>
      </c>
      <c r="AA52" s="1">
        <v>8.6</v>
      </c>
      <c r="AB52" s="1">
        <v>3.6</v>
      </c>
      <c r="AC52" s="1">
        <v>3.2</v>
      </c>
      <c r="AD52" s="1">
        <v>5.4</v>
      </c>
      <c r="AE52" s="1">
        <v>3.2</v>
      </c>
      <c r="AF52" s="1">
        <v>3.6</v>
      </c>
      <c r="AG52" s="1"/>
      <c r="AH52" s="1">
        <f t="shared" si="6"/>
        <v>10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0" t="s">
        <v>96</v>
      </c>
      <c r="B53" s="10" t="s">
        <v>35</v>
      </c>
      <c r="C53" s="10">
        <v>2</v>
      </c>
      <c r="D53" s="10"/>
      <c r="E53" s="13">
        <v>3</v>
      </c>
      <c r="F53" s="13">
        <v>-5</v>
      </c>
      <c r="G53" s="11">
        <v>0</v>
      </c>
      <c r="H53" s="10"/>
      <c r="I53" s="10" t="s">
        <v>97</v>
      </c>
      <c r="J53" s="10" t="s">
        <v>95</v>
      </c>
      <c r="K53" s="10">
        <v>4</v>
      </c>
      <c r="L53" s="10">
        <f t="shared" si="10"/>
        <v>-1</v>
      </c>
      <c r="M53" s="10"/>
      <c r="N53" s="10"/>
      <c r="O53" s="10"/>
      <c r="P53" s="10">
        <f t="shared" si="11"/>
        <v>0.6</v>
      </c>
      <c r="Q53" s="12"/>
      <c r="R53" s="5">
        <f t="shared" si="7"/>
        <v>0</v>
      </c>
      <c r="S53" s="5"/>
      <c r="T53" s="19"/>
      <c r="U53" s="1">
        <f t="shared" si="5"/>
        <v>-8.3333333333333339</v>
      </c>
      <c r="V53" s="10">
        <f t="shared" si="12"/>
        <v>-8.3333333333333339</v>
      </c>
      <c r="W53" s="10">
        <v>0</v>
      </c>
      <c r="X53" s="10">
        <v>0.8</v>
      </c>
      <c r="Y53" s="10">
        <v>0</v>
      </c>
      <c r="Z53" s="10">
        <v>0.2</v>
      </c>
      <c r="AA53" s="10">
        <v>2.8</v>
      </c>
      <c r="AB53" s="10">
        <v>0</v>
      </c>
      <c r="AC53" s="10">
        <v>0</v>
      </c>
      <c r="AD53" s="10">
        <v>0</v>
      </c>
      <c r="AE53" s="10">
        <v>0</v>
      </c>
      <c r="AF53" s="10">
        <v>0</v>
      </c>
      <c r="AG53" s="10"/>
      <c r="AH53" s="1">
        <f t="shared" si="6"/>
        <v>0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0" t="s">
        <v>98</v>
      </c>
      <c r="B54" s="10" t="s">
        <v>39</v>
      </c>
      <c r="C54" s="10"/>
      <c r="D54" s="10">
        <v>3.9159999999999999</v>
      </c>
      <c r="E54" s="13">
        <v>3.9159999999999999</v>
      </c>
      <c r="F54" s="10"/>
      <c r="G54" s="11">
        <v>0</v>
      </c>
      <c r="H54" s="10"/>
      <c r="I54" s="10" t="s">
        <v>97</v>
      </c>
      <c r="J54" s="10" t="s">
        <v>99</v>
      </c>
      <c r="K54" s="10">
        <v>3.5</v>
      </c>
      <c r="L54" s="10">
        <f t="shared" si="10"/>
        <v>0.41599999999999993</v>
      </c>
      <c r="M54" s="10"/>
      <c r="N54" s="10"/>
      <c r="O54" s="10"/>
      <c r="P54" s="10">
        <f t="shared" si="11"/>
        <v>0.78320000000000001</v>
      </c>
      <c r="Q54" s="12"/>
      <c r="R54" s="5">
        <f t="shared" si="7"/>
        <v>0</v>
      </c>
      <c r="S54" s="5"/>
      <c r="T54" s="19"/>
      <c r="U54" s="1">
        <f t="shared" si="5"/>
        <v>0</v>
      </c>
      <c r="V54" s="10">
        <f t="shared" si="12"/>
        <v>0</v>
      </c>
      <c r="W54" s="10">
        <v>0</v>
      </c>
      <c r="X54" s="10">
        <v>0.7248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/>
      <c r="AH54" s="1">
        <f t="shared" si="6"/>
        <v>0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4" t="s">
        <v>99</v>
      </c>
      <c r="B55" s="1" t="s">
        <v>39</v>
      </c>
      <c r="C55" s="1">
        <v>115.517</v>
      </c>
      <c r="D55" s="1">
        <v>165.72300000000001</v>
      </c>
      <c r="E55" s="13">
        <f>61.794+E54</f>
        <v>65.709999999999994</v>
      </c>
      <c r="F55" s="1">
        <v>116.099</v>
      </c>
      <c r="G55" s="7">
        <v>1</v>
      </c>
      <c r="H55" s="1">
        <v>120</v>
      </c>
      <c r="I55" s="1"/>
      <c r="J55" s="1"/>
      <c r="K55" s="1">
        <v>62.8</v>
      </c>
      <c r="L55" s="1">
        <f t="shared" si="10"/>
        <v>2.9099999999999966</v>
      </c>
      <c r="M55" s="1"/>
      <c r="N55" s="1"/>
      <c r="O55" s="1"/>
      <c r="P55" s="1">
        <f t="shared" si="11"/>
        <v>13.141999999999999</v>
      </c>
      <c r="Q55" s="5">
        <f>18*P55-O55-F55</f>
        <v>120.45699999999998</v>
      </c>
      <c r="R55" s="5">
        <v>200</v>
      </c>
      <c r="S55" s="5">
        <f>VLOOKUP(A55,заказ!A:B,2,0)</f>
        <v>195</v>
      </c>
      <c r="T55" s="19">
        <f>VLOOKUP(A55,[1]Sheet!$A:$R,18,0)</f>
        <v>200</v>
      </c>
      <c r="U55" s="1">
        <f t="shared" si="5"/>
        <v>24.052579516055395</v>
      </c>
      <c r="V55" s="1">
        <f t="shared" si="12"/>
        <v>8.8341957084157663</v>
      </c>
      <c r="W55" s="1">
        <v>4.5591999999999997</v>
      </c>
      <c r="X55" s="1">
        <v>1.4184000000000001</v>
      </c>
      <c r="Y55" s="1">
        <v>15.4236</v>
      </c>
      <c r="Z55" s="1">
        <v>5.4283999999999999</v>
      </c>
      <c r="AA55" s="1">
        <v>6.0831999999999997</v>
      </c>
      <c r="AB55" s="1">
        <v>9.0995999999999988</v>
      </c>
      <c r="AC55" s="1">
        <v>9.1796000000000006</v>
      </c>
      <c r="AD55" s="1">
        <v>5.6015999999999986</v>
      </c>
      <c r="AE55" s="1">
        <v>13.2828</v>
      </c>
      <c r="AF55" s="1">
        <v>11.156000000000001</v>
      </c>
      <c r="AG55" s="1"/>
      <c r="AH55" s="1">
        <f t="shared" si="6"/>
        <v>200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</sheetData>
  <autoFilter ref="A3:AH55" xr:uid="{00000000-0009-0000-0000-000000000000}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5EC0C-BD6B-485C-8981-2C1B9939FC7C}">
  <dimension ref="A1:B35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38</v>
      </c>
      <c r="B1">
        <v>100</v>
      </c>
    </row>
    <row r="2" spans="1:2" x14ac:dyDescent="0.25">
      <c r="A2" t="s">
        <v>40</v>
      </c>
      <c r="B2">
        <v>12</v>
      </c>
    </row>
    <row r="3" spans="1:2" x14ac:dyDescent="0.25">
      <c r="A3" t="s">
        <v>42</v>
      </c>
      <c r="B3">
        <v>12</v>
      </c>
    </row>
    <row r="4" spans="1:2" x14ac:dyDescent="0.25">
      <c r="A4" t="s">
        <v>43</v>
      </c>
      <c r="B4">
        <v>66</v>
      </c>
    </row>
    <row r="5" spans="1:2" x14ac:dyDescent="0.25">
      <c r="A5" t="s">
        <v>44</v>
      </c>
      <c r="B5">
        <v>48</v>
      </c>
    </row>
    <row r="6" spans="1:2" x14ac:dyDescent="0.25">
      <c r="A6" t="s">
        <v>46</v>
      </c>
      <c r="B6">
        <v>96</v>
      </c>
    </row>
    <row r="7" spans="1:2" x14ac:dyDescent="0.25">
      <c r="A7" t="s">
        <v>47</v>
      </c>
      <c r="B7">
        <v>96</v>
      </c>
    </row>
    <row r="8" spans="1:2" x14ac:dyDescent="0.25">
      <c r="A8" t="s">
        <v>48</v>
      </c>
      <c r="B8">
        <v>96</v>
      </c>
    </row>
    <row r="9" spans="1:2" x14ac:dyDescent="0.25">
      <c r="A9" t="s">
        <v>50</v>
      </c>
      <c r="B9">
        <v>32</v>
      </c>
    </row>
    <row r="10" spans="1:2" x14ac:dyDescent="0.25">
      <c r="A10" t="s">
        <v>51</v>
      </c>
      <c r="B10">
        <v>32</v>
      </c>
    </row>
    <row r="11" spans="1:2" x14ac:dyDescent="0.25">
      <c r="A11" t="s">
        <v>53</v>
      </c>
      <c r="B11">
        <v>40</v>
      </c>
    </row>
    <row r="12" spans="1:2" x14ac:dyDescent="0.25">
      <c r="A12" t="s">
        <v>54</v>
      </c>
      <c r="B12">
        <v>1200</v>
      </c>
    </row>
    <row r="13" spans="1:2" x14ac:dyDescent="0.25">
      <c r="A13" t="s">
        <v>55</v>
      </c>
      <c r="B13">
        <v>1000</v>
      </c>
    </row>
    <row r="14" spans="1:2" x14ac:dyDescent="0.25">
      <c r="A14" t="s">
        <v>61</v>
      </c>
      <c r="B14">
        <v>48</v>
      </c>
    </row>
    <row r="15" spans="1:2" x14ac:dyDescent="0.25">
      <c r="A15" t="s">
        <v>66</v>
      </c>
      <c r="B15">
        <v>102</v>
      </c>
    </row>
    <row r="16" spans="1:2" x14ac:dyDescent="0.25">
      <c r="A16" t="s">
        <v>68</v>
      </c>
      <c r="B16">
        <v>112</v>
      </c>
    </row>
    <row r="17" spans="1:2" x14ac:dyDescent="0.25">
      <c r="A17" t="s">
        <v>69</v>
      </c>
      <c r="B17">
        <v>80</v>
      </c>
    </row>
    <row r="18" spans="1:2" x14ac:dyDescent="0.25">
      <c r="A18" t="s">
        <v>70</v>
      </c>
      <c r="B18">
        <v>48</v>
      </c>
    </row>
    <row r="19" spans="1:2" x14ac:dyDescent="0.25">
      <c r="A19" t="s">
        <v>71</v>
      </c>
      <c r="B19">
        <v>100</v>
      </c>
    </row>
    <row r="20" spans="1:2" x14ac:dyDescent="0.25">
      <c r="A20" t="s">
        <v>74</v>
      </c>
      <c r="B20">
        <v>100</v>
      </c>
    </row>
    <row r="21" spans="1:2" x14ac:dyDescent="0.25">
      <c r="A21" t="s">
        <v>76</v>
      </c>
      <c r="B21">
        <v>100</v>
      </c>
    </row>
    <row r="22" spans="1:2" x14ac:dyDescent="0.25">
      <c r="A22" t="s">
        <v>78</v>
      </c>
      <c r="B22">
        <v>600</v>
      </c>
    </row>
    <row r="23" spans="1:2" x14ac:dyDescent="0.25">
      <c r="A23" t="s">
        <v>79</v>
      </c>
      <c r="B23">
        <v>200</v>
      </c>
    </row>
    <row r="24" spans="1:2" x14ac:dyDescent="0.25">
      <c r="A24" t="s">
        <v>82</v>
      </c>
      <c r="B24">
        <v>80</v>
      </c>
    </row>
    <row r="25" spans="1:2" x14ac:dyDescent="0.25">
      <c r="A25" t="s">
        <v>83</v>
      </c>
      <c r="B25">
        <v>80</v>
      </c>
    </row>
    <row r="26" spans="1:2" x14ac:dyDescent="0.25">
      <c r="A26" t="s">
        <v>86</v>
      </c>
      <c r="B26">
        <v>99</v>
      </c>
    </row>
    <row r="27" spans="1:2" x14ac:dyDescent="0.25">
      <c r="A27" t="s">
        <v>87</v>
      </c>
      <c r="B27">
        <v>82</v>
      </c>
    </row>
    <row r="28" spans="1:2" x14ac:dyDescent="0.25">
      <c r="A28" t="s">
        <v>88</v>
      </c>
      <c r="B28">
        <v>33</v>
      </c>
    </row>
    <row r="29" spans="1:2" x14ac:dyDescent="0.25">
      <c r="A29" t="s">
        <v>89</v>
      </c>
      <c r="B29">
        <v>348</v>
      </c>
    </row>
    <row r="30" spans="1:2" x14ac:dyDescent="0.25">
      <c r="A30" t="s">
        <v>90</v>
      </c>
      <c r="B30">
        <v>402</v>
      </c>
    </row>
    <row r="31" spans="1:2" x14ac:dyDescent="0.25">
      <c r="A31" t="s">
        <v>91</v>
      </c>
      <c r="B31">
        <v>64</v>
      </c>
    </row>
    <row r="32" spans="1:2" x14ac:dyDescent="0.25">
      <c r="A32" t="s">
        <v>92</v>
      </c>
      <c r="B32">
        <v>70</v>
      </c>
    </row>
    <row r="33" spans="1:2" x14ac:dyDescent="0.25">
      <c r="A33" t="s">
        <v>93</v>
      </c>
      <c r="B33">
        <v>45</v>
      </c>
    </row>
    <row r="34" spans="1:2" x14ac:dyDescent="0.25">
      <c r="A34" t="s">
        <v>95</v>
      </c>
      <c r="B34">
        <v>50</v>
      </c>
    </row>
    <row r="35" spans="1:2" x14ac:dyDescent="0.25">
      <c r="A35" t="s">
        <v>99</v>
      </c>
      <c r="B35">
        <v>195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2026-09-30T16:36:07Z</dcterms:created>
  <dcterms:modified xsi:type="dcterms:W3CDTF">2026-10-01T09:59:54Z</dcterms:modified>
</cp:coreProperties>
</file>