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37B9BBFB-84CF-43C1-818E-E458038646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Sheet!$A$3:$AC$44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5" i="1" l="1"/>
  <c r="Q7" i="1"/>
  <c r="AC7" i="1" s="1"/>
  <c r="Q8" i="1"/>
  <c r="AC8" i="1" s="1"/>
  <c r="Q9" i="1"/>
  <c r="AC9" i="1" s="1"/>
  <c r="Q10" i="1"/>
  <c r="AC10" i="1" s="1"/>
  <c r="Q11" i="1"/>
  <c r="Q12" i="1"/>
  <c r="AC12" i="1" s="1"/>
  <c r="Q13" i="1"/>
  <c r="AC13" i="1" s="1"/>
  <c r="Q14" i="1"/>
  <c r="Q15" i="1"/>
  <c r="Q16" i="1"/>
  <c r="Q17" i="1"/>
  <c r="Q18" i="1"/>
  <c r="Q19" i="1"/>
  <c r="AC19" i="1" s="1"/>
  <c r="Q20" i="1"/>
  <c r="AC20" i="1" s="1"/>
  <c r="Q21" i="1"/>
  <c r="AC21" i="1" s="1"/>
  <c r="Q22" i="1"/>
  <c r="Q23" i="1"/>
  <c r="AC23" i="1" s="1"/>
  <c r="Q24" i="1"/>
  <c r="Q25" i="1"/>
  <c r="AC25" i="1" s="1"/>
  <c r="Q26" i="1"/>
  <c r="AC26" i="1" s="1"/>
  <c r="Q27" i="1"/>
  <c r="AC27" i="1" s="1"/>
  <c r="Q28" i="1"/>
  <c r="AC28" i="1" s="1"/>
  <c r="Q29" i="1"/>
  <c r="AC29" i="1" s="1"/>
  <c r="Q30" i="1"/>
  <c r="AC30" i="1" s="1"/>
  <c r="Q31" i="1"/>
  <c r="Q32" i="1"/>
  <c r="AC32" i="1" s="1"/>
  <c r="Q33" i="1"/>
  <c r="Q34" i="1"/>
  <c r="Q35" i="1"/>
  <c r="AC35" i="1" s="1"/>
  <c r="Q36" i="1"/>
  <c r="AC36" i="1" s="1"/>
  <c r="Q37" i="1"/>
  <c r="Q38" i="1"/>
  <c r="AC38" i="1" s="1"/>
  <c r="Q39" i="1"/>
  <c r="Q40" i="1"/>
  <c r="Q41" i="1"/>
  <c r="Q42" i="1"/>
  <c r="Q43" i="1"/>
  <c r="Q44" i="1"/>
  <c r="AC44" i="1" s="1"/>
  <c r="Q6" i="1"/>
  <c r="AC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6" i="1"/>
  <c r="L6" i="1" s="1"/>
  <c r="O44" i="1"/>
  <c r="W44" i="1"/>
  <c r="X44" i="1"/>
  <c r="Y44" i="1"/>
  <c r="Z44" i="1"/>
  <c r="AA44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V21" i="1" s="1"/>
  <c r="O22" i="1"/>
  <c r="O23" i="1"/>
  <c r="O24" i="1"/>
  <c r="O25" i="1"/>
  <c r="V25" i="1" s="1"/>
  <c r="O26" i="1"/>
  <c r="V26" i="1" s="1"/>
  <c r="O27" i="1"/>
  <c r="V27" i="1" s="1"/>
  <c r="O28" i="1"/>
  <c r="O29" i="1"/>
  <c r="O30" i="1"/>
  <c r="V30" i="1" s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6" i="1"/>
  <c r="X7" i="1"/>
  <c r="Y7" i="1"/>
  <c r="Z7" i="1"/>
  <c r="AA7" i="1"/>
  <c r="X8" i="1"/>
  <c r="Y8" i="1"/>
  <c r="Z8" i="1"/>
  <c r="AA8" i="1"/>
  <c r="X9" i="1"/>
  <c r="Y9" i="1"/>
  <c r="Z9" i="1"/>
  <c r="AA9" i="1"/>
  <c r="X10" i="1"/>
  <c r="Y10" i="1"/>
  <c r="Z10" i="1"/>
  <c r="AA10" i="1"/>
  <c r="X11" i="1"/>
  <c r="Y11" i="1"/>
  <c r="Z11" i="1"/>
  <c r="AA11" i="1"/>
  <c r="X12" i="1"/>
  <c r="Y12" i="1"/>
  <c r="Z12" i="1"/>
  <c r="AA12" i="1"/>
  <c r="X13" i="1"/>
  <c r="Y13" i="1"/>
  <c r="Z13" i="1"/>
  <c r="AA13" i="1"/>
  <c r="X14" i="1"/>
  <c r="Y14" i="1"/>
  <c r="Z14" i="1"/>
  <c r="AA14" i="1"/>
  <c r="X15" i="1"/>
  <c r="Y15" i="1"/>
  <c r="Z15" i="1"/>
  <c r="AA15" i="1"/>
  <c r="X16" i="1"/>
  <c r="Y16" i="1"/>
  <c r="Z16" i="1"/>
  <c r="AA16" i="1"/>
  <c r="X17" i="1"/>
  <c r="Y17" i="1"/>
  <c r="Z17" i="1"/>
  <c r="AA17" i="1"/>
  <c r="X18" i="1"/>
  <c r="Y18" i="1"/>
  <c r="Z18" i="1"/>
  <c r="AA18" i="1"/>
  <c r="X19" i="1"/>
  <c r="Y19" i="1"/>
  <c r="Z19" i="1"/>
  <c r="AA19" i="1"/>
  <c r="X20" i="1"/>
  <c r="Y20" i="1"/>
  <c r="Z20" i="1"/>
  <c r="AA20" i="1"/>
  <c r="X21" i="1"/>
  <c r="Y21" i="1"/>
  <c r="Z21" i="1"/>
  <c r="AA21" i="1"/>
  <c r="X22" i="1"/>
  <c r="Y22" i="1"/>
  <c r="Z22" i="1"/>
  <c r="AA22" i="1"/>
  <c r="X23" i="1"/>
  <c r="Y23" i="1"/>
  <c r="Z23" i="1"/>
  <c r="AA23" i="1"/>
  <c r="X24" i="1"/>
  <c r="Y24" i="1"/>
  <c r="Z24" i="1"/>
  <c r="AA24" i="1"/>
  <c r="X25" i="1"/>
  <c r="Y25" i="1"/>
  <c r="Z25" i="1"/>
  <c r="AA25" i="1"/>
  <c r="X26" i="1"/>
  <c r="Y26" i="1"/>
  <c r="Z26" i="1"/>
  <c r="AA26" i="1"/>
  <c r="X27" i="1"/>
  <c r="Y27" i="1"/>
  <c r="Z27" i="1"/>
  <c r="AA27" i="1"/>
  <c r="X28" i="1"/>
  <c r="Y28" i="1"/>
  <c r="Z28" i="1"/>
  <c r="AA28" i="1"/>
  <c r="X29" i="1"/>
  <c r="Y29" i="1"/>
  <c r="Z29" i="1"/>
  <c r="AA29" i="1"/>
  <c r="X30" i="1"/>
  <c r="Y30" i="1"/>
  <c r="Z30" i="1"/>
  <c r="AA30" i="1"/>
  <c r="X31" i="1"/>
  <c r="Y31" i="1"/>
  <c r="Z31" i="1"/>
  <c r="AA31" i="1"/>
  <c r="X32" i="1"/>
  <c r="Y32" i="1"/>
  <c r="Z32" i="1"/>
  <c r="AA32" i="1"/>
  <c r="X33" i="1"/>
  <c r="Y33" i="1"/>
  <c r="Z33" i="1"/>
  <c r="AA33" i="1"/>
  <c r="X34" i="1"/>
  <c r="Y34" i="1"/>
  <c r="Z34" i="1"/>
  <c r="AA34" i="1"/>
  <c r="X35" i="1"/>
  <c r="Y35" i="1"/>
  <c r="Z35" i="1"/>
  <c r="AA35" i="1"/>
  <c r="X36" i="1"/>
  <c r="Y36" i="1"/>
  <c r="Z36" i="1"/>
  <c r="AA36" i="1"/>
  <c r="X37" i="1"/>
  <c r="Y37" i="1"/>
  <c r="Z37" i="1"/>
  <c r="AA37" i="1"/>
  <c r="X38" i="1"/>
  <c r="Y38" i="1"/>
  <c r="Z38" i="1"/>
  <c r="AA38" i="1"/>
  <c r="X39" i="1"/>
  <c r="Y39" i="1"/>
  <c r="Z39" i="1"/>
  <c r="AA39" i="1"/>
  <c r="X40" i="1"/>
  <c r="Y40" i="1"/>
  <c r="Z40" i="1"/>
  <c r="AA40" i="1"/>
  <c r="X41" i="1"/>
  <c r="Y41" i="1"/>
  <c r="Z41" i="1"/>
  <c r="AA41" i="1"/>
  <c r="X42" i="1"/>
  <c r="Y42" i="1"/>
  <c r="Z42" i="1"/>
  <c r="AA42" i="1"/>
  <c r="X43" i="1"/>
  <c r="Y43" i="1"/>
  <c r="Z43" i="1"/>
  <c r="AA43" i="1"/>
  <c r="AA6" i="1"/>
  <c r="Z6" i="1"/>
  <c r="Y6" i="1"/>
  <c r="X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6" i="1"/>
  <c r="V28" i="1" l="1"/>
  <c r="U21" i="1"/>
  <c r="U25" i="1"/>
  <c r="U26" i="1"/>
  <c r="U27" i="1"/>
  <c r="U28" i="1"/>
  <c r="U30" i="1"/>
  <c r="R34" i="1"/>
  <c r="AC34" i="1" s="1"/>
  <c r="V6" i="1"/>
  <c r="AC24" i="1"/>
  <c r="R43" i="1"/>
  <c r="AC43" i="1" s="1"/>
  <c r="R42" i="1"/>
  <c r="AC42" i="1" s="1"/>
  <c r="R22" i="1"/>
  <c r="AC22" i="1" s="1"/>
  <c r="R41" i="1"/>
  <c r="AC41" i="1" s="1"/>
  <c r="AC40" i="1"/>
  <c r="AC39" i="1"/>
  <c r="R18" i="1"/>
  <c r="AC18" i="1" s="1"/>
  <c r="R37" i="1"/>
  <c r="AC37" i="1" s="1"/>
  <c r="R17" i="1"/>
  <c r="AC17" i="1" s="1"/>
  <c r="AC16" i="1"/>
  <c r="AC15" i="1"/>
  <c r="AC14" i="1"/>
  <c r="R33" i="1"/>
  <c r="AC33" i="1" s="1"/>
  <c r="AC31" i="1"/>
  <c r="R11" i="1"/>
  <c r="AC11" i="1" s="1"/>
  <c r="U44" i="1"/>
  <c r="U19" i="1"/>
  <c r="U38" i="1"/>
  <c r="U36" i="1"/>
  <c r="U35" i="1"/>
  <c r="U10" i="1"/>
  <c r="U8" i="1"/>
  <c r="U7" i="1"/>
  <c r="U23" i="1"/>
  <c r="U13" i="1"/>
  <c r="U32" i="1"/>
  <c r="U12" i="1"/>
  <c r="U29" i="1"/>
  <c r="U9" i="1"/>
  <c r="V36" i="1"/>
  <c r="U20" i="1"/>
  <c r="V16" i="1"/>
  <c r="U6" i="1"/>
  <c r="V35" i="1"/>
  <c r="V15" i="1"/>
  <c r="V44" i="1"/>
  <c r="V34" i="1"/>
  <c r="V24" i="1"/>
  <c r="V14" i="1"/>
  <c r="V43" i="1"/>
  <c r="V33" i="1"/>
  <c r="V23" i="1"/>
  <c r="V13" i="1"/>
  <c r="V42" i="1"/>
  <c r="V32" i="1"/>
  <c r="V22" i="1"/>
  <c r="V12" i="1"/>
  <c r="V41" i="1"/>
  <c r="V31" i="1"/>
  <c r="V11" i="1"/>
  <c r="V40" i="1"/>
  <c r="V20" i="1"/>
  <c r="V10" i="1"/>
  <c r="V39" i="1"/>
  <c r="V29" i="1"/>
  <c r="V19" i="1"/>
  <c r="V9" i="1"/>
  <c r="V38" i="1"/>
  <c r="V18" i="1"/>
  <c r="V8" i="1"/>
  <c r="V37" i="1"/>
  <c r="V17" i="1"/>
  <c r="V7" i="1"/>
  <c r="F5" i="1"/>
  <c r="S5" i="1"/>
  <c r="N5" i="1"/>
  <c r="M5" i="1"/>
  <c r="K5" i="1"/>
  <c r="U43" i="1" l="1"/>
  <c r="U40" i="1"/>
  <c r="U42" i="1"/>
  <c r="U41" i="1"/>
  <c r="U39" i="1"/>
  <c r="U24" i="1"/>
  <c r="U22" i="1"/>
  <c r="U14" i="1"/>
  <c r="U34" i="1"/>
  <c r="U11" i="1"/>
  <c r="U31" i="1"/>
  <c r="U15" i="1"/>
  <c r="U16" i="1"/>
  <c r="U33" i="1"/>
  <c r="U17" i="1"/>
  <c r="U37" i="1"/>
  <c r="U18" i="1"/>
  <c r="Q5" i="1"/>
  <c r="Z5" i="1"/>
  <c r="AA5" i="1"/>
  <c r="E5" i="1"/>
  <c r="X5" i="1"/>
  <c r="Y5" i="1"/>
  <c r="O5" i="1"/>
  <c r="W5" i="1"/>
  <c r="R5" i="1" l="1"/>
  <c r="AC5" i="1"/>
  <c r="L5" i="1"/>
</calcChain>
</file>

<file path=xl/sharedStrings.xml><?xml version="1.0" encoding="utf-8"?>
<sst xmlns="http://schemas.openxmlformats.org/spreadsheetml/2006/main" count="130" uniqueCount="75">
  <si>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</si>
  <si>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</si>
  <si>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</si>
  <si>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</si>
  <si>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</si>
  <si>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</si>
  <si>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</si>
  <si>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</si>
  <si>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</si>
  <si>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</si>
  <si>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</si>
  <si>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</si>
  <si>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</si>
  <si>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</si>
  <si>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</si>
  <si>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</si>
  <si>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</si>
  <si>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</si>
  <si>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</si>
  <si>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</si>
  <si>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</si>
  <si>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</si>
  <si>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</si>
  <si>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</si>
  <si>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29,06,</t>
  </si>
  <si>
    <t>26,01,</t>
  </si>
  <si>
    <t>22,06,</t>
  </si>
  <si>
    <t>15,06,</t>
  </si>
  <si>
    <t>08,06,</t>
  </si>
  <si>
    <t>01,06,</t>
  </si>
  <si>
    <t>25,05,</t>
  </si>
  <si>
    <t>Сыр рассольный жирный Чечил 45% 100 гр  ОСТАНКИНО</t>
  </si>
  <si>
    <t>Сыр Творожный с зеленью 60% Папа может 140 гр.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</si>
  <si>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</si>
  <si>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</si>
  <si>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</si>
  <si>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</si>
  <si>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</si>
  <si>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</si>
  <si>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</si>
  <si>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</si>
  <si>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</si>
  <si>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</si>
  <si>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</si>
  <si>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</si>
  <si>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</si>
  <si>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</si>
  <si>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</si>
  <si>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</si>
  <si>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</si>
  <si>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</si>
  <si>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</si>
  <si>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</si>
  <si>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</si>
  <si>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</si>
  <si>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</si>
  <si>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</si>
  <si>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</si>
  <si>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</si>
  <si>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</si>
  <si>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</si>
  <si>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</si>
  <si>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</si>
  <si>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</si>
  <si>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</si>
  <si>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</si>
  <si>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</si>
  <si>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</si>
  <si>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</si>
  <si>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</si>
  <si>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</si>
  <si>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</si>
  <si>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продажи!!!</t>
  </si>
  <si>
    <t>нужно увеличить продажи</t>
  </si>
  <si>
    <t>29,06,(доп)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</si>
</sst>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1" fillId="0" borderId="1"/>
  </cellStyleXfs>
  <cellXfs count="1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2" xfId="1" applyNumberFormat="1" applyBorder="1"/>
    <xf numFmtId="164" fontId="5" fillId="5" borderId="1" xfId="1" applyNumberFormat="1" applyFont="1" applyFill="1"/>
    <xf numFmtId="164" fontId="1" fillId="5" borderId="1" xfId="1" applyNumberForma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ather/Work/2025_05/&#1056;&#1040;&#1041;&#1054;&#1063;&#1048;&#1049;%20&#1057;&#1058;&#1054;&#1051;/&#1088;&#1072;&#1089;&#1095;&#1077;&#1090;&#1099;%20&#1054;&#1089;&#1090;&#1072;&#1085;&#1082;&#1080;&#1085;&#1086;%20&#1057;&#1067;&#1056;&#1067;/&#1044;&#1086;&#1085;&#1077;&#1094;&#1082;/&#1079;&#1072;&#1103;&#1074;&#1083;&#1077;&#1085;&#1086;-&#1086;&#1090;&#1075;&#1088;&#1091;&#1078;&#1077;&#1085;&#1086;%20&#1044;&#1086;&#1085;&#1077;&#1094;&#1082;%2023,06,26-29,06,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Father/Work/2025_05/&#1056;&#1040;&#1041;&#1054;&#1063;&#1048;&#1049;%20&#1057;&#1058;&#1054;&#1051;/&#1088;&#1072;&#1089;&#1095;&#1077;&#1090;&#1099;%20&#1054;&#1089;&#1090;&#1072;&#1085;&#1082;&#1080;&#1085;&#1086;%20&#1057;&#1067;&#1056;&#1067;/&#1044;&#1086;&#1085;&#1077;&#1094;&#1082;/&#1044;&#1074;.&#1054;&#1089;&#1090;&#1072;&#1085;&#1082;&#1080;&#1085;&#1086;%20&#1057;&#1099;&#1088;%20&#1086;&#1090;%2022,06,26,%20&#1044;&#1086;&#1085;&#1077;&#1094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23.06.2026 - 29.06.2026</v>
          </cell>
        </row>
        <row r="4">
          <cell r="A4" t="str">
            <v>Документ.Склад</v>
          </cell>
          <cell r="E4" t="str">
            <v>по заказам</v>
          </cell>
        </row>
        <row r="5">
          <cell r="A5" t="str">
            <v>Номенклатура</v>
          </cell>
          <cell r="E5" t="str">
            <v>Заказано</v>
          </cell>
        </row>
        <row r="6">
          <cell r="A6" t="str">
            <v>АСП Донецк Останкино молоко</v>
          </cell>
          <cell r="E6">
            <v>3477.078</v>
          </cell>
        </row>
        <row r="7">
          <cell r="A7" t="str">
            <v>Останкино ООО</v>
          </cell>
          <cell r="E7">
            <v>3477.078</v>
          </cell>
        </row>
        <row r="8">
          <cell r="A8" t="str">
            <v>Останкино (соусы, майонезы)</v>
          </cell>
          <cell r="E8">
            <v>545</v>
          </cell>
        </row>
        <row r="9">
          <cell r="A9" t="str">
            <v>6948249 Майонезный соус провансаль 824,5гр деликатес.с массовой долей жирн.25% Коровино Останкино</v>
          </cell>
          <cell r="E9">
            <v>2</v>
          </cell>
        </row>
        <row r="10">
          <cell r="A10" t="str">
            <v>6948256 Майонез провансаль классич.оливковый Папа может 372гр с массовой долей жирн. 67% Останкино</v>
          </cell>
          <cell r="E10">
            <v>158</v>
          </cell>
        </row>
        <row r="11">
          <cell r="A11" t="str">
            <v>6948263 Майонез провансаль классич.оливковый Папа может 744гр с массовой долей жирн. 67% Останкино</v>
          </cell>
          <cell r="E11">
            <v>50</v>
          </cell>
        </row>
        <row r="12">
          <cell r="A12" t="str">
            <v>6948270 Майонез провансаль классич.Папа может 372гр с массовой долей жирн. 67% Останкино</v>
          </cell>
          <cell r="E12">
            <v>238</v>
          </cell>
        </row>
        <row r="13">
          <cell r="A13" t="str">
            <v>6948287 Майонез провансаль классич.Папа может 744гр с массовой долей жирн. 67% Останкино</v>
          </cell>
          <cell r="E13">
            <v>97</v>
          </cell>
        </row>
        <row r="14">
          <cell r="A14" t="str">
            <v>Останкино СЫР</v>
          </cell>
          <cell r="E14">
            <v>2932.078</v>
          </cell>
        </row>
        <row r="15">
          <cell r="A15" t="str">
            <v>3323 Сыр Российский цилиндр 1/4 пленка ЮКМП м.д.ж. 50%  ОСТАНКИНО</v>
          </cell>
          <cell r="E15">
            <v>69.900000000000006</v>
          </cell>
        </row>
        <row r="16">
          <cell r="A16" t="str">
            <v>3534796 Масло сливочное ж.82,5% 180г фольга ТМ Папа может(вл 12)  Останкино</v>
          </cell>
          <cell r="E16">
            <v>2</v>
          </cell>
        </row>
        <row r="17">
          <cell r="A17" t="str">
            <v>4421577 Спред растительно-сливочный "Сливочный вкус" 82,5% 180гр  Останкино</v>
          </cell>
          <cell r="E17">
            <v>13</v>
          </cell>
        </row>
        <row r="18">
          <cell r="A18" t="str">
            <v>4421584 Спред растительно-сливочный "Сливочный вкус" 72,5% 180гр  Останкино</v>
          </cell>
          <cell r="E18">
            <v>14</v>
          </cell>
        </row>
        <row r="19">
          <cell r="A19" t="str">
            <v>4931  Сыр полутвердый "Купеческий" с ароматом топленого молока, с м.д.ж. 50% ОСТАНКИНО</v>
          </cell>
          <cell r="E19">
            <v>27.616</v>
          </cell>
        </row>
        <row r="20">
          <cell r="A20" t="str">
            <v>9988438 Плавленый Сыр 45% "С ветчиной" СТМ"ПапаМожет" 180гр  Останкино</v>
          </cell>
          <cell r="E20">
            <v>51</v>
          </cell>
        </row>
        <row r="21">
          <cell r="A21" t="str">
            <v>9988445 Плавленый Сыр 45%"С грибами" СТМ"ПапаМожет" 180 гр  Останкино</v>
          </cell>
          <cell r="E21">
            <v>51</v>
          </cell>
        </row>
        <row r="22">
          <cell r="A22" t="str">
            <v>Масло "Папа может" 82,5% 180гр  Останкино</v>
          </cell>
          <cell r="E22">
            <v>301</v>
          </cell>
        </row>
        <row r="23">
          <cell r="A23" t="str">
            <v>Масло сливочное 72,5 % 180 гр.(10 шт) СЛАВЯНА  Останкино</v>
          </cell>
          <cell r="E23">
            <v>104</v>
          </cell>
        </row>
        <row r="24">
          <cell r="A24" t="str">
            <v>Плавленый продукт с Сыром колбасный копченый 40% СТМ "Коровино" 400гр  Останкино</v>
          </cell>
          <cell r="E24">
            <v>12</v>
          </cell>
        </row>
        <row r="25">
          <cell r="A25" t="str">
            <v>Плавленый Сыр колбасный копченый 40% СТМ"ПапаМожет"400гр  Останкино</v>
          </cell>
          <cell r="E25">
            <v>8</v>
          </cell>
        </row>
        <row r="26">
          <cell r="A26" t="str">
            <v>Сыр "Пармезан" 40% кусок 180 гр  ОСТАНКИНО</v>
          </cell>
          <cell r="E26">
            <v>93</v>
          </cell>
        </row>
        <row r="27">
          <cell r="A27" t="str">
            <v>Сыр Боккончини копченый 40% 100 гр.  ОСТАНКИНО</v>
          </cell>
          <cell r="E27">
            <v>118</v>
          </cell>
        </row>
        <row r="28">
          <cell r="A28" t="str">
            <v>Сыр Косичка сырная 45% 100г/8шт Папа Может Останкино</v>
          </cell>
          <cell r="E28">
            <v>110</v>
          </cell>
        </row>
        <row r="29">
          <cell r="A29" t="str">
            <v>Сыр Косичка сырная копченая 43% 100г/8шт Папа Может Останкино</v>
          </cell>
          <cell r="E29">
            <v>93</v>
          </cell>
        </row>
        <row r="30">
          <cell r="A30" t="str">
            <v>Сыр ПАПА МОЖЕТ "Гауда Голд" 45 % 180 гр (10шт) Останкино</v>
          </cell>
          <cell r="E30">
            <v>76</v>
          </cell>
        </row>
        <row r="31">
          <cell r="A31" t="str">
            <v>Сыр ПАПА МОЖЕТ "Голландский традиционный" 45% 180 гр (10шт)  Останкино</v>
          </cell>
          <cell r="E31">
            <v>296</v>
          </cell>
        </row>
        <row r="32">
          <cell r="A32" t="str">
            <v>Сыр ПАПА МОЖЕТ "Министерский" 180 г фасованный массовая  Останкино</v>
          </cell>
          <cell r="E32">
            <v>32</v>
          </cell>
        </row>
        <row r="33">
          <cell r="A33" t="str">
            <v>Сыр ПАПА МОЖЕТ "Папин завтрак"  45% 180 г  Останкино</v>
          </cell>
          <cell r="E33">
            <v>19</v>
          </cell>
        </row>
        <row r="34">
          <cell r="A34" t="str">
            <v>Сыр ПАПА МОЖЕТ "Российский традиционный"45 % 180 г Останкино</v>
          </cell>
          <cell r="E34">
            <v>341</v>
          </cell>
        </row>
        <row r="35">
          <cell r="A35" t="str">
            <v>Сыр ПАПА МОЖЕТ "Тильзитер" фасованный массовая доля жира в сухом веществе 45%, 180г  Останкино</v>
          </cell>
          <cell r="E35">
            <v>153</v>
          </cell>
        </row>
        <row r="36">
          <cell r="A36" t="str">
            <v>Сыр Папа Может Российский  50% 200гр    Останкино</v>
          </cell>
          <cell r="E36">
            <v>1</v>
          </cell>
        </row>
        <row r="37">
          <cell r="A37" t="str">
            <v>Сыр Папа Может Тильзитер   45% 200гр     Останкино</v>
          </cell>
          <cell r="E37">
            <v>1</v>
          </cell>
        </row>
        <row r="38">
          <cell r="A38" t="str">
            <v>Сыр плавленный Сливочный ж.45% 180г ТМ Папа может (16шт)  Останкино</v>
          </cell>
          <cell r="E38">
            <v>49</v>
          </cell>
        </row>
        <row r="39">
          <cell r="A39" t="str">
            <v>Сыр полутвердый "Гауда" с массовой долей жира в пересчете на сухое вещество 45%,   Останкино</v>
          </cell>
          <cell r="E39">
            <v>2.5</v>
          </cell>
        </row>
        <row r="40">
          <cell r="A40" t="str">
            <v>Сыр полутвердый "Голландский" с массовой долей жира в пересчете на сухое  Останкино</v>
          </cell>
          <cell r="E40">
            <v>17.5</v>
          </cell>
        </row>
        <row r="41">
          <cell r="A41" t="str">
            <v>Сыр полутвердый "Сметанковый", с масс долей жира в пересчете на сухое вещес50%, брус  Останкино</v>
          </cell>
          <cell r="E41">
            <v>48.362000000000002</v>
          </cell>
        </row>
        <row r="42">
          <cell r="A42" t="str">
            <v>Сыр полутвердый "Тильзитер" с массовой долей жира в пересчете на сухое вещество 45%. 1/5  Останкино</v>
          </cell>
          <cell r="E42">
            <v>24.2</v>
          </cell>
        </row>
        <row r="43">
          <cell r="A43" t="str">
            <v>Сыр рассольный жирный Чечил 45% 100 гр  ОСТАНКИНО</v>
          </cell>
          <cell r="E43">
            <v>255</v>
          </cell>
        </row>
        <row r="44">
          <cell r="A44" t="str">
            <v>Сыр рассольный жирный Чечил копченый 43% 100 гр  Останкино</v>
          </cell>
          <cell r="E44">
            <v>220</v>
          </cell>
        </row>
        <row r="45">
          <cell r="A45" t="str">
            <v>Сыр твердый "Пармезан", с масовой долей жира 35% Останкино</v>
          </cell>
          <cell r="E45">
            <v>11.8</v>
          </cell>
        </row>
        <row r="46">
          <cell r="A46" t="str">
            <v>Сыр Творожный с зеленью 60% Папа может 140 гр.  Останкино</v>
          </cell>
          <cell r="E46">
            <v>48</v>
          </cell>
        </row>
        <row r="47">
          <cell r="A47" t="str">
            <v>Сыр творожный Сливочный 140 гр.  Останкино</v>
          </cell>
          <cell r="E47">
            <v>83</v>
          </cell>
        </row>
        <row r="48">
          <cell r="A48" t="str">
            <v>Сыч/Прод Коровино Российский 50% 200г НОВАЯ СЗМЖ  ОСТАНКИНО</v>
          </cell>
          <cell r="E48">
            <v>76</v>
          </cell>
        </row>
        <row r="49">
          <cell r="A49" t="str">
            <v>Сыч/Прод Коровино Российский Оригин 50% ВЕС НОВАЯ (3,5 кг)  ОСТАНКИНО</v>
          </cell>
          <cell r="E49">
            <v>24.7</v>
          </cell>
        </row>
        <row r="50">
          <cell r="A50" t="str">
            <v>Сыч/Прод Коровино Тильзитер 50% 200г НОВАЯ СЗМЖ  ОСТАНКИНО</v>
          </cell>
          <cell r="E50">
            <v>75</v>
          </cell>
        </row>
        <row r="51">
          <cell r="A51" t="str">
            <v>Сыч/Прод Коровино Тильзитер Оригин 50% ВЕС НОВАЯ (5 кг брус) СЗМЖ  ОСТАНКИНО</v>
          </cell>
          <cell r="E51">
            <v>10.5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15.06.2026 - 22.06.2026</v>
          </cell>
        </row>
        <row r="6">
          <cell r="A6" t="str">
            <v>Склад В списке "АСП Донецк Останкино моло..." И
Номенклатура В группе из списка "Останкино ООО"</v>
          </cell>
        </row>
        <row r="7">
          <cell r="R7" t="str">
            <v>итого</v>
          </cell>
          <cell r="S7" t="str">
            <v>розница</v>
          </cell>
          <cell r="U7" t="str">
            <v>сети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Начальный остаток</v>
          </cell>
          <cell r="D8" t="str">
            <v>Приход</v>
          </cell>
          <cell r="E8" t="str">
            <v>Расход</v>
          </cell>
          <cell r="F8" t="str">
            <v>Конечный остаток</v>
          </cell>
          <cell r="G8" t="str">
            <v>крат</v>
          </cell>
          <cell r="H8" t="str">
            <v>сроки</v>
          </cell>
          <cell r="I8" t="str">
            <v>метка</v>
          </cell>
          <cell r="J8" t="str">
            <v>метка2</v>
          </cell>
          <cell r="K8" t="str">
            <v>заяв</v>
          </cell>
          <cell r="L8" t="str">
            <v>разн</v>
          </cell>
          <cell r="M8" t="str">
            <v>без опта</v>
          </cell>
          <cell r="N8" t="str">
            <v>опт</v>
          </cell>
          <cell r="O8" t="str">
            <v>Заказ</v>
          </cell>
          <cell r="P8" t="str">
            <v>ср нов</v>
          </cell>
          <cell r="Q8" t="str">
            <v>расчет</v>
          </cell>
          <cell r="R8" t="str">
            <v>заказ</v>
          </cell>
          <cell r="S8" t="str">
            <v>заказ филиала</v>
          </cell>
          <cell r="T8" t="str">
            <v>Комментарии филиала</v>
          </cell>
          <cell r="U8" t="str">
            <v>заказ филиала</v>
          </cell>
          <cell r="V8" t="str">
            <v>Комментарии филиала</v>
          </cell>
          <cell r="W8" t="str">
            <v>кон ост</v>
          </cell>
          <cell r="X8" t="str">
            <v>факт</v>
          </cell>
          <cell r="Y8" t="str">
            <v>ср</v>
          </cell>
          <cell r="Z8" t="str">
            <v>ср</v>
          </cell>
          <cell r="AA8" t="str">
            <v>ср</v>
          </cell>
          <cell r="AB8" t="str">
            <v>ср</v>
          </cell>
        </row>
        <row r="9">
          <cell r="O9" t="str">
            <v>22,06,</v>
          </cell>
          <cell r="P9" t="str">
            <v>22,06,</v>
          </cell>
          <cell r="Q9" t="str">
            <v>28,06,</v>
          </cell>
          <cell r="R9" t="str">
            <v>29,06,</v>
          </cell>
          <cell r="S9" t="str">
            <v>29,06,</v>
          </cell>
          <cell r="U9" t="str">
            <v>29,06,</v>
          </cell>
          <cell r="Y9" t="str">
            <v>26,05,</v>
          </cell>
          <cell r="Z9" t="str">
            <v>01,05,</v>
          </cell>
          <cell r="AA9" t="str">
            <v>08,06,</v>
          </cell>
          <cell r="AB9" t="str">
            <v>15,06,</v>
          </cell>
        </row>
        <row r="10">
          <cell r="C10">
            <v>10984.020999999999</v>
          </cell>
          <cell r="D10">
            <v>1894.7819999999999</v>
          </cell>
          <cell r="E10">
            <v>3056.6879999999992</v>
          </cell>
          <cell r="F10">
            <v>9316.023000000001</v>
          </cell>
          <cell r="K10">
            <v>3202.0520000000001</v>
          </cell>
          <cell r="L10">
            <v>-145.364</v>
          </cell>
          <cell r="N10">
            <v>0</v>
          </cell>
          <cell r="O10">
            <v>1190</v>
          </cell>
          <cell r="P10">
            <v>611.33759999999984</v>
          </cell>
          <cell r="Q10">
            <v>5200.768</v>
          </cell>
          <cell r="R10">
            <v>5248</v>
          </cell>
          <cell r="S10">
            <v>2265</v>
          </cell>
          <cell r="U10">
            <v>2983</v>
          </cell>
          <cell r="Y10">
            <v>429.01400000000007</v>
          </cell>
          <cell r="Z10">
            <v>516.0128000000002</v>
          </cell>
          <cell r="AA10">
            <v>391.67239999999998</v>
          </cell>
          <cell r="AB10">
            <v>375.51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415.23700000000002</v>
          </cell>
          <cell r="D11">
            <v>1.482</v>
          </cell>
          <cell r="E11">
            <v>50.137999999999998</v>
          </cell>
          <cell r="F11">
            <v>363.27300000000002</v>
          </cell>
          <cell r="G11">
            <v>1</v>
          </cell>
          <cell r="H11">
            <v>0</v>
          </cell>
          <cell r="I11">
            <v>8783323</v>
          </cell>
          <cell r="K11">
            <v>52.04</v>
          </cell>
          <cell r="L11">
            <v>-1.902000000000001</v>
          </cell>
          <cell r="O11">
            <v>0</v>
          </cell>
          <cell r="P11">
            <v>10.0276</v>
          </cell>
          <cell r="R11">
            <v>0</v>
          </cell>
          <cell r="S11">
            <v>0</v>
          </cell>
          <cell r="U11">
            <v>0</v>
          </cell>
          <cell r="W11">
            <v>36.227312617176594</v>
          </cell>
          <cell r="X11">
            <v>36.227312617176594</v>
          </cell>
          <cell r="Y11">
            <v>4.0884</v>
          </cell>
          <cell r="Z11">
            <v>6.2723999999999993</v>
          </cell>
          <cell r="AA11">
            <v>5.9976000000000003</v>
          </cell>
          <cell r="AB11">
            <v>4.4912000000000001</v>
          </cell>
        </row>
        <row r="12">
          <cell r="A12" t="str">
            <v>4421577 Спред растительно-сливочный "Сливочный вкус" 82,5% 180гр  Останкино</v>
          </cell>
          <cell r="B12" t="str">
            <v>шт</v>
          </cell>
          <cell r="C12">
            <v>99</v>
          </cell>
          <cell r="E12">
            <v>2</v>
          </cell>
          <cell r="F12">
            <v>97</v>
          </cell>
          <cell r="G12">
            <v>0.18</v>
          </cell>
          <cell r="H12" t="e">
            <v>#N/A</v>
          </cell>
          <cell r="I12">
            <v>4421577</v>
          </cell>
          <cell r="K12">
            <v>5</v>
          </cell>
          <cell r="L12">
            <v>-3</v>
          </cell>
          <cell r="O12">
            <v>0</v>
          </cell>
          <cell r="P12">
            <v>0.4</v>
          </cell>
          <cell r="R12">
            <v>0</v>
          </cell>
          <cell r="S12">
            <v>0</v>
          </cell>
          <cell r="U12">
            <v>0</v>
          </cell>
          <cell r="W12">
            <v>242.5</v>
          </cell>
          <cell r="X12">
            <v>242.5</v>
          </cell>
          <cell r="Y12">
            <v>2.4</v>
          </cell>
          <cell r="Z12">
            <v>4.2</v>
          </cell>
          <cell r="AA12">
            <v>2.6</v>
          </cell>
          <cell r="AB12">
            <v>0.6</v>
          </cell>
        </row>
        <row r="13">
          <cell r="A13" t="str">
            <v>4421584 Спред растительно-сливочный "Сливочный вкус" 72,5% 180гр  Останкино</v>
          </cell>
          <cell r="B13" t="str">
            <v>шт</v>
          </cell>
          <cell r="C13">
            <v>70</v>
          </cell>
          <cell r="E13">
            <v>2</v>
          </cell>
          <cell r="F13">
            <v>68</v>
          </cell>
          <cell r="G13">
            <v>0.18</v>
          </cell>
          <cell r="H13" t="e">
            <v>#N/A</v>
          </cell>
          <cell r="I13">
            <v>4421584</v>
          </cell>
          <cell r="K13">
            <v>5</v>
          </cell>
          <cell r="L13">
            <v>-3</v>
          </cell>
          <cell r="O13">
            <v>0</v>
          </cell>
          <cell r="P13">
            <v>0.4</v>
          </cell>
          <cell r="R13">
            <v>0</v>
          </cell>
          <cell r="S13">
            <v>0</v>
          </cell>
          <cell r="U13">
            <v>0</v>
          </cell>
          <cell r="W13">
            <v>170</v>
          </cell>
          <cell r="X13">
            <v>170</v>
          </cell>
          <cell r="Y13">
            <v>1.4</v>
          </cell>
          <cell r="Z13">
            <v>3.6</v>
          </cell>
          <cell r="AA13">
            <v>2.6</v>
          </cell>
          <cell r="AB13">
            <v>0.6</v>
          </cell>
        </row>
        <row r="14">
          <cell r="A14" t="str">
            <v>4931  Сыр полутвердый "Купеческий" с ароматом топленого молока, с м.д.ж. 50% ОСТАНКИНО</v>
          </cell>
          <cell r="B14" t="str">
            <v>кг</v>
          </cell>
          <cell r="C14">
            <v>198.80799999999999</v>
          </cell>
          <cell r="E14">
            <v>16.739999999999998</v>
          </cell>
          <cell r="F14">
            <v>182.06800000000001</v>
          </cell>
          <cell r="G14">
            <v>1</v>
          </cell>
          <cell r="H14" t="e">
            <v>#N/A</v>
          </cell>
          <cell r="I14">
            <v>0</v>
          </cell>
          <cell r="K14">
            <v>0</v>
          </cell>
          <cell r="L14">
            <v>16.739999999999998</v>
          </cell>
          <cell r="O14">
            <v>0</v>
          </cell>
          <cell r="P14">
            <v>3.3479999999999999</v>
          </cell>
          <cell r="R14">
            <v>0</v>
          </cell>
          <cell r="S14">
            <v>0</v>
          </cell>
          <cell r="U14">
            <v>0</v>
          </cell>
          <cell r="W14">
            <v>54.381123058542421</v>
          </cell>
          <cell r="X14">
            <v>54.381123058542421</v>
          </cell>
          <cell r="Y14">
            <v>0</v>
          </cell>
          <cell r="Z14">
            <v>0</v>
          </cell>
          <cell r="AA14">
            <v>0</v>
          </cell>
          <cell r="AB14">
            <v>2.6175999999999999</v>
          </cell>
        </row>
        <row r="15">
          <cell r="A15" t="str">
            <v>6948249 Майонезный соус провансаль 824,5гр деликатес.с массовой долей жирн.25% Коровино Останкино</v>
          </cell>
          <cell r="B15" t="str">
            <v>шт</v>
          </cell>
          <cell r="C15">
            <v>148</v>
          </cell>
          <cell r="E15">
            <v>3</v>
          </cell>
          <cell r="F15">
            <v>145</v>
          </cell>
          <cell r="G15">
            <v>0.82450000000000001</v>
          </cell>
          <cell r="H15">
            <v>180</v>
          </cell>
          <cell r="I15">
            <v>6948249</v>
          </cell>
          <cell r="K15">
            <v>3</v>
          </cell>
          <cell r="L15">
            <v>0</v>
          </cell>
          <cell r="O15">
            <v>0</v>
          </cell>
          <cell r="P15">
            <v>0.6</v>
          </cell>
          <cell r="R15">
            <v>0</v>
          </cell>
          <cell r="S15">
            <v>0</v>
          </cell>
          <cell r="U15">
            <v>0</v>
          </cell>
          <cell r="W15">
            <v>241.66666666666669</v>
          </cell>
          <cell r="X15">
            <v>241.66666666666669</v>
          </cell>
          <cell r="Y15">
            <v>0</v>
          </cell>
          <cell r="Z15">
            <v>0.4</v>
          </cell>
          <cell r="AA15">
            <v>1</v>
          </cell>
          <cell r="AB15">
            <v>0.2</v>
          </cell>
        </row>
        <row r="16">
          <cell r="A16" t="str">
            <v>6948256 Майонез провансаль классич.оливковый Папа может 372гр с массовой долей жирн. 67% Останкино</v>
          </cell>
          <cell r="B16" t="str">
            <v>шт</v>
          </cell>
          <cell r="C16">
            <v>604</v>
          </cell>
          <cell r="E16">
            <v>22</v>
          </cell>
          <cell r="F16">
            <v>582</v>
          </cell>
          <cell r="G16">
            <v>0.372</v>
          </cell>
          <cell r="H16">
            <v>180</v>
          </cell>
          <cell r="I16">
            <v>6948256</v>
          </cell>
          <cell r="K16">
            <v>24</v>
          </cell>
          <cell r="L16">
            <v>-2</v>
          </cell>
          <cell r="O16">
            <v>0</v>
          </cell>
          <cell r="P16">
            <v>4.4000000000000004</v>
          </cell>
          <cell r="R16">
            <v>0</v>
          </cell>
          <cell r="S16">
            <v>0</v>
          </cell>
          <cell r="U16">
            <v>0</v>
          </cell>
          <cell r="W16">
            <v>132.27272727272725</v>
          </cell>
          <cell r="X16">
            <v>132.27272727272725</v>
          </cell>
          <cell r="Y16">
            <v>19.600000000000001</v>
          </cell>
          <cell r="Z16">
            <v>10</v>
          </cell>
          <cell r="AA16">
            <v>10.6</v>
          </cell>
          <cell r="AB16">
            <v>10.4</v>
          </cell>
        </row>
        <row r="17">
          <cell r="A17" t="str">
            <v>6948263 Майонез провансаль классич.оливковый Папа может 744гр с массовой долей жирн. 67% Останкино</v>
          </cell>
          <cell r="B17" t="str">
            <v>шт</v>
          </cell>
          <cell r="C17">
            <v>495</v>
          </cell>
          <cell r="E17">
            <v>16</v>
          </cell>
          <cell r="F17">
            <v>479</v>
          </cell>
          <cell r="G17">
            <v>0.74399999999999999</v>
          </cell>
          <cell r="H17">
            <v>180</v>
          </cell>
          <cell r="I17">
            <v>6948263</v>
          </cell>
          <cell r="K17">
            <v>16</v>
          </cell>
          <cell r="L17">
            <v>0</v>
          </cell>
          <cell r="O17">
            <v>0</v>
          </cell>
          <cell r="P17">
            <v>3.2</v>
          </cell>
          <cell r="R17">
            <v>0</v>
          </cell>
          <cell r="S17">
            <v>0</v>
          </cell>
          <cell r="U17">
            <v>0</v>
          </cell>
          <cell r="W17">
            <v>149.6875</v>
          </cell>
          <cell r="X17">
            <v>149.6875</v>
          </cell>
          <cell r="Y17">
            <v>5</v>
          </cell>
          <cell r="Z17">
            <v>4</v>
          </cell>
          <cell r="AA17">
            <v>4.2</v>
          </cell>
          <cell r="AB17">
            <v>2.4</v>
          </cell>
        </row>
        <row r="18">
          <cell r="A18" t="str">
            <v>6948270 Майонез провансаль классич.Папа может 372гр с массовой долей жирн. 67% Останкино</v>
          </cell>
          <cell r="B18" t="str">
            <v>шт</v>
          </cell>
          <cell r="C18">
            <v>1226</v>
          </cell>
          <cell r="E18">
            <v>60</v>
          </cell>
          <cell r="F18">
            <v>1166</v>
          </cell>
          <cell r="G18">
            <v>0.372</v>
          </cell>
          <cell r="H18">
            <v>180</v>
          </cell>
          <cell r="I18">
            <v>6948270</v>
          </cell>
          <cell r="K18">
            <v>60</v>
          </cell>
          <cell r="L18">
            <v>0</v>
          </cell>
          <cell r="O18">
            <v>0</v>
          </cell>
          <cell r="P18">
            <v>12</v>
          </cell>
          <cell r="R18">
            <v>0</v>
          </cell>
          <cell r="S18">
            <v>0</v>
          </cell>
          <cell r="U18">
            <v>0</v>
          </cell>
          <cell r="W18">
            <v>97.166666666666671</v>
          </cell>
          <cell r="X18">
            <v>97.166666666666671</v>
          </cell>
          <cell r="Y18">
            <v>60.6</v>
          </cell>
          <cell r="Z18">
            <v>21.4</v>
          </cell>
          <cell r="AA18">
            <v>16.399999999999999</v>
          </cell>
          <cell r="AB18">
            <v>17</v>
          </cell>
        </row>
        <row r="19">
          <cell r="A19" t="str">
            <v>6948287 Майонез провансаль классич.Папа может 744гр с массовой долей жирн. 67% Останкино</v>
          </cell>
          <cell r="B19" t="str">
            <v>шт</v>
          </cell>
          <cell r="C19">
            <v>360</v>
          </cell>
          <cell r="E19">
            <v>36</v>
          </cell>
          <cell r="F19">
            <v>312</v>
          </cell>
          <cell r="G19">
            <v>0.74399999999999999</v>
          </cell>
          <cell r="H19">
            <v>180</v>
          </cell>
          <cell r="I19">
            <v>6948287</v>
          </cell>
          <cell r="K19">
            <v>38</v>
          </cell>
          <cell r="L19">
            <v>-2</v>
          </cell>
          <cell r="O19">
            <v>0</v>
          </cell>
          <cell r="P19">
            <v>7.2</v>
          </cell>
          <cell r="R19">
            <v>0</v>
          </cell>
          <cell r="S19">
            <v>0</v>
          </cell>
          <cell r="U19">
            <v>0</v>
          </cell>
          <cell r="W19">
            <v>43.333333333333336</v>
          </cell>
          <cell r="X19">
            <v>43.333333333333336</v>
          </cell>
          <cell r="Y19">
            <v>13.2</v>
          </cell>
          <cell r="Z19">
            <v>3.6</v>
          </cell>
          <cell r="AA19">
            <v>4.4000000000000004</v>
          </cell>
          <cell r="AB19">
            <v>9.6</v>
          </cell>
        </row>
        <row r="20">
          <cell r="A20" t="str">
            <v>9988438 Плавленый Сыр 45% "С ветчиной" СТМ"ПапаМожет" 180гр  Останкино</v>
          </cell>
          <cell r="B20" t="str">
            <v>шт</v>
          </cell>
          <cell r="C20">
            <v>135</v>
          </cell>
          <cell r="D20">
            <v>3</v>
          </cell>
          <cell r="E20">
            <v>35</v>
          </cell>
          <cell r="F20">
            <v>99</v>
          </cell>
          <cell r="G20">
            <v>0.18</v>
          </cell>
          <cell r="H20">
            <v>270</v>
          </cell>
          <cell r="I20">
            <v>9988438</v>
          </cell>
          <cell r="K20">
            <v>39</v>
          </cell>
          <cell r="L20">
            <v>-4</v>
          </cell>
          <cell r="O20">
            <v>0</v>
          </cell>
          <cell r="P20">
            <v>7</v>
          </cell>
          <cell r="R20">
            <v>0</v>
          </cell>
          <cell r="S20">
            <v>0</v>
          </cell>
          <cell r="U20">
            <v>0</v>
          </cell>
          <cell r="W20">
            <v>14.142857142857142</v>
          </cell>
          <cell r="X20">
            <v>14.142857142857142</v>
          </cell>
          <cell r="Y20">
            <v>7.2</v>
          </cell>
          <cell r="Z20">
            <v>5.8</v>
          </cell>
          <cell r="AA20">
            <v>9.1999999999999993</v>
          </cell>
          <cell r="AB20">
            <v>6.4</v>
          </cell>
        </row>
        <row r="21">
          <cell r="A21" t="str">
            <v>9988445 Плавленый Сыр 45%"С грибами" СТМ"ПапаМожет" 180 гр  Останкино</v>
          </cell>
          <cell r="B21" t="str">
            <v>шт</v>
          </cell>
          <cell r="C21">
            <v>176</v>
          </cell>
          <cell r="D21">
            <v>3</v>
          </cell>
          <cell r="E21">
            <v>45</v>
          </cell>
          <cell r="F21">
            <v>130</v>
          </cell>
          <cell r="G21">
            <v>0.18</v>
          </cell>
          <cell r="H21">
            <v>270</v>
          </cell>
          <cell r="I21">
            <v>9988445</v>
          </cell>
          <cell r="K21">
            <v>49</v>
          </cell>
          <cell r="L21">
            <v>-4</v>
          </cell>
          <cell r="O21">
            <v>0</v>
          </cell>
          <cell r="P21">
            <v>9</v>
          </cell>
          <cell r="Q21">
            <v>50</v>
          </cell>
          <cell r="R21">
            <v>0</v>
          </cell>
          <cell r="S21">
            <v>0</v>
          </cell>
          <cell r="U21">
            <v>0</v>
          </cell>
          <cell r="W21">
            <v>20</v>
          </cell>
          <cell r="X21">
            <v>14.444444444444445</v>
          </cell>
          <cell r="Y21">
            <v>7.6</v>
          </cell>
          <cell r="Z21">
            <v>6.8</v>
          </cell>
          <cell r="AA21">
            <v>7.8</v>
          </cell>
          <cell r="AB21">
            <v>5.8</v>
          </cell>
        </row>
        <row r="22">
          <cell r="A22" t="str">
            <v>Масло "Папа может" 82,5% 180гр  Останкино</v>
          </cell>
          <cell r="B22" t="str">
            <v>шт</v>
          </cell>
          <cell r="C22">
            <v>938</v>
          </cell>
          <cell r="D22">
            <v>100</v>
          </cell>
          <cell r="E22">
            <v>295</v>
          </cell>
          <cell r="F22">
            <v>738</v>
          </cell>
          <cell r="G22">
            <v>0.18</v>
          </cell>
          <cell r="H22">
            <v>120</v>
          </cell>
          <cell r="I22">
            <v>1018967</v>
          </cell>
          <cell r="K22">
            <v>301</v>
          </cell>
          <cell r="L22">
            <v>-6</v>
          </cell>
          <cell r="O22">
            <v>0</v>
          </cell>
          <cell r="P22">
            <v>59</v>
          </cell>
          <cell r="Q22">
            <v>442</v>
          </cell>
          <cell r="R22">
            <v>442</v>
          </cell>
          <cell r="S22">
            <v>200</v>
          </cell>
          <cell r="U22">
            <v>242</v>
          </cell>
          <cell r="W22">
            <v>20</v>
          </cell>
          <cell r="X22">
            <v>12.508474576271187</v>
          </cell>
          <cell r="Y22">
            <v>33.200000000000003</v>
          </cell>
          <cell r="Z22">
            <v>64.8</v>
          </cell>
          <cell r="AA22">
            <v>34.799999999999997</v>
          </cell>
          <cell r="AB22">
            <v>34.6</v>
          </cell>
        </row>
        <row r="23">
          <cell r="A23" t="str">
            <v>Масло сливочное 72,5 % 180 гр.(10 шт) СЛАВЯНА  Останкино</v>
          </cell>
          <cell r="B23" t="str">
            <v>шт</v>
          </cell>
          <cell r="C23">
            <v>584</v>
          </cell>
          <cell r="E23">
            <v>143</v>
          </cell>
          <cell r="F23">
            <v>437</v>
          </cell>
          <cell r="G23">
            <v>0.18</v>
          </cell>
          <cell r="H23">
            <v>120</v>
          </cell>
          <cell r="I23">
            <v>1018950</v>
          </cell>
          <cell r="K23">
            <v>150</v>
          </cell>
          <cell r="L23">
            <v>-7</v>
          </cell>
          <cell r="O23">
            <v>0</v>
          </cell>
          <cell r="P23">
            <v>28.6</v>
          </cell>
          <cell r="Q23">
            <v>135</v>
          </cell>
          <cell r="R23">
            <v>0</v>
          </cell>
          <cell r="S23">
            <v>0</v>
          </cell>
          <cell r="U23">
            <v>0</v>
          </cell>
          <cell r="W23">
            <v>20</v>
          </cell>
          <cell r="X23">
            <v>15.279720279720278</v>
          </cell>
          <cell r="Y23">
            <v>28.8</v>
          </cell>
          <cell r="Z23">
            <v>37</v>
          </cell>
          <cell r="AA23">
            <v>10.4</v>
          </cell>
          <cell r="AB23">
            <v>11.4</v>
          </cell>
        </row>
        <row r="24">
          <cell r="A24" t="str">
            <v>Плавленый продукт с Сыром колбасный копченый 40% СТМ "Коровино" 400гр  Останкино</v>
          </cell>
          <cell r="B24" t="str">
            <v>шт</v>
          </cell>
          <cell r="C24">
            <v>76</v>
          </cell>
          <cell r="E24">
            <v>8</v>
          </cell>
          <cell r="F24">
            <v>68</v>
          </cell>
          <cell r="G24">
            <v>0.4</v>
          </cell>
          <cell r="H24">
            <v>270</v>
          </cell>
          <cell r="I24">
            <v>9988476</v>
          </cell>
          <cell r="K24">
            <v>8</v>
          </cell>
          <cell r="L24">
            <v>0</v>
          </cell>
          <cell r="O24">
            <v>0</v>
          </cell>
          <cell r="P24">
            <v>1.6</v>
          </cell>
          <cell r="R24">
            <v>0</v>
          </cell>
          <cell r="S24">
            <v>0</v>
          </cell>
          <cell r="U24">
            <v>0</v>
          </cell>
          <cell r="W24">
            <v>42.5</v>
          </cell>
          <cell r="X24">
            <v>42.5</v>
          </cell>
          <cell r="Y24">
            <v>0.6</v>
          </cell>
          <cell r="Z24">
            <v>2.2000000000000002</v>
          </cell>
          <cell r="AA24">
            <v>0.2</v>
          </cell>
          <cell r="AB24">
            <v>1</v>
          </cell>
        </row>
        <row r="25">
          <cell r="A25" t="str">
            <v>Плавленый Сыр колбасный копченый 40% СТМ"ПапаМожет"400гр  Останкино</v>
          </cell>
          <cell r="B25" t="str">
            <v>шт</v>
          </cell>
          <cell r="C25">
            <v>52</v>
          </cell>
          <cell r="E25">
            <v>1</v>
          </cell>
          <cell r="F25">
            <v>49</v>
          </cell>
          <cell r="G25">
            <v>0.4</v>
          </cell>
          <cell r="H25">
            <v>270</v>
          </cell>
          <cell r="I25">
            <v>9988452</v>
          </cell>
          <cell r="K25">
            <v>3</v>
          </cell>
          <cell r="L25">
            <v>-2</v>
          </cell>
          <cell r="O25">
            <v>0</v>
          </cell>
          <cell r="P25">
            <v>0.2</v>
          </cell>
          <cell r="R25">
            <v>0</v>
          </cell>
          <cell r="S25">
            <v>0</v>
          </cell>
          <cell r="U25">
            <v>0</v>
          </cell>
          <cell r="W25">
            <v>245</v>
          </cell>
          <cell r="X25">
            <v>245</v>
          </cell>
          <cell r="Y25">
            <v>3.2</v>
          </cell>
          <cell r="Z25">
            <v>0.8</v>
          </cell>
          <cell r="AA25">
            <v>2</v>
          </cell>
          <cell r="AB25">
            <v>1.6</v>
          </cell>
        </row>
        <row r="26">
          <cell r="A26" t="str">
            <v>Сыр "Пармезан" 40% кусок 180 гр  ОСТАНКИНО</v>
          </cell>
          <cell r="B26" t="str">
            <v>шт</v>
          </cell>
          <cell r="C26">
            <v>50</v>
          </cell>
          <cell r="D26">
            <v>182</v>
          </cell>
          <cell r="E26">
            <v>27</v>
          </cell>
          <cell r="F26">
            <v>202</v>
          </cell>
          <cell r="G26">
            <v>0.18</v>
          </cell>
          <cell r="H26">
            <v>150</v>
          </cell>
          <cell r="I26">
            <v>5034819</v>
          </cell>
          <cell r="K26">
            <v>81</v>
          </cell>
          <cell r="L26">
            <v>-54</v>
          </cell>
          <cell r="O26">
            <v>0</v>
          </cell>
          <cell r="P26">
            <v>5.4</v>
          </cell>
          <cell r="R26">
            <v>100</v>
          </cell>
          <cell r="S26">
            <v>0</v>
          </cell>
          <cell r="U26">
            <v>100</v>
          </cell>
          <cell r="W26">
            <v>37.407407407407405</v>
          </cell>
          <cell r="X26">
            <v>37.407407407407405</v>
          </cell>
          <cell r="Y26">
            <v>3.8</v>
          </cell>
          <cell r="Z26">
            <v>5.4</v>
          </cell>
          <cell r="AA26">
            <v>13.8</v>
          </cell>
          <cell r="AB26">
            <v>8.4</v>
          </cell>
        </row>
        <row r="27">
          <cell r="A27" t="str">
            <v>Сыр Боккончини копченый 40% 100 гр.  ОСТАНКИНО</v>
          </cell>
          <cell r="B27" t="str">
            <v>шт</v>
          </cell>
          <cell r="C27">
            <v>252</v>
          </cell>
          <cell r="D27">
            <v>80</v>
          </cell>
          <cell r="E27">
            <v>98</v>
          </cell>
          <cell r="F27">
            <v>226</v>
          </cell>
          <cell r="G27">
            <v>0.1</v>
          </cell>
          <cell r="H27">
            <v>90</v>
          </cell>
          <cell r="I27">
            <v>8444163</v>
          </cell>
          <cell r="K27">
            <v>1</v>
          </cell>
          <cell r="L27">
            <v>97</v>
          </cell>
          <cell r="O27">
            <v>130</v>
          </cell>
          <cell r="P27">
            <v>19.600000000000001</v>
          </cell>
          <cell r="R27">
            <v>100</v>
          </cell>
          <cell r="S27">
            <v>0</v>
          </cell>
          <cell r="U27">
            <v>100</v>
          </cell>
          <cell r="W27">
            <v>18.163265306122447</v>
          </cell>
          <cell r="X27">
            <v>11.530612244897958</v>
          </cell>
          <cell r="Y27">
            <v>7.4</v>
          </cell>
          <cell r="Z27">
            <v>20.399999999999999</v>
          </cell>
          <cell r="AA27">
            <v>20</v>
          </cell>
          <cell r="AB27">
            <v>23.2</v>
          </cell>
        </row>
        <row r="28">
          <cell r="A28" t="str">
            <v>Сыр Косичка сырная 45% 100г/8шт Папа Может Останкино</v>
          </cell>
          <cell r="B28" t="str">
            <v>шт</v>
          </cell>
          <cell r="C28">
            <v>225</v>
          </cell>
          <cell r="E28">
            <v>110</v>
          </cell>
          <cell r="F28">
            <v>113</v>
          </cell>
          <cell r="G28">
            <v>0.1</v>
          </cell>
          <cell r="H28" t="e">
            <v>#N/A</v>
          </cell>
          <cell r="I28">
            <v>8445160</v>
          </cell>
          <cell r="K28">
            <v>112</v>
          </cell>
          <cell r="L28">
            <v>-2</v>
          </cell>
          <cell r="O28">
            <v>0</v>
          </cell>
          <cell r="P28">
            <v>22</v>
          </cell>
          <cell r="Q28">
            <v>327</v>
          </cell>
          <cell r="R28">
            <v>327</v>
          </cell>
          <cell r="S28">
            <v>200</v>
          </cell>
          <cell r="U28">
            <v>127</v>
          </cell>
          <cell r="W28">
            <v>20</v>
          </cell>
          <cell r="X28">
            <v>5.1363636363636367</v>
          </cell>
          <cell r="Y28">
            <v>7.8</v>
          </cell>
          <cell r="Z28">
            <v>12.8</v>
          </cell>
          <cell r="AA28">
            <v>10.8</v>
          </cell>
          <cell r="AB28">
            <v>12</v>
          </cell>
        </row>
        <row r="29">
          <cell r="A29" t="str">
            <v>Сыр Косичка сырная копченая 43% 100г/8шт Папа Может Останкино</v>
          </cell>
          <cell r="B29" t="str">
            <v>шт</v>
          </cell>
          <cell r="C29">
            <v>137</v>
          </cell>
          <cell r="D29">
            <v>80</v>
          </cell>
          <cell r="E29">
            <v>95</v>
          </cell>
          <cell r="F29">
            <v>122</v>
          </cell>
          <cell r="G29">
            <v>0.1</v>
          </cell>
          <cell r="H29" t="e">
            <v>#N/A</v>
          </cell>
          <cell r="I29">
            <v>8445177</v>
          </cell>
          <cell r="K29">
            <v>95</v>
          </cell>
          <cell r="L29">
            <v>0</v>
          </cell>
          <cell r="O29">
            <v>0</v>
          </cell>
          <cell r="P29">
            <v>19</v>
          </cell>
          <cell r="Q29">
            <v>258</v>
          </cell>
          <cell r="R29">
            <v>258</v>
          </cell>
          <cell r="S29">
            <v>200</v>
          </cell>
          <cell r="U29">
            <v>58</v>
          </cell>
          <cell r="W29">
            <v>20</v>
          </cell>
          <cell r="X29">
            <v>6.4210526315789478</v>
          </cell>
          <cell r="Y29">
            <v>15.4</v>
          </cell>
          <cell r="Z29">
            <v>9.8000000000000007</v>
          </cell>
          <cell r="AA29">
            <v>10</v>
          </cell>
          <cell r="AB29">
            <v>12.8</v>
          </cell>
        </row>
        <row r="30">
          <cell r="A30" t="str">
            <v>Сыр ПАПА МОЖЕТ "Гауда Голд" 45 % 180 гр (10шт) Останкино</v>
          </cell>
          <cell r="B30" t="str">
            <v>шт</v>
          </cell>
          <cell r="C30">
            <v>221</v>
          </cell>
          <cell r="D30">
            <v>3</v>
          </cell>
          <cell r="E30">
            <v>95</v>
          </cell>
          <cell r="F30">
            <v>126</v>
          </cell>
          <cell r="G30">
            <v>0.18</v>
          </cell>
          <cell r="H30">
            <v>150</v>
          </cell>
          <cell r="I30">
            <v>5038411</v>
          </cell>
          <cell r="K30">
            <v>105</v>
          </cell>
          <cell r="L30">
            <v>-10</v>
          </cell>
          <cell r="O30">
            <v>100</v>
          </cell>
          <cell r="P30">
            <v>19</v>
          </cell>
          <cell r="Q30">
            <v>154</v>
          </cell>
          <cell r="R30">
            <v>154</v>
          </cell>
          <cell r="S30">
            <v>54</v>
          </cell>
          <cell r="U30">
            <v>100</v>
          </cell>
          <cell r="W30">
            <v>20</v>
          </cell>
          <cell r="X30">
            <v>6.6315789473684212</v>
          </cell>
          <cell r="Y30">
            <v>11.6</v>
          </cell>
          <cell r="Z30">
            <v>15.8</v>
          </cell>
          <cell r="AA30">
            <v>11.8</v>
          </cell>
          <cell r="AB30">
            <v>12.2</v>
          </cell>
        </row>
        <row r="31">
          <cell r="A31" t="str">
            <v>Сыр ПАПА МОЖЕТ "Голландский традиционный" 45% 180 гр (10шт)  Останкино</v>
          </cell>
          <cell r="B31" t="str">
            <v>шт</v>
          </cell>
          <cell r="C31">
            <v>350</v>
          </cell>
          <cell r="D31">
            <v>287</v>
          </cell>
          <cell r="E31">
            <v>323</v>
          </cell>
          <cell r="F31">
            <v>297</v>
          </cell>
          <cell r="G31">
            <v>0.18</v>
          </cell>
          <cell r="H31">
            <v>150</v>
          </cell>
          <cell r="I31">
            <v>5038459</v>
          </cell>
          <cell r="K31">
            <v>342</v>
          </cell>
          <cell r="L31">
            <v>-19</v>
          </cell>
          <cell r="O31">
            <v>0</v>
          </cell>
          <cell r="P31">
            <v>64.599999999999994</v>
          </cell>
          <cell r="Q31">
            <v>995</v>
          </cell>
          <cell r="R31">
            <v>995</v>
          </cell>
          <cell r="S31">
            <v>495</v>
          </cell>
          <cell r="U31">
            <v>500</v>
          </cell>
          <cell r="W31">
            <v>20</v>
          </cell>
          <cell r="X31">
            <v>4.5975232198142422</v>
          </cell>
          <cell r="Y31">
            <v>15.6</v>
          </cell>
          <cell r="Z31">
            <v>32.200000000000003</v>
          </cell>
          <cell r="AA31">
            <v>37.799999999999997</v>
          </cell>
          <cell r="AB31">
            <v>25.4</v>
          </cell>
        </row>
        <row r="32">
          <cell r="A32" t="str">
            <v>Сыр ПАПА МОЖЕТ "Министерский" 180 г фасованный массовая  Останкино</v>
          </cell>
          <cell r="B32" t="str">
            <v>шт</v>
          </cell>
          <cell r="C32">
            <v>219</v>
          </cell>
          <cell r="D32">
            <v>50</v>
          </cell>
          <cell r="E32">
            <v>17</v>
          </cell>
          <cell r="F32">
            <v>252</v>
          </cell>
          <cell r="G32">
            <v>0.18</v>
          </cell>
          <cell r="H32">
            <v>150</v>
          </cell>
          <cell r="I32">
            <v>5038831</v>
          </cell>
          <cell r="K32">
            <v>2</v>
          </cell>
          <cell r="L32">
            <v>15</v>
          </cell>
          <cell r="O32">
            <v>250</v>
          </cell>
          <cell r="P32">
            <v>3.4</v>
          </cell>
          <cell r="R32">
            <v>0</v>
          </cell>
          <cell r="S32">
            <v>0</v>
          </cell>
          <cell r="U32">
            <v>0</v>
          </cell>
          <cell r="W32">
            <v>147.64705882352942</v>
          </cell>
          <cell r="X32">
            <v>74.117647058823536</v>
          </cell>
          <cell r="Y32">
            <v>6</v>
          </cell>
          <cell r="Z32">
            <v>11.2</v>
          </cell>
          <cell r="AA32">
            <v>0.2</v>
          </cell>
          <cell r="AB32">
            <v>0.2</v>
          </cell>
        </row>
        <row r="33">
          <cell r="A33" t="str">
            <v>Сыр ПАПА МОЖЕТ "Папин завтрак"  45% 180 г  Останкино</v>
          </cell>
          <cell r="B33" t="str">
            <v>шт</v>
          </cell>
          <cell r="C33">
            <v>106</v>
          </cell>
          <cell r="D33">
            <v>30</v>
          </cell>
          <cell r="E33">
            <v>7</v>
          </cell>
          <cell r="F33">
            <v>128</v>
          </cell>
          <cell r="G33">
            <v>0.18</v>
          </cell>
          <cell r="H33">
            <v>120</v>
          </cell>
          <cell r="I33">
            <v>5038855</v>
          </cell>
          <cell r="K33">
            <v>2</v>
          </cell>
          <cell r="L33">
            <v>5</v>
          </cell>
          <cell r="O33">
            <v>0</v>
          </cell>
          <cell r="P33">
            <v>1.4</v>
          </cell>
          <cell r="R33">
            <v>0</v>
          </cell>
          <cell r="S33">
            <v>0</v>
          </cell>
          <cell r="U33">
            <v>0</v>
          </cell>
          <cell r="W33">
            <v>91.428571428571431</v>
          </cell>
          <cell r="X33">
            <v>91.428571428571431</v>
          </cell>
          <cell r="Y33">
            <v>4.4000000000000004</v>
          </cell>
          <cell r="Z33">
            <v>4</v>
          </cell>
          <cell r="AA33">
            <v>5.4</v>
          </cell>
          <cell r="AB33">
            <v>1.8</v>
          </cell>
        </row>
        <row r="34">
          <cell r="A34" t="str">
            <v>Сыр ПАПА МОЖЕТ "Российский традиционный"45 % 180 г Останкино</v>
          </cell>
          <cell r="B34" t="str">
            <v>шт</v>
          </cell>
          <cell r="C34">
            <v>1057</v>
          </cell>
          <cell r="D34">
            <v>17</v>
          </cell>
          <cell r="E34">
            <v>632</v>
          </cell>
          <cell r="F34">
            <v>414</v>
          </cell>
          <cell r="G34">
            <v>0.18</v>
          </cell>
          <cell r="H34">
            <v>150</v>
          </cell>
          <cell r="I34">
            <v>5038435</v>
          </cell>
          <cell r="K34">
            <v>662</v>
          </cell>
          <cell r="L34">
            <v>-30</v>
          </cell>
          <cell r="O34">
            <v>300</v>
          </cell>
          <cell r="P34">
            <v>126.4</v>
          </cell>
          <cell r="Q34">
            <v>1814</v>
          </cell>
          <cell r="R34">
            <v>1600</v>
          </cell>
          <cell r="S34">
            <v>600</v>
          </cell>
          <cell r="U34">
            <v>1000</v>
          </cell>
          <cell r="W34">
            <v>20</v>
          </cell>
          <cell r="X34">
            <v>3.2753164556962022</v>
          </cell>
          <cell r="Y34">
            <v>19.2</v>
          </cell>
          <cell r="Z34">
            <v>69.8</v>
          </cell>
          <cell r="AA34">
            <v>15</v>
          </cell>
          <cell r="AB34">
            <v>47.6</v>
          </cell>
        </row>
        <row r="35">
          <cell r="A35" t="str">
            <v>Сыр ПАПА МОЖЕТ "Тильзитер" фасованный массовая доля жира в сухом веществе 45%, 180г  Останкино</v>
          </cell>
          <cell r="B35" t="str">
            <v>шт</v>
          </cell>
          <cell r="C35">
            <v>275</v>
          </cell>
          <cell r="D35">
            <v>103</v>
          </cell>
          <cell r="E35">
            <v>131</v>
          </cell>
          <cell r="F35">
            <v>164</v>
          </cell>
          <cell r="G35">
            <v>0.18</v>
          </cell>
          <cell r="H35">
            <v>120</v>
          </cell>
          <cell r="I35">
            <v>5038398</v>
          </cell>
          <cell r="K35">
            <v>233</v>
          </cell>
          <cell r="L35">
            <v>-102</v>
          </cell>
          <cell r="O35">
            <v>300</v>
          </cell>
          <cell r="P35">
            <v>26.2</v>
          </cell>
          <cell r="R35">
            <v>150</v>
          </cell>
          <cell r="S35">
            <v>0</v>
          </cell>
          <cell r="U35">
            <v>150</v>
          </cell>
          <cell r="W35">
            <v>17.709923664122137</v>
          </cell>
          <cell r="X35">
            <v>6.2595419847328246</v>
          </cell>
          <cell r="Y35">
            <v>9.8000000000000007</v>
          </cell>
          <cell r="Z35">
            <v>18.2</v>
          </cell>
          <cell r="AA35">
            <v>13.4</v>
          </cell>
          <cell r="AB35">
            <v>6.6</v>
          </cell>
        </row>
        <row r="36">
          <cell r="A36" t="str">
            <v>Сыр плавленный Сливочный ж.45% 180г ТМ Папа может (16шт)  Останкино</v>
          </cell>
          <cell r="B36" t="str">
            <v>шт</v>
          </cell>
          <cell r="C36">
            <v>251</v>
          </cell>
          <cell r="D36">
            <v>3</v>
          </cell>
          <cell r="E36">
            <v>47</v>
          </cell>
          <cell r="F36">
            <v>204</v>
          </cell>
          <cell r="G36">
            <v>0.18</v>
          </cell>
          <cell r="H36">
            <v>270</v>
          </cell>
          <cell r="I36">
            <v>9988681</v>
          </cell>
          <cell r="K36">
            <v>50</v>
          </cell>
          <cell r="L36">
            <v>-3</v>
          </cell>
          <cell r="O36">
            <v>0</v>
          </cell>
          <cell r="P36">
            <v>9.4</v>
          </cell>
          <cell r="R36">
            <v>0</v>
          </cell>
          <cell r="S36">
            <v>0</v>
          </cell>
          <cell r="U36">
            <v>0</v>
          </cell>
          <cell r="W36">
            <v>21.702127659574469</v>
          </cell>
          <cell r="X36">
            <v>21.702127659574469</v>
          </cell>
          <cell r="Y36">
            <v>9.1999999999999993</v>
          </cell>
          <cell r="Z36">
            <v>12.6</v>
          </cell>
          <cell r="AA36">
            <v>9.8000000000000007</v>
          </cell>
          <cell r="AB36">
            <v>5.8</v>
          </cell>
        </row>
        <row r="37">
          <cell r="A37" t="str">
            <v>Сыр полутвердый "Гауда" с массовой долей жира в пересчете на сухое вещество 45%,   Останкино</v>
          </cell>
          <cell r="B37" t="str">
            <v>кг</v>
          </cell>
          <cell r="C37">
            <v>163.24799999999999</v>
          </cell>
          <cell r="D37">
            <v>3.294</v>
          </cell>
          <cell r="E37">
            <v>13.736000000000001</v>
          </cell>
          <cell r="F37">
            <v>149.512</v>
          </cell>
          <cell r="G37">
            <v>1</v>
          </cell>
          <cell r="H37">
            <v>0</v>
          </cell>
          <cell r="I37">
            <v>8785242</v>
          </cell>
          <cell r="K37">
            <v>15.112</v>
          </cell>
          <cell r="L37">
            <v>-1.3759999999999994</v>
          </cell>
          <cell r="O37">
            <v>0</v>
          </cell>
          <cell r="P37">
            <v>2.7472000000000003</v>
          </cell>
          <cell r="R37">
            <v>0</v>
          </cell>
          <cell r="S37">
            <v>0</v>
          </cell>
          <cell r="U37">
            <v>0</v>
          </cell>
          <cell r="W37">
            <v>54.42341292952824</v>
          </cell>
          <cell r="X37">
            <v>54.42341292952824</v>
          </cell>
          <cell r="Y37">
            <v>4.3655999999999997</v>
          </cell>
          <cell r="Z37">
            <v>8.0055999999999994</v>
          </cell>
          <cell r="AA37">
            <v>3.3899999999999997</v>
          </cell>
          <cell r="AB37">
            <v>1.3408</v>
          </cell>
        </row>
        <row r="38">
          <cell r="A38" t="str">
            <v>Сыр полутвердый "Голландский" с массовой долей жира в пересчете на сухое  Останкино</v>
          </cell>
          <cell r="B38" t="str">
            <v>кг</v>
          </cell>
          <cell r="C38">
            <v>90.323999999999998</v>
          </cell>
          <cell r="D38">
            <v>9.65</v>
          </cell>
          <cell r="E38">
            <v>0</v>
          </cell>
          <cell r="F38">
            <v>90.323999999999998</v>
          </cell>
          <cell r="G38">
            <v>1</v>
          </cell>
          <cell r="H38" t="e">
            <v>#N/A</v>
          </cell>
          <cell r="I38">
            <v>0</v>
          </cell>
          <cell r="K38">
            <v>10.1</v>
          </cell>
          <cell r="L38">
            <v>-10.1</v>
          </cell>
          <cell r="O38">
            <v>0</v>
          </cell>
          <cell r="P38">
            <v>0</v>
          </cell>
          <cell r="R38">
            <v>0</v>
          </cell>
          <cell r="S38">
            <v>0</v>
          </cell>
          <cell r="U38">
            <v>0</v>
          </cell>
          <cell r="W38" t="e">
            <v>#DIV/0!</v>
          </cell>
          <cell r="X38" t="e">
            <v>#DIV/0!</v>
          </cell>
          <cell r="Y38">
            <v>0</v>
          </cell>
          <cell r="Z38">
            <v>0</v>
          </cell>
          <cell r="AA38">
            <v>0.67199999999999993</v>
          </cell>
          <cell r="AB38">
            <v>0.61119999999999997</v>
          </cell>
        </row>
        <row r="39">
          <cell r="A39" t="str">
            <v>Сыр полутвердый "Сметанковый", с масс долей жира в пересчете на сухое вещес50%, брус  Останкино</v>
          </cell>
          <cell r="B39" t="str">
            <v>кг</v>
          </cell>
          <cell r="C39">
            <v>121.09399999999999</v>
          </cell>
          <cell r="D39">
            <v>10.257999999999999</v>
          </cell>
          <cell r="E39">
            <v>30.37</v>
          </cell>
          <cell r="F39">
            <v>90.724000000000004</v>
          </cell>
          <cell r="G39">
            <v>1</v>
          </cell>
          <cell r="H39">
            <v>120</v>
          </cell>
          <cell r="I39">
            <v>8785198</v>
          </cell>
          <cell r="K39">
            <v>37.799999999999997</v>
          </cell>
          <cell r="L39">
            <v>-7.4299999999999962</v>
          </cell>
          <cell r="O39">
            <v>0</v>
          </cell>
          <cell r="P39">
            <v>6.0739999999999998</v>
          </cell>
          <cell r="R39">
            <v>0</v>
          </cell>
          <cell r="S39">
            <v>0</v>
          </cell>
          <cell r="U39">
            <v>0</v>
          </cell>
          <cell r="W39">
            <v>14.936450444517616</v>
          </cell>
          <cell r="X39">
            <v>14.936450444517616</v>
          </cell>
          <cell r="Y39">
            <v>1.8356000000000001</v>
          </cell>
          <cell r="Z39">
            <v>8.7568000000000001</v>
          </cell>
          <cell r="AA39">
            <v>7.4495999999999993</v>
          </cell>
          <cell r="AB39">
            <v>2.6675999999999997</v>
          </cell>
        </row>
        <row r="40">
          <cell r="A40" t="str">
            <v>Сыр полутвердый "Тильзитер" с массовой долей жира в пересчете на сухое вещество 45%. 1/5  Останкино</v>
          </cell>
          <cell r="B40" t="str">
            <v>кг</v>
          </cell>
          <cell r="C40">
            <v>42.66</v>
          </cell>
          <cell r="D40">
            <v>137.09800000000001</v>
          </cell>
          <cell r="E40">
            <v>3.2080000000000002</v>
          </cell>
          <cell r="F40">
            <v>176.55</v>
          </cell>
          <cell r="G40">
            <v>1</v>
          </cell>
          <cell r="H40" t="e">
            <v>#N/A</v>
          </cell>
          <cell r="I40">
            <v>0</v>
          </cell>
          <cell r="K40">
            <v>3.5</v>
          </cell>
          <cell r="L40">
            <v>-0.29199999999999982</v>
          </cell>
          <cell r="O40">
            <v>0</v>
          </cell>
          <cell r="P40">
            <v>0.64160000000000006</v>
          </cell>
          <cell r="R40">
            <v>0</v>
          </cell>
          <cell r="S40">
            <v>0</v>
          </cell>
          <cell r="U40">
            <v>0</v>
          </cell>
          <cell r="W40">
            <v>275.17144638403988</v>
          </cell>
          <cell r="X40">
            <v>275.17144638403988</v>
          </cell>
          <cell r="Y40">
            <v>0.48559999999999998</v>
          </cell>
          <cell r="Z40">
            <v>3.2023999999999999</v>
          </cell>
          <cell r="AA40">
            <v>3.8592</v>
          </cell>
          <cell r="AB40">
            <v>0</v>
          </cell>
        </row>
        <row r="41">
          <cell r="A41" t="str">
            <v>Сыр рассольный жирный Чечил 45% 100 гр  ОСТАНКИНО</v>
          </cell>
          <cell r="B41" t="str">
            <v>шт</v>
          </cell>
          <cell r="C41">
            <v>697</v>
          </cell>
          <cell r="D41">
            <v>91</v>
          </cell>
          <cell r="E41">
            <v>241</v>
          </cell>
          <cell r="F41">
            <v>449</v>
          </cell>
          <cell r="G41">
            <v>0.1</v>
          </cell>
          <cell r="H41">
            <v>60</v>
          </cell>
          <cell r="I41">
            <v>8444187</v>
          </cell>
          <cell r="K41">
            <v>272</v>
          </cell>
          <cell r="L41">
            <v>-31</v>
          </cell>
          <cell r="O41">
            <v>0</v>
          </cell>
          <cell r="P41">
            <v>48.2</v>
          </cell>
          <cell r="Q41">
            <v>515</v>
          </cell>
          <cell r="R41">
            <v>515</v>
          </cell>
          <cell r="S41">
            <v>200</v>
          </cell>
          <cell r="U41">
            <v>315</v>
          </cell>
          <cell r="W41">
            <v>20</v>
          </cell>
          <cell r="X41">
            <v>9.3153526970954346</v>
          </cell>
          <cell r="Y41">
            <v>38.6</v>
          </cell>
          <cell r="Z41">
            <v>45.6</v>
          </cell>
          <cell r="AA41">
            <v>24.8</v>
          </cell>
          <cell r="AB41">
            <v>20</v>
          </cell>
        </row>
        <row r="42">
          <cell r="A42" t="str">
            <v>Сыр рассольный жирный Чечил копченый 43% 100 гр  Останкино</v>
          </cell>
          <cell r="B42" t="str">
            <v>шт</v>
          </cell>
          <cell r="C42">
            <v>364</v>
          </cell>
          <cell r="D42">
            <v>580</v>
          </cell>
          <cell r="E42">
            <v>224</v>
          </cell>
          <cell r="F42">
            <v>575</v>
          </cell>
          <cell r="G42">
            <v>0.1</v>
          </cell>
          <cell r="H42">
            <v>90</v>
          </cell>
          <cell r="I42">
            <v>8444194</v>
          </cell>
          <cell r="K42">
            <v>247</v>
          </cell>
          <cell r="L42">
            <v>-23</v>
          </cell>
          <cell r="O42">
            <v>90</v>
          </cell>
          <cell r="P42">
            <v>44.8</v>
          </cell>
          <cell r="Q42">
            <v>231</v>
          </cell>
          <cell r="R42">
            <v>231</v>
          </cell>
          <cell r="S42">
            <v>81</v>
          </cell>
          <cell r="U42">
            <v>150</v>
          </cell>
          <cell r="W42">
            <v>20</v>
          </cell>
          <cell r="X42">
            <v>12.834821428571429</v>
          </cell>
          <cell r="Y42">
            <v>39.6</v>
          </cell>
          <cell r="Z42">
            <v>39.6</v>
          </cell>
          <cell r="AA42">
            <v>47</v>
          </cell>
          <cell r="AB42">
            <v>44.2</v>
          </cell>
        </row>
        <row r="43">
          <cell r="A43" t="str">
            <v>Сыр твердый "Пармезан", с масовой долей жира 35% Останкино</v>
          </cell>
          <cell r="B43" t="str">
            <v>кг</v>
          </cell>
          <cell r="C43">
            <v>19.73</v>
          </cell>
          <cell r="E43">
            <v>4.5060000000000002</v>
          </cell>
          <cell r="F43">
            <v>15.224</v>
          </cell>
          <cell r="G43">
            <v>1</v>
          </cell>
          <cell r="H43">
            <v>0</v>
          </cell>
          <cell r="I43">
            <v>8786928</v>
          </cell>
          <cell r="K43">
            <v>4.2</v>
          </cell>
          <cell r="L43">
            <v>0.30600000000000005</v>
          </cell>
          <cell r="O43">
            <v>20</v>
          </cell>
          <cell r="P43">
            <v>0.9012</v>
          </cell>
          <cell r="R43">
            <v>0</v>
          </cell>
          <cell r="S43">
            <v>0</v>
          </cell>
          <cell r="U43">
            <v>0</v>
          </cell>
          <cell r="W43">
            <v>39.085663559698183</v>
          </cell>
          <cell r="X43">
            <v>16.893031513537505</v>
          </cell>
          <cell r="Y43">
            <v>0.48</v>
          </cell>
          <cell r="Z43">
            <v>1.0096000000000001</v>
          </cell>
          <cell r="AA43">
            <v>0</v>
          </cell>
          <cell r="AB43">
            <v>0</v>
          </cell>
        </row>
        <row r="44">
          <cell r="A44" t="str">
            <v>Сыр Творожный с зеленью 60% Папа может 140 гр.  Останкино</v>
          </cell>
          <cell r="B44" t="str">
            <v>шт</v>
          </cell>
          <cell r="C44">
            <v>160</v>
          </cell>
          <cell r="D44">
            <v>3</v>
          </cell>
          <cell r="E44">
            <v>44</v>
          </cell>
          <cell r="F44">
            <v>116</v>
          </cell>
          <cell r="G44">
            <v>0.14000000000000001</v>
          </cell>
          <cell r="H44">
            <v>180</v>
          </cell>
          <cell r="I44">
            <v>9988391</v>
          </cell>
          <cell r="K44">
            <v>1</v>
          </cell>
          <cell r="L44">
            <v>43</v>
          </cell>
          <cell r="O44">
            <v>0</v>
          </cell>
          <cell r="P44">
            <v>8.8000000000000007</v>
          </cell>
          <cell r="Q44">
            <v>60</v>
          </cell>
          <cell r="R44">
            <v>60</v>
          </cell>
          <cell r="S44">
            <v>30</v>
          </cell>
          <cell r="U44">
            <v>30</v>
          </cell>
          <cell r="W44">
            <v>20</v>
          </cell>
          <cell r="X44">
            <v>13.18181818181818</v>
          </cell>
          <cell r="Y44">
            <v>6.6</v>
          </cell>
          <cell r="Z44">
            <v>4.8</v>
          </cell>
          <cell r="AA44">
            <v>5</v>
          </cell>
          <cell r="AB44">
            <v>3</v>
          </cell>
        </row>
        <row r="45">
          <cell r="A45" t="str">
            <v>Сыр творожный Сливочный 140 гр.  Останкино</v>
          </cell>
          <cell r="B45" t="str">
            <v>шт</v>
          </cell>
          <cell r="C45">
            <v>175</v>
          </cell>
          <cell r="D45">
            <v>8</v>
          </cell>
          <cell r="E45">
            <v>58</v>
          </cell>
          <cell r="F45">
            <v>117</v>
          </cell>
          <cell r="G45">
            <v>0.14000000000000001</v>
          </cell>
          <cell r="H45">
            <v>180</v>
          </cell>
          <cell r="I45">
            <v>9988377</v>
          </cell>
          <cell r="K45">
            <v>1</v>
          </cell>
          <cell r="L45">
            <v>57</v>
          </cell>
          <cell r="O45">
            <v>0</v>
          </cell>
          <cell r="P45">
            <v>11.6</v>
          </cell>
          <cell r="Q45">
            <v>115</v>
          </cell>
          <cell r="R45">
            <v>125</v>
          </cell>
          <cell r="S45">
            <v>55</v>
          </cell>
          <cell r="U45">
            <v>70</v>
          </cell>
          <cell r="W45">
            <v>20</v>
          </cell>
          <cell r="X45">
            <v>10.086206896551724</v>
          </cell>
          <cell r="Y45">
            <v>7.2</v>
          </cell>
          <cell r="Z45">
            <v>7.2</v>
          </cell>
          <cell r="AA45">
            <v>7.4</v>
          </cell>
          <cell r="AB45">
            <v>9.1999999999999993</v>
          </cell>
        </row>
        <row r="46">
          <cell r="A46" t="str">
            <v>Сыч/Прод Коровино Российский 50% 200г НОВАЯ СЗМЖ  ОСТАНКИНО</v>
          </cell>
          <cell r="B46" t="str">
            <v>шт</v>
          </cell>
          <cell r="C46">
            <v>205</v>
          </cell>
          <cell r="D46">
            <v>20</v>
          </cell>
          <cell r="E46">
            <v>50</v>
          </cell>
          <cell r="F46">
            <v>153</v>
          </cell>
          <cell r="G46">
            <v>0.2</v>
          </cell>
          <cell r="H46" t="e">
            <v>#N/A</v>
          </cell>
          <cell r="I46" t="str">
            <v>783К798</v>
          </cell>
          <cell r="K46">
            <v>70</v>
          </cell>
          <cell r="L46">
            <v>-20</v>
          </cell>
          <cell r="O46">
            <v>0</v>
          </cell>
          <cell r="P46">
            <v>10</v>
          </cell>
          <cell r="R46">
            <v>0</v>
          </cell>
          <cell r="S46">
            <v>0</v>
          </cell>
          <cell r="U46">
            <v>0</v>
          </cell>
          <cell r="W46">
            <v>15.3</v>
          </cell>
          <cell r="X46">
            <v>15.3</v>
          </cell>
          <cell r="Y46">
            <v>15.2</v>
          </cell>
          <cell r="Z46">
            <v>3.8</v>
          </cell>
          <cell r="AA46">
            <v>5.6</v>
          </cell>
          <cell r="AB46">
            <v>9.1999999999999993</v>
          </cell>
        </row>
        <row r="47">
          <cell r="A47" t="str">
            <v>Сыч/Прод Коровино Российский Оригин 50% ВЕС НОВАЯ (3,5 кг)  ОСТАНКИНО</v>
          </cell>
          <cell r="B47" t="str">
            <v>кг</v>
          </cell>
          <cell r="C47">
            <v>58.896000000000001</v>
          </cell>
          <cell r="E47">
            <v>3.548</v>
          </cell>
          <cell r="F47">
            <v>55.347999999999999</v>
          </cell>
          <cell r="G47">
            <v>1</v>
          </cell>
          <cell r="H47">
            <v>0</v>
          </cell>
          <cell r="I47" t="str">
            <v>783К811</v>
          </cell>
          <cell r="K47">
            <v>3.5</v>
          </cell>
          <cell r="L47">
            <v>4.8000000000000043E-2</v>
          </cell>
          <cell r="O47">
            <v>0</v>
          </cell>
          <cell r="P47">
            <v>0.70960000000000001</v>
          </cell>
          <cell r="R47">
            <v>0</v>
          </cell>
          <cell r="S47">
            <v>0</v>
          </cell>
          <cell r="U47">
            <v>0</v>
          </cell>
          <cell r="W47">
            <v>77.998872604284102</v>
          </cell>
          <cell r="X47">
            <v>77.998872604284102</v>
          </cell>
          <cell r="Y47">
            <v>1.8675999999999999</v>
          </cell>
          <cell r="Z47">
            <v>0</v>
          </cell>
          <cell r="AA47">
            <v>1.8264</v>
          </cell>
          <cell r="AB47">
            <v>0</v>
          </cell>
        </row>
        <row r="48">
          <cell r="A48" t="str">
            <v>Сыч/Прод Коровино Тильзитер 50% 200г НОВАЯ СЗМЖ  ОСТАНКИНО</v>
          </cell>
          <cell r="B48" t="str">
            <v>шт</v>
          </cell>
          <cell r="C48">
            <v>139</v>
          </cell>
          <cell r="D48">
            <v>90</v>
          </cell>
          <cell r="E48">
            <v>64</v>
          </cell>
          <cell r="F48">
            <v>165</v>
          </cell>
          <cell r="G48">
            <v>0.2</v>
          </cell>
          <cell r="H48">
            <v>0</v>
          </cell>
          <cell r="I48" t="str">
            <v>783К801</v>
          </cell>
          <cell r="K48">
            <v>64</v>
          </cell>
          <cell r="L48">
            <v>0</v>
          </cell>
          <cell r="O48">
            <v>0</v>
          </cell>
          <cell r="P48">
            <v>12.8</v>
          </cell>
          <cell r="Q48">
            <v>91</v>
          </cell>
          <cell r="R48">
            <v>91</v>
          </cell>
          <cell r="S48">
            <v>50</v>
          </cell>
          <cell r="U48">
            <v>41</v>
          </cell>
          <cell r="W48">
            <v>20</v>
          </cell>
          <cell r="X48">
            <v>12.890625</v>
          </cell>
          <cell r="Y48">
            <v>10.8</v>
          </cell>
          <cell r="Z48">
            <v>7.4</v>
          </cell>
          <cell r="AA48">
            <v>14.6</v>
          </cell>
          <cell r="AB48">
            <v>12.8</v>
          </cell>
        </row>
        <row r="49">
          <cell r="A49" t="str">
            <v>Сыч/Прод Коровино Тильзитер Оригин 50% ВЕС НОВАЯ (5 кг брус) СЗМЖ  ОСТАНКИНО</v>
          </cell>
          <cell r="B49" t="str">
            <v>кг</v>
          </cell>
          <cell r="C49">
            <v>28.024000000000001</v>
          </cell>
          <cell r="E49">
            <v>3.4420000000000002</v>
          </cell>
          <cell r="G49">
            <v>1</v>
          </cell>
          <cell r="H49">
            <v>0</v>
          </cell>
          <cell r="I49">
            <v>8785259</v>
          </cell>
          <cell r="K49">
            <v>34.799999999999997</v>
          </cell>
          <cell r="L49">
            <v>-31.357999999999997</v>
          </cell>
          <cell r="O49">
            <v>0</v>
          </cell>
          <cell r="P49">
            <v>0.68840000000000001</v>
          </cell>
          <cell r="Q49">
            <v>13.768000000000001</v>
          </cell>
          <cell r="R49">
            <v>100</v>
          </cell>
          <cell r="S49">
            <v>100</v>
          </cell>
          <cell r="U49">
            <v>0</v>
          </cell>
          <cell r="W49">
            <v>20</v>
          </cell>
          <cell r="X49">
            <v>0</v>
          </cell>
          <cell r="Y49">
            <v>4.8911999999999995</v>
          </cell>
          <cell r="Z49">
            <v>3.5659999999999998</v>
          </cell>
          <cell r="AA49">
            <v>9.8775999999999993</v>
          </cell>
          <cell r="AB49">
            <v>7.7816000000000001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54"/>
  <sheetViews>
    <sheetView tabSelected="1" zoomScale="85" workbookViewId="0">
      <pane xSplit="2" ySplit="5" topLeftCell="C27" activePane="bottomRight" state="frozen"/>
      <selection pane="topRight"/>
      <selection pane="bottomLeft"/>
      <selection pane="bottomRight" activeCell="R45" sqref="R45"/>
    </sheetView>
  </sheetViews>
  <sheetFormatPr defaultRowHeight="14.4" x14ac:dyDescent="0.3"/>
  <cols>
    <col min="1" max="1" width="96.441406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4140625" customWidth="1"/>
    <col min="15" max="15" width="7" customWidth="1"/>
    <col min="16" max="16" width="7" style="13" customWidth="1"/>
    <col min="17" max="19" width="7" customWidth="1"/>
    <col min="20" max="20" width="21" customWidth="1"/>
    <col min="21" max="22" width="5" customWidth="1"/>
    <col min="23" max="27" width="6" customWidth="1"/>
    <col min="28" max="28" width="31.44140625" customWidth="1"/>
    <col min="29" max="29" width="7" customWidth="1"/>
    <col min="30" max="48" width="3" customWidth="1"/>
  </cols>
  <sheetData>
    <row r="1" spans="1:48" x14ac:dyDescent="0.3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3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6" t="s">
        <v>17</v>
      </c>
      <c r="T3" s="6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22</v>
      </c>
      <c r="AC3" s="2" t="s">
        <v>23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3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74</v>
      </c>
      <c r="Q4" s="1" t="s">
        <v>25</v>
      </c>
      <c r="R4" s="1"/>
      <c r="S4" s="1"/>
      <c r="T4" s="1"/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3">
      <c r="A5" s="1"/>
      <c r="B5" s="1"/>
      <c r="C5" s="1"/>
      <c r="D5" s="1"/>
      <c r="E5" s="4">
        <f>SUM(E6:E401)</f>
        <v>2811.7779999999998</v>
      </c>
      <c r="F5" s="4">
        <f>SUM(F6:F401)</f>
        <v>7745.4190000000008</v>
      </c>
      <c r="G5" s="7"/>
      <c r="H5" s="1"/>
      <c r="I5" s="1"/>
      <c r="J5" s="1"/>
      <c r="K5" s="4">
        <f t="shared" ref="K5:S5" si="0">SUM(K6:K401)</f>
        <v>3473.078</v>
      </c>
      <c r="L5" s="4">
        <f t="shared" si="0"/>
        <v>-661.30000000000007</v>
      </c>
      <c r="M5" s="4">
        <f t="shared" si="0"/>
        <v>0</v>
      </c>
      <c r="N5" s="4">
        <f t="shared" si="0"/>
        <v>0</v>
      </c>
      <c r="O5" s="4">
        <f t="shared" si="0"/>
        <v>5248</v>
      </c>
      <c r="P5" s="4">
        <f t="shared" ref="P5" si="1">SUM(P6:P401)</f>
        <v>1390</v>
      </c>
      <c r="Q5" s="4">
        <f t="shared" si="0"/>
        <v>562.35560000000009</v>
      </c>
      <c r="R5" s="4">
        <f t="shared" si="0"/>
        <v>1087.8388</v>
      </c>
      <c r="S5" s="4">
        <f t="shared" si="0"/>
        <v>907</v>
      </c>
      <c r="T5" s="1"/>
      <c r="U5" s="1"/>
      <c r="V5" s="1"/>
      <c r="W5" s="4">
        <f>SUM(W6:W401)</f>
        <v>611.33759999999984</v>
      </c>
      <c r="X5" s="4">
        <f>SUM(X6:X401)</f>
        <v>375.51</v>
      </c>
      <c r="Y5" s="4">
        <f>SUM(Y6:Y401)</f>
        <v>391.67239999999998</v>
      </c>
      <c r="Z5" s="4">
        <f>SUM(Z6:Z401)</f>
        <v>516.0128000000002</v>
      </c>
      <c r="AA5" s="4">
        <f>SUM(AA6:AA401)</f>
        <v>429.01400000000007</v>
      </c>
      <c r="AB5" s="1"/>
      <c r="AC5" s="4">
        <f>SUM(AC6:AC401)</f>
        <v>400.77479999999997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3">
      <c r="A6" s="1" t="s">
        <v>33</v>
      </c>
      <c r="B6" s="1" t="s">
        <v>34</v>
      </c>
      <c r="C6" s="1">
        <v>363.27300000000002</v>
      </c>
      <c r="D6" s="1">
        <v>40.843000000000004</v>
      </c>
      <c r="E6" s="1">
        <v>65.516000000000005</v>
      </c>
      <c r="F6" s="1">
        <v>300.89800000000002</v>
      </c>
      <c r="G6" s="7">
        <v>1</v>
      </c>
      <c r="H6" s="1"/>
      <c r="I6" s="1"/>
      <c r="J6" s="1"/>
      <c r="K6" s="1">
        <f>VLOOKUP(A6,[1]TDSheet!$A:$E,5,0)</f>
        <v>69.900000000000006</v>
      </c>
      <c r="L6" s="1">
        <f>E6-K6</f>
        <v>-4.3840000000000003</v>
      </c>
      <c r="M6" s="1"/>
      <c r="N6" s="1"/>
      <c r="O6" s="1">
        <f>VLOOKUP(A6,[2]TDSheet!$A:$R,18,0)</f>
        <v>0</v>
      </c>
      <c r="P6" s="1"/>
      <c r="Q6" s="1">
        <f>E6/5</f>
        <v>13.103200000000001</v>
      </c>
      <c r="R6" s="10"/>
      <c r="S6" s="10"/>
      <c r="T6" s="1"/>
      <c r="U6" s="1">
        <f>(F6+O6+R6)/Q6</f>
        <v>22.963703522803591</v>
      </c>
      <c r="V6" s="1">
        <f>(F6+O6)/Q6</f>
        <v>22.963703522803591</v>
      </c>
      <c r="W6" s="1">
        <f>VLOOKUP(A6,[2]TDSheet!$A:$AB,16,0)</f>
        <v>10.0276</v>
      </c>
      <c r="X6" s="1">
        <f>VLOOKUP(A6,[2]TDSheet!$A:$AB,28,0)</f>
        <v>4.4912000000000001</v>
      </c>
      <c r="Y6" s="1">
        <f>VLOOKUP(A6,[2]TDSheet!$A:$AB,27,0)</f>
        <v>5.9976000000000003</v>
      </c>
      <c r="Z6" s="1">
        <f>VLOOKUP(A6,[2]TDSheet!$A:$AB,26,0)</f>
        <v>6.2723999999999993</v>
      </c>
      <c r="AA6" s="1">
        <f>VLOOKUP(A6,[2]TDSheet!$A:$AB,25,0)</f>
        <v>4.0884</v>
      </c>
      <c r="AB6" s="1"/>
      <c r="AC6" s="1">
        <f>R6*G6</f>
        <v>0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3">
      <c r="A7" s="1" t="s">
        <v>35</v>
      </c>
      <c r="B7" s="1" t="s">
        <v>36</v>
      </c>
      <c r="C7" s="1">
        <v>97</v>
      </c>
      <c r="D7" s="1">
        <v>2</v>
      </c>
      <c r="E7" s="1">
        <v>9</v>
      </c>
      <c r="F7" s="1">
        <v>90</v>
      </c>
      <c r="G7" s="7">
        <v>0.18</v>
      </c>
      <c r="H7" s="1"/>
      <c r="I7" s="1"/>
      <c r="J7" s="1"/>
      <c r="K7" s="1">
        <f>VLOOKUP(A7,[1]TDSheet!$A:$E,5,0)</f>
        <v>13</v>
      </c>
      <c r="L7" s="1">
        <f t="shared" ref="L7:L44" si="2">E7-K7</f>
        <v>-4</v>
      </c>
      <c r="M7" s="1"/>
      <c r="N7" s="1"/>
      <c r="O7" s="1">
        <f>VLOOKUP(A7,[2]TDSheet!$A:$R,18,0)</f>
        <v>0</v>
      </c>
      <c r="P7" s="1"/>
      <c r="Q7" s="1">
        <f t="shared" ref="Q7:Q44" si="3">E7/5</f>
        <v>1.8</v>
      </c>
      <c r="R7" s="10"/>
      <c r="S7" s="10"/>
      <c r="T7" s="1"/>
      <c r="U7" s="1">
        <f t="shared" ref="U7:U44" si="4">(F7+O7+R7)/Q7</f>
        <v>50</v>
      </c>
      <c r="V7" s="1">
        <f t="shared" ref="V7:V44" si="5">(F7+O7)/Q7</f>
        <v>50</v>
      </c>
      <c r="W7" s="1">
        <f>VLOOKUP(A7,[2]TDSheet!$A:$AB,16,0)</f>
        <v>0.4</v>
      </c>
      <c r="X7" s="1">
        <f>VLOOKUP(A7,[2]TDSheet!$A:$AB,28,0)</f>
        <v>0.6</v>
      </c>
      <c r="Y7" s="1">
        <f>VLOOKUP(A7,[2]TDSheet!$A:$AB,27,0)</f>
        <v>2.6</v>
      </c>
      <c r="Z7" s="1">
        <f>VLOOKUP(A7,[2]TDSheet!$A:$AB,26,0)</f>
        <v>4.2</v>
      </c>
      <c r="AA7" s="1">
        <f>VLOOKUP(A7,[2]TDSheet!$A:$AB,25,0)</f>
        <v>2.4</v>
      </c>
      <c r="AB7" s="11" t="s">
        <v>72</v>
      </c>
      <c r="AC7" s="1">
        <f t="shared" ref="AC7:AC44" si="6">R7*G7</f>
        <v>0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3">
      <c r="A8" s="1" t="s">
        <v>37</v>
      </c>
      <c r="B8" s="1" t="s">
        <v>36</v>
      </c>
      <c r="C8" s="1">
        <v>68</v>
      </c>
      <c r="D8" s="1">
        <v>2</v>
      </c>
      <c r="E8" s="1">
        <v>10</v>
      </c>
      <c r="F8" s="1">
        <v>60</v>
      </c>
      <c r="G8" s="7">
        <v>0.18</v>
      </c>
      <c r="H8" s="1"/>
      <c r="I8" s="1"/>
      <c r="J8" s="1"/>
      <c r="K8" s="1">
        <f>VLOOKUP(A8,[1]TDSheet!$A:$E,5,0)</f>
        <v>14</v>
      </c>
      <c r="L8" s="1">
        <f t="shared" si="2"/>
        <v>-4</v>
      </c>
      <c r="M8" s="1"/>
      <c r="N8" s="1"/>
      <c r="O8" s="1">
        <f>VLOOKUP(A8,[2]TDSheet!$A:$R,18,0)</f>
        <v>0</v>
      </c>
      <c r="P8" s="1"/>
      <c r="Q8" s="1">
        <f t="shared" si="3"/>
        <v>2</v>
      </c>
      <c r="R8" s="10"/>
      <c r="S8" s="10"/>
      <c r="T8" s="1"/>
      <c r="U8" s="1">
        <f t="shared" si="4"/>
        <v>30</v>
      </c>
      <c r="V8" s="1">
        <f t="shared" si="5"/>
        <v>30</v>
      </c>
      <c r="W8" s="1">
        <f>VLOOKUP(A8,[2]TDSheet!$A:$AB,16,0)</f>
        <v>0.4</v>
      </c>
      <c r="X8" s="1">
        <f>VLOOKUP(A8,[2]TDSheet!$A:$AB,28,0)</f>
        <v>0.6</v>
      </c>
      <c r="Y8" s="1">
        <f>VLOOKUP(A8,[2]TDSheet!$A:$AB,27,0)</f>
        <v>2.6</v>
      </c>
      <c r="Z8" s="1">
        <f>VLOOKUP(A8,[2]TDSheet!$A:$AB,26,0)</f>
        <v>3.6</v>
      </c>
      <c r="AA8" s="1">
        <f>VLOOKUP(A8,[2]TDSheet!$A:$AB,25,0)</f>
        <v>1.4</v>
      </c>
      <c r="AB8" s="11" t="s">
        <v>72</v>
      </c>
      <c r="AC8" s="1">
        <f t="shared" si="6"/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3">
      <c r="A9" s="1" t="s">
        <v>38</v>
      </c>
      <c r="B9" s="1" t="s">
        <v>34</v>
      </c>
      <c r="C9" s="1">
        <v>182.06800000000001</v>
      </c>
      <c r="D9" s="1"/>
      <c r="E9" s="1">
        <v>29.358000000000001</v>
      </c>
      <c r="F9" s="1">
        <v>152.71</v>
      </c>
      <c r="G9" s="7">
        <v>1</v>
      </c>
      <c r="H9" s="1"/>
      <c r="I9" s="1"/>
      <c r="J9" s="1"/>
      <c r="K9" s="1">
        <f>VLOOKUP(A9,[1]TDSheet!$A:$E,5,0)</f>
        <v>27.616</v>
      </c>
      <c r="L9" s="1">
        <f t="shared" si="2"/>
        <v>1.7420000000000009</v>
      </c>
      <c r="M9" s="1"/>
      <c r="N9" s="1"/>
      <c r="O9" s="1">
        <f>VLOOKUP(A9,[2]TDSheet!$A:$R,18,0)</f>
        <v>0</v>
      </c>
      <c r="P9" s="1"/>
      <c r="Q9" s="1">
        <f t="shared" si="3"/>
        <v>5.8715999999999999</v>
      </c>
      <c r="R9" s="10"/>
      <c r="S9" s="10"/>
      <c r="T9" s="1"/>
      <c r="U9" s="1">
        <f t="shared" si="4"/>
        <v>26.008243068328905</v>
      </c>
      <c r="V9" s="1">
        <f t="shared" si="5"/>
        <v>26.008243068328905</v>
      </c>
      <c r="W9" s="1">
        <f>VLOOKUP(A9,[2]TDSheet!$A:$AB,16,0)</f>
        <v>3.3479999999999999</v>
      </c>
      <c r="X9" s="1">
        <f>VLOOKUP(A9,[2]TDSheet!$A:$AB,28,0)</f>
        <v>2.6175999999999999</v>
      </c>
      <c r="Y9" s="1">
        <f>VLOOKUP(A9,[2]TDSheet!$A:$AB,27,0)</f>
        <v>0</v>
      </c>
      <c r="Z9" s="1">
        <f>VLOOKUP(A9,[2]TDSheet!$A:$AB,26,0)</f>
        <v>0</v>
      </c>
      <c r="AA9" s="1">
        <f>VLOOKUP(A9,[2]TDSheet!$A:$AB,25,0)</f>
        <v>0</v>
      </c>
      <c r="AB9" s="12" t="s">
        <v>73</v>
      </c>
      <c r="AC9" s="1">
        <f t="shared" si="6"/>
        <v>0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3">
      <c r="A10" s="1" t="s">
        <v>39</v>
      </c>
      <c r="B10" s="1" t="s">
        <v>36</v>
      </c>
      <c r="C10" s="1">
        <v>145</v>
      </c>
      <c r="D10" s="1"/>
      <c r="E10" s="1"/>
      <c r="F10" s="1">
        <v>145</v>
      </c>
      <c r="G10" s="7">
        <v>0.82450000000000001</v>
      </c>
      <c r="H10" s="1">
        <v>180</v>
      </c>
      <c r="I10" s="1"/>
      <c r="J10" s="1"/>
      <c r="K10" s="1">
        <f>VLOOKUP(A10,[1]TDSheet!$A:$E,5,0)</f>
        <v>2</v>
      </c>
      <c r="L10" s="1">
        <f t="shared" si="2"/>
        <v>-2</v>
      </c>
      <c r="M10" s="1"/>
      <c r="N10" s="1"/>
      <c r="O10" s="1">
        <f>VLOOKUP(A10,[2]TDSheet!$A:$R,18,0)</f>
        <v>0</v>
      </c>
      <c r="P10" s="1"/>
      <c r="Q10" s="1">
        <f t="shared" si="3"/>
        <v>0</v>
      </c>
      <c r="R10" s="10"/>
      <c r="S10" s="10"/>
      <c r="T10" s="1"/>
      <c r="U10" s="1" t="e">
        <f t="shared" si="4"/>
        <v>#DIV/0!</v>
      </c>
      <c r="V10" s="1" t="e">
        <f t="shared" si="5"/>
        <v>#DIV/0!</v>
      </c>
      <c r="W10" s="1">
        <f>VLOOKUP(A10,[2]TDSheet!$A:$AB,16,0)</f>
        <v>0.6</v>
      </c>
      <c r="X10" s="1">
        <f>VLOOKUP(A10,[2]TDSheet!$A:$AB,28,0)</f>
        <v>0.2</v>
      </c>
      <c r="Y10" s="1">
        <f>VLOOKUP(A10,[2]TDSheet!$A:$AB,27,0)</f>
        <v>1</v>
      </c>
      <c r="Z10" s="1">
        <f>VLOOKUP(A10,[2]TDSheet!$A:$AB,26,0)</f>
        <v>0.4</v>
      </c>
      <c r="AA10" s="1">
        <f>VLOOKUP(A10,[2]TDSheet!$A:$AB,25,0)</f>
        <v>0</v>
      </c>
      <c r="AB10" s="11" t="s">
        <v>72</v>
      </c>
      <c r="AC10" s="1">
        <f t="shared" si="6"/>
        <v>0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3">
      <c r="A11" s="1" t="s">
        <v>40</v>
      </c>
      <c r="B11" s="1" t="s">
        <v>36</v>
      </c>
      <c r="C11" s="1">
        <v>582</v>
      </c>
      <c r="D11" s="1">
        <v>221</v>
      </c>
      <c r="E11" s="1">
        <v>149</v>
      </c>
      <c r="F11" s="1">
        <v>433</v>
      </c>
      <c r="G11" s="7">
        <v>0.372</v>
      </c>
      <c r="H11" s="1">
        <v>180</v>
      </c>
      <c r="I11" s="1"/>
      <c r="J11" s="1"/>
      <c r="K11" s="1">
        <f>VLOOKUP(A11,[1]TDSheet!$A:$E,5,0)</f>
        <v>158</v>
      </c>
      <c r="L11" s="1">
        <f t="shared" si="2"/>
        <v>-9</v>
      </c>
      <c r="M11" s="1"/>
      <c r="N11" s="1"/>
      <c r="O11" s="1">
        <f>VLOOKUP(A11,[2]TDSheet!$A:$R,18,0)</f>
        <v>0</v>
      </c>
      <c r="P11" s="1"/>
      <c r="Q11" s="1">
        <f t="shared" si="3"/>
        <v>29.8</v>
      </c>
      <c r="R11" s="10">
        <f t="shared" ref="R11:R43" si="7">20*Q11-O11-F11</f>
        <v>163</v>
      </c>
      <c r="S11" s="10">
        <v>100</v>
      </c>
      <c r="T11" s="1"/>
      <c r="U11" s="1">
        <f t="shared" si="4"/>
        <v>20</v>
      </c>
      <c r="V11" s="1">
        <f t="shared" si="5"/>
        <v>14.530201342281879</v>
      </c>
      <c r="W11" s="1">
        <f>VLOOKUP(A11,[2]TDSheet!$A:$AB,16,0)</f>
        <v>4.4000000000000004</v>
      </c>
      <c r="X11" s="1">
        <f>VLOOKUP(A11,[2]TDSheet!$A:$AB,28,0)</f>
        <v>10.4</v>
      </c>
      <c r="Y11" s="1">
        <f>VLOOKUP(A11,[2]TDSheet!$A:$AB,27,0)</f>
        <v>10.6</v>
      </c>
      <c r="Z11" s="1">
        <f>VLOOKUP(A11,[2]TDSheet!$A:$AB,26,0)</f>
        <v>10</v>
      </c>
      <c r="AA11" s="1">
        <f>VLOOKUP(A11,[2]TDSheet!$A:$AB,25,0)</f>
        <v>19.600000000000001</v>
      </c>
      <c r="AB11" s="1"/>
      <c r="AC11" s="1">
        <f t="shared" si="6"/>
        <v>60.636000000000003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3">
      <c r="A12" s="1" t="s">
        <v>41</v>
      </c>
      <c r="B12" s="1" t="s">
        <v>36</v>
      </c>
      <c r="C12" s="1">
        <v>479</v>
      </c>
      <c r="D12" s="1">
        <v>7</v>
      </c>
      <c r="E12" s="1">
        <v>42</v>
      </c>
      <c r="F12" s="1">
        <v>439</v>
      </c>
      <c r="G12" s="7">
        <v>0.74399999999999999</v>
      </c>
      <c r="H12" s="1">
        <v>180</v>
      </c>
      <c r="I12" s="1"/>
      <c r="J12" s="1"/>
      <c r="K12" s="1">
        <f>VLOOKUP(A12,[1]TDSheet!$A:$E,5,0)</f>
        <v>50</v>
      </c>
      <c r="L12" s="1">
        <f t="shared" si="2"/>
        <v>-8</v>
      </c>
      <c r="M12" s="1"/>
      <c r="N12" s="1"/>
      <c r="O12" s="1">
        <f>VLOOKUP(A12,[2]TDSheet!$A:$R,18,0)</f>
        <v>0</v>
      </c>
      <c r="P12" s="1"/>
      <c r="Q12" s="1">
        <f t="shared" si="3"/>
        <v>8.4</v>
      </c>
      <c r="R12" s="10"/>
      <c r="S12" s="10"/>
      <c r="T12" s="1"/>
      <c r="U12" s="1">
        <f t="shared" si="4"/>
        <v>52.261904761904759</v>
      </c>
      <c r="V12" s="1">
        <f t="shared" si="5"/>
        <v>52.261904761904759</v>
      </c>
      <c r="W12" s="1">
        <f>VLOOKUP(A12,[2]TDSheet!$A:$AB,16,0)</f>
        <v>3.2</v>
      </c>
      <c r="X12" s="1">
        <f>VLOOKUP(A12,[2]TDSheet!$A:$AB,28,0)</f>
        <v>2.4</v>
      </c>
      <c r="Y12" s="1">
        <f>VLOOKUP(A12,[2]TDSheet!$A:$AB,27,0)</f>
        <v>4.2</v>
      </c>
      <c r="Z12" s="1">
        <f>VLOOKUP(A12,[2]TDSheet!$A:$AB,26,0)</f>
        <v>4</v>
      </c>
      <c r="AA12" s="1">
        <f>VLOOKUP(A12,[2]TDSheet!$A:$AB,25,0)</f>
        <v>5</v>
      </c>
      <c r="AB12" s="11" t="s">
        <v>72</v>
      </c>
      <c r="AC12" s="1">
        <f t="shared" si="6"/>
        <v>0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3">
      <c r="A13" s="1" t="s">
        <v>42</v>
      </c>
      <c r="B13" s="1" t="s">
        <v>36</v>
      </c>
      <c r="C13" s="1">
        <v>1166</v>
      </c>
      <c r="D13" s="1">
        <v>388</v>
      </c>
      <c r="E13" s="1">
        <v>214</v>
      </c>
      <c r="F13" s="1">
        <v>930</v>
      </c>
      <c r="G13" s="7">
        <v>0.372</v>
      </c>
      <c r="H13" s="1">
        <v>180</v>
      </c>
      <c r="I13" s="1"/>
      <c r="J13" s="1"/>
      <c r="K13" s="1">
        <f>VLOOKUP(A13,[1]TDSheet!$A:$E,5,0)</f>
        <v>238</v>
      </c>
      <c r="L13" s="1">
        <f t="shared" si="2"/>
        <v>-24</v>
      </c>
      <c r="M13" s="1"/>
      <c r="N13" s="1"/>
      <c r="O13" s="1">
        <f>VLOOKUP(A13,[2]TDSheet!$A:$R,18,0)</f>
        <v>0</v>
      </c>
      <c r="P13" s="1"/>
      <c r="Q13" s="1">
        <f t="shared" si="3"/>
        <v>42.8</v>
      </c>
      <c r="R13" s="10"/>
      <c r="S13" s="10"/>
      <c r="T13" s="1"/>
      <c r="U13" s="1">
        <f t="shared" si="4"/>
        <v>21.728971962616825</v>
      </c>
      <c r="V13" s="1">
        <f t="shared" si="5"/>
        <v>21.728971962616825</v>
      </c>
      <c r="W13" s="1">
        <f>VLOOKUP(A13,[2]TDSheet!$A:$AB,16,0)</f>
        <v>12</v>
      </c>
      <c r="X13" s="1">
        <f>VLOOKUP(A13,[2]TDSheet!$A:$AB,28,0)</f>
        <v>17</v>
      </c>
      <c r="Y13" s="1">
        <f>VLOOKUP(A13,[2]TDSheet!$A:$AB,27,0)</f>
        <v>16.399999999999999</v>
      </c>
      <c r="Z13" s="1">
        <f>VLOOKUP(A13,[2]TDSheet!$A:$AB,26,0)</f>
        <v>21.4</v>
      </c>
      <c r="AA13" s="1">
        <f>VLOOKUP(A13,[2]TDSheet!$A:$AB,25,0)</f>
        <v>60.6</v>
      </c>
      <c r="AB13" s="1"/>
      <c r="AC13" s="1">
        <f t="shared" si="6"/>
        <v>0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3">
      <c r="A14" s="1" t="s">
        <v>43</v>
      </c>
      <c r="B14" s="1" t="s">
        <v>36</v>
      </c>
      <c r="C14" s="1">
        <v>324</v>
      </c>
      <c r="D14" s="1">
        <v>23</v>
      </c>
      <c r="E14" s="1">
        <v>79</v>
      </c>
      <c r="F14" s="1">
        <v>263</v>
      </c>
      <c r="G14" s="7">
        <v>0.74399999999999999</v>
      </c>
      <c r="H14" s="1">
        <v>180</v>
      </c>
      <c r="I14" s="1"/>
      <c r="J14" s="1"/>
      <c r="K14" s="1">
        <f>VLOOKUP(A14,[1]TDSheet!$A:$E,5,0)</f>
        <v>97</v>
      </c>
      <c r="L14" s="1">
        <f t="shared" si="2"/>
        <v>-18</v>
      </c>
      <c r="M14" s="1"/>
      <c r="N14" s="1"/>
      <c r="O14" s="1">
        <f>VLOOKUP(A14,[2]TDSheet!$A:$R,18,0)</f>
        <v>0</v>
      </c>
      <c r="P14" s="1"/>
      <c r="Q14" s="1">
        <f t="shared" si="3"/>
        <v>15.8</v>
      </c>
      <c r="R14" s="10"/>
      <c r="S14" s="10"/>
      <c r="T14" s="1"/>
      <c r="U14" s="1">
        <f t="shared" si="4"/>
        <v>16.645569620253163</v>
      </c>
      <c r="V14" s="1">
        <f t="shared" si="5"/>
        <v>16.645569620253163</v>
      </c>
      <c r="W14" s="1">
        <f>VLOOKUP(A14,[2]TDSheet!$A:$AB,16,0)</f>
        <v>7.2</v>
      </c>
      <c r="X14" s="1">
        <f>VLOOKUP(A14,[2]TDSheet!$A:$AB,28,0)</f>
        <v>9.6</v>
      </c>
      <c r="Y14" s="1">
        <f>VLOOKUP(A14,[2]TDSheet!$A:$AB,27,0)</f>
        <v>4.4000000000000004</v>
      </c>
      <c r="Z14" s="1">
        <f>VLOOKUP(A14,[2]TDSheet!$A:$AB,26,0)</f>
        <v>3.6</v>
      </c>
      <c r="AA14" s="1">
        <f>VLOOKUP(A14,[2]TDSheet!$A:$AB,25,0)</f>
        <v>13.2</v>
      </c>
      <c r="AB14" s="1"/>
      <c r="AC14" s="1">
        <f t="shared" si="6"/>
        <v>0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3">
      <c r="A15" s="1" t="s">
        <v>44</v>
      </c>
      <c r="B15" s="1" t="s">
        <v>36</v>
      </c>
      <c r="C15" s="1">
        <v>99</v>
      </c>
      <c r="D15" s="1">
        <v>7</v>
      </c>
      <c r="E15" s="1">
        <v>46</v>
      </c>
      <c r="F15" s="1">
        <v>57</v>
      </c>
      <c r="G15" s="7">
        <v>0.18</v>
      </c>
      <c r="H15" s="1">
        <v>270</v>
      </c>
      <c r="I15" s="1"/>
      <c r="J15" s="1"/>
      <c r="K15" s="1">
        <f>VLOOKUP(A15,[1]TDSheet!$A:$E,5,0)</f>
        <v>51</v>
      </c>
      <c r="L15" s="1">
        <f t="shared" si="2"/>
        <v>-5</v>
      </c>
      <c r="M15" s="1"/>
      <c r="N15" s="1"/>
      <c r="O15" s="1">
        <f>VLOOKUP(A15,[2]TDSheet!$A:$R,18,0)</f>
        <v>0</v>
      </c>
      <c r="P15" s="1"/>
      <c r="Q15" s="1">
        <f t="shared" si="3"/>
        <v>9.1999999999999993</v>
      </c>
      <c r="R15" s="10"/>
      <c r="S15" s="10"/>
      <c r="T15" s="1"/>
      <c r="U15" s="1">
        <f t="shared" si="4"/>
        <v>6.1956521739130439</v>
      </c>
      <c r="V15" s="1">
        <f t="shared" si="5"/>
        <v>6.1956521739130439</v>
      </c>
      <c r="W15" s="1">
        <f>VLOOKUP(A15,[2]TDSheet!$A:$AB,16,0)</f>
        <v>7</v>
      </c>
      <c r="X15" s="1">
        <f>VLOOKUP(A15,[2]TDSheet!$A:$AB,28,0)</f>
        <v>6.4</v>
      </c>
      <c r="Y15" s="1">
        <f>VLOOKUP(A15,[2]TDSheet!$A:$AB,27,0)</f>
        <v>9.1999999999999993</v>
      </c>
      <c r="Z15" s="1">
        <f>VLOOKUP(A15,[2]TDSheet!$A:$AB,26,0)</f>
        <v>5.8</v>
      </c>
      <c r="AA15" s="1">
        <f>VLOOKUP(A15,[2]TDSheet!$A:$AB,25,0)</f>
        <v>7.2</v>
      </c>
      <c r="AB15" s="1"/>
      <c r="AC15" s="1">
        <f t="shared" si="6"/>
        <v>0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3">
      <c r="A16" s="1" t="s">
        <v>45</v>
      </c>
      <c r="B16" s="1" t="s">
        <v>36</v>
      </c>
      <c r="C16" s="1">
        <v>130</v>
      </c>
      <c r="D16" s="1">
        <v>10</v>
      </c>
      <c r="E16" s="1">
        <v>48</v>
      </c>
      <c r="F16" s="1">
        <v>86</v>
      </c>
      <c r="G16" s="7">
        <v>0.18</v>
      </c>
      <c r="H16" s="1">
        <v>270</v>
      </c>
      <c r="I16" s="1"/>
      <c r="J16" s="1"/>
      <c r="K16" s="1">
        <f>VLOOKUP(A16,[1]TDSheet!$A:$E,5,0)</f>
        <v>51</v>
      </c>
      <c r="L16" s="1">
        <f t="shared" si="2"/>
        <v>-3</v>
      </c>
      <c r="M16" s="1"/>
      <c r="N16" s="1"/>
      <c r="O16" s="1">
        <f>VLOOKUP(A16,[2]TDSheet!$A:$R,18,0)</f>
        <v>0</v>
      </c>
      <c r="P16" s="1"/>
      <c r="Q16" s="1">
        <f t="shared" si="3"/>
        <v>9.6</v>
      </c>
      <c r="R16" s="10"/>
      <c r="S16" s="10"/>
      <c r="T16" s="1"/>
      <c r="U16" s="1">
        <f t="shared" si="4"/>
        <v>8.9583333333333339</v>
      </c>
      <c r="V16" s="1">
        <f t="shared" si="5"/>
        <v>8.9583333333333339</v>
      </c>
      <c r="W16" s="1">
        <f>VLOOKUP(A16,[2]TDSheet!$A:$AB,16,0)</f>
        <v>9</v>
      </c>
      <c r="X16" s="1">
        <f>VLOOKUP(A16,[2]TDSheet!$A:$AB,28,0)</f>
        <v>5.8</v>
      </c>
      <c r="Y16" s="1">
        <f>VLOOKUP(A16,[2]TDSheet!$A:$AB,27,0)</f>
        <v>7.8</v>
      </c>
      <c r="Z16" s="1">
        <f>VLOOKUP(A16,[2]TDSheet!$A:$AB,26,0)</f>
        <v>6.8</v>
      </c>
      <c r="AA16" s="1">
        <f>VLOOKUP(A16,[2]TDSheet!$A:$AB,25,0)</f>
        <v>7.6</v>
      </c>
      <c r="AB16" s="1"/>
      <c r="AC16" s="1">
        <f t="shared" si="6"/>
        <v>0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3">
      <c r="A17" s="1" t="s">
        <v>46</v>
      </c>
      <c r="B17" s="1" t="s">
        <v>36</v>
      </c>
      <c r="C17" s="1">
        <v>740</v>
      </c>
      <c r="D17" s="1">
        <v>81</v>
      </c>
      <c r="E17" s="1">
        <v>283</v>
      </c>
      <c r="F17" s="1">
        <v>442</v>
      </c>
      <c r="G17" s="7">
        <v>0.18</v>
      </c>
      <c r="H17" s="1">
        <v>120</v>
      </c>
      <c r="I17" s="1"/>
      <c r="J17" s="1"/>
      <c r="K17" s="1">
        <f>VLOOKUP(A17,[1]TDSheet!$A:$E,5,0)</f>
        <v>301</v>
      </c>
      <c r="L17" s="1">
        <f t="shared" si="2"/>
        <v>-18</v>
      </c>
      <c r="M17" s="1"/>
      <c r="N17" s="1"/>
      <c r="O17" s="1">
        <f>VLOOKUP(A17,[2]TDSheet!$A:$R,18,0)</f>
        <v>442</v>
      </c>
      <c r="P17" s="1"/>
      <c r="Q17" s="1">
        <f t="shared" si="3"/>
        <v>56.6</v>
      </c>
      <c r="R17" s="10">
        <f t="shared" si="7"/>
        <v>248</v>
      </c>
      <c r="S17" s="10">
        <v>200</v>
      </c>
      <c r="T17" s="1"/>
      <c r="U17" s="1">
        <f t="shared" si="4"/>
        <v>20</v>
      </c>
      <c r="V17" s="1">
        <f t="shared" si="5"/>
        <v>15.618374558303886</v>
      </c>
      <c r="W17" s="1">
        <f>VLOOKUP(A17,[2]TDSheet!$A:$AB,16,0)</f>
        <v>59</v>
      </c>
      <c r="X17" s="1">
        <f>VLOOKUP(A17,[2]TDSheet!$A:$AB,28,0)</f>
        <v>34.6</v>
      </c>
      <c r="Y17" s="1">
        <f>VLOOKUP(A17,[2]TDSheet!$A:$AB,27,0)</f>
        <v>34.799999999999997</v>
      </c>
      <c r="Z17" s="1">
        <f>VLOOKUP(A17,[2]TDSheet!$A:$AB,26,0)</f>
        <v>64.8</v>
      </c>
      <c r="AA17" s="1">
        <f>VLOOKUP(A17,[2]TDSheet!$A:$AB,25,0)</f>
        <v>33.200000000000003</v>
      </c>
      <c r="AB17" s="1"/>
      <c r="AC17" s="1">
        <f t="shared" si="6"/>
        <v>44.64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3">
      <c r="A18" s="1" t="s">
        <v>47</v>
      </c>
      <c r="B18" s="1" t="s">
        <v>36</v>
      </c>
      <c r="C18" s="1">
        <v>439</v>
      </c>
      <c r="D18" s="1">
        <v>41</v>
      </c>
      <c r="E18" s="1">
        <v>94</v>
      </c>
      <c r="F18" s="1">
        <v>349</v>
      </c>
      <c r="G18" s="7">
        <v>0.18</v>
      </c>
      <c r="H18" s="1">
        <v>120</v>
      </c>
      <c r="I18" s="1"/>
      <c r="J18" s="1"/>
      <c r="K18" s="1">
        <f>VLOOKUP(A18,[1]TDSheet!$A:$E,5,0)</f>
        <v>104</v>
      </c>
      <c r="L18" s="1">
        <f t="shared" si="2"/>
        <v>-10</v>
      </c>
      <c r="M18" s="1"/>
      <c r="N18" s="1"/>
      <c r="O18" s="1">
        <f>VLOOKUP(A18,[2]TDSheet!$A:$R,18,0)</f>
        <v>0</v>
      </c>
      <c r="P18" s="1"/>
      <c r="Q18" s="1">
        <f t="shared" si="3"/>
        <v>18.8</v>
      </c>
      <c r="R18" s="10">
        <f t="shared" si="7"/>
        <v>27</v>
      </c>
      <c r="S18" s="10"/>
      <c r="T18" s="1"/>
      <c r="U18" s="1">
        <f t="shared" si="4"/>
        <v>20</v>
      </c>
      <c r="V18" s="1">
        <f t="shared" si="5"/>
        <v>18.563829787234042</v>
      </c>
      <c r="W18" s="1">
        <f>VLOOKUP(A18,[2]TDSheet!$A:$AB,16,0)</f>
        <v>28.6</v>
      </c>
      <c r="X18" s="1">
        <f>VLOOKUP(A18,[2]TDSheet!$A:$AB,28,0)</f>
        <v>11.4</v>
      </c>
      <c r="Y18" s="1">
        <f>VLOOKUP(A18,[2]TDSheet!$A:$AB,27,0)</f>
        <v>10.4</v>
      </c>
      <c r="Z18" s="1">
        <f>VLOOKUP(A18,[2]TDSheet!$A:$AB,26,0)</f>
        <v>37</v>
      </c>
      <c r="AA18" s="1">
        <f>VLOOKUP(A18,[2]TDSheet!$A:$AB,25,0)</f>
        <v>28.8</v>
      </c>
      <c r="AB18" s="1"/>
      <c r="AC18" s="1">
        <f t="shared" si="6"/>
        <v>4.8599999999999994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3">
      <c r="A19" s="1" t="s">
        <v>48</v>
      </c>
      <c r="B19" s="1" t="s">
        <v>36</v>
      </c>
      <c r="C19" s="1">
        <v>68</v>
      </c>
      <c r="D19" s="1">
        <v>9</v>
      </c>
      <c r="E19" s="1">
        <v>5</v>
      </c>
      <c r="F19" s="1">
        <v>63</v>
      </c>
      <c r="G19" s="7">
        <v>0.4</v>
      </c>
      <c r="H19" s="1">
        <v>270</v>
      </c>
      <c r="I19" s="1"/>
      <c r="J19" s="1"/>
      <c r="K19" s="1">
        <f>VLOOKUP(A19,[1]TDSheet!$A:$E,5,0)</f>
        <v>12</v>
      </c>
      <c r="L19" s="1">
        <f t="shared" si="2"/>
        <v>-7</v>
      </c>
      <c r="M19" s="1"/>
      <c r="N19" s="1"/>
      <c r="O19" s="1">
        <f>VLOOKUP(A19,[2]TDSheet!$A:$R,18,0)</f>
        <v>0</v>
      </c>
      <c r="P19" s="1"/>
      <c r="Q19" s="1">
        <f t="shared" si="3"/>
        <v>1</v>
      </c>
      <c r="R19" s="10"/>
      <c r="S19" s="10"/>
      <c r="T19" s="1"/>
      <c r="U19" s="1">
        <f t="shared" si="4"/>
        <v>63</v>
      </c>
      <c r="V19" s="1">
        <f t="shared" si="5"/>
        <v>63</v>
      </c>
      <c r="W19" s="1">
        <f>VLOOKUP(A19,[2]TDSheet!$A:$AB,16,0)</f>
        <v>1.6</v>
      </c>
      <c r="X19" s="1">
        <f>VLOOKUP(A19,[2]TDSheet!$A:$AB,28,0)</f>
        <v>1</v>
      </c>
      <c r="Y19" s="1">
        <f>VLOOKUP(A19,[2]TDSheet!$A:$AB,27,0)</f>
        <v>0.2</v>
      </c>
      <c r="Z19" s="1">
        <f>VLOOKUP(A19,[2]TDSheet!$A:$AB,26,0)</f>
        <v>2.2000000000000002</v>
      </c>
      <c r="AA19" s="1">
        <f>VLOOKUP(A19,[2]TDSheet!$A:$AB,25,0)</f>
        <v>0.6</v>
      </c>
      <c r="AB19" s="11" t="s">
        <v>72</v>
      </c>
      <c r="AC19" s="1">
        <f t="shared" si="6"/>
        <v>0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3">
      <c r="A20" s="1" t="s">
        <v>49</v>
      </c>
      <c r="B20" s="1" t="s">
        <v>36</v>
      </c>
      <c r="C20" s="1">
        <v>49</v>
      </c>
      <c r="D20" s="1">
        <v>9</v>
      </c>
      <c r="E20" s="1">
        <v>4</v>
      </c>
      <c r="F20" s="1">
        <v>43</v>
      </c>
      <c r="G20" s="7">
        <v>0.4</v>
      </c>
      <c r="H20" s="1">
        <v>270</v>
      </c>
      <c r="I20" s="1"/>
      <c r="J20" s="1"/>
      <c r="K20" s="1">
        <f>VLOOKUP(A20,[1]TDSheet!$A:$E,5,0)</f>
        <v>8</v>
      </c>
      <c r="L20" s="1">
        <f t="shared" si="2"/>
        <v>-4</v>
      </c>
      <c r="M20" s="1"/>
      <c r="N20" s="1"/>
      <c r="O20" s="1">
        <f>VLOOKUP(A20,[2]TDSheet!$A:$R,18,0)</f>
        <v>0</v>
      </c>
      <c r="P20" s="1"/>
      <c r="Q20" s="1">
        <f t="shared" si="3"/>
        <v>0.8</v>
      </c>
      <c r="R20" s="10"/>
      <c r="S20" s="10"/>
      <c r="T20" s="1"/>
      <c r="U20" s="1">
        <f t="shared" si="4"/>
        <v>53.75</v>
      </c>
      <c r="V20" s="1">
        <f t="shared" si="5"/>
        <v>53.75</v>
      </c>
      <c r="W20" s="1">
        <f>VLOOKUP(A20,[2]TDSheet!$A:$AB,16,0)</f>
        <v>0.2</v>
      </c>
      <c r="X20" s="1">
        <f>VLOOKUP(A20,[2]TDSheet!$A:$AB,28,0)</f>
        <v>1.6</v>
      </c>
      <c r="Y20" s="1">
        <f>VLOOKUP(A20,[2]TDSheet!$A:$AB,27,0)</f>
        <v>2</v>
      </c>
      <c r="Z20" s="1">
        <f>VLOOKUP(A20,[2]TDSheet!$A:$AB,26,0)</f>
        <v>0.8</v>
      </c>
      <c r="AA20" s="1">
        <f>VLOOKUP(A20,[2]TDSheet!$A:$AB,25,0)</f>
        <v>3.2</v>
      </c>
      <c r="AB20" s="11" t="s">
        <v>72</v>
      </c>
      <c r="AC20" s="1">
        <f t="shared" si="6"/>
        <v>0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3">
      <c r="A21" s="1" t="s">
        <v>50</v>
      </c>
      <c r="B21" s="1" t="s">
        <v>36</v>
      </c>
      <c r="C21" s="1">
        <v>203</v>
      </c>
      <c r="D21" s="1">
        <v>7</v>
      </c>
      <c r="E21" s="1">
        <v>29</v>
      </c>
      <c r="F21" s="1">
        <v>172</v>
      </c>
      <c r="G21" s="7">
        <v>0.18</v>
      </c>
      <c r="H21" s="1">
        <v>150</v>
      </c>
      <c r="I21" s="1"/>
      <c r="J21" s="1"/>
      <c r="K21" s="1">
        <f>VLOOKUP(A21,[1]TDSheet!$A:$E,5,0)</f>
        <v>93</v>
      </c>
      <c r="L21" s="1">
        <f t="shared" si="2"/>
        <v>-64</v>
      </c>
      <c r="M21" s="1"/>
      <c r="N21" s="1"/>
      <c r="O21" s="1">
        <f>VLOOKUP(A21,[2]TDSheet!$A:$R,18,0)</f>
        <v>100</v>
      </c>
      <c r="P21" s="1">
        <v>100</v>
      </c>
      <c r="Q21" s="1">
        <f t="shared" si="3"/>
        <v>5.8</v>
      </c>
      <c r="R21" s="10"/>
      <c r="S21" s="10">
        <v>80</v>
      </c>
      <c r="T21" s="1"/>
      <c r="U21" s="1">
        <f>(F21+O21+R21+P21)/Q21</f>
        <v>64.137931034482762</v>
      </c>
      <c r="V21" s="1">
        <f>(F21+O21+P21)/Q21</f>
        <v>64.137931034482762</v>
      </c>
      <c r="W21" s="1">
        <f>VLOOKUP(A21,[2]TDSheet!$A:$AB,16,0)</f>
        <v>5.4</v>
      </c>
      <c r="X21" s="1">
        <f>VLOOKUP(A21,[2]TDSheet!$A:$AB,28,0)</f>
        <v>8.4</v>
      </c>
      <c r="Y21" s="1">
        <f>VLOOKUP(A21,[2]TDSheet!$A:$AB,27,0)</f>
        <v>13.8</v>
      </c>
      <c r="Z21" s="1">
        <f>VLOOKUP(A21,[2]TDSheet!$A:$AB,26,0)</f>
        <v>5.4</v>
      </c>
      <c r="AA21" s="1">
        <f>VLOOKUP(A21,[2]TDSheet!$A:$AB,25,0)</f>
        <v>3.8</v>
      </c>
      <c r="AB21" s="11" t="s">
        <v>72</v>
      </c>
      <c r="AC21" s="1">
        <f t="shared" si="6"/>
        <v>0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3">
      <c r="A22" s="1" t="s">
        <v>51</v>
      </c>
      <c r="B22" s="1" t="s">
        <v>36</v>
      </c>
      <c r="C22" s="1">
        <v>226</v>
      </c>
      <c r="D22" s="1">
        <v>31</v>
      </c>
      <c r="E22" s="1">
        <v>107</v>
      </c>
      <c r="F22" s="1">
        <v>130</v>
      </c>
      <c r="G22" s="7">
        <v>0.1</v>
      </c>
      <c r="H22" s="1">
        <v>90</v>
      </c>
      <c r="I22" s="1"/>
      <c r="J22" s="1"/>
      <c r="K22" s="1">
        <f>VLOOKUP(A22,[1]TDSheet!$A:$E,5,0)</f>
        <v>118</v>
      </c>
      <c r="L22" s="1">
        <f t="shared" si="2"/>
        <v>-11</v>
      </c>
      <c r="M22" s="1"/>
      <c r="N22" s="1"/>
      <c r="O22" s="1">
        <f>VLOOKUP(A22,[2]TDSheet!$A:$R,18,0)</f>
        <v>100</v>
      </c>
      <c r="P22" s="1"/>
      <c r="Q22" s="1">
        <f t="shared" si="3"/>
        <v>21.4</v>
      </c>
      <c r="R22" s="10">
        <f t="shared" si="7"/>
        <v>198</v>
      </c>
      <c r="S22" s="10">
        <v>150</v>
      </c>
      <c r="T22" s="1"/>
      <c r="U22" s="1">
        <f t="shared" si="4"/>
        <v>20</v>
      </c>
      <c r="V22" s="1">
        <f t="shared" si="5"/>
        <v>10.747663551401869</v>
      </c>
      <c r="W22" s="1">
        <f>VLOOKUP(A22,[2]TDSheet!$A:$AB,16,0)</f>
        <v>19.600000000000001</v>
      </c>
      <c r="X22" s="1">
        <f>VLOOKUP(A22,[2]TDSheet!$A:$AB,28,0)</f>
        <v>23.2</v>
      </c>
      <c r="Y22" s="1">
        <f>VLOOKUP(A22,[2]TDSheet!$A:$AB,27,0)</f>
        <v>20</v>
      </c>
      <c r="Z22" s="1">
        <f>VLOOKUP(A22,[2]TDSheet!$A:$AB,26,0)</f>
        <v>20.399999999999999</v>
      </c>
      <c r="AA22" s="1">
        <f>VLOOKUP(A22,[2]TDSheet!$A:$AB,25,0)</f>
        <v>7.4</v>
      </c>
      <c r="AB22" s="1"/>
      <c r="AC22" s="1">
        <f t="shared" si="6"/>
        <v>19.8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3">
      <c r="A23" s="1" t="s">
        <v>52</v>
      </c>
      <c r="B23" s="1" t="s">
        <v>36</v>
      </c>
      <c r="C23" s="1">
        <v>113</v>
      </c>
      <c r="D23" s="1">
        <v>44</v>
      </c>
      <c r="E23" s="1">
        <v>26</v>
      </c>
      <c r="F23" s="1"/>
      <c r="G23" s="7">
        <v>0.1</v>
      </c>
      <c r="H23" s="1"/>
      <c r="I23" s="1"/>
      <c r="J23" s="1"/>
      <c r="K23" s="1">
        <f>VLOOKUP(A23,[1]TDSheet!$A:$E,5,0)</f>
        <v>110</v>
      </c>
      <c r="L23" s="1">
        <f t="shared" si="2"/>
        <v>-84</v>
      </c>
      <c r="M23" s="1"/>
      <c r="N23" s="1"/>
      <c r="O23" s="1">
        <f>VLOOKUP(A23,[2]TDSheet!$A:$R,18,0)</f>
        <v>327</v>
      </c>
      <c r="P23" s="1"/>
      <c r="Q23" s="1">
        <f t="shared" si="3"/>
        <v>5.2</v>
      </c>
      <c r="R23" s="10"/>
      <c r="S23" s="10"/>
      <c r="T23" s="1"/>
      <c r="U23" s="1">
        <f t="shared" si="4"/>
        <v>62.88461538461538</v>
      </c>
      <c r="V23" s="1">
        <f t="shared" si="5"/>
        <v>62.88461538461538</v>
      </c>
      <c r="W23" s="1">
        <f>VLOOKUP(A23,[2]TDSheet!$A:$AB,16,0)</f>
        <v>22</v>
      </c>
      <c r="X23" s="1">
        <f>VLOOKUP(A23,[2]TDSheet!$A:$AB,28,0)</f>
        <v>12</v>
      </c>
      <c r="Y23" s="1">
        <f>VLOOKUP(A23,[2]TDSheet!$A:$AB,27,0)</f>
        <v>10.8</v>
      </c>
      <c r="Z23" s="1">
        <f>VLOOKUP(A23,[2]TDSheet!$A:$AB,26,0)</f>
        <v>12.8</v>
      </c>
      <c r="AA23" s="1">
        <f>VLOOKUP(A23,[2]TDSheet!$A:$AB,25,0)</f>
        <v>7.8</v>
      </c>
      <c r="AB23" s="1"/>
      <c r="AC23" s="1">
        <f t="shared" si="6"/>
        <v>0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3">
      <c r="A24" s="1" t="s">
        <v>53</v>
      </c>
      <c r="B24" s="1" t="s">
        <v>36</v>
      </c>
      <c r="C24" s="1">
        <v>122</v>
      </c>
      <c r="D24" s="1">
        <v>62</v>
      </c>
      <c r="E24" s="1">
        <v>91</v>
      </c>
      <c r="F24" s="1">
        <v>33</v>
      </c>
      <c r="G24" s="7">
        <v>0.1</v>
      </c>
      <c r="H24" s="1"/>
      <c r="I24" s="1"/>
      <c r="J24" s="1"/>
      <c r="K24" s="1">
        <f>VLOOKUP(A24,[1]TDSheet!$A:$E,5,0)</f>
        <v>93</v>
      </c>
      <c r="L24" s="1">
        <f t="shared" si="2"/>
        <v>-2</v>
      </c>
      <c r="M24" s="1"/>
      <c r="N24" s="1"/>
      <c r="O24" s="1">
        <f>VLOOKUP(A24,[2]TDSheet!$A:$R,18,0)</f>
        <v>258</v>
      </c>
      <c r="P24" s="1"/>
      <c r="Q24" s="1">
        <f t="shared" si="3"/>
        <v>18.2</v>
      </c>
      <c r="R24" s="10"/>
      <c r="S24" s="10"/>
      <c r="T24" s="1"/>
      <c r="U24" s="1">
        <f t="shared" si="4"/>
        <v>15.989010989010989</v>
      </c>
      <c r="V24" s="1">
        <f t="shared" si="5"/>
        <v>15.989010989010989</v>
      </c>
      <c r="W24" s="1">
        <f>VLOOKUP(A24,[2]TDSheet!$A:$AB,16,0)</f>
        <v>19</v>
      </c>
      <c r="X24" s="1">
        <f>VLOOKUP(A24,[2]TDSheet!$A:$AB,28,0)</f>
        <v>12.8</v>
      </c>
      <c r="Y24" s="1">
        <f>VLOOKUP(A24,[2]TDSheet!$A:$AB,27,0)</f>
        <v>10</v>
      </c>
      <c r="Z24" s="1">
        <f>VLOOKUP(A24,[2]TDSheet!$A:$AB,26,0)</f>
        <v>9.8000000000000007</v>
      </c>
      <c r="AA24" s="1">
        <f>VLOOKUP(A24,[2]TDSheet!$A:$AB,25,0)</f>
        <v>15.4</v>
      </c>
      <c r="AB24" s="1"/>
      <c r="AC24" s="1">
        <f t="shared" si="6"/>
        <v>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3">
      <c r="A25" s="1" t="s">
        <v>54</v>
      </c>
      <c r="B25" s="1" t="s">
        <v>36</v>
      </c>
      <c r="C25" s="1">
        <v>126</v>
      </c>
      <c r="D25" s="1">
        <v>142</v>
      </c>
      <c r="E25" s="1">
        <v>73</v>
      </c>
      <c r="F25" s="1">
        <v>160</v>
      </c>
      <c r="G25" s="7">
        <v>0.18</v>
      </c>
      <c r="H25" s="1">
        <v>150</v>
      </c>
      <c r="I25" s="1"/>
      <c r="J25" s="1"/>
      <c r="K25" s="1">
        <f>VLOOKUP(A25,[1]TDSheet!$A:$E,5,0)</f>
        <v>76</v>
      </c>
      <c r="L25" s="1">
        <f t="shared" si="2"/>
        <v>-3</v>
      </c>
      <c r="M25" s="1"/>
      <c r="N25" s="1"/>
      <c r="O25" s="1">
        <f>VLOOKUP(A25,[2]TDSheet!$A:$R,18,0)</f>
        <v>154</v>
      </c>
      <c r="P25" s="1">
        <v>350</v>
      </c>
      <c r="Q25" s="1">
        <f t="shared" si="3"/>
        <v>14.6</v>
      </c>
      <c r="R25" s="10"/>
      <c r="S25" s="10">
        <v>40</v>
      </c>
      <c r="T25" s="1"/>
      <c r="U25" s="1">
        <f t="shared" ref="U25:U28" si="8">(F25+O25+R25+P25)/Q25</f>
        <v>45.479452054794521</v>
      </c>
      <c r="V25" s="1">
        <f t="shared" ref="V25:V28" si="9">(F25+O25+P25)/Q25</f>
        <v>45.479452054794521</v>
      </c>
      <c r="W25" s="1">
        <f>VLOOKUP(A25,[2]TDSheet!$A:$AB,16,0)</f>
        <v>19</v>
      </c>
      <c r="X25" s="1">
        <f>VLOOKUP(A25,[2]TDSheet!$A:$AB,28,0)</f>
        <v>12.2</v>
      </c>
      <c r="Y25" s="1">
        <f>VLOOKUP(A25,[2]TDSheet!$A:$AB,27,0)</f>
        <v>11.8</v>
      </c>
      <c r="Z25" s="1">
        <f>VLOOKUP(A25,[2]TDSheet!$A:$AB,26,0)</f>
        <v>15.8</v>
      </c>
      <c r="AA25" s="1">
        <f>VLOOKUP(A25,[2]TDSheet!$A:$AB,25,0)</f>
        <v>11.6</v>
      </c>
      <c r="AB25" s="11" t="s">
        <v>72</v>
      </c>
      <c r="AC25" s="1">
        <f t="shared" si="6"/>
        <v>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3">
      <c r="A26" s="1" t="s">
        <v>55</v>
      </c>
      <c r="B26" s="1" t="s">
        <v>36</v>
      </c>
      <c r="C26" s="1">
        <v>297</v>
      </c>
      <c r="D26" s="1">
        <v>491</v>
      </c>
      <c r="E26" s="1">
        <v>256</v>
      </c>
      <c r="F26" s="1">
        <v>78</v>
      </c>
      <c r="G26" s="7">
        <v>0.18</v>
      </c>
      <c r="H26" s="1">
        <v>150</v>
      </c>
      <c r="I26" s="1"/>
      <c r="J26" s="1"/>
      <c r="K26" s="1">
        <f>VLOOKUP(A26,[1]TDSheet!$A:$E,5,0)</f>
        <v>296</v>
      </c>
      <c r="L26" s="1">
        <f t="shared" si="2"/>
        <v>-40</v>
      </c>
      <c r="M26" s="1"/>
      <c r="N26" s="1"/>
      <c r="O26" s="1">
        <f>VLOOKUP(A26,[2]TDSheet!$A:$R,18,0)</f>
        <v>995</v>
      </c>
      <c r="P26" s="1">
        <v>350</v>
      </c>
      <c r="Q26" s="1">
        <f t="shared" si="3"/>
        <v>51.2</v>
      </c>
      <c r="R26" s="10"/>
      <c r="S26" s="10">
        <v>50</v>
      </c>
      <c r="T26" s="1"/>
      <c r="U26" s="1">
        <f t="shared" si="8"/>
        <v>27.79296875</v>
      </c>
      <c r="V26" s="1">
        <f t="shared" si="9"/>
        <v>27.79296875</v>
      </c>
      <c r="W26" s="1">
        <f>VLOOKUP(A26,[2]TDSheet!$A:$AB,16,0)</f>
        <v>64.599999999999994</v>
      </c>
      <c r="X26" s="1">
        <f>VLOOKUP(A26,[2]TDSheet!$A:$AB,28,0)</f>
        <v>25.4</v>
      </c>
      <c r="Y26" s="1">
        <f>VLOOKUP(A26,[2]TDSheet!$A:$AB,27,0)</f>
        <v>37.799999999999997</v>
      </c>
      <c r="Z26" s="1">
        <f>VLOOKUP(A26,[2]TDSheet!$A:$AB,26,0)</f>
        <v>32.200000000000003</v>
      </c>
      <c r="AA26" s="1">
        <f>VLOOKUP(A26,[2]TDSheet!$A:$AB,25,0)</f>
        <v>15.6</v>
      </c>
      <c r="AB26" s="1"/>
      <c r="AC26" s="1">
        <f t="shared" si="6"/>
        <v>0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3">
      <c r="A27" s="1" t="s">
        <v>56</v>
      </c>
      <c r="B27" s="1" t="s">
        <v>36</v>
      </c>
      <c r="C27" s="1">
        <v>252</v>
      </c>
      <c r="D27" s="1">
        <v>256</v>
      </c>
      <c r="E27" s="1">
        <v>31</v>
      </c>
      <c r="F27" s="1">
        <v>476</v>
      </c>
      <c r="G27" s="7">
        <v>0.18</v>
      </c>
      <c r="H27" s="1">
        <v>150</v>
      </c>
      <c r="I27" s="1"/>
      <c r="J27" s="1"/>
      <c r="K27" s="1">
        <f>VLOOKUP(A27,[1]TDSheet!$A:$E,5,0)</f>
        <v>32</v>
      </c>
      <c r="L27" s="1">
        <f t="shared" si="2"/>
        <v>-1</v>
      </c>
      <c r="M27" s="1"/>
      <c r="N27" s="1"/>
      <c r="O27" s="1">
        <f>VLOOKUP(A27,[2]TDSheet!$A:$R,18,0)</f>
        <v>0</v>
      </c>
      <c r="P27" s="1">
        <v>140</v>
      </c>
      <c r="Q27" s="1">
        <f t="shared" si="3"/>
        <v>6.2</v>
      </c>
      <c r="R27" s="10"/>
      <c r="S27" s="10"/>
      <c r="T27" s="1"/>
      <c r="U27" s="1">
        <f t="shared" si="8"/>
        <v>99.354838709677423</v>
      </c>
      <c r="V27" s="1">
        <f t="shared" si="9"/>
        <v>99.354838709677423</v>
      </c>
      <c r="W27" s="1">
        <f>VLOOKUP(A27,[2]TDSheet!$A:$AB,16,0)</f>
        <v>3.4</v>
      </c>
      <c r="X27" s="1">
        <f>VLOOKUP(A27,[2]TDSheet!$A:$AB,28,0)</f>
        <v>0.2</v>
      </c>
      <c r="Y27" s="1">
        <f>VLOOKUP(A27,[2]TDSheet!$A:$AB,27,0)</f>
        <v>0.2</v>
      </c>
      <c r="Z27" s="1">
        <f>VLOOKUP(A27,[2]TDSheet!$A:$AB,26,0)</f>
        <v>11.2</v>
      </c>
      <c r="AA27" s="1">
        <f>VLOOKUP(A27,[2]TDSheet!$A:$AB,25,0)</f>
        <v>6</v>
      </c>
      <c r="AB27" s="11" t="s">
        <v>72</v>
      </c>
      <c r="AC27" s="1">
        <f t="shared" si="6"/>
        <v>0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3">
      <c r="A28" s="1" t="s">
        <v>57</v>
      </c>
      <c r="B28" s="1" t="s">
        <v>36</v>
      </c>
      <c r="C28" s="1">
        <v>128</v>
      </c>
      <c r="D28" s="1">
        <v>8</v>
      </c>
      <c r="E28" s="1">
        <v>18</v>
      </c>
      <c r="F28" s="1">
        <v>110</v>
      </c>
      <c r="G28" s="7">
        <v>0.18</v>
      </c>
      <c r="H28" s="1">
        <v>120</v>
      </c>
      <c r="I28" s="1"/>
      <c r="J28" s="1"/>
      <c r="K28" s="1">
        <f>VLOOKUP(A28,[1]TDSheet!$A:$E,5,0)</f>
        <v>19</v>
      </c>
      <c r="L28" s="1">
        <f t="shared" si="2"/>
        <v>-1</v>
      </c>
      <c r="M28" s="1"/>
      <c r="N28" s="1"/>
      <c r="O28" s="1">
        <f>VLOOKUP(A28,[2]TDSheet!$A:$R,18,0)</f>
        <v>0</v>
      </c>
      <c r="P28" s="1">
        <v>150</v>
      </c>
      <c r="Q28" s="1">
        <f t="shared" si="3"/>
        <v>3.6</v>
      </c>
      <c r="R28" s="10"/>
      <c r="S28" s="10">
        <v>30</v>
      </c>
      <c r="T28" s="1"/>
      <c r="U28" s="1">
        <f t="shared" si="8"/>
        <v>72.222222222222214</v>
      </c>
      <c r="V28" s="1">
        <f t="shared" si="9"/>
        <v>72.222222222222214</v>
      </c>
      <c r="W28" s="1">
        <f>VLOOKUP(A28,[2]TDSheet!$A:$AB,16,0)</f>
        <v>1.4</v>
      </c>
      <c r="X28" s="1">
        <f>VLOOKUP(A28,[2]TDSheet!$A:$AB,28,0)</f>
        <v>1.8</v>
      </c>
      <c r="Y28" s="1">
        <f>VLOOKUP(A28,[2]TDSheet!$A:$AB,27,0)</f>
        <v>5.4</v>
      </c>
      <c r="Z28" s="1">
        <f>VLOOKUP(A28,[2]TDSheet!$A:$AB,26,0)</f>
        <v>4</v>
      </c>
      <c r="AA28" s="1">
        <f>VLOOKUP(A28,[2]TDSheet!$A:$AB,25,0)</f>
        <v>4.4000000000000004</v>
      </c>
      <c r="AB28" s="11" t="s">
        <v>72</v>
      </c>
      <c r="AC28" s="1">
        <f t="shared" si="6"/>
        <v>0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3">
      <c r="A29" s="1" t="s">
        <v>58</v>
      </c>
      <c r="B29" s="1" t="s">
        <v>36</v>
      </c>
      <c r="C29" s="1">
        <v>415</v>
      </c>
      <c r="D29" s="1">
        <v>510</v>
      </c>
      <c r="E29" s="1">
        <v>251</v>
      </c>
      <c r="F29" s="1">
        <v>526</v>
      </c>
      <c r="G29" s="7">
        <v>0.18</v>
      </c>
      <c r="H29" s="1">
        <v>150</v>
      </c>
      <c r="I29" s="1"/>
      <c r="J29" s="1"/>
      <c r="K29" s="1">
        <f>VLOOKUP(A29,[1]TDSheet!$A:$E,5,0)</f>
        <v>341</v>
      </c>
      <c r="L29" s="1">
        <f t="shared" si="2"/>
        <v>-90</v>
      </c>
      <c r="M29" s="1"/>
      <c r="N29" s="1"/>
      <c r="O29" s="1">
        <f>VLOOKUP(A29,[2]TDSheet!$A:$R,18,0)</f>
        <v>1600</v>
      </c>
      <c r="P29" s="1"/>
      <c r="Q29" s="1">
        <f t="shared" si="3"/>
        <v>50.2</v>
      </c>
      <c r="R29" s="10"/>
      <c r="S29" s="10"/>
      <c r="T29" s="1"/>
      <c r="U29" s="1">
        <f t="shared" si="4"/>
        <v>42.350597609561753</v>
      </c>
      <c r="V29" s="1">
        <f t="shared" si="5"/>
        <v>42.350597609561753</v>
      </c>
      <c r="W29" s="1">
        <f>VLOOKUP(A29,[2]TDSheet!$A:$AB,16,0)</f>
        <v>126.4</v>
      </c>
      <c r="X29" s="1">
        <f>VLOOKUP(A29,[2]TDSheet!$A:$AB,28,0)</f>
        <v>47.6</v>
      </c>
      <c r="Y29" s="1">
        <f>VLOOKUP(A29,[2]TDSheet!$A:$AB,27,0)</f>
        <v>15</v>
      </c>
      <c r="Z29" s="1">
        <f>VLOOKUP(A29,[2]TDSheet!$A:$AB,26,0)</f>
        <v>69.8</v>
      </c>
      <c r="AA29" s="1">
        <f>VLOOKUP(A29,[2]TDSheet!$A:$AB,25,0)</f>
        <v>19.2</v>
      </c>
      <c r="AB29" s="11" t="s">
        <v>72</v>
      </c>
      <c r="AC29" s="1">
        <f t="shared" si="6"/>
        <v>0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3">
      <c r="A30" s="1" t="s">
        <v>59</v>
      </c>
      <c r="B30" s="1" t="s">
        <v>36</v>
      </c>
      <c r="C30" s="1">
        <v>164</v>
      </c>
      <c r="D30" s="1">
        <v>375</v>
      </c>
      <c r="E30" s="1">
        <v>45</v>
      </c>
      <c r="F30" s="1">
        <v>426</v>
      </c>
      <c r="G30" s="7">
        <v>0.18</v>
      </c>
      <c r="H30" s="1">
        <v>120</v>
      </c>
      <c r="I30" s="1"/>
      <c r="J30" s="1"/>
      <c r="K30" s="1">
        <f>VLOOKUP(A30,[1]TDSheet!$A:$E,5,0)</f>
        <v>153</v>
      </c>
      <c r="L30" s="1">
        <f t="shared" si="2"/>
        <v>-108</v>
      </c>
      <c r="M30" s="1"/>
      <c r="N30" s="1"/>
      <c r="O30" s="1">
        <f>VLOOKUP(A30,[2]TDSheet!$A:$R,18,0)</f>
        <v>150</v>
      </c>
      <c r="P30" s="1">
        <v>300</v>
      </c>
      <c r="Q30" s="1">
        <f t="shared" si="3"/>
        <v>9</v>
      </c>
      <c r="R30" s="10"/>
      <c r="S30" s="10"/>
      <c r="T30" s="1"/>
      <c r="U30" s="1">
        <f>(F30+O30+R30+P30)/Q30</f>
        <v>97.333333333333329</v>
      </c>
      <c r="V30" s="1">
        <f>(F30+O30+P30)/Q30</f>
        <v>97.333333333333329</v>
      </c>
      <c r="W30" s="1">
        <f>VLOOKUP(A30,[2]TDSheet!$A:$AB,16,0)</f>
        <v>26.2</v>
      </c>
      <c r="X30" s="1">
        <f>VLOOKUP(A30,[2]TDSheet!$A:$AB,28,0)</f>
        <v>6.6</v>
      </c>
      <c r="Y30" s="1">
        <f>VLOOKUP(A30,[2]TDSheet!$A:$AB,27,0)</f>
        <v>13.4</v>
      </c>
      <c r="Z30" s="1">
        <f>VLOOKUP(A30,[2]TDSheet!$A:$AB,26,0)</f>
        <v>18.2</v>
      </c>
      <c r="AA30" s="1">
        <f>VLOOKUP(A30,[2]TDSheet!$A:$AB,25,0)</f>
        <v>9.8000000000000007</v>
      </c>
      <c r="AB30" s="11" t="s">
        <v>72</v>
      </c>
      <c r="AC30" s="1">
        <f t="shared" si="6"/>
        <v>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3">
      <c r="A31" s="1" t="s">
        <v>60</v>
      </c>
      <c r="B31" s="1" t="s">
        <v>36</v>
      </c>
      <c r="C31" s="1">
        <v>204</v>
      </c>
      <c r="D31" s="1">
        <v>13</v>
      </c>
      <c r="E31" s="1">
        <v>45</v>
      </c>
      <c r="F31" s="1">
        <v>156</v>
      </c>
      <c r="G31" s="7">
        <v>0.18</v>
      </c>
      <c r="H31" s="1">
        <v>270</v>
      </c>
      <c r="I31" s="1"/>
      <c r="J31" s="1"/>
      <c r="K31" s="1">
        <f>VLOOKUP(A31,[1]TDSheet!$A:$E,5,0)</f>
        <v>49</v>
      </c>
      <c r="L31" s="1">
        <f t="shared" si="2"/>
        <v>-4</v>
      </c>
      <c r="M31" s="1"/>
      <c r="N31" s="1"/>
      <c r="O31" s="1">
        <f>VLOOKUP(A31,[2]TDSheet!$A:$R,18,0)</f>
        <v>0</v>
      </c>
      <c r="P31" s="1"/>
      <c r="Q31" s="1">
        <f t="shared" si="3"/>
        <v>9</v>
      </c>
      <c r="R31" s="10"/>
      <c r="S31" s="10"/>
      <c r="T31" s="1"/>
      <c r="U31" s="1">
        <f t="shared" si="4"/>
        <v>17.333333333333332</v>
      </c>
      <c r="V31" s="1">
        <f t="shared" si="5"/>
        <v>17.333333333333332</v>
      </c>
      <c r="W31" s="1">
        <f>VLOOKUP(A31,[2]TDSheet!$A:$AB,16,0)</f>
        <v>9.4</v>
      </c>
      <c r="X31" s="1">
        <f>VLOOKUP(A31,[2]TDSheet!$A:$AB,28,0)</f>
        <v>5.8</v>
      </c>
      <c r="Y31" s="1">
        <f>VLOOKUP(A31,[2]TDSheet!$A:$AB,27,0)</f>
        <v>9.8000000000000007</v>
      </c>
      <c r="Z31" s="1">
        <f>VLOOKUP(A31,[2]TDSheet!$A:$AB,26,0)</f>
        <v>12.6</v>
      </c>
      <c r="AA31" s="1">
        <f>VLOOKUP(A31,[2]TDSheet!$A:$AB,25,0)</f>
        <v>9.1999999999999993</v>
      </c>
      <c r="AB31" s="1"/>
      <c r="AC31" s="1">
        <f t="shared" si="6"/>
        <v>0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3">
      <c r="A32" s="1" t="s">
        <v>61</v>
      </c>
      <c r="B32" s="1" t="s">
        <v>34</v>
      </c>
      <c r="C32" s="1">
        <v>149.512</v>
      </c>
      <c r="D32" s="1">
        <v>2.52</v>
      </c>
      <c r="E32" s="1">
        <v>3.3559999999999999</v>
      </c>
      <c r="F32" s="1">
        <v>146.67599999999999</v>
      </c>
      <c r="G32" s="7">
        <v>1</v>
      </c>
      <c r="H32" s="1"/>
      <c r="I32" s="1"/>
      <c r="J32" s="1"/>
      <c r="K32" s="1">
        <f>VLOOKUP(A32,[1]TDSheet!$A:$E,5,0)</f>
        <v>2.5</v>
      </c>
      <c r="L32" s="1">
        <f t="shared" si="2"/>
        <v>0.85599999999999987</v>
      </c>
      <c r="M32" s="1"/>
      <c r="N32" s="1"/>
      <c r="O32" s="1">
        <f>VLOOKUP(A32,[2]TDSheet!$A:$R,18,0)</f>
        <v>0</v>
      </c>
      <c r="P32" s="1"/>
      <c r="Q32" s="1">
        <f t="shared" si="3"/>
        <v>0.67120000000000002</v>
      </c>
      <c r="R32" s="10"/>
      <c r="S32" s="10"/>
      <c r="T32" s="1"/>
      <c r="U32" s="1">
        <f t="shared" si="4"/>
        <v>218.52800953516089</v>
      </c>
      <c r="V32" s="1">
        <f t="shared" si="5"/>
        <v>218.52800953516089</v>
      </c>
      <c r="W32" s="1">
        <f>VLOOKUP(A32,[2]TDSheet!$A:$AB,16,0)</f>
        <v>2.7472000000000003</v>
      </c>
      <c r="X32" s="1">
        <f>VLOOKUP(A32,[2]TDSheet!$A:$AB,28,0)</f>
        <v>1.3408</v>
      </c>
      <c r="Y32" s="1">
        <f>VLOOKUP(A32,[2]TDSheet!$A:$AB,27,0)</f>
        <v>3.3899999999999997</v>
      </c>
      <c r="Z32" s="1">
        <f>VLOOKUP(A32,[2]TDSheet!$A:$AB,26,0)</f>
        <v>8.0055999999999994</v>
      </c>
      <c r="AA32" s="1">
        <f>VLOOKUP(A32,[2]TDSheet!$A:$AB,25,0)</f>
        <v>4.3655999999999997</v>
      </c>
      <c r="AB32" s="11" t="s">
        <v>72</v>
      </c>
      <c r="AC32" s="1">
        <f t="shared" si="6"/>
        <v>0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3">
      <c r="A33" s="1" t="s">
        <v>62</v>
      </c>
      <c r="B33" s="1" t="s">
        <v>34</v>
      </c>
      <c r="C33" s="1">
        <v>90.323999999999998</v>
      </c>
      <c r="D33" s="1"/>
      <c r="E33" s="1">
        <v>19.196000000000002</v>
      </c>
      <c r="F33" s="1">
        <v>71.128</v>
      </c>
      <c r="G33" s="7">
        <v>1</v>
      </c>
      <c r="H33" s="1"/>
      <c r="I33" s="1"/>
      <c r="J33" s="1"/>
      <c r="K33" s="1">
        <f>VLOOKUP(A33,[1]TDSheet!$A:$E,5,0)</f>
        <v>17.5</v>
      </c>
      <c r="L33" s="1">
        <f t="shared" si="2"/>
        <v>1.6960000000000015</v>
      </c>
      <c r="M33" s="1"/>
      <c r="N33" s="1"/>
      <c r="O33" s="1">
        <f>VLOOKUP(A33,[2]TDSheet!$A:$R,18,0)</f>
        <v>0</v>
      </c>
      <c r="P33" s="1"/>
      <c r="Q33" s="1">
        <f t="shared" si="3"/>
        <v>3.8392000000000004</v>
      </c>
      <c r="R33" s="10">
        <f t="shared" si="7"/>
        <v>5.6560000000000059</v>
      </c>
      <c r="S33" s="10">
        <v>30</v>
      </c>
      <c r="T33" s="1"/>
      <c r="U33" s="1">
        <f t="shared" si="4"/>
        <v>20</v>
      </c>
      <c r="V33" s="1">
        <f t="shared" si="5"/>
        <v>18.526776411752447</v>
      </c>
      <c r="W33" s="1">
        <f>VLOOKUP(A33,[2]TDSheet!$A:$AB,16,0)</f>
        <v>0</v>
      </c>
      <c r="X33" s="1">
        <f>VLOOKUP(A33,[2]TDSheet!$A:$AB,28,0)</f>
        <v>0.61119999999999997</v>
      </c>
      <c r="Y33" s="1">
        <f>VLOOKUP(A33,[2]TDSheet!$A:$AB,27,0)</f>
        <v>0.67199999999999993</v>
      </c>
      <c r="Z33" s="1">
        <f>VLOOKUP(A33,[2]TDSheet!$A:$AB,26,0)</f>
        <v>0</v>
      </c>
      <c r="AA33" s="1">
        <f>VLOOKUP(A33,[2]TDSheet!$A:$AB,25,0)</f>
        <v>0</v>
      </c>
      <c r="AB33" s="1"/>
      <c r="AC33" s="1">
        <f t="shared" si="6"/>
        <v>5.6560000000000059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3">
      <c r="A34" s="1" t="s">
        <v>63</v>
      </c>
      <c r="B34" s="1" t="s">
        <v>34</v>
      </c>
      <c r="C34" s="1">
        <v>90.724000000000004</v>
      </c>
      <c r="D34" s="1">
        <v>10.488</v>
      </c>
      <c r="E34" s="1">
        <v>49.595999999999997</v>
      </c>
      <c r="F34" s="1">
        <v>38.064</v>
      </c>
      <c r="G34" s="7">
        <v>1</v>
      </c>
      <c r="H34" s="1">
        <v>120</v>
      </c>
      <c r="I34" s="1"/>
      <c r="J34" s="1"/>
      <c r="K34" s="1">
        <f>VLOOKUP(A34,[1]TDSheet!$A:$E,5,0)</f>
        <v>48.362000000000002</v>
      </c>
      <c r="L34" s="1">
        <f t="shared" si="2"/>
        <v>1.2339999999999947</v>
      </c>
      <c r="M34" s="1"/>
      <c r="N34" s="1"/>
      <c r="O34" s="1">
        <f>VLOOKUP(A34,[2]TDSheet!$A:$R,18,0)</f>
        <v>0</v>
      </c>
      <c r="P34" s="1"/>
      <c r="Q34" s="1">
        <f t="shared" si="3"/>
        <v>9.9192</v>
      </c>
      <c r="R34" s="10">
        <f>19*Q34-O34-F34</f>
        <v>150.4008</v>
      </c>
      <c r="S34" s="10">
        <v>100</v>
      </c>
      <c r="T34" s="1"/>
      <c r="U34" s="1">
        <f t="shared" si="4"/>
        <v>19</v>
      </c>
      <c r="V34" s="1">
        <f t="shared" si="5"/>
        <v>3.8374062424389064</v>
      </c>
      <c r="W34" s="1">
        <f>VLOOKUP(A34,[2]TDSheet!$A:$AB,16,0)</f>
        <v>6.0739999999999998</v>
      </c>
      <c r="X34" s="1">
        <f>VLOOKUP(A34,[2]TDSheet!$A:$AB,28,0)</f>
        <v>2.6675999999999997</v>
      </c>
      <c r="Y34" s="1">
        <f>VLOOKUP(A34,[2]TDSheet!$A:$AB,27,0)</f>
        <v>7.4495999999999993</v>
      </c>
      <c r="Z34" s="1">
        <f>VLOOKUP(A34,[2]TDSheet!$A:$AB,26,0)</f>
        <v>8.7568000000000001</v>
      </c>
      <c r="AA34" s="1">
        <f>VLOOKUP(A34,[2]TDSheet!$A:$AB,25,0)</f>
        <v>1.8356000000000001</v>
      </c>
      <c r="AB34" s="1"/>
      <c r="AC34" s="1">
        <f t="shared" si="6"/>
        <v>150.4008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3">
      <c r="A35" s="1" t="s">
        <v>64</v>
      </c>
      <c r="B35" s="1" t="s">
        <v>34</v>
      </c>
      <c r="C35" s="1">
        <v>176.55</v>
      </c>
      <c r="D35" s="1">
        <v>5.6219999999999999</v>
      </c>
      <c r="E35" s="1">
        <v>22.297999999999998</v>
      </c>
      <c r="F35" s="1">
        <v>159.874</v>
      </c>
      <c r="G35" s="7">
        <v>1</v>
      </c>
      <c r="H35" s="1"/>
      <c r="I35" s="1"/>
      <c r="J35" s="1"/>
      <c r="K35" s="1">
        <f>VLOOKUP(A35,[1]TDSheet!$A:$E,5,0)</f>
        <v>24.2</v>
      </c>
      <c r="L35" s="1">
        <f t="shared" si="2"/>
        <v>-1.902000000000001</v>
      </c>
      <c r="M35" s="1"/>
      <c r="N35" s="1"/>
      <c r="O35" s="1">
        <f>VLOOKUP(A35,[2]TDSheet!$A:$R,18,0)</f>
        <v>0</v>
      </c>
      <c r="P35" s="1"/>
      <c r="Q35" s="1">
        <f t="shared" si="3"/>
        <v>4.4596</v>
      </c>
      <c r="R35" s="10"/>
      <c r="S35" s="10"/>
      <c r="T35" s="1"/>
      <c r="U35" s="1">
        <f t="shared" si="4"/>
        <v>35.849403533949229</v>
      </c>
      <c r="V35" s="1">
        <f t="shared" si="5"/>
        <v>35.849403533949229</v>
      </c>
      <c r="W35" s="1">
        <f>VLOOKUP(A35,[2]TDSheet!$A:$AB,16,0)</f>
        <v>0.64160000000000006</v>
      </c>
      <c r="X35" s="1">
        <f>VLOOKUP(A35,[2]TDSheet!$A:$AB,28,0)</f>
        <v>0</v>
      </c>
      <c r="Y35" s="1">
        <f>VLOOKUP(A35,[2]TDSheet!$A:$AB,27,0)</f>
        <v>3.8592</v>
      </c>
      <c r="Z35" s="1">
        <f>VLOOKUP(A35,[2]TDSheet!$A:$AB,26,0)</f>
        <v>3.2023999999999999</v>
      </c>
      <c r="AA35" s="1">
        <f>VLOOKUP(A35,[2]TDSheet!$A:$AB,25,0)</f>
        <v>0.48559999999999998</v>
      </c>
      <c r="AB35" s="11" t="s">
        <v>72</v>
      </c>
      <c r="AC35" s="1">
        <f t="shared" si="6"/>
        <v>0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3">
      <c r="A36" s="1" t="s">
        <v>31</v>
      </c>
      <c r="B36" s="1" t="s">
        <v>36</v>
      </c>
      <c r="C36" s="1">
        <v>449</v>
      </c>
      <c r="D36" s="1">
        <v>229</v>
      </c>
      <c r="E36" s="1">
        <v>207</v>
      </c>
      <c r="F36" s="1">
        <v>365</v>
      </c>
      <c r="G36" s="7">
        <v>0.1</v>
      </c>
      <c r="H36" s="1">
        <v>60</v>
      </c>
      <c r="I36" s="1"/>
      <c r="J36" s="1"/>
      <c r="K36" s="1">
        <f>VLOOKUP(A36,[1]TDSheet!$A:$E,5,0)</f>
        <v>255</v>
      </c>
      <c r="L36" s="1">
        <f t="shared" si="2"/>
        <v>-48</v>
      </c>
      <c r="M36" s="1"/>
      <c r="N36" s="1"/>
      <c r="O36" s="1">
        <f>VLOOKUP(A36,[2]TDSheet!$A:$R,18,0)</f>
        <v>515</v>
      </c>
      <c r="P36" s="1"/>
      <c r="Q36" s="1">
        <f t="shared" si="3"/>
        <v>41.4</v>
      </c>
      <c r="R36" s="10"/>
      <c r="S36" s="10"/>
      <c r="T36" s="1"/>
      <c r="U36" s="1">
        <f t="shared" si="4"/>
        <v>21.256038647342997</v>
      </c>
      <c r="V36" s="1">
        <f t="shared" si="5"/>
        <v>21.256038647342997</v>
      </c>
      <c r="W36" s="1">
        <f>VLOOKUP(A36,[2]TDSheet!$A:$AB,16,0)</f>
        <v>48.2</v>
      </c>
      <c r="X36" s="1">
        <f>VLOOKUP(A36,[2]TDSheet!$A:$AB,28,0)</f>
        <v>20</v>
      </c>
      <c r="Y36" s="1">
        <f>VLOOKUP(A36,[2]TDSheet!$A:$AB,27,0)</f>
        <v>24.8</v>
      </c>
      <c r="Z36" s="1">
        <f>VLOOKUP(A36,[2]TDSheet!$A:$AB,26,0)</f>
        <v>45.6</v>
      </c>
      <c r="AA36" s="1">
        <f>VLOOKUP(A36,[2]TDSheet!$A:$AB,25,0)</f>
        <v>38.6</v>
      </c>
      <c r="AB36" s="1"/>
      <c r="AC36" s="1">
        <f t="shared" si="6"/>
        <v>0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3">
      <c r="A37" s="1" t="s">
        <v>65</v>
      </c>
      <c r="B37" s="1" t="s">
        <v>36</v>
      </c>
      <c r="C37" s="1">
        <v>575</v>
      </c>
      <c r="D37" s="1">
        <v>136</v>
      </c>
      <c r="E37" s="1">
        <v>191</v>
      </c>
      <c r="F37" s="1">
        <v>459</v>
      </c>
      <c r="G37" s="7">
        <v>0.1</v>
      </c>
      <c r="H37" s="1">
        <v>90</v>
      </c>
      <c r="I37" s="1"/>
      <c r="J37" s="1"/>
      <c r="K37" s="1">
        <f>VLOOKUP(A37,[1]TDSheet!$A:$E,5,0)</f>
        <v>220</v>
      </c>
      <c r="L37" s="1">
        <f t="shared" si="2"/>
        <v>-29</v>
      </c>
      <c r="M37" s="1"/>
      <c r="N37" s="1"/>
      <c r="O37" s="1">
        <f>VLOOKUP(A37,[2]TDSheet!$A:$R,18,0)</f>
        <v>231</v>
      </c>
      <c r="P37" s="1"/>
      <c r="Q37" s="1">
        <f t="shared" si="3"/>
        <v>38.200000000000003</v>
      </c>
      <c r="R37" s="10">
        <f t="shared" si="7"/>
        <v>74</v>
      </c>
      <c r="S37" s="10"/>
      <c r="T37" s="1"/>
      <c r="U37" s="1">
        <f t="shared" si="4"/>
        <v>20</v>
      </c>
      <c r="V37" s="1">
        <f t="shared" si="5"/>
        <v>18.062827225130889</v>
      </c>
      <c r="W37" s="1">
        <f>VLOOKUP(A37,[2]TDSheet!$A:$AB,16,0)</f>
        <v>44.8</v>
      </c>
      <c r="X37" s="1">
        <f>VLOOKUP(A37,[2]TDSheet!$A:$AB,28,0)</f>
        <v>44.2</v>
      </c>
      <c r="Y37" s="1">
        <f>VLOOKUP(A37,[2]TDSheet!$A:$AB,27,0)</f>
        <v>47</v>
      </c>
      <c r="Z37" s="1">
        <f>VLOOKUP(A37,[2]TDSheet!$A:$AB,26,0)</f>
        <v>39.6</v>
      </c>
      <c r="AA37" s="1">
        <f>VLOOKUP(A37,[2]TDSheet!$A:$AB,25,0)</f>
        <v>39.6</v>
      </c>
      <c r="AB37" s="1"/>
      <c r="AC37" s="1">
        <f t="shared" si="6"/>
        <v>7.4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3">
      <c r="A38" s="1" t="s">
        <v>66</v>
      </c>
      <c r="B38" s="1" t="s">
        <v>34</v>
      </c>
      <c r="C38" s="1">
        <v>15.224</v>
      </c>
      <c r="D38" s="1">
        <v>26.155000000000001</v>
      </c>
      <c r="E38" s="1">
        <v>6.6719999999999997</v>
      </c>
      <c r="F38" s="1">
        <v>34.707000000000001</v>
      </c>
      <c r="G38" s="7">
        <v>1</v>
      </c>
      <c r="H38" s="1"/>
      <c r="I38" s="1"/>
      <c r="J38" s="1"/>
      <c r="K38" s="1">
        <f>VLOOKUP(A38,[1]TDSheet!$A:$E,5,0)</f>
        <v>11.8</v>
      </c>
      <c r="L38" s="1">
        <f t="shared" si="2"/>
        <v>-5.128000000000001</v>
      </c>
      <c r="M38" s="1"/>
      <c r="N38" s="1"/>
      <c r="O38" s="1">
        <f>VLOOKUP(A38,[2]TDSheet!$A:$R,18,0)</f>
        <v>0</v>
      </c>
      <c r="P38" s="1"/>
      <c r="Q38" s="1">
        <f t="shared" si="3"/>
        <v>1.3344</v>
      </c>
      <c r="R38" s="10"/>
      <c r="S38" s="10"/>
      <c r="T38" s="1"/>
      <c r="U38" s="1">
        <f t="shared" si="4"/>
        <v>26.009442446043167</v>
      </c>
      <c r="V38" s="1">
        <f t="shared" si="5"/>
        <v>26.009442446043167</v>
      </c>
      <c r="W38" s="1">
        <f>VLOOKUP(A38,[2]TDSheet!$A:$AB,16,0)</f>
        <v>0.9012</v>
      </c>
      <c r="X38" s="1">
        <f>VLOOKUP(A38,[2]TDSheet!$A:$AB,28,0)</f>
        <v>0</v>
      </c>
      <c r="Y38" s="1">
        <f>VLOOKUP(A38,[2]TDSheet!$A:$AB,27,0)</f>
        <v>0</v>
      </c>
      <c r="Z38" s="1">
        <f>VLOOKUP(A38,[2]TDSheet!$A:$AB,26,0)</f>
        <v>1.0096000000000001</v>
      </c>
      <c r="AA38" s="1">
        <f>VLOOKUP(A38,[2]TDSheet!$A:$AB,25,0)</f>
        <v>0.48</v>
      </c>
      <c r="AB38" s="1"/>
      <c r="AC38" s="1">
        <f t="shared" si="6"/>
        <v>0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3">
      <c r="A39" s="1" t="s">
        <v>32</v>
      </c>
      <c r="B39" s="1" t="s">
        <v>36</v>
      </c>
      <c r="C39" s="1">
        <v>116</v>
      </c>
      <c r="D39" s="1">
        <v>6</v>
      </c>
      <c r="E39" s="1">
        <v>45</v>
      </c>
      <c r="F39" s="1">
        <v>74</v>
      </c>
      <c r="G39" s="7">
        <v>0.14000000000000001</v>
      </c>
      <c r="H39" s="1">
        <v>180</v>
      </c>
      <c r="I39" s="1"/>
      <c r="J39" s="1"/>
      <c r="K39" s="1">
        <f>VLOOKUP(A39,[1]TDSheet!$A:$E,5,0)</f>
        <v>48</v>
      </c>
      <c r="L39" s="1">
        <f t="shared" si="2"/>
        <v>-3</v>
      </c>
      <c r="M39" s="1"/>
      <c r="N39" s="1"/>
      <c r="O39" s="1">
        <f>VLOOKUP(A39,[2]TDSheet!$A:$R,18,0)</f>
        <v>60</v>
      </c>
      <c r="P39" s="1"/>
      <c r="Q39" s="1">
        <f t="shared" si="3"/>
        <v>9</v>
      </c>
      <c r="R39" s="10"/>
      <c r="S39" s="10"/>
      <c r="T39" s="1"/>
      <c r="U39" s="1">
        <f t="shared" si="4"/>
        <v>14.888888888888889</v>
      </c>
      <c r="V39" s="1">
        <f t="shared" si="5"/>
        <v>14.888888888888889</v>
      </c>
      <c r="W39" s="1">
        <f>VLOOKUP(A39,[2]TDSheet!$A:$AB,16,0)</f>
        <v>8.8000000000000007</v>
      </c>
      <c r="X39" s="1">
        <f>VLOOKUP(A39,[2]TDSheet!$A:$AB,28,0)</f>
        <v>3</v>
      </c>
      <c r="Y39" s="1">
        <f>VLOOKUP(A39,[2]TDSheet!$A:$AB,27,0)</f>
        <v>5</v>
      </c>
      <c r="Z39" s="1">
        <f>VLOOKUP(A39,[2]TDSheet!$A:$AB,26,0)</f>
        <v>4.8</v>
      </c>
      <c r="AA39" s="1">
        <f>VLOOKUP(A39,[2]TDSheet!$A:$AB,25,0)</f>
        <v>6.6</v>
      </c>
      <c r="AB39" s="1"/>
      <c r="AC39" s="1">
        <f t="shared" si="6"/>
        <v>0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3">
      <c r="A40" s="1" t="s">
        <v>67</v>
      </c>
      <c r="B40" s="1" t="s">
        <v>36</v>
      </c>
      <c r="C40" s="1">
        <v>117</v>
      </c>
      <c r="D40" s="1">
        <v>10</v>
      </c>
      <c r="E40" s="1">
        <v>80</v>
      </c>
      <c r="F40" s="1">
        <v>38</v>
      </c>
      <c r="G40" s="7">
        <v>0.14000000000000001</v>
      </c>
      <c r="H40" s="1">
        <v>180</v>
      </c>
      <c r="I40" s="1"/>
      <c r="J40" s="1"/>
      <c r="K40" s="1">
        <f>VLOOKUP(A40,[1]TDSheet!$A:$E,5,0)</f>
        <v>83</v>
      </c>
      <c r="L40" s="1">
        <f t="shared" si="2"/>
        <v>-3</v>
      </c>
      <c r="M40" s="1"/>
      <c r="N40" s="1"/>
      <c r="O40" s="1">
        <f>VLOOKUP(A40,[2]TDSheet!$A:$R,18,0)</f>
        <v>125</v>
      </c>
      <c r="P40" s="1"/>
      <c r="Q40" s="1">
        <f t="shared" si="3"/>
        <v>16</v>
      </c>
      <c r="R40" s="10"/>
      <c r="S40" s="10"/>
      <c r="T40" s="1"/>
      <c r="U40" s="1">
        <f t="shared" si="4"/>
        <v>10.1875</v>
      </c>
      <c r="V40" s="1">
        <f t="shared" si="5"/>
        <v>10.1875</v>
      </c>
      <c r="W40" s="1">
        <f>VLOOKUP(A40,[2]TDSheet!$A:$AB,16,0)</f>
        <v>11.6</v>
      </c>
      <c r="X40" s="1">
        <f>VLOOKUP(A40,[2]TDSheet!$A:$AB,28,0)</f>
        <v>9.1999999999999993</v>
      </c>
      <c r="Y40" s="1">
        <f>VLOOKUP(A40,[2]TDSheet!$A:$AB,27,0)</f>
        <v>7.4</v>
      </c>
      <c r="Z40" s="1">
        <f>VLOOKUP(A40,[2]TDSheet!$A:$AB,26,0)</f>
        <v>7.2</v>
      </c>
      <c r="AA40" s="1">
        <f>VLOOKUP(A40,[2]TDSheet!$A:$AB,25,0)</f>
        <v>7.2</v>
      </c>
      <c r="AB40" s="1"/>
      <c r="AC40" s="1">
        <f t="shared" si="6"/>
        <v>0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3">
      <c r="A41" s="1" t="s">
        <v>68</v>
      </c>
      <c r="B41" s="1" t="s">
        <v>36</v>
      </c>
      <c r="C41" s="1">
        <v>153</v>
      </c>
      <c r="D41" s="1">
        <v>20</v>
      </c>
      <c r="E41" s="1">
        <v>56</v>
      </c>
      <c r="F41" s="1">
        <v>97</v>
      </c>
      <c r="G41" s="7">
        <v>0.2</v>
      </c>
      <c r="H41" s="1"/>
      <c r="I41" s="1"/>
      <c r="J41" s="1"/>
      <c r="K41" s="1">
        <f>VLOOKUP(A41,[1]TDSheet!$A:$E,5,0)</f>
        <v>76</v>
      </c>
      <c r="L41" s="1">
        <f t="shared" si="2"/>
        <v>-20</v>
      </c>
      <c r="M41" s="1"/>
      <c r="N41" s="1"/>
      <c r="O41" s="1">
        <f>VLOOKUP(A41,[2]TDSheet!$A:$R,18,0)</f>
        <v>0</v>
      </c>
      <c r="P41" s="1"/>
      <c r="Q41" s="1">
        <f t="shared" si="3"/>
        <v>11.2</v>
      </c>
      <c r="R41" s="10">
        <f t="shared" si="7"/>
        <v>127</v>
      </c>
      <c r="S41" s="10">
        <v>77</v>
      </c>
      <c r="T41" s="1"/>
      <c r="U41" s="1">
        <f t="shared" si="4"/>
        <v>20</v>
      </c>
      <c r="V41" s="1">
        <f t="shared" si="5"/>
        <v>8.6607142857142865</v>
      </c>
      <c r="W41" s="1">
        <f>VLOOKUP(A41,[2]TDSheet!$A:$AB,16,0)</f>
        <v>10</v>
      </c>
      <c r="X41" s="1">
        <f>VLOOKUP(A41,[2]TDSheet!$A:$AB,28,0)</f>
        <v>9.1999999999999993</v>
      </c>
      <c r="Y41" s="1">
        <f>VLOOKUP(A41,[2]TDSheet!$A:$AB,27,0)</f>
        <v>5.6</v>
      </c>
      <c r="Z41" s="1">
        <f>VLOOKUP(A41,[2]TDSheet!$A:$AB,26,0)</f>
        <v>3.8</v>
      </c>
      <c r="AA41" s="1">
        <f>VLOOKUP(A41,[2]TDSheet!$A:$AB,25,0)</f>
        <v>15.2</v>
      </c>
      <c r="AB41" s="1"/>
      <c r="AC41" s="1">
        <f t="shared" si="6"/>
        <v>25.400000000000002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3">
      <c r="A42" s="1" t="s">
        <v>69</v>
      </c>
      <c r="B42" s="1" t="s">
        <v>34</v>
      </c>
      <c r="C42" s="1">
        <v>55.347999999999999</v>
      </c>
      <c r="D42" s="1">
        <v>8.0820000000000007</v>
      </c>
      <c r="E42" s="1">
        <v>26.786000000000001</v>
      </c>
      <c r="F42" s="1">
        <v>28.361999999999998</v>
      </c>
      <c r="G42" s="7">
        <v>1</v>
      </c>
      <c r="H42" s="1"/>
      <c r="I42" s="1"/>
      <c r="J42" s="1"/>
      <c r="K42" s="1">
        <f>VLOOKUP(A42,[1]TDSheet!$A:$E,5,0)</f>
        <v>24.7</v>
      </c>
      <c r="L42" s="1">
        <f t="shared" si="2"/>
        <v>2.0860000000000021</v>
      </c>
      <c r="M42" s="1"/>
      <c r="N42" s="1"/>
      <c r="O42" s="1">
        <f>VLOOKUP(A42,[2]TDSheet!$A:$R,18,0)</f>
        <v>0</v>
      </c>
      <c r="P42" s="1"/>
      <c r="Q42" s="1">
        <f t="shared" si="3"/>
        <v>5.3572000000000006</v>
      </c>
      <c r="R42" s="10">
        <f t="shared" si="7"/>
        <v>78.782000000000011</v>
      </c>
      <c r="S42" s="10">
        <v>50</v>
      </c>
      <c r="T42" s="1"/>
      <c r="U42" s="1">
        <f t="shared" si="4"/>
        <v>20</v>
      </c>
      <c r="V42" s="1">
        <f t="shared" si="5"/>
        <v>5.2941835287090262</v>
      </c>
      <c r="W42" s="1">
        <f>VLOOKUP(A42,[2]TDSheet!$A:$AB,16,0)</f>
        <v>0.70960000000000001</v>
      </c>
      <c r="X42" s="1">
        <f>VLOOKUP(A42,[2]TDSheet!$A:$AB,28,0)</f>
        <v>0</v>
      </c>
      <c r="Y42" s="1">
        <f>VLOOKUP(A42,[2]TDSheet!$A:$AB,27,0)</f>
        <v>1.8264</v>
      </c>
      <c r="Z42" s="1">
        <f>VLOOKUP(A42,[2]TDSheet!$A:$AB,26,0)</f>
        <v>0</v>
      </c>
      <c r="AA42" s="1">
        <f>VLOOKUP(A42,[2]TDSheet!$A:$AB,25,0)</f>
        <v>1.8675999999999999</v>
      </c>
      <c r="AB42" s="1"/>
      <c r="AC42" s="1">
        <f t="shared" si="6"/>
        <v>78.782000000000011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3">
      <c r="A43" s="1" t="s">
        <v>70</v>
      </c>
      <c r="B43" s="1" t="s">
        <v>36</v>
      </c>
      <c r="C43" s="1">
        <v>165</v>
      </c>
      <c r="D43" s="1">
        <v>70</v>
      </c>
      <c r="E43" s="1">
        <v>55</v>
      </c>
      <c r="F43" s="1">
        <v>113</v>
      </c>
      <c r="G43" s="7">
        <v>0.2</v>
      </c>
      <c r="H43" s="1"/>
      <c r="I43" s="1"/>
      <c r="J43" s="1"/>
      <c r="K43" s="1">
        <f>VLOOKUP(A43,[1]TDSheet!$A:$E,5,0)</f>
        <v>75</v>
      </c>
      <c r="L43" s="1">
        <f t="shared" si="2"/>
        <v>-20</v>
      </c>
      <c r="M43" s="1"/>
      <c r="N43" s="1"/>
      <c r="O43" s="1">
        <f>VLOOKUP(A43,[2]TDSheet!$A:$R,18,0)</f>
        <v>91</v>
      </c>
      <c r="P43" s="1"/>
      <c r="Q43" s="1">
        <f t="shared" si="3"/>
        <v>11</v>
      </c>
      <c r="R43" s="10">
        <f t="shared" si="7"/>
        <v>16</v>
      </c>
      <c r="S43" s="10"/>
      <c r="T43" s="1"/>
      <c r="U43" s="1">
        <f t="shared" si="4"/>
        <v>20</v>
      </c>
      <c r="V43" s="1">
        <f t="shared" si="5"/>
        <v>18.545454545454547</v>
      </c>
      <c r="W43" s="1">
        <f>VLOOKUP(A43,[2]TDSheet!$A:$AB,16,0)</f>
        <v>12.8</v>
      </c>
      <c r="X43" s="1">
        <f>VLOOKUP(A43,[2]TDSheet!$A:$AB,28,0)</f>
        <v>12.8</v>
      </c>
      <c r="Y43" s="1">
        <f>VLOOKUP(A43,[2]TDSheet!$A:$AB,27,0)</f>
        <v>14.6</v>
      </c>
      <c r="Z43" s="1">
        <f>VLOOKUP(A43,[2]TDSheet!$A:$AB,26,0)</f>
        <v>7.4</v>
      </c>
      <c r="AA43" s="1">
        <f>VLOOKUP(A43,[2]TDSheet!$A:$AB,25,0)</f>
        <v>10.8</v>
      </c>
      <c r="AB43" s="1"/>
      <c r="AC43" s="1">
        <f t="shared" si="6"/>
        <v>3.2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3">
      <c r="A44" s="9" t="s">
        <v>71</v>
      </c>
      <c r="B44" s="9" t="s">
        <v>34</v>
      </c>
      <c r="C44" s="1"/>
      <c r="D44" s="1"/>
      <c r="E44" s="1"/>
      <c r="F44" s="1"/>
      <c r="G44" s="7">
        <v>1</v>
      </c>
      <c r="H44" s="1"/>
      <c r="I44" s="1"/>
      <c r="J44" s="1"/>
      <c r="K44" s="1">
        <f>VLOOKUP(A44,[1]TDSheet!$A:$E,5,0)</f>
        <v>10.5</v>
      </c>
      <c r="L44" s="1">
        <f t="shared" si="2"/>
        <v>-10.5</v>
      </c>
      <c r="M44" s="1"/>
      <c r="N44" s="1"/>
      <c r="O44" s="1">
        <f>VLOOKUP(A44,[2]TDSheet!$A:$R,18,0)</f>
        <v>100</v>
      </c>
      <c r="P44" s="1"/>
      <c r="Q44" s="1">
        <f t="shared" si="3"/>
        <v>0</v>
      </c>
      <c r="R44" s="10"/>
      <c r="S44" s="10"/>
      <c r="T44" s="1"/>
      <c r="U44" s="1" t="e">
        <f t="shared" si="4"/>
        <v>#DIV/0!</v>
      </c>
      <c r="V44" s="1" t="e">
        <f t="shared" si="5"/>
        <v>#DIV/0!</v>
      </c>
      <c r="W44" s="1">
        <f>VLOOKUP(A44,[2]TDSheet!$A:$AB,16,0)</f>
        <v>0.68840000000000001</v>
      </c>
      <c r="X44" s="1">
        <f>VLOOKUP(A44,[2]TDSheet!$A:$AB,28,0)</f>
        <v>7.7816000000000001</v>
      </c>
      <c r="Y44" s="1">
        <f>VLOOKUP(A44,[2]TDSheet!$A:$AB,27,0)</f>
        <v>9.8775999999999993</v>
      </c>
      <c r="Z44" s="1">
        <f>VLOOKUP(A44,[2]TDSheet!$A:$AB,26,0)</f>
        <v>3.5659999999999998</v>
      </c>
      <c r="AA44" s="1">
        <f>VLOOKUP(A44,[2]TDSheet!$A:$AB,25,0)</f>
        <v>4.8911999999999995</v>
      </c>
      <c r="AB44" s="1"/>
      <c r="AC44" s="1">
        <f t="shared" si="6"/>
        <v>0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3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3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3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3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3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3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3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3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3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3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3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3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3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3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3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3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3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3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3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3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3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3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3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3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3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3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3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3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3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3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3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3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3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3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3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3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3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3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3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3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3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3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3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3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3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3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3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3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3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3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3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3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3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3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3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3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3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3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3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3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3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3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3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3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3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3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3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3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3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3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3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3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3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3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3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3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3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3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3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3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3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3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3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3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3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3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3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3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3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3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3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3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3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3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3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3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3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3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3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3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3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3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3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3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3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3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3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3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3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3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3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3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3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3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3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3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3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3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3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3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3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3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3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3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3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3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3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3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3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3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3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3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3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3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3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3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3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3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3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3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3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3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3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3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3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3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3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3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3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3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3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3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3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3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3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3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3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3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3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3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3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3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3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3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3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3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3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3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3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3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3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3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3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3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3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3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3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3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3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3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3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3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3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3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3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3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3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3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3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3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3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3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3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3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3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3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3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3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3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3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3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3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3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3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3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3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3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3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3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3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3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3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3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3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3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3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3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3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3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3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3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3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3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3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3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3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3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3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3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3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3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3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3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3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3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3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3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3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3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3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3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3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3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3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3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3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3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3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3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3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3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3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3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3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3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3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3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3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3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3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3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3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3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3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3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3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3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3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3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3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3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3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3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3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3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3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3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3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3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3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3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3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3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3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3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3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3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3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3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3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3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3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3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3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3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3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3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3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3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3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3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3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3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3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3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3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3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3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3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3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</sheetData>
  <autoFilter ref="A3:AC44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Dasha</cp:lastModifiedBy>
  <dcterms:created xsi:type="dcterms:W3CDTF">2026-01-26T07:51:28Z</dcterms:created>
  <dcterms:modified xsi:type="dcterms:W3CDTF">2026-06-30T08:39:34Z</dcterms:modified>
</cp:coreProperties>
</file>